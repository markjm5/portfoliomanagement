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workbookPr codeName="ThisWorkbook" defaultThemeVersion="166925"/>
  <mc:AlternateContent xmlns:mc="http://schemas.openxmlformats.org/markup-compatibility/2006">
    <mc:Choice Requires="x15">
      <x15ac:absPath xmlns:x15ac="http://schemas.microsoft.com/office/spreadsheetml/2010/11/ac" url="C:\Users\markj\Documents\Projects\portfoliomanagement\trading_excel_files\02_Interest_Rates_FX\"/>
    </mc:Choice>
  </mc:AlternateContent>
  <xr:revisionPtr revIDLastSave="0" documentId="13_ncr:1_{65663D0D-C699-47CB-BB02-8228A74B65C4}" xr6:coauthVersionLast="47" xr6:coauthVersionMax="47" xr10:uidLastSave="{00000000-0000-0000-0000-000000000000}"/>
  <bookViews>
    <workbookView xWindow="-11700" yWindow="-21315" windowWidth="31035" windowHeight="20580" activeTab="4" xr2:uid="{00000000-000D-0000-FFFF-FFFF00000000}"/>
  </bookViews>
  <sheets>
    <sheet name="Note" sheetId="1" r:id="rId1"/>
    <sheet name="Futures Only Report Raw" sheetId="2" r:id="rId2"/>
    <sheet name="Database" sheetId="3" r:id="rId3"/>
    <sheet name="Recap" sheetId="4" r:id="rId4"/>
    <sheet name="Currency" sheetId="5" r:id="rId5"/>
    <sheet name="Graphs" sheetId="6" r:id="rId6"/>
  </sheets>
  <definedNames>
    <definedName name="_xlnm._FilterDatabase" localSheetId="1" hidden="1">'Futures Only Report Raw'!$A$1:$DV$8733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243" i="5" l="1"/>
  <c r="B1243" i="5" s="1"/>
  <c r="A1242" i="5"/>
  <c r="B1242" i="5" s="1"/>
  <c r="A1241" i="5"/>
  <c r="B1241" i="5" s="1"/>
  <c r="A1240" i="5"/>
  <c r="B1240" i="5" s="1"/>
  <c r="A1239" i="5"/>
  <c r="B1239" i="5" s="1"/>
  <c r="B1238" i="5"/>
  <c r="A1238" i="5"/>
  <c r="A1237" i="5"/>
  <c r="B1237" i="5" s="1"/>
  <c r="A1236" i="5"/>
  <c r="B1236" i="5" s="1"/>
  <c r="A1235" i="5"/>
  <c r="B1235" i="5" s="1"/>
  <c r="B1234" i="5"/>
  <c r="A1234" i="5"/>
  <c r="B1233" i="5"/>
  <c r="A1233" i="5"/>
  <c r="B1232" i="5"/>
  <c r="A1232" i="5"/>
  <c r="A1231" i="5"/>
  <c r="B1231" i="5" s="1"/>
  <c r="A1230" i="5"/>
  <c r="B1230" i="5" s="1"/>
  <c r="A1229" i="5"/>
  <c r="B1229" i="5" s="1"/>
  <c r="A1228" i="5"/>
  <c r="B1228" i="5" s="1"/>
  <c r="A1227" i="5"/>
  <c r="B1227" i="5" s="1"/>
  <c r="A1226" i="5"/>
  <c r="B1226" i="5" s="1"/>
  <c r="A1225" i="5"/>
  <c r="B1225" i="5" s="1"/>
  <c r="A1224" i="5"/>
  <c r="B1224" i="5" s="1"/>
  <c r="A1223" i="5"/>
  <c r="B1223" i="5" s="1"/>
  <c r="A1222" i="5"/>
  <c r="B1222" i="5" s="1"/>
  <c r="A1221" i="5"/>
  <c r="B1221" i="5" s="1"/>
  <c r="A1220" i="5"/>
  <c r="B1220" i="5" s="1"/>
  <c r="A1219" i="5"/>
  <c r="B1219" i="5" s="1"/>
  <c r="A1218" i="5"/>
  <c r="B1218" i="5" s="1"/>
  <c r="A1217" i="5"/>
  <c r="B1217" i="5" s="1"/>
  <c r="A1216" i="5"/>
  <c r="B1216" i="5" s="1"/>
  <c r="A1215" i="5"/>
  <c r="B1215" i="5" s="1"/>
  <c r="B1214" i="5"/>
  <c r="A1214" i="5"/>
  <c r="A1213" i="5"/>
  <c r="B1213" i="5" s="1"/>
  <c r="A1212" i="5"/>
  <c r="B1212" i="5" s="1"/>
  <c r="A1211" i="5"/>
  <c r="B1211" i="5" s="1"/>
  <c r="B1210" i="5"/>
  <c r="A1210" i="5"/>
  <c r="B1209" i="5"/>
  <c r="A1209" i="5"/>
  <c r="B1208" i="5"/>
  <c r="A1208" i="5"/>
  <c r="A1207" i="5"/>
  <c r="B1207" i="5" s="1"/>
  <c r="A1206" i="5"/>
  <c r="B1206" i="5" s="1"/>
  <c r="A1205" i="5"/>
  <c r="B1205" i="5" s="1"/>
  <c r="A1204" i="5"/>
  <c r="B1204" i="5" s="1"/>
  <c r="B1203" i="5"/>
  <c r="A1203" i="5"/>
  <c r="A1202" i="5"/>
  <c r="B1202" i="5" s="1"/>
  <c r="A1201" i="5"/>
  <c r="B1201" i="5" s="1"/>
  <c r="A1200" i="5"/>
  <c r="B1200" i="5" s="1"/>
  <c r="A1199" i="5"/>
  <c r="B1199" i="5" s="1"/>
  <c r="A1198" i="5"/>
  <c r="B1198" i="5" s="1"/>
  <c r="A1197" i="5"/>
  <c r="B1197" i="5" s="1"/>
  <c r="A1196" i="5"/>
  <c r="B1196" i="5" s="1"/>
  <c r="A1195" i="5"/>
  <c r="B1195" i="5" s="1"/>
  <c r="A1194" i="5"/>
  <c r="B1194" i="5" s="1"/>
  <c r="A1193" i="5"/>
  <c r="B1193" i="5" s="1"/>
  <c r="A1192" i="5"/>
  <c r="B1192" i="5" s="1"/>
  <c r="A1191" i="5"/>
  <c r="B1191" i="5" s="1"/>
  <c r="B1190" i="5"/>
  <c r="A1190" i="5"/>
  <c r="A1189" i="5"/>
  <c r="B1189" i="5" s="1"/>
  <c r="A1188" i="5"/>
  <c r="B1188" i="5" s="1"/>
  <c r="A1187" i="5"/>
  <c r="B1187" i="5" s="1"/>
  <c r="B1186" i="5"/>
  <c r="A1186" i="5"/>
  <c r="B1185" i="5"/>
  <c r="A1185" i="5"/>
  <c r="B1184" i="5"/>
  <c r="A1184" i="5"/>
  <c r="A1183" i="5"/>
  <c r="B1183" i="5" s="1"/>
  <c r="A1182" i="5"/>
  <c r="B1182" i="5" s="1"/>
  <c r="A1181" i="5"/>
  <c r="B1181" i="5" s="1"/>
  <c r="A1180" i="5"/>
  <c r="B1180" i="5" s="1"/>
  <c r="B1179" i="5"/>
  <c r="A1179" i="5"/>
  <c r="A1178" i="5"/>
  <c r="B1178" i="5" s="1"/>
  <c r="A1177" i="5"/>
  <c r="B1177" i="5" s="1"/>
  <c r="A1176" i="5"/>
  <c r="B1176" i="5" s="1"/>
  <c r="A1175" i="5"/>
  <c r="B1175" i="5" s="1"/>
  <c r="A1174" i="5"/>
  <c r="B1174" i="5" s="1"/>
  <c r="A1173" i="5"/>
  <c r="B1173" i="5" s="1"/>
  <c r="A1172" i="5"/>
  <c r="B1172" i="5" s="1"/>
  <c r="A1171" i="5"/>
  <c r="B1171" i="5" s="1"/>
  <c r="A1170" i="5"/>
  <c r="B1170" i="5" s="1"/>
  <c r="A1169" i="5"/>
  <c r="B1169" i="5" s="1"/>
  <c r="A1168" i="5"/>
  <c r="B1168" i="5" s="1"/>
  <c r="A1167" i="5"/>
  <c r="B1167" i="5" s="1"/>
  <c r="B1166" i="5"/>
  <c r="A1166" i="5"/>
  <c r="A1165" i="5"/>
  <c r="B1165" i="5" s="1"/>
  <c r="A1164" i="5"/>
  <c r="B1164" i="5" s="1"/>
  <c r="A1163" i="5"/>
  <c r="B1163" i="5" s="1"/>
  <c r="B1162" i="5"/>
  <c r="A1162" i="5"/>
  <c r="B1161" i="5"/>
  <c r="A1161" i="5"/>
  <c r="B1160" i="5"/>
  <c r="A1160" i="5"/>
  <c r="A1159" i="5"/>
  <c r="B1159" i="5" s="1"/>
  <c r="A1158" i="5"/>
  <c r="B1158" i="5" s="1"/>
  <c r="A1157" i="5"/>
  <c r="B1157" i="5" s="1"/>
  <c r="A1156" i="5"/>
  <c r="B1156" i="5" s="1"/>
  <c r="A1155" i="5"/>
  <c r="B1155" i="5" s="1"/>
  <c r="A1154" i="5"/>
  <c r="B1154" i="5" s="1"/>
  <c r="A1153" i="5"/>
  <c r="B1153" i="5" s="1"/>
  <c r="A1152" i="5"/>
  <c r="B1152" i="5" s="1"/>
  <c r="A1151" i="5"/>
  <c r="B1151" i="5" s="1"/>
  <c r="A1150" i="5"/>
  <c r="B1150" i="5" s="1"/>
  <c r="A1149" i="5"/>
  <c r="B1149" i="5" s="1"/>
  <c r="A1148" i="5"/>
  <c r="B1148" i="5" s="1"/>
  <c r="A1147" i="5"/>
  <c r="B1147" i="5" s="1"/>
  <c r="A1146" i="5"/>
  <c r="B1146" i="5" s="1"/>
  <c r="A1145" i="5"/>
  <c r="B1145" i="5" s="1"/>
  <c r="A1144" i="5"/>
  <c r="B1144" i="5" s="1"/>
  <c r="A1143" i="5"/>
  <c r="B1143" i="5" s="1"/>
  <c r="B1142" i="5"/>
  <c r="A1142" i="5"/>
  <c r="A1141" i="5"/>
  <c r="B1141" i="5" s="1"/>
  <c r="A1140" i="5"/>
  <c r="B1140" i="5" s="1"/>
  <c r="A1139" i="5"/>
  <c r="B1139" i="5" s="1"/>
  <c r="B1138" i="5"/>
  <c r="A1138" i="5"/>
  <c r="B1137" i="5"/>
  <c r="A1137" i="5"/>
  <c r="B1136" i="5"/>
  <c r="A1136" i="5"/>
  <c r="A1135" i="5"/>
  <c r="B1135" i="5" s="1"/>
  <c r="A1134" i="5"/>
  <c r="B1134" i="5" s="1"/>
  <c r="A1133" i="5"/>
  <c r="B1133" i="5" s="1"/>
  <c r="A1132" i="5"/>
  <c r="B1132" i="5" s="1"/>
  <c r="A1131" i="5"/>
  <c r="B1131" i="5" s="1"/>
  <c r="A1130" i="5"/>
  <c r="B1130" i="5" s="1"/>
  <c r="A1129" i="5"/>
  <c r="B1129" i="5" s="1"/>
  <c r="A1128" i="5"/>
  <c r="B1128" i="5" s="1"/>
  <c r="A1127" i="5"/>
  <c r="B1127" i="5" s="1"/>
  <c r="A1126" i="5"/>
  <c r="B1126" i="5" s="1"/>
  <c r="A1125" i="5"/>
  <c r="B1125" i="5" s="1"/>
  <c r="A1124" i="5"/>
  <c r="B1124" i="5" s="1"/>
  <c r="A1123" i="5"/>
  <c r="B1123" i="5" s="1"/>
  <c r="A1122" i="5"/>
  <c r="B1122" i="5" s="1"/>
  <c r="A1121" i="5"/>
  <c r="B1121" i="5" s="1"/>
  <c r="A1120" i="5"/>
  <c r="B1120" i="5" s="1"/>
  <c r="A1119" i="5"/>
  <c r="B1119" i="5" s="1"/>
  <c r="B1118" i="5"/>
  <c r="A1118" i="5"/>
  <c r="A1117" i="5"/>
  <c r="B1117" i="5" s="1"/>
  <c r="A1116" i="5"/>
  <c r="B1116" i="5" s="1"/>
  <c r="A1115" i="5"/>
  <c r="B1115" i="5" s="1"/>
  <c r="B1114" i="5"/>
  <c r="A1114" i="5"/>
  <c r="B1113" i="5"/>
  <c r="A1113" i="5"/>
  <c r="B1112" i="5"/>
  <c r="A1112" i="5"/>
  <c r="A1111" i="5"/>
  <c r="B1111" i="5" s="1"/>
  <c r="A1110" i="5"/>
  <c r="B1110" i="5" s="1"/>
  <c r="A1109" i="5"/>
  <c r="B1109" i="5" s="1"/>
  <c r="A1108" i="5"/>
  <c r="B1108" i="5" s="1"/>
  <c r="A1107" i="5"/>
  <c r="B1107" i="5" s="1"/>
  <c r="A1106" i="5"/>
  <c r="B1106" i="5" s="1"/>
  <c r="A1105" i="5"/>
  <c r="B1105" i="5" s="1"/>
  <c r="A1104" i="5"/>
  <c r="B1104" i="5" s="1"/>
  <c r="A1103" i="5"/>
  <c r="B1103" i="5" s="1"/>
  <c r="A1102" i="5"/>
  <c r="B1102" i="5" s="1"/>
  <c r="A1101" i="5"/>
  <c r="B1101" i="5" s="1"/>
  <c r="B1100" i="5"/>
  <c r="A1100" i="5"/>
  <c r="A1099" i="5"/>
  <c r="B1099" i="5" s="1"/>
  <c r="A1098" i="5"/>
  <c r="B1098" i="5" s="1"/>
  <c r="A1097" i="5"/>
  <c r="B1097" i="5" s="1"/>
  <c r="A1096" i="5"/>
  <c r="B1096" i="5" s="1"/>
  <c r="A1095" i="5"/>
  <c r="B1095" i="5" s="1"/>
  <c r="B1094" i="5"/>
  <c r="A1094" i="5"/>
  <c r="A1093" i="5"/>
  <c r="B1093" i="5" s="1"/>
  <c r="A1092" i="5"/>
  <c r="B1092" i="5" s="1"/>
  <c r="A1091" i="5"/>
  <c r="B1091" i="5" s="1"/>
  <c r="B1090" i="5"/>
  <c r="A1090" i="5"/>
  <c r="B1089" i="5"/>
  <c r="A1089" i="5"/>
  <c r="B1088" i="5"/>
  <c r="A1088" i="5"/>
  <c r="A1087" i="5"/>
  <c r="B1087" i="5" s="1"/>
  <c r="A1086" i="5"/>
  <c r="B1086" i="5" s="1"/>
  <c r="A1085" i="5"/>
  <c r="B1085" i="5" s="1"/>
  <c r="A1084" i="5"/>
  <c r="B1084" i="5" s="1"/>
  <c r="A1083" i="5"/>
  <c r="B1083" i="5" s="1"/>
  <c r="A1082" i="5"/>
  <c r="B1082" i="5" s="1"/>
  <c r="A1081" i="5"/>
  <c r="B1081" i="5" s="1"/>
  <c r="A1080" i="5"/>
  <c r="B1080" i="5" s="1"/>
  <c r="A1079" i="5"/>
  <c r="B1079" i="5" s="1"/>
  <c r="A1078" i="5"/>
  <c r="B1078" i="5" s="1"/>
  <c r="A1077" i="5"/>
  <c r="B1077" i="5" s="1"/>
  <c r="A1076" i="5"/>
  <c r="B1076" i="5" s="1"/>
  <c r="A1075" i="5"/>
  <c r="B1075" i="5" s="1"/>
  <c r="A1074" i="5"/>
  <c r="B1074" i="5" s="1"/>
  <c r="A1073" i="5"/>
  <c r="B1073" i="5" s="1"/>
  <c r="A1072" i="5"/>
  <c r="B1072" i="5" s="1"/>
  <c r="A1071" i="5"/>
  <c r="B1071" i="5" s="1"/>
  <c r="B1070" i="5"/>
  <c r="A1070" i="5"/>
  <c r="A1069" i="5"/>
  <c r="B1069" i="5" s="1"/>
  <c r="A1068" i="5"/>
  <c r="B1068" i="5" s="1"/>
  <c r="A1067" i="5"/>
  <c r="B1067" i="5" s="1"/>
  <c r="B1066" i="5"/>
  <c r="A1066" i="5"/>
  <c r="B1065" i="5"/>
  <c r="A1065" i="5"/>
  <c r="B1064" i="5"/>
  <c r="A1064" i="5"/>
  <c r="A1063" i="5"/>
  <c r="B1063" i="5" s="1"/>
  <c r="A1062" i="5"/>
  <c r="B1062" i="5" s="1"/>
  <c r="A1061" i="5"/>
  <c r="B1061" i="5" s="1"/>
  <c r="A1060" i="5"/>
  <c r="B1060" i="5" s="1"/>
  <c r="A1059" i="5"/>
  <c r="B1059" i="5" s="1"/>
  <c r="A1058" i="5"/>
  <c r="B1058" i="5" s="1"/>
  <c r="A1057" i="5"/>
  <c r="B1057" i="5" s="1"/>
  <c r="A1056" i="5"/>
  <c r="B1056" i="5" s="1"/>
  <c r="A1055" i="5"/>
  <c r="B1055" i="5" s="1"/>
  <c r="A1054" i="5"/>
  <c r="B1054" i="5" s="1"/>
  <c r="A1053" i="5"/>
  <c r="B1053" i="5" s="1"/>
  <c r="A1052" i="5"/>
  <c r="B1052" i="5" s="1"/>
  <c r="A1051" i="5"/>
  <c r="B1051" i="5" s="1"/>
  <c r="A1050" i="5"/>
  <c r="B1050" i="5" s="1"/>
  <c r="A1049" i="5"/>
  <c r="B1049" i="5" s="1"/>
  <c r="A1048" i="5"/>
  <c r="B1048" i="5" s="1"/>
  <c r="A1047" i="5"/>
  <c r="B1047" i="5" s="1"/>
  <c r="B1046" i="5"/>
  <c r="A1046" i="5"/>
  <c r="A1045" i="5"/>
  <c r="B1045" i="5" s="1"/>
  <c r="A1044" i="5"/>
  <c r="B1044" i="5" s="1"/>
  <c r="A1043" i="5"/>
  <c r="B1043" i="5" s="1"/>
  <c r="B1042" i="5"/>
  <c r="A1042" i="5"/>
  <c r="B1041" i="5"/>
  <c r="A1041" i="5"/>
  <c r="B1040" i="5"/>
  <c r="A1040" i="5"/>
  <c r="A1039" i="5"/>
  <c r="B1039" i="5" s="1"/>
  <c r="A1038" i="5"/>
  <c r="B1038" i="5" s="1"/>
  <c r="A1037" i="5"/>
  <c r="B1037" i="5" s="1"/>
  <c r="B1036" i="5"/>
  <c r="A1036" i="5"/>
  <c r="A1035" i="5"/>
  <c r="B1035" i="5" s="1"/>
  <c r="A1034" i="5"/>
  <c r="B1034" i="5" s="1"/>
  <c r="A1033" i="5"/>
  <c r="B1033" i="5" s="1"/>
  <c r="A1032" i="5"/>
  <c r="B1032" i="5" s="1"/>
  <c r="A1031" i="5"/>
  <c r="B1031" i="5" s="1"/>
  <c r="A1030" i="5"/>
  <c r="B1030" i="5" s="1"/>
  <c r="A1029" i="5"/>
  <c r="B1029" i="5" s="1"/>
  <c r="A1028" i="5"/>
  <c r="B1028" i="5" s="1"/>
  <c r="A1027" i="5"/>
  <c r="B1027" i="5" s="1"/>
  <c r="A1026" i="5"/>
  <c r="B1026" i="5" s="1"/>
  <c r="A1025" i="5"/>
  <c r="B1025" i="5" s="1"/>
  <c r="B1024" i="5"/>
  <c r="A1024" i="5"/>
  <c r="A1023" i="5"/>
  <c r="B1023" i="5" s="1"/>
  <c r="A1022" i="5"/>
  <c r="B1022" i="5" s="1"/>
  <c r="A1021" i="5"/>
  <c r="B1021" i="5" s="1"/>
  <c r="A1020" i="5"/>
  <c r="B1020" i="5" s="1"/>
  <c r="A1019" i="5"/>
  <c r="B1019" i="5" s="1"/>
  <c r="B1018" i="5"/>
  <c r="A1018" i="5"/>
  <c r="B1017" i="5"/>
  <c r="A1017" i="5"/>
  <c r="A1016" i="5"/>
  <c r="B1016" i="5" s="1"/>
  <c r="A1015" i="5"/>
  <c r="B1015" i="5" s="1"/>
  <c r="A1014" i="5"/>
  <c r="B1014" i="5" s="1"/>
  <c r="A1013" i="5"/>
  <c r="B1013" i="5" s="1"/>
  <c r="B1012" i="5"/>
  <c r="A1012" i="5"/>
  <c r="B1011" i="5"/>
  <c r="A1011" i="5"/>
  <c r="B1010" i="5"/>
  <c r="A1010" i="5"/>
  <c r="A1009" i="5"/>
  <c r="B1009" i="5" s="1"/>
  <c r="B1008" i="5"/>
  <c r="A1008" i="5"/>
  <c r="A1007" i="5"/>
  <c r="B1007" i="5" s="1"/>
  <c r="B1006" i="5"/>
  <c r="A1006" i="5"/>
  <c r="B1005" i="5"/>
  <c r="A1005" i="5"/>
  <c r="B1004" i="5"/>
  <c r="A1004" i="5"/>
  <c r="A1003" i="5"/>
  <c r="B1003" i="5" s="1"/>
  <c r="A1002" i="5"/>
  <c r="B1002" i="5" s="1"/>
  <c r="A1001" i="5"/>
  <c r="B1001" i="5" s="1"/>
  <c r="A1000" i="5"/>
  <c r="B1000" i="5" s="1"/>
  <c r="A999" i="5"/>
  <c r="B999" i="5" s="1"/>
  <c r="B998" i="5"/>
  <c r="A998" i="5"/>
  <c r="A997" i="5"/>
  <c r="B997" i="5" s="1"/>
  <c r="A996" i="5"/>
  <c r="B996" i="5" s="1"/>
  <c r="A995" i="5"/>
  <c r="B995" i="5" s="1"/>
  <c r="A994" i="5"/>
  <c r="B994" i="5" s="1"/>
  <c r="A993" i="5"/>
  <c r="B993" i="5" s="1"/>
  <c r="B992" i="5"/>
  <c r="A992" i="5"/>
  <c r="A991" i="5"/>
  <c r="B991" i="5" s="1"/>
  <c r="A990" i="5"/>
  <c r="B990" i="5" s="1"/>
  <c r="A989" i="5"/>
  <c r="B989" i="5" s="1"/>
  <c r="B988" i="5"/>
  <c r="A988" i="5"/>
  <c r="A987" i="5"/>
  <c r="B987" i="5" s="1"/>
  <c r="A986" i="5"/>
  <c r="B986" i="5" s="1"/>
  <c r="A985" i="5"/>
  <c r="B985" i="5" s="1"/>
  <c r="B984" i="5"/>
  <c r="A984" i="5"/>
  <c r="A983" i="5"/>
  <c r="B983" i="5" s="1"/>
  <c r="B982" i="5"/>
  <c r="A982" i="5"/>
  <c r="B981" i="5"/>
  <c r="A981" i="5"/>
  <c r="A980" i="5"/>
  <c r="B980" i="5" s="1"/>
  <c r="A979" i="5"/>
  <c r="B979" i="5" s="1"/>
  <c r="A978" i="5"/>
  <c r="B978" i="5" s="1"/>
  <c r="A977" i="5"/>
  <c r="B977" i="5" s="1"/>
  <c r="B976" i="5"/>
  <c r="A976" i="5"/>
  <c r="B975" i="5"/>
  <c r="A975" i="5"/>
  <c r="B974" i="5"/>
  <c r="A974" i="5"/>
  <c r="A973" i="5"/>
  <c r="B973" i="5" s="1"/>
  <c r="B972" i="5"/>
  <c r="A972" i="5"/>
  <c r="A971" i="5"/>
  <c r="B971" i="5" s="1"/>
  <c r="B970" i="5"/>
  <c r="A970" i="5"/>
  <c r="B969" i="5"/>
  <c r="A969" i="5"/>
  <c r="B968" i="5"/>
  <c r="A968" i="5"/>
  <c r="A967" i="5"/>
  <c r="B967" i="5" s="1"/>
  <c r="A966" i="5"/>
  <c r="B966" i="5" s="1"/>
  <c r="A965" i="5"/>
  <c r="B965" i="5" s="1"/>
  <c r="A964" i="5"/>
  <c r="B964" i="5" s="1"/>
  <c r="A963" i="5"/>
  <c r="B963" i="5" s="1"/>
  <c r="B962" i="5"/>
  <c r="A962" i="5"/>
  <c r="A961" i="5"/>
  <c r="B961" i="5" s="1"/>
  <c r="A960" i="5"/>
  <c r="B960" i="5" s="1"/>
  <c r="A959" i="5"/>
  <c r="B959" i="5" s="1"/>
  <c r="A958" i="5"/>
  <c r="B958" i="5" s="1"/>
  <c r="A957" i="5"/>
  <c r="B957" i="5" s="1"/>
  <c r="B956" i="5"/>
  <c r="A956" i="5"/>
  <c r="A955" i="5"/>
  <c r="B955" i="5" s="1"/>
  <c r="A954" i="5"/>
  <c r="B954" i="5" s="1"/>
  <c r="A953" i="5"/>
  <c r="B953" i="5" s="1"/>
  <c r="B952" i="5"/>
  <c r="A952" i="5"/>
  <c r="A951" i="5"/>
  <c r="B951" i="5" s="1"/>
  <c r="A950" i="5"/>
  <c r="B950" i="5" s="1"/>
  <c r="A949" i="5"/>
  <c r="B949" i="5" s="1"/>
  <c r="A948" i="5"/>
  <c r="B948" i="5" s="1"/>
  <c r="A947" i="5"/>
  <c r="B947" i="5" s="1"/>
  <c r="A946" i="5"/>
  <c r="B946" i="5" s="1"/>
  <c r="B945" i="5"/>
  <c r="A945" i="5"/>
  <c r="A944" i="5"/>
  <c r="B944" i="5" s="1"/>
  <c r="A943" i="5"/>
  <c r="B943" i="5" s="1"/>
  <c r="A942" i="5"/>
  <c r="B942" i="5" s="1"/>
  <c r="A941" i="5"/>
  <c r="B941" i="5" s="1"/>
  <c r="A940" i="5"/>
  <c r="B940" i="5" s="1"/>
  <c r="B939" i="5"/>
  <c r="A939" i="5"/>
  <c r="B938" i="5"/>
  <c r="A938" i="5"/>
  <c r="A937" i="5"/>
  <c r="B937" i="5" s="1"/>
  <c r="B936" i="5"/>
  <c r="A936" i="5"/>
  <c r="A935" i="5"/>
  <c r="B935" i="5" s="1"/>
  <c r="B934" i="5"/>
  <c r="A934" i="5"/>
  <c r="A933" i="5"/>
  <c r="B933" i="5" s="1"/>
  <c r="B932" i="5"/>
  <c r="A932" i="5"/>
  <c r="A931" i="5"/>
  <c r="B931" i="5" s="1"/>
  <c r="A930" i="5"/>
  <c r="B930" i="5" s="1"/>
  <c r="A929" i="5"/>
  <c r="B929" i="5" s="1"/>
  <c r="A928" i="5"/>
  <c r="B928" i="5" s="1"/>
  <c r="A927" i="5"/>
  <c r="B927" i="5" s="1"/>
  <c r="A926" i="5"/>
  <c r="B926" i="5" s="1"/>
  <c r="A925" i="5"/>
  <c r="B925" i="5" s="1"/>
  <c r="A924" i="5"/>
  <c r="B924" i="5" s="1"/>
  <c r="A923" i="5"/>
  <c r="B923" i="5" s="1"/>
  <c r="A922" i="5"/>
  <c r="B922" i="5" s="1"/>
  <c r="A921" i="5"/>
  <c r="B921" i="5" s="1"/>
  <c r="A920" i="5"/>
  <c r="B920" i="5" s="1"/>
  <c r="A919" i="5"/>
  <c r="B919" i="5" s="1"/>
  <c r="A918" i="5"/>
  <c r="B918" i="5" s="1"/>
  <c r="A917" i="5"/>
  <c r="B917" i="5" s="1"/>
  <c r="B916" i="5"/>
  <c r="A916" i="5"/>
  <c r="A915" i="5"/>
  <c r="B915" i="5" s="1"/>
  <c r="A914" i="5"/>
  <c r="B914" i="5" s="1"/>
  <c r="A913" i="5"/>
  <c r="B913" i="5" s="1"/>
  <c r="A912" i="5"/>
  <c r="B912" i="5" s="1"/>
  <c r="A911" i="5"/>
  <c r="B911" i="5" s="1"/>
  <c r="A910" i="5"/>
  <c r="B910" i="5" s="1"/>
  <c r="B909" i="5"/>
  <c r="A909" i="5"/>
  <c r="A908" i="5"/>
  <c r="B908" i="5" s="1"/>
  <c r="A907" i="5"/>
  <c r="B907" i="5" s="1"/>
  <c r="A906" i="5"/>
  <c r="B906" i="5" s="1"/>
  <c r="A905" i="5"/>
  <c r="B905" i="5" s="1"/>
  <c r="A904" i="5"/>
  <c r="B904" i="5" s="1"/>
  <c r="B903" i="5"/>
  <c r="A903" i="5"/>
  <c r="B902" i="5"/>
  <c r="A902" i="5"/>
  <c r="A901" i="5"/>
  <c r="B901" i="5" s="1"/>
  <c r="B900" i="5"/>
  <c r="A900" i="5"/>
  <c r="A899" i="5"/>
  <c r="B899" i="5" s="1"/>
  <c r="A898" i="5"/>
  <c r="B898" i="5" s="1"/>
  <c r="A897" i="5"/>
  <c r="B897" i="5" s="1"/>
  <c r="B896" i="5"/>
  <c r="A896" i="5"/>
  <c r="A895" i="5"/>
  <c r="B895" i="5" s="1"/>
  <c r="A894" i="5"/>
  <c r="B894" i="5" s="1"/>
  <c r="A893" i="5"/>
  <c r="B893" i="5" s="1"/>
  <c r="A892" i="5"/>
  <c r="B892" i="5" s="1"/>
  <c r="A891" i="5"/>
  <c r="B891" i="5" s="1"/>
  <c r="A890" i="5"/>
  <c r="B890" i="5" s="1"/>
  <c r="A889" i="5"/>
  <c r="B889" i="5" s="1"/>
  <c r="B888" i="5"/>
  <c r="A888" i="5"/>
  <c r="A887" i="5"/>
  <c r="B887" i="5" s="1"/>
  <c r="A886" i="5"/>
  <c r="B886" i="5" s="1"/>
  <c r="A885" i="5"/>
  <c r="B885" i="5" s="1"/>
  <c r="A884" i="5"/>
  <c r="B884" i="5" s="1"/>
  <c r="A883" i="5"/>
  <c r="B883" i="5" s="1"/>
  <c r="A882" i="5"/>
  <c r="B882" i="5" s="1"/>
  <c r="A881" i="5"/>
  <c r="B881" i="5" s="1"/>
  <c r="B880" i="5"/>
  <c r="A880" i="5"/>
  <c r="A879" i="5"/>
  <c r="B879" i="5" s="1"/>
  <c r="A878" i="5"/>
  <c r="B878" i="5" s="1"/>
  <c r="A877" i="5"/>
  <c r="B877" i="5" s="1"/>
  <c r="A876" i="5"/>
  <c r="B876" i="5" s="1"/>
  <c r="A875" i="5"/>
  <c r="B875" i="5" s="1"/>
  <c r="A874" i="5"/>
  <c r="B874" i="5" s="1"/>
  <c r="B873" i="5"/>
  <c r="A873" i="5"/>
  <c r="A872" i="5"/>
  <c r="B872" i="5" s="1"/>
  <c r="A871" i="5"/>
  <c r="B871" i="5" s="1"/>
  <c r="B870" i="5"/>
  <c r="A870" i="5"/>
  <c r="A869" i="5"/>
  <c r="B869" i="5" s="1"/>
  <c r="A868" i="5"/>
  <c r="B868" i="5" s="1"/>
  <c r="A867" i="5"/>
  <c r="B867" i="5" s="1"/>
  <c r="B866" i="5"/>
  <c r="A866" i="5"/>
  <c r="A865" i="5"/>
  <c r="B865" i="5" s="1"/>
  <c r="B864" i="5"/>
  <c r="A864" i="5"/>
  <c r="A863" i="5"/>
  <c r="B863" i="5" s="1"/>
  <c r="A862" i="5"/>
  <c r="B862" i="5" s="1"/>
  <c r="A861" i="5"/>
  <c r="B861" i="5" s="1"/>
  <c r="A860" i="5"/>
  <c r="B860" i="5" s="1"/>
  <c r="A859" i="5"/>
  <c r="B859" i="5" s="1"/>
  <c r="A858" i="5"/>
  <c r="B858" i="5" s="1"/>
  <c r="A857" i="5"/>
  <c r="B857" i="5" s="1"/>
  <c r="A856" i="5"/>
  <c r="B856" i="5" s="1"/>
  <c r="B855" i="5"/>
  <c r="A855" i="5"/>
  <c r="A854" i="5"/>
  <c r="B854" i="5" s="1"/>
  <c r="A853" i="5"/>
  <c r="B853" i="5" s="1"/>
  <c r="A852" i="5"/>
  <c r="B852" i="5" s="1"/>
  <c r="A851" i="5"/>
  <c r="B851" i="5" s="1"/>
  <c r="A850" i="5"/>
  <c r="B850" i="5" s="1"/>
  <c r="A849" i="5"/>
  <c r="B849" i="5" s="1"/>
  <c r="B848" i="5"/>
  <c r="A848" i="5"/>
  <c r="A847" i="5"/>
  <c r="B847" i="5" s="1"/>
  <c r="B846" i="5"/>
  <c r="A846" i="5"/>
  <c r="A845" i="5"/>
  <c r="B845" i="5" s="1"/>
  <c r="B844" i="5"/>
  <c r="A844" i="5"/>
  <c r="A843" i="5"/>
  <c r="B843" i="5" s="1"/>
  <c r="A842" i="5"/>
  <c r="B842" i="5" s="1"/>
  <c r="A841" i="5"/>
  <c r="B841" i="5" s="1"/>
  <c r="A840" i="5"/>
  <c r="B840" i="5" s="1"/>
  <c r="A839" i="5"/>
  <c r="B839" i="5" s="1"/>
  <c r="B838" i="5"/>
  <c r="A838" i="5"/>
  <c r="B837" i="5"/>
  <c r="A837" i="5"/>
  <c r="A836" i="5"/>
  <c r="B836" i="5" s="1"/>
  <c r="A835" i="5"/>
  <c r="B835" i="5" s="1"/>
  <c r="A834" i="5"/>
  <c r="B834" i="5" s="1"/>
  <c r="A833" i="5"/>
  <c r="B833" i="5" s="1"/>
  <c r="A832" i="5"/>
  <c r="B832" i="5" s="1"/>
  <c r="A831" i="5"/>
  <c r="B831" i="5" s="1"/>
  <c r="B830" i="5"/>
  <c r="A830" i="5"/>
  <c r="A829" i="5"/>
  <c r="B829" i="5" s="1"/>
  <c r="B828" i="5"/>
  <c r="A828" i="5"/>
  <c r="A827" i="5"/>
  <c r="B827" i="5" s="1"/>
  <c r="A826" i="5"/>
  <c r="B826" i="5" s="1"/>
  <c r="A825" i="5"/>
  <c r="B825" i="5" s="1"/>
  <c r="A824" i="5"/>
  <c r="B824" i="5" s="1"/>
  <c r="A823" i="5"/>
  <c r="B823" i="5" s="1"/>
  <c r="A822" i="5"/>
  <c r="B822" i="5" s="1"/>
  <c r="A821" i="5"/>
  <c r="B821" i="5" s="1"/>
  <c r="A820" i="5"/>
  <c r="B820" i="5" s="1"/>
  <c r="B819" i="5"/>
  <c r="A819" i="5"/>
  <c r="A818" i="5"/>
  <c r="B818" i="5" s="1"/>
  <c r="A817" i="5"/>
  <c r="B817" i="5" s="1"/>
  <c r="B816" i="5"/>
  <c r="A816" i="5"/>
  <c r="A815" i="5"/>
  <c r="B815" i="5" s="1"/>
  <c r="A814" i="5"/>
  <c r="B814" i="5" s="1"/>
  <c r="A813" i="5"/>
  <c r="B813" i="5" s="1"/>
  <c r="A812" i="5"/>
  <c r="B812" i="5" s="1"/>
  <c r="A811" i="5"/>
  <c r="B811" i="5" s="1"/>
  <c r="A810" i="5"/>
  <c r="B810" i="5" s="1"/>
  <c r="A809" i="5"/>
  <c r="B809" i="5" s="1"/>
  <c r="B808" i="5"/>
  <c r="A808" i="5"/>
  <c r="A807" i="5"/>
  <c r="B807" i="5" s="1"/>
  <c r="A806" i="5"/>
  <c r="B806" i="5" s="1"/>
  <c r="A805" i="5"/>
  <c r="B805" i="5" s="1"/>
  <c r="A804" i="5"/>
  <c r="B804" i="5" s="1"/>
  <c r="A803" i="5"/>
  <c r="B803" i="5" s="1"/>
  <c r="B802" i="5"/>
  <c r="A802" i="5"/>
  <c r="B801" i="5"/>
  <c r="A801" i="5"/>
  <c r="A800" i="5"/>
  <c r="B800" i="5" s="1"/>
  <c r="A799" i="5"/>
  <c r="B799" i="5" s="1"/>
  <c r="A798" i="5"/>
  <c r="B798" i="5" s="1"/>
  <c r="A797" i="5"/>
  <c r="B797" i="5" s="1"/>
  <c r="A796" i="5"/>
  <c r="B796" i="5" s="1"/>
  <c r="A795" i="5"/>
  <c r="B795" i="5" s="1"/>
  <c r="B794" i="5"/>
  <c r="A794" i="5"/>
  <c r="A793" i="5"/>
  <c r="B793" i="5" s="1"/>
  <c r="B792" i="5"/>
  <c r="A792" i="5"/>
  <c r="A791" i="5"/>
  <c r="B791" i="5" s="1"/>
  <c r="A790" i="5"/>
  <c r="B790" i="5" s="1"/>
  <c r="A789" i="5"/>
  <c r="B789" i="5" s="1"/>
  <c r="B788" i="5"/>
  <c r="A788" i="5"/>
  <c r="A787" i="5"/>
  <c r="B787" i="5" s="1"/>
  <c r="A786" i="5"/>
  <c r="B786" i="5" s="1"/>
  <c r="A785" i="5"/>
  <c r="B785" i="5" s="1"/>
  <c r="A784" i="5"/>
  <c r="B784" i="5" s="1"/>
  <c r="B783" i="5"/>
  <c r="A783" i="5"/>
  <c r="A782" i="5"/>
  <c r="B782" i="5" s="1"/>
  <c r="A781" i="5"/>
  <c r="B781" i="5" s="1"/>
  <c r="A780" i="5"/>
  <c r="B780" i="5" s="1"/>
  <c r="A779" i="5"/>
  <c r="B779" i="5" s="1"/>
  <c r="A778" i="5"/>
  <c r="B778" i="5" s="1"/>
  <c r="A777" i="5"/>
  <c r="B777" i="5" s="1"/>
  <c r="B776" i="5"/>
  <c r="A776" i="5"/>
  <c r="A775" i="5"/>
  <c r="B775" i="5" s="1"/>
  <c r="A774" i="5"/>
  <c r="B774" i="5" s="1"/>
  <c r="A773" i="5"/>
  <c r="B773" i="5" s="1"/>
  <c r="B772" i="5"/>
  <c r="A772" i="5"/>
  <c r="A771" i="5"/>
  <c r="B771" i="5" s="1"/>
  <c r="A770" i="5"/>
  <c r="B770" i="5" s="1"/>
  <c r="A769" i="5"/>
  <c r="B769" i="5" s="1"/>
  <c r="B768" i="5"/>
  <c r="A768" i="5"/>
  <c r="A767" i="5"/>
  <c r="B767" i="5" s="1"/>
  <c r="B766" i="5"/>
  <c r="A766" i="5"/>
  <c r="B765" i="5"/>
  <c r="A765" i="5"/>
  <c r="A764" i="5"/>
  <c r="B764" i="5" s="1"/>
  <c r="A763" i="5"/>
  <c r="B763" i="5" s="1"/>
  <c r="A762" i="5"/>
  <c r="B762" i="5" s="1"/>
  <c r="A761" i="5"/>
  <c r="B761" i="5" s="1"/>
  <c r="A760" i="5"/>
  <c r="B760" i="5" s="1"/>
  <c r="B759" i="5"/>
  <c r="A759" i="5"/>
  <c r="B758" i="5"/>
  <c r="A758" i="5"/>
  <c r="A757" i="5"/>
  <c r="B757" i="5" s="1"/>
  <c r="B756" i="5"/>
  <c r="A756" i="5"/>
  <c r="A755" i="5"/>
  <c r="B755" i="5" s="1"/>
  <c r="B754" i="5"/>
  <c r="A754" i="5"/>
  <c r="A753" i="5"/>
  <c r="B753" i="5" s="1"/>
  <c r="B752" i="5"/>
  <c r="A752" i="5"/>
  <c r="A751" i="5"/>
  <c r="B751" i="5" s="1"/>
  <c r="B750" i="5"/>
  <c r="A750" i="5"/>
  <c r="A749" i="5"/>
  <c r="B749" i="5" s="1"/>
  <c r="A748" i="5"/>
  <c r="B748" i="5" s="1"/>
  <c r="A747" i="5"/>
  <c r="B747" i="5" s="1"/>
  <c r="B746" i="5"/>
  <c r="A746" i="5"/>
  <c r="A745" i="5"/>
  <c r="B745" i="5" s="1"/>
  <c r="B744" i="5"/>
  <c r="A744" i="5"/>
  <c r="A743" i="5"/>
  <c r="B743" i="5" s="1"/>
  <c r="A742" i="5"/>
  <c r="B742" i="5" s="1"/>
  <c r="A741" i="5"/>
  <c r="B741" i="5" s="1"/>
  <c r="A740" i="5"/>
  <c r="B740" i="5" s="1"/>
  <c r="A739" i="5"/>
  <c r="B739" i="5" s="1"/>
  <c r="A738" i="5"/>
  <c r="B738" i="5" s="1"/>
  <c r="A737" i="5"/>
  <c r="B737" i="5" s="1"/>
  <c r="B736" i="5"/>
  <c r="A736" i="5"/>
  <c r="A735" i="5"/>
  <c r="B735" i="5" s="1"/>
  <c r="A734" i="5"/>
  <c r="B734" i="5" s="1"/>
  <c r="A733" i="5"/>
  <c r="B733" i="5" s="1"/>
  <c r="A732" i="5"/>
  <c r="B732" i="5" s="1"/>
  <c r="A731" i="5"/>
  <c r="B731" i="5" s="1"/>
  <c r="A730" i="5"/>
  <c r="B730" i="5" s="1"/>
  <c r="A729" i="5"/>
  <c r="B729" i="5" s="1"/>
  <c r="A728" i="5"/>
  <c r="B728" i="5" s="1"/>
  <c r="B727" i="5"/>
  <c r="A727" i="5"/>
  <c r="B726" i="5"/>
  <c r="A726" i="5"/>
  <c r="A725" i="5"/>
  <c r="B725" i="5" s="1"/>
  <c r="A724" i="5"/>
  <c r="B724" i="5" s="1"/>
  <c r="A723" i="5"/>
  <c r="B723" i="5" s="1"/>
  <c r="A722" i="5"/>
  <c r="B722" i="5" s="1"/>
  <c r="A721" i="5"/>
  <c r="B721" i="5" s="1"/>
  <c r="B720" i="5"/>
  <c r="A720" i="5"/>
  <c r="B719" i="5"/>
  <c r="A719" i="5"/>
  <c r="A718" i="5"/>
  <c r="B718" i="5" s="1"/>
  <c r="A717" i="5"/>
  <c r="B717" i="5" s="1"/>
  <c r="A716" i="5"/>
  <c r="B716" i="5" s="1"/>
  <c r="A715" i="5"/>
  <c r="B715" i="5" s="1"/>
  <c r="A714" i="5"/>
  <c r="B714" i="5" s="1"/>
  <c r="B713" i="5"/>
  <c r="A713" i="5"/>
  <c r="B712" i="5"/>
  <c r="A712" i="5"/>
  <c r="A711" i="5"/>
  <c r="B711" i="5" s="1"/>
  <c r="A710" i="5"/>
  <c r="B710" i="5" s="1"/>
  <c r="A709" i="5"/>
  <c r="B709" i="5" s="1"/>
  <c r="A708" i="5"/>
  <c r="B708" i="5" s="1"/>
  <c r="A707" i="5"/>
  <c r="B707" i="5" s="1"/>
  <c r="B706" i="5"/>
  <c r="A706" i="5"/>
  <c r="A705" i="5"/>
  <c r="B705" i="5" s="1"/>
  <c r="A704" i="5"/>
  <c r="B704" i="5" s="1"/>
  <c r="A703" i="5"/>
  <c r="B703" i="5" s="1"/>
  <c r="A702" i="5"/>
  <c r="B702" i="5" s="1"/>
  <c r="A701" i="5"/>
  <c r="B701" i="5" s="1"/>
  <c r="A700" i="5"/>
  <c r="B700" i="5" s="1"/>
  <c r="A699" i="5"/>
  <c r="B699" i="5" s="1"/>
  <c r="A698" i="5"/>
  <c r="B698" i="5" s="1"/>
  <c r="B697" i="5"/>
  <c r="A697" i="5"/>
  <c r="A696" i="5"/>
  <c r="B696" i="5" s="1"/>
  <c r="B695" i="5"/>
  <c r="A695" i="5"/>
  <c r="A694" i="5"/>
  <c r="B694" i="5" s="1"/>
  <c r="A693" i="5"/>
  <c r="B693" i="5" s="1"/>
  <c r="A692" i="5"/>
  <c r="B692" i="5" s="1"/>
  <c r="B691" i="5"/>
  <c r="A691" i="5"/>
  <c r="A690" i="5"/>
  <c r="B690" i="5" s="1"/>
  <c r="A689" i="5"/>
  <c r="B689" i="5" s="1"/>
  <c r="B688" i="5"/>
  <c r="A688" i="5"/>
  <c r="A687" i="5"/>
  <c r="B687" i="5" s="1"/>
  <c r="A686" i="5"/>
  <c r="B686" i="5" s="1"/>
  <c r="A685" i="5"/>
  <c r="B685" i="5" s="1"/>
  <c r="B684" i="5"/>
  <c r="A684" i="5"/>
  <c r="A683" i="5"/>
  <c r="B683" i="5" s="1"/>
  <c r="A682" i="5"/>
  <c r="B682" i="5" s="1"/>
  <c r="A681" i="5"/>
  <c r="B681" i="5" s="1"/>
  <c r="A680" i="5"/>
  <c r="B680" i="5" s="1"/>
  <c r="B679" i="5"/>
  <c r="A679" i="5"/>
  <c r="A678" i="5"/>
  <c r="B678" i="5" s="1"/>
  <c r="B677" i="5"/>
  <c r="A677" i="5"/>
  <c r="A676" i="5"/>
  <c r="B676" i="5" s="1"/>
  <c r="A675" i="5"/>
  <c r="B675" i="5" s="1"/>
  <c r="A674" i="5"/>
  <c r="B674" i="5" s="1"/>
  <c r="A673" i="5"/>
  <c r="B673" i="5" s="1"/>
  <c r="B672" i="5"/>
  <c r="A672" i="5"/>
  <c r="A671" i="5"/>
  <c r="B671" i="5" s="1"/>
  <c r="B670" i="5"/>
  <c r="A670" i="5"/>
  <c r="A669" i="5"/>
  <c r="B669" i="5" s="1"/>
  <c r="A668" i="5"/>
  <c r="B668" i="5" s="1"/>
  <c r="A667" i="5"/>
  <c r="B667" i="5" s="1"/>
  <c r="B666" i="5"/>
  <c r="A666" i="5"/>
  <c r="B665" i="5"/>
  <c r="A665" i="5"/>
  <c r="A664" i="5"/>
  <c r="B664" i="5" s="1"/>
  <c r="A663" i="5"/>
  <c r="B663" i="5" s="1"/>
  <c r="A662" i="5"/>
  <c r="B662" i="5" s="1"/>
  <c r="A661" i="5"/>
  <c r="B661" i="5" s="1"/>
  <c r="A660" i="5"/>
  <c r="B660" i="5" s="1"/>
  <c r="A659" i="5"/>
  <c r="B659" i="5" s="1"/>
  <c r="A658" i="5"/>
  <c r="B658" i="5" s="1"/>
  <c r="A657" i="5"/>
  <c r="B657" i="5" s="1"/>
  <c r="A656" i="5"/>
  <c r="B656" i="5" s="1"/>
  <c r="B655" i="5"/>
  <c r="A655" i="5"/>
  <c r="A654" i="5"/>
  <c r="B654" i="5" s="1"/>
  <c r="A653" i="5"/>
  <c r="B653" i="5" s="1"/>
  <c r="A652" i="5"/>
  <c r="B652" i="5" s="1"/>
  <c r="A651" i="5"/>
  <c r="B651" i="5" s="1"/>
  <c r="A650" i="5"/>
  <c r="B650" i="5" s="1"/>
  <c r="B649" i="5"/>
  <c r="A649" i="5"/>
  <c r="B648" i="5"/>
  <c r="A648" i="5"/>
  <c r="A647" i="5"/>
  <c r="B647" i="5" s="1"/>
  <c r="A646" i="5"/>
  <c r="B646" i="5" s="1"/>
  <c r="A645" i="5"/>
  <c r="B645" i="5" s="1"/>
  <c r="A644" i="5"/>
  <c r="B644" i="5" s="1"/>
  <c r="A643" i="5"/>
  <c r="B643" i="5" s="1"/>
  <c r="A642" i="5"/>
  <c r="B642" i="5" s="1"/>
  <c r="B641" i="5"/>
  <c r="A641" i="5"/>
  <c r="A640" i="5"/>
  <c r="B640" i="5" s="1"/>
  <c r="A639" i="5"/>
  <c r="B639" i="5" s="1"/>
  <c r="A638" i="5"/>
  <c r="B638" i="5" s="1"/>
  <c r="B637" i="5"/>
  <c r="A637" i="5"/>
  <c r="B636" i="5"/>
  <c r="A636" i="5"/>
  <c r="B635" i="5"/>
  <c r="A635" i="5"/>
  <c r="B634" i="5"/>
  <c r="A634" i="5"/>
  <c r="A633" i="5"/>
  <c r="B633" i="5" s="1"/>
  <c r="A632" i="5"/>
  <c r="B632" i="5" s="1"/>
  <c r="A631" i="5"/>
  <c r="B631" i="5" s="1"/>
  <c r="A630" i="5"/>
  <c r="B630" i="5" s="1"/>
  <c r="B629" i="5"/>
  <c r="A629" i="5"/>
  <c r="B628" i="5"/>
  <c r="A628" i="5"/>
  <c r="A627" i="5"/>
  <c r="B627" i="5" s="1"/>
  <c r="A626" i="5"/>
  <c r="B626" i="5" s="1"/>
  <c r="A625" i="5"/>
  <c r="B625" i="5" s="1"/>
  <c r="A624" i="5"/>
  <c r="B624" i="5" s="1"/>
  <c r="A623" i="5"/>
  <c r="B623" i="5" s="1"/>
  <c r="A622" i="5"/>
  <c r="B622" i="5" s="1"/>
  <c r="A621" i="5"/>
  <c r="B621" i="5" s="1"/>
  <c r="A620" i="5"/>
  <c r="B620" i="5" s="1"/>
  <c r="B619" i="5"/>
  <c r="A619" i="5"/>
  <c r="B618" i="5"/>
  <c r="A618" i="5"/>
  <c r="A617" i="5"/>
  <c r="B617" i="5" s="1"/>
  <c r="A616" i="5"/>
  <c r="B616" i="5" s="1"/>
  <c r="A615" i="5"/>
  <c r="B615" i="5" s="1"/>
  <c r="A614" i="5"/>
  <c r="B614" i="5" s="1"/>
  <c r="B613" i="5"/>
  <c r="A613" i="5"/>
  <c r="B612" i="5"/>
  <c r="A612" i="5"/>
  <c r="B611" i="5"/>
  <c r="A611" i="5"/>
  <c r="A610" i="5"/>
  <c r="B610" i="5" s="1"/>
  <c r="A609" i="5"/>
  <c r="B609" i="5" s="1"/>
  <c r="A608" i="5"/>
  <c r="B608" i="5" s="1"/>
  <c r="A607" i="5"/>
  <c r="B607" i="5" s="1"/>
  <c r="A606" i="5"/>
  <c r="B606" i="5" s="1"/>
  <c r="B605" i="5"/>
  <c r="A605" i="5"/>
  <c r="A604" i="5"/>
  <c r="B604" i="5" s="1"/>
  <c r="A603" i="5"/>
  <c r="B603" i="5" s="1"/>
  <c r="A602" i="5"/>
  <c r="B602" i="5" s="1"/>
  <c r="A601" i="5"/>
  <c r="B601" i="5" s="1"/>
  <c r="A600" i="5"/>
  <c r="B600" i="5" s="1"/>
  <c r="B599" i="5"/>
  <c r="A599" i="5"/>
  <c r="B598" i="5"/>
  <c r="A598" i="5"/>
  <c r="A597" i="5"/>
  <c r="B597" i="5" s="1"/>
  <c r="A596" i="5"/>
  <c r="B596" i="5" s="1"/>
  <c r="A595" i="5"/>
  <c r="B595" i="5" s="1"/>
  <c r="A594" i="5"/>
  <c r="B594" i="5" s="1"/>
  <c r="A593" i="5"/>
  <c r="B593" i="5" s="1"/>
  <c r="A592" i="5"/>
  <c r="B592" i="5" s="1"/>
  <c r="A591" i="5"/>
  <c r="B591" i="5" s="1"/>
  <c r="A590" i="5"/>
  <c r="B590" i="5" s="1"/>
  <c r="B589" i="5"/>
  <c r="A589" i="5"/>
  <c r="A588" i="5"/>
  <c r="B588" i="5" s="1"/>
  <c r="B587" i="5"/>
  <c r="A587" i="5"/>
  <c r="A586" i="5"/>
  <c r="B586" i="5" s="1"/>
  <c r="A585" i="5"/>
  <c r="B585" i="5" s="1"/>
  <c r="A584" i="5"/>
  <c r="B584" i="5" s="1"/>
  <c r="B583" i="5"/>
  <c r="A583" i="5"/>
  <c r="B582" i="5"/>
  <c r="A582" i="5"/>
  <c r="A581" i="5"/>
  <c r="B581" i="5" s="1"/>
  <c r="B580" i="5"/>
  <c r="A580" i="5"/>
  <c r="A579" i="5"/>
  <c r="B579" i="5" s="1"/>
  <c r="A578" i="5"/>
  <c r="B578" i="5" s="1"/>
  <c r="A577" i="5"/>
  <c r="B577" i="5" s="1"/>
  <c r="B576" i="5"/>
  <c r="A576" i="5"/>
  <c r="B575" i="5"/>
  <c r="A575" i="5"/>
  <c r="A574" i="5"/>
  <c r="B574" i="5" s="1"/>
  <c r="A573" i="5"/>
  <c r="B573" i="5" s="1"/>
  <c r="A572" i="5"/>
  <c r="B572" i="5" s="1"/>
  <c r="B571" i="5"/>
  <c r="A571" i="5"/>
  <c r="A570" i="5"/>
  <c r="B570" i="5" s="1"/>
  <c r="B569" i="5"/>
  <c r="A569" i="5"/>
  <c r="A568" i="5"/>
  <c r="B568" i="5" s="1"/>
  <c r="A567" i="5"/>
  <c r="B567" i="5" s="1"/>
  <c r="A566" i="5"/>
  <c r="B566" i="5" s="1"/>
  <c r="B565" i="5"/>
  <c r="A565" i="5"/>
  <c r="B564" i="5"/>
  <c r="A564" i="5"/>
  <c r="A563" i="5"/>
  <c r="B563" i="5" s="1"/>
  <c r="B562" i="5"/>
  <c r="A562" i="5"/>
  <c r="A561" i="5"/>
  <c r="B561" i="5" s="1"/>
  <c r="B560" i="5"/>
  <c r="A560" i="5"/>
  <c r="B559" i="5"/>
  <c r="A559" i="5"/>
  <c r="B558" i="5"/>
  <c r="A558" i="5"/>
  <c r="A557" i="5"/>
  <c r="B557" i="5" s="1"/>
  <c r="A556" i="5"/>
  <c r="B556" i="5" s="1"/>
  <c r="A555" i="5"/>
  <c r="B555" i="5" s="1"/>
  <c r="A554" i="5"/>
  <c r="B554" i="5" s="1"/>
  <c r="A553" i="5"/>
  <c r="B553" i="5" s="1"/>
  <c r="A552" i="5"/>
  <c r="B552" i="5" s="1"/>
  <c r="B551" i="5"/>
  <c r="A551" i="5"/>
  <c r="A550" i="5"/>
  <c r="B550" i="5" s="1"/>
  <c r="A549" i="5"/>
  <c r="B549" i="5" s="1"/>
  <c r="A548" i="5"/>
  <c r="B548" i="5" s="1"/>
  <c r="B547" i="5"/>
  <c r="A547" i="5"/>
  <c r="A546" i="5"/>
  <c r="B546" i="5" s="1"/>
  <c r="A545" i="5"/>
  <c r="B545" i="5" s="1"/>
  <c r="B544" i="5"/>
  <c r="A544" i="5"/>
  <c r="A543" i="5"/>
  <c r="B543" i="5" s="1"/>
  <c r="B542" i="5"/>
  <c r="A542" i="5"/>
  <c r="A541" i="5"/>
  <c r="B541" i="5" s="1"/>
  <c r="A540" i="5"/>
  <c r="B540" i="5" s="1"/>
  <c r="A539" i="5"/>
  <c r="B539" i="5" s="1"/>
  <c r="B538" i="5"/>
  <c r="A538" i="5"/>
  <c r="A537" i="5"/>
  <c r="B537" i="5" s="1"/>
  <c r="B536" i="5"/>
  <c r="A536" i="5"/>
  <c r="A535" i="5"/>
  <c r="B535" i="5" s="1"/>
  <c r="B534" i="5"/>
  <c r="A534" i="5"/>
  <c r="A533" i="5"/>
  <c r="B533" i="5" s="1"/>
  <c r="A532" i="5"/>
  <c r="B532" i="5" s="1"/>
  <c r="A531" i="5"/>
  <c r="B531" i="5" s="1"/>
  <c r="B530" i="5"/>
  <c r="A530" i="5"/>
  <c r="B529" i="5"/>
  <c r="A529" i="5"/>
  <c r="A528" i="5"/>
  <c r="B528" i="5" s="1"/>
  <c r="A527" i="5"/>
  <c r="B527" i="5" s="1"/>
  <c r="A526" i="5"/>
  <c r="B526" i="5" s="1"/>
  <c r="A525" i="5"/>
  <c r="B525" i="5" s="1"/>
  <c r="B524" i="5"/>
  <c r="A524" i="5"/>
  <c r="A523" i="5"/>
  <c r="B523" i="5" s="1"/>
  <c r="A522" i="5"/>
  <c r="B522" i="5" s="1"/>
  <c r="B521" i="5"/>
  <c r="A521" i="5"/>
  <c r="A520" i="5"/>
  <c r="B520" i="5" s="1"/>
  <c r="A519" i="5"/>
  <c r="B519" i="5" s="1"/>
  <c r="B518" i="5"/>
  <c r="A518" i="5"/>
  <c r="A517" i="5"/>
  <c r="B517" i="5" s="1"/>
  <c r="B516" i="5"/>
  <c r="A516" i="5"/>
  <c r="B515" i="5"/>
  <c r="A515" i="5"/>
  <c r="A514" i="5"/>
  <c r="B514" i="5" s="1"/>
  <c r="A513" i="5"/>
  <c r="B513" i="5" s="1"/>
  <c r="A512" i="5"/>
  <c r="B512" i="5" s="1"/>
  <c r="B511" i="5"/>
  <c r="A511" i="5"/>
  <c r="B510" i="5"/>
  <c r="A510" i="5"/>
  <c r="A509" i="5"/>
  <c r="B509" i="5" s="1"/>
  <c r="B508" i="5"/>
  <c r="A508" i="5"/>
  <c r="A507" i="5"/>
  <c r="B507" i="5" s="1"/>
  <c r="A506" i="5"/>
  <c r="B506" i="5" s="1"/>
  <c r="A505" i="5"/>
  <c r="B505" i="5" s="1"/>
  <c r="A504" i="5"/>
  <c r="B504" i="5" s="1"/>
  <c r="B503" i="5"/>
  <c r="A503" i="5"/>
  <c r="B502" i="5"/>
  <c r="A502" i="5"/>
  <c r="A501" i="5"/>
  <c r="B501" i="5" s="1"/>
  <c r="A500" i="5"/>
  <c r="B500" i="5" s="1"/>
  <c r="A499" i="5"/>
  <c r="B499" i="5" s="1"/>
  <c r="A498" i="5"/>
  <c r="B498" i="5" s="1"/>
  <c r="B497" i="5"/>
  <c r="A497" i="5"/>
  <c r="A496" i="5"/>
  <c r="B496" i="5" s="1"/>
  <c r="A495" i="5"/>
  <c r="B495" i="5" s="1"/>
  <c r="A494" i="5"/>
  <c r="B494" i="5" s="1"/>
  <c r="B493" i="5"/>
  <c r="A493" i="5"/>
  <c r="A492" i="5"/>
  <c r="B492" i="5" s="1"/>
  <c r="A491" i="5"/>
  <c r="B491" i="5" s="1"/>
  <c r="B490" i="5"/>
  <c r="A490" i="5"/>
  <c r="A489" i="5"/>
  <c r="B489" i="5" s="1"/>
  <c r="B488" i="5"/>
  <c r="A488" i="5"/>
  <c r="B487" i="5"/>
  <c r="A487" i="5"/>
  <c r="A486" i="5"/>
  <c r="B486" i="5" s="1"/>
  <c r="A485" i="5"/>
  <c r="B485" i="5" s="1"/>
  <c r="A484" i="5"/>
  <c r="B484" i="5" s="1"/>
  <c r="A483" i="5"/>
  <c r="B483" i="5" s="1"/>
  <c r="B482" i="5"/>
  <c r="A482" i="5"/>
  <c r="A481" i="5"/>
  <c r="B481" i="5" s="1"/>
  <c r="B480" i="5"/>
  <c r="A480" i="5"/>
  <c r="A479" i="5"/>
  <c r="B479" i="5" s="1"/>
  <c r="A478" i="5"/>
  <c r="B478" i="5" s="1"/>
  <c r="A477" i="5"/>
  <c r="B477" i="5" s="1"/>
  <c r="A476" i="5"/>
  <c r="B476" i="5" s="1"/>
  <c r="B475" i="5"/>
  <c r="A475" i="5"/>
  <c r="A474" i="5"/>
  <c r="B474" i="5" s="1"/>
  <c r="B473" i="5"/>
  <c r="A473" i="5"/>
  <c r="A472" i="5"/>
  <c r="B472" i="5" s="1"/>
  <c r="A471" i="5"/>
  <c r="B471" i="5" s="1"/>
  <c r="B470" i="5"/>
  <c r="A470" i="5"/>
  <c r="A469" i="5"/>
  <c r="B469" i="5" s="1"/>
  <c r="A468" i="5"/>
  <c r="B468" i="5" s="1"/>
  <c r="B467" i="5"/>
  <c r="A467" i="5"/>
  <c r="B466" i="5"/>
  <c r="A466" i="5"/>
  <c r="A465" i="5"/>
  <c r="B465" i="5" s="1"/>
  <c r="A464" i="5"/>
  <c r="B464" i="5" s="1"/>
  <c r="A463" i="5"/>
  <c r="B463" i="5" s="1"/>
  <c r="B462" i="5"/>
  <c r="A462" i="5"/>
  <c r="A461" i="5"/>
  <c r="B461" i="5" s="1"/>
  <c r="B460" i="5"/>
  <c r="A460" i="5"/>
  <c r="A459" i="5"/>
  <c r="B459" i="5" s="1"/>
  <c r="B458" i="5"/>
  <c r="A458" i="5"/>
  <c r="B457" i="5"/>
  <c r="A457" i="5"/>
  <c r="A456" i="5"/>
  <c r="B456" i="5" s="1"/>
  <c r="A455" i="5"/>
  <c r="B455" i="5" s="1"/>
  <c r="A454" i="5"/>
  <c r="B454" i="5" s="1"/>
  <c r="A453" i="5"/>
  <c r="B453" i="5" s="1"/>
  <c r="B452" i="5"/>
  <c r="A452" i="5"/>
  <c r="B451" i="5"/>
  <c r="A451" i="5"/>
  <c r="A450" i="5"/>
  <c r="B450" i="5" s="1"/>
  <c r="B449" i="5"/>
  <c r="A449" i="5"/>
  <c r="A448" i="5"/>
  <c r="B448" i="5" s="1"/>
  <c r="A447" i="5"/>
  <c r="B447" i="5" s="1"/>
  <c r="A446" i="5"/>
  <c r="B446" i="5" s="1"/>
  <c r="A445" i="5"/>
  <c r="B445" i="5" s="1"/>
  <c r="B444" i="5"/>
  <c r="A444" i="5"/>
  <c r="A443" i="5"/>
  <c r="B443" i="5" s="1"/>
  <c r="A442" i="5"/>
  <c r="B442" i="5" s="1"/>
  <c r="A441" i="5"/>
  <c r="B441" i="5" s="1"/>
  <c r="A440" i="5"/>
  <c r="B440" i="5" s="1"/>
  <c r="A439" i="5"/>
  <c r="B439" i="5" s="1"/>
  <c r="A438" i="5"/>
  <c r="B438" i="5" s="1"/>
  <c r="A437" i="5"/>
  <c r="B437" i="5" s="1"/>
  <c r="B436" i="5"/>
  <c r="A436" i="5"/>
  <c r="A435" i="5"/>
  <c r="B435" i="5" s="1"/>
  <c r="A434" i="5"/>
  <c r="B434" i="5" s="1"/>
  <c r="A433" i="5"/>
  <c r="B433" i="5" s="1"/>
  <c r="B432" i="5"/>
  <c r="A432" i="5"/>
  <c r="B431" i="5"/>
  <c r="A431" i="5"/>
  <c r="B430" i="5"/>
  <c r="A430" i="5"/>
  <c r="A429" i="5"/>
  <c r="B429" i="5" s="1"/>
  <c r="A428" i="5"/>
  <c r="B428" i="5" s="1"/>
  <c r="A427" i="5"/>
  <c r="B427" i="5" s="1"/>
  <c r="B426" i="5"/>
  <c r="A426" i="5"/>
  <c r="A425" i="5"/>
  <c r="B425" i="5" s="1"/>
  <c r="A424" i="5"/>
  <c r="B424" i="5" s="1"/>
  <c r="B423" i="5"/>
  <c r="A423" i="5"/>
  <c r="A422" i="5"/>
  <c r="B422" i="5" s="1"/>
  <c r="A421" i="5"/>
  <c r="B421" i="5" s="1"/>
  <c r="B420" i="5"/>
  <c r="A420" i="5"/>
  <c r="B419" i="5"/>
  <c r="A419" i="5"/>
  <c r="A418" i="5"/>
  <c r="B418" i="5" s="1"/>
  <c r="B417" i="5"/>
  <c r="A417" i="5"/>
  <c r="A416" i="5"/>
  <c r="B416" i="5" s="1"/>
  <c r="A415" i="5"/>
  <c r="B415" i="5" s="1"/>
  <c r="A414" i="5"/>
  <c r="B414" i="5" s="1"/>
  <c r="A413" i="5"/>
  <c r="B413" i="5" s="1"/>
  <c r="A412" i="5"/>
  <c r="B412" i="5" s="1"/>
  <c r="B411" i="5"/>
  <c r="A411" i="5"/>
  <c r="B410" i="5"/>
  <c r="A410" i="5"/>
  <c r="A409" i="5"/>
  <c r="B409" i="5" s="1"/>
  <c r="A408" i="5"/>
  <c r="B408" i="5" s="1"/>
  <c r="A407" i="5"/>
  <c r="B407" i="5" s="1"/>
  <c r="A406" i="5"/>
  <c r="B406" i="5" s="1"/>
  <c r="B405" i="5"/>
  <c r="A405" i="5"/>
  <c r="B404" i="5"/>
  <c r="A404" i="5"/>
  <c r="A403" i="5"/>
  <c r="B403" i="5" s="1"/>
  <c r="A402" i="5"/>
  <c r="B402" i="5" s="1"/>
  <c r="A401" i="5"/>
  <c r="B401" i="5" s="1"/>
  <c r="A400" i="5"/>
  <c r="B400" i="5" s="1"/>
  <c r="B399" i="5"/>
  <c r="A399" i="5"/>
  <c r="A398" i="5"/>
  <c r="B398" i="5" s="1"/>
  <c r="B397" i="5"/>
  <c r="A397" i="5"/>
  <c r="A396" i="5"/>
  <c r="B396" i="5" s="1"/>
  <c r="A395" i="5"/>
  <c r="B395" i="5" s="1"/>
  <c r="A394" i="5"/>
  <c r="B394" i="5" s="1"/>
  <c r="B393" i="5"/>
  <c r="A393" i="5"/>
  <c r="A392" i="5"/>
  <c r="B392" i="5" s="1"/>
  <c r="B391" i="5"/>
  <c r="A391" i="5"/>
  <c r="A390" i="5"/>
  <c r="B390" i="5" s="1"/>
  <c r="A389" i="5"/>
  <c r="B389" i="5" s="1"/>
  <c r="A388" i="5"/>
  <c r="B388" i="5" s="1"/>
  <c r="B387" i="5"/>
  <c r="A387" i="5"/>
  <c r="B386" i="5"/>
  <c r="A386" i="5"/>
  <c r="A385" i="5"/>
  <c r="B385" i="5" s="1"/>
  <c r="B384" i="5"/>
  <c r="A384" i="5"/>
  <c r="A383" i="5"/>
  <c r="B383" i="5" s="1"/>
  <c r="A382" i="5"/>
  <c r="B382" i="5" s="1"/>
  <c r="B381" i="5"/>
  <c r="A381" i="5"/>
  <c r="B380" i="5"/>
  <c r="A380" i="5"/>
  <c r="B379" i="5"/>
  <c r="A379" i="5"/>
  <c r="B378" i="5"/>
  <c r="A378" i="5"/>
  <c r="A377" i="5"/>
  <c r="B377" i="5" s="1"/>
  <c r="A376" i="5"/>
  <c r="B376" i="5" s="1"/>
  <c r="B375" i="5"/>
  <c r="A375" i="5"/>
  <c r="A374" i="5"/>
  <c r="B374" i="5" s="1"/>
  <c r="B373" i="5"/>
  <c r="A373" i="5"/>
  <c r="B372" i="5"/>
  <c r="A372" i="5"/>
  <c r="B371" i="5"/>
  <c r="A371" i="5"/>
  <c r="A370" i="5"/>
  <c r="B370" i="5" s="1"/>
  <c r="B369" i="5"/>
  <c r="A369" i="5"/>
  <c r="A368" i="5"/>
  <c r="B368" i="5" s="1"/>
  <c r="A367" i="5"/>
  <c r="B367" i="5" s="1"/>
  <c r="B366" i="5"/>
  <c r="A366" i="5"/>
  <c r="B365" i="5"/>
  <c r="A365" i="5"/>
  <c r="A364" i="5"/>
  <c r="B364" i="5" s="1"/>
  <c r="B363" i="5"/>
  <c r="A363" i="5"/>
  <c r="A362" i="5"/>
  <c r="B362" i="5" s="1"/>
  <c r="A361" i="5"/>
  <c r="B361" i="5" s="1"/>
  <c r="A360" i="5"/>
  <c r="B360" i="5" s="1"/>
  <c r="B359" i="5"/>
  <c r="A359" i="5"/>
  <c r="A358" i="5"/>
  <c r="B358" i="5" s="1"/>
  <c r="B357" i="5"/>
  <c r="A357" i="5"/>
  <c r="A356" i="5"/>
  <c r="B356" i="5" s="1"/>
  <c r="A355" i="5"/>
  <c r="B355" i="5" s="1"/>
  <c r="A354" i="5"/>
  <c r="B354" i="5" s="1"/>
  <c r="A353" i="5"/>
  <c r="B353" i="5" s="1"/>
  <c r="A352" i="5"/>
  <c r="B352" i="5" s="1"/>
  <c r="B351" i="5"/>
  <c r="A351" i="5"/>
  <c r="A350" i="5"/>
  <c r="B350" i="5" s="1"/>
  <c r="A349" i="5"/>
  <c r="B349" i="5" s="1"/>
  <c r="A348" i="5"/>
  <c r="B348" i="5" s="1"/>
  <c r="B347" i="5"/>
  <c r="A347" i="5"/>
  <c r="A346" i="5"/>
  <c r="B346" i="5" s="1"/>
  <c r="B345" i="5"/>
  <c r="A345" i="5"/>
  <c r="A344" i="5"/>
  <c r="B344" i="5" s="1"/>
  <c r="A343" i="5"/>
  <c r="B343" i="5" s="1"/>
  <c r="A342" i="5"/>
  <c r="B342" i="5" s="1"/>
  <c r="B341" i="5"/>
  <c r="A341" i="5"/>
  <c r="A340" i="5"/>
  <c r="B340" i="5" s="1"/>
  <c r="B339" i="5"/>
  <c r="A339" i="5"/>
  <c r="B338" i="5"/>
  <c r="A338" i="5"/>
  <c r="A337" i="5"/>
  <c r="B337" i="5" s="1"/>
  <c r="A336" i="5"/>
  <c r="B336" i="5" s="1"/>
  <c r="B335" i="5"/>
  <c r="A335" i="5"/>
  <c r="A334" i="5"/>
  <c r="B334" i="5" s="1"/>
  <c r="B333" i="5"/>
  <c r="A333" i="5"/>
  <c r="B332" i="5"/>
  <c r="A332" i="5"/>
  <c r="A331" i="5"/>
  <c r="B331" i="5" s="1"/>
  <c r="A330" i="5"/>
  <c r="B330" i="5" s="1"/>
  <c r="A329" i="5"/>
  <c r="B329" i="5" s="1"/>
  <c r="A328" i="5"/>
  <c r="B328" i="5" s="1"/>
  <c r="B327" i="5"/>
  <c r="A327" i="5"/>
  <c r="B326" i="5"/>
  <c r="A326" i="5"/>
  <c r="B325" i="5"/>
  <c r="A325" i="5"/>
  <c r="A324" i="5"/>
  <c r="B324" i="5" s="1"/>
  <c r="A323" i="5"/>
  <c r="B323" i="5" s="1"/>
  <c r="A322" i="5"/>
  <c r="B322" i="5" s="1"/>
  <c r="B321" i="5"/>
  <c r="A321" i="5"/>
  <c r="A320" i="5"/>
  <c r="B320" i="5" s="1"/>
  <c r="B319" i="5"/>
  <c r="A319" i="5"/>
  <c r="A318" i="5"/>
  <c r="B318" i="5" s="1"/>
  <c r="A317" i="5"/>
  <c r="B317" i="5" s="1"/>
  <c r="A316" i="5"/>
  <c r="B316" i="5" s="1"/>
  <c r="B315" i="5"/>
  <c r="A315" i="5"/>
  <c r="B314" i="5"/>
  <c r="A314" i="5"/>
  <c r="A313" i="5"/>
  <c r="B313" i="5" s="1"/>
  <c r="B312" i="5"/>
  <c r="A312" i="5"/>
  <c r="A311" i="5"/>
  <c r="B311" i="5" s="1"/>
  <c r="A310" i="5"/>
  <c r="B310" i="5" s="1"/>
  <c r="B309" i="5"/>
  <c r="A309" i="5"/>
  <c r="A308" i="5"/>
  <c r="B308" i="5" s="1"/>
  <c r="B307" i="5"/>
  <c r="A307" i="5"/>
  <c r="B306" i="5"/>
  <c r="A306" i="5"/>
  <c r="A305" i="5"/>
  <c r="B305" i="5" s="1"/>
  <c r="A304" i="5"/>
  <c r="B304" i="5" s="1"/>
  <c r="B303" i="5"/>
  <c r="A303" i="5"/>
  <c r="B302" i="5"/>
  <c r="A302" i="5"/>
  <c r="A301" i="5"/>
  <c r="B301" i="5" s="1"/>
  <c r="B300" i="5"/>
  <c r="A300" i="5"/>
  <c r="B299" i="5"/>
  <c r="A299" i="5"/>
  <c r="A298" i="5"/>
  <c r="B298" i="5" s="1"/>
  <c r="B297" i="5"/>
  <c r="A297" i="5"/>
  <c r="A296" i="5"/>
  <c r="B296" i="5" s="1"/>
  <c r="B295" i="5"/>
  <c r="A295" i="5"/>
  <c r="A294" i="5"/>
  <c r="B294" i="5" s="1"/>
  <c r="B293" i="5"/>
  <c r="A293" i="5"/>
  <c r="A292" i="5"/>
  <c r="B292" i="5" s="1"/>
  <c r="B291" i="5"/>
  <c r="A291" i="5"/>
  <c r="A290" i="5"/>
  <c r="B290" i="5" s="1"/>
  <c r="B289" i="5"/>
  <c r="A289" i="5"/>
  <c r="B288" i="5"/>
  <c r="A288" i="5"/>
  <c r="A287" i="5"/>
  <c r="B287" i="5" s="1"/>
  <c r="A286" i="5"/>
  <c r="B286" i="5" s="1"/>
  <c r="B285" i="5"/>
  <c r="A285" i="5"/>
  <c r="A284" i="5"/>
  <c r="B284" i="5" s="1"/>
  <c r="A283" i="5"/>
  <c r="B283" i="5" s="1"/>
  <c r="B282" i="5"/>
  <c r="A282" i="5"/>
  <c r="A281" i="5"/>
  <c r="B281" i="5" s="1"/>
  <c r="A280" i="5"/>
  <c r="B280" i="5" s="1"/>
  <c r="B279" i="5"/>
  <c r="A279" i="5"/>
  <c r="A278" i="5"/>
  <c r="B278" i="5" s="1"/>
  <c r="A277" i="5"/>
  <c r="B277" i="5" s="1"/>
  <c r="A276" i="5"/>
  <c r="B276" i="5" s="1"/>
  <c r="A275" i="5"/>
  <c r="B275" i="5" s="1"/>
  <c r="A274" i="5"/>
  <c r="B274" i="5" s="1"/>
  <c r="B273" i="5"/>
  <c r="A273" i="5"/>
  <c r="A272" i="5"/>
  <c r="B272" i="5" s="1"/>
  <c r="A271" i="5"/>
  <c r="B271" i="5" s="1"/>
  <c r="A270" i="5"/>
  <c r="B270" i="5" s="1"/>
  <c r="B269" i="5"/>
  <c r="A269" i="5"/>
  <c r="A268" i="5"/>
  <c r="B268" i="5" s="1"/>
  <c r="B267" i="5"/>
  <c r="A267" i="5"/>
  <c r="B266" i="5"/>
  <c r="A266" i="5"/>
  <c r="A265" i="5"/>
  <c r="B265" i="5" s="1"/>
  <c r="A264" i="5"/>
  <c r="B264" i="5" s="1"/>
  <c r="A263" i="5"/>
  <c r="B263" i="5" s="1"/>
  <c r="A262" i="5"/>
  <c r="B262" i="5" s="1"/>
  <c r="B261" i="5"/>
  <c r="A261" i="5"/>
  <c r="B260" i="5"/>
  <c r="A260" i="5"/>
  <c r="A259" i="5"/>
  <c r="B259" i="5" s="1"/>
  <c r="A258" i="5"/>
  <c r="B258" i="5" s="1"/>
  <c r="A257" i="5"/>
  <c r="B257" i="5" s="1"/>
  <c r="A256" i="5"/>
  <c r="B256" i="5" s="1"/>
  <c r="B255" i="5"/>
  <c r="A255" i="5"/>
  <c r="A254" i="5"/>
  <c r="B254" i="5" s="1"/>
  <c r="B253" i="5"/>
  <c r="A253" i="5"/>
  <c r="A252" i="5"/>
  <c r="B252" i="5" s="1"/>
  <c r="A251" i="5"/>
  <c r="B251" i="5" s="1"/>
  <c r="A250" i="5"/>
  <c r="B250" i="5" s="1"/>
  <c r="B249" i="5"/>
  <c r="A249" i="5"/>
  <c r="A248" i="5"/>
  <c r="B248" i="5" s="1"/>
  <c r="B247" i="5"/>
  <c r="A247" i="5"/>
  <c r="A246" i="5"/>
  <c r="B246" i="5" s="1"/>
  <c r="A245" i="5"/>
  <c r="B245" i="5" s="1"/>
  <c r="A244" i="5"/>
  <c r="B244" i="5" s="1"/>
  <c r="B243" i="5"/>
  <c r="A243" i="5"/>
  <c r="A242" i="5"/>
  <c r="B242" i="5" s="1"/>
  <c r="B241" i="5"/>
  <c r="A241" i="5"/>
  <c r="B240" i="5"/>
  <c r="A240" i="5"/>
  <c r="A239" i="5"/>
  <c r="B239" i="5" s="1"/>
  <c r="A238" i="5"/>
  <c r="B238" i="5" s="1"/>
  <c r="B237" i="5"/>
  <c r="A237" i="5"/>
  <c r="A236" i="5"/>
  <c r="B236" i="5" s="1"/>
  <c r="A235" i="5"/>
  <c r="B235" i="5" s="1"/>
  <c r="B234" i="5"/>
  <c r="A234" i="5"/>
  <c r="A233" i="5"/>
  <c r="B233" i="5" s="1"/>
  <c r="A232" i="5"/>
  <c r="B232" i="5" s="1"/>
  <c r="B231" i="5"/>
  <c r="A231" i="5"/>
  <c r="B230" i="5"/>
  <c r="A230" i="5"/>
  <c r="A229" i="5"/>
  <c r="B229" i="5" s="1"/>
  <c r="A228" i="5"/>
  <c r="B228" i="5" s="1"/>
  <c r="B227" i="5"/>
  <c r="A227" i="5"/>
  <c r="A226" i="5"/>
  <c r="B226" i="5" s="1"/>
  <c r="B225" i="5"/>
  <c r="A225" i="5"/>
  <c r="A224" i="5"/>
  <c r="B224" i="5" s="1"/>
  <c r="B223" i="5"/>
  <c r="A223" i="5"/>
  <c r="A222" i="5"/>
  <c r="B222" i="5" s="1"/>
  <c r="B221" i="5"/>
  <c r="A221" i="5"/>
  <c r="A220" i="5"/>
  <c r="B220" i="5" s="1"/>
  <c r="B219" i="5"/>
  <c r="A219" i="5"/>
  <c r="A218" i="5"/>
  <c r="B218" i="5" s="1"/>
  <c r="A217" i="5"/>
  <c r="B217" i="5" s="1"/>
  <c r="B216" i="5"/>
  <c r="A216" i="5"/>
  <c r="A215" i="5"/>
  <c r="B215" i="5" s="1"/>
  <c r="A214" i="5"/>
  <c r="B214" i="5" s="1"/>
  <c r="B213" i="5"/>
  <c r="A213" i="5"/>
  <c r="A212" i="5"/>
  <c r="B212" i="5" s="1"/>
  <c r="A211" i="5"/>
  <c r="B211" i="5" s="1"/>
  <c r="A210" i="5"/>
  <c r="B210" i="5" s="1"/>
  <c r="A209" i="5"/>
  <c r="B209" i="5" s="1"/>
  <c r="A208" i="5"/>
  <c r="B208" i="5" s="1"/>
  <c r="B207" i="5"/>
  <c r="A207" i="5"/>
  <c r="A206" i="5"/>
  <c r="B206" i="5" s="1"/>
  <c r="A205" i="5"/>
  <c r="B205" i="5" s="1"/>
  <c r="B204" i="5"/>
  <c r="A204" i="5"/>
  <c r="B203" i="5"/>
  <c r="A203" i="5"/>
  <c r="A202" i="5"/>
  <c r="B202" i="5" s="1"/>
  <c r="B201" i="5"/>
  <c r="A201" i="5"/>
  <c r="A200" i="5"/>
  <c r="B200" i="5" s="1"/>
  <c r="A199" i="5"/>
  <c r="B199" i="5" s="1"/>
  <c r="A198" i="5"/>
  <c r="B198" i="5" s="1"/>
  <c r="A197" i="5"/>
  <c r="B197" i="5" s="1"/>
  <c r="A196" i="5"/>
  <c r="B196" i="5" s="1"/>
  <c r="B195" i="5"/>
  <c r="A195" i="5"/>
  <c r="B194" i="5"/>
  <c r="A194" i="5"/>
  <c r="A193" i="5"/>
  <c r="B193" i="5" s="1"/>
  <c r="A192" i="5"/>
  <c r="B192" i="5" s="1"/>
  <c r="A191" i="5"/>
  <c r="B191" i="5" s="1"/>
  <c r="A190" i="5"/>
  <c r="B190" i="5" s="1"/>
  <c r="B189" i="5"/>
  <c r="A189" i="5"/>
  <c r="B188" i="5"/>
  <c r="A188" i="5"/>
  <c r="A187" i="5"/>
  <c r="B187" i="5" s="1"/>
  <c r="A186" i="5"/>
  <c r="B186" i="5" s="1"/>
  <c r="A185" i="5"/>
  <c r="B185" i="5" s="1"/>
  <c r="A184" i="5"/>
  <c r="B184" i="5" s="1"/>
  <c r="B183" i="5"/>
  <c r="A183" i="5"/>
  <c r="A182" i="5"/>
  <c r="B182" i="5" s="1"/>
  <c r="B181" i="5"/>
  <c r="A181" i="5"/>
  <c r="A180" i="5"/>
  <c r="B180" i="5" s="1"/>
  <c r="A179" i="5"/>
  <c r="B179" i="5" s="1"/>
  <c r="A178" i="5"/>
  <c r="B178" i="5" s="1"/>
  <c r="A177" i="5"/>
  <c r="B177" i="5" s="1"/>
  <c r="A176" i="5"/>
  <c r="B176" i="5" s="1"/>
  <c r="B175" i="5"/>
  <c r="A175" i="5"/>
  <c r="A174" i="5"/>
  <c r="B174" i="5" s="1"/>
  <c r="A173" i="5"/>
  <c r="B173" i="5" s="1"/>
  <c r="A172" i="5"/>
  <c r="B172" i="5" s="1"/>
  <c r="B171" i="5"/>
  <c r="A171" i="5"/>
  <c r="B170" i="5"/>
  <c r="A170" i="5"/>
  <c r="A169" i="5"/>
  <c r="B169" i="5" s="1"/>
  <c r="B168" i="5"/>
  <c r="A168" i="5"/>
  <c r="A167" i="5"/>
  <c r="B167" i="5" s="1"/>
  <c r="A166" i="5"/>
  <c r="B166" i="5" s="1"/>
  <c r="A165" i="5"/>
  <c r="B165" i="5" s="1"/>
  <c r="B164" i="5"/>
  <c r="A164" i="5"/>
  <c r="A163" i="5"/>
  <c r="B163" i="5" s="1"/>
  <c r="B162" i="5"/>
  <c r="A162" i="5"/>
  <c r="A161" i="5"/>
  <c r="B161" i="5" s="1"/>
  <c r="A160" i="5"/>
  <c r="B160" i="5" s="1"/>
  <c r="A159" i="5"/>
  <c r="B159" i="5" s="1"/>
  <c r="A158" i="5"/>
  <c r="B158" i="5" s="1"/>
  <c r="A157" i="5"/>
  <c r="B157" i="5" s="1"/>
  <c r="B156" i="5"/>
  <c r="A156" i="5"/>
  <c r="B155" i="5"/>
  <c r="A155" i="5"/>
  <c r="A154" i="5"/>
  <c r="B154" i="5" s="1"/>
  <c r="A153" i="5"/>
  <c r="B153" i="5" s="1"/>
  <c r="A152" i="5"/>
  <c r="B152" i="5" s="1"/>
  <c r="A151" i="5"/>
  <c r="B151" i="5" s="1"/>
  <c r="A150" i="5"/>
  <c r="B150" i="5" s="1"/>
  <c r="B149" i="5"/>
  <c r="A149" i="5"/>
  <c r="A148" i="5"/>
  <c r="B148" i="5" s="1"/>
  <c r="A147" i="5"/>
  <c r="B147" i="5" s="1"/>
  <c r="A146" i="5"/>
  <c r="B146" i="5" s="1"/>
  <c r="A145" i="5"/>
  <c r="B145" i="5" s="1"/>
  <c r="B144" i="5"/>
  <c r="A144" i="5"/>
  <c r="A143" i="5"/>
  <c r="B143" i="5" s="1"/>
  <c r="A142" i="5"/>
  <c r="B142" i="5" s="1"/>
  <c r="A141" i="5"/>
  <c r="B141" i="5" s="1"/>
  <c r="A140" i="5"/>
  <c r="B140" i="5" s="1"/>
  <c r="A139" i="5"/>
  <c r="B139" i="5" s="1"/>
  <c r="B138" i="5"/>
  <c r="A138" i="5"/>
  <c r="A137" i="5"/>
  <c r="B137" i="5" s="1"/>
  <c r="A136" i="5"/>
  <c r="B136" i="5" s="1"/>
  <c r="B135" i="5"/>
  <c r="A135" i="5"/>
  <c r="A134" i="5"/>
  <c r="B134" i="5" s="1"/>
  <c r="A133" i="5"/>
  <c r="B133" i="5" s="1"/>
  <c r="B132" i="5"/>
  <c r="A132" i="5"/>
  <c r="A131" i="5"/>
  <c r="B131" i="5" s="1"/>
  <c r="A130" i="5"/>
  <c r="B130" i="5" s="1"/>
  <c r="B129" i="5"/>
  <c r="A129" i="5"/>
  <c r="A128" i="5"/>
  <c r="B128" i="5" s="1"/>
  <c r="A127" i="5"/>
  <c r="B127" i="5" s="1"/>
  <c r="A126" i="5"/>
  <c r="B126" i="5" s="1"/>
  <c r="A125" i="5"/>
  <c r="B125" i="5" s="1"/>
  <c r="A124" i="5"/>
  <c r="B124" i="5" s="1"/>
  <c r="B123" i="5"/>
  <c r="A123" i="5"/>
  <c r="B122" i="5"/>
  <c r="A122" i="5"/>
  <c r="A121" i="5"/>
  <c r="B121" i="5" s="1"/>
  <c r="A120" i="5"/>
  <c r="B120" i="5" s="1"/>
  <c r="B119" i="5"/>
  <c r="A119" i="5"/>
  <c r="A118" i="5"/>
  <c r="B118" i="5" s="1"/>
  <c r="A117" i="5"/>
  <c r="B117" i="5" s="1"/>
  <c r="B116" i="5"/>
  <c r="A116" i="5"/>
  <c r="A115" i="5"/>
  <c r="B115" i="5" s="1"/>
  <c r="A114" i="5"/>
  <c r="B114" i="5" s="1"/>
  <c r="A113" i="5"/>
  <c r="B113" i="5" s="1"/>
  <c r="A112" i="5"/>
  <c r="B112" i="5" s="1"/>
  <c r="A111" i="5"/>
  <c r="B111" i="5" s="1"/>
  <c r="A110" i="5"/>
  <c r="B110" i="5" s="1"/>
  <c r="B109" i="5"/>
  <c r="A109" i="5"/>
  <c r="A108" i="5"/>
  <c r="B108" i="5" s="1"/>
  <c r="A107" i="5"/>
  <c r="B107" i="5" s="1"/>
  <c r="A106" i="5"/>
  <c r="B106" i="5" s="1"/>
  <c r="B105" i="5"/>
  <c r="A105" i="5"/>
  <c r="A104" i="5"/>
  <c r="B104" i="5" s="1"/>
  <c r="B103" i="5"/>
  <c r="A103" i="5"/>
  <c r="A102" i="5"/>
  <c r="B102" i="5" s="1"/>
  <c r="A101" i="5"/>
  <c r="B101" i="5" s="1"/>
  <c r="A100" i="5"/>
  <c r="B100" i="5" s="1"/>
  <c r="B99" i="5"/>
  <c r="A99" i="5"/>
  <c r="A98" i="5"/>
  <c r="B98" i="5" s="1"/>
  <c r="A97" i="5"/>
  <c r="B97" i="5" s="1"/>
  <c r="B96" i="5"/>
  <c r="A96" i="5"/>
  <c r="A95" i="5"/>
  <c r="B95" i="5" s="1"/>
  <c r="A94" i="5"/>
  <c r="B94" i="5" s="1"/>
  <c r="A93" i="5"/>
  <c r="B93" i="5" s="1"/>
  <c r="A92" i="5"/>
  <c r="B92" i="5" s="1"/>
  <c r="B91" i="5"/>
  <c r="A91" i="5"/>
  <c r="B90" i="5"/>
  <c r="A90" i="5"/>
  <c r="A89" i="5"/>
  <c r="B89" i="5" s="1"/>
  <c r="A88" i="5"/>
  <c r="B88" i="5" s="1"/>
  <c r="A87" i="5"/>
  <c r="B87" i="5" s="1"/>
  <c r="A86" i="5"/>
  <c r="B86" i="5" s="1"/>
  <c r="A85" i="5"/>
  <c r="B85" i="5" s="1"/>
  <c r="B84" i="5"/>
  <c r="A84" i="5"/>
  <c r="B83" i="5"/>
  <c r="A83" i="5"/>
  <c r="A82" i="5"/>
  <c r="B82" i="5" s="1"/>
  <c r="A81" i="5"/>
  <c r="B81" i="5" s="1"/>
  <c r="A80" i="5"/>
  <c r="B80" i="5" s="1"/>
  <c r="B79" i="5"/>
  <c r="A79" i="5"/>
  <c r="A78" i="5"/>
  <c r="B78" i="5" s="1"/>
  <c r="B77" i="5"/>
  <c r="A77" i="5"/>
  <c r="A76" i="5"/>
  <c r="B76" i="5" s="1"/>
  <c r="A75" i="5"/>
  <c r="B75" i="5" s="1"/>
  <c r="A74" i="5"/>
  <c r="B74" i="5" s="1"/>
  <c r="A73" i="5"/>
  <c r="B73" i="5" s="1"/>
  <c r="A72" i="5"/>
  <c r="B72" i="5" s="1"/>
  <c r="A71" i="5"/>
  <c r="B71" i="5" s="1"/>
  <c r="A70" i="5"/>
  <c r="B70" i="5" s="1"/>
  <c r="A69" i="5"/>
  <c r="B69" i="5" s="1"/>
  <c r="A68" i="5"/>
  <c r="B68" i="5" s="1"/>
  <c r="A67" i="5"/>
  <c r="B67" i="5" s="1"/>
  <c r="A66" i="5"/>
  <c r="B66" i="5" s="1"/>
  <c r="A65" i="5"/>
  <c r="B65" i="5" s="1"/>
  <c r="A64" i="5"/>
  <c r="B64" i="5" s="1"/>
  <c r="B63" i="5"/>
  <c r="A63" i="5"/>
  <c r="A62" i="5"/>
  <c r="B62" i="5" s="1"/>
  <c r="A61" i="5"/>
  <c r="B61" i="5" s="1"/>
  <c r="A60" i="5"/>
  <c r="B60" i="5" s="1"/>
  <c r="B59" i="5"/>
  <c r="A59" i="5"/>
  <c r="A58" i="5"/>
  <c r="B58" i="5" s="1"/>
  <c r="B57" i="5"/>
  <c r="A57" i="5"/>
  <c r="A56" i="5"/>
  <c r="B56" i="5" s="1"/>
  <c r="A55" i="5"/>
  <c r="B55" i="5" s="1"/>
  <c r="A54" i="5"/>
  <c r="B54" i="5" s="1"/>
  <c r="A53" i="5"/>
  <c r="B53" i="5" s="1"/>
  <c r="A52" i="5"/>
  <c r="B52" i="5" s="1"/>
  <c r="A51" i="5"/>
  <c r="B51" i="5" s="1"/>
  <c r="B50" i="5"/>
  <c r="A50" i="5"/>
  <c r="A49" i="5"/>
  <c r="B49" i="5" s="1"/>
  <c r="A48" i="5"/>
  <c r="B48" i="5" s="1"/>
  <c r="A47" i="5"/>
  <c r="B47" i="5" s="1"/>
  <c r="A46" i="5"/>
  <c r="B46" i="5" s="1"/>
  <c r="A45" i="5"/>
  <c r="B45" i="5" s="1"/>
  <c r="B44" i="5"/>
  <c r="A44" i="5"/>
  <c r="A43" i="5"/>
  <c r="B43" i="5" s="1"/>
  <c r="A42" i="5"/>
  <c r="B42" i="5" s="1"/>
  <c r="A41" i="5"/>
  <c r="B41" i="5" s="1"/>
  <c r="A40" i="5"/>
  <c r="B40" i="5" s="1"/>
  <c r="A39" i="5"/>
  <c r="B39" i="5" s="1"/>
  <c r="B38" i="5"/>
  <c r="A38" i="5"/>
  <c r="A37" i="5"/>
  <c r="B37" i="5" s="1"/>
  <c r="A36" i="5"/>
  <c r="B36" i="5" s="1"/>
  <c r="A35" i="5"/>
  <c r="B35" i="5" s="1"/>
  <c r="B34" i="5"/>
  <c r="A34" i="5"/>
  <c r="B33" i="5"/>
  <c r="A33" i="5"/>
  <c r="B32" i="5"/>
  <c r="A32" i="5"/>
  <c r="A31" i="5"/>
  <c r="B31" i="5" s="1"/>
  <c r="A30" i="5"/>
  <c r="B30" i="5" s="1"/>
  <c r="A29" i="5"/>
  <c r="B29" i="5" s="1"/>
  <c r="A28" i="5"/>
  <c r="B28" i="5" s="1"/>
  <c r="A27" i="5"/>
  <c r="B27" i="5" s="1"/>
  <c r="B26" i="5"/>
  <c r="A26" i="5"/>
  <c r="A25" i="5"/>
  <c r="B25" i="5" s="1"/>
  <c r="A24" i="5"/>
  <c r="B24" i="5" s="1"/>
  <c r="A23" i="5"/>
  <c r="B23" i="5" s="1"/>
  <c r="B22" i="5"/>
  <c r="A22" i="5"/>
  <c r="A21" i="5"/>
  <c r="B21" i="5" s="1"/>
  <c r="B20" i="5"/>
  <c r="A20" i="5"/>
  <c r="A19" i="5"/>
  <c r="B19" i="5" s="1"/>
  <c r="A18" i="5"/>
  <c r="B18" i="5" s="1"/>
  <c r="A17" i="5"/>
  <c r="B17" i="5" s="1"/>
  <c r="A16" i="5"/>
  <c r="B16" i="5" s="1"/>
  <c r="A15" i="5"/>
  <c r="B15" i="5" s="1"/>
  <c r="B14" i="5"/>
  <c r="A14" i="5"/>
  <c r="A13" i="5"/>
  <c r="B13" i="5" s="1"/>
  <c r="A12" i="5"/>
  <c r="B12" i="5" s="1"/>
  <c r="A11" i="5"/>
  <c r="B11" i="5" s="1"/>
  <c r="B10" i="5"/>
  <c r="A10" i="5"/>
  <c r="B9" i="5"/>
  <c r="A9" i="5"/>
  <c r="B8" i="5"/>
  <c r="A8" i="5"/>
  <c r="A7" i="5"/>
  <c r="B7" i="5" s="1"/>
  <c r="B2" i="5"/>
  <c r="H17" i="4"/>
  <c r="S25" i="1" s="1"/>
  <c r="G17" i="4"/>
  <c r="R25" i="1" s="1"/>
  <c r="E17" i="4"/>
  <c r="P25" i="1" s="1"/>
  <c r="D17" i="4"/>
  <c r="F17" i="4" s="1"/>
  <c r="Q25" i="1" s="1"/>
  <c r="H16" i="4"/>
  <c r="I16" i="4" s="1"/>
  <c r="T24" i="1" s="1"/>
  <c r="G16" i="4"/>
  <c r="R24" i="1" s="1"/>
  <c r="E16" i="4"/>
  <c r="P24" i="1" s="1"/>
  <c r="D16" i="4"/>
  <c r="O24" i="1" s="1"/>
  <c r="H15" i="4"/>
  <c r="S23" i="1" s="1"/>
  <c r="G15" i="4"/>
  <c r="R23" i="1" s="1"/>
  <c r="E15" i="4"/>
  <c r="P23" i="1" s="1"/>
  <c r="D15" i="4"/>
  <c r="H14" i="4"/>
  <c r="S22" i="1" s="1"/>
  <c r="G14" i="4"/>
  <c r="E14" i="4"/>
  <c r="D14" i="4"/>
  <c r="F14" i="4" s="1"/>
  <c r="Q22" i="1" s="1"/>
  <c r="H13" i="4"/>
  <c r="S21" i="1" s="1"/>
  <c r="G13" i="4"/>
  <c r="R21" i="1" s="1"/>
  <c r="E13" i="4"/>
  <c r="P21" i="1" s="1"/>
  <c r="D13" i="4"/>
  <c r="H12" i="4"/>
  <c r="S20" i="1" s="1"/>
  <c r="G12" i="4"/>
  <c r="E12" i="4"/>
  <c r="D12" i="4"/>
  <c r="H11" i="4"/>
  <c r="S19" i="1" s="1"/>
  <c r="G11" i="4"/>
  <c r="R19" i="1" s="1"/>
  <c r="E11" i="4"/>
  <c r="P19" i="1" s="1"/>
  <c r="D11" i="4"/>
  <c r="F11" i="4" s="1"/>
  <c r="Q19" i="1" s="1"/>
  <c r="H10" i="4"/>
  <c r="G10" i="4"/>
  <c r="R18" i="1" s="1"/>
  <c r="E10" i="4"/>
  <c r="P18" i="1" s="1"/>
  <c r="D10" i="4"/>
  <c r="O18" i="1" s="1"/>
  <c r="H9" i="4"/>
  <c r="S17" i="1" s="1"/>
  <c r="G9" i="4"/>
  <c r="R17" i="1" s="1"/>
  <c r="E9" i="4"/>
  <c r="P17" i="1" s="1"/>
  <c r="D9" i="4"/>
  <c r="H8" i="4"/>
  <c r="S16" i="1" s="1"/>
  <c r="G8" i="4"/>
  <c r="R16" i="1" s="1"/>
  <c r="E8" i="4"/>
  <c r="P16" i="1" s="1"/>
  <c r="D8" i="4"/>
  <c r="O16" i="1" s="1"/>
  <c r="H7" i="4"/>
  <c r="S15" i="1" s="1"/>
  <c r="G7" i="4"/>
  <c r="R15" i="1" s="1"/>
  <c r="E7" i="4"/>
  <c r="P15" i="1" s="1"/>
  <c r="D7" i="4"/>
  <c r="I28" i="1"/>
  <c r="R22" i="1"/>
  <c r="P22" i="1"/>
  <c r="O22" i="1"/>
  <c r="R20" i="1"/>
  <c r="P20" i="1"/>
  <c r="O20" i="1"/>
  <c r="I10" i="4" l="1"/>
  <c r="T18" i="1" s="1"/>
  <c r="F12" i="4"/>
  <c r="Q20" i="1" s="1"/>
  <c r="F15" i="4"/>
  <c r="Q23" i="1" s="1"/>
  <c r="F9" i="4"/>
  <c r="Q17" i="1" s="1"/>
  <c r="F8" i="4"/>
  <c r="Q16" i="1" s="1"/>
  <c r="S18" i="1"/>
  <c r="F7" i="4"/>
  <c r="Q15" i="1" s="1"/>
  <c r="F10" i="4"/>
  <c r="Q18" i="1" s="1"/>
  <c r="F16" i="4"/>
  <c r="Q24" i="1" s="1"/>
  <c r="I13" i="4"/>
  <c r="T21" i="1" s="1"/>
  <c r="O21" i="1"/>
  <c r="I8" i="4"/>
  <c r="T16" i="1" s="1"/>
  <c r="I14" i="4"/>
  <c r="T22" i="1" s="1"/>
  <c r="F13" i="4"/>
  <c r="Q21" i="1" s="1"/>
  <c r="I9" i="4"/>
  <c r="T17" i="1" s="1"/>
  <c r="O17" i="1"/>
  <c r="I17" i="4"/>
  <c r="T25" i="1" s="1"/>
  <c r="O25" i="1"/>
  <c r="O23" i="1"/>
  <c r="I15" i="4"/>
  <c r="T23" i="1" s="1"/>
  <c r="I12" i="4"/>
  <c r="T20" i="1" s="1"/>
  <c r="I11" i="4"/>
  <c r="T19" i="1" s="1"/>
  <c r="O19" i="1"/>
  <c r="S24" i="1"/>
  <c r="I7" i="4"/>
  <c r="T15" i="1" s="1"/>
  <c r="O15" i="1"/>
</calcChain>
</file>

<file path=xl/sharedStrings.xml><?xml version="1.0" encoding="utf-8"?>
<sst xmlns="http://schemas.openxmlformats.org/spreadsheetml/2006/main" count="3513" uniqueCount="945">
  <si>
    <t>Commitment of Traders</t>
  </si>
  <si>
    <t>Definition</t>
  </si>
  <si>
    <t>The weekly COT Report shows the net short or long positions on the available futures for three types of traders:
Commercial Traders: no real interest for us as this is mostly hedging from Commercials.
Non-Commercial Traders: hedge funds, institutional investors – interesting part as it tells us how market’s participants are positioned.
Non-reporting Traders: small traders – no interest.
COT is a great instrument to figure out real money is positioned across different asset classes: currencies, commodities, stocks and bonds.
With the COT report, you want to identify the current trend. No need to go against the trend (go against the flow) as hedge funds have done some work.
Try to identify extreme levels, ie bottom or peak, overlaid by a fundamental view to play a reversal in the trend.</t>
  </si>
  <si>
    <t>Process / TO DO LIST</t>
  </si>
  <si>
    <t>Summary</t>
  </si>
  <si>
    <t>TO DO LIST</t>
  </si>
  <si>
    <t>Comments</t>
  </si>
  <si>
    <t>Last</t>
  </si>
  <si>
    <t>Last -1</t>
  </si>
  <si>
    <t>Weekly Change</t>
  </si>
  <si>
    <t>1 Year Low</t>
  </si>
  <si>
    <t>1 Year High</t>
  </si>
  <si>
    <t>Percentile</t>
  </si>
  <si>
    <t>https://www.cftc.gov/MarketReports/CommitmentsofTraders/HistoricalCompressed/index.htm</t>
  </si>
  <si>
    <t>Futures Only reports</t>
  </si>
  <si>
    <t>Currencies</t>
  </si>
  <si>
    <t>Download Current year. Example 2020</t>
  </si>
  <si>
    <t>EUR</t>
  </si>
  <si>
    <t>Open annual.xls</t>
  </si>
  <si>
    <t>CAD</t>
  </si>
  <si>
    <t>Copy in Database</t>
  </si>
  <si>
    <t>MEX</t>
  </si>
  <si>
    <t>JPY</t>
  </si>
  <si>
    <t>Non Commercial Position:</t>
  </si>
  <si>
    <t>NZD</t>
  </si>
  <si>
    <t>Column I - Column J</t>
  </si>
  <si>
    <t>ZAR</t>
  </si>
  <si>
    <t>NonComm_Positions_Long_All - NonComm_Positions_Short_All</t>
  </si>
  <si>
    <t>AUD</t>
  </si>
  <si>
    <t>CHF</t>
  </si>
  <si>
    <t>Build Macro or input weekly numbers for each currency in Historic</t>
  </si>
  <si>
    <t>RUB</t>
  </si>
  <si>
    <t>BRL</t>
  </si>
  <si>
    <t>Example Euro</t>
  </si>
  <si>
    <t>GBP</t>
  </si>
  <si>
    <t>EURO FX - CHICAGO MERCANTILE EXCHANGE</t>
  </si>
  <si>
    <t>NonComm_Positions_Long_All</t>
  </si>
  <si>
    <t>NonComm_Positions_Short_All</t>
  </si>
  <si>
    <t>Market_and_Exchange_Names</t>
  </si>
  <si>
    <t>As_of_Date_In_Form_YYMMDD</t>
  </si>
  <si>
    <t>Report_Date_as_MM_DD_YYYY</t>
  </si>
  <si>
    <t>CFTC_Contract_Market_Code</t>
  </si>
  <si>
    <t>CFTC_Market_Code</t>
  </si>
  <si>
    <t>CFTC_Region_Code</t>
  </si>
  <si>
    <t>CFTC_Commodity_Code</t>
  </si>
  <si>
    <t>Open_Interest_All</t>
  </si>
  <si>
    <t>NonComm_Postions_Spread_All</t>
  </si>
  <si>
    <t>Comm_Positions_Long_All</t>
  </si>
  <si>
    <t>Comm_Positions_Short_All</t>
  </si>
  <si>
    <t>Tot_Rept_Positions_Long_All</t>
  </si>
  <si>
    <t>Tot_Rept_Positions_Short_All</t>
  </si>
  <si>
    <t>NonRept_Positions_Long_All</t>
  </si>
  <si>
    <t>NonRept_Positions_Short_All</t>
  </si>
  <si>
    <t>Open_Interest_Old</t>
  </si>
  <si>
    <t>NonComm_Positions_Long_Old</t>
  </si>
  <si>
    <t>NonComm_Positions_Short_Old</t>
  </si>
  <si>
    <t>NonComm_Positions_Spread_Old</t>
  </si>
  <si>
    <t>Comm_Positions_Long_Old</t>
  </si>
  <si>
    <t>Comm_Positions_Short_Old</t>
  </si>
  <si>
    <t>Tot_Rept_Positions_Long_Old</t>
  </si>
  <si>
    <t>Tot_Rept_Positions_Short_Old</t>
  </si>
  <si>
    <t>NonRept_Positions_Long_Old</t>
  </si>
  <si>
    <t>NonRept_Positions_Short_Old</t>
  </si>
  <si>
    <t>Open_Interest_Other</t>
  </si>
  <si>
    <t>NonComm_Positions_Long_Other</t>
  </si>
  <si>
    <t>NonComm_Positions_Short_Other</t>
  </si>
  <si>
    <t>NonComm_Positions_Spread_Other</t>
  </si>
  <si>
    <t>Comm_Positions_Long_Other</t>
  </si>
  <si>
    <t>Comm_Positions_Short_Other</t>
  </si>
  <si>
    <t>Tot_Rept_Positions_Long_Other</t>
  </si>
  <si>
    <t>Tot_Rept_Positions_Short_Other</t>
  </si>
  <si>
    <t>NonRept_Positions_Long_Other</t>
  </si>
  <si>
    <t>NonRept_Positions_Short_Other</t>
  </si>
  <si>
    <t>Change_in_Open_Interest_All</t>
  </si>
  <si>
    <t>Change_in_NonComm_Long_All</t>
  </si>
  <si>
    <t>Change_in_NonComm_Short_All</t>
  </si>
  <si>
    <t>Change_in_NonComm_Spead_All</t>
  </si>
  <si>
    <t>Change_in_Comm_Long_All</t>
  </si>
  <si>
    <t>Change_in_Comm_Short_All</t>
  </si>
  <si>
    <t>Change_in_Tot_Rept_Long_All</t>
  </si>
  <si>
    <t>Change_in_Tot_Rept_Short_All</t>
  </si>
  <si>
    <t>Change_in_NonRept_Long_All</t>
  </si>
  <si>
    <t>Change_in_NonRept_Short_All</t>
  </si>
  <si>
    <t>Pct_of_Open_Interest_All</t>
  </si>
  <si>
    <t>Pct_of_OI_NonComm_Long_All</t>
  </si>
  <si>
    <t>Pct_of_OI_NonComm_Short_All</t>
  </si>
  <si>
    <t>Pct_of_OI_NonComm_Spread_All</t>
  </si>
  <si>
    <t>Pct_of_OI_Comm_Long_All</t>
  </si>
  <si>
    <t>Pct_of_OI_Comm_Short_All</t>
  </si>
  <si>
    <t>Pct_of_OI_Tot_Rept_Long_All</t>
  </si>
  <si>
    <t>Pct_of_OI_Tot_Rept_Short_All</t>
  </si>
  <si>
    <t>Pct_of_OI_NonRept_Long_All</t>
  </si>
  <si>
    <t>Pct_of_OI_NonRept_Short_All</t>
  </si>
  <si>
    <t>Pct_of_Open_Interest_Old</t>
  </si>
  <si>
    <t>Pct_of_OI_NonComm_Long_Old</t>
  </si>
  <si>
    <t>Pct_of_OI_NonComm_Short_Old</t>
  </si>
  <si>
    <t>Pct_of_OI_NonComm_Spread_Old</t>
  </si>
  <si>
    <t>Pct_of_OI_Comm_Long_Old</t>
  </si>
  <si>
    <t>Pct_of_OI_Comm_Short_Old</t>
  </si>
  <si>
    <t>Pct_of_OI_Tot_Rept_Long_Old</t>
  </si>
  <si>
    <t>Pct_of_OI_Tot_Rept_Short_Old</t>
  </si>
  <si>
    <t>Pct_of_OI_NonRept_Long_Old</t>
  </si>
  <si>
    <t>Pct_of_OI_NonRept_Short_Old</t>
  </si>
  <si>
    <t>Pct_of_Open_Interest_Other</t>
  </si>
  <si>
    <t>Pct_of_OI_NonComm_Long_Other</t>
  </si>
  <si>
    <t>Pct_of_OI_NonComm_Short_Other</t>
  </si>
  <si>
    <t>Pct_of_OI_NonComm_Spread_Other</t>
  </si>
  <si>
    <t>Pct_of_OI_Comm_Long_Other</t>
  </si>
  <si>
    <t>Pct_of_OI_Comm_Short_Other</t>
  </si>
  <si>
    <t>Pct_of_OI_Tot_Rept_Long_Other</t>
  </si>
  <si>
    <t>Pct_of_OI_Tot_Rept_Short_Other</t>
  </si>
  <si>
    <t>Pct_of_OI_NonRept_Long_Other</t>
  </si>
  <si>
    <t>Pct_of_OI_NonRept_Short_Other</t>
  </si>
  <si>
    <t>Traders_Tot_All</t>
  </si>
  <si>
    <t>Traders_NonComm_Long_All</t>
  </si>
  <si>
    <t>Traders_NonComm_Short_All</t>
  </si>
  <si>
    <t>Traders_NonComm_Spread_All</t>
  </si>
  <si>
    <t>Traders_Comm_Long_All</t>
  </si>
  <si>
    <t>Traders_Comm_Short_All</t>
  </si>
  <si>
    <t>Traders_Tot_Rept_Long_All</t>
  </si>
  <si>
    <t>Traders_Tot_Rept_Short_All</t>
  </si>
  <si>
    <t>Traders_Tot_Old</t>
  </si>
  <si>
    <t>Traders_NonComm_Long_Old</t>
  </si>
  <si>
    <t>Traders_NonComm_Short_Old</t>
  </si>
  <si>
    <t>Traders_NonComm_Spead_Old</t>
  </si>
  <si>
    <t>Traders_Comm_Long_Old</t>
  </si>
  <si>
    <t>Traders_Comm_Short_Old</t>
  </si>
  <si>
    <t>Traders_Tot_Rept_Long_Old</t>
  </si>
  <si>
    <t>Traders_Tot_Rept_Short_Old</t>
  </si>
  <si>
    <t>Traders_Tot_Other</t>
  </si>
  <si>
    <t>Traders_NonComm_Long_Other</t>
  </si>
  <si>
    <t>Traders_NonComm_Short_Other</t>
  </si>
  <si>
    <t>Traders_NonComm_Spread_Other</t>
  </si>
  <si>
    <t>Traders_Comm_Long_Other</t>
  </si>
  <si>
    <t>Traders_Comm_Short_Other</t>
  </si>
  <si>
    <t>Traders_Tot_Rept_Long_Other</t>
  </si>
  <si>
    <t>Traders_Tot_Rept_Short_Other</t>
  </si>
  <si>
    <t>Conc_Gross_LE_4_TDR_Long_All</t>
  </si>
  <si>
    <t>Conc_Gross_LE_4_TDR_Short_All</t>
  </si>
  <si>
    <t>Conc_Gross_LE_8_TDR_Long_All</t>
  </si>
  <si>
    <t>Conc_Gross_LE_8_TDR_Short_All</t>
  </si>
  <si>
    <t>Conc_Net_LE_4_TDR_Long_All</t>
  </si>
  <si>
    <t>Conc_Net_LE_4_TDR_Short_All</t>
  </si>
  <si>
    <t>Conc_Net_LE_8_TDR_Long_All</t>
  </si>
  <si>
    <t>Conc_Net_LE_8_TDR_Short_All</t>
  </si>
  <si>
    <t>Conc_Gross_LE_4_TDR_Long_Old</t>
  </si>
  <si>
    <t>Conc_Gross_LE_4_TDR_Short_Old</t>
  </si>
  <si>
    <t>Conc_Gross_LE_8_TDR_Long_Old</t>
  </si>
  <si>
    <t>Conc_Gross_LE_8_TDR_Short_Old</t>
  </si>
  <si>
    <t>Conc_Net_LE_4_TDR_Long_Old</t>
  </si>
  <si>
    <t>Conc_Net_LE_4_TDR_Short_Old</t>
  </si>
  <si>
    <t>Conc_Net_LE_8_TDR_Long_Old</t>
  </si>
  <si>
    <t>Conc_Net_LE_8_TDR_Short_Old</t>
  </si>
  <si>
    <t>Conc_Gross_LE_4_TDR_Long_Other</t>
  </si>
  <si>
    <t>Conc_Gross_LE_4_TDR_Short_Other</t>
  </si>
  <si>
    <t>Conc_Gross_LE_8_TDR_Long_Other</t>
  </si>
  <si>
    <t>Conc_Gross_LE_8_TDR_Short_Other</t>
  </si>
  <si>
    <t>Conc_Net_LE_4_TDR_Long_Other</t>
  </si>
  <si>
    <t>Conc_Net_LE_4_TDR_Short_Other</t>
  </si>
  <si>
    <t>Conc_Net_LE_8_TDR_Long_Other</t>
  </si>
  <si>
    <t>Conc_Net_LE_8_TDR_Short_Other</t>
  </si>
  <si>
    <t>Contract_Units</t>
  </si>
  <si>
    <t>WHEAT-SRW - CHICAGO BOARD OF TRADE</t>
  </si>
  <si>
    <t>001602</t>
  </si>
  <si>
    <t xml:space="preserve">CBT </t>
  </si>
  <si>
    <t>00</t>
  </si>
  <si>
    <t xml:space="preserve">001 </t>
  </si>
  <si>
    <t>(CONTRACTS OF 5,000 BUSHELS)</t>
  </si>
  <si>
    <t>WHEAT-HRW - CHICAGO BOARD OF TRADE</t>
  </si>
  <si>
    <t>001612</t>
  </si>
  <si>
    <t>WHEAT-HRSpring - MINNEAPOLIS GRAIN EXCHANGE</t>
  </si>
  <si>
    <t>001626</t>
  </si>
  <si>
    <t xml:space="preserve">MGE </t>
  </si>
  <si>
    <t>CORN - CHICAGO BOARD OF TRADE</t>
  </si>
  <si>
    <t>002602</t>
  </si>
  <si>
    <t xml:space="preserve">002 </t>
  </si>
  <si>
    <t>OATS - CHICAGO BOARD OF TRADE</t>
  </si>
  <si>
    <t>004603</t>
  </si>
  <si>
    <t xml:space="preserve">004 </t>
  </si>
  <si>
    <t>SOYBEANS - CHICAGO BOARD OF TRADE</t>
  </si>
  <si>
    <t>005602</t>
  </si>
  <si>
    <t xml:space="preserve">005 </t>
  </si>
  <si>
    <t>NJ SRECS - ICE FUTURES ENERGY DIV</t>
  </si>
  <si>
    <t>0063CC</t>
  </si>
  <si>
    <t>IFED</t>
  </si>
  <si>
    <t>01</t>
  </si>
  <si>
    <t xml:space="preserve">006 </t>
  </si>
  <si>
    <t>(10 SRECs)</t>
  </si>
  <si>
    <t>PJM TRI-RECs CLASS 1 - ICE FUTURES ENERGY DIV</t>
  </si>
  <si>
    <t>0063CH</t>
  </si>
  <si>
    <t>100 MWh of renewable energy certificates</t>
  </si>
  <si>
    <t>CALIF LOW CARBON FSC-OPIS - ICE FUTURES ENERGY DIV</t>
  </si>
  <si>
    <t>0063CU</t>
  </si>
  <si>
    <t>100 LCFS Credits- each of 1 MT</t>
  </si>
  <si>
    <t>D6 RINs OPIS CURRENT YEAR - ICE FUTURES ENERGY DIV</t>
  </si>
  <si>
    <t>0063CW</t>
  </si>
  <si>
    <t>(50,000 RINs)</t>
  </si>
  <si>
    <t>PA SOLAR ALTER ENERGY CREDIT - ICE FUTURES ENERGY DIV</t>
  </si>
  <si>
    <t>0063DA</t>
  </si>
  <si>
    <t>(10 PA SRECs)</t>
  </si>
  <si>
    <t>CT RECs CLASS 1 - ICE FUTURES ENERGY DIV</t>
  </si>
  <si>
    <t>0063DK</t>
  </si>
  <si>
    <t>100 MWh of Class 1 Renewable Energy Cert</t>
  </si>
  <si>
    <t>MASS COMPLIANCE RECs CLASS 1 - ICE FUTURES ENERGY DIV</t>
  </si>
  <si>
    <t>0063DL</t>
  </si>
  <si>
    <t>MARYLAND COMPLIANCE REC TIER1 - ICE FUTURES ENERGY DIV</t>
  </si>
  <si>
    <t>0063DM</t>
  </si>
  <si>
    <t>(100 Tier 1 RECs)</t>
  </si>
  <si>
    <t>MARYLAND SOLAR REC - ICE FUTURES ENERGY DIV</t>
  </si>
  <si>
    <t>0063DN</t>
  </si>
  <si>
    <t>NEPOOL DUAL RECs CLASS 1 - ICE FUTURES ENERGY DIV</t>
  </si>
  <si>
    <t>0063DQ</t>
  </si>
  <si>
    <t>PA COMPLIANCE AECs TIER1 - ICE FUTURES ENERGY DIV</t>
  </si>
  <si>
    <t>0063DT</t>
  </si>
  <si>
    <t>(100 AECs)</t>
  </si>
  <si>
    <t>CALIF CARBON 23 - ICE FUTURES ENERGY DIV</t>
  </si>
  <si>
    <t>0063DX</t>
  </si>
  <si>
    <t>1,000 California carbon allowances</t>
  </si>
  <si>
    <t>RGGI V2022-ICE - ICE FUTURES ENERGY DIV</t>
  </si>
  <si>
    <t>0063DZ</t>
  </si>
  <si>
    <t>1,000 RGGI CO2 Allowances</t>
  </si>
  <si>
    <t>CALIF CARBON ALLOWANCE V2024 - ICE FUTURES ENERGY DIV</t>
  </si>
  <si>
    <t>0063E2</t>
  </si>
  <si>
    <t>RGGI V2023 - ICE FUTURES ENERGY DIV</t>
  </si>
  <si>
    <t>0063E6</t>
  </si>
  <si>
    <t>CBL NATURE GLOBAL EMISSIONS - NEW YORK MERCANTILE EXCHANGE</t>
  </si>
  <si>
    <t>00665T</t>
  </si>
  <si>
    <t>NYME</t>
  </si>
  <si>
    <t>(CONTRACTS OF 1,000 ENVIRONMENTAL OFFSET</t>
  </si>
  <si>
    <t>TX GREEN-E REC V23 FRONT HALF - NODAL EXCHANGE</t>
  </si>
  <si>
    <t>006NFG</t>
  </si>
  <si>
    <t>NODX</t>
  </si>
  <si>
    <t>1000 Texas Green-e RECs</t>
  </si>
  <si>
    <t>TX GREEN-E REC V24 FRONT HALF - NODAL EXCHANGE</t>
  </si>
  <si>
    <t>006NFH</t>
  </si>
  <si>
    <t>TX GREEN-E REC V25 FRONT HALF - NODAL EXCHANGE</t>
  </si>
  <si>
    <t>006NFJ</t>
  </si>
  <si>
    <t>TX GREEN-E REC V22 BACK HALF - NODAL EXCHANGE</t>
  </si>
  <si>
    <t>006NG1</t>
  </si>
  <si>
    <t>TX GREEN-E REC V23 BACK HALF - NODAL EXCHANGE</t>
  </si>
  <si>
    <t>006NG2</t>
  </si>
  <si>
    <t>TX GREEN-E REC V24 BACK HALF - NODAL EXCHANGE</t>
  </si>
  <si>
    <t>006NG3</t>
  </si>
  <si>
    <t>TX GREEN-E REC V25 BACK HALF - NODAL EXCHANGE</t>
  </si>
  <si>
    <t>006NG4</t>
  </si>
  <si>
    <t>TX REC CRS V26 BACK HALF - NODAL EXCHANGE</t>
  </si>
  <si>
    <t>006NHT</t>
  </si>
  <si>
    <t>1000 Texas RECs</t>
  </si>
  <si>
    <t>TX REC CRS V26 FRONT HALF - NODAL EXCHANGE</t>
  </si>
  <si>
    <t>006NHY</t>
  </si>
  <si>
    <t>CBL GLOBAL EMISSIONS OFFSET - NEW YORK MERCANTILE EXCHANGE</t>
  </si>
  <si>
    <t>006NJZ</t>
  </si>
  <si>
    <t>SOYBEAN OIL - CHICAGO BOARD OF TRADE</t>
  </si>
  <si>
    <t>007601</t>
  </si>
  <si>
    <t xml:space="preserve">007 </t>
  </si>
  <si>
    <t>(CONTRACTS OF 60,000 POUNDS)</t>
  </si>
  <si>
    <t>UST BOND - CHICAGO BOARD OF TRADE</t>
  </si>
  <si>
    <t>020601</t>
  </si>
  <si>
    <t xml:space="preserve">020 </t>
  </si>
  <si>
    <t>(CONTRACTS OF $100,000 FACE VALUE)</t>
  </si>
  <si>
    <t>ULTRA UST BOND - CHICAGO BOARD OF TRADE</t>
  </si>
  <si>
    <t>020604</t>
  </si>
  <si>
    <t>MARINE FUEL OIL 0.5% FOB USGC - ICE FUTURES ENERGY DIV</t>
  </si>
  <si>
    <t>021397</t>
  </si>
  <si>
    <t xml:space="preserve">021 </t>
  </si>
  <si>
    <t>1000 barrels</t>
  </si>
  <si>
    <t>USGC HSFO (PLATTS) - ICE FUTURES ENERGY DIV</t>
  </si>
  <si>
    <t>02141B</t>
  </si>
  <si>
    <t>FUEL OIL-3% USGC/3.5% FOB RDAM - ICE FUTURES ENERGY DIV</t>
  </si>
  <si>
    <t>02141C</t>
  </si>
  <si>
    <t>USGC HSFO-PLATTS/BRENT 1ST LN - ICE FUTURES ENERGY DIV</t>
  </si>
  <si>
    <t>02141R</t>
  </si>
  <si>
    <t>BBL</t>
  </si>
  <si>
    <t>NY HARBOR ULSD - NEW YORK MERCANTILE EXCHANGE</t>
  </si>
  <si>
    <t>022651</t>
  </si>
  <si>
    <t xml:space="preserve">022 </t>
  </si>
  <si>
    <t>(CONTRACTS OF 42,000 U.S. GALLONS)</t>
  </si>
  <si>
    <t>UP DOWN GC ULSD VS HO SPR - NEW YORK MERCANTILE EXCHANGE</t>
  </si>
  <si>
    <t>022A13</t>
  </si>
  <si>
    <t>(CONTRACTS OF 42,000 GALLONS)</t>
  </si>
  <si>
    <t>NAT GAS ICE LD1 - ICE FUTURES ENERGY DIV</t>
  </si>
  <si>
    <t>023391</t>
  </si>
  <si>
    <t xml:space="preserve">023 </t>
  </si>
  <si>
    <t>2500 MMBtus</t>
  </si>
  <si>
    <t>NAT GAS ICE PEN - ICE FUTURES ENERGY DIV</t>
  </si>
  <si>
    <t>023392</t>
  </si>
  <si>
    <t>2500 mmbtu</t>
  </si>
  <si>
    <t>SOCAL BORDER FIN BASIS - ICE FUTURES ENERGY DIV</t>
  </si>
  <si>
    <t>023393</t>
  </si>
  <si>
    <t>(Contracts of 2,500  MMBTU'S)</t>
  </si>
  <si>
    <t>PG&amp;E CITYGATE FIN BASIS - ICE FUTURES ENERGY DIV</t>
  </si>
  <si>
    <t>023394</t>
  </si>
  <si>
    <t>NWP ROCKIES FIN BASIS - ICE FUTURES ENERGY DIV</t>
  </si>
  <si>
    <t>023395</t>
  </si>
  <si>
    <t>AECO FIN BASIS - ICE FUTURES ENERGY DIV</t>
  </si>
  <si>
    <t>023396</t>
  </si>
  <si>
    <t>CHICAGO FIN BASIS - ICE FUTURES ENERGY DIV</t>
  </si>
  <si>
    <t>023397</t>
  </si>
  <si>
    <t>HSC FIN BASIS - ICE FUTURES ENERGY DIV</t>
  </si>
  <si>
    <t>023398</t>
  </si>
  <si>
    <t>WAHA FIN BASIS - ICE FUTURES ENERGY DIV</t>
  </si>
  <si>
    <t>023399</t>
  </si>
  <si>
    <t>CHICAGO CITYGATE (INDEX) - ICE FUTURES ENERGY DIV</t>
  </si>
  <si>
    <t>02339Q</t>
  </si>
  <si>
    <t>CIG ROCKIES BASIS - ICE FUTURES ENERGY DIV</t>
  </si>
  <si>
    <t>02339U</t>
  </si>
  <si>
    <t>TCO Basis - ICE FUTURES ENERGY DIV</t>
  </si>
  <si>
    <t>02339W</t>
  </si>
  <si>
    <t>2500 mm btu</t>
  </si>
  <si>
    <t>CG Mainline Basis - ICE FUTURES ENERGY DIV</t>
  </si>
  <si>
    <t>02339Y</t>
  </si>
  <si>
    <t>DOMINION - SOUTH POINT - ICE FUTURES ENERGY DIV</t>
  </si>
  <si>
    <t>0233A2</t>
  </si>
  <si>
    <t>DOMINION - SOUTH POINT (BASIS) - ICE FUTURES ENERGY DIV</t>
  </si>
  <si>
    <t>0233A3</t>
  </si>
  <si>
    <t>EP SAN JUAN BASIS - ICE FUTURES ENERGY DIV</t>
  </si>
  <si>
    <t>0233A8</t>
  </si>
  <si>
    <t>HENRY HUB BASIS - ICE FUTURES ENERGY DIV</t>
  </si>
  <si>
    <t>0233AG</t>
  </si>
  <si>
    <t>HENRY HUB INDEX - ICE FUTURES ENERGY DIV</t>
  </si>
  <si>
    <t>0233AH</t>
  </si>
  <si>
    <t>HOUSTON SHIP CHANNEL (INDEX) - ICE FUTURES ENERGY DIV</t>
  </si>
  <si>
    <t>0233AM</t>
  </si>
  <si>
    <t>MICHCON FINANCIAL INDEX - ICE FUTURES ENERGY DIV</t>
  </si>
  <si>
    <t>0233AN</t>
  </si>
  <si>
    <t>MMBTU</t>
  </si>
  <si>
    <t>MICHCON BASIS - ICE FUTURES ENERGY DIV</t>
  </si>
  <si>
    <t>0233AQ</t>
  </si>
  <si>
    <t>NAT GAS LD1 for GDD -TEXOK - ICE FUTURES ENERGY DIV</t>
  </si>
  <si>
    <t>0233AT</t>
  </si>
  <si>
    <t>NGPL TXOK BASIS - ICE FUTURES ENERGY DIV</t>
  </si>
  <si>
    <t>0233B1</t>
  </si>
  <si>
    <t>NNG VENTURA BASIS - ICE FUTURES ENERGY DIV</t>
  </si>
  <si>
    <t>0233BB</t>
  </si>
  <si>
    <t>NWP SUMAS BASIS - ICE FUTURES ENERGY DIV</t>
  </si>
  <si>
    <t>0233BC</t>
  </si>
  <si>
    <t>ONEOK GAS TRANSPORTATION BASIS - ICE FUTURES ENERGY DIV</t>
  </si>
  <si>
    <t>0233BF</t>
  </si>
  <si>
    <t>MALIN (BASIS) - ICE FUTURES ENERGY DIV</t>
  </si>
  <si>
    <t>0233BH</t>
  </si>
  <si>
    <t>PANHANDLE BASIS - ICE FUTURES ENERGY DIV</t>
  </si>
  <si>
    <t>0233BL</t>
  </si>
  <si>
    <t>SONAT - TIER 1 POOL (ZONE 0) - ICE FUTURES ENERGY DIV</t>
  </si>
  <si>
    <t>0233C1</t>
  </si>
  <si>
    <t>TETCO M3 INDEX - ICE FUTURES ENERGY DIV</t>
  </si>
  <si>
    <t>0233CG</t>
  </si>
  <si>
    <t>TETCO M3 BASIS - ICE FUTURES ENERGY DIV</t>
  </si>
  <si>
    <t>0233CH</t>
  </si>
  <si>
    <t>TGT ZONE 1 BASIS - ICE FUTURES ENERGY DIV</t>
  </si>
  <si>
    <t>0233CM</t>
  </si>
  <si>
    <t>TRANSCO STN 85 MONTHLY INDEX - ICE FUTURES ENERGY DIV</t>
  </si>
  <si>
    <t>0233CS</t>
  </si>
  <si>
    <t>mmbtu</t>
  </si>
  <si>
    <t>TRANSCO ZONE 6 BASIS - ICE FUTURES ENERGY DIV</t>
  </si>
  <si>
    <t>0233CU</t>
  </si>
  <si>
    <t>TRANSCO ZONE 6 MONTHLY INDEX - ICE FUTURES ENERGY DIV</t>
  </si>
  <si>
    <t>0233CV</t>
  </si>
  <si>
    <t>TRANSCO STATION 85-ZONE 4 BASI - ICE FUTURES ENERGY DIV</t>
  </si>
  <si>
    <t>0233CW</t>
  </si>
  <si>
    <t>WAHA INDEX - ICE FUTURES ENERGY DIV</t>
  </si>
  <si>
    <t>0233D4</t>
  </si>
  <si>
    <t>TETCO M2 Basis (Receipts) - ICE FUTURES ENERGY DIV</t>
  </si>
  <si>
    <t>0233DR</t>
  </si>
  <si>
    <t>2500 MM Btus</t>
  </si>
  <si>
    <t>TRANSCO LEIDY BASIS - ICE FUTURES ENERGY DIV</t>
  </si>
  <si>
    <t>0233DT</t>
  </si>
  <si>
    <t>TETCO M2 Index (Receipts) - ICE FUTURES ENERGY DIV</t>
  </si>
  <si>
    <t>0233DW</t>
  </si>
  <si>
    <t>REX ZONE 3 BASIS - ICE FUTURES ENERGY DIV</t>
  </si>
  <si>
    <t>0233EB</t>
  </si>
  <si>
    <t>REX ZONE 3 INDEX - ICE FUTURES ENERGY DIV</t>
  </si>
  <si>
    <t>0233ED</t>
  </si>
  <si>
    <t>Transco Zone 5 South Basis - ICE FUTURES ENERGY DIV</t>
  </si>
  <si>
    <t>0233FJ</t>
  </si>
  <si>
    <t>NAT GAS NYME - NEW YORK MERCANTILE EXCHANGE</t>
  </si>
  <si>
    <t>023651</t>
  </si>
  <si>
    <t>(Contracts of 10,000 MMBTU'S)</t>
  </si>
  <si>
    <t>HENRY HUB LAST DAY FIN - NEW YORK MERCANTILE EXCHANGE</t>
  </si>
  <si>
    <t>023A55</t>
  </si>
  <si>
    <t>HENRY HUB PENULTIMATE FIN - NEW YORK MERCANTILE EXCHANGE</t>
  </si>
  <si>
    <t>023A56</t>
  </si>
  <si>
    <t>ETHANOL T2 FOB INCL DUTY - NEW YORK MERCANTILE EXCHANGE</t>
  </si>
  <si>
    <t>025608</t>
  </si>
  <si>
    <t xml:space="preserve">025 </t>
  </si>
  <si>
    <t>(100 CUBIC METERS)</t>
  </si>
  <si>
    <t>ETHANOL - NEW YORK MERCANTILE EXCHANGE</t>
  </si>
  <si>
    <t>025651</t>
  </si>
  <si>
    <t>SOYBEAN MEAL - CHICAGO BOARD OF TRADE</t>
  </si>
  <si>
    <t>026603</t>
  </si>
  <si>
    <t xml:space="preserve">026 </t>
  </si>
  <si>
    <t>(CONTRACTS OF 100 TONS)</t>
  </si>
  <si>
    <t>COTTON NO. 2 - ICE FUTURES U.S.</t>
  </si>
  <si>
    <t>033661</t>
  </si>
  <si>
    <t>ICUS</t>
  </si>
  <si>
    <t xml:space="preserve">033 </t>
  </si>
  <si>
    <t>(CONTRACTS OF 50,000 POUNDS)</t>
  </si>
  <si>
    <t>HENRY HUB - NEW YORK MERCANTILE EXCHANGE</t>
  </si>
  <si>
    <t>03565B</t>
  </si>
  <si>
    <t>HENRY HUB PENULTIMATE NAT GAS - NEW YORK MERCANTILE EXCHANGE</t>
  </si>
  <si>
    <t>03565C</t>
  </si>
  <si>
    <t>USD Malaysian Crude Palm Oil C - CHICAGO MERCANTILE EXCHANGE</t>
  </si>
  <si>
    <t>037021</t>
  </si>
  <si>
    <t xml:space="preserve">CME </t>
  </si>
  <si>
    <t xml:space="preserve">037 </t>
  </si>
  <si>
    <t>(CONTRACTS OF 25 METRIC TONS)</t>
  </si>
  <si>
    <t>ROUGH RICE - CHICAGO BOARD OF TRADE</t>
  </si>
  <si>
    <t>039601</t>
  </si>
  <si>
    <t xml:space="preserve">039 </t>
  </si>
  <si>
    <t>(CONTRACTS OF 200,000 POUNDS)</t>
  </si>
  <si>
    <t>FRZN CONCENTRATED ORANGE JUICE - ICE FUTURES U.S.</t>
  </si>
  <si>
    <t>040701</t>
  </si>
  <si>
    <t xml:space="preserve">040 </t>
  </si>
  <si>
    <t>(CONTRACTS OF 15,000 POUNDS)</t>
  </si>
  <si>
    <t>UST 2Y NOTE - CHICAGO BOARD OF TRADE</t>
  </si>
  <si>
    <t>042601</t>
  </si>
  <si>
    <t xml:space="preserve">042 </t>
  </si>
  <si>
    <t>(CONTRACTS OF $200,000 FACE VALUE)</t>
  </si>
  <si>
    <t>UST 10Y NOTE - CHICAGO BOARD OF TRADE</t>
  </si>
  <si>
    <t>043602</t>
  </si>
  <si>
    <t xml:space="preserve">043 </t>
  </si>
  <si>
    <t>ULTRA UST 10Y - CHICAGO BOARD OF TRADE</t>
  </si>
  <si>
    <t>043607</t>
  </si>
  <si>
    <t>MICRO 10 YEAR YIELD - CHICAGO BOARD OF TRADE</t>
  </si>
  <si>
    <t>04360Y</t>
  </si>
  <si>
    <t>1000 x Index Points</t>
  </si>
  <si>
    <t>UST 5Y NOTE - CHICAGO BOARD OF TRADE</t>
  </si>
  <si>
    <t>044601</t>
  </si>
  <si>
    <t xml:space="preserve">044 </t>
  </si>
  <si>
    <t>FED FUNDS - CHICAGO BOARD OF TRADE</t>
  </si>
  <si>
    <t>045601</t>
  </si>
  <si>
    <t xml:space="preserve">045 </t>
  </si>
  <si>
    <t>(CONTRACTS OF $5,000,000)</t>
  </si>
  <si>
    <t>BUTTER (CASH SETTLED) - CHICAGO MERCANTILE EXCHANGE</t>
  </si>
  <si>
    <t>050642</t>
  </si>
  <si>
    <t xml:space="preserve">050 </t>
  </si>
  <si>
    <t>(CONTRACTS OF 20,000 POUNDS)</t>
  </si>
  <si>
    <t>MILK, Class III - CHICAGO MERCANTILE EXCHANGE</t>
  </si>
  <si>
    <t>052641</t>
  </si>
  <si>
    <t xml:space="preserve">052 </t>
  </si>
  <si>
    <t>NON FAT DRY MILK - CHICAGO MERCANTILE EXCHANGE</t>
  </si>
  <si>
    <t>052642</t>
  </si>
  <si>
    <t>(CONTRACTS OF 44,000 LBS.)</t>
  </si>
  <si>
    <t>CME MILK IV - CHICAGO MERCANTILE EXCHANGE</t>
  </si>
  <si>
    <t>052644</t>
  </si>
  <si>
    <t>LEAN HOGS - CHICAGO MERCANTILE EXCHANGE</t>
  </si>
  <si>
    <t>054642</t>
  </si>
  <si>
    <t xml:space="preserve">054 </t>
  </si>
  <si>
    <t>(CONTRACTS OF 40,000 POUNDS)</t>
  </si>
  <si>
    <t>LIVE CATTLE - CHICAGO MERCANTILE EXCHANGE</t>
  </si>
  <si>
    <t>057642</t>
  </si>
  <si>
    <t xml:space="preserve">057 </t>
  </si>
  <si>
    <t>RANDOM LENGTH LUMBER - CHICAGO MERCANTILE EXCHANGE</t>
  </si>
  <si>
    <t>058643</t>
  </si>
  <si>
    <t xml:space="preserve">058 </t>
  </si>
  <si>
    <t>(CONTRACTS OF 110,000 BOARD FEET)</t>
  </si>
  <si>
    <t>FEEDER CATTLE - CHICAGO MERCANTILE EXCHANGE</t>
  </si>
  <si>
    <t>061641</t>
  </si>
  <si>
    <t xml:space="preserve">061 </t>
  </si>
  <si>
    <t>CHEESE (CASH-SETTLED) - CHICAGO MERCANTILE EXCHANGE</t>
  </si>
  <si>
    <t>063642</t>
  </si>
  <si>
    <t xml:space="preserve">063 </t>
  </si>
  <si>
    <t>MID-C DAY-AHEAD PEAK - ICE FUTURES ENERGY DIV</t>
  </si>
  <si>
    <t>064391</t>
  </si>
  <si>
    <t xml:space="preserve">064 </t>
  </si>
  <si>
    <t>(Contracts of 400 MWh)</t>
  </si>
  <si>
    <t>MID-C DAY-AHEAD OFF-PEAK - ICE FUTURES ENERGY DIV</t>
  </si>
  <si>
    <t>064392</t>
  </si>
  <si>
    <t>(1 MWh for about 368 Hours)</t>
  </si>
  <si>
    <t>PJM WESTERN HUB RT OFF - ICE FUTURES ENERGY DIV</t>
  </si>
  <si>
    <t>064394</t>
  </si>
  <si>
    <t>(Contracts of 1Megawatt for 368 Hours)</t>
  </si>
  <si>
    <t>SP15 FIN DA PEAK FIXED - ICE FUTURES ENERGY DIV</t>
  </si>
  <si>
    <t>064395</t>
  </si>
  <si>
    <t>(Contracts of 400 Megawatt Hours)</t>
  </si>
  <si>
    <t>CAISO SP-15 DA OFF-PK FIXED - ICE FUTURES ENERGY DIV</t>
  </si>
  <si>
    <t>064396</t>
  </si>
  <si>
    <t>(1 MW per Hour for about 386 Hours)</t>
  </si>
  <si>
    <t>PJM AEP DAYTON RT OFF-PK FIXED - ICE FUTURES ENERGY DIV</t>
  </si>
  <si>
    <t>06439A</t>
  </si>
  <si>
    <t>PJM AEP DAYTON RT PEAK FIXED - ICE FUTURES ENERGY DIV</t>
  </si>
  <si>
    <t>06439B</t>
  </si>
  <si>
    <t>800MWh</t>
  </si>
  <si>
    <t>PJM AEP DAYTON HUB DA OFF-PK - ICE FUTURES ENERGY DIV</t>
  </si>
  <si>
    <t>06439C</t>
  </si>
  <si>
    <t>1 MW</t>
  </si>
  <si>
    <t>PJM AEP DAYTON DA PEAK - ICE FUTURES ENERGY DIV</t>
  </si>
  <si>
    <t>06439F</t>
  </si>
  <si>
    <t>MISO INDIANA  OFF-PEAK - ICE FUTURES ENERGY DIV</t>
  </si>
  <si>
    <t>06439K</t>
  </si>
  <si>
    <t>ERCOT HOUSTON 345KV RT PK FIX - ICE FUTURES ENERGY DIV</t>
  </si>
  <si>
    <t>06439N</t>
  </si>
  <si>
    <t>1 Mwh per Peak Hour</t>
  </si>
  <si>
    <t>ERCOT Houston 345KV RT OFF FIX - ICE FUTURES ENERGY DIV</t>
  </si>
  <si>
    <t>06439Q</t>
  </si>
  <si>
    <t>ERCOT NORTH 345KV RT PK FIX - ICE FUTURES ENERGY DIV</t>
  </si>
  <si>
    <t>06439R</t>
  </si>
  <si>
    <t>1 Mw per Peak Hour</t>
  </si>
  <si>
    <t>ERCOT SOUTH 345 KV RT PEAK FIX - ICE FUTURES ENERGY DIV</t>
  </si>
  <si>
    <t>06439S</t>
  </si>
  <si>
    <t>ERCOT-SOUTH MONTHLY OFFPEAK - ICE FUTURES ENERGY DIV</t>
  </si>
  <si>
    <t>06439U</t>
  </si>
  <si>
    <t>ERCOT WEST 345KV RT PEAK - ICE FUTURES ENERGY DIV</t>
  </si>
  <si>
    <t>06439V</t>
  </si>
  <si>
    <t>1 Mwh per peak hour</t>
  </si>
  <si>
    <t>ERCOT WEST 345K RT OFF-PEAK - ICE FUTURES ENERGY DIV</t>
  </si>
  <si>
    <t>06439W</t>
  </si>
  <si>
    <t>1 MWh per Off-Peak Hour</t>
  </si>
  <si>
    <t>ERCOT - NORTH MONTHLY OFF-PEAK - ICE FUTURES ENERGY DIV</t>
  </si>
  <si>
    <t>0643A8</t>
  </si>
  <si>
    <t>1 Mwh per Off-Peak Hour</t>
  </si>
  <si>
    <t>MISO IN. DAY-AHEAD PEAK - ICE FUTURES ENERGY DIV</t>
  </si>
  <si>
    <t>0643AZ</t>
  </si>
  <si>
    <t>MISO INDIANA HUB RT PEAK - ICE FUTURES ENERGY DIV</t>
  </si>
  <si>
    <t>0643B3</t>
  </si>
  <si>
    <t>800 Mwh</t>
  </si>
  <si>
    <t>PJM N. IL HUB DA OFF-PK - ICE FUTURES ENERGY DIV</t>
  </si>
  <si>
    <t>0643BC</t>
  </si>
  <si>
    <t>PJM N. IL HUB DA PEAK - ICE FUTURES ENERGY DIV</t>
  </si>
  <si>
    <t>0643BE</t>
  </si>
  <si>
    <t>ISO NE MASS HUB DA OFF-PK FIXD - ICE FUTURES ENERGY DIV</t>
  </si>
  <si>
    <t>0643BF</t>
  </si>
  <si>
    <t>(1 MW per Hour for about 368 Hours)</t>
  </si>
  <si>
    <t>ISO NE MASS HUB DA PEAK - ICE FUTURES ENERGY DIV</t>
  </si>
  <si>
    <t>0643BG</t>
  </si>
  <si>
    <t>CAISO NP-15 PEAK - ICE FUTURES ENERGY DIV</t>
  </si>
  <si>
    <t>0643BM</t>
  </si>
  <si>
    <t>400MWh</t>
  </si>
  <si>
    <t>CAISO NP-15 DA OFF-PK FIXED - ICE FUTURES ENERGY DIV</t>
  </si>
  <si>
    <t>0643BR</t>
  </si>
  <si>
    <t>PJM NI HUB RT OFF-PK FIXED - ICE FUTURES ENERGY DIV</t>
  </si>
  <si>
    <t>0643BS</t>
  </si>
  <si>
    <t>PJM N. IL HUB RT PEAK - ICE FUTURES ENERGY DIV</t>
  </si>
  <si>
    <t>0643BT</t>
  </si>
  <si>
    <t>800 MWh</t>
  </si>
  <si>
    <t>NYISO ZONE J DA PEAK - ICE FUTURES ENERGY DIV</t>
  </si>
  <si>
    <t>0643BW</t>
  </si>
  <si>
    <t>NYISO ZONE A DA PEAK - ICE FUTURES ENERGY DIV</t>
  </si>
  <si>
    <t>0643BY</t>
  </si>
  <si>
    <t>NYISO ZONE A DA OFF-PK FIX PR - ICE FUTURES ENERGY DIV</t>
  </si>
  <si>
    <t>0643BZ</t>
  </si>
  <si>
    <t>(1MW for about 368 Hours)</t>
  </si>
  <si>
    <t>NYISO ZONE G DA PEAK - ICE FUTURES ENERGY DIV</t>
  </si>
  <si>
    <t>0643C3</t>
  </si>
  <si>
    <t>NYISO ZONE G DA OFF-PK - ICE FUTURES ENERGY DIV</t>
  </si>
  <si>
    <t>0643C4</t>
  </si>
  <si>
    <t>PALO VERDE DA PEAK - ICE FUTURES ENERGY DIV</t>
  </si>
  <si>
    <t>0643CB</t>
  </si>
  <si>
    <t>PALO VERDE DA OFF-PK FiXED PR - ICE FUTURES ENERGY DIV</t>
  </si>
  <si>
    <t>0643CC</t>
  </si>
  <si>
    <t>(1 MW for about 368 Hours)</t>
  </si>
  <si>
    <t>PJM PPL ZONE DA OFF-PEAK FIXED - ICE FUTURES ENERGY DIV</t>
  </si>
  <si>
    <t>0643D7</t>
  </si>
  <si>
    <t>PJM PPL ZONE DA PEAK - ICE FUTURES ENERGY DIV</t>
  </si>
  <si>
    <t>0643D8</t>
  </si>
  <si>
    <t>PJM WESTERN HUB DA OFF-PK - ICE FUTURES ENERGY DIV</t>
  </si>
  <si>
    <t>0643DB</t>
  </si>
  <si>
    <t>PJM WESTERN HUB DA PEAK - ICE FUTURES ENERGY DIV</t>
  </si>
  <si>
    <t>0643DC</t>
  </si>
  <si>
    <t>352 MWh</t>
  </si>
  <si>
    <t>PJM WESTERN HUB RT PEAK MINI - ICE FUTURES ENERGY DIV</t>
  </si>
  <si>
    <t>0643DF</t>
  </si>
  <si>
    <t>PJM PSEG DAY-AHEAD PEAK - ICE FUTURES ENERGY DIV</t>
  </si>
  <si>
    <t>0643DL</t>
  </si>
  <si>
    <t>PJM PSEG DA OFF-PK FIXED PRICE - ICE FUTURES ENERGY DIV</t>
  </si>
  <si>
    <t>0643DM</t>
  </si>
  <si>
    <t>ERCOT N 345KV REAL T PK DALY M - ICE FUTURES ENERGY DIV</t>
  </si>
  <si>
    <t>0643IB</t>
  </si>
  <si>
    <t>16 MWh</t>
  </si>
  <si>
    <t>ERCOT N 345KV REAL T PK 2x16 - ICE FUTURES ENERGY DIV</t>
  </si>
  <si>
    <t>0643ID</t>
  </si>
  <si>
    <t>(1MW for about 352 Hours)</t>
  </si>
  <si>
    <t>ERCOT North 345KV Hub RT 7x8 - ICE FUTURES ENERGY DIV</t>
  </si>
  <si>
    <t>0643IK</t>
  </si>
  <si>
    <t>ISONE.H.INTERNAL_HUB_mo_on_dap - NODAL EXCHANGE</t>
  </si>
  <si>
    <t>064AAA</t>
  </si>
  <si>
    <t>Megawatt Hours (MWh)</t>
  </si>
  <si>
    <t>ISONE.H.INTERNAL_HB_mo_off_dap - NODAL EXCHANGE</t>
  </si>
  <si>
    <t>064AAB</t>
  </si>
  <si>
    <t>MISO.INDIANA.HUB_month_on_dap - NODAL EXCHANGE</t>
  </si>
  <si>
    <t>064BFI</t>
  </si>
  <si>
    <t>MISO.INDIANA.HUB_month_off_dap - NODAL EXCHANGE</t>
  </si>
  <si>
    <t>064BFJ</t>
  </si>
  <si>
    <t>NYISO.HUD VL_month_on_dap - NODAL EXCHANGE</t>
  </si>
  <si>
    <t>064CXO</t>
  </si>
  <si>
    <t>NYISO.HUD VL_month_off_dap - NODAL EXCHANGE</t>
  </si>
  <si>
    <t>064CXP</t>
  </si>
  <si>
    <t>NYISO.WEST_month_on_dap - NODAL EXCHANGE</t>
  </si>
  <si>
    <t>064DEU</t>
  </si>
  <si>
    <t>PJM.AEP-DAYTON HUB_mo_on_dap - NODAL EXCHANGE</t>
  </si>
  <si>
    <t>064DLW</t>
  </si>
  <si>
    <t>PJM.AEP-DAYTON HUB_mo_off_dap - NODAL EXCHANGE</t>
  </si>
  <si>
    <t>064DLX</t>
  </si>
  <si>
    <t>PJM.BGE_month_on_dap - NODAL EXCHANGE</t>
  </si>
  <si>
    <t>064DPQ</t>
  </si>
  <si>
    <t>PJM.BGE_month_off_dap - NODAL EXCHANGE</t>
  </si>
  <si>
    <t>064DPR</t>
  </si>
  <si>
    <t>PJM.COMED_month_on_dap - NODAL EXCHANGE</t>
  </si>
  <si>
    <t>064DVO</t>
  </si>
  <si>
    <t>PJM.COMED_month_off_dap - NODAL EXCHANGE</t>
  </si>
  <si>
    <t>064DVP</t>
  </si>
  <si>
    <t>PJM.JCPL_month_on_dap - NODAL EXCHANGE</t>
  </si>
  <si>
    <t>064EJI</t>
  </si>
  <si>
    <t>PJM.JCPL_month_off_dap - NODAL EXCHANGE</t>
  </si>
  <si>
    <t>064EJJ</t>
  </si>
  <si>
    <t>PJM.METED_month_on_dap - NODAL EXCHANGE</t>
  </si>
  <si>
    <t>064EOW</t>
  </si>
  <si>
    <t>PJM.METED_month_off_dap - NODAL EXCHANGE</t>
  </si>
  <si>
    <t>064EOX</t>
  </si>
  <si>
    <t>PJM.N ILLINOIS HUB_mo_on_dap - NODAL EXCHANGE</t>
  </si>
  <si>
    <t>064ERM</t>
  </si>
  <si>
    <t>PJM.N ILLINOIS HUB_mo_off_dap - NODAL EXCHANGE</t>
  </si>
  <si>
    <t>064ERN</t>
  </si>
  <si>
    <t>PJM.PECO_month_on_dap - NODAL EXCHANGE</t>
  </si>
  <si>
    <t>064EUY</t>
  </si>
  <si>
    <t>PJM.PECO_month_off_dap - NODAL EXCHANGE</t>
  </si>
  <si>
    <t>064EUZ</t>
  </si>
  <si>
    <t>PJM.PEPCO_month_on_dap - NODAL EXCHANGE</t>
  </si>
  <si>
    <t>064EVG</t>
  </si>
  <si>
    <t>PJM.PEPCO_month_off_dap - NODAL EXCHANGE</t>
  </si>
  <si>
    <t>064EVH</t>
  </si>
  <si>
    <t>PJM.PPL_month_on_dap - NODAL EXCHANGE</t>
  </si>
  <si>
    <t>064EWU</t>
  </si>
  <si>
    <t>PJM.PPL_month_off_dap - NODAL EXCHANGE</t>
  </si>
  <si>
    <t>064EWV</t>
  </si>
  <si>
    <t>PJM.PSEG_month_on_dap - NODAL EXCHANGE</t>
  </si>
  <si>
    <t>064EXE</t>
  </si>
  <si>
    <t>PJM.PSEG_month_off_dap - NODAL EXCHANGE</t>
  </si>
  <si>
    <t>064EXF</t>
  </si>
  <si>
    <t>PJM.WESTERN HUB_month_on_dap - NODAL EXCHANGE</t>
  </si>
  <si>
    <t>064FHK</t>
  </si>
  <si>
    <t>PJM.WESTERN HUB_month_off_dap - NODAL EXCHANGE</t>
  </si>
  <si>
    <t>064FHL</t>
  </si>
  <si>
    <t>PJM.AEP-DAYTON HUB_mo_on_rtp - NODAL EXCHANGE</t>
  </si>
  <si>
    <t>064FKA</t>
  </si>
  <si>
    <t>PJM.AEP-DAYTON HUB_mo_off_rtp - NODAL EXCHANGE</t>
  </si>
  <si>
    <t>064FKB</t>
  </si>
  <si>
    <t>PJM.N ILLINOIS HUB_mo_on_rtp - NODAL EXCHANGE</t>
  </si>
  <si>
    <t>064FKC</t>
  </si>
  <si>
    <t>PJM.N ILLINOIS HUB_mo_off_rtp - NODAL EXCHANGE</t>
  </si>
  <si>
    <t>064FKD</t>
  </si>
  <si>
    <t>PJM.WESTERN HUB_month_on_rtp - NODAL EXCHANGE</t>
  </si>
  <si>
    <t>064FKE</t>
  </si>
  <si>
    <t>PJM.WESTERN HUB_month_off_rtp - NODAL EXCHANGE</t>
  </si>
  <si>
    <t>064FKF</t>
  </si>
  <si>
    <t>ERCOT.HB_NORTH_month_on_rtp - NODAL EXCHANGE</t>
  </si>
  <si>
    <t>064FOK</t>
  </si>
  <si>
    <t>ERCOT.HB_NORTH_month_off_rtp - NODAL EXCHANGE</t>
  </si>
  <si>
    <t>064FOL</t>
  </si>
  <si>
    <t>ERCOT North 345KV Hub RT 7x16 - ICE FUTURES ENERGY DIV</t>
  </si>
  <si>
    <t>064IBM</t>
  </si>
  <si>
    <t>PROPANE ARGUS CIF ARA MINI - ICE FUTURES ENERGY DIV</t>
  </si>
  <si>
    <t>066391</t>
  </si>
  <si>
    <t xml:space="preserve">066 </t>
  </si>
  <si>
    <t>100 metric tonnes</t>
  </si>
  <si>
    <t>PROPANE ARGUS FAR EAST MINI - ICE FUTURES ENERGY DIV</t>
  </si>
  <si>
    <t>066393</t>
  </si>
  <si>
    <t>100  metric tonnes</t>
  </si>
  <si>
    <t>PROPANE,OPIS MT BELV TET BALMO - ICE FUTURES ENERGY DIV</t>
  </si>
  <si>
    <t>06639Z</t>
  </si>
  <si>
    <t>42000 gallons(1000 barrels)</t>
  </si>
  <si>
    <t>ARGUS FAR EAST PROPANE - ICE FUTURES ENERGY DIV</t>
  </si>
  <si>
    <t>066413</t>
  </si>
  <si>
    <t>1000  metric tonnes</t>
  </si>
  <si>
    <t>ETHANE, MT. BELV-ENTERPRISE - ICE FUTURES ENERGY DIV</t>
  </si>
  <si>
    <t>066416</t>
  </si>
  <si>
    <t>NAT GASLNE OPIS MT B NONTET FP - ICE FUTURES ENERGY DIV</t>
  </si>
  <si>
    <t>06641A</t>
  </si>
  <si>
    <t>BUTANE OPIS MT BELV NONTET FP - ICE FUTURES ENERGY DIV</t>
  </si>
  <si>
    <t>06641D</t>
  </si>
  <si>
    <t>PROPANE OPIS CONWAY INWELL FP - ICE FUTURES ENERGY DIV</t>
  </si>
  <si>
    <t>06641E</t>
  </si>
  <si>
    <t>PROPANE OPIS MT BELV NONTET FP - ICE FUTURES ENERGY DIV</t>
  </si>
  <si>
    <t>06641F</t>
  </si>
  <si>
    <t>PROPANE OPIS MT BELVIEU TET FP - ICE FUTURES ENERGY DIV</t>
  </si>
  <si>
    <t>06641G</t>
  </si>
  <si>
    <t>PROPANE ARGUS SAUDI CP FP - ICE FUTURES ENERGY DIV</t>
  </si>
  <si>
    <t>06641H</t>
  </si>
  <si>
    <t>1000 Metric  Tonnes</t>
  </si>
  <si>
    <t>ARGUS PROPANE FAR EAST INDEX - NEW YORK MERCANTILE EXCHANGE</t>
  </si>
  <si>
    <t>06665B</t>
  </si>
  <si>
    <t>(CONTRACTS OF 1,000 METRIC TONS)</t>
  </si>
  <si>
    <t>PROPANE NON-LDH MT BEL - NEW YORK MERCANTILE EXCHANGE</t>
  </si>
  <si>
    <t>06665G</t>
  </si>
  <si>
    <t>PROPANE - NEW YORK MERCANTILE EXCHANGE</t>
  </si>
  <si>
    <t>06665O</t>
  </si>
  <si>
    <t>MT BELVIEU ETHANE OPIS - NEW YORK MERCANTILE EXCHANGE</t>
  </si>
  <si>
    <t>06665P</t>
  </si>
  <si>
    <t>MT BELV NORM BUTANE OPIS - NEW YORK MERCANTILE EXCHANGE</t>
  </si>
  <si>
    <t>06665Q</t>
  </si>
  <si>
    <t>MT BELV NAT GASOLINE OPIS - NEW YORK MERCANTILE EXCHANGE</t>
  </si>
  <si>
    <t>06665R</t>
  </si>
  <si>
    <t>CONWAY PROPANE (OPIS) - NEW YORK MERCANTILE EXCHANGE</t>
  </si>
  <si>
    <t>06665T</t>
  </si>
  <si>
    <t>MT BELVIEU LDH PROPANE BALMO - NEW YORK MERCANTILE EXCHANGE</t>
  </si>
  <si>
    <t>06665W</t>
  </si>
  <si>
    <t>CRUDE DIFF-WCS HOUSTON/WTI 1ST - ICE FUTURES ENERGY DIV</t>
  </si>
  <si>
    <t>06739C</t>
  </si>
  <si>
    <t xml:space="preserve">067 </t>
  </si>
  <si>
    <t>1000 Barrels</t>
  </si>
  <si>
    <t>CRUDE OIL, LIGHT SWEET-WTI - ICE FUTURES EUROPE</t>
  </si>
  <si>
    <t>067411</t>
  </si>
  <si>
    <t>ICEU</t>
  </si>
  <si>
    <t>(CONTRACTS OF 1,000 BARRELS)</t>
  </si>
  <si>
    <t>CRUDE DIFF-TMX WCS 1A INDEX - ICE FUTURES ENERGY DIV</t>
  </si>
  <si>
    <t>06742G</t>
  </si>
  <si>
    <t>1000 BARRELS</t>
  </si>
  <si>
    <t>CRUDE DIFF-TMX SW 1A INDEX - ICE FUTURES ENERGY DIV</t>
  </si>
  <si>
    <t>06742T</t>
  </si>
  <si>
    <t>WTI-PHYSICAL - NEW YORK MERCANTILE EXCHANGE</t>
  </si>
  <si>
    <t>067651</t>
  </si>
  <si>
    <t>WTI FINANCIAL CRUDE OIL - NEW YORK MERCANTILE EXCHANGE</t>
  </si>
  <si>
    <t>06765A</t>
  </si>
  <si>
    <t>BRENT LAST DAY - NEW YORK MERCANTILE EXCHANGE</t>
  </si>
  <si>
    <t>06765T</t>
  </si>
  <si>
    <t>WTI  HOUSTON ARGUS/WTI TR MO - NEW YORK MERCANTILE EXCHANGE</t>
  </si>
  <si>
    <t>0676A5</t>
  </si>
  <si>
    <t>WTI MIDLAND ARGUS VS WTI TRADE - NEW YORK MERCANTILE EXCHANGE</t>
  </si>
  <si>
    <t>067A71</t>
  </si>
  <si>
    <t>COCOA - ICE FUTURES U.S.</t>
  </si>
  <si>
    <t>073732</t>
  </si>
  <si>
    <t xml:space="preserve">073 </t>
  </si>
  <si>
    <t>(CONTRACTS OF 10 METRIC TONS)</t>
  </si>
  <si>
    <t>PALLADIUM - NEW YORK MERCANTILE EXCHANGE</t>
  </si>
  <si>
    <t>075651</t>
  </si>
  <si>
    <t xml:space="preserve">075 </t>
  </si>
  <si>
    <t>(CONTRACTS OF 100 TROY OUNCES)</t>
  </si>
  <si>
    <t>PLATINUM - NEW YORK MERCANTILE EXCHANGE</t>
  </si>
  <si>
    <t>076651</t>
  </si>
  <si>
    <t xml:space="preserve">076 </t>
  </si>
  <si>
    <t>(CONTRACTS OF 50 TROY OUNCES)</t>
  </si>
  <si>
    <t>SUGAR NO. 11 - ICE FUTURES U.S.</t>
  </si>
  <si>
    <t>080732</t>
  </si>
  <si>
    <t xml:space="preserve">080 </t>
  </si>
  <si>
    <t>(CONTRACTS OF 112,000 POUNDS)</t>
  </si>
  <si>
    <t>COFFEE C - ICE FUTURES U.S.</t>
  </si>
  <si>
    <t>083731</t>
  </si>
  <si>
    <t xml:space="preserve">083 </t>
  </si>
  <si>
    <t>(CONTRACTS OF 37,500 POUNDS)</t>
  </si>
  <si>
    <t>SILVER - COMMODITY EXCHANGE INC.</t>
  </si>
  <si>
    <t>084691</t>
  </si>
  <si>
    <t xml:space="preserve">CMX </t>
  </si>
  <si>
    <t xml:space="preserve">084 </t>
  </si>
  <si>
    <t>(CONTRACTS OF 5,000 TROY OUNCES)</t>
  </si>
  <si>
    <t>COPPER- #1 - COMMODITY EXCHANGE INC.</t>
  </si>
  <si>
    <t>085692</t>
  </si>
  <si>
    <t xml:space="preserve">085 </t>
  </si>
  <si>
    <t>(CONTRACTS OF 25,000 POUNDS)</t>
  </si>
  <si>
    <t>GOLD - COMMODITY EXCHANGE INC.</t>
  </si>
  <si>
    <t>088691</t>
  </si>
  <si>
    <t xml:space="preserve">088 </t>
  </si>
  <si>
    <t>CANADIAN DOLLAR - CHICAGO MERCANTILE EXCHANGE</t>
  </si>
  <si>
    <t>090741</t>
  </si>
  <si>
    <t xml:space="preserve">090 </t>
  </si>
  <si>
    <t>(CONTRACTS OF CAD 100,000)</t>
  </si>
  <si>
    <t>SWISS FRANC - CHICAGO MERCANTILE EXCHANGE</t>
  </si>
  <si>
    <t>092741</t>
  </si>
  <si>
    <t xml:space="preserve">092 </t>
  </si>
  <si>
    <t>(CONTRACTS OF CHF 125,000)</t>
  </si>
  <si>
    <t>MEXICAN PESO - CHICAGO MERCANTILE EXCHANGE</t>
  </si>
  <si>
    <t>095741</t>
  </si>
  <si>
    <t xml:space="preserve">095 </t>
  </si>
  <si>
    <t>(CONTRACTS OF MXN 500,000)</t>
  </si>
  <si>
    <t>BRITISH POUND - CHICAGO MERCANTILE EXCHANGE</t>
  </si>
  <si>
    <t>096742</t>
  </si>
  <si>
    <t xml:space="preserve">096 </t>
  </si>
  <si>
    <t>(CONTRACTS OF GBP 62,500)</t>
  </si>
  <si>
    <t>JAPANESE YEN - CHICAGO MERCANTILE EXCHANGE</t>
  </si>
  <si>
    <t>097741</t>
  </si>
  <si>
    <t xml:space="preserve">097 </t>
  </si>
  <si>
    <t>(CONTRACTS OF JPY 12,500,000)</t>
  </si>
  <si>
    <t>USD INDEX - ICE FUTURES U.S.</t>
  </si>
  <si>
    <t>098662</t>
  </si>
  <si>
    <t xml:space="preserve">098 </t>
  </si>
  <si>
    <t>(U.S. DOLLAR INDEX X $1000)</t>
  </si>
  <si>
    <t>099741</t>
  </si>
  <si>
    <t xml:space="preserve">099 </t>
  </si>
  <si>
    <t>(CONTRACTS OF EUR 125,000)</t>
  </si>
  <si>
    <t>BRAZILIAN REAL - CHICAGO MERCANTILE EXCHANGE</t>
  </si>
  <si>
    <t>102741</t>
  </si>
  <si>
    <t xml:space="preserve">102 </t>
  </si>
  <si>
    <t>(CONTRACTS OF BRL 100,000)</t>
  </si>
  <si>
    <t>GASOLINE RBOB - NEW YORK MERCANTILE EXCHANGE</t>
  </si>
  <si>
    <t>111659</t>
  </si>
  <si>
    <t xml:space="preserve">111 </t>
  </si>
  <si>
    <t>NZ DOLLAR - CHICAGO MERCANTILE EXCHANGE</t>
  </si>
  <si>
    <t>112741</t>
  </si>
  <si>
    <t xml:space="preserve">112 </t>
  </si>
  <si>
    <t>(CONTRACTS OF NZD 100,000)</t>
  </si>
  <si>
    <t>VIX FUTURES - CBOE FUTURES EXCHANGE</t>
  </si>
  <si>
    <t>1170E1</t>
  </si>
  <si>
    <t xml:space="preserve">E   </t>
  </si>
  <si>
    <t xml:space="preserve">117 </t>
  </si>
  <si>
    <t>($1000 X INDEX)</t>
  </si>
  <si>
    <t>SO AFRICAN RAND - CHICAGO MERCANTILE EXCHANGE</t>
  </si>
  <si>
    <t>122741</t>
  </si>
  <si>
    <t xml:space="preserve">122 </t>
  </si>
  <si>
    <t>(CONTRACTS OF ZAR 500,000)</t>
  </si>
  <si>
    <t>DJIA Consolidated - CHICAGO BOARD OF TRADE</t>
  </si>
  <si>
    <t>12460+</t>
  </si>
  <si>
    <t xml:space="preserve">124 </t>
  </si>
  <si>
    <t>($10 X DJIA INDEX)</t>
  </si>
  <si>
    <t>DJIA x $5 - CHICAGO BOARD OF TRADE</t>
  </si>
  <si>
    <t>124603</t>
  </si>
  <si>
    <t>($5 X DJIA INDEX)</t>
  </si>
  <si>
    <t>DOW JONES U.S. REAL ESTATE IDX - CHICAGO BOARD OF TRADE</t>
  </si>
  <si>
    <t>124606</t>
  </si>
  <si>
    <t>($100 X DJ US REAL ESTATE INDEX)</t>
  </si>
  <si>
    <t>MICRO E-MINI DJIA (x$0.5) - CHICAGO BOARD OF TRADE</t>
  </si>
  <si>
    <t>124608</t>
  </si>
  <si>
    <t>($0.5 X DJIA INDEX)</t>
  </si>
  <si>
    <t>EURODOLLARS-3M - CHICAGO MERCANTILE EXCHANGE</t>
  </si>
  <si>
    <t>132741</t>
  </si>
  <si>
    <t xml:space="preserve">132 </t>
  </si>
  <si>
    <t>(CONTRACTS OF $1,000,000)</t>
  </si>
  <si>
    <t>BITCOIN - CHICAGO MERCANTILE EXCHANGE</t>
  </si>
  <si>
    <t>133741</t>
  </si>
  <si>
    <t xml:space="preserve">133 </t>
  </si>
  <si>
    <t>(5 Bitcoins)</t>
  </si>
  <si>
    <t>MICRO BITCOIN - CHICAGO MERCANTILE EXCHANGE</t>
  </si>
  <si>
    <t>133742</t>
  </si>
  <si>
    <t>(Bitcoin X $0.10)</t>
  </si>
  <si>
    <t>SOFR-3M - CHICAGO MERCANTILE EXCHANGE</t>
  </si>
  <si>
    <t>134741</t>
  </si>
  <si>
    <t xml:space="preserve">134 </t>
  </si>
  <si>
    <t>($2,500 x Contract IMM Index)</t>
  </si>
  <si>
    <t>SOFR-1M - CHICAGO MERCANTILE EXCHANGE</t>
  </si>
  <si>
    <t>134742</t>
  </si>
  <si>
    <t>($4,167 x Contract IMM Index)</t>
  </si>
  <si>
    <t>CANOLA - ICE FUTURES U.S.</t>
  </si>
  <si>
    <t>135731</t>
  </si>
  <si>
    <t xml:space="preserve">135 </t>
  </si>
  <si>
    <t>(20 Metric Tonnes)</t>
  </si>
  <si>
    <t>S&amp;P 500 Consolidated - CHICAGO MERCANTILE EXCHANGE</t>
  </si>
  <si>
    <t>13874+</t>
  </si>
  <si>
    <t xml:space="preserve">138 </t>
  </si>
  <si>
    <t>(S&amp;P 500 INDEX X $250.00)</t>
  </si>
  <si>
    <t>E-MINI S&amp;P ENERGY INDEX - CHICAGO MERCANTILE EXCHANGE</t>
  </si>
  <si>
    <t>138749</t>
  </si>
  <si>
    <t>($100 x S&amp;P Select Sector Energy Index p</t>
  </si>
  <si>
    <t>E-MINI S&amp;P 500 - CHICAGO MERCANTILE EXCHANGE</t>
  </si>
  <si>
    <t>13874A</t>
  </si>
  <si>
    <t>($50 X S&amp;P 500 INDEX)</t>
  </si>
  <si>
    <t>E-MINI S&amp;P FINANCIAL INDEX - CHICAGO MERCANTILE EXCHANGE</t>
  </si>
  <si>
    <t>13874C</t>
  </si>
  <si>
    <t>($250 x S&amp;P Select Sector Financial Inde</t>
  </si>
  <si>
    <t>E-MINI S&amp;P HEALTH CARE INDEX - CHICAGO MERCANTILE EXCHANGE</t>
  </si>
  <si>
    <t>13874E</t>
  </si>
  <si>
    <t>($100 x S&amp;P Select Sector Health Care In</t>
  </si>
  <si>
    <t>E-MINI S&amp;P INDUSTRIAL INDEX - CHICAGO MERCANTILE EXCHANGE</t>
  </si>
  <si>
    <t>13874F</t>
  </si>
  <si>
    <t>($100 x S&amp;P Select Sector Industrial Ind</t>
  </si>
  <si>
    <t>E-MINI S&amp;P UTILITIES INDEX - CHICAGO MERCANTILE EXCHANGE</t>
  </si>
  <si>
    <t>13874J</t>
  </si>
  <si>
    <t>($100 x S&amp;P Select Sector Utilities Inde</t>
  </si>
  <si>
    <t>MICRO E-MINI S&amp;P 500 INDEX - CHICAGO MERCANTILE EXCHANGE</t>
  </si>
  <si>
    <t>13874U</t>
  </si>
  <si>
    <t>($5 X S&amp;P 500 INDEX)</t>
  </si>
  <si>
    <t>ADJUSTED INT RATE S&amp;P 500 TOTL - CHICAGO MERCANTILE EXCHANGE</t>
  </si>
  <si>
    <t>13874W</t>
  </si>
  <si>
    <t>(S&amp;P 500 TOTAL RETURN INDEX x $25)</t>
  </si>
  <si>
    <t>ETHER CASH SETTLED - CHICAGO MERCANTILE EXCHANGE</t>
  </si>
  <si>
    <t>146021</t>
  </si>
  <si>
    <t xml:space="preserve">146 </t>
  </si>
  <si>
    <t>(50 Index Points)</t>
  </si>
  <si>
    <t>MICRO ETHER - CHICAGO MERCANTILE EXCHANGE</t>
  </si>
  <si>
    <t>146022</t>
  </si>
  <si>
    <t>(0.1 Index Points)</t>
  </si>
  <si>
    <t>COBALT - COMMODITY EXCHANGE INC.</t>
  </si>
  <si>
    <t>188691</t>
  </si>
  <si>
    <t xml:space="preserve">188 </t>
  </si>
  <si>
    <t>2,204.62 pounds (1 Metric Ton)</t>
  </si>
  <si>
    <t>ALUMINUM MWP - COMMODITY EXCHANGE INC.</t>
  </si>
  <si>
    <t>191693</t>
  </si>
  <si>
    <t xml:space="preserve">191 </t>
  </si>
  <si>
    <t>(55,116 US Pounds-25 MT)</t>
  </si>
  <si>
    <t>ALUMINIUM EURO PREM DUTY-PAID - COMMODITY EXCHANGE INC.</t>
  </si>
  <si>
    <t>191696</t>
  </si>
  <si>
    <t>(25 METRIC TONS)</t>
  </si>
  <si>
    <t>STEEL-HRC - COMMODITY EXCHANGE INC.</t>
  </si>
  <si>
    <t>192651</t>
  </si>
  <si>
    <t xml:space="preserve">192 </t>
  </si>
  <si>
    <t>(CONTRACTS OF 20 SHORT TONS)</t>
  </si>
  <si>
    <t>NASDAQ-100 Consolidated - CHICAGO MERCANTILE EXCHANGE</t>
  </si>
  <si>
    <t>20974+</t>
  </si>
  <si>
    <t xml:space="preserve">209 </t>
  </si>
  <si>
    <t>(NASDAQ 100 INDEX X $100)</t>
  </si>
  <si>
    <t>NASDAQ MINI - CHICAGO MERCANTILE EXCHANGE</t>
  </si>
  <si>
    <t>209742</t>
  </si>
  <si>
    <t>(NASDAQ 100 STOCK INDEX X $20)</t>
  </si>
  <si>
    <t>MICRO E-MINI NASDAQ-100 INDEX - CHICAGO MERCANTILE EXCHANGE</t>
  </si>
  <si>
    <t>209747</t>
  </si>
  <si>
    <t>(NASDAQ 100 STOCK INDEX x $2)</t>
  </si>
  <si>
    <t>BBG COMMODITY - CHICAGO BOARD OF TRADE</t>
  </si>
  <si>
    <t>221602</t>
  </si>
  <si>
    <t xml:space="preserve">221 </t>
  </si>
  <si>
    <t>($100 X INDEX)</t>
  </si>
  <si>
    <t>AUSTRALIAN DOLLAR - CHICAGO MERCANTILE EXCHANGE</t>
  </si>
  <si>
    <t>232741</t>
  </si>
  <si>
    <t xml:space="preserve">232 </t>
  </si>
  <si>
    <t>(CONTRACTS OF AUD 100,000)</t>
  </si>
  <si>
    <t>RUSSELL E-MINI - CHICAGO MERCANTILE EXCHANGE</t>
  </si>
  <si>
    <t>239742</t>
  </si>
  <si>
    <t xml:space="preserve">239 </t>
  </si>
  <si>
    <t>(RUSSEL 2000 INDEX X $50)</t>
  </si>
  <si>
    <t>EMINI RUSSELL 1000 VALUE INDEX - CHICAGO MERCANTILE EXCHANGE</t>
  </si>
  <si>
    <t>239744</t>
  </si>
  <si>
    <t>(RUSSELL 1000 VALUE INDEX x $50)</t>
  </si>
  <si>
    <t>NIKKEI STOCK AVERAGE - CHICAGO MERCANTILE EXCHANGE</t>
  </si>
  <si>
    <t>240741</t>
  </si>
  <si>
    <t xml:space="preserve">240 </t>
  </si>
  <si>
    <t>(NIKKEI INDEX X $5.00)</t>
  </si>
  <si>
    <t>NIKKEI STOCK AVERAGE YEN DENOM - CHICAGO MERCANTILE EXCHANGE</t>
  </si>
  <si>
    <t>240743</t>
  </si>
  <si>
    <t>(NIKKEI INDEX X JPY 500)</t>
  </si>
  <si>
    <t>MSCI EAFE - ICE FUTURES U.S.</t>
  </si>
  <si>
    <t>244041</t>
  </si>
  <si>
    <t xml:space="preserve">244 </t>
  </si>
  <si>
    <t>(MSCI EAFE INDEX X $50)</t>
  </si>
  <si>
    <t>MSCI EM INDEX - ICE FUTURES U.S.</t>
  </si>
  <si>
    <t>244042</t>
  </si>
  <si>
    <t>(MSCI Emerging Markets Index x $50)</t>
  </si>
  <si>
    <t>EURO FX/BRITISH POUND XRATE - CHICAGO MERCANTILE EXCHANGE</t>
  </si>
  <si>
    <t>299741</t>
  </si>
  <si>
    <t>E-MINI S&amp;P 400 STOCK INDEX - CHICAGO MERCANTILE EXCHANGE</t>
  </si>
  <si>
    <t>33874A</t>
  </si>
  <si>
    <t>(S&amp;P 400 INDEX X $100)</t>
  </si>
  <si>
    <t>S&amp;P 500 ANNUAL DIVIDEND INDEX - CHICAGO MERCANTILE EXCHANGE</t>
  </si>
  <si>
    <t>43874A</t>
  </si>
  <si>
    <t xml:space="preserve">438 </t>
  </si>
  <si>
    <t>(S&amp;P 500 ANNUAL DIVIDEND INDEX X $250)</t>
  </si>
  <si>
    <t>GULF JET NY HEAT OIL SPR - NEW YORK MERCANTILE EXCHANGE</t>
  </si>
  <si>
    <t>86465A</t>
  </si>
  <si>
    <t xml:space="preserve">864 </t>
  </si>
  <si>
    <t>MARINE .5% FOB USGC/BRENT 1st - ICE FUTURES ENERGY DIV</t>
  </si>
  <si>
    <t>865392</t>
  </si>
  <si>
    <t xml:space="preserve">865 </t>
  </si>
  <si>
    <t>1,000 Barrels</t>
  </si>
  <si>
    <t>GULF # 6 FUEL OIL CRACK - NEW YORK MERCANTILE EXCHANGE</t>
  </si>
  <si>
    <t>86565A</t>
  </si>
  <si>
    <t>DATE</t>
  </si>
  <si>
    <t>Date</t>
  </si>
  <si>
    <t>Currency</t>
  </si>
  <si>
    <t>* Currency Code to Modify</t>
  </si>
  <si>
    <t>Example: EUR for Euro, JPY for Japanse Yen</t>
  </si>
  <si>
    <t xml:space="preserve">COT Non-Commercial Net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</si>
</sst>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numFmt numFmtId="165" formatCode="dd\-mm\-yyyy"/>
  </numFmts>
  <fonts count="14" x14ac:knownFonts="1">
    <font>
      <sz val="11"/>
      <color theme="1"/>
      <name val="Calibri"/>
      <family val="2"/>
      <scheme val="minor"/>
    </font>
    <font>
      <b/>
      <sz val="11"/>
      <color theme="1"/>
      <name val="Calibri"/>
      <family val="2"/>
      <scheme val="minor"/>
    </font>
    <font>
      <sz val="10"/>
      <name val="Arial"/>
      <family val="2"/>
    </font>
    <font>
      <u/>
      <sz val="11"/>
      <color theme="10"/>
      <name val="Calibri"/>
      <family val="2"/>
      <scheme val="minor"/>
    </font>
    <font>
      <b/>
      <sz val="11"/>
      <color theme="0"/>
      <name val="Calibri"/>
      <family val="2"/>
      <scheme val="minor"/>
    </font>
    <font>
      <b/>
      <sz val="10"/>
      <name val="Arial"/>
      <family val="2"/>
    </font>
    <font>
      <b/>
      <sz val="10"/>
      <color theme="0"/>
      <name val="Arial"/>
      <family val="2"/>
    </font>
    <font>
      <sz val="10"/>
      <color theme="1"/>
      <name val="Calibri"/>
      <family val="2"/>
      <scheme val="minor"/>
    </font>
    <font>
      <sz val="11"/>
      <color rgb="FF00B0F0"/>
      <name val="Calibri"/>
      <family val="2"/>
      <scheme val="minor"/>
    </font>
    <font>
      <b/>
      <sz val="11"/>
      <color rgb="FF494444"/>
      <name val="Calibri"/>
      <family val="2"/>
      <scheme val="minor"/>
    </font>
    <font>
      <sz val="11"/>
      <color rgb="FF494444"/>
      <name val="Arial"/>
      <family val="2"/>
    </font>
    <font>
      <b/>
      <sz val="11"/>
      <name val="Calibri"/>
      <family val="2"/>
      <scheme val="minor"/>
    </font>
    <font>
      <b/>
      <sz val="11"/>
      <color rgb="FF00B0F0"/>
      <name val="Calibri"/>
      <family val="2"/>
      <scheme val="minor"/>
    </font>
    <font>
      <sz val="11"/>
      <color theme="1"/>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rgb="FFFFFF00"/>
        <bgColor indexed="64"/>
      </patternFill>
    </fill>
    <fill>
      <patternFill patternType="solid">
        <fgColor theme="4" tint="0.79998168889431442"/>
        <bgColor indexed="64"/>
      </patternFill>
    </fill>
  </fills>
  <borders count="1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5">
    <xf numFmtId="0" fontId="0" fillId="0" borderId="0"/>
    <xf numFmtId="0" fontId="2" fillId="0" borderId="0"/>
    <xf numFmtId="0" fontId="2" fillId="0" borderId="0"/>
    <xf numFmtId="0" fontId="3" fillId="0" borderId="0"/>
    <xf numFmtId="9" fontId="13" fillId="0" borderId="0"/>
  </cellStyleXfs>
  <cellXfs count="64">
    <xf numFmtId="0" fontId="0" fillId="0" borderId="0" xfId="0"/>
    <xf numFmtId="164" fontId="0" fillId="0" borderId="0" xfId="0" applyNumberFormat="1"/>
    <xf numFmtId="0" fontId="0" fillId="2" borderId="5" xfId="0" applyFill="1" applyBorder="1" applyAlignment="1">
      <alignment horizontal="center"/>
    </xf>
    <xf numFmtId="3" fontId="0" fillId="2" borderId="6" xfId="0" applyNumberFormat="1" applyFill="1" applyBorder="1" applyAlignment="1">
      <alignment horizontal="center"/>
    </xf>
    <xf numFmtId="0" fontId="0" fillId="2" borderId="7" xfId="0" applyFill="1" applyBorder="1" applyAlignment="1">
      <alignment horizontal="center"/>
    </xf>
    <xf numFmtId="9" fontId="0" fillId="2" borderId="10" xfId="0" applyNumberFormat="1" applyFill="1" applyBorder="1" applyAlignment="1">
      <alignment horizontal="center"/>
    </xf>
    <xf numFmtId="9" fontId="0" fillId="2" borderId="14" xfId="0" applyNumberFormat="1" applyFill="1" applyBorder="1" applyAlignment="1">
      <alignment horizontal="center"/>
    </xf>
    <xf numFmtId="0" fontId="0" fillId="2" borderId="0" xfId="0" applyFill="1" applyAlignment="1">
      <alignment horizontal="center"/>
    </xf>
    <xf numFmtId="0" fontId="5" fillId="2" borderId="8" xfId="0" applyFont="1" applyFill="1" applyBorder="1" applyAlignment="1">
      <alignment horizontal="center"/>
    </xf>
    <xf numFmtId="0" fontId="5" fillId="2" borderId="11" xfId="0" applyFont="1" applyFill="1" applyBorder="1" applyAlignment="1">
      <alignment horizontal="center"/>
    </xf>
    <xf numFmtId="0" fontId="6" fillId="3" borderId="1" xfId="0" applyFont="1" applyFill="1" applyBorder="1" applyAlignment="1">
      <alignment horizontal="center" wrapText="1"/>
    </xf>
    <xf numFmtId="0" fontId="6" fillId="3" borderId="2" xfId="0" applyFont="1" applyFill="1" applyBorder="1" applyAlignment="1">
      <alignment horizontal="center" wrapText="1"/>
    </xf>
    <xf numFmtId="3" fontId="6" fillId="3" borderId="2" xfId="0" applyNumberFormat="1" applyFont="1" applyFill="1" applyBorder="1" applyAlignment="1">
      <alignment horizontal="center" wrapText="1"/>
    </xf>
    <xf numFmtId="0" fontId="4" fillId="3" borderId="1" xfId="0" applyFont="1" applyFill="1" applyBorder="1" applyAlignment="1">
      <alignment horizontal="center" wrapText="1"/>
    </xf>
    <xf numFmtId="0" fontId="4" fillId="3" borderId="2" xfId="0" applyFont="1" applyFill="1" applyBorder="1" applyAlignment="1">
      <alignment horizontal="center" wrapText="1"/>
    </xf>
    <xf numFmtId="0" fontId="4" fillId="3" borderId="3" xfId="0" applyFont="1" applyFill="1" applyBorder="1" applyAlignment="1">
      <alignment horizontal="center" wrapText="1"/>
    </xf>
    <xf numFmtId="0" fontId="6" fillId="3" borderId="4" xfId="0" applyFont="1" applyFill="1" applyBorder="1" applyAlignment="1">
      <alignment horizontal="center"/>
    </xf>
    <xf numFmtId="0" fontId="0" fillId="4" borderId="0" xfId="0" applyFill="1"/>
    <xf numFmtId="0" fontId="1" fillId="4" borderId="0" xfId="0" applyFont="1" applyFill="1"/>
    <xf numFmtId="14" fontId="7" fillId="2" borderId="0" xfId="0" applyNumberFormat="1" applyFont="1" applyFill="1" applyAlignment="1">
      <alignment horizontal="center"/>
    </xf>
    <xf numFmtId="0" fontId="0" fillId="3" borderId="1" xfId="0" applyFill="1" applyBorder="1" applyAlignment="1">
      <alignment horizontal="center"/>
    </xf>
    <xf numFmtId="0" fontId="1" fillId="3" borderId="3" xfId="0" applyFont="1" applyFill="1" applyBorder="1" applyAlignment="1">
      <alignment horizontal="center" wrapText="1"/>
    </xf>
    <xf numFmtId="0" fontId="8" fillId="2" borderId="0" xfId="0" applyFont="1" applyFill="1"/>
    <xf numFmtId="0" fontId="8" fillId="2" borderId="3" xfId="0" applyFont="1" applyFill="1" applyBorder="1" applyAlignment="1">
      <alignment horizontal="center"/>
    </xf>
    <xf numFmtId="0" fontId="1" fillId="2" borderId="1" xfId="0" applyFont="1" applyFill="1" applyBorder="1" applyAlignment="1">
      <alignment horizontal="center"/>
    </xf>
    <xf numFmtId="0" fontId="3" fillId="0" borderId="0" xfId="3"/>
    <xf numFmtId="0" fontId="10" fillId="0" borderId="0" xfId="0" applyFont="1"/>
    <xf numFmtId="0" fontId="0" fillId="2" borderId="0" xfId="0" applyFill="1" applyAlignment="1">
      <alignment vertical="center"/>
    </xf>
    <xf numFmtId="0" fontId="5" fillId="5" borderId="4" xfId="0" applyFont="1" applyFill="1" applyBorder="1" applyAlignment="1">
      <alignment horizontal="center"/>
    </xf>
    <xf numFmtId="0" fontId="5" fillId="5" borderId="1" xfId="0" applyFont="1" applyFill="1" applyBorder="1" applyAlignment="1">
      <alignment horizontal="center" wrapText="1"/>
    </xf>
    <xf numFmtId="0" fontId="5" fillId="5" borderId="2" xfId="0" applyFont="1" applyFill="1" applyBorder="1" applyAlignment="1">
      <alignment horizontal="center" wrapText="1"/>
    </xf>
    <xf numFmtId="3" fontId="5" fillId="5" borderId="2" xfId="0" applyNumberFormat="1" applyFont="1" applyFill="1" applyBorder="1" applyAlignment="1">
      <alignment horizontal="center" wrapText="1"/>
    </xf>
    <xf numFmtId="0" fontId="11" fillId="5" borderId="1" xfId="0" applyFont="1" applyFill="1" applyBorder="1" applyAlignment="1">
      <alignment horizontal="center" wrapText="1"/>
    </xf>
    <xf numFmtId="0" fontId="11" fillId="5" borderId="2" xfId="0" applyFont="1" applyFill="1" applyBorder="1" applyAlignment="1">
      <alignment horizontal="center" wrapText="1"/>
    </xf>
    <xf numFmtId="0" fontId="11" fillId="5" borderId="3" xfId="0" applyFont="1" applyFill="1" applyBorder="1" applyAlignment="1">
      <alignment horizontal="center" wrapText="1"/>
    </xf>
    <xf numFmtId="3" fontId="12" fillId="2" borderId="0" xfId="0" applyNumberFormat="1" applyFont="1" applyFill="1" applyAlignment="1">
      <alignment horizontal="center"/>
    </xf>
    <xf numFmtId="0" fontId="0" fillId="2" borderId="6" xfId="0" applyFill="1" applyBorder="1" applyAlignment="1">
      <alignment horizontal="center"/>
    </xf>
    <xf numFmtId="3" fontId="0" fillId="2" borderId="7" xfId="0" applyNumberFormat="1" applyFill="1" applyBorder="1" applyAlignment="1">
      <alignment horizontal="center"/>
    </xf>
    <xf numFmtId="3" fontId="0" fillId="2" borderId="9" xfId="0" applyNumberFormat="1" applyFill="1" applyBorder="1" applyAlignment="1">
      <alignment horizontal="center"/>
    </xf>
    <xf numFmtId="3" fontId="0" fillId="2" borderId="13" xfId="0" applyNumberFormat="1" applyFill="1" applyBorder="1" applyAlignment="1">
      <alignment horizontal="center"/>
    </xf>
    <xf numFmtId="3" fontId="0" fillId="2" borderId="12" xfId="0" applyNumberFormat="1" applyFill="1" applyBorder="1" applyAlignment="1">
      <alignment horizontal="center"/>
    </xf>
    <xf numFmtId="9" fontId="0" fillId="2" borderId="10" xfId="4" applyFont="1" applyFill="1" applyBorder="1" applyAlignment="1">
      <alignment horizontal="center"/>
    </xf>
    <xf numFmtId="9" fontId="0" fillId="2" borderId="14" xfId="4" applyFont="1" applyFill="1" applyBorder="1" applyAlignment="1">
      <alignment horizontal="center"/>
    </xf>
    <xf numFmtId="14" fontId="8" fillId="2" borderId="3" xfId="0" applyNumberFormat="1" applyFont="1" applyFill="1" applyBorder="1" applyAlignment="1">
      <alignment horizontal="center"/>
    </xf>
    <xf numFmtId="3" fontId="0" fillId="2" borderId="10" xfId="0" applyNumberFormat="1" applyFill="1" applyBorder="1" applyAlignment="1">
      <alignment horizontal="center"/>
    </xf>
    <xf numFmtId="3" fontId="0" fillId="2" borderId="14" xfId="0" applyNumberFormat="1" applyFill="1" applyBorder="1" applyAlignment="1">
      <alignment horizontal="center"/>
    </xf>
    <xf numFmtId="0" fontId="1" fillId="2" borderId="0" xfId="0" applyFont="1" applyFill="1" applyAlignment="1">
      <alignment horizontal="center"/>
    </xf>
    <xf numFmtId="14" fontId="8" fillId="2" borderId="0" xfId="0" applyNumberFormat="1" applyFont="1" applyFill="1" applyAlignment="1">
      <alignment horizontal="center"/>
    </xf>
    <xf numFmtId="3" fontId="0" fillId="2" borderId="0" xfId="0" applyNumberFormat="1" applyFill="1" applyAlignment="1">
      <alignment horizontal="center"/>
    </xf>
    <xf numFmtId="0" fontId="0" fillId="2" borderId="0" xfId="0" applyFill="1"/>
    <xf numFmtId="0" fontId="0" fillId="2" borderId="0" xfId="0" applyFill="1" applyAlignment="1">
      <alignment wrapText="1"/>
    </xf>
    <xf numFmtId="165" fontId="0" fillId="0" borderId="0" xfId="0" applyNumberFormat="1"/>
    <xf numFmtId="0" fontId="1" fillId="2" borderId="12" xfId="0" applyFont="1" applyFill="1" applyBorder="1" applyAlignment="1">
      <alignment horizontal="center" vertical="center"/>
    </xf>
    <xf numFmtId="0" fontId="0" fillId="2" borderId="0" xfId="0" applyFill="1"/>
    <xf numFmtId="0" fontId="0" fillId="0" borderId="12" xfId="0" applyBorder="1"/>
    <xf numFmtId="0" fontId="4" fillId="3" borderId="17" xfId="0" applyFont="1" applyFill="1" applyBorder="1" applyAlignment="1">
      <alignment horizontal="center"/>
    </xf>
    <xf numFmtId="0" fontId="0" fillId="0" borderId="2" xfId="0" applyBorder="1"/>
    <xf numFmtId="0" fontId="0" fillId="0" borderId="3" xfId="0" applyBorder="1"/>
    <xf numFmtId="0" fontId="1" fillId="5" borderId="18" xfId="0" applyFont="1" applyFill="1" applyBorder="1" applyAlignment="1">
      <alignment horizontal="center"/>
    </xf>
    <xf numFmtId="0" fontId="0" fillId="0" borderId="15" xfId="0" applyBorder="1"/>
    <xf numFmtId="0" fontId="0" fillId="0" borderId="16" xfId="0" applyBorder="1"/>
    <xf numFmtId="0" fontId="9" fillId="2" borderId="0" xfId="0" applyFont="1" applyFill="1" applyAlignment="1">
      <alignment wrapText="1"/>
    </xf>
    <xf numFmtId="0" fontId="0" fillId="2" borderId="0" xfId="0" applyFill="1" applyAlignment="1">
      <alignment wrapText="1"/>
    </xf>
    <xf numFmtId="0" fontId="3" fillId="2" borderId="0" xfId="3" applyFill="1" applyAlignment="1">
      <alignment wrapText="1"/>
    </xf>
  </cellXfs>
  <cellStyles count="5">
    <cellStyle name="Hyperlink" xfId="3" builtinId="8"/>
    <cellStyle name="Normal" xfId="0" builtinId="0"/>
    <cellStyle name="Normal 2" xfId="1" xr:uid="{00000000-0005-0000-0000-000001000000}"/>
    <cellStyle name="Normal 3" xfId="2" xr:uid="{00000000-0005-0000-0000-000002000000}"/>
    <cellStyle name="Percent" xfId="4" builtinId="5"/>
  </cellStyles>
  <dxfs count="5">
    <dxf>
      <numFmt numFmtId="3" formatCode="#,##0"/>
      <fill>
        <patternFill patternType="solid">
          <fgColor indexed="64"/>
          <bgColor theme="0"/>
        </patternFill>
      </fill>
      <alignment horizontal="center" vertical="bottom"/>
    </dxf>
    <dxf>
      <numFmt numFmtId="164" formatCode="m/d/yyyy"/>
      <fill>
        <patternFill patternType="solid">
          <fgColor indexed="64"/>
          <bgColor theme="0"/>
        </patternFill>
      </fill>
      <alignment horizontal="center" vertical="bottom"/>
    </dxf>
    <dxf>
      <alignment horizontal="center" vertical="bottom"/>
    </dxf>
    <dxf>
      <border>
        <bottom style="medium">
          <color indexed="64"/>
        </bottom>
      </border>
    </dxf>
    <dxf>
      <fill>
        <patternFill>
          <fgColor indexed="64"/>
          <bgColor rgb="FF00B050"/>
        </patternFill>
      </fill>
      <alignment horizontal="center" vertical="bottom"/>
      <border>
        <left/>
        <right/>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Currency!$B$2</c:f>
          <c:strCache>
            <c:ptCount val="1"/>
            <c:pt idx="0">
              <c:v>COT Non-Commercial Net - EUR</c:v>
            </c:pt>
          </c:strCache>
        </c:strRef>
      </c:tx>
      <c:overlay val="0"/>
      <c:spPr>
        <a:noFill/>
        <a:ln>
          <a:noFill/>
          <a:prstDash val="solid"/>
        </a:ln>
      </c:spPr>
    </c:title>
    <c:autoTitleDeleted val="0"/>
    <c:plotArea>
      <c:layout/>
      <c:lineChart>
        <c:grouping val="standard"/>
        <c:varyColors val="0"/>
        <c:ser>
          <c:idx val="0"/>
          <c:order val="0"/>
          <c:tx>
            <c:strRef>
              <c:f>Currency!$B$2</c:f>
              <c:strCache>
                <c:ptCount val="1"/>
                <c:pt idx="0">
                  <c:v>COT Non-Commercial Net - EUR</c:v>
                </c:pt>
              </c:strCache>
            </c:strRef>
          </c:tx>
          <c:spPr>
            <a:ln w="28575" cap="rnd">
              <a:solidFill>
                <a:schemeClr val="accent1"/>
              </a:solidFill>
              <a:prstDash val="solid"/>
              <a:round/>
            </a:ln>
          </c:spPr>
          <c:marker>
            <c:symbol val="none"/>
          </c:marker>
          <c:cat>
            <c:numRef>
              <c:f>Currency!$A$7:$A$1319</c:f>
              <c:numCache>
                <c:formatCode>m/d/yyyy</c:formatCode>
                <c:ptCount val="1313"/>
                <c:pt idx="0">
                  <c:v>36165</c:v>
                </c:pt>
                <c:pt idx="1">
                  <c:v>36172</c:v>
                </c:pt>
                <c:pt idx="2">
                  <c:v>36179</c:v>
                </c:pt>
                <c:pt idx="3">
                  <c:v>36186</c:v>
                </c:pt>
                <c:pt idx="4">
                  <c:v>36193</c:v>
                </c:pt>
                <c:pt idx="5">
                  <c:v>36200</c:v>
                </c:pt>
                <c:pt idx="6">
                  <c:v>36207</c:v>
                </c:pt>
                <c:pt idx="7">
                  <c:v>36214</c:v>
                </c:pt>
                <c:pt idx="8">
                  <c:v>36221</c:v>
                </c:pt>
                <c:pt idx="9">
                  <c:v>36228</c:v>
                </c:pt>
                <c:pt idx="10">
                  <c:v>36235</c:v>
                </c:pt>
                <c:pt idx="11">
                  <c:v>36242</c:v>
                </c:pt>
                <c:pt idx="12">
                  <c:v>36249</c:v>
                </c:pt>
                <c:pt idx="13">
                  <c:v>36256</c:v>
                </c:pt>
                <c:pt idx="14">
                  <c:v>36263</c:v>
                </c:pt>
                <c:pt idx="15">
                  <c:v>36270</c:v>
                </c:pt>
                <c:pt idx="16">
                  <c:v>36277</c:v>
                </c:pt>
                <c:pt idx="17">
                  <c:v>36284</c:v>
                </c:pt>
                <c:pt idx="18">
                  <c:v>36291</c:v>
                </c:pt>
                <c:pt idx="19">
                  <c:v>36298</c:v>
                </c:pt>
                <c:pt idx="20">
                  <c:v>36305</c:v>
                </c:pt>
                <c:pt idx="21">
                  <c:v>36312</c:v>
                </c:pt>
                <c:pt idx="22">
                  <c:v>36319</c:v>
                </c:pt>
                <c:pt idx="23">
                  <c:v>36326</c:v>
                </c:pt>
                <c:pt idx="24">
                  <c:v>36333</c:v>
                </c:pt>
                <c:pt idx="25">
                  <c:v>36340</c:v>
                </c:pt>
                <c:pt idx="26">
                  <c:v>36347</c:v>
                </c:pt>
                <c:pt idx="27">
                  <c:v>36354</c:v>
                </c:pt>
                <c:pt idx="28">
                  <c:v>36361</c:v>
                </c:pt>
                <c:pt idx="29">
                  <c:v>36368</c:v>
                </c:pt>
                <c:pt idx="30">
                  <c:v>36375</c:v>
                </c:pt>
                <c:pt idx="31">
                  <c:v>36382</c:v>
                </c:pt>
                <c:pt idx="32">
                  <c:v>36389</c:v>
                </c:pt>
                <c:pt idx="33">
                  <c:v>36396</c:v>
                </c:pt>
                <c:pt idx="34">
                  <c:v>36403</c:v>
                </c:pt>
                <c:pt idx="35">
                  <c:v>36410</c:v>
                </c:pt>
                <c:pt idx="36">
                  <c:v>36417</c:v>
                </c:pt>
                <c:pt idx="37">
                  <c:v>36424</c:v>
                </c:pt>
                <c:pt idx="38">
                  <c:v>36431</c:v>
                </c:pt>
                <c:pt idx="39">
                  <c:v>36438</c:v>
                </c:pt>
                <c:pt idx="40">
                  <c:v>36445</c:v>
                </c:pt>
                <c:pt idx="41">
                  <c:v>36452</c:v>
                </c:pt>
                <c:pt idx="42">
                  <c:v>36459</c:v>
                </c:pt>
                <c:pt idx="43">
                  <c:v>36466</c:v>
                </c:pt>
                <c:pt idx="44">
                  <c:v>36473</c:v>
                </c:pt>
                <c:pt idx="45">
                  <c:v>36480</c:v>
                </c:pt>
                <c:pt idx="46">
                  <c:v>36487</c:v>
                </c:pt>
                <c:pt idx="47">
                  <c:v>36494</c:v>
                </c:pt>
                <c:pt idx="48">
                  <c:v>36501</c:v>
                </c:pt>
                <c:pt idx="49">
                  <c:v>36508</c:v>
                </c:pt>
                <c:pt idx="50">
                  <c:v>36515</c:v>
                </c:pt>
                <c:pt idx="51">
                  <c:v>36522</c:v>
                </c:pt>
                <c:pt idx="52">
                  <c:v>36529</c:v>
                </c:pt>
                <c:pt idx="53">
                  <c:v>36536</c:v>
                </c:pt>
                <c:pt idx="54">
                  <c:v>36543</c:v>
                </c:pt>
                <c:pt idx="55">
                  <c:v>36550</c:v>
                </c:pt>
                <c:pt idx="56">
                  <c:v>36557</c:v>
                </c:pt>
                <c:pt idx="57">
                  <c:v>36564</c:v>
                </c:pt>
                <c:pt idx="58">
                  <c:v>36571</c:v>
                </c:pt>
                <c:pt idx="59">
                  <c:v>36578</c:v>
                </c:pt>
                <c:pt idx="60">
                  <c:v>36585</c:v>
                </c:pt>
                <c:pt idx="61">
                  <c:v>36592</c:v>
                </c:pt>
                <c:pt idx="62">
                  <c:v>36599</c:v>
                </c:pt>
                <c:pt idx="63">
                  <c:v>36606</c:v>
                </c:pt>
                <c:pt idx="64">
                  <c:v>36613</c:v>
                </c:pt>
                <c:pt idx="65">
                  <c:v>36620</c:v>
                </c:pt>
                <c:pt idx="66">
                  <c:v>36627</c:v>
                </c:pt>
                <c:pt idx="67">
                  <c:v>36634</c:v>
                </c:pt>
                <c:pt idx="68">
                  <c:v>36641</c:v>
                </c:pt>
                <c:pt idx="69">
                  <c:v>36648</c:v>
                </c:pt>
                <c:pt idx="70">
                  <c:v>36655</c:v>
                </c:pt>
                <c:pt idx="71">
                  <c:v>36662</c:v>
                </c:pt>
                <c:pt idx="72">
                  <c:v>36669</c:v>
                </c:pt>
                <c:pt idx="73">
                  <c:v>36676</c:v>
                </c:pt>
                <c:pt idx="74">
                  <c:v>36683</c:v>
                </c:pt>
                <c:pt idx="75">
                  <c:v>36690</c:v>
                </c:pt>
                <c:pt idx="76">
                  <c:v>36697</c:v>
                </c:pt>
                <c:pt idx="77">
                  <c:v>36704</c:v>
                </c:pt>
                <c:pt idx="78">
                  <c:v>36711</c:v>
                </c:pt>
                <c:pt idx="79">
                  <c:v>36718</c:v>
                </c:pt>
                <c:pt idx="80">
                  <c:v>36725</c:v>
                </c:pt>
                <c:pt idx="81">
                  <c:v>36732</c:v>
                </c:pt>
                <c:pt idx="82">
                  <c:v>36739</c:v>
                </c:pt>
                <c:pt idx="83">
                  <c:v>36746</c:v>
                </c:pt>
                <c:pt idx="84">
                  <c:v>36753</c:v>
                </c:pt>
                <c:pt idx="85">
                  <c:v>36760</c:v>
                </c:pt>
                <c:pt idx="86">
                  <c:v>36767</c:v>
                </c:pt>
                <c:pt idx="87">
                  <c:v>36774</c:v>
                </c:pt>
                <c:pt idx="88">
                  <c:v>36781</c:v>
                </c:pt>
                <c:pt idx="89">
                  <c:v>36788</c:v>
                </c:pt>
                <c:pt idx="90">
                  <c:v>36795</c:v>
                </c:pt>
                <c:pt idx="91">
                  <c:v>36802</c:v>
                </c:pt>
                <c:pt idx="92">
                  <c:v>36809</c:v>
                </c:pt>
                <c:pt idx="93">
                  <c:v>36816</c:v>
                </c:pt>
                <c:pt idx="94">
                  <c:v>36823</c:v>
                </c:pt>
                <c:pt idx="95">
                  <c:v>36830</c:v>
                </c:pt>
                <c:pt idx="96">
                  <c:v>36837</c:v>
                </c:pt>
                <c:pt idx="97">
                  <c:v>36844</c:v>
                </c:pt>
                <c:pt idx="98">
                  <c:v>36851</c:v>
                </c:pt>
                <c:pt idx="99">
                  <c:v>36858</c:v>
                </c:pt>
                <c:pt idx="100">
                  <c:v>36865</c:v>
                </c:pt>
                <c:pt idx="101">
                  <c:v>36872</c:v>
                </c:pt>
                <c:pt idx="102">
                  <c:v>36879</c:v>
                </c:pt>
                <c:pt idx="103">
                  <c:v>36886</c:v>
                </c:pt>
                <c:pt idx="104">
                  <c:v>36893</c:v>
                </c:pt>
                <c:pt idx="105">
                  <c:v>36900</c:v>
                </c:pt>
                <c:pt idx="106">
                  <c:v>36907</c:v>
                </c:pt>
                <c:pt idx="107">
                  <c:v>36914</c:v>
                </c:pt>
                <c:pt idx="108">
                  <c:v>36921</c:v>
                </c:pt>
                <c:pt idx="109">
                  <c:v>36928</c:v>
                </c:pt>
                <c:pt idx="110">
                  <c:v>36935</c:v>
                </c:pt>
                <c:pt idx="111">
                  <c:v>36942</c:v>
                </c:pt>
                <c:pt idx="112">
                  <c:v>36949</c:v>
                </c:pt>
                <c:pt idx="113">
                  <c:v>36956</c:v>
                </c:pt>
                <c:pt idx="114">
                  <c:v>36963</c:v>
                </c:pt>
                <c:pt idx="115">
                  <c:v>36970</c:v>
                </c:pt>
                <c:pt idx="116">
                  <c:v>36977</c:v>
                </c:pt>
                <c:pt idx="117">
                  <c:v>36984</c:v>
                </c:pt>
                <c:pt idx="118">
                  <c:v>36991</c:v>
                </c:pt>
                <c:pt idx="119">
                  <c:v>36998</c:v>
                </c:pt>
                <c:pt idx="120">
                  <c:v>37005</c:v>
                </c:pt>
                <c:pt idx="121">
                  <c:v>37012</c:v>
                </c:pt>
                <c:pt idx="122">
                  <c:v>37019</c:v>
                </c:pt>
                <c:pt idx="123">
                  <c:v>37026</c:v>
                </c:pt>
                <c:pt idx="124">
                  <c:v>37033</c:v>
                </c:pt>
                <c:pt idx="125">
                  <c:v>37040</c:v>
                </c:pt>
                <c:pt idx="126">
                  <c:v>37047</c:v>
                </c:pt>
                <c:pt idx="127">
                  <c:v>37054</c:v>
                </c:pt>
                <c:pt idx="128">
                  <c:v>37061</c:v>
                </c:pt>
                <c:pt idx="129">
                  <c:v>37068</c:v>
                </c:pt>
                <c:pt idx="130">
                  <c:v>37075</c:v>
                </c:pt>
                <c:pt idx="131">
                  <c:v>37082</c:v>
                </c:pt>
                <c:pt idx="132">
                  <c:v>37089</c:v>
                </c:pt>
                <c:pt idx="133">
                  <c:v>37096</c:v>
                </c:pt>
                <c:pt idx="134">
                  <c:v>37103</c:v>
                </c:pt>
                <c:pt idx="135">
                  <c:v>37110</c:v>
                </c:pt>
                <c:pt idx="136">
                  <c:v>37117</c:v>
                </c:pt>
                <c:pt idx="137">
                  <c:v>37124</c:v>
                </c:pt>
                <c:pt idx="138">
                  <c:v>37131</c:v>
                </c:pt>
                <c:pt idx="139">
                  <c:v>37138</c:v>
                </c:pt>
                <c:pt idx="140">
                  <c:v>37145</c:v>
                </c:pt>
                <c:pt idx="141">
                  <c:v>37152</c:v>
                </c:pt>
                <c:pt idx="142">
                  <c:v>37159</c:v>
                </c:pt>
                <c:pt idx="143">
                  <c:v>37166</c:v>
                </c:pt>
                <c:pt idx="144">
                  <c:v>37173</c:v>
                </c:pt>
                <c:pt idx="145">
                  <c:v>37180</c:v>
                </c:pt>
                <c:pt idx="146">
                  <c:v>37187</c:v>
                </c:pt>
                <c:pt idx="147">
                  <c:v>37194</c:v>
                </c:pt>
                <c:pt idx="148">
                  <c:v>37201</c:v>
                </c:pt>
                <c:pt idx="149">
                  <c:v>37208</c:v>
                </c:pt>
                <c:pt idx="150">
                  <c:v>37215</c:v>
                </c:pt>
                <c:pt idx="151">
                  <c:v>37222</c:v>
                </c:pt>
                <c:pt idx="152">
                  <c:v>37229</c:v>
                </c:pt>
                <c:pt idx="153">
                  <c:v>37236</c:v>
                </c:pt>
                <c:pt idx="154">
                  <c:v>37243</c:v>
                </c:pt>
                <c:pt idx="155">
                  <c:v>37250</c:v>
                </c:pt>
                <c:pt idx="156">
                  <c:v>37257</c:v>
                </c:pt>
                <c:pt idx="157">
                  <c:v>37264</c:v>
                </c:pt>
                <c:pt idx="158">
                  <c:v>37271</c:v>
                </c:pt>
                <c:pt idx="159">
                  <c:v>37278</c:v>
                </c:pt>
                <c:pt idx="160">
                  <c:v>37285</c:v>
                </c:pt>
                <c:pt idx="161">
                  <c:v>37292</c:v>
                </c:pt>
                <c:pt idx="162">
                  <c:v>37299</c:v>
                </c:pt>
                <c:pt idx="163">
                  <c:v>37306</c:v>
                </c:pt>
                <c:pt idx="164">
                  <c:v>37313</c:v>
                </c:pt>
                <c:pt idx="165">
                  <c:v>37320</c:v>
                </c:pt>
                <c:pt idx="166">
                  <c:v>37327</c:v>
                </c:pt>
                <c:pt idx="167">
                  <c:v>37334</c:v>
                </c:pt>
                <c:pt idx="168">
                  <c:v>37341</c:v>
                </c:pt>
                <c:pt idx="169">
                  <c:v>37348</c:v>
                </c:pt>
                <c:pt idx="170">
                  <c:v>37355</c:v>
                </c:pt>
                <c:pt idx="171">
                  <c:v>37362</c:v>
                </c:pt>
                <c:pt idx="172">
                  <c:v>37369</c:v>
                </c:pt>
                <c:pt idx="173">
                  <c:v>37376</c:v>
                </c:pt>
                <c:pt idx="174">
                  <c:v>37383</c:v>
                </c:pt>
                <c:pt idx="175">
                  <c:v>37390</c:v>
                </c:pt>
                <c:pt idx="176">
                  <c:v>37397</c:v>
                </c:pt>
                <c:pt idx="177">
                  <c:v>37404</c:v>
                </c:pt>
                <c:pt idx="178">
                  <c:v>37411</c:v>
                </c:pt>
                <c:pt idx="179">
                  <c:v>37418</c:v>
                </c:pt>
                <c:pt idx="180">
                  <c:v>37425</c:v>
                </c:pt>
                <c:pt idx="181">
                  <c:v>37432</c:v>
                </c:pt>
                <c:pt idx="182">
                  <c:v>37439</c:v>
                </c:pt>
                <c:pt idx="183">
                  <c:v>37446</c:v>
                </c:pt>
                <c:pt idx="184">
                  <c:v>37453</c:v>
                </c:pt>
                <c:pt idx="185">
                  <c:v>37460</c:v>
                </c:pt>
                <c:pt idx="186">
                  <c:v>37467</c:v>
                </c:pt>
                <c:pt idx="187">
                  <c:v>37474</c:v>
                </c:pt>
                <c:pt idx="188">
                  <c:v>37481</c:v>
                </c:pt>
                <c:pt idx="189">
                  <c:v>37488</c:v>
                </c:pt>
                <c:pt idx="190">
                  <c:v>37495</c:v>
                </c:pt>
                <c:pt idx="191">
                  <c:v>37502</c:v>
                </c:pt>
                <c:pt idx="192">
                  <c:v>37509</c:v>
                </c:pt>
                <c:pt idx="193">
                  <c:v>37516</c:v>
                </c:pt>
                <c:pt idx="194">
                  <c:v>37523</c:v>
                </c:pt>
                <c:pt idx="195">
                  <c:v>37530</c:v>
                </c:pt>
                <c:pt idx="196">
                  <c:v>37537</c:v>
                </c:pt>
                <c:pt idx="197">
                  <c:v>37544</c:v>
                </c:pt>
                <c:pt idx="198">
                  <c:v>37551</c:v>
                </c:pt>
                <c:pt idx="199">
                  <c:v>37558</c:v>
                </c:pt>
                <c:pt idx="200">
                  <c:v>37565</c:v>
                </c:pt>
                <c:pt idx="201">
                  <c:v>37572</c:v>
                </c:pt>
                <c:pt idx="202">
                  <c:v>37579</c:v>
                </c:pt>
                <c:pt idx="203">
                  <c:v>37586</c:v>
                </c:pt>
                <c:pt idx="204">
                  <c:v>37593</c:v>
                </c:pt>
                <c:pt idx="205">
                  <c:v>37600</c:v>
                </c:pt>
                <c:pt idx="206">
                  <c:v>37607</c:v>
                </c:pt>
                <c:pt idx="207">
                  <c:v>37614</c:v>
                </c:pt>
                <c:pt idx="208">
                  <c:v>37621</c:v>
                </c:pt>
                <c:pt idx="209">
                  <c:v>37628</c:v>
                </c:pt>
                <c:pt idx="210">
                  <c:v>37635</c:v>
                </c:pt>
                <c:pt idx="211">
                  <c:v>37642</c:v>
                </c:pt>
                <c:pt idx="212">
                  <c:v>37649</c:v>
                </c:pt>
                <c:pt idx="213">
                  <c:v>37656</c:v>
                </c:pt>
                <c:pt idx="214">
                  <c:v>37663</c:v>
                </c:pt>
                <c:pt idx="215">
                  <c:v>37670</c:v>
                </c:pt>
                <c:pt idx="216">
                  <c:v>37677</c:v>
                </c:pt>
                <c:pt idx="217">
                  <c:v>37684</c:v>
                </c:pt>
                <c:pt idx="218">
                  <c:v>37691</c:v>
                </c:pt>
                <c:pt idx="219">
                  <c:v>37698</c:v>
                </c:pt>
                <c:pt idx="220">
                  <c:v>37705</c:v>
                </c:pt>
                <c:pt idx="221">
                  <c:v>37712</c:v>
                </c:pt>
                <c:pt idx="222">
                  <c:v>37719</c:v>
                </c:pt>
                <c:pt idx="223">
                  <c:v>37726</c:v>
                </c:pt>
                <c:pt idx="224">
                  <c:v>37733</c:v>
                </c:pt>
                <c:pt idx="225">
                  <c:v>37740</c:v>
                </c:pt>
                <c:pt idx="226">
                  <c:v>37747</c:v>
                </c:pt>
                <c:pt idx="227">
                  <c:v>37754</c:v>
                </c:pt>
                <c:pt idx="228">
                  <c:v>37761</c:v>
                </c:pt>
                <c:pt idx="229">
                  <c:v>37768</c:v>
                </c:pt>
                <c:pt idx="230">
                  <c:v>37775</c:v>
                </c:pt>
                <c:pt idx="231">
                  <c:v>37782</c:v>
                </c:pt>
                <c:pt idx="232">
                  <c:v>37789</c:v>
                </c:pt>
                <c:pt idx="233">
                  <c:v>37796</c:v>
                </c:pt>
                <c:pt idx="234">
                  <c:v>37803</c:v>
                </c:pt>
                <c:pt idx="235">
                  <c:v>37810</c:v>
                </c:pt>
                <c:pt idx="236">
                  <c:v>37817</c:v>
                </c:pt>
                <c:pt idx="237">
                  <c:v>37824</c:v>
                </c:pt>
                <c:pt idx="238">
                  <c:v>37831</c:v>
                </c:pt>
                <c:pt idx="239">
                  <c:v>37838</c:v>
                </c:pt>
                <c:pt idx="240">
                  <c:v>37845</c:v>
                </c:pt>
                <c:pt idx="241">
                  <c:v>37852</c:v>
                </c:pt>
                <c:pt idx="242">
                  <c:v>37859</c:v>
                </c:pt>
                <c:pt idx="243">
                  <c:v>37866</c:v>
                </c:pt>
                <c:pt idx="244">
                  <c:v>37873</c:v>
                </c:pt>
                <c:pt idx="245">
                  <c:v>37880</c:v>
                </c:pt>
                <c:pt idx="246">
                  <c:v>37887</c:v>
                </c:pt>
                <c:pt idx="247">
                  <c:v>37894</c:v>
                </c:pt>
                <c:pt idx="248">
                  <c:v>37901</c:v>
                </c:pt>
                <c:pt idx="249">
                  <c:v>37908</c:v>
                </c:pt>
                <c:pt idx="250">
                  <c:v>37915</c:v>
                </c:pt>
                <c:pt idx="251">
                  <c:v>37922</c:v>
                </c:pt>
                <c:pt idx="252">
                  <c:v>37929</c:v>
                </c:pt>
                <c:pt idx="253">
                  <c:v>37936</c:v>
                </c:pt>
                <c:pt idx="254">
                  <c:v>37943</c:v>
                </c:pt>
                <c:pt idx="255">
                  <c:v>37950</c:v>
                </c:pt>
                <c:pt idx="256">
                  <c:v>37957</c:v>
                </c:pt>
                <c:pt idx="257">
                  <c:v>37964</c:v>
                </c:pt>
                <c:pt idx="258">
                  <c:v>37971</c:v>
                </c:pt>
                <c:pt idx="259">
                  <c:v>37978</c:v>
                </c:pt>
                <c:pt idx="260">
                  <c:v>37985</c:v>
                </c:pt>
                <c:pt idx="261">
                  <c:v>37992</c:v>
                </c:pt>
                <c:pt idx="262">
                  <c:v>37999</c:v>
                </c:pt>
                <c:pt idx="263">
                  <c:v>38006</c:v>
                </c:pt>
                <c:pt idx="264">
                  <c:v>38013</c:v>
                </c:pt>
                <c:pt idx="265">
                  <c:v>38020</c:v>
                </c:pt>
                <c:pt idx="266">
                  <c:v>38027</c:v>
                </c:pt>
                <c:pt idx="267">
                  <c:v>38034</c:v>
                </c:pt>
                <c:pt idx="268">
                  <c:v>38041</c:v>
                </c:pt>
                <c:pt idx="269">
                  <c:v>38048</c:v>
                </c:pt>
                <c:pt idx="270">
                  <c:v>38055</c:v>
                </c:pt>
                <c:pt idx="271">
                  <c:v>38062</c:v>
                </c:pt>
                <c:pt idx="272">
                  <c:v>38069</c:v>
                </c:pt>
                <c:pt idx="273">
                  <c:v>38076</c:v>
                </c:pt>
                <c:pt idx="274">
                  <c:v>38083</c:v>
                </c:pt>
                <c:pt idx="275">
                  <c:v>38090</c:v>
                </c:pt>
                <c:pt idx="276">
                  <c:v>38097</c:v>
                </c:pt>
                <c:pt idx="277">
                  <c:v>38104</c:v>
                </c:pt>
                <c:pt idx="278">
                  <c:v>38111</c:v>
                </c:pt>
                <c:pt idx="279">
                  <c:v>38118</c:v>
                </c:pt>
                <c:pt idx="280">
                  <c:v>38125</c:v>
                </c:pt>
                <c:pt idx="281">
                  <c:v>38132</c:v>
                </c:pt>
                <c:pt idx="282">
                  <c:v>38139</c:v>
                </c:pt>
                <c:pt idx="283">
                  <c:v>38146</c:v>
                </c:pt>
                <c:pt idx="284">
                  <c:v>38153</c:v>
                </c:pt>
                <c:pt idx="285">
                  <c:v>38160</c:v>
                </c:pt>
                <c:pt idx="286">
                  <c:v>38167</c:v>
                </c:pt>
                <c:pt idx="287">
                  <c:v>38174</c:v>
                </c:pt>
                <c:pt idx="288">
                  <c:v>38181</c:v>
                </c:pt>
                <c:pt idx="289">
                  <c:v>38188</c:v>
                </c:pt>
                <c:pt idx="290">
                  <c:v>38195</c:v>
                </c:pt>
                <c:pt idx="291">
                  <c:v>38202</c:v>
                </c:pt>
                <c:pt idx="292">
                  <c:v>38209</c:v>
                </c:pt>
                <c:pt idx="293">
                  <c:v>38216</c:v>
                </c:pt>
                <c:pt idx="294">
                  <c:v>38223</c:v>
                </c:pt>
                <c:pt idx="295">
                  <c:v>38230</c:v>
                </c:pt>
                <c:pt idx="296">
                  <c:v>38237</c:v>
                </c:pt>
                <c:pt idx="297">
                  <c:v>38244</c:v>
                </c:pt>
                <c:pt idx="298">
                  <c:v>38251</c:v>
                </c:pt>
                <c:pt idx="299">
                  <c:v>38258</c:v>
                </c:pt>
                <c:pt idx="300">
                  <c:v>38265</c:v>
                </c:pt>
                <c:pt idx="301">
                  <c:v>38272</c:v>
                </c:pt>
                <c:pt idx="302">
                  <c:v>38279</c:v>
                </c:pt>
                <c:pt idx="303">
                  <c:v>38286</c:v>
                </c:pt>
                <c:pt idx="304">
                  <c:v>38293</c:v>
                </c:pt>
                <c:pt idx="305">
                  <c:v>38300</c:v>
                </c:pt>
                <c:pt idx="306">
                  <c:v>38307</c:v>
                </c:pt>
                <c:pt idx="307">
                  <c:v>38314</c:v>
                </c:pt>
                <c:pt idx="308">
                  <c:v>38321</c:v>
                </c:pt>
                <c:pt idx="309">
                  <c:v>38328</c:v>
                </c:pt>
                <c:pt idx="310">
                  <c:v>38335</c:v>
                </c:pt>
                <c:pt idx="311">
                  <c:v>38342</c:v>
                </c:pt>
                <c:pt idx="312">
                  <c:v>38349</c:v>
                </c:pt>
                <c:pt idx="313">
                  <c:v>38356</c:v>
                </c:pt>
                <c:pt idx="314">
                  <c:v>38363</c:v>
                </c:pt>
                <c:pt idx="315">
                  <c:v>38370</c:v>
                </c:pt>
                <c:pt idx="316">
                  <c:v>38377</c:v>
                </c:pt>
                <c:pt idx="317">
                  <c:v>38384</c:v>
                </c:pt>
                <c:pt idx="318">
                  <c:v>38391</c:v>
                </c:pt>
                <c:pt idx="319">
                  <c:v>38398</c:v>
                </c:pt>
                <c:pt idx="320">
                  <c:v>38405</c:v>
                </c:pt>
                <c:pt idx="321">
                  <c:v>38412</c:v>
                </c:pt>
                <c:pt idx="322">
                  <c:v>38419</c:v>
                </c:pt>
                <c:pt idx="323">
                  <c:v>38426</c:v>
                </c:pt>
                <c:pt idx="324">
                  <c:v>38433</c:v>
                </c:pt>
                <c:pt idx="325">
                  <c:v>38440</c:v>
                </c:pt>
                <c:pt idx="326">
                  <c:v>38447</c:v>
                </c:pt>
                <c:pt idx="327">
                  <c:v>38454</c:v>
                </c:pt>
                <c:pt idx="328">
                  <c:v>38461</c:v>
                </c:pt>
                <c:pt idx="329">
                  <c:v>38468</c:v>
                </c:pt>
                <c:pt idx="330">
                  <c:v>38475</c:v>
                </c:pt>
                <c:pt idx="331">
                  <c:v>38482</c:v>
                </c:pt>
                <c:pt idx="332">
                  <c:v>38489</c:v>
                </c:pt>
                <c:pt idx="333">
                  <c:v>38496</c:v>
                </c:pt>
                <c:pt idx="334">
                  <c:v>38503</c:v>
                </c:pt>
                <c:pt idx="335">
                  <c:v>38510</c:v>
                </c:pt>
                <c:pt idx="336">
                  <c:v>38517</c:v>
                </c:pt>
                <c:pt idx="337">
                  <c:v>38524</c:v>
                </c:pt>
                <c:pt idx="338">
                  <c:v>38531</c:v>
                </c:pt>
                <c:pt idx="339">
                  <c:v>38538</c:v>
                </c:pt>
                <c:pt idx="340">
                  <c:v>38545</c:v>
                </c:pt>
                <c:pt idx="341">
                  <c:v>38552</c:v>
                </c:pt>
                <c:pt idx="342">
                  <c:v>38559</c:v>
                </c:pt>
                <c:pt idx="343">
                  <c:v>38566</c:v>
                </c:pt>
                <c:pt idx="344">
                  <c:v>38573</c:v>
                </c:pt>
                <c:pt idx="345">
                  <c:v>38580</c:v>
                </c:pt>
                <c:pt idx="346">
                  <c:v>38587</c:v>
                </c:pt>
                <c:pt idx="347">
                  <c:v>38594</c:v>
                </c:pt>
                <c:pt idx="348">
                  <c:v>38601</c:v>
                </c:pt>
                <c:pt idx="349">
                  <c:v>38608</c:v>
                </c:pt>
                <c:pt idx="350">
                  <c:v>38615</c:v>
                </c:pt>
                <c:pt idx="351">
                  <c:v>38622</c:v>
                </c:pt>
                <c:pt idx="352">
                  <c:v>38629</c:v>
                </c:pt>
                <c:pt idx="353">
                  <c:v>38636</c:v>
                </c:pt>
                <c:pt idx="354">
                  <c:v>38643</c:v>
                </c:pt>
                <c:pt idx="355">
                  <c:v>38650</c:v>
                </c:pt>
                <c:pt idx="356">
                  <c:v>38657</c:v>
                </c:pt>
                <c:pt idx="357">
                  <c:v>38664</c:v>
                </c:pt>
                <c:pt idx="358">
                  <c:v>38671</c:v>
                </c:pt>
                <c:pt idx="359">
                  <c:v>38678</c:v>
                </c:pt>
                <c:pt idx="360">
                  <c:v>38685</c:v>
                </c:pt>
                <c:pt idx="361">
                  <c:v>38692</c:v>
                </c:pt>
                <c:pt idx="362">
                  <c:v>38699</c:v>
                </c:pt>
                <c:pt idx="363">
                  <c:v>38706</c:v>
                </c:pt>
                <c:pt idx="364">
                  <c:v>38713</c:v>
                </c:pt>
                <c:pt idx="365">
                  <c:v>38720</c:v>
                </c:pt>
                <c:pt idx="366">
                  <c:v>38727</c:v>
                </c:pt>
                <c:pt idx="367">
                  <c:v>38734</c:v>
                </c:pt>
                <c:pt idx="368">
                  <c:v>38741</c:v>
                </c:pt>
                <c:pt idx="369">
                  <c:v>38748</c:v>
                </c:pt>
                <c:pt idx="370">
                  <c:v>38755</c:v>
                </c:pt>
                <c:pt idx="371">
                  <c:v>38762</c:v>
                </c:pt>
                <c:pt idx="372">
                  <c:v>38769</c:v>
                </c:pt>
                <c:pt idx="373">
                  <c:v>38776</c:v>
                </c:pt>
                <c:pt idx="374">
                  <c:v>38783</c:v>
                </c:pt>
                <c:pt idx="375">
                  <c:v>38790</c:v>
                </c:pt>
                <c:pt idx="376">
                  <c:v>38797</c:v>
                </c:pt>
                <c:pt idx="377">
                  <c:v>38804</c:v>
                </c:pt>
                <c:pt idx="378">
                  <c:v>38811</c:v>
                </c:pt>
                <c:pt idx="379">
                  <c:v>38818</c:v>
                </c:pt>
                <c:pt idx="380">
                  <c:v>38825</c:v>
                </c:pt>
                <c:pt idx="381">
                  <c:v>38832</c:v>
                </c:pt>
                <c:pt idx="382">
                  <c:v>38839</c:v>
                </c:pt>
                <c:pt idx="383">
                  <c:v>38846</c:v>
                </c:pt>
                <c:pt idx="384">
                  <c:v>38853</c:v>
                </c:pt>
                <c:pt idx="385">
                  <c:v>38860</c:v>
                </c:pt>
                <c:pt idx="386">
                  <c:v>38867</c:v>
                </c:pt>
                <c:pt idx="387">
                  <c:v>38874</c:v>
                </c:pt>
                <c:pt idx="388">
                  <c:v>38881</c:v>
                </c:pt>
                <c:pt idx="389">
                  <c:v>38888</c:v>
                </c:pt>
                <c:pt idx="390">
                  <c:v>38895</c:v>
                </c:pt>
                <c:pt idx="391">
                  <c:v>38902</c:v>
                </c:pt>
                <c:pt idx="392">
                  <c:v>38909</c:v>
                </c:pt>
                <c:pt idx="393">
                  <c:v>38916</c:v>
                </c:pt>
                <c:pt idx="394">
                  <c:v>38923</c:v>
                </c:pt>
                <c:pt idx="395">
                  <c:v>38930</c:v>
                </c:pt>
                <c:pt idx="396">
                  <c:v>38937</c:v>
                </c:pt>
                <c:pt idx="397">
                  <c:v>38944</c:v>
                </c:pt>
                <c:pt idx="398">
                  <c:v>38951</c:v>
                </c:pt>
                <c:pt idx="399">
                  <c:v>38958</c:v>
                </c:pt>
                <c:pt idx="400">
                  <c:v>38965</c:v>
                </c:pt>
                <c:pt idx="401">
                  <c:v>38972</c:v>
                </c:pt>
                <c:pt idx="402">
                  <c:v>38979</c:v>
                </c:pt>
                <c:pt idx="403">
                  <c:v>38986</c:v>
                </c:pt>
                <c:pt idx="404">
                  <c:v>38993</c:v>
                </c:pt>
                <c:pt idx="405">
                  <c:v>39000</c:v>
                </c:pt>
                <c:pt idx="406">
                  <c:v>39007</c:v>
                </c:pt>
                <c:pt idx="407">
                  <c:v>39014</c:v>
                </c:pt>
                <c:pt idx="408">
                  <c:v>39021</c:v>
                </c:pt>
                <c:pt idx="409">
                  <c:v>39028</c:v>
                </c:pt>
                <c:pt idx="410">
                  <c:v>39035</c:v>
                </c:pt>
                <c:pt idx="411">
                  <c:v>39042</c:v>
                </c:pt>
                <c:pt idx="412">
                  <c:v>39049</c:v>
                </c:pt>
                <c:pt idx="413">
                  <c:v>39056</c:v>
                </c:pt>
                <c:pt idx="414">
                  <c:v>39063</c:v>
                </c:pt>
                <c:pt idx="415">
                  <c:v>39070</c:v>
                </c:pt>
                <c:pt idx="416">
                  <c:v>39077</c:v>
                </c:pt>
                <c:pt idx="417">
                  <c:v>39084</c:v>
                </c:pt>
                <c:pt idx="418">
                  <c:v>39091</c:v>
                </c:pt>
                <c:pt idx="419">
                  <c:v>39098</c:v>
                </c:pt>
                <c:pt idx="420">
                  <c:v>39105</c:v>
                </c:pt>
                <c:pt idx="421">
                  <c:v>39112</c:v>
                </c:pt>
                <c:pt idx="422">
                  <c:v>39119</c:v>
                </c:pt>
                <c:pt idx="423">
                  <c:v>39126</c:v>
                </c:pt>
                <c:pt idx="424">
                  <c:v>39133</c:v>
                </c:pt>
                <c:pt idx="425">
                  <c:v>39140</c:v>
                </c:pt>
                <c:pt idx="426">
                  <c:v>39147</c:v>
                </c:pt>
                <c:pt idx="427">
                  <c:v>39154</c:v>
                </c:pt>
                <c:pt idx="428">
                  <c:v>39161</c:v>
                </c:pt>
                <c:pt idx="429">
                  <c:v>39168</c:v>
                </c:pt>
                <c:pt idx="430">
                  <c:v>39175</c:v>
                </c:pt>
                <c:pt idx="431">
                  <c:v>39182</c:v>
                </c:pt>
                <c:pt idx="432">
                  <c:v>39189</c:v>
                </c:pt>
                <c:pt idx="433">
                  <c:v>39196</c:v>
                </c:pt>
                <c:pt idx="434">
                  <c:v>39203</c:v>
                </c:pt>
                <c:pt idx="435">
                  <c:v>39210</c:v>
                </c:pt>
                <c:pt idx="436">
                  <c:v>39217</c:v>
                </c:pt>
                <c:pt idx="437">
                  <c:v>39224</c:v>
                </c:pt>
                <c:pt idx="438">
                  <c:v>39231</c:v>
                </c:pt>
                <c:pt idx="439">
                  <c:v>39238</c:v>
                </c:pt>
                <c:pt idx="440">
                  <c:v>39245</c:v>
                </c:pt>
                <c:pt idx="441">
                  <c:v>39252</c:v>
                </c:pt>
                <c:pt idx="442">
                  <c:v>39259</c:v>
                </c:pt>
                <c:pt idx="443">
                  <c:v>39266</c:v>
                </c:pt>
                <c:pt idx="444">
                  <c:v>39273</c:v>
                </c:pt>
                <c:pt idx="445">
                  <c:v>39280</c:v>
                </c:pt>
                <c:pt idx="446">
                  <c:v>39287</c:v>
                </c:pt>
                <c:pt idx="447">
                  <c:v>39294</c:v>
                </c:pt>
                <c:pt idx="448">
                  <c:v>39301</c:v>
                </c:pt>
                <c:pt idx="449">
                  <c:v>39308</c:v>
                </c:pt>
                <c:pt idx="450">
                  <c:v>39315</c:v>
                </c:pt>
                <c:pt idx="451">
                  <c:v>39322</c:v>
                </c:pt>
                <c:pt idx="452">
                  <c:v>39329</c:v>
                </c:pt>
                <c:pt idx="453">
                  <c:v>39336</c:v>
                </c:pt>
                <c:pt idx="454">
                  <c:v>39343</c:v>
                </c:pt>
                <c:pt idx="455">
                  <c:v>39350</c:v>
                </c:pt>
                <c:pt idx="456">
                  <c:v>39357</c:v>
                </c:pt>
                <c:pt idx="457">
                  <c:v>39364</c:v>
                </c:pt>
                <c:pt idx="458">
                  <c:v>39371</c:v>
                </c:pt>
                <c:pt idx="459">
                  <c:v>39378</c:v>
                </c:pt>
                <c:pt idx="460">
                  <c:v>39385</c:v>
                </c:pt>
                <c:pt idx="461">
                  <c:v>39392</c:v>
                </c:pt>
                <c:pt idx="462">
                  <c:v>39399</c:v>
                </c:pt>
                <c:pt idx="463">
                  <c:v>39406</c:v>
                </c:pt>
                <c:pt idx="464">
                  <c:v>39413</c:v>
                </c:pt>
                <c:pt idx="465">
                  <c:v>39420</c:v>
                </c:pt>
                <c:pt idx="466">
                  <c:v>39427</c:v>
                </c:pt>
                <c:pt idx="467">
                  <c:v>39434</c:v>
                </c:pt>
                <c:pt idx="468">
                  <c:v>39441</c:v>
                </c:pt>
                <c:pt idx="469">
                  <c:v>39448</c:v>
                </c:pt>
                <c:pt idx="470">
                  <c:v>39455</c:v>
                </c:pt>
                <c:pt idx="471">
                  <c:v>39462</c:v>
                </c:pt>
                <c:pt idx="472">
                  <c:v>39469</c:v>
                </c:pt>
                <c:pt idx="473">
                  <c:v>39476</c:v>
                </c:pt>
                <c:pt idx="474">
                  <c:v>39483</c:v>
                </c:pt>
                <c:pt idx="475">
                  <c:v>39490</c:v>
                </c:pt>
                <c:pt idx="476">
                  <c:v>39497</c:v>
                </c:pt>
                <c:pt idx="477">
                  <c:v>39504</c:v>
                </c:pt>
                <c:pt idx="478">
                  <c:v>39511</c:v>
                </c:pt>
                <c:pt idx="479">
                  <c:v>39518</c:v>
                </c:pt>
                <c:pt idx="480">
                  <c:v>39525</c:v>
                </c:pt>
                <c:pt idx="481">
                  <c:v>39532</c:v>
                </c:pt>
                <c:pt idx="482">
                  <c:v>39539</c:v>
                </c:pt>
                <c:pt idx="483">
                  <c:v>39546</c:v>
                </c:pt>
                <c:pt idx="484">
                  <c:v>39553</c:v>
                </c:pt>
                <c:pt idx="485">
                  <c:v>39560</c:v>
                </c:pt>
                <c:pt idx="486">
                  <c:v>39567</c:v>
                </c:pt>
                <c:pt idx="487">
                  <c:v>39574</c:v>
                </c:pt>
                <c:pt idx="488">
                  <c:v>39581</c:v>
                </c:pt>
                <c:pt idx="489">
                  <c:v>39588</c:v>
                </c:pt>
                <c:pt idx="490">
                  <c:v>39595</c:v>
                </c:pt>
                <c:pt idx="491">
                  <c:v>39602</c:v>
                </c:pt>
                <c:pt idx="492">
                  <c:v>39609</c:v>
                </c:pt>
                <c:pt idx="493">
                  <c:v>39616</c:v>
                </c:pt>
                <c:pt idx="494">
                  <c:v>39623</c:v>
                </c:pt>
                <c:pt idx="495">
                  <c:v>39630</c:v>
                </c:pt>
                <c:pt idx="496">
                  <c:v>39637</c:v>
                </c:pt>
                <c:pt idx="497">
                  <c:v>39644</c:v>
                </c:pt>
                <c:pt idx="498">
                  <c:v>39651</c:v>
                </c:pt>
                <c:pt idx="499">
                  <c:v>39658</c:v>
                </c:pt>
                <c:pt idx="500">
                  <c:v>39665</c:v>
                </c:pt>
                <c:pt idx="501">
                  <c:v>39672</c:v>
                </c:pt>
                <c:pt idx="502">
                  <c:v>39679</c:v>
                </c:pt>
                <c:pt idx="503">
                  <c:v>39686</c:v>
                </c:pt>
                <c:pt idx="504">
                  <c:v>39693</c:v>
                </c:pt>
                <c:pt idx="505">
                  <c:v>39700</c:v>
                </c:pt>
                <c:pt idx="506">
                  <c:v>39707</c:v>
                </c:pt>
                <c:pt idx="507">
                  <c:v>39714</c:v>
                </c:pt>
                <c:pt idx="508">
                  <c:v>39721</c:v>
                </c:pt>
                <c:pt idx="509">
                  <c:v>39728</c:v>
                </c:pt>
                <c:pt idx="510">
                  <c:v>39735</c:v>
                </c:pt>
                <c:pt idx="511">
                  <c:v>39742</c:v>
                </c:pt>
                <c:pt idx="512">
                  <c:v>39749</c:v>
                </c:pt>
                <c:pt idx="513">
                  <c:v>39756</c:v>
                </c:pt>
                <c:pt idx="514">
                  <c:v>39763</c:v>
                </c:pt>
                <c:pt idx="515">
                  <c:v>39770</c:v>
                </c:pt>
                <c:pt idx="516">
                  <c:v>39777</c:v>
                </c:pt>
                <c:pt idx="517">
                  <c:v>39784</c:v>
                </c:pt>
                <c:pt idx="518">
                  <c:v>39791</c:v>
                </c:pt>
                <c:pt idx="519">
                  <c:v>39798</c:v>
                </c:pt>
                <c:pt idx="520">
                  <c:v>39805</c:v>
                </c:pt>
                <c:pt idx="521">
                  <c:v>39812</c:v>
                </c:pt>
                <c:pt idx="522">
                  <c:v>39819</c:v>
                </c:pt>
                <c:pt idx="523">
                  <c:v>39826</c:v>
                </c:pt>
                <c:pt idx="524">
                  <c:v>39833</c:v>
                </c:pt>
                <c:pt idx="525">
                  <c:v>39840</c:v>
                </c:pt>
                <c:pt idx="526">
                  <c:v>39847</c:v>
                </c:pt>
                <c:pt idx="527">
                  <c:v>39854</c:v>
                </c:pt>
                <c:pt idx="528">
                  <c:v>39861</c:v>
                </c:pt>
                <c:pt idx="529">
                  <c:v>39868</c:v>
                </c:pt>
                <c:pt idx="530">
                  <c:v>39875</c:v>
                </c:pt>
                <c:pt idx="531">
                  <c:v>39882</c:v>
                </c:pt>
                <c:pt idx="532">
                  <c:v>39889</c:v>
                </c:pt>
                <c:pt idx="533">
                  <c:v>39896</c:v>
                </c:pt>
                <c:pt idx="534">
                  <c:v>39903</c:v>
                </c:pt>
                <c:pt idx="535">
                  <c:v>39910</c:v>
                </c:pt>
                <c:pt idx="536">
                  <c:v>39917</c:v>
                </c:pt>
                <c:pt idx="537">
                  <c:v>39924</c:v>
                </c:pt>
                <c:pt idx="538">
                  <c:v>39931</c:v>
                </c:pt>
                <c:pt idx="539">
                  <c:v>39938</c:v>
                </c:pt>
                <c:pt idx="540">
                  <c:v>39945</c:v>
                </c:pt>
                <c:pt idx="541">
                  <c:v>39952</c:v>
                </c:pt>
                <c:pt idx="542">
                  <c:v>39959</c:v>
                </c:pt>
                <c:pt idx="543">
                  <c:v>39966</c:v>
                </c:pt>
                <c:pt idx="544">
                  <c:v>39973</c:v>
                </c:pt>
                <c:pt idx="545">
                  <c:v>39980</c:v>
                </c:pt>
                <c:pt idx="546">
                  <c:v>39987</c:v>
                </c:pt>
                <c:pt idx="547">
                  <c:v>39994</c:v>
                </c:pt>
                <c:pt idx="548">
                  <c:v>40001</c:v>
                </c:pt>
                <c:pt idx="549">
                  <c:v>40008</c:v>
                </c:pt>
                <c:pt idx="550">
                  <c:v>40015</c:v>
                </c:pt>
                <c:pt idx="551">
                  <c:v>40022</c:v>
                </c:pt>
                <c:pt idx="552">
                  <c:v>40029</c:v>
                </c:pt>
                <c:pt idx="553">
                  <c:v>40036</c:v>
                </c:pt>
                <c:pt idx="554">
                  <c:v>40043</c:v>
                </c:pt>
                <c:pt idx="555">
                  <c:v>40050</c:v>
                </c:pt>
                <c:pt idx="556">
                  <c:v>40057</c:v>
                </c:pt>
                <c:pt idx="557">
                  <c:v>40064</c:v>
                </c:pt>
                <c:pt idx="558">
                  <c:v>40071</c:v>
                </c:pt>
                <c:pt idx="559">
                  <c:v>40078</c:v>
                </c:pt>
                <c:pt idx="560">
                  <c:v>40085</c:v>
                </c:pt>
                <c:pt idx="561">
                  <c:v>40092</c:v>
                </c:pt>
                <c:pt idx="562">
                  <c:v>40099</c:v>
                </c:pt>
                <c:pt idx="563">
                  <c:v>40106</c:v>
                </c:pt>
                <c:pt idx="564">
                  <c:v>40113</c:v>
                </c:pt>
                <c:pt idx="565">
                  <c:v>40120</c:v>
                </c:pt>
                <c:pt idx="566">
                  <c:v>40127</c:v>
                </c:pt>
                <c:pt idx="567">
                  <c:v>40134</c:v>
                </c:pt>
                <c:pt idx="568">
                  <c:v>40141</c:v>
                </c:pt>
                <c:pt idx="569">
                  <c:v>40148</c:v>
                </c:pt>
                <c:pt idx="570">
                  <c:v>40155</c:v>
                </c:pt>
                <c:pt idx="571">
                  <c:v>40162</c:v>
                </c:pt>
                <c:pt idx="572">
                  <c:v>40169</c:v>
                </c:pt>
                <c:pt idx="573">
                  <c:v>40176</c:v>
                </c:pt>
                <c:pt idx="574">
                  <c:v>40183</c:v>
                </c:pt>
                <c:pt idx="575">
                  <c:v>40190</c:v>
                </c:pt>
                <c:pt idx="576">
                  <c:v>40197</c:v>
                </c:pt>
                <c:pt idx="577">
                  <c:v>40204</c:v>
                </c:pt>
                <c:pt idx="578">
                  <c:v>40211</c:v>
                </c:pt>
                <c:pt idx="579">
                  <c:v>40218</c:v>
                </c:pt>
                <c:pt idx="580">
                  <c:v>40225</c:v>
                </c:pt>
                <c:pt idx="581">
                  <c:v>40232</c:v>
                </c:pt>
                <c:pt idx="582">
                  <c:v>40239</c:v>
                </c:pt>
                <c:pt idx="583">
                  <c:v>40246</c:v>
                </c:pt>
                <c:pt idx="584">
                  <c:v>40253</c:v>
                </c:pt>
                <c:pt idx="585">
                  <c:v>40260</c:v>
                </c:pt>
                <c:pt idx="586">
                  <c:v>40267</c:v>
                </c:pt>
                <c:pt idx="587">
                  <c:v>40274</c:v>
                </c:pt>
                <c:pt idx="588">
                  <c:v>40281</c:v>
                </c:pt>
                <c:pt idx="589">
                  <c:v>40288</c:v>
                </c:pt>
                <c:pt idx="590">
                  <c:v>40295</c:v>
                </c:pt>
                <c:pt idx="591">
                  <c:v>40302</c:v>
                </c:pt>
                <c:pt idx="592">
                  <c:v>40309</c:v>
                </c:pt>
                <c:pt idx="593">
                  <c:v>40316</c:v>
                </c:pt>
                <c:pt idx="594">
                  <c:v>40323</c:v>
                </c:pt>
                <c:pt idx="595">
                  <c:v>40330</c:v>
                </c:pt>
                <c:pt idx="596">
                  <c:v>40337</c:v>
                </c:pt>
                <c:pt idx="597">
                  <c:v>40344</c:v>
                </c:pt>
                <c:pt idx="598">
                  <c:v>40351</c:v>
                </c:pt>
                <c:pt idx="599">
                  <c:v>40358</c:v>
                </c:pt>
                <c:pt idx="600">
                  <c:v>40365</c:v>
                </c:pt>
                <c:pt idx="601">
                  <c:v>40372</c:v>
                </c:pt>
                <c:pt idx="602">
                  <c:v>40379</c:v>
                </c:pt>
                <c:pt idx="603">
                  <c:v>40386</c:v>
                </c:pt>
                <c:pt idx="604">
                  <c:v>40393</c:v>
                </c:pt>
                <c:pt idx="605">
                  <c:v>40400</c:v>
                </c:pt>
                <c:pt idx="606">
                  <c:v>40407</c:v>
                </c:pt>
                <c:pt idx="607">
                  <c:v>40414</c:v>
                </c:pt>
                <c:pt idx="608">
                  <c:v>40421</c:v>
                </c:pt>
                <c:pt idx="609">
                  <c:v>40428</c:v>
                </c:pt>
                <c:pt idx="610">
                  <c:v>40435</c:v>
                </c:pt>
                <c:pt idx="611">
                  <c:v>40442</c:v>
                </c:pt>
                <c:pt idx="612">
                  <c:v>40449</c:v>
                </c:pt>
                <c:pt idx="613">
                  <c:v>40456</c:v>
                </c:pt>
                <c:pt idx="614">
                  <c:v>40463</c:v>
                </c:pt>
                <c:pt idx="615">
                  <c:v>40470</c:v>
                </c:pt>
                <c:pt idx="616">
                  <c:v>40477</c:v>
                </c:pt>
                <c:pt idx="617">
                  <c:v>40484</c:v>
                </c:pt>
                <c:pt idx="618">
                  <c:v>40491</c:v>
                </c:pt>
                <c:pt idx="619">
                  <c:v>40498</c:v>
                </c:pt>
                <c:pt idx="620">
                  <c:v>40505</c:v>
                </c:pt>
                <c:pt idx="621">
                  <c:v>40512</c:v>
                </c:pt>
                <c:pt idx="622">
                  <c:v>40519</c:v>
                </c:pt>
                <c:pt idx="623">
                  <c:v>40526</c:v>
                </c:pt>
                <c:pt idx="624">
                  <c:v>40533</c:v>
                </c:pt>
                <c:pt idx="625">
                  <c:v>40540</c:v>
                </c:pt>
                <c:pt idx="626">
                  <c:v>40547</c:v>
                </c:pt>
                <c:pt idx="627">
                  <c:v>40554</c:v>
                </c:pt>
                <c:pt idx="628">
                  <c:v>40561</c:v>
                </c:pt>
                <c:pt idx="629">
                  <c:v>40568</c:v>
                </c:pt>
                <c:pt idx="630">
                  <c:v>40575</c:v>
                </c:pt>
                <c:pt idx="631">
                  <c:v>40582</c:v>
                </c:pt>
                <c:pt idx="632">
                  <c:v>40589</c:v>
                </c:pt>
                <c:pt idx="633">
                  <c:v>40596</c:v>
                </c:pt>
                <c:pt idx="634">
                  <c:v>40603</c:v>
                </c:pt>
                <c:pt idx="635">
                  <c:v>40610</c:v>
                </c:pt>
                <c:pt idx="636">
                  <c:v>40617</c:v>
                </c:pt>
                <c:pt idx="637">
                  <c:v>40624</c:v>
                </c:pt>
                <c:pt idx="638">
                  <c:v>40631</c:v>
                </c:pt>
                <c:pt idx="639">
                  <c:v>40638</c:v>
                </c:pt>
                <c:pt idx="640">
                  <c:v>40645</c:v>
                </c:pt>
                <c:pt idx="641">
                  <c:v>40652</c:v>
                </c:pt>
                <c:pt idx="642">
                  <c:v>40659</c:v>
                </c:pt>
                <c:pt idx="643">
                  <c:v>40666</c:v>
                </c:pt>
                <c:pt idx="644">
                  <c:v>40673</c:v>
                </c:pt>
                <c:pt idx="645">
                  <c:v>40680</c:v>
                </c:pt>
                <c:pt idx="646">
                  <c:v>40687</c:v>
                </c:pt>
                <c:pt idx="647">
                  <c:v>40694</c:v>
                </c:pt>
                <c:pt idx="648">
                  <c:v>40701</c:v>
                </c:pt>
                <c:pt idx="649">
                  <c:v>40708</c:v>
                </c:pt>
                <c:pt idx="650">
                  <c:v>40715</c:v>
                </c:pt>
                <c:pt idx="651">
                  <c:v>40722</c:v>
                </c:pt>
                <c:pt idx="652">
                  <c:v>40729</c:v>
                </c:pt>
                <c:pt idx="653">
                  <c:v>40736</c:v>
                </c:pt>
                <c:pt idx="654">
                  <c:v>40743</c:v>
                </c:pt>
                <c:pt idx="655">
                  <c:v>40750</c:v>
                </c:pt>
                <c:pt idx="656">
                  <c:v>40757</c:v>
                </c:pt>
                <c:pt idx="657">
                  <c:v>40764</c:v>
                </c:pt>
                <c:pt idx="658">
                  <c:v>40771</c:v>
                </c:pt>
                <c:pt idx="659">
                  <c:v>40778</c:v>
                </c:pt>
                <c:pt idx="660">
                  <c:v>40785</c:v>
                </c:pt>
                <c:pt idx="661">
                  <c:v>40792</c:v>
                </c:pt>
                <c:pt idx="662">
                  <c:v>40799</c:v>
                </c:pt>
                <c:pt idx="663">
                  <c:v>40806</c:v>
                </c:pt>
                <c:pt idx="664">
                  <c:v>40813</c:v>
                </c:pt>
                <c:pt idx="665">
                  <c:v>40820</c:v>
                </c:pt>
                <c:pt idx="666">
                  <c:v>40827</c:v>
                </c:pt>
                <c:pt idx="667">
                  <c:v>40834</c:v>
                </c:pt>
                <c:pt idx="668">
                  <c:v>40841</c:v>
                </c:pt>
                <c:pt idx="669">
                  <c:v>40848</c:v>
                </c:pt>
                <c:pt idx="670">
                  <c:v>40855</c:v>
                </c:pt>
                <c:pt idx="671">
                  <c:v>40862</c:v>
                </c:pt>
                <c:pt idx="672">
                  <c:v>40869</c:v>
                </c:pt>
                <c:pt idx="673">
                  <c:v>40876</c:v>
                </c:pt>
                <c:pt idx="674">
                  <c:v>40883</c:v>
                </c:pt>
                <c:pt idx="675">
                  <c:v>40890</c:v>
                </c:pt>
                <c:pt idx="676">
                  <c:v>40897</c:v>
                </c:pt>
                <c:pt idx="677">
                  <c:v>40904</c:v>
                </c:pt>
                <c:pt idx="678">
                  <c:v>40911</c:v>
                </c:pt>
                <c:pt idx="679">
                  <c:v>40918</c:v>
                </c:pt>
                <c:pt idx="680">
                  <c:v>40925</c:v>
                </c:pt>
                <c:pt idx="681">
                  <c:v>40932</c:v>
                </c:pt>
                <c:pt idx="682">
                  <c:v>40939</c:v>
                </c:pt>
                <c:pt idx="683">
                  <c:v>40946</c:v>
                </c:pt>
                <c:pt idx="684">
                  <c:v>40953</c:v>
                </c:pt>
                <c:pt idx="685">
                  <c:v>40960</c:v>
                </c:pt>
                <c:pt idx="686">
                  <c:v>40967</c:v>
                </c:pt>
                <c:pt idx="687">
                  <c:v>40974</c:v>
                </c:pt>
                <c:pt idx="688">
                  <c:v>40981</c:v>
                </c:pt>
                <c:pt idx="689">
                  <c:v>40988</c:v>
                </c:pt>
                <c:pt idx="690">
                  <c:v>40995</c:v>
                </c:pt>
                <c:pt idx="691">
                  <c:v>41002</c:v>
                </c:pt>
                <c:pt idx="692">
                  <c:v>41009</c:v>
                </c:pt>
                <c:pt idx="693">
                  <c:v>41016</c:v>
                </c:pt>
                <c:pt idx="694">
                  <c:v>41023</c:v>
                </c:pt>
                <c:pt idx="695">
                  <c:v>41030</c:v>
                </c:pt>
                <c:pt idx="696">
                  <c:v>41037</c:v>
                </c:pt>
                <c:pt idx="697">
                  <c:v>41044</c:v>
                </c:pt>
                <c:pt idx="698">
                  <c:v>41051</c:v>
                </c:pt>
                <c:pt idx="699">
                  <c:v>41058</c:v>
                </c:pt>
                <c:pt idx="700">
                  <c:v>41065</c:v>
                </c:pt>
                <c:pt idx="701">
                  <c:v>41072</c:v>
                </c:pt>
                <c:pt idx="702">
                  <c:v>41079</c:v>
                </c:pt>
                <c:pt idx="703">
                  <c:v>41086</c:v>
                </c:pt>
                <c:pt idx="704">
                  <c:v>41093</c:v>
                </c:pt>
                <c:pt idx="705">
                  <c:v>41100</c:v>
                </c:pt>
                <c:pt idx="706">
                  <c:v>41107</c:v>
                </c:pt>
                <c:pt idx="707">
                  <c:v>41114</c:v>
                </c:pt>
                <c:pt idx="708">
                  <c:v>41121</c:v>
                </c:pt>
                <c:pt idx="709">
                  <c:v>41128</c:v>
                </c:pt>
                <c:pt idx="710">
                  <c:v>41135</c:v>
                </c:pt>
                <c:pt idx="711">
                  <c:v>41142</c:v>
                </c:pt>
                <c:pt idx="712">
                  <c:v>41149</c:v>
                </c:pt>
                <c:pt idx="713">
                  <c:v>41156</c:v>
                </c:pt>
                <c:pt idx="714">
                  <c:v>41163</c:v>
                </c:pt>
                <c:pt idx="715">
                  <c:v>41170</c:v>
                </c:pt>
                <c:pt idx="716">
                  <c:v>41177</c:v>
                </c:pt>
                <c:pt idx="717">
                  <c:v>41184</c:v>
                </c:pt>
                <c:pt idx="718">
                  <c:v>41191</c:v>
                </c:pt>
                <c:pt idx="719">
                  <c:v>41198</c:v>
                </c:pt>
                <c:pt idx="720">
                  <c:v>41205</c:v>
                </c:pt>
                <c:pt idx="721">
                  <c:v>41212</c:v>
                </c:pt>
                <c:pt idx="722">
                  <c:v>41219</c:v>
                </c:pt>
                <c:pt idx="723">
                  <c:v>41226</c:v>
                </c:pt>
                <c:pt idx="724">
                  <c:v>41233</c:v>
                </c:pt>
                <c:pt idx="725">
                  <c:v>41240</c:v>
                </c:pt>
                <c:pt idx="726">
                  <c:v>41247</c:v>
                </c:pt>
                <c:pt idx="727">
                  <c:v>41254</c:v>
                </c:pt>
                <c:pt idx="728">
                  <c:v>41261</c:v>
                </c:pt>
                <c:pt idx="729">
                  <c:v>41268</c:v>
                </c:pt>
                <c:pt idx="730">
                  <c:v>41275</c:v>
                </c:pt>
                <c:pt idx="731">
                  <c:v>41282</c:v>
                </c:pt>
                <c:pt idx="732">
                  <c:v>41289</c:v>
                </c:pt>
                <c:pt idx="733">
                  <c:v>41296</c:v>
                </c:pt>
                <c:pt idx="734">
                  <c:v>41303</c:v>
                </c:pt>
                <c:pt idx="735">
                  <c:v>41310</c:v>
                </c:pt>
                <c:pt idx="736">
                  <c:v>41317</c:v>
                </c:pt>
                <c:pt idx="737">
                  <c:v>41324</c:v>
                </c:pt>
                <c:pt idx="738">
                  <c:v>41331</c:v>
                </c:pt>
                <c:pt idx="739">
                  <c:v>41338</c:v>
                </c:pt>
                <c:pt idx="740">
                  <c:v>41345</c:v>
                </c:pt>
                <c:pt idx="741">
                  <c:v>41352</c:v>
                </c:pt>
                <c:pt idx="742">
                  <c:v>41359</c:v>
                </c:pt>
                <c:pt idx="743">
                  <c:v>41366</c:v>
                </c:pt>
                <c:pt idx="744">
                  <c:v>41373</c:v>
                </c:pt>
                <c:pt idx="745">
                  <c:v>41380</c:v>
                </c:pt>
                <c:pt idx="746">
                  <c:v>41387</c:v>
                </c:pt>
                <c:pt idx="747">
                  <c:v>41394</c:v>
                </c:pt>
                <c:pt idx="748">
                  <c:v>41401</c:v>
                </c:pt>
                <c:pt idx="749">
                  <c:v>41408</c:v>
                </c:pt>
                <c:pt idx="750">
                  <c:v>41415</c:v>
                </c:pt>
                <c:pt idx="751">
                  <c:v>41422</c:v>
                </c:pt>
                <c:pt idx="752">
                  <c:v>41429</c:v>
                </c:pt>
                <c:pt idx="753">
                  <c:v>41436</c:v>
                </c:pt>
                <c:pt idx="754">
                  <c:v>41443</c:v>
                </c:pt>
                <c:pt idx="755">
                  <c:v>41450</c:v>
                </c:pt>
                <c:pt idx="756">
                  <c:v>41457</c:v>
                </c:pt>
                <c:pt idx="757">
                  <c:v>41464</c:v>
                </c:pt>
                <c:pt idx="758">
                  <c:v>41471</c:v>
                </c:pt>
                <c:pt idx="759">
                  <c:v>41478</c:v>
                </c:pt>
                <c:pt idx="760">
                  <c:v>41485</c:v>
                </c:pt>
                <c:pt idx="761">
                  <c:v>41492</c:v>
                </c:pt>
                <c:pt idx="762">
                  <c:v>41499</c:v>
                </c:pt>
                <c:pt idx="763">
                  <c:v>41506</c:v>
                </c:pt>
                <c:pt idx="764">
                  <c:v>41513</c:v>
                </c:pt>
                <c:pt idx="765">
                  <c:v>41520</c:v>
                </c:pt>
                <c:pt idx="766">
                  <c:v>41527</c:v>
                </c:pt>
                <c:pt idx="767">
                  <c:v>41534</c:v>
                </c:pt>
                <c:pt idx="768">
                  <c:v>41541</c:v>
                </c:pt>
                <c:pt idx="769">
                  <c:v>41548</c:v>
                </c:pt>
                <c:pt idx="770">
                  <c:v>41555</c:v>
                </c:pt>
                <c:pt idx="771">
                  <c:v>41562</c:v>
                </c:pt>
                <c:pt idx="772">
                  <c:v>41569</c:v>
                </c:pt>
                <c:pt idx="773">
                  <c:v>41576</c:v>
                </c:pt>
                <c:pt idx="774">
                  <c:v>41583</c:v>
                </c:pt>
                <c:pt idx="775">
                  <c:v>41590</c:v>
                </c:pt>
                <c:pt idx="776">
                  <c:v>41597</c:v>
                </c:pt>
                <c:pt idx="777">
                  <c:v>41604</c:v>
                </c:pt>
                <c:pt idx="778">
                  <c:v>41611</c:v>
                </c:pt>
                <c:pt idx="779">
                  <c:v>41618</c:v>
                </c:pt>
                <c:pt idx="780">
                  <c:v>41625</c:v>
                </c:pt>
                <c:pt idx="781">
                  <c:v>41632</c:v>
                </c:pt>
                <c:pt idx="782">
                  <c:v>41639</c:v>
                </c:pt>
                <c:pt idx="783">
                  <c:v>41646</c:v>
                </c:pt>
                <c:pt idx="784">
                  <c:v>41653</c:v>
                </c:pt>
                <c:pt idx="785">
                  <c:v>41660</c:v>
                </c:pt>
                <c:pt idx="786">
                  <c:v>41667</c:v>
                </c:pt>
                <c:pt idx="787">
                  <c:v>41674</c:v>
                </c:pt>
                <c:pt idx="788">
                  <c:v>41681</c:v>
                </c:pt>
                <c:pt idx="789">
                  <c:v>41688</c:v>
                </c:pt>
                <c:pt idx="790">
                  <c:v>41695</c:v>
                </c:pt>
                <c:pt idx="791">
                  <c:v>41702</c:v>
                </c:pt>
                <c:pt idx="792">
                  <c:v>41709</c:v>
                </c:pt>
                <c:pt idx="793">
                  <c:v>41716</c:v>
                </c:pt>
                <c:pt idx="794">
                  <c:v>41723</c:v>
                </c:pt>
                <c:pt idx="795">
                  <c:v>41730</c:v>
                </c:pt>
                <c:pt idx="796">
                  <c:v>41737</c:v>
                </c:pt>
                <c:pt idx="797">
                  <c:v>41744</c:v>
                </c:pt>
                <c:pt idx="798">
                  <c:v>41751</c:v>
                </c:pt>
                <c:pt idx="799">
                  <c:v>41758</c:v>
                </c:pt>
                <c:pt idx="800">
                  <c:v>41765</c:v>
                </c:pt>
                <c:pt idx="801">
                  <c:v>41772</c:v>
                </c:pt>
                <c:pt idx="802">
                  <c:v>41779</c:v>
                </c:pt>
                <c:pt idx="803">
                  <c:v>41786</c:v>
                </c:pt>
                <c:pt idx="804">
                  <c:v>41793</c:v>
                </c:pt>
                <c:pt idx="805">
                  <c:v>41800</c:v>
                </c:pt>
                <c:pt idx="806">
                  <c:v>41807</c:v>
                </c:pt>
                <c:pt idx="807">
                  <c:v>41814</c:v>
                </c:pt>
                <c:pt idx="808">
                  <c:v>41821</c:v>
                </c:pt>
                <c:pt idx="809">
                  <c:v>41828</c:v>
                </c:pt>
                <c:pt idx="810">
                  <c:v>41835</c:v>
                </c:pt>
                <c:pt idx="811">
                  <c:v>41842</c:v>
                </c:pt>
                <c:pt idx="812">
                  <c:v>41849</c:v>
                </c:pt>
                <c:pt idx="813">
                  <c:v>41856</c:v>
                </c:pt>
                <c:pt idx="814">
                  <c:v>41863</c:v>
                </c:pt>
                <c:pt idx="815">
                  <c:v>41870</c:v>
                </c:pt>
                <c:pt idx="816">
                  <c:v>41877</c:v>
                </c:pt>
                <c:pt idx="817">
                  <c:v>41884</c:v>
                </c:pt>
                <c:pt idx="818">
                  <c:v>41891</c:v>
                </c:pt>
                <c:pt idx="819">
                  <c:v>41898</c:v>
                </c:pt>
                <c:pt idx="820">
                  <c:v>41905</c:v>
                </c:pt>
                <c:pt idx="821">
                  <c:v>41912</c:v>
                </c:pt>
                <c:pt idx="822">
                  <c:v>41919</c:v>
                </c:pt>
                <c:pt idx="823">
                  <c:v>41926</c:v>
                </c:pt>
                <c:pt idx="824">
                  <c:v>41933</c:v>
                </c:pt>
                <c:pt idx="825">
                  <c:v>41940</c:v>
                </c:pt>
                <c:pt idx="826">
                  <c:v>41947</c:v>
                </c:pt>
                <c:pt idx="827">
                  <c:v>41954</c:v>
                </c:pt>
                <c:pt idx="828">
                  <c:v>41961</c:v>
                </c:pt>
                <c:pt idx="829">
                  <c:v>41968</c:v>
                </c:pt>
                <c:pt idx="830">
                  <c:v>41975</c:v>
                </c:pt>
                <c:pt idx="831">
                  <c:v>41982</c:v>
                </c:pt>
                <c:pt idx="832">
                  <c:v>41989</c:v>
                </c:pt>
                <c:pt idx="833">
                  <c:v>41996</c:v>
                </c:pt>
                <c:pt idx="834">
                  <c:v>42003</c:v>
                </c:pt>
                <c:pt idx="835">
                  <c:v>42010</c:v>
                </c:pt>
                <c:pt idx="836">
                  <c:v>42017</c:v>
                </c:pt>
                <c:pt idx="837">
                  <c:v>42024</c:v>
                </c:pt>
                <c:pt idx="838">
                  <c:v>42031</c:v>
                </c:pt>
                <c:pt idx="839">
                  <c:v>42038</c:v>
                </c:pt>
                <c:pt idx="840">
                  <c:v>42045</c:v>
                </c:pt>
                <c:pt idx="841">
                  <c:v>42052</c:v>
                </c:pt>
                <c:pt idx="842">
                  <c:v>42059</c:v>
                </c:pt>
                <c:pt idx="843">
                  <c:v>42066</c:v>
                </c:pt>
                <c:pt idx="844">
                  <c:v>42073</c:v>
                </c:pt>
                <c:pt idx="845">
                  <c:v>42080</c:v>
                </c:pt>
                <c:pt idx="846">
                  <c:v>42087</c:v>
                </c:pt>
                <c:pt idx="847">
                  <c:v>42094</c:v>
                </c:pt>
                <c:pt idx="848">
                  <c:v>42101</c:v>
                </c:pt>
                <c:pt idx="849">
                  <c:v>42108</c:v>
                </c:pt>
                <c:pt idx="850">
                  <c:v>42115</c:v>
                </c:pt>
                <c:pt idx="851">
                  <c:v>42122</c:v>
                </c:pt>
                <c:pt idx="852">
                  <c:v>42129</c:v>
                </c:pt>
                <c:pt idx="853">
                  <c:v>42136</c:v>
                </c:pt>
                <c:pt idx="854">
                  <c:v>42143</c:v>
                </c:pt>
                <c:pt idx="855">
                  <c:v>42150</c:v>
                </c:pt>
                <c:pt idx="856">
                  <c:v>42157</c:v>
                </c:pt>
                <c:pt idx="857">
                  <c:v>42164</c:v>
                </c:pt>
                <c:pt idx="858">
                  <c:v>42171</c:v>
                </c:pt>
                <c:pt idx="859">
                  <c:v>42178</c:v>
                </c:pt>
                <c:pt idx="860">
                  <c:v>42185</c:v>
                </c:pt>
                <c:pt idx="861">
                  <c:v>42192</c:v>
                </c:pt>
                <c:pt idx="862">
                  <c:v>42199</c:v>
                </c:pt>
                <c:pt idx="863">
                  <c:v>42206</c:v>
                </c:pt>
                <c:pt idx="864">
                  <c:v>42213</c:v>
                </c:pt>
                <c:pt idx="865">
                  <c:v>42220</c:v>
                </c:pt>
                <c:pt idx="866">
                  <c:v>42227</c:v>
                </c:pt>
                <c:pt idx="867">
                  <c:v>42234</c:v>
                </c:pt>
                <c:pt idx="868">
                  <c:v>42241</c:v>
                </c:pt>
                <c:pt idx="869">
                  <c:v>42248</c:v>
                </c:pt>
                <c:pt idx="870">
                  <c:v>42255</c:v>
                </c:pt>
                <c:pt idx="871">
                  <c:v>42262</c:v>
                </c:pt>
                <c:pt idx="872">
                  <c:v>42269</c:v>
                </c:pt>
                <c:pt idx="873">
                  <c:v>42276</c:v>
                </c:pt>
                <c:pt idx="874">
                  <c:v>42283</c:v>
                </c:pt>
                <c:pt idx="875">
                  <c:v>42290</c:v>
                </c:pt>
                <c:pt idx="876">
                  <c:v>42297</c:v>
                </c:pt>
                <c:pt idx="877">
                  <c:v>42304</c:v>
                </c:pt>
                <c:pt idx="878">
                  <c:v>42311</c:v>
                </c:pt>
                <c:pt idx="879">
                  <c:v>42318</c:v>
                </c:pt>
                <c:pt idx="880">
                  <c:v>42325</c:v>
                </c:pt>
                <c:pt idx="881">
                  <c:v>42332</c:v>
                </c:pt>
                <c:pt idx="882">
                  <c:v>42339</c:v>
                </c:pt>
                <c:pt idx="883">
                  <c:v>42346</c:v>
                </c:pt>
                <c:pt idx="884">
                  <c:v>42353</c:v>
                </c:pt>
                <c:pt idx="885">
                  <c:v>42360</c:v>
                </c:pt>
                <c:pt idx="886">
                  <c:v>42367</c:v>
                </c:pt>
                <c:pt idx="887">
                  <c:v>42374</c:v>
                </c:pt>
                <c:pt idx="888">
                  <c:v>42381</c:v>
                </c:pt>
                <c:pt idx="889">
                  <c:v>42388</c:v>
                </c:pt>
                <c:pt idx="890">
                  <c:v>42395</c:v>
                </c:pt>
                <c:pt idx="891">
                  <c:v>42402</c:v>
                </c:pt>
                <c:pt idx="892">
                  <c:v>42409</c:v>
                </c:pt>
                <c:pt idx="893">
                  <c:v>42416</c:v>
                </c:pt>
                <c:pt idx="894">
                  <c:v>42423</c:v>
                </c:pt>
                <c:pt idx="895">
                  <c:v>42430</c:v>
                </c:pt>
                <c:pt idx="896">
                  <c:v>42437</c:v>
                </c:pt>
                <c:pt idx="897">
                  <c:v>42444</c:v>
                </c:pt>
                <c:pt idx="898">
                  <c:v>42451</c:v>
                </c:pt>
                <c:pt idx="899">
                  <c:v>42458</c:v>
                </c:pt>
                <c:pt idx="900">
                  <c:v>42465</c:v>
                </c:pt>
                <c:pt idx="901">
                  <c:v>42472</c:v>
                </c:pt>
                <c:pt idx="902">
                  <c:v>42479</c:v>
                </c:pt>
                <c:pt idx="903">
                  <c:v>42486</c:v>
                </c:pt>
                <c:pt idx="904">
                  <c:v>42493</c:v>
                </c:pt>
                <c:pt idx="905">
                  <c:v>42500</c:v>
                </c:pt>
                <c:pt idx="906">
                  <c:v>42507</c:v>
                </c:pt>
                <c:pt idx="907">
                  <c:v>42514</c:v>
                </c:pt>
                <c:pt idx="908">
                  <c:v>42521</c:v>
                </c:pt>
                <c:pt idx="909">
                  <c:v>42528</c:v>
                </c:pt>
                <c:pt idx="910">
                  <c:v>42535</c:v>
                </c:pt>
                <c:pt idx="911">
                  <c:v>42542</c:v>
                </c:pt>
                <c:pt idx="912">
                  <c:v>42549</c:v>
                </c:pt>
                <c:pt idx="913">
                  <c:v>42556</c:v>
                </c:pt>
                <c:pt idx="914">
                  <c:v>42563</c:v>
                </c:pt>
                <c:pt idx="915">
                  <c:v>42570</c:v>
                </c:pt>
                <c:pt idx="916">
                  <c:v>42577</c:v>
                </c:pt>
                <c:pt idx="917">
                  <c:v>42584</c:v>
                </c:pt>
                <c:pt idx="918">
                  <c:v>42591</c:v>
                </c:pt>
                <c:pt idx="919">
                  <c:v>42598</c:v>
                </c:pt>
                <c:pt idx="920">
                  <c:v>42605</c:v>
                </c:pt>
                <c:pt idx="921">
                  <c:v>42612</c:v>
                </c:pt>
                <c:pt idx="922">
                  <c:v>42619</c:v>
                </c:pt>
                <c:pt idx="923">
                  <c:v>42626</c:v>
                </c:pt>
                <c:pt idx="924">
                  <c:v>42633</c:v>
                </c:pt>
                <c:pt idx="925">
                  <c:v>42640</c:v>
                </c:pt>
                <c:pt idx="926">
                  <c:v>42647</c:v>
                </c:pt>
                <c:pt idx="927">
                  <c:v>42654</c:v>
                </c:pt>
                <c:pt idx="928">
                  <c:v>42661</c:v>
                </c:pt>
                <c:pt idx="929">
                  <c:v>42668</c:v>
                </c:pt>
                <c:pt idx="930">
                  <c:v>42675</c:v>
                </c:pt>
                <c:pt idx="931">
                  <c:v>42682</c:v>
                </c:pt>
                <c:pt idx="932">
                  <c:v>42689</c:v>
                </c:pt>
                <c:pt idx="933">
                  <c:v>42696</c:v>
                </c:pt>
                <c:pt idx="934">
                  <c:v>42703</c:v>
                </c:pt>
                <c:pt idx="935">
                  <c:v>42710</c:v>
                </c:pt>
                <c:pt idx="936">
                  <c:v>42717</c:v>
                </c:pt>
                <c:pt idx="937">
                  <c:v>42724</c:v>
                </c:pt>
                <c:pt idx="938">
                  <c:v>42731</c:v>
                </c:pt>
                <c:pt idx="939">
                  <c:v>42738</c:v>
                </c:pt>
                <c:pt idx="940">
                  <c:v>42745</c:v>
                </c:pt>
                <c:pt idx="941">
                  <c:v>42752</c:v>
                </c:pt>
                <c:pt idx="942">
                  <c:v>42759</c:v>
                </c:pt>
                <c:pt idx="943">
                  <c:v>42766</c:v>
                </c:pt>
                <c:pt idx="944">
                  <c:v>42773</c:v>
                </c:pt>
                <c:pt idx="945">
                  <c:v>42780</c:v>
                </c:pt>
                <c:pt idx="946">
                  <c:v>42787</c:v>
                </c:pt>
                <c:pt idx="947">
                  <c:v>42794</c:v>
                </c:pt>
                <c:pt idx="948">
                  <c:v>42801</c:v>
                </c:pt>
                <c:pt idx="949">
                  <c:v>42808</c:v>
                </c:pt>
                <c:pt idx="950">
                  <c:v>42815</c:v>
                </c:pt>
                <c:pt idx="951">
                  <c:v>42822</c:v>
                </c:pt>
                <c:pt idx="952">
                  <c:v>42829</c:v>
                </c:pt>
                <c:pt idx="953">
                  <c:v>42836</c:v>
                </c:pt>
                <c:pt idx="954">
                  <c:v>42843</c:v>
                </c:pt>
                <c:pt idx="955">
                  <c:v>42850</c:v>
                </c:pt>
                <c:pt idx="956">
                  <c:v>42857</c:v>
                </c:pt>
                <c:pt idx="957">
                  <c:v>42864</c:v>
                </c:pt>
                <c:pt idx="958">
                  <c:v>42871</c:v>
                </c:pt>
                <c:pt idx="959">
                  <c:v>42878</c:v>
                </c:pt>
                <c:pt idx="960">
                  <c:v>42885</c:v>
                </c:pt>
                <c:pt idx="961">
                  <c:v>42892</c:v>
                </c:pt>
                <c:pt idx="962">
                  <c:v>42899</c:v>
                </c:pt>
                <c:pt idx="963">
                  <c:v>42906</c:v>
                </c:pt>
                <c:pt idx="964">
                  <c:v>42913</c:v>
                </c:pt>
                <c:pt idx="965">
                  <c:v>42920</c:v>
                </c:pt>
                <c:pt idx="966">
                  <c:v>42927</c:v>
                </c:pt>
                <c:pt idx="967">
                  <c:v>42934</c:v>
                </c:pt>
                <c:pt idx="968">
                  <c:v>42941</c:v>
                </c:pt>
                <c:pt idx="969">
                  <c:v>42948</c:v>
                </c:pt>
                <c:pt idx="970">
                  <c:v>42955</c:v>
                </c:pt>
                <c:pt idx="971">
                  <c:v>42962</c:v>
                </c:pt>
                <c:pt idx="972">
                  <c:v>42969</c:v>
                </c:pt>
                <c:pt idx="973">
                  <c:v>42976</c:v>
                </c:pt>
                <c:pt idx="974">
                  <c:v>42983</c:v>
                </c:pt>
                <c:pt idx="975">
                  <c:v>42990</c:v>
                </c:pt>
                <c:pt idx="976">
                  <c:v>42997</c:v>
                </c:pt>
                <c:pt idx="977">
                  <c:v>43004</c:v>
                </c:pt>
                <c:pt idx="978">
                  <c:v>43011</c:v>
                </c:pt>
                <c:pt idx="979">
                  <c:v>43018</c:v>
                </c:pt>
                <c:pt idx="980">
                  <c:v>43025</c:v>
                </c:pt>
                <c:pt idx="981">
                  <c:v>43032</c:v>
                </c:pt>
                <c:pt idx="982">
                  <c:v>43039</c:v>
                </c:pt>
                <c:pt idx="983">
                  <c:v>43046</c:v>
                </c:pt>
                <c:pt idx="984">
                  <c:v>43053</c:v>
                </c:pt>
                <c:pt idx="985">
                  <c:v>43060</c:v>
                </c:pt>
                <c:pt idx="986">
                  <c:v>43067</c:v>
                </c:pt>
                <c:pt idx="987">
                  <c:v>43074</c:v>
                </c:pt>
                <c:pt idx="988">
                  <c:v>43081</c:v>
                </c:pt>
                <c:pt idx="989">
                  <c:v>43088</c:v>
                </c:pt>
                <c:pt idx="990">
                  <c:v>43095</c:v>
                </c:pt>
                <c:pt idx="991">
                  <c:v>43102</c:v>
                </c:pt>
                <c:pt idx="992">
                  <c:v>43109</c:v>
                </c:pt>
                <c:pt idx="993">
                  <c:v>43116</c:v>
                </c:pt>
                <c:pt idx="994">
                  <c:v>43123</c:v>
                </c:pt>
                <c:pt idx="995">
                  <c:v>43130</c:v>
                </c:pt>
                <c:pt idx="996">
                  <c:v>43137</c:v>
                </c:pt>
                <c:pt idx="997">
                  <c:v>43144</c:v>
                </c:pt>
                <c:pt idx="998">
                  <c:v>43151</c:v>
                </c:pt>
                <c:pt idx="999">
                  <c:v>43158</c:v>
                </c:pt>
                <c:pt idx="1000">
                  <c:v>43165</c:v>
                </c:pt>
                <c:pt idx="1001">
                  <c:v>43172</c:v>
                </c:pt>
                <c:pt idx="1002">
                  <c:v>43179</c:v>
                </c:pt>
                <c:pt idx="1003">
                  <c:v>43186</c:v>
                </c:pt>
                <c:pt idx="1004">
                  <c:v>43193</c:v>
                </c:pt>
                <c:pt idx="1005">
                  <c:v>43200</c:v>
                </c:pt>
                <c:pt idx="1006">
                  <c:v>43207</c:v>
                </c:pt>
                <c:pt idx="1007">
                  <c:v>43214</c:v>
                </c:pt>
                <c:pt idx="1008">
                  <c:v>43221</c:v>
                </c:pt>
                <c:pt idx="1009">
                  <c:v>43228</c:v>
                </c:pt>
                <c:pt idx="1010">
                  <c:v>43235</c:v>
                </c:pt>
                <c:pt idx="1011">
                  <c:v>43242</c:v>
                </c:pt>
                <c:pt idx="1012">
                  <c:v>43249</c:v>
                </c:pt>
                <c:pt idx="1013">
                  <c:v>43256</c:v>
                </c:pt>
                <c:pt idx="1014">
                  <c:v>43263</c:v>
                </c:pt>
                <c:pt idx="1015">
                  <c:v>43270</c:v>
                </c:pt>
                <c:pt idx="1016">
                  <c:v>43277</c:v>
                </c:pt>
                <c:pt idx="1017">
                  <c:v>43284</c:v>
                </c:pt>
                <c:pt idx="1018">
                  <c:v>43291</c:v>
                </c:pt>
                <c:pt idx="1019">
                  <c:v>43298</c:v>
                </c:pt>
                <c:pt idx="1020">
                  <c:v>43305</c:v>
                </c:pt>
                <c:pt idx="1021">
                  <c:v>43312</c:v>
                </c:pt>
                <c:pt idx="1022">
                  <c:v>43319</c:v>
                </c:pt>
                <c:pt idx="1023">
                  <c:v>43326</c:v>
                </c:pt>
                <c:pt idx="1024">
                  <c:v>43333</c:v>
                </c:pt>
                <c:pt idx="1025">
                  <c:v>43340</c:v>
                </c:pt>
                <c:pt idx="1026">
                  <c:v>43347</c:v>
                </c:pt>
                <c:pt idx="1027">
                  <c:v>43354</c:v>
                </c:pt>
                <c:pt idx="1028">
                  <c:v>43361</c:v>
                </c:pt>
                <c:pt idx="1029">
                  <c:v>43368</c:v>
                </c:pt>
                <c:pt idx="1030">
                  <c:v>43375</c:v>
                </c:pt>
                <c:pt idx="1031">
                  <c:v>43382</c:v>
                </c:pt>
                <c:pt idx="1032">
                  <c:v>43389</c:v>
                </c:pt>
                <c:pt idx="1033">
                  <c:v>43396</c:v>
                </c:pt>
                <c:pt idx="1034">
                  <c:v>43403</c:v>
                </c:pt>
                <c:pt idx="1035">
                  <c:v>43410</c:v>
                </c:pt>
                <c:pt idx="1036">
                  <c:v>43417</c:v>
                </c:pt>
                <c:pt idx="1037">
                  <c:v>43424</c:v>
                </c:pt>
                <c:pt idx="1038">
                  <c:v>43431</c:v>
                </c:pt>
                <c:pt idx="1039">
                  <c:v>43438</c:v>
                </c:pt>
                <c:pt idx="1040">
                  <c:v>43445</c:v>
                </c:pt>
                <c:pt idx="1041">
                  <c:v>43452</c:v>
                </c:pt>
                <c:pt idx="1042">
                  <c:v>43458</c:v>
                </c:pt>
                <c:pt idx="1043">
                  <c:v>43465</c:v>
                </c:pt>
                <c:pt idx="1044">
                  <c:v>43473</c:v>
                </c:pt>
                <c:pt idx="1045">
                  <c:v>43480</c:v>
                </c:pt>
                <c:pt idx="1046">
                  <c:v>43487</c:v>
                </c:pt>
                <c:pt idx="1047">
                  <c:v>43494</c:v>
                </c:pt>
                <c:pt idx="1048">
                  <c:v>43501</c:v>
                </c:pt>
                <c:pt idx="1049">
                  <c:v>43508</c:v>
                </c:pt>
                <c:pt idx="1050">
                  <c:v>43515</c:v>
                </c:pt>
                <c:pt idx="1051">
                  <c:v>43522</c:v>
                </c:pt>
                <c:pt idx="1052">
                  <c:v>43529</c:v>
                </c:pt>
                <c:pt idx="1053">
                  <c:v>43536</c:v>
                </c:pt>
                <c:pt idx="1054">
                  <c:v>43543</c:v>
                </c:pt>
                <c:pt idx="1055">
                  <c:v>43550</c:v>
                </c:pt>
                <c:pt idx="1056">
                  <c:v>43557</c:v>
                </c:pt>
                <c:pt idx="1057">
                  <c:v>43564</c:v>
                </c:pt>
                <c:pt idx="1058">
                  <c:v>43571</c:v>
                </c:pt>
                <c:pt idx="1059">
                  <c:v>43578</c:v>
                </c:pt>
                <c:pt idx="1060">
                  <c:v>43585</c:v>
                </c:pt>
                <c:pt idx="1061">
                  <c:v>43592</c:v>
                </c:pt>
                <c:pt idx="1062">
                  <c:v>43599</c:v>
                </c:pt>
                <c:pt idx="1063">
                  <c:v>43606</c:v>
                </c:pt>
                <c:pt idx="1064">
                  <c:v>43613</c:v>
                </c:pt>
                <c:pt idx="1065">
                  <c:v>43620</c:v>
                </c:pt>
                <c:pt idx="1066">
                  <c:v>43627</c:v>
                </c:pt>
                <c:pt idx="1067">
                  <c:v>43634</c:v>
                </c:pt>
                <c:pt idx="1068">
                  <c:v>43641</c:v>
                </c:pt>
                <c:pt idx="1069">
                  <c:v>43648</c:v>
                </c:pt>
                <c:pt idx="1070">
                  <c:v>43655</c:v>
                </c:pt>
                <c:pt idx="1071">
                  <c:v>43662</c:v>
                </c:pt>
                <c:pt idx="1072">
                  <c:v>43669</c:v>
                </c:pt>
                <c:pt idx="1073">
                  <c:v>43676</c:v>
                </c:pt>
                <c:pt idx="1074">
                  <c:v>43683</c:v>
                </c:pt>
                <c:pt idx="1075">
                  <c:v>43690</c:v>
                </c:pt>
                <c:pt idx="1076">
                  <c:v>43697</c:v>
                </c:pt>
                <c:pt idx="1077">
                  <c:v>43704</c:v>
                </c:pt>
                <c:pt idx="1078">
                  <c:v>43711</c:v>
                </c:pt>
                <c:pt idx="1079">
                  <c:v>43718</c:v>
                </c:pt>
                <c:pt idx="1080">
                  <c:v>43725</c:v>
                </c:pt>
                <c:pt idx="1081">
                  <c:v>43732</c:v>
                </c:pt>
                <c:pt idx="1082">
                  <c:v>43739</c:v>
                </c:pt>
                <c:pt idx="1083">
                  <c:v>43746</c:v>
                </c:pt>
                <c:pt idx="1084">
                  <c:v>43753</c:v>
                </c:pt>
                <c:pt idx="1085">
                  <c:v>43760</c:v>
                </c:pt>
                <c:pt idx="1086">
                  <c:v>43767</c:v>
                </c:pt>
                <c:pt idx="1087">
                  <c:v>43774</c:v>
                </c:pt>
                <c:pt idx="1088">
                  <c:v>43781</c:v>
                </c:pt>
                <c:pt idx="1089">
                  <c:v>43788</c:v>
                </c:pt>
                <c:pt idx="1090">
                  <c:v>43795</c:v>
                </c:pt>
                <c:pt idx="1091">
                  <c:v>43802</c:v>
                </c:pt>
                <c:pt idx="1092">
                  <c:v>43809</c:v>
                </c:pt>
                <c:pt idx="1093">
                  <c:v>43816</c:v>
                </c:pt>
                <c:pt idx="1094">
                  <c:v>43823</c:v>
                </c:pt>
                <c:pt idx="1095">
                  <c:v>43830</c:v>
                </c:pt>
                <c:pt idx="1096">
                  <c:v>43837</c:v>
                </c:pt>
                <c:pt idx="1097">
                  <c:v>43844</c:v>
                </c:pt>
                <c:pt idx="1098">
                  <c:v>43851</c:v>
                </c:pt>
                <c:pt idx="1099">
                  <c:v>43858</c:v>
                </c:pt>
                <c:pt idx="1100">
                  <c:v>43865</c:v>
                </c:pt>
                <c:pt idx="1101">
                  <c:v>43872</c:v>
                </c:pt>
                <c:pt idx="1102">
                  <c:v>43879</c:v>
                </c:pt>
                <c:pt idx="1103">
                  <c:v>43886</c:v>
                </c:pt>
                <c:pt idx="1104">
                  <c:v>43893</c:v>
                </c:pt>
                <c:pt idx="1105">
                  <c:v>43900</c:v>
                </c:pt>
                <c:pt idx="1106">
                  <c:v>43907</c:v>
                </c:pt>
                <c:pt idx="1107">
                  <c:v>43914</c:v>
                </c:pt>
                <c:pt idx="1108">
                  <c:v>43921</c:v>
                </c:pt>
                <c:pt idx="1109">
                  <c:v>43928</c:v>
                </c:pt>
                <c:pt idx="1110">
                  <c:v>43935</c:v>
                </c:pt>
                <c:pt idx="1111">
                  <c:v>43942</c:v>
                </c:pt>
                <c:pt idx="1112">
                  <c:v>43949</c:v>
                </c:pt>
                <c:pt idx="1113">
                  <c:v>43956</c:v>
                </c:pt>
                <c:pt idx="1114">
                  <c:v>43963</c:v>
                </c:pt>
                <c:pt idx="1115">
                  <c:v>43970</c:v>
                </c:pt>
                <c:pt idx="1116">
                  <c:v>43977</c:v>
                </c:pt>
                <c:pt idx="1117">
                  <c:v>43984</c:v>
                </c:pt>
                <c:pt idx="1118">
                  <c:v>43991</c:v>
                </c:pt>
                <c:pt idx="1119">
                  <c:v>43998</c:v>
                </c:pt>
                <c:pt idx="1120">
                  <c:v>44005</c:v>
                </c:pt>
                <c:pt idx="1121">
                  <c:v>44012</c:v>
                </c:pt>
                <c:pt idx="1122">
                  <c:v>44019</c:v>
                </c:pt>
                <c:pt idx="1123">
                  <c:v>44026</c:v>
                </c:pt>
                <c:pt idx="1124">
                  <c:v>44033</c:v>
                </c:pt>
                <c:pt idx="1125">
                  <c:v>44040</c:v>
                </c:pt>
                <c:pt idx="1126">
                  <c:v>44047</c:v>
                </c:pt>
                <c:pt idx="1127">
                  <c:v>44054</c:v>
                </c:pt>
                <c:pt idx="1128">
                  <c:v>44061</c:v>
                </c:pt>
                <c:pt idx="1129">
                  <c:v>44068</c:v>
                </c:pt>
                <c:pt idx="1130">
                  <c:v>44075</c:v>
                </c:pt>
                <c:pt idx="1131">
                  <c:v>44082</c:v>
                </c:pt>
                <c:pt idx="1132">
                  <c:v>44089</c:v>
                </c:pt>
                <c:pt idx="1133">
                  <c:v>44096</c:v>
                </c:pt>
                <c:pt idx="1134">
                  <c:v>44103</c:v>
                </c:pt>
                <c:pt idx="1135">
                  <c:v>44110</c:v>
                </c:pt>
                <c:pt idx="1136">
                  <c:v>44117</c:v>
                </c:pt>
                <c:pt idx="1137">
                  <c:v>44124</c:v>
                </c:pt>
                <c:pt idx="1138">
                  <c:v>44131</c:v>
                </c:pt>
                <c:pt idx="1139">
                  <c:v>44138</c:v>
                </c:pt>
                <c:pt idx="1140">
                  <c:v>44145</c:v>
                </c:pt>
                <c:pt idx="1141">
                  <c:v>44152</c:v>
                </c:pt>
                <c:pt idx="1142">
                  <c:v>44159</c:v>
                </c:pt>
                <c:pt idx="1143">
                  <c:v>44166</c:v>
                </c:pt>
                <c:pt idx="1144">
                  <c:v>44173</c:v>
                </c:pt>
                <c:pt idx="1145">
                  <c:v>44180</c:v>
                </c:pt>
                <c:pt idx="1146">
                  <c:v>44186</c:v>
                </c:pt>
                <c:pt idx="1147">
                  <c:v>44194</c:v>
                </c:pt>
                <c:pt idx="1148">
                  <c:v>44201</c:v>
                </c:pt>
                <c:pt idx="1149">
                  <c:v>44208</c:v>
                </c:pt>
                <c:pt idx="1150">
                  <c:v>44215</c:v>
                </c:pt>
                <c:pt idx="1151">
                  <c:v>44222</c:v>
                </c:pt>
                <c:pt idx="1152">
                  <c:v>44229</c:v>
                </c:pt>
                <c:pt idx="1153">
                  <c:v>44236</c:v>
                </c:pt>
                <c:pt idx="1154">
                  <c:v>44243</c:v>
                </c:pt>
                <c:pt idx="1155">
                  <c:v>44250</c:v>
                </c:pt>
                <c:pt idx="1156">
                  <c:v>44257</c:v>
                </c:pt>
                <c:pt idx="1157">
                  <c:v>44264</c:v>
                </c:pt>
                <c:pt idx="1158">
                  <c:v>44271</c:v>
                </c:pt>
                <c:pt idx="1159">
                  <c:v>44278</c:v>
                </c:pt>
                <c:pt idx="1160">
                  <c:v>44285</c:v>
                </c:pt>
                <c:pt idx="1161">
                  <c:v>44292</c:v>
                </c:pt>
                <c:pt idx="1162">
                  <c:v>44299</c:v>
                </c:pt>
                <c:pt idx="1163">
                  <c:v>44306</c:v>
                </c:pt>
                <c:pt idx="1164">
                  <c:v>44313</c:v>
                </c:pt>
                <c:pt idx="1165">
                  <c:v>44320</c:v>
                </c:pt>
                <c:pt idx="1166">
                  <c:v>44327</c:v>
                </c:pt>
                <c:pt idx="1167">
                  <c:v>44334</c:v>
                </c:pt>
                <c:pt idx="1168">
                  <c:v>44341</c:v>
                </c:pt>
                <c:pt idx="1169">
                  <c:v>44348</c:v>
                </c:pt>
                <c:pt idx="1170">
                  <c:v>44355</c:v>
                </c:pt>
                <c:pt idx="1171">
                  <c:v>44362</c:v>
                </c:pt>
                <c:pt idx="1172">
                  <c:v>44369</c:v>
                </c:pt>
                <c:pt idx="1173">
                  <c:v>44376</c:v>
                </c:pt>
                <c:pt idx="1174">
                  <c:v>44383</c:v>
                </c:pt>
                <c:pt idx="1175">
                  <c:v>44390</c:v>
                </c:pt>
                <c:pt idx="1176">
                  <c:v>44397</c:v>
                </c:pt>
                <c:pt idx="1177">
                  <c:v>44404</c:v>
                </c:pt>
                <c:pt idx="1178">
                  <c:v>44411</c:v>
                </c:pt>
                <c:pt idx="1179">
                  <c:v>44418</c:v>
                </c:pt>
                <c:pt idx="1180">
                  <c:v>44425</c:v>
                </c:pt>
                <c:pt idx="1181">
                  <c:v>44432</c:v>
                </c:pt>
                <c:pt idx="1182">
                  <c:v>44439</c:v>
                </c:pt>
                <c:pt idx="1183">
                  <c:v>44446</c:v>
                </c:pt>
                <c:pt idx="1184">
                  <c:v>44453</c:v>
                </c:pt>
                <c:pt idx="1185">
                  <c:v>44460</c:v>
                </c:pt>
                <c:pt idx="1186">
                  <c:v>44467</c:v>
                </c:pt>
                <c:pt idx="1187">
                  <c:v>44474</c:v>
                </c:pt>
                <c:pt idx="1188">
                  <c:v>44481</c:v>
                </c:pt>
                <c:pt idx="1189">
                  <c:v>44488</c:v>
                </c:pt>
                <c:pt idx="1190">
                  <c:v>44495</c:v>
                </c:pt>
                <c:pt idx="1191">
                  <c:v>44502</c:v>
                </c:pt>
                <c:pt idx="1192">
                  <c:v>44509</c:v>
                </c:pt>
                <c:pt idx="1193">
                  <c:v>44516</c:v>
                </c:pt>
                <c:pt idx="1194">
                  <c:v>44523</c:v>
                </c:pt>
                <c:pt idx="1195">
                  <c:v>44530</c:v>
                </c:pt>
                <c:pt idx="1196">
                  <c:v>44537</c:v>
                </c:pt>
                <c:pt idx="1197">
                  <c:v>44544</c:v>
                </c:pt>
                <c:pt idx="1198">
                  <c:v>44551</c:v>
                </c:pt>
                <c:pt idx="1199">
                  <c:v>44558</c:v>
                </c:pt>
                <c:pt idx="1200">
                  <c:v>44565</c:v>
                </c:pt>
                <c:pt idx="1201">
                  <c:v>44572</c:v>
                </c:pt>
                <c:pt idx="1202">
                  <c:v>44579</c:v>
                </c:pt>
                <c:pt idx="1203">
                  <c:v>44586</c:v>
                </c:pt>
                <c:pt idx="1204">
                  <c:v>44593</c:v>
                </c:pt>
                <c:pt idx="1205">
                  <c:v>44600</c:v>
                </c:pt>
                <c:pt idx="1206">
                  <c:v>44607</c:v>
                </c:pt>
                <c:pt idx="1207">
                  <c:v>44614</c:v>
                </c:pt>
                <c:pt idx="1208">
                  <c:v>44621</c:v>
                </c:pt>
                <c:pt idx="1209">
                  <c:v>44628</c:v>
                </c:pt>
                <c:pt idx="1210">
                  <c:v>44635</c:v>
                </c:pt>
                <c:pt idx="1211">
                  <c:v>44642</c:v>
                </c:pt>
                <c:pt idx="1212">
                  <c:v>44649</c:v>
                </c:pt>
                <c:pt idx="1213">
                  <c:v>44656</c:v>
                </c:pt>
                <c:pt idx="1214">
                  <c:v>44663</c:v>
                </c:pt>
                <c:pt idx="1215">
                  <c:v>44670</c:v>
                </c:pt>
                <c:pt idx="1216">
                  <c:v>44677</c:v>
                </c:pt>
                <c:pt idx="1217">
                  <c:v>44684</c:v>
                </c:pt>
                <c:pt idx="1218">
                  <c:v>44691</c:v>
                </c:pt>
                <c:pt idx="1219">
                  <c:v>44698</c:v>
                </c:pt>
                <c:pt idx="1220">
                  <c:v>44705</c:v>
                </c:pt>
                <c:pt idx="1221">
                  <c:v>44712</c:v>
                </c:pt>
                <c:pt idx="1222">
                  <c:v>44719</c:v>
                </c:pt>
                <c:pt idx="1223">
                  <c:v>44726</c:v>
                </c:pt>
                <c:pt idx="1224">
                  <c:v>44733</c:v>
                </c:pt>
                <c:pt idx="1225">
                  <c:v>44740</c:v>
                </c:pt>
                <c:pt idx="1226">
                  <c:v>44747</c:v>
                </c:pt>
                <c:pt idx="1227">
                  <c:v>44754</c:v>
                </c:pt>
                <c:pt idx="1228">
                  <c:v>44761</c:v>
                </c:pt>
                <c:pt idx="1229">
                  <c:v>44768</c:v>
                </c:pt>
                <c:pt idx="1230">
                  <c:v>44775</c:v>
                </c:pt>
                <c:pt idx="1231">
                  <c:v>44782</c:v>
                </c:pt>
                <c:pt idx="1232">
                  <c:v>44789</c:v>
                </c:pt>
                <c:pt idx="1233">
                  <c:v>44796</c:v>
                </c:pt>
                <c:pt idx="1234">
                  <c:v>44803</c:v>
                </c:pt>
                <c:pt idx="1235">
                  <c:v>44810</c:v>
                </c:pt>
                <c:pt idx="1236">
                  <c:v>44817</c:v>
                </c:pt>
              </c:numCache>
            </c:numRef>
          </c:cat>
          <c:val>
            <c:numRef>
              <c:f>Currency!$B$7:$B$1319</c:f>
              <c:numCache>
                <c:formatCode>#,##0</c:formatCode>
                <c:ptCount val="1313"/>
                <c:pt idx="0">
                  <c:v>-240</c:v>
                </c:pt>
                <c:pt idx="1">
                  <c:v>440</c:v>
                </c:pt>
                <c:pt idx="2">
                  <c:v>973</c:v>
                </c:pt>
                <c:pt idx="3">
                  <c:v>986</c:v>
                </c:pt>
                <c:pt idx="4">
                  <c:v>-10354</c:v>
                </c:pt>
                <c:pt idx="5">
                  <c:v>-13123</c:v>
                </c:pt>
                <c:pt idx="6">
                  <c:v>-15031</c:v>
                </c:pt>
                <c:pt idx="7">
                  <c:v>-17145</c:v>
                </c:pt>
                <c:pt idx="8">
                  <c:v>-13574</c:v>
                </c:pt>
                <c:pt idx="9">
                  <c:v>-8944</c:v>
                </c:pt>
                <c:pt idx="10">
                  <c:v>-12004</c:v>
                </c:pt>
                <c:pt idx="11">
                  <c:v>-9129</c:v>
                </c:pt>
                <c:pt idx="12">
                  <c:v>-17277</c:v>
                </c:pt>
                <c:pt idx="13">
                  <c:v>-11042</c:v>
                </c:pt>
                <c:pt idx="14">
                  <c:v>-14160</c:v>
                </c:pt>
                <c:pt idx="15">
                  <c:v>-24502</c:v>
                </c:pt>
                <c:pt idx="16">
                  <c:v>-18858</c:v>
                </c:pt>
                <c:pt idx="17">
                  <c:v>-19180</c:v>
                </c:pt>
                <c:pt idx="18">
                  <c:v>-10700</c:v>
                </c:pt>
                <c:pt idx="19">
                  <c:v>-10563</c:v>
                </c:pt>
                <c:pt idx="20">
                  <c:v>-9512</c:v>
                </c:pt>
                <c:pt idx="21">
                  <c:v>-8008</c:v>
                </c:pt>
                <c:pt idx="22">
                  <c:v>-8974</c:v>
                </c:pt>
                <c:pt idx="23">
                  <c:v>-8523</c:v>
                </c:pt>
                <c:pt idx="24">
                  <c:v>-5322</c:v>
                </c:pt>
                <c:pt idx="25">
                  <c:v>-3868</c:v>
                </c:pt>
                <c:pt idx="26">
                  <c:v>-5711</c:v>
                </c:pt>
                <c:pt idx="27">
                  <c:v>-5312</c:v>
                </c:pt>
                <c:pt idx="28">
                  <c:v>-6007</c:v>
                </c:pt>
                <c:pt idx="29">
                  <c:v>1803</c:v>
                </c:pt>
                <c:pt idx="30">
                  <c:v>7453</c:v>
                </c:pt>
                <c:pt idx="31">
                  <c:v>11901</c:v>
                </c:pt>
                <c:pt idx="32">
                  <c:v>1243</c:v>
                </c:pt>
                <c:pt idx="33">
                  <c:v>605</c:v>
                </c:pt>
                <c:pt idx="34">
                  <c:v>3462</c:v>
                </c:pt>
                <c:pt idx="35">
                  <c:v>1844</c:v>
                </c:pt>
                <c:pt idx="36">
                  <c:v>-2563</c:v>
                </c:pt>
                <c:pt idx="37">
                  <c:v>-1560</c:v>
                </c:pt>
                <c:pt idx="38">
                  <c:v>2233</c:v>
                </c:pt>
                <c:pt idx="39">
                  <c:v>12979</c:v>
                </c:pt>
                <c:pt idx="40">
                  <c:v>13099</c:v>
                </c:pt>
                <c:pt idx="41">
                  <c:v>23385</c:v>
                </c:pt>
                <c:pt idx="42">
                  <c:v>10239</c:v>
                </c:pt>
                <c:pt idx="43">
                  <c:v>-4593</c:v>
                </c:pt>
                <c:pt idx="44">
                  <c:v>-4890</c:v>
                </c:pt>
                <c:pt idx="45">
                  <c:v>-9009</c:v>
                </c:pt>
                <c:pt idx="46">
                  <c:v>-14345</c:v>
                </c:pt>
                <c:pt idx="47">
                  <c:v>-25051</c:v>
                </c:pt>
                <c:pt idx="48">
                  <c:v>-20738</c:v>
                </c:pt>
                <c:pt idx="49">
                  <c:v>-16856</c:v>
                </c:pt>
                <c:pt idx="50">
                  <c:v>-6949</c:v>
                </c:pt>
                <c:pt idx="51">
                  <c:v>-12841</c:v>
                </c:pt>
                <c:pt idx="52">
                  <c:v>-5189</c:v>
                </c:pt>
                <c:pt idx="53">
                  <c:v>8714</c:v>
                </c:pt>
                <c:pt idx="54">
                  <c:v>-8018</c:v>
                </c:pt>
                <c:pt idx="55">
                  <c:v>-13303</c:v>
                </c:pt>
                <c:pt idx="56">
                  <c:v>-23010</c:v>
                </c:pt>
                <c:pt idx="57">
                  <c:v>-16692</c:v>
                </c:pt>
                <c:pt idx="58">
                  <c:v>-5414</c:v>
                </c:pt>
                <c:pt idx="59">
                  <c:v>2644</c:v>
                </c:pt>
                <c:pt idx="60">
                  <c:v>-7591</c:v>
                </c:pt>
                <c:pt idx="61">
                  <c:v>-17953</c:v>
                </c:pt>
                <c:pt idx="62">
                  <c:v>-13639</c:v>
                </c:pt>
                <c:pt idx="63">
                  <c:v>-12025</c:v>
                </c:pt>
                <c:pt idx="64">
                  <c:v>-11640</c:v>
                </c:pt>
                <c:pt idx="65">
                  <c:v>-8524</c:v>
                </c:pt>
                <c:pt idx="66">
                  <c:v>-4856</c:v>
                </c:pt>
                <c:pt idx="67">
                  <c:v>-1664</c:v>
                </c:pt>
                <c:pt idx="68">
                  <c:v>980</c:v>
                </c:pt>
                <c:pt idx="69">
                  <c:v>1649</c:v>
                </c:pt>
                <c:pt idx="70">
                  <c:v>-2179</c:v>
                </c:pt>
                <c:pt idx="71">
                  <c:v>536</c:v>
                </c:pt>
                <c:pt idx="72">
                  <c:v>519</c:v>
                </c:pt>
                <c:pt idx="73">
                  <c:v>6509</c:v>
                </c:pt>
                <c:pt idx="74">
                  <c:v>9951</c:v>
                </c:pt>
                <c:pt idx="75">
                  <c:v>10332</c:v>
                </c:pt>
                <c:pt idx="76">
                  <c:v>9625</c:v>
                </c:pt>
                <c:pt idx="77">
                  <c:v>9061</c:v>
                </c:pt>
                <c:pt idx="78">
                  <c:v>7450</c:v>
                </c:pt>
                <c:pt idx="79">
                  <c:v>10130</c:v>
                </c:pt>
                <c:pt idx="80">
                  <c:v>8045</c:v>
                </c:pt>
                <c:pt idx="81">
                  <c:v>12397</c:v>
                </c:pt>
                <c:pt idx="82">
                  <c:v>10272</c:v>
                </c:pt>
                <c:pt idx="83">
                  <c:v>8362</c:v>
                </c:pt>
                <c:pt idx="84">
                  <c:v>7634</c:v>
                </c:pt>
                <c:pt idx="85">
                  <c:v>3360</c:v>
                </c:pt>
                <c:pt idx="86">
                  <c:v>1206</c:v>
                </c:pt>
                <c:pt idx="87">
                  <c:v>382</c:v>
                </c:pt>
                <c:pt idx="88">
                  <c:v>1174</c:v>
                </c:pt>
                <c:pt idx="89">
                  <c:v>-4237</c:v>
                </c:pt>
                <c:pt idx="90">
                  <c:v>149</c:v>
                </c:pt>
                <c:pt idx="91">
                  <c:v>3393</c:v>
                </c:pt>
                <c:pt idx="92">
                  <c:v>5403</c:v>
                </c:pt>
                <c:pt idx="93">
                  <c:v>1720</c:v>
                </c:pt>
                <c:pt idx="94">
                  <c:v>1833</c:v>
                </c:pt>
                <c:pt idx="95">
                  <c:v>2173</c:v>
                </c:pt>
                <c:pt idx="96">
                  <c:v>3778</c:v>
                </c:pt>
                <c:pt idx="97">
                  <c:v>2735</c:v>
                </c:pt>
                <c:pt idx="98">
                  <c:v>5908</c:v>
                </c:pt>
                <c:pt idx="99">
                  <c:v>6941</c:v>
                </c:pt>
                <c:pt idx="100">
                  <c:v>16028</c:v>
                </c:pt>
                <c:pt idx="101">
                  <c:v>19532</c:v>
                </c:pt>
                <c:pt idx="102">
                  <c:v>21814</c:v>
                </c:pt>
                <c:pt idx="103">
                  <c:v>26380</c:v>
                </c:pt>
                <c:pt idx="104">
                  <c:v>27074</c:v>
                </c:pt>
                <c:pt idx="105">
                  <c:v>23832</c:v>
                </c:pt>
                <c:pt idx="106">
                  <c:v>20735</c:v>
                </c:pt>
                <c:pt idx="107">
                  <c:v>17242</c:v>
                </c:pt>
                <c:pt idx="108">
                  <c:v>16160</c:v>
                </c:pt>
                <c:pt idx="109">
                  <c:v>14335</c:v>
                </c:pt>
                <c:pt idx="110">
                  <c:v>14702</c:v>
                </c:pt>
                <c:pt idx="111">
                  <c:v>10002</c:v>
                </c:pt>
                <c:pt idx="112">
                  <c:v>9513</c:v>
                </c:pt>
                <c:pt idx="113">
                  <c:v>17064</c:v>
                </c:pt>
                <c:pt idx="114">
                  <c:v>7827</c:v>
                </c:pt>
                <c:pt idx="115">
                  <c:v>2613</c:v>
                </c:pt>
                <c:pt idx="116">
                  <c:v>3884</c:v>
                </c:pt>
                <c:pt idx="117">
                  <c:v>6775</c:v>
                </c:pt>
                <c:pt idx="118">
                  <c:v>5745</c:v>
                </c:pt>
                <c:pt idx="119">
                  <c:v>4993</c:v>
                </c:pt>
                <c:pt idx="120">
                  <c:v>7303</c:v>
                </c:pt>
                <c:pt idx="121">
                  <c:v>6044</c:v>
                </c:pt>
                <c:pt idx="122">
                  <c:v>4354</c:v>
                </c:pt>
                <c:pt idx="123">
                  <c:v>3408</c:v>
                </c:pt>
                <c:pt idx="124">
                  <c:v>-5453</c:v>
                </c:pt>
                <c:pt idx="125">
                  <c:v>-2931</c:v>
                </c:pt>
                <c:pt idx="126">
                  <c:v>-4813</c:v>
                </c:pt>
                <c:pt idx="127">
                  <c:v>-4588</c:v>
                </c:pt>
                <c:pt idx="128">
                  <c:v>3633</c:v>
                </c:pt>
                <c:pt idx="129">
                  <c:v>3175</c:v>
                </c:pt>
                <c:pt idx="130">
                  <c:v>3246</c:v>
                </c:pt>
                <c:pt idx="131">
                  <c:v>6651</c:v>
                </c:pt>
                <c:pt idx="132">
                  <c:v>9043</c:v>
                </c:pt>
                <c:pt idx="133">
                  <c:v>14291</c:v>
                </c:pt>
                <c:pt idx="134">
                  <c:v>16083</c:v>
                </c:pt>
                <c:pt idx="135">
                  <c:v>16640</c:v>
                </c:pt>
                <c:pt idx="136">
                  <c:v>24353</c:v>
                </c:pt>
                <c:pt idx="137">
                  <c:v>28970</c:v>
                </c:pt>
                <c:pt idx="138">
                  <c:v>29505</c:v>
                </c:pt>
                <c:pt idx="139">
                  <c:v>21821</c:v>
                </c:pt>
                <c:pt idx="140">
                  <c:v>17849</c:v>
                </c:pt>
                <c:pt idx="141">
                  <c:v>24437</c:v>
                </c:pt>
                <c:pt idx="142">
                  <c:v>27848</c:v>
                </c:pt>
                <c:pt idx="143">
                  <c:v>24952</c:v>
                </c:pt>
                <c:pt idx="144">
                  <c:v>22441</c:v>
                </c:pt>
                <c:pt idx="145">
                  <c:v>17616</c:v>
                </c:pt>
                <c:pt idx="146">
                  <c:v>9390</c:v>
                </c:pt>
                <c:pt idx="147">
                  <c:v>16686</c:v>
                </c:pt>
                <c:pt idx="148">
                  <c:v>15352</c:v>
                </c:pt>
                <c:pt idx="149">
                  <c:v>484</c:v>
                </c:pt>
                <c:pt idx="150">
                  <c:v>-286</c:v>
                </c:pt>
                <c:pt idx="151">
                  <c:v>915</c:v>
                </c:pt>
                <c:pt idx="152">
                  <c:v>13846</c:v>
                </c:pt>
                <c:pt idx="153">
                  <c:v>11906</c:v>
                </c:pt>
                <c:pt idx="154">
                  <c:v>11871</c:v>
                </c:pt>
                <c:pt idx="155">
                  <c:v>11422</c:v>
                </c:pt>
                <c:pt idx="156">
                  <c:v>11182</c:v>
                </c:pt>
                <c:pt idx="157">
                  <c:v>14773</c:v>
                </c:pt>
                <c:pt idx="158">
                  <c:v>12096</c:v>
                </c:pt>
                <c:pt idx="159">
                  <c:v>17289</c:v>
                </c:pt>
                <c:pt idx="160">
                  <c:v>855</c:v>
                </c:pt>
                <c:pt idx="161">
                  <c:v>2323</c:v>
                </c:pt>
                <c:pt idx="162">
                  <c:v>3254</c:v>
                </c:pt>
                <c:pt idx="163">
                  <c:v>8647</c:v>
                </c:pt>
                <c:pt idx="164">
                  <c:v>3133</c:v>
                </c:pt>
                <c:pt idx="165">
                  <c:v>6288</c:v>
                </c:pt>
                <c:pt idx="166">
                  <c:v>15461</c:v>
                </c:pt>
                <c:pt idx="167">
                  <c:v>21256</c:v>
                </c:pt>
                <c:pt idx="168">
                  <c:v>23293</c:v>
                </c:pt>
                <c:pt idx="169">
                  <c:v>26158</c:v>
                </c:pt>
                <c:pt idx="170">
                  <c:v>19441</c:v>
                </c:pt>
                <c:pt idx="171">
                  <c:v>27627</c:v>
                </c:pt>
                <c:pt idx="172">
                  <c:v>29623</c:v>
                </c:pt>
                <c:pt idx="173">
                  <c:v>31472</c:v>
                </c:pt>
                <c:pt idx="174">
                  <c:v>35433</c:v>
                </c:pt>
                <c:pt idx="175">
                  <c:v>34600</c:v>
                </c:pt>
                <c:pt idx="176">
                  <c:v>31173</c:v>
                </c:pt>
                <c:pt idx="177">
                  <c:v>31725</c:v>
                </c:pt>
                <c:pt idx="178">
                  <c:v>31616</c:v>
                </c:pt>
                <c:pt idx="179">
                  <c:v>28367</c:v>
                </c:pt>
                <c:pt idx="180">
                  <c:v>29457</c:v>
                </c:pt>
                <c:pt idx="181">
                  <c:v>22524</c:v>
                </c:pt>
                <c:pt idx="182">
                  <c:v>24395</c:v>
                </c:pt>
                <c:pt idx="183">
                  <c:v>24082</c:v>
                </c:pt>
                <c:pt idx="184">
                  <c:v>26654</c:v>
                </c:pt>
                <c:pt idx="185">
                  <c:v>25678</c:v>
                </c:pt>
                <c:pt idx="186">
                  <c:v>25483</c:v>
                </c:pt>
                <c:pt idx="187">
                  <c:v>20022</c:v>
                </c:pt>
                <c:pt idx="188">
                  <c:v>19782</c:v>
                </c:pt>
                <c:pt idx="189">
                  <c:v>17863</c:v>
                </c:pt>
                <c:pt idx="190">
                  <c:v>22088</c:v>
                </c:pt>
                <c:pt idx="191">
                  <c:v>25238</c:v>
                </c:pt>
                <c:pt idx="192">
                  <c:v>20351</c:v>
                </c:pt>
                <c:pt idx="193">
                  <c:v>12610</c:v>
                </c:pt>
                <c:pt idx="194">
                  <c:v>14602</c:v>
                </c:pt>
                <c:pt idx="195">
                  <c:v>16937</c:v>
                </c:pt>
                <c:pt idx="196">
                  <c:v>12652</c:v>
                </c:pt>
                <c:pt idx="197">
                  <c:v>21032</c:v>
                </c:pt>
                <c:pt idx="198">
                  <c:v>14068</c:v>
                </c:pt>
                <c:pt idx="199">
                  <c:v>19325</c:v>
                </c:pt>
                <c:pt idx="200">
                  <c:v>31037</c:v>
                </c:pt>
                <c:pt idx="201">
                  <c:v>33277</c:v>
                </c:pt>
                <c:pt idx="202">
                  <c:v>30205</c:v>
                </c:pt>
                <c:pt idx="203">
                  <c:v>28776</c:v>
                </c:pt>
                <c:pt idx="204">
                  <c:v>22876</c:v>
                </c:pt>
                <c:pt idx="205">
                  <c:v>28064</c:v>
                </c:pt>
                <c:pt idx="206">
                  <c:v>30601</c:v>
                </c:pt>
                <c:pt idx="207">
                  <c:v>28127</c:v>
                </c:pt>
                <c:pt idx="208">
                  <c:v>29010</c:v>
                </c:pt>
                <c:pt idx="209">
                  <c:v>28157</c:v>
                </c:pt>
                <c:pt idx="210">
                  <c:v>28773</c:v>
                </c:pt>
                <c:pt idx="211">
                  <c:v>28442</c:v>
                </c:pt>
                <c:pt idx="212">
                  <c:v>26336</c:v>
                </c:pt>
                <c:pt idx="213">
                  <c:v>30666</c:v>
                </c:pt>
                <c:pt idx="214">
                  <c:v>22298</c:v>
                </c:pt>
                <c:pt idx="215">
                  <c:v>25485</c:v>
                </c:pt>
                <c:pt idx="216">
                  <c:v>20063</c:v>
                </c:pt>
                <c:pt idx="217">
                  <c:v>29975</c:v>
                </c:pt>
                <c:pt idx="218">
                  <c:v>30266</c:v>
                </c:pt>
                <c:pt idx="219">
                  <c:v>13339</c:v>
                </c:pt>
                <c:pt idx="220">
                  <c:v>7594</c:v>
                </c:pt>
                <c:pt idx="221">
                  <c:v>10564</c:v>
                </c:pt>
                <c:pt idx="222">
                  <c:v>13145</c:v>
                </c:pt>
                <c:pt idx="223">
                  <c:v>14205</c:v>
                </c:pt>
                <c:pt idx="224">
                  <c:v>24387</c:v>
                </c:pt>
                <c:pt idx="225">
                  <c:v>28005</c:v>
                </c:pt>
                <c:pt idx="226">
                  <c:v>31970</c:v>
                </c:pt>
                <c:pt idx="227">
                  <c:v>24903</c:v>
                </c:pt>
                <c:pt idx="228">
                  <c:v>26898</c:v>
                </c:pt>
                <c:pt idx="229">
                  <c:v>24113</c:v>
                </c:pt>
                <c:pt idx="230">
                  <c:v>30033</c:v>
                </c:pt>
                <c:pt idx="231">
                  <c:v>26262</c:v>
                </c:pt>
                <c:pt idx="232">
                  <c:v>28123</c:v>
                </c:pt>
                <c:pt idx="233">
                  <c:v>23470</c:v>
                </c:pt>
                <c:pt idx="234">
                  <c:v>23630</c:v>
                </c:pt>
                <c:pt idx="235">
                  <c:v>19161</c:v>
                </c:pt>
                <c:pt idx="236">
                  <c:v>16195</c:v>
                </c:pt>
                <c:pt idx="237">
                  <c:v>13153</c:v>
                </c:pt>
                <c:pt idx="238">
                  <c:v>12420</c:v>
                </c:pt>
                <c:pt idx="239">
                  <c:v>13889</c:v>
                </c:pt>
                <c:pt idx="240">
                  <c:v>14702</c:v>
                </c:pt>
                <c:pt idx="241">
                  <c:v>9121</c:v>
                </c:pt>
                <c:pt idx="242">
                  <c:v>2673</c:v>
                </c:pt>
                <c:pt idx="243">
                  <c:v>2129</c:v>
                </c:pt>
                <c:pt idx="244">
                  <c:v>2505</c:v>
                </c:pt>
                <c:pt idx="245">
                  <c:v>4724</c:v>
                </c:pt>
                <c:pt idx="246">
                  <c:v>8777</c:v>
                </c:pt>
                <c:pt idx="247">
                  <c:v>13649</c:v>
                </c:pt>
                <c:pt idx="248">
                  <c:v>20025</c:v>
                </c:pt>
                <c:pt idx="249">
                  <c:v>24994</c:v>
                </c:pt>
                <c:pt idx="250">
                  <c:v>24113</c:v>
                </c:pt>
                <c:pt idx="251">
                  <c:v>24205</c:v>
                </c:pt>
                <c:pt idx="252">
                  <c:v>19573</c:v>
                </c:pt>
                <c:pt idx="253">
                  <c:v>17919</c:v>
                </c:pt>
                <c:pt idx="254">
                  <c:v>34546</c:v>
                </c:pt>
                <c:pt idx="255">
                  <c:v>30497</c:v>
                </c:pt>
                <c:pt idx="256">
                  <c:v>30680</c:v>
                </c:pt>
                <c:pt idx="257">
                  <c:v>27998</c:v>
                </c:pt>
                <c:pt idx="258">
                  <c:v>34783</c:v>
                </c:pt>
                <c:pt idx="259">
                  <c:v>33708</c:v>
                </c:pt>
                <c:pt idx="260">
                  <c:v>33556</c:v>
                </c:pt>
                <c:pt idx="261">
                  <c:v>29910</c:v>
                </c:pt>
                <c:pt idx="262">
                  <c:v>26937</c:v>
                </c:pt>
                <c:pt idx="263">
                  <c:v>28243</c:v>
                </c:pt>
                <c:pt idx="264">
                  <c:v>33298</c:v>
                </c:pt>
                <c:pt idx="265">
                  <c:v>20446</c:v>
                </c:pt>
                <c:pt idx="266">
                  <c:v>26242</c:v>
                </c:pt>
                <c:pt idx="267">
                  <c:v>28409</c:v>
                </c:pt>
                <c:pt idx="268">
                  <c:v>26367</c:v>
                </c:pt>
                <c:pt idx="269">
                  <c:v>17028</c:v>
                </c:pt>
                <c:pt idx="270">
                  <c:v>14065</c:v>
                </c:pt>
                <c:pt idx="271">
                  <c:v>8454</c:v>
                </c:pt>
                <c:pt idx="272">
                  <c:v>10293</c:v>
                </c:pt>
                <c:pt idx="273">
                  <c:v>6174</c:v>
                </c:pt>
                <c:pt idx="274">
                  <c:v>6017</c:v>
                </c:pt>
                <c:pt idx="275">
                  <c:v>5743</c:v>
                </c:pt>
                <c:pt idx="276">
                  <c:v>9799</c:v>
                </c:pt>
                <c:pt idx="277">
                  <c:v>5570</c:v>
                </c:pt>
                <c:pt idx="278">
                  <c:v>6999</c:v>
                </c:pt>
                <c:pt idx="279">
                  <c:v>12478</c:v>
                </c:pt>
                <c:pt idx="280">
                  <c:v>13422</c:v>
                </c:pt>
                <c:pt idx="281">
                  <c:v>18714</c:v>
                </c:pt>
                <c:pt idx="282">
                  <c:v>22194</c:v>
                </c:pt>
                <c:pt idx="283">
                  <c:v>23474</c:v>
                </c:pt>
                <c:pt idx="284">
                  <c:v>16588</c:v>
                </c:pt>
                <c:pt idx="285">
                  <c:v>12079</c:v>
                </c:pt>
                <c:pt idx="286">
                  <c:v>13755</c:v>
                </c:pt>
                <c:pt idx="287">
                  <c:v>19037</c:v>
                </c:pt>
                <c:pt idx="288">
                  <c:v>31012</c:v>
                </c:pt>
                <c:pt idx="289">
                  <c:v>36101</c:v>
                </c:pt>
                <c:pt idx="290">
                  <c:v>16927</c:v>
                </c:pt>
                <c:pt idx="291">
                  <c:v>12242</c:v>
                </c:pt>
                <c:pt idx="292">
                  <c:v>16857</c:v>
                </c:pt>
                <c:pt idx="293">
                  <c:v>25699</c:v>
                </c:pt>
                <c:pt idx="294">
                  <c:v>24616</c:v>
                </c:pt>
                <c:pt idx="295">
                  <c:v>20827</c:v>
                </c:pt>
                <c:pt idx="296">
                  <c:v>18032</c:v>
                </c:pt>
                <c:pt idx="297">
                  <c:v>25858</c:v>
                </c:pt>
                <c:pt idx="298">
                  <c:v>25447</c:v>
                </c:pt>
                <c:pt idx="299">
                  <c:v>32334</c:v>
                </c:pt>
                <c:pt idx="300">
                  <c:v>44811</c:v>
                </c:pt>
                <c:pt idx="301">
                  <c:v>38095</c:v>
                </c:pt>
                <c:pt idx="302">
                  <c:v>36512</c:v>
                </c:pt>
                <c:pt idx="303">
                  <c:v>45531</c:v>
                </c:pt>
                <c:pt idx="304">
                  <c:v>53465</c:v>
                </c:pt>
                <c:pt idx="305">
                  <c:v>57529</c:v>
                </c:pt>
                <c:pt idx="306">
                  <c:v>54028</c:v>
                </c:pt>
                <c:pt idx="307">
                  <c:v>32261</c:v>
                </c:pt>
                <c:pt idx="308">
                  <c:v>24485</c:v>
                </c:pt>
                <c:pt idx="309">
                  <c:v>24114</c:v>
                </c:pt>
                <c:pt idx="310">
                  <c:v>-14542</c:v>
                </c:pt>
                <c:pt idx="311">
                  <c:v>-12164</c:v>
                </c:pt>
                <c:pt idx="312">
                  <c:v>16814</c:v>
                </c:pt>
                <c:pt idx="313">
                  <c:v>11071</c:v>
                </c:pt>
                <c:pt idx="314">
                  <c:v>16181</c:v>
                </c:pt>
                <c:pt idx="315">
                  <c:v>9913</c:v>
                </c:pt>
                <c:pt idx="316">
                  <c:v>768</c:v>
                </c:pt>
                <c:pt idx="317">
                  <c:v>1925</c:v>
                </c:pt>
                <c:pt idx="318">
                  <c:v>-631</c:v>
                </c:pt>
                <c:pt idx="319">
                  <c:v>-245</c:v>
                </c:pt>
                <c:pt idx="320">
                  <c:v>4024</c:v>
                </c:pt>
                <c:pt idx="321">
                  <c:v>33418</c:v>
                </c:pt>
                <c:pt idx="322">
                  <c:v>22590</c:v>
                </c:pt>
                <c:pt idx="323">
                  <c:v>29912</c:v>
                </c:pt>
                <c:pt idx="324">
                  <c:v>27199</c:v>
                </c:pt>
                <c:pt idx="325">
                  <c:v>17753</c:v>
                </c:pt>
                <c:pt idx="326">
                  <c:v>6898</c:v>
                </c:pt>
                <c:pt idx="327">
                  <c:v>5760</c:v>
                </c:pt>
                <c:pt idx="328">
                  <c:v>5021</c:v>
                </c:pt>
                <c:pt idx="329">
                  <c:v>4219</c:v>
                </c:pt>
                <c:pt idx="330">
                  <c:v>4875</c:v>
                </c:pt>
                <c:pt idx="331">
                  <c:v>-1544</c:v>
                </c:pt>
                <c:pt idx="332">
                  <c:v>-13488</c:v>
                </c:pt>
                <c:pt idx="333">
                  <c:v>-15321</c:v>
                </c:pt>
                <c:pt idx="334">
                  <c:v>-18310</c:v>
                </c:pt>
                <c:pt idx="335">
                  <c:v>-17771</c:v>
                </c:pt>
                <c:pt idx="336">
                  <c:v>-19665</c:v>
                </c:pt>
                <c:pt idx="337">
                  <c:v>-21282</c:v>
                </c:pt>
                <c:pt idx="338">
                  <c:v>-14241</c:v>
                </c:pt>
                <c:pt idx="339">
                  <c:v>-24872</c:v>
                </c:pt>
                <c:pt idx="340">
                  <c:v>-7848</c:v>
                </c:pt>
                <c:pt idx="341">
                  <c:v>-11870</c:v>
                </c:pt>
                <c:pt idx="342">
                  <c:v>-8296</c:v>
                </c:pt>
                <c:pt idx="343">
                  <c:v>-191</c:v>
                </c:pt>
                <c:pt idx="344">
                  <c:v>4231</c:v>
                </c:pt>
                <c:pt idx="345">
                  <c:v>584</c:v>
                </c:pt>
                <c:pt idx="346">
                  <c:v>-5766</c:v>
                </c:pt>
                <c:pt idx="347">
                  <c:v>-3619</c:v>
                </c:pt>
                <c:pt idx="348">
                  <c:v>23518</c:v>
                </c:pt>
                <c:pt idx="349">
                  <c:v>7585</c:v>
                </c:pt>
                <c:pt idx="350">
                  <c:v>-1428</c:v>
                </c:pt>
                <c:pt idx="351">
                  <c:v>-1603</c:v>
                </c:pt>
                <c:pt idx="352">
                  <c:v>-1898</c:v>
                </c:pt>
                <c:pt idx="353">
                  <c:v>4792</c:v>
                </c:pt>
                <c:pt idx="354">
                  <c:v>855</c:v>
                </c:pt>
                <c:pt idx="355">
                  <c:v>-2558</c:v>
                </c:pt>
                <c:pt idx="356">
                  <c:v>6998</c:v>
                </c:pt>
                <c:pt idx="357">
                  <c:v>-6627</c:v>
                </c:pt>
                <c:pt idx="358">
                  <c:v>-13222</c:v>
                </c:pt>
                <c:pt idx="359">
                  <c:v>-11127</c:v>
                </c:pt>
                <c:pt idx="360">
                  <c:v>-18132</c:v>
                </c:pt>
                <c:pt idx="361">
                  <c:v>-22572</c:v>
                </c:pt>
                <c:pt idx="362">
                  <c:v>-1063</c:v>
                </c:pt>
                <c:pt idx="363">
                  <c:v>4504</c:v>
                </c:pt>
                <c:pt idx="364">
                  <c:v>4578</c:v>
                </c:pt>
                <c:pt idx="365">
                  <c:v>11231</c:v>
                </c:pt>
                <c:pt idx="366">
                  <c:v>21961</c:v>
                </c:pt>
                <c:pt idx="367">
                  <c:v>21211</c:v>
                </c:pt>
                <c:pt idx="368">
                  <c:v>37464</c:v>
                </c:pt>
                <c:pt idx="369">
                  <c:v>36382</c:v>
                </c:pt>
                <c:pt idx="370">
                  <c:v>18965</c:v>
                </c:pt>
                <c:pt idx="371">
                  <c:v>11956</c:v>
                </c:pt>
                <c:pt idx="372">
                  <c:v>10085</c:v>
                </c:pt>
                <c:pt idx="373">
                  <c:v>18402</c:v>
                </c:pt>
                <c:pt idx="374">
                  <c:v>13878</c:v>
                </c:pt>
                <c:pt idx="375">
                  <c:v>27984</c:v>
                </c:pt>
                <c:pt idx="376">
                  <c:v>41452</c:v>
                </c:pt>
                <c:pt idx="377">
                  <c:v>40811</c:v>
                </c:pt>
                <c:pt idx="378">
                  <c:v>52392</c:v>
                </c:pt>
                <c:pt idx="379">
                  <c:v>41630</c:v>
                </c:pt>
                <c:pt idx="380">
                  <c:v>55342</c:v>
                </c:pt>
                <c:pt idx="381">
                  <c:v>65525</c:v>
                </c:pt>
                <c:pt idx="382">
                  <c:v>74474</c:v>
                </c:pt>
                <c:pt idx="383">
                  <c:v>72911</c:v>
                </c:pt>
                <c:pt idx="384">
                  <c:v>73376</c:v>
                </c:pt>
                <c:pt idx="385">
                  <c:v>72076</c:v>
                </c:pt>
                <c:pt idx="386">
                  <c:v>79884</c:v>
                </c:pt>
                <c:pt idx="387">
                  <c:v>88196</c:v>
                </c:pt>
                <c:pt idx="388">
                  <c:v>61846</c:v>
                </c:pt>
                <c:pt idx="389">
                  <c:v>52490</c:v>
                </c:pt>
                <c:pt idx="390">
                  <c:v>64670</c:v>
                </c:pt>
                <c:pt idx="391">
                  <c:v>68545</c:v>
                </c:pt>
                <c:pt idx="392">
                  <c:v>77895</c:v>
                </c:pt>
                <c:pt idx="393">
                  <c:v>51694</c:v>
                </c:pt>
                <c:pt idx="394">
                  <c:v>50301</c:v>
                </c:pt>
                <c:pt idx="395">
                  <c:v>73429</c:v>
                </c:pt>
                <c:pt idx="396">
                  <c:v>92108</c:v>
                </c:pt>
                <c:pt idx="397">
                  <c:v>90204</c:v>
                </c:pt>
                <c:pt idx="398">
                  <c:v>81470</c:v>
                </c:pt>
                <c:pt idx="399">
                  <c:v>79637</c:v>
                </c:pt>
                <c:pt idx="400">
                  <c:v>75016</c:v>
                </c:pt>
                <c:pt idx="401">
                  <c:v>66717</c:v>
                </c:pt>
                <c:pt idx="402">
                  <c:v>51114</c:v>
                </c:pt>
                <c:pt idx="403">
                  <c:v>49942</c:v>
                </c:pt>
                <c:pt idx="404">
                  <c:v>56217</c:v>
                </c:pt>
                <c:pt idx="405">
                  <c:v>36528</c:v>
                </c:pt>
                <c:pt idx="406">
                  <c:v>26592</c:v>
                </c:pt>
                <c:pt idx="407">
                  <c:v>27151</c:v>
                </c:pt>
                <c:pt idx="408">
                  <c:v>60048</c:v>
                </c:pt>
                <c:pt idx="409">
                  <c:v>68925</c:v>
                </c:pt>
                <c:pt idx="410">
                  <c:v>60475</c:v>
                </c:pt>
                <c:pt idx="411">
                  <c:v>65306</c:v>
                </c:pt>
                <c:pt idx="412">
                  <c:v>89594</c:v>
                </c:pt>
                <c:pt idx="413">
                  <c:v>98265</c:v>
                </c:pt>
                <c:pt idx="414">
                  <c:v>96683</c:v>
                </c:pt>
                <c:pt idx="415">
                  <c:v>91970</c:v>
                </c:pt>
                <c:pt idx="416">
                  <c:v>79970</c:v>
                </c:pt>
                <c:pt idx="417">
                  <c:v>77456</c:v>
                </c:pt>
                <c:pt idx="418">
                  <c:v>75172</c:v>
                </c:pt>
                <c:pt idx="419">
                  <c:v>53542</c:v>
                </c:pt>
                <c:pt idx="420">
                  <c:v>61010</c:v>
                </c:pt>
                <c:pt idx="421">
                  <c:v>62579</c:v>
                </c:pt>
                <c:pt idx="422">
                  <c:v>45330</c:v>
                </c:pt>
                <c:pt idx="423">
                  <c:v>83795</c:v>
                </c:pt>
                <c:pt idx="424">
                  <c:v>99326</c:v>
                </c:pt>
                <c:pt idx="425">
                  <c:v>102598</c:v>
                </c:pt>
                <c:pt idx="426">
                  <c:v>88679</c:v>
                </c:pt>
                <c:pt idx="427">
                  <c:v>96155</c:v>
                </c:pt>
                <c:pt idx="428">
                  <c:v>87956</c:v>
                </c:pt>
                <c:pt idx="429">
                  <c:v>93741</c:v>
                </c:pt>
                <c:pt idx="430">
                  <c:v>95078</c:v>
                </c:pt>
                <c:pt idx="431">
                  <c:v>104394</c:v>
                </c:pt>
                <c:pt idx="432">
                  <c:v>106770</c:v>
                </c:pt>
                <c:pt idx="433">
                  <c:v>111282</c:v>
                </c:pt>
                <c:pt idx="434">
                  <c:v>106688</c:v>
                </c:pt>
                <c:pt idx="435">
                  <c:v>105270</c:v>
                </c:pt>
                <c:pt idx="436">
                  <c:v>119538</c:v>
                </c:pt>
                <c:pt idx="437">
                  <c:v>95287</c:v>
                </c:pt>
                <c:pt idx="438">
                  <c:v>94319</c:v>
                </c:pt>
                <c:pt idx="439">
                  <c:v>84965</c:v>
                </c:pt>
                <c:pt idx="440">
                  <c:v>50638</c:v>
                </c:pt>
                <c:pt idx="441">
                  <c:v>46341</c:v>
                </c:pt>
                <c:pt idx="442">
                  <c:v>67433</c:v>
                </c:pt>
                <c:pt idx="443">
                  <c:v>76524</c:v>
                </c:pt>
                <c:pt idx="444">
                  <c:v>102896</c:v>
                </c:pt>
                <c:pt idx="445">
                  <c:v>99185</c:v>
                </c:pt>
                <c:pt idx="446">
                  <c:v>96415</c:v>
                </c:pt>
                <c:pt idx="447">
                  <c:v>78453</c:v>
                </c:pt>
                <c:pt idx="448">
                  <c:v>79029</c:v>
                </c:pt>
                <c:pt idx="449">
                  <c:v>64674</c:v>
                </c:pt>
                <c:pt idx="450">
                  <c:v>38463</c:v>
                </c:pt>
                <c:pt idx="451">
                  <c:v>42826</c:v>
                </c:pt>
                <c:pt idx="452">
                  <c:v>46645</c:v>
                </c:pt>
                <c:pt idx="453">
                  <c:v>58214</c:v>
                </c:pt>
                <c:pt idx="454">
                  <c:v>86049</c:v>
                </c:pt>
                <c:pt idx="455">
                  <c:v>83448</c:v>
                </c:pt>
                <c:pt idx="456">
                  <c:v>94440</c:v>
                </c:pt>
                <c:pt idx="457">
                  <c:v>87166</c:v>
                </c:pt>
                <c:pt idx="458">
                  <c:v>86604</c:v>
                </c:pt>
                <c:pt idx="459">
                  <c:v>69016</c:v>
                </c:pt>
                <c:pt idx="460">
                  <c:v>68848</c:v>
                </c:pt>
                <c:pt idx="461">
                  <c:v>76048</c:v>
                </c:pt>
                <c:pt idx="462">
                  <c:v>69429</c:v>
                </c:pt>
                <c:pt idx="463">
                  <c:v>70028</c:v>
                </c:pt>
                <c:pt idx="464">
                  <c:v>66556</c:v>
                </c:pt>
                <c:pt idx="465">
                  <c:v>69117</c:v>
                </c:pt>
                <c:pt idx="466">
                  <c:v>63374</c:v>
                </c:pt>
                <c:pt idx="467">
                  <c:v>31149</c:v>
                </c:pt>
                <c:pt idx="468">
                  <c:v>30641</c:v>
                </c:pt>
                <c:pt idx="469">
                  <c:v>36655</c:v>
                </c:pt>
                <c:pt idx="470">
                  <c:v>51902</c:v>
                </c:pt>
                <c:pt idx="471">
                  <c:v>44982</c:v>
                </c:pt>
                <c:pt idx="472">
                  <c:v>23745</c:v>
                </c:pt>
                <c:pt idx="473">
                  <c:v>22456</c:v>
                </c:pt>
                <c:pt idx="474">
                  <c:v>12564</c:v>
                </c:pt>
                <c:pt idx="475">
                  <c:v>10295</c:v>
                </c:pt>
                <c:pt idx="476">
                  <c:v>14730</c:v>
                </c:pt>
                <c:pt idx="477">
                  <c:v>31778</c:v>
                </c:pt>
                <c:pt idx="478">
                  <c:v>32010</c:v>
                </c:pt>
                <c:pt idx="479">
                  <c:v>29099</c:v>
                </c:pt>
                <c:pt idx="480">
                  <c:v>26521</c:v>
                </c:pt>
                <c:pt idx="481">
                  <c:v>42771</c:v>
                </c:pt>
                <c:pt idx="482">
                  <c:v>29072</c:v>
                </c:pt>
                <c:pt idx="483">
                  <c:v>29435</c:v>
                </c:pt>
                <c:pt idx="484">
                  <c:v>20093</c:v>
                </c:pt>
                <c:pt idx="485">
                  <c:v>18907</c:v>
                </c:pt>
                <c:pt idx="486">
                  <c:v>-21315</c:v>
                </c:pt>
                <c:pt idx="487">
                  <c:v>-12512</c:v>
                </c:pt>
                <c:pt idx="488">
                  <c:v>-9499</c:v>
                </c:pt>
                <c:pt idx="489">
                  <c:v>6841</c:v>
                </c:pt>
                <c:pt idx="490">
                  <c:v>-3390</c:v>
                </c:pt>
                <c:pt idx="491">
                  <c:v>-14454</c:v>
                </c:pt>
                <c:pt idx="492">
                  <c:v>-7540</c:v>
                </c:pt>
                <c:pt idx="493">
                  <c:v>-9290</c:v>
                </c:pt>
                <c:pt idx="494">
                  <c:v>1432</c:v>
                </c:pt>
                <c:pt idx="495">
                  <c:v>27683</c:v>
                </c:pt>
                <c:pt idx="496">
                  <c:v>24007</c:v>
                </c:pt>
                <c:pt idx="497">
                  <c:v>23049</c:v>
                </c:pt>
                <c:pt idx="498">
                  <c:v>4071</c:v>
                </c:pt>
                <c:pt idx="499">
                  <c:v>-16218</c:v>
                </c:pt>
                <c:pt idx="500">
                  <c:v>-9447</c:v>
                </c:pt>
                <c:pt idx="501">
                  <c:v>-19427</c:v>
                </c:pt>
                <c:pt idx="502">
                  <c:v>-20364</c:v>
                </c:pt>
                <c:pt idx="503">
                  <c:v>-33778</c:v>
                </c:pt>
                <c:pt idx="504">
                  <c:v>-38623</c:v>
                </c:pt>
                <c:pt idx="505">
                  <c:v>-36432</c:v>
                </c:pt>
                <c:pt idx="506">
                  <c:v>-40654</c:v>
                </c:pt>
                <c:pt idx="507">
                  <c:v>-31057</c:v>
                </c:pt>
                <c:pt idx="508">
                  <c:v>-28932</c:v>
                </c:pt>
                <c:pt idx="509">
                  <c:v>-18662</c:v>
                </c:pt>
                <c:pt idx="510">
                  <c:v>-30100</c:v>
                </c:pt>
                <c:pt idx="511">
                  <c:v>-30620</c:v>
                </c:pt>
                <c:pt idx="512">
                  <c:v>-29052</c:v>
                </c:pt>
                <c:pt idx="513">
                  <c:v>-21433</c:v>
                </c:pt>
                <c:pt idx="514">
                  <c:v>-20621</c:v>
                </c:pt>
                <c:pt idx="515">
                  <c:v>-17358</c:v>
                </c:pt>
                <c:pt idx="516">
                  <c:v>-21478</c:v>
                </c:pt>
                <c:pt idx="517">
                  <c:v>-20197</c:v>
                </c:pt>
                <c:pt idx="518">
                  <c:v>-16668</c:v>
                </c:pt>
                <c:pt idx="519">
                  <c:v>-6626</c:v>
                </c:pt>
                <c:pt idx="520">
                  <c:v>-3645</c:v>
                </c:pt>
                <c:pt idx="521">
                  <c:v>-3204</c:v>
                </c:pt>
                <c:pt idx="522">
                  <c:v>-2375</c:v>
                </c:pt>
                <c:pt idx="523">
                  <c:v>-9348</c:v>
                </c:pt>
                <c:pt idx="524">
                  <c:v>-7580</c:v>
                </c:pt>
                <c:pt idx="525">
                  <c:v>-7489</c:v>
                </c:pt>
                <c:pt idx="526">
                  <c:v>-9052</c:v>
                </c:pt>
                <c:pt idx="527">
                  <c:v>-9994</c:v>
                </c:pt>
                <c:pt idx="528">
                  <c:v>-15437</c:v>
                </c:pt>
                <c:pt idx="529">
                  <c:v>-10081</c:v>
                </c:pt>
                <c:pt idx="530">
                  <c:v>-19431</c:v>
                </c:pt>
                <c:pt idx="531">
                  <c:v>-10232</c:v>
                </c:pt>
                <c:pt idx="532">
                  <c:v>-9039</c:v>
                </c:pt>
                <c:pt idx="533">
                  <c:v>-5458</c:v>
                </c:pt>
                <c:pt idx="534">
                  <c:v>2265</c:v>
                </c:pt>
                <c:pt idx="535">
                  <c:v>3872</c:v>
                </c:pt>
                <c:pt idx="536">
                  <c:v>5575</c:v>
                </c:pt>
                <c:pt idx="537">
                  <c:v>1597</c:v>
                </c:pt>
                <c:pt idx="538">
                  <c:v>-2073</c:v>
                </c:pt>
                <c:pt idx="539">
                  <c:v>3368</c:v>
                </c:pt>
                <c:pt idx="540">
                  <c:v>10415</c:v>
                </c:pt>
                <c:pt idx="541">
                  <c:v>12250</c:v>
                </c:pt>
                <c:pt idx="542">
                  <c:v>15584</c:v>
                </c:pt>
                <c:pt idx="543">
                  <c:v>6793</c:v>
                </c:pt>
                <c:pt idx="544">
                  <c:v>15024</c:v>
                </c:pt>
                <c:pt idx="545">
                  <c:v>12485</c:v>
                </c:pt>
                <c:pt idx="546">
                  <c:v>17423</c:v>
                </c:pt>
                <c:pt idx="547">
                  <c:v>17219</c:v>
                </c:pt>
                <c:pt idx="548">
                  <c:v>10312</c:v>
                </c:pt>
                <c:pt idx="549">
                  <c:v>13899</c:v>
                </c:pt>
                <c:pt idx="550">
                  <c:v>34772</c:v>
                </c:pt>
                <c:pt idx="551">
                  <c:v>20287</c:v>
                </c:pt>
                <c:pt idx="552">
                  <c:v>27106</c:v>
                </c:pt>
                <c:pt idx="553">
                  <c:v>16811</c:v>
                </c:pt>
                <c:pt idx="554">
                  <c:v>5732</c:v>
                </c:pt>
                <c:pt idx="555">
                  <c:v>18171</c:v>
                </c:pt>
                <c:pt idx="556">
                  <c:v>9017</c:v>
                </c:pt>
                <c:pt idx="557">
                  <c:v>18033</c:v>
                </c:pt>
                <c:pt idx="558">
                  <c:v>37772</c:v>
                </c:pt>
                <c:pt idx="559">
                  <c:v>38000</c:v>
                </c:pt>
                <c:pt idx="560">
                  <c:v>39766</c:v>
                </c:pt>
                <c:pt idx="561">
                  <c:v>51045</c:v>
                </c:pt>
                <c:pt idx="562">
                  <c:v>43367</c:v>
                </c:pt>
                <c:pt idx="563">
                  <c:v>36033</c:v>
                </c:pt>
                <c:pt idx="564">
                  <c:v>32869</c:v>
                </c:pt>
                <c:pt idx="565">
                  <c:v>22191</c:v>
                </c:pt>
                <c:pt idx="566">
                  <c:v>25173</c:v>
                </c:pt>
                <c:pt idx="567">
                  <c:v>11956</c:v>
                </c:pt>
                <c:pt idx="568">
                  <c:v>18467</c:v>
                </c:pt>
                <c:pt idx="569">
                  <c:v>22151</c:v>
                </c:pt>
                <c:pt idx="570">
                  <c:v>-511</c:v>
                </c:pt>
                <c:pt idx="571">
                  <c:v>-16448</c:v>
                </c:pt>
                <c:pt idx="572">
                  <c:v>-14327</c:v>
                </c:pt>
                <c:pt idx="573">
                  <c:v>-33797</c:v>
                </c:pt>
                <c:pt idx="574">
                  <c:v>-35788</c:v>
                </c:pt>
                <c:pt idx="575">
                  <c:v>-17917</c:v>
                </c:pt>
                <c:pt idx="576">
                  <c:v>-25282</c:v>
                </c:pt>
                <c:pt idx="577">
                  <c:v>-39539</c:v>
                </c:pt>
                <c:pt idx="578">
                  <c:v>-43741</c:v>
                </c:pt>
                <c:pt idx="579">
                  <c:v>-57152</c:v>
                </c:pt>
                <c:pt idx="580">
                  <c:v>-59422</c:v>
                </c:pt>
                <c:pt idx="581">
                  <c:v>-71623</c:v>
                </c:pt>
                <c:pt idx="582">
                  <c:v>-66770</c:v>
                </c:pt>
                <c:pt idx="583">
                  <c:v>-74551</c:v>
                </c:pt>
                <c:pt idx="584">
                  <c:v>-46341</c:v>
                </c:pt>
                <c:pt idx="585">
                  <c:v>-74917</c:v>
                </c:pt>
                <c:pt idx="586">
                  <c:v>-85326</c:v>
                </c:pt>
                <c:pt idx="587">
                  <c:v>-67223</c:v>
                </c:pt>
                <c:pt idx="588">
                  <c:v>-55464</c:v>
                </c:pt>
                <c:pt idx="589">
                  <c:v>-71424</c:v>
                </c:pt>
                <c:pt idx="590">
                  <c:v>-89013</c:v>
                </c:pt>
                <c:pt idx="591">
                  <c:v>-103402</c:v>
                </c:pt>
                <c:pt idx="592">
                  <c:v>-113890</c:v>
                </c:pt>
                <c:pt idx="593">
                  <c:v>-107143</c:v>
                </c:pt>
                <c:pt idx="594">
                  <c:v>-106736</c:v>
                </c:pt>
                <c:pt idx="595">
                  <c:v>-93325</c:v>
                </c:pt>
                <c:pt idx="596">
                  <c:v>-111945</c:v>
                </c:pt>
                <c:pt idx="597">
                  <c:v>-62360</c:v>
                </c:pt>
                <c:pt idx="598">
                  <c:v>-70974</c:v>
                </c:pt>
                <c:pt idx="599">
                  <c:v>-73670</c:v>
                </c:pt>
                <c:pt idx="600">
                  <c:v>-38909</c:v>
                </c:pt>
                <c:pt idx="601">
                  <c:v>-27050</c:v>
                </c:pt>
                <c:pt idx="602">
                  <c:v>-24251</c:v>
                </c:pt>
                <c:pt idx="603">
                  <c:v>-21339</c:v>
                </c:pt>
                <c:pt idx="604">
                  <c:v>-7297</c:v>
                </c:pt>
                <c:pt idx="605">
                  <c:v>-3731</c:v>
                </c:pt>
                <c:pt idx="606">
                  <c:v>-14627</c:v>
                </c:pt>
                <c:pt idx="607">
                  <c:v>-21603</c:v>
                </c:pt>
                <c:pt idx="608">
                  <c:v>-25569</c:v>
                </c:pt>
                <c:pt idx="609">
                  <c:v>-23699</c:v>
                </c:pt>
                <c:pt idx="610">
                  <c:v>-9644</c:v>
                </c:pt>
                <c:pt idx="611">
                  <c:v>5097</c:v>
                </c:pt>
                <c:pt idx="612">
                  <c:v>35330</c:v>
                </c:pt>
                <c:pt idx="613">
                  <c:v>48243</c:v>
                </c:pt>
                <c:pt idx="614">
                  <c:v>41511</c:v>
                </c:pt>
                <c:pt idx="615">
                  <c:v>46748</c:v>
                </c:pt>
                <c:pt idx="616">
                  <c:v>40505</c:v>
                </c:pt>
                <c:pt idx="617">
                  <c:v>38610</c:v>
                </c:pt>
                <c:pt idx="618">
                  <c:v>23283</c:v>
                </c:pt>
                <c:pt idx="619">
                  <c:v>8606</c:v>
                </c:pt>
                <c:pt idx="620">
                  <c:v>-8293</c:v>
                </c:pt>
                <c:pt idx="621">
                  <c:v>-7248</c:v>
                </c:pt>
                <c:pt idx="622">
                  <c:v>-15290</c:v>
                </c:pt>
                <c:pt idx="623">
                  <c:v>-10304</c:v>
                </c:pt>
                <c:pt idx="624">
                  <c:v>-14093</c:v>
                </c:pt>
                <c:pt idx="625">
                  <c:v>-26479</c:v>
                </c:pt>
                <c:pt idx="626">
                  <c:v>-24201</c:v>
                </c:pt>
                <c:pt idx="627">
                  <c:v>-45182</c:v>
                </c:pt>
                <c:pt idx="628">
                  <c:v>4109</c:v>
                </c:pt>
                <c:pt idx="629">
                  <c:v>22901</c:v>
                </c:pt>
                <c:pt idx="630">
                  <c:v>39934</c:v>
                </c:pt>
                <c:pt idx="631">
                  <c:v>34734</c:v>
                </c:pt>
                <c:pt idx="632">
                  <c:v>32464</c:v>
                </c:pt>
                <c:pt idx="633">
                  <c:v>45598</c:v>
                </c:pt>
                <c:pt idx="634">
                  <c:v>51308</c:v>
                </c:pt>
                <c:pt idx="635">
                  <c:v>62294</c:v>
                </c:pt>
                <c:pt idx="636">
                  <c:v>46316</c:v>
                </c:pt>
                <c:pt idx="637">
                  <c:v>48353</c:v>
                </c:pt>
                <c:pt idx="638">
                  <c:v>56630</c:v>
                </c:pt>
                <c:pt idx="639">
                  <c:v>59857</c:v>
                </c:pt>
                <c:pt idx="640">
                  <c:v>64985</c:v>
                </c:pt>
                <c:pt idx="641">
                  <c:v>62195</c:v>
                </c:pt>
                <c:pt idx="642">
                  <c:v>68279</c:v>
                </c:pt>
                <c:pt idx="643">
                  <c:v>99516</c:v>
                </c:pt>
                <c:pt idx="644">
                  <c:v>61447</c:v>
                </c:pt>
                <c:pt idx="645">
                  <c:v>41645</c:v>
                </c:pt>
                <c:pt idx="646">
                  <c:v>19129</c:v>
                </c:pt>
                <c:pt idx="647">
                  <c:v>21970</c:v>
                </c:pt>
                <c:pt idx="648">
                  <c:v>51836</c:v>
                </c:pt>
                <c:pt idx="649">
                  <c:v>49894</c:v>
                </c:pt>
                <c:pt idx="650">
                  <c:v>29771</c:v>
                </c:pt>
                <c:pt idx="651">
                  <c:v>32987</c:v>
                </c:pt>
                <c:pt idx="652">
                  <c:v>43194</c:v>
                </c:pt>
                <c:pt idx="653">
                  <c:v>12416</c:v>
                </c:pt>
                <c:pt idx="654">
                  <c:v>9246</c:v>
                </c:pt>
                <c:pt idx="655">
                  <c:v>17038</c:v>
                </c:pt>
                <c:pt idx="656">
                  <c:v>1763</c:v>
                </c:pt>
                <c:pt idx="657">
                  <c:v>-8273</c:v>
                </c:pt>
                <c:pt idx="658">
                  <c:v>6726</c:v>
                </c:pt>
                <c:pt idx="659">
                  <c:v>2539</c:v>
                </c:pt>
                <c:pt idx="660">
                  <c:v>-384</c:v>
                </c:pt>
                <c:pt idx="661">
                  <c:v>-36443</c:v>
                </c:pt>
                <c:pt idx="662">
                  <c:v>-54459</c:v>
                </c:pt>
                <c:pt idx="663">
                  <c:v>-79460</c:v>
                </c:pt>
                <c:pt idx="664">
                  <c:v>-82473</c:v>
                </c:pt>
                <c:pt idx="665">
                  <c:v>-82697</c:v>
                </c:pt>
                <c:pt idx="666">
                  <c:v>-73795</c:v>
                </c:pt>
                <c:pt idx="667">
                  <c:v>-77720</c:v>
                </c:pt>
                <c:pt idx="668">
                  <c:v>-76512</c:v>
                </c:pt>
                <c:pt idx="669">
                  <c:v>-60060</c:v>
                </c:pt>
                <c:pt idx="670">
                  <c:v>-54257</c:v>
                </c:pt>
                <c:pt idx="671">
                  <c:v>-76147</c:v>
                </c:pt>
                <c:pt idx="672">
                  <c:v>-85068</c:v>
                </c:pt>
                <c:pt idx="673">
                  <c:v>-104302</c:v>
                </c:pt>
                <c:pt idx="674">
                  <c:v>-95814</c:v>
                </c:pt>
                <c:pt idx="675">
                  <c:v>-116457</c:v>
                </c:pt>
                <c:pt idx="676">
                  <c:v>-113697</c:v>
                </c:pt>
                <c:pt idx="677">
                  <c:v>-127879</c:v>
                </c:pt>
                <c:pt idx="678">
                  <c:v>-138909</c:v>
                </c:pt>
                <c:pt idx="679">
                  <c:v>-155195</c:v>
                </c:pt>
                <c:pt idx="680">
                  <c:v>-160030</c:v>
                </c:pt>
                <c:pt idx="681">
                  <c:v>-171347</c:v>
                </c:pt>
                <c:pt idx="682">
                  <c:v>-157546</c:v>
                </c:pt>
                <c:pt idx="683">
                  <c:v>-140593</c:v>
                </c:pt>
                <c:pt idx="684">
                  <c:v>-148641</c:v>
                </c:pt>
                <c:pt idx="685">
                  <c:v>-142159</c:v>
                </c:pt>
                <c:pt idx="686">
                  <c:v>-109674</c:v>
                </c:pt>
                <c:pt idx="687">
                  <c:v>-116473</c:v>
                </c:pt>
                <c:pt idx="688">
                  <c:v>-99336</c:v>
                </c:pt>
                <c:pt idx="689">
                  <c:v>-82954</c:v>
                </c:pt>
                <c:pt idx="690">
                  <c:v>-89129</c:v>
                </c:pt>
                <c:pt idx="691">
                  <c:v>-79480</c:v>
                </c:pt>
                <c:pt idx="692">
                  <c:v>-101364</c:v>
                </c:pt>
                <c:pt idx="693">
                  <c:v>-118125</c:v>
                </c:pt>
                <c:pt idx="694">
                  <c:v>-113367</c:v>
                </c:pt>
                <c:pt idx="695">
                  <c:v>-106990</c:v>
                </c:pt>
                <c:pt idx="696">
                  <c:v>-143984</c:v>
                </c:pt>
                <c:pt idx="697">
                  <c:v>-173869</c:v>
                </c:pt>
                <c:pt idx="698">
                  <c:v>-195361</c:v>
                </c:pt>
                <c:pt idx="699">
                  <c:v>-203415</c:v>
                </c:pt>
                <c:pt idx="700">
                  <c:v>-214418</c:v>
                </c:pt>
                <c:pt idx="701">
                  <c:v>-195187</c:v>
                </c:pt>
                <c:pt idx="702">
                  <c:v>-141066</c:v>
                </c:pt>
                <c:pt idx="703">
                  <c:v>-159880</c:v>
                </c:pt>
                <c:pt idx="704">
                  <c:v>-146177</c:v>
                </c:pt>
                <c:pt idx="705">
                  <c:v>-165705</c:v>
                </c:pt>
                <c:pt idx="706">
                  <c:v>-167249</c:v>
                </c:pt>
                <c:pt idx="707">
                  <c:v>-155066</c:v>
                </c:pt>
                <c:pt idx="708">
                  <c:v>-138994</c:v>
                </c:pt>
                <c:pt idx="709">
                  <c:v>-131711</c:v>
                </c:pt>
                <c:pt idx="710">
                  <c:v>-137810</c:v>
                </c:pt>
                <c:pt idx="711">
                  <c:v>-123932</c:v>
                </c:pt>
                <c:pt idx="712">
                  <c:v>-101561</c:v>
                </c:pt>
                <c:pt idx="713">
                  <c:v>-102306</c:v>
                </c:pt>
                <c:pt idx="714">
                  <c:v>-93658</c:v>
                </c:pt>
                <c:pt idx="715">
                  <c:v>-73482</c:v>
                </c:pt>
                <c:pt idx="716">
                  <c:v>-50238</c:v>
                </c:pt>
                <c:pt idx="717">
                  <c:v>-50265</c:v>
                </c:pt>
                <c:pt idx="718">
                  <c:v>-72570</c:v>
                </c:pt>
                <c:pt idx="719">
                  <c:v>-53495</c:v>
                </c:pt>
                <c:pt idx="720">
                  <c:v>-55219</c:v>
                </c:pt>
                <c:pt idx="721">
                  <c:v>-58204</c:v>
                </c:pt>
                <c:pt idx="722">
                  <c:v>-67141</c:v>
                </c:pt>
                <c:pt idx="723">
                  <c:v>-83646</c:v>
                </c:pt>
                <c:pt idx="724">
                  <c:v>-91400</c:v>
                </c:pt>
                <c:pt idx="725">
                  <c:v>-66693</c:v>
                </c:pt>
                <c:pt idx="726">
                  <c:v>-32795</c:v>
                </c:pt>
                <c:pt idx="727">
                  <c:v>-31623</c:v>
                </c:pt>
                <c:pt idx="728">
                  <c:v>-9736</c:v>
                </c:pt>
                <c:pt idx="729">
                  <c:v>-2549</c:v>
                </c:pt>
                <c:pt idx="730">
                  <c:v>5126</c:v>
                </c:pt>
                <c:pt idx="731">
                  <c:v>-8035</c:v>
                </c:pt>
                <c:pt idx="732">
                  <c:v>7315</c:v>
                </c:pt>
                <c:pt idx="733">
                  <c:v>21381</c:v>
                </c:pt>
                <c:pt idx="734">
                  <c:v>27472</c:v>
                </c:pt>
                <c:pt idx="735">
                  <c:v>37952</c:v>
                </c:pt>
                <c:pt idx="736">
                  <c:v>24181</c:v>
                </c:pt>
                <c:pt idx="737">
                  <c:v>19103</c:v>
                </c:pt>
                <c:pt idx="738">
                  <c:v>-9394</c:v>
                </c:pt>
                <c:pt idx="739">
                  <c:v>-26116</c:v>
                </c:pt>
                <c:pt idx="740">
                  <c:v>-24787</c:v>
                </c:pt>
                <c:pt idx="741">
                  <c:v>-44884</c:v>
                </c:pt>
                <c:pt idx="742">
                  <c:v>-49095</c:v>
                </c:pt>
                <c:pt idx="743">
                  <c:v>-65701</c:v>
                </c:pt>
                <c:pt idx="744">
                  <c:v>-50858</c:v>
                </c:pt>
                <c:pt idx="745">
                  <c:v>-29764</c:v>
                </c:pt>
                <c:pt idx="746">
                  <c:v>-34275</c:v>
                </c:pt>
                <c:pt idx="747">
                  <c:v>-30149</c:v>
                </c:pt>
                <c:pt idx="748">
                  <c:v>-33533</c:v>
                </c:pt>
                <c:pt idx="749">
                  <c:v>-46921</c:v>
                </c:pt>
                <c:pt idx="750">
                  <c:v>-80949</c:v>
                </c:pt>
                <c:pt idx="751">
                  <c:v>-84644</c:v>
                </c:pt>
                <c:pt idx="752">
                  <c:v>-51621</c:v>
                </c:pt>
                <c:pt idx="753">
                  <c:v>-7533</c:v>
                </c:pt>
                <c:pt idx="754">
                  <c:v>20030</c:v>
                </c:pt>
                <c:pt idx="755">
                  <c:v>17357</c:v>
                </c:pt>
                <c:pt idx="756">
                  <c:v>-16090</c:v>
                </c:pt>
                <c:pt idx="757">
                  <c:v>-40900</c:v>
                </c:pt>
                <c:pt idx="758">
                  <c:v>-37165</c:v>
                </c:pt>
                <c:pt idx="759">
                  <c:v>-27900</c:v>
                </c:pt>
                <c:pt idx="760">
                  <c:v>-8504</c:v>
                </c:pt>
                <c:pt idx="761">
                  <c:v>6061</c:v>
                </c:pt>
                <c:pt idx="762">
                  <c:v>16057</c:v>
                </c:pt>
                <c:pt idx="763">
                  <c:v>36746</c:v>
                </c:pt>
                <c:pt idx="764">
                  <c:v>40081</c:v>
                </c:pt>
                <c:pt idx="765">
                  <c:v>22738</c:v>
                </c:pt>
                <c:pt idx="766">
                  <c:v>12696</c:v>
                </c:pt>
                <c:pt idx="767">
                  <c:v>31907</c:v>
                </c:pt>
                <c:pt idx="768">
                  <c:v>65844</c:v>
                </c:pt>
                <c:pt idx="769">
                  <c:v>68276</c:v>
                </c:pt>
                <c:pt idx="770">
                  <c:v>68683</c:v>
                </c:pt>
                <c:pt idx="771">
                  <c:v>60374</c:v>
                </c:pt>
                <c:pt idx="772">
                  <c:v>72434</c:v>
                </c:pt>
                <c:pt idx="773">
                  <c:v>70617</c:v>
                </c:pt>
                <c:pt idx="774">
                  <c:v>33143</c:v>
                </c:pt>
                <c:pt idx="775">
                  <c:v>16826</c:v>
                </c:pt>
                <c:pt idx="776">
                  <c:v>8911</c:v>
                </c:pt>
                <c:pt idx="777">
                  <c:v>-431</c:v>
                </c:pt>
                <c:pt idx="778">
                  <c:v>9312</c:v>
                </c:pt>
                <c:pt idx="779">
                  <c:v>15930</c:v>
                </c:pt>
                <c:pt idx="780">
                  <c:v>27923</c:v>
                </c:pt>
                <c:pt idx="781">
                  <c:v>32172</c:v>
                </c:pt>
                <c:pt idx="782">
                  <c:v>30589</c:v>
                </c:pt>
                <c:pt idx="783">
                  <c:v>14498</c:v>
                </c:pt>
                <c:pt idx="784">
                  <c:v>9246</c:v>
                </c:pt>
                <c:pt idx="785">
                  <c:v>-3772</c:v>
                </c:pt>
                <c:pt idx="786">
                  <c:v>14347</c:v>
                </c:pt>
                <c:pt idx="787">
                  <c:v>-13610</c:v>
                </c:pt>
                <c:pt idx="788">
                  <c:v>-6929</c:v>
                </c:pt>
                <c:pt idx="789">
                  <c:v>8599</c:v>
                </c:pt>
                <c:pt idx="790">
                  <c:v>13900</c:v>
                </c:pt>
                <c:pt idx="791">
                  <c:v>23452</c:v>
                </c:pt>
                <c:pt idx="792">
                  <c:v>36385</c:v>
                </c:pt>
                <c:pt idx="793">
                  <c:v>52991</c:v>
                </c:pt>
                <c:pt idx="794">
                  <c:v>39634</c:v>
                </c:pt>
                <c:pt idx="795">
                  <c:v>33238</c:v>
                </c:pt>
                <c:pt idx="796">
                  <c:v>23300</c:v>
                </c:pt>
                <c:pt idx="797">
                  <c:v>27688</c:v>
                </c:pt>
                <c:pt idx="798">
                  <c:v>25774</c:v>
                </c:pt>
                <c:pt idx="799">
                  <c:v>25734</c:v>
                </c:pt>
                <c:pt idx="800">
                  <c:v>32551</c:v>
                </c:pt>
                <c:pt idx="801">
                  <c:v>-2175</c:v>
                </c:pt>
                <c:pt idx="802">
                  <c:v>-9220</c:v>
                </c:pt>
                <c:pt idx="803">
                  <c:v>-16633</c:v>
                </c:pt>
                <c:pt idx="804">
                  <c:v>-33025</c:v>
                </c:pt>
                <c:pt idx="805">
                  <c:v>-57185</c:v>
                </c:pt>
                <c:pt idx="806">
                  <c:v>-61835</c:v>
                </c:pt>
                <c:pt idx="807">
                  <c:v>-57503</c:v>
                </c:pt>
                <c:pt idx="808">
                  <c:v>-60776</c:v>
                </c:pt>
                <c:pt idx="809">
                  <c:v>-59265</c:v>
                </c:pt>
                <c:pt idx="810">
                  <c:v>-62846</c:v>
                </c:pt>
                <c:pt idx="811">
                  <c:v>-88823</c:v>
                </c:pt>
                <c:pt idx="812">
                  <c:v>-108075</c:v>
                </c:pt>
                <c:pt idx="813">
                  <c:v>-128747</c:v>
                </c:pt>
                <c:pt idx="814">
                  <c:v>-126017</c:v>
                </c:pt>
                <c:pt idx="815">
                  <c:v>-138825</c:v>
                </c:pt>
                <c:pt idx="816">
                  <c:v>-150657</c:v>
                </c:pt>
                <c:pt idx="817">
                  <c:v>-161423</c:v>
                </c:pt>
                <c:pt idx="818">
                  <c:v>-157505</c:v>
                </c:pt>
                <c:pt idx="819">
                  <c:v>-137149</c:v>
                </c:pt>
                <c:pt idx="820">
                  <c:v>-141965</c:v>
                </c:pt>
                <c:pt idx="821">
                  <c:v>-137525</c:v>
                </c:pt>
                <c:pt idx="822">
                  <c:v>-146212</c:v>
                </c:pt>
                <c:pt idx="823">
                  <c:v>-155342</c:v>
                </c:pt>
                <c:pt idx="824">
                  <c:v>-159371</c:v>
                </c:pt>
                <c:pt idx="825">
                  <c:v>-165707</c:v>
                </c:pt>
                <c:pt idx="826">
                  <c:v>-179021</c:v>
                </c:pt>
                <c:pt idx="827">
                  <c:v>-163893</c:v>
                </c:pt>
                <c:pt idx="828">
                  <c:v>-168730</c:v>
                </c:pt>
                <c:pt idx="829">
                  <c:v>-165080</c:v>
                </c:pt>
                <c:pt idx="830">
                  <c:v>-159279</c:v>
                </c:pt>
                <c:pt idx="831">
                  <c:v>-136912</c:v>
                </c:pt>
                <c:pt idx="832">
                  <c:v>-126655</c:v>
                </c:pt>
                <c:pt idx="833">
                  <c:v>-146604</c:v>
                </c:pt>
                <c:pt idx="834">
                  <c:v>-152219</c:v>
                </c:pt>
                <c:pt idx="835">
                  <c:v>-161040</c:v>
                </c:pt>
                <c:pt idx="836">
                  <c:v>-167851</c:v>
                </c:pt>
                <c:pt idx="837">
                  <c:v>-180730</c:v>
                </c:pt>
                <c:pt idx="838">
                  <c:v>-184745</c:v>
                </c:pt>
                <c:pt idx="839">
                  <c:v>-196309</c:v>
                </c:pt>
                <c:pt idx="840">
                  <c:v>-194641</c:v>
                </c:pt>
                <c:pt idx="841">
                  <c:v>-185582</c:v>
                </c:pt>
                <c:pt idx="842">
                  <c:v>-177736</c:v>
                </c:pt>
                <c:pt idx="843">
                  <c:v>-172389</c:v>
                </c:pt>
                <c:pt idx="844">
                  <c:v>-181073</c:v>
                </c:pt>
                <c:pt idx="845">
                  <c:v>-193774</c:v>
                </c:pt>
                <c:pt idx="846">
                  <c:v>-220963</c:v>
                </c:pt>
                <c:pt idx="847">
                  <c:v>-226560</c:v>
                </c:pt>
                <c:pt idx="848">
                  <c:v>-215258</c:v>
                </c:pt>
                <c:pt idx="849">
                  <c:v>-212347</c:v>
                </c:pt>
                <c:pt idx="850">
                  <c:v>-214645</c:v>
                </c:pt>
                <c:pt idx="851">
                  <c:v>-197766</c:v>
                </c:pt>
                <c:pt idx="852">
                  <c:v>-190127</c:v>
                </c:pt>
                <c:pt idx="853">
                  <c:v>-178976</c:v>
                </c:pt>
                <c:pt idx="854">
                  <c:v>-168339</c:v>
                </c:pt>
                <c:pt idx="855">
                  <c:v>-171740</c:v>
                </c:pt>
                <c:pt idx="856">
                  <c:v>-165512</c:v>
                </c:pt>
                <c:pt idx="857">
                  <c:v>-137974</c:v>
                </c:pt>
                <c:pt idx="858">
                  <c:v>-89357</c:v>
                </c:pt>
                <c:pt idx="859">
                  <c:v>-99306</c:v>
                </c:pt>
                <c:pt idx="860">
                  <c:v>-100035</c:v>
                </c:pt>
                <c:pt idx="861">
                  <c:v>-99266</c:v>
                </c:pt>
                <c:pt idx="862">
                  <c:v>-107781</c:v>
                </c:pt>
                <c:pt idx="863">
                  <c:v>-112976</c:v>
                </c:pt>
                <c:pt idx="864">
                  <c:v>-104008</c:v>
                </c:pt>
                <c:pt idx="865">
                  <c:v>-113394</c:v>
                </c:pt>
                <c:pt idx="866">
                  <c:v>-115210</c:v>
                </c:pt>
                <c:pt idx="867">
                  <c:v>-92732</c:v>
                </c:pt>
                <c:pt idx="868">
                  <c:v>-66078</c:v>
                </c:pt>
                <c:pt idx="869">
                  <c:v>-67857</c:v>
                </c:pt>
                <c:pt idx="870">
                  <c:v>-81241</c:v>
                </c:pt>
                <c:pt idx="871">
                  <c:v>-84202</c:v>
                </c:pt>
                <c:pt idx="872">
                  <c:v>-81033</c:v>
                </c:pt>
                <c:pt idx="873">
                  <c:v>-87660</c:v>
                </c:pt>
                <c:pt idx="874">
                  <c:v>-88810</c:v>
                </c:pt>
                <c:pt idx="875">
                  <c:v>-80576</c:v>
                </c:pt>
                <c:pt idx="876">
                  <c:v>-62566</c:v>
                </c:pt>
                <c:pt idx="877">
                  <c:v>-105934</c:v>
                </c:pt>
                <c:pt idx="878">
                  <c:v>-134334</c:v>
                </c:pt>
                <c:pt idx="879">
                  <c:v>-142939</c:v>
                </c:pt>
                <c:pt idx="880">
                  <c:v>-164177</c:v>
                </c:pt>
                <c:pt idx="881">
                  <c:v>-175484</c:v>
                </c:pt>
                <c:pt idx="882">
                  <c:v>-182845</c:v>
                </c:pt>
                <c:pt idx="883">
                  <c:v>-172331</c:v>
                </c:pt>
                <c:pt idx="884">
                  <c:v>-159961</c:v>
                </c:pt>
                <c:pt idx="885">
                  <c:v>-161047</c:v>
                </c:pt>
                <c:pt idx="886">
                  <c:v>-160550</c:v>
                </c:pt>
                <c:pt idx="887">
                  <c:v>-160643</c:v>
                </c:pt>
                <c:pt idx="888">
                  <c:v>-146451</c:v>
                </c:pt>
                <c:pt idx="889">
                  <c:v>-137015</c:v>
                </c:pt>
                <c:pt idx="890">
                  <c:v>-127215</c:v>
                </c:pt>
                <c:pt idx="891">
                  <c:v>-87073</c:v>
                </c:pt>
                <c:pt idx="892">
                  <c:v>-63314</c:v>
                </c:pt>
                <c:pt idx="893">
                  <c:v>-48205</c:v>
                </c:pt>
                <c:pt idx="894">
                  <c:v>-46857</c:v>
                </c:pt>
                <c:pt idx="895">
                  <c:v>-68541</c:v>
                </c:pt>
                <c:pt idx="896">
                  <c:v>-71907</c:v>
                </c:pt>
                <c:pt idx="897">
                  <c:v>-77555</c:v>
                </c:pt>
                <c:pt idx="898">
                  <c:v>-66053</c:v>
                </c:pt>
                <c:pt idx="899">
                  <c:v>-63811</c:v>
                </c:pt>
                <c:pt idx="900">
                  <c:v>-53487</c:v>
                </c:pt>
                <c:pt idx="901">
                  <c:v>-52051</c:v>
                </c:pt>
                <c:pt idx="902">
                  <c:v>-46917</c:v>
                </c:pt>
                <c:pt idx="903">
                  <c:v>-39667</c:v>
                </c:pt>
                <c:pt idx="904">
                  <c:v>-23619</c:v>
                </c:pt>
                <c:pt idx="905">
                  <c:v>-21872</c:v>
                </c:pt>
                <c:pt idx="906">
                  <c:v>-22587</c:v>
                </c:pt>
                <c:pt idx="907">
                  <c:v>-37895</c:v>
                </c:pt>
                <c:pt idx="908">
                  <c:v>-37654</c:v>
                </c:pt>
                <c:pt idx="909">
                  <c:v>-67112</c:v>
                </c:pt>
                <c:pt idx="910">
                  <c:v>-56489</c:v>
                </c:pt>
                <c:pt idx="911">
                  <c:v>-61346</c:v>
                </c:pt>
                <c:pt idx="912">
                  <c:v>-61934</c:v>
                </c:pt>
                <c:pt idx="913">
                  <c:v>-75327</c:v>
                </c:pt>
                <c:pt idx="914">
                  <c:v>-87660</c:v>
                </c:pt>
                <c:pt idx="915">
                  <c:v>-99891</c:v>
                </c:pt>
                <c:pt idx="916">
                  <c:v>-112600</c:v>
                </c:pt>
                <c:pt idx="917">
                  <c:v>-104103</c:v>
                </c:pt>
                <c:pt idx="918">
                  <c:v>-98399</c:v>
                </c:pt>
                <c:pt idx="919">
                  <c:v>-92508</c:v>
                </c:pt>
                <c:pt idx="920">
                  <c:v>-76658</c:v>
                </c:pt>
                <c:pt idx="921">
                  <c:v>-81925</c:v>
                </c:pt>
                <c:pt idx="922">
                  <c:v>-92630</c:v>
                </c:pt>
                <c:pt idx="923">
                  <c:v>-81475</c:v>
                </c:pt>
                <c:pt idx="924">
                  <c:v>-85025</c:v>
                </c:pt>
                <c:pt idx="925">
                  <c:v>-76030</c:v>
                </c:pt>
                <c:pt idx="926">
                  <c:v>-82059</c:v>
                </c:pt>
                <c:pt idx="927">
                  <c:v>-93472</c:v>
                </c:pt>
                <c:pt idx="928">
                  <c:v>-109268</c:v>
                </c:pt>
                <c:pt idx="929">
                  <c:v>-123856</c:v>
                </c:pt>
                <c:pt idx="930">
                  <c:v>-137385</c:v>
                </c:pt>
                <c:pt idx="931">
                  <c:v>-129314</c:v>
                </c:pt>
                <c:pt idx="932">
                  <c:v>-119182</c:v>
                </c:pt>
                <c:pt idx="933">
                  <c:v>-119348</c:v>
                </c:pt>
                <c:pt idx="934">
                  <c:v>-119240</c:v>
                </c:pt>
                <c:pt idx="935">
                  <c:v>-114556</c:v>
                </c:pt>
                <c:pt idx="936">
                  <c:v>-87513</c:v>
                </c:pt>
                <c:pt idx="937">
                  <c:v>-78045</c:v>
                </c:pt>
                <c:pt idx="938">
                  <c:v>-69408</c:v>
                </c:pt>
                <c:pt idx="939">
                  <c:v>-70056</c:v>
                </c:pt>
                <c:pt idx="940">
                  <c:v>-65823</c:v>
                </c:pt>
                <c:pt idx="941">
                  <c:v>-66500</c:v>
                </c:pt>
                <c:pt idx="942">
                  <c:v>-52348</c:v>
                </c:pt>
                <c:pt idx="943">
                  <c:v>-45713</c:v>
                </c:pt>
                <c:pt idx="944">
                  <c:v>-44951</c:v>
                </c:pt>
                <c:pt idx="945">
                  <c:v>-46764</c:v>
                </c:pt>
                <c:pt idx="946">
                  <c:v>-58251</c:v>
                </c:pt>
                <c:pt idx="947">
                  <c:v>-51164</c:v>
                </c:pt>
                <c:pt idx="948">
                  <c:v>-59501</c:v>
                </c:pt>
                <c:pt idx="949">
                  <c:v>-41027</c:v>
                </c:pt>
                <c:pt idx="950">
                  <c:v>-19662</c:v>
                </c:pt>
                <c:pt idx="951">
                  <c:v>-7923</c:v>
                </c:pt>
                <c:pt idx="952">
                  <c:v>-11405</c:v>
                </c:pt>
                <c:pt idx="953">
                  <c:v>-18956</c:v>
                </c:pt>
                <c:pt idx="954">
                  <c:v>-21649</c:v>
                </c:pt>
                <c:pt idx="955">
                  <c:v>-20895</c:v>
                </c:pt>
                <c:pt idx="956">
                  <c:v>-1653</c:v>
                </c:pt>
                <c:pt idx="957">
                  <c:v>22399</c:v>
                </c:pt>
                <c:pt idx="958">
                  <c:v>37604</c:v>
                </c:pt>
                <c:pt idx="959">
                  <c:v>64845</c:v>
                </c:pt>
                <c:pt idx="960">
                  <c:v>72869</c:v>
                </c:pt>
                <c:pt idx="961">
                  <c:v>74009</c:v>
                </c:pt>
                <c:pt idx="962">
                  <c:v>79053</c:v>
                </c:pt>
                <c:pt idx="963">
                  <c:v>44852</c:v>
                </c:pt>
                <c:pt idx="964">
                  <c:v>58695</c:v>
                </c:pt>
                <c:pt idx="965">
                  <c:v>77464</c:v>
                </c:pt>
                <c:pt idx="966">
                  <c:v>83788</c:v>
                </c:pt>
                <c:pt idx="967">
                  <c:v>91321</c:v>
                </c:pt>
                <c:pt idx="968">
                  <c:v>90842</c:v>
                </c:pt>
                <c:pt idx="969">
                  <c:v>82637</c:v>
                </c:pt>
                <c:pt idx="970">
                  <c:v>93685</c:v>
                </c:pt>
                <c:pt idx="971">
                  <c:v>79267</c:v>
                </c:pt>
                <c:pt idx="972">
                  <c:v>87976</c:v>
                </c:pt>
                <c:pt idx="973">
                  <c:v>86519</c:v>
                </c:pt>
                <c:pt idx="974">
                  <c:v>96309</c:v>
                </c:pt>
                <c:pt idx="975">
                  <c:v>86058</c:v>
                </c:pt>
                <c:pt idx="976">
                  <c:v>62753</c:v>
                </c:pt>
                <c:pt idx="977">
                  <c:v>88167</c:v>
                </c:pt>
                <c:pt idx="978">
                  <c:v>90833</c:v>
                </c:pt>
                <c:pt idx="979">
                  <c:v>98079</c:v>
                </c:pt>
                <c:pt idx="980">
                  <c:v>90452</c:v>
                </c:pt>
                <c:pt idx="981">
                  <c:v>83504</c:v>
                </c:pt>
                <c:pt idx="982">
                  <c:v>72097</c:v>
                </c:pt>
                <c:pt idx="983">
                  <c:v>85455</c:v>
                </c:pt>
                <c:pt idx="984">
                  <c:v>84586</c:v>
                </c:pt>
                <c:pt idx="985">
                  <c:v>95437</c:v>
                </c:pt>
                <c:pt idx="986">
                  <c:v>89681</c:v>
                </c:pt>
                <c:pt idx="987">
                  <c:v>93106</c:v>
                </c:pt>
                <c:pt idx="988">
                  <c:v>113889</c:v>
                </c:pt>
                <c:pt idx="989">
                  <c:v>86224</c:v>
                </c:pt>
                <c:pt idx="990">
                  <c:v>92148</c:v>
                </c:pt>
                <c:pt idx="991">
                  <c:v>127868</c:v>
                </c:pt>
                <c:pt idx="992">
                  <c:v>144691</c:v>
                </c:pt>
                <c:pt idx="993">
                  <c:v>139490</c:v>
                </c:pt>
                <c:pt idx="994">
                  <c:v>144717</c:v>
                </c:pt>
                <c:pt idx="995">
                  <c:v>148742</c:v>
                </c:pt>
                <c:pt idx="996">
                  <c:v>140823</c:v>
                </c:pt>
                <c:pt idx="997">
                  <c:v>127289</c:v>
                </c:pt>
                <c:pt idx="998">
                  <c:v>126126</c:v>
                </c:pt>
                <c:pt idx="999">
                  <c:v>137977</c:v>
                </c:pt>
                <c:pt idx="1000">
                  <c:v>132972</c:v>
                </c:pt>
                <c:pt idx="1001">
                  <c:v>146380</c:v>
                </c:pt>
                <c:pt idx="1002">
                  <c:v>132739</c:v>
                </c:pt>
                <c:pt idx="1003">
                  <c:v>141064</c:v>
                </c:pt>
                <c:pt idx="1004">
                  <c:v>134381</c:v>
                </c:pt>
                <c:pt idx="1005">
                  <c:v>147463</c:v>
                </c:pt>
                <c:pt idx="1006">
                  <c:v>151476</c:v>
                </c:pt>
                <c:pt idx="1007">
                  <c:v>130594</c:v>
                </c:pt>
                <c:pt idx="1008">
                  <c:v>120568</c:v>
                </c:pt>
                <c:pt idx="1009">
                  <c:v>120505</c:v>
                </c:pt>
                <c:pt idx="1010">
                  <c:v>115114</c:v>
                </c:pt>
                <c:pt idx="1011">
                  <c:v>109744</c:v>
                </c:pt>
                <c:pt idx="1012">
                  <c:v>93037</c:v>
                </c:pt>
                <c:pt idx="1013">
                  <c:v>89236</c:v>
                </c:pt>
                <c:pt idx="1014">
                  <c:v>88225</c:v>
                </c:pt>
                <c:pt idx="1015">
                  <c:v>36118</c:v>
                </c:pt>
                <c:pt idx="1016">
                  <c:v>33904</c:v>
                </c:pt>
                <c:pt idx="1017">
                  <c:v>36747</c:v>
                </c:pt>
                <c:pt idx="1018">
                  <c:v>24357</c:v>
                </c:pt>
                <c:pt idx="1019">
                  <c:v>21407</c:v>
                </c:pt>
                <c:pt idx="1020">
                  <c:v>29640</c:v>
                </c:pt>
                <c:pt idx="1021">
                  <c:v>22825</c:v>
                </c:pt>
                <c:pt idx="1022">
                  <c:v>10565</c:v>
                </c:pt>
                <c:pt idx="1023">
                  <c:v>-1789</c:v>
                </c:pt>
                <c:pt idx="1024">
                  <c:v>-4841</c:v>
                </c:pt>
                <c:pt idx="1025">
                  <c:v>-7219</c:v>
                </c:pt>
                <c:pt idx="1026">
                  <c:v>7963</c:v>
                </c:pt>
                <c:pt idx="1027">
                  <c:v>11170</c:v>
                </c:pt>
                <c:pt idx="1028">
                  <c:v>1666</c:v>
                </c:pt>
                <c:pt idx="1029">
                  <c:v>3696</c:v>
                </c:pt>
                <c:pt idx="1030">
                  <c:v>-7101</c:v>
                </c:pt>
                <c:pt idx="1031">
                  <c:v>-16142</c:v>
                </c:pt>
                <c:pt idx="1032">
                  <c:v>-29344</c:v>
                </c:pt>
                <c:pt idx="1033">
                  <c:v>-30304</c:v>
                </c:pt>
                <c:pt idx="1034">
                  <c:v>-32662</c:v>
                </c:pt>
                <c:pt idx="1035">
                  <c:v>-46843</c:v>
                </c:pt>
                <c:pt idx="1036">
                  <c:v>-37019</c:v>
                </c:pt>
                <c:pt idx="1037">
                  <c:v>-47229</c:v>
                </c:pt>
                <c:pt idx="1038">
                  <c:v>-55071</c:v>
                </c:pt>
                <c:pt idx="1039">
                  <c:v>-60776</c:v>
                </c:pt>
                <c:pt idx="1040">
                  <c:v>-56287</c:v>
                </c:pt>
                <c:pt idx="1041">
                  <c:v>-53124</c:v>
                </c:pt>
                <c:pt idx="1042">
                  <c:v>-58455</c:v>
                </c:pt>
                <c:pt idx="1043">
                  <c:v>-46648</c:v>
                </c:pt>
                <c:pt idx="1044">
                  <c:v>-40533</c:v>
                </c:pt>
                <c:pt idx="1045">
                  <c:v>-32661</c:v>
                </c:pt>
                <c:pt idx="1046">
                  <c:v>-41006</c:v>
                </c:pt>
                <c:pt idx="1047">
                  <c:v>-46474</c:v>
                </c:pt>
                <c:pt idx="1048">
                  <c:v>-51964</c:v>
                </c:pt>
                <c:pt idx="1049">
                  <c:v>-63900</c:v>
                </c:pt>
                <c:pt idx="1050">
                  <c:v>-74934</c:v>
                </c:pt>
                <c:pt idx="1051">
                  <c:v>-72455</c:v>
                </c:pt>
                <c:pt idx="1052">
                  <c:v>-78166</c:v>
                </c:pt>
                <c:pt idx="1053">
                  <c:v>-75745</c:v>
                </c:pt>
                <c:pt idx="1054">
                  <c:v>-77704</c:v>
                </c:pt>
                <c:pt idx="1055">
                  <c:v>-80278</c:v>
                </c:pt>
                <c:pt idx="1056">
                  <c:v>-99184</c:v>
                </c:pt>
                <c:pt idx="1057">
                  <c:v>-102198</c:v>
                </c:pt>
                <c:pt idx="1058">
                  <c:v>-98023</c:v>
                </c:pt>
                <c:pt idx="1059">
                  <c:v>-105418</c:v>
                </c:pt>
                <c:pt idx="1060">
                  <c:v>-105544</c:v>
                </c:pt>
                <c:pt idx="1061">
                  <c:v>-106105</c:v>
                </c:pt>
                <c:pt idx="1062">
                  <c:v>-95301</c:v>
                </c:pt>
                <c:pt idx="1063">
                  <c:v>-101102</c:v>
                </c:pt>
                <c:pt idx="1064">
                  <c:v>-99691</c:v>
                </c:pt>
                <c:pt idx="1065">
                  <c:v>-87551</c:v>
                </c:pt>
                <c:pt idx="1066">
                  <c:v>-86792</c:v>
                </c:pt>
                <c:pt idx="1067">
                  <c:v>-52330</c:v>
                </c:pt>
                <c:pt idx="1068">
                  <c:v>-56295</c:v>
                </c:pt>
                <c:pt idx="1069">
                  <c:v>-31733</c:v>
                </c:pt>
                <c:pt idx="1070">
                  <c:v>-35865</c:v>
                </c:pt>
                <c:pt idx="1071">
                  <c:v>-31351</c:v>
                </c:pt>
                <c:pt idx="1072">
                  <c:v>-39004</c:v>
                </c:pt>
                <c:pt idx="1073">
                  <c:v>-53983</c:v>
                </c:pt>
                <c:pt idx="1074">
                  <c:v>-44010</c:v>
                </c:pt>
                <c:pt idx="1075">
                  <c:v>-46649</c:v>
                </c:pt>
                <c:pt idx="1076">
                  <c:v>-37977</c:v>
                </c:pt>
                <c:pt idx="1077">
                  <c:v>-38804</c:v>
                </c:pt>
                <c:pt idx="1078">
                  <c:v>-49136</c:v>
                </c:pt>
                <c:pt idx="1079">
                  <c:v>-49842</c:v>
                </c:pt>
                <c:pt idx="1080">
                  <c:v>-68559</c:v>
                </c:pt>
                <c:pt idx="1081">
                  <c:v>-60722</c:v>
                </c:pt>
                <c:pt idx="1082">
                  <c:v>-65978</c:v>
                </c:pt>
                <c:pt idx="1083">
                  <c:v>-75413</c:v>
                </c:pt>
                <c:pt idx="1084">
                  <c:v>-76866</c:v>
                </c:pt>
                <c:pt idx="1085">
                  <c:v>-51050</c:v>
                </c:pt>
                <c:pt idx="1086">
                  <c:v>-53355</c:v>
                </c:pt>
                <c:pt idx="1087">
                  <c:v>-60746</c:v>
                </c:pt>
                <c:pt idx="1088">
                  <c:v>-57669</c:v>
                </c:pt>
                <c:pt idx="1089">
                  <c:v>-62503</c:v>
                </c:pt>
                <c:pt idx="1090">
                  <c:v>-61416</c:v>
                </c:pt>
                <c:pt idx="1091">
                  <c:v>-69049</c:v>
                </c:pt>
                <c:pt idx="1092">
                  <c:v>-67643</c:v>
                </c:pt>
                <c:pt idx="1093">
                  <c:v>-65694</c:v>
                </c:pt>
                <c:pt idx="1094">
                  <c:v>-72943</c:v>
                </c:pt>
                <c:pt idx="1095">
                  <c:v>-74345</c:v>
                </c:pt>
                <c:pt idx="1096">
                  <c:v>-61664</c:v>
                </c:pt>
                <c:pt idx="1097">
                  <c:v>-48182</c:v>
                </c:pt>
                <c:pt idx="1098">
                  <c:v>-47019</c:v>
                </c:pt>
                <c:pt idx="1099">
                  <c:v>-58862</c:v>
                </c:pt>
                <c:pt idx="1100">
                  <c:v>-75080</c:v>
                </c:pt>
                <c:pt idx="1101">
                  <c:v>-85669</c:v>
                </c:pt>
                <c:pt idx="1102">
                  <c:v>-91507</c:v>
                </c:pt>
                <c:pt idx="1103">
                  <c:v>-114021</c:v>
                </c:pt>
                <c:pt idx="1104">
                  <c:v>-86703</c:v>
                </c:pt>
                <c:pt idx="1105">
                  <c:v>-12667</c:v>
                </c:pt>
                <c:pt idx="1106">
                  <c:v>32495</c:v>
                </c:pt>
                <c:pt idx="1107">
                  <c:v>61290</c:v>
                </c:pt>
                <c:pt idx="1108">
                  <c:v>74247</c:v>
                </c:pt>
                <c:pt idx="1109">
                  <c:v>79624</c:v>
                </c:pt>
                <c:pt idx="1110">
                  <c:v>86617</c:v>
                </c:pt>
                <c:pt idx="1111">
                  <c:v>87218</c:v>
                </c:pt>
                <c:pt idx="1112">
                  <c:v>79681</c:v>
                </c:pt>
                <c:pt idx="1113">
                  <c:v>76299</c:v>
                </c:pt>
                <c:pt idx="1114">
                  <c:v>78140</c:v>
                </c:pt>
                <c:pt idx="1115">
                  <c:v>72562</c:v>
                </c:pt>
                <c:pt idx="1116">
                  <c:v>75222</c:v>
                </c:pt>
                <c:pt idx="1117">
                  <c:v>81240</c:v>
                </c:pt>
                <c:pt idx="1118">
                  <c:v>95649</c:v>
                </c:pt>
                <c:pt idx="1119">
                  <c:v>117132</c:v>
                </c:pt>
                <c:pt idx="1120">
                  <c:v>118448</c:v>
                </c:pt>
                <c:pt idx="1121">
                  <c:v>98955</c:v>
                </c:pt>
                <c:pt idx="1122">
                  <c:v>103597</c:v>
                </c:pt>
                <c:pt idx="1123">
                  <c:v>110912</c:v>
                </c:pt>
                <c:pt idx="1124">
                  <c:v>125047</c:v>
                </c:pt>
                <c:pt idx="1125">
                  <c:v>157559</c:v>
                </c:pt>
                <c:pt idx="1126">
                  <c:v>180648</c:v>
                </c:pt>
                <c:pt idx="1127">
                  <c:v>199751</c:v>
                </c:pt>
                <c:pt idx="1128">
                  <c:v>196943</c:v>
                </c:pt>
                <c:pt idx="1129">
                  <c:v>211752</c:v>
                </c:pt>
                <c:pt idx="1130">
                  <c:v>196747</c:v>
                </c:pt>
                <c:pt idx="1131">
                  <c:v>196814</c:v>
                </c:pt>
                <c:pt idx="1132">
                  <c:v>178576</c:v>
                </c:pt>
                <c:pt idx="1133">
                  <c:v>190822</c:v>
                </c:pt>
                <c:pt idx="1134">
                  <c:v>188116</c:v>
                </c:pt>
                <c:pt idx="1135">
                  <c:v>174308</c:v>
                </c:pt>
                <c:pt idx="1136">
                  <c:v>168637</c:v>
                </c:pt>
                <c:pt idx="1137">
                  <c:v>165943</c:v>
                </c:pt>
                <c:pt idx="1138">
                  <c:v>155555</c:v>
                </c:pt>
                <c:pt idx="1139">
                  <c:v>140349</c:v>
                </c:pt>
                <c:pt idx="1140">
                  <c:v>135287</c:v>
                </c:pt>
                <c:pt idx="1141">
                  <c:v>133960</c:v>
                </c:pt>
                <c:pt idx="1142">
                  <c:v>138250</c:v>
                </c:pt>
                <c:pt idx="1143">
                  <c:v>139894</c:v>
                </c:pt>
                <c:pt idx="1144">
                  <c:v>156429</c:v>
                </c:pt>
                <c:pt idx="1145">
                  <c:v>141833</c:v>
                </c:pt>
                <c:pt idx="1146">
                  <c:v>143902</c:v>
                </c:pt>
                <c:pt idx="1147">
                  <c:v>143076</c:v>
                </c:pt>
                <c:pt idx="1148">
                  <c:v>142991</c:v>
                </c:pt>
                <c:pt idx="1149">
                  <c:v>155890</c:v>
                </c:pt>
                <c:pt idx="1150">
                  <c:v>163466</c:v>
                </c:pt>
                <c:pt idx="1151">
                  <c:v>165344</c:v>
                </c:pt>
                <c:pt idx="1152">
                  <c:v>137003</c:v>
                </c:pt>
                <c:pt idx="1153">
                  <c:v>140222</c:v>
                </c:pt>
                <c:pt idx="1154">
                  <c:v>140006</c:v>
                </c:pt>
                <c:pt idx="1155">
                  <c:v>138365</c:v>
                </c:pt>
                <c:pt idx="1156">
                  <c:v>125988</c:v>
                </c:pt>
                <c:pt idx="1157">
                  <c:v>101964</c:v>
                </c:pt>
                <c:pt idx="1158">
                  <c:v>89976</c:v>
                </c:pt>
                <c:pt idx="1159">
                  <c:v>93322</c:v>
                </c:pt>
                <c:pt idx="1160">
                  <c:v>73739</c:v>
                </c:pt>
                <c:pt idx="1161">
                  <c:v>67522</c:v>
                </c:pt>
                <c:pt idx="1162">
                  <c:v>66851</c:v>
                </c:pt>
                <c:pt idx="1163">
                  <c:v>80808</c:v>
                </c:pt>
                <c:pt idx="1164">
                  <c:v>80967</c:v>
                </c:pt>
                <c:pt idx="1165">
                  <c:v>84829</c:v>
                </c:pt>
                <c:pt idx="1166">
                  <c:v>93907</c:v>
                </c:pt>
                <c:pt idx="1167">
                  <c:v>99858</c:v>
                </c:pt>
                <c:pt idx="1168">
                  <c:v>104000</c:v>
                </c:pt>
                <c:pt idx="1169">
                  <c:v>109322</c:v>
                </c:pt>
                <c:pt idx="1170">
                  <c:v>107213</c:v>
                </c:pt>
                <c:pt idx="1171">
                  <c:v>118186</c:v>
                </c:pt>
                <c:pt idx="1172">
                  <c:v>89057</c:v>
                </c:pt>
                <c:pt idx="1173">
                  <c:v>87146</c:v>
                </c:pt>
                <c:pt idx="1174">
                  <c:v>77190</c:v>
                </c:pt>
                <c:pt idx="1175">
                  <c:v>59713</c:v>
                </c:pt>
                <c:pt idx="1176">
                  <c:v>45822</c:v>
                </c:pt>
                <c:pt idx="1177">
                  <c:v>38126</c:v>
                </c:pt>
                <c:pt idx="1178">
                  <c:v>38007</c:v>
                </c:pt>
                <c:pt idx="1179">
                  <c:v>33857</c:v>
                </c:pt>
                <c:pt idx="1180">
                  <c:v>57640</c:v>
                </c:pt>
                <c:pt idx="1181">
                  <c:v>24630</c:v>
                </c:pt>
                <c:pt idx="1182">
                  <c:v>10476</c:v>
                </c:pt>
                <c:pt idx="1183">
                  <c:v>26308</c:v>
                </c:pt>
                <c:pt idx="1184">
                  <c:v>27805</c:v>
                </c:pt>
                <c:pt idx="1185">
                  <c:v>12095</c:v>
                </c:pt>
                <c:pt idx="1186">
                  <c:v>872</c:v>
                </c:pt>
                <c:pt idx="1187">
                  <c:v>-22334</c:v>
                </c:pt>
                <c:pt idx="1188">
                  <c:v>-18398</c:v>
                </c:pt>
                <c:pt idx="1189">
                  <c:v>-12107</c:v>
                </c:pt>
                <c:pt idx="1190">
                  <c:v>-11256</c:v>
                </c:pt>
                <c:pt idx="1191">
                  <c:v>-6138</c:v>
                </c:pt>
                <c:pt idx="1192">
                  <c:v>3773</c:v>
                </c:pt>
                <c:pt idx="1193">
                  <c:v>-3826</c:v>
                </c:pt>
                <c:pt idx="1194">
                  <c:v>-16452</c:v>
                </c:pt>
                <c:pt idx="1195">
                  <c:v>-23240</c:v>
                </c:pt>
                <c:pt idx="1196">
                  <c:v>-8299</c:v>
                </c:pt>
                <c:pt idx="1197">
                  <c:v>-11879</c:v>
                </c:pt>
                <c:pt idx="1198">
                  <c:v>-10162</c:v>
                </c:pt>
                <c:pt idx="1199">
                  <c:v>-6634</c:v>
                </c:pt>
                <c:pt idx="1200">
                  <c:v>-11458</c:v>
                </c:pt>
                <c:pt idx="1201">
                  <c:v>-4805</c:v>
                </c:pt>
                <c:pt idx="1202">
                  <c:v>15640</c:v>
                </c:pt>
                <c:pt idx="1203">
                  <c:v>32140</c:v>
                </c:pt>
                <c:pt idx="1204">
                  <c:v>22937</c:v>
                </c:pt>
                <c:pt idx="1205">
                  <c:v>29133</c:v>
                </c:pt>
                <c:pt idx="1206">
                  <c:v>37831</c:v>
                </c:pt>
                <c:pt idx="1207">
                  <c:v>49291</c:v>
                </c:pt>
                <c:pt idx="1208">
                  <c:v>57286</c:v>
                </c:pt>
                <c:pt idx="1209">
                  <c:v>51725</c:v>
                </c:pt>
                <c:pt idx="1210">
                  <c:v>8555</c:v>
                </c:pt>
                <c:pt idx="1211">
                  <c:v>21349</c:v>
                </c:pt>
                <c:pt idx="1212">
                  <c:v>19060</c:v>
                </c:pt>
                <c:pt idx="1213">
                  <c:v>18056</c:v>
                </c:pt>
                <c:pt idx="1214">
                  <c:v>29821</c:v>
                </c:pt>
                <c:pt idx="1215">
                  <c:v>22216</c:v>
                </c:pt>
                <c:pt idx="1216">
                  <c:v>12403</c:v>
                </c:pt>
                <c:pt idx="1217">
                  <c:v>-14637</c:v>
                </c:pt>
                <c:pt idx="1218">
                  <c:v>8687</c:v>
                </c:pt>
                <c:pt idx="1219">
                  <c:v>12181</c:v>
                </c:pt>
                <c:pt idx="1220">
                  <c:v>37827</c:v>
                </c:pt>
                <c:pt idx="1221">
                  <c:v>46523</c:v>
                </c:pt>
                <c:pt idx="1222">
                  <c:v>43597</c:v>
                </c:pt>
                <c:pt idx="1223">
                  <c:v>-11147</c:v>
                </c:pt>
                <c:pt idx="1224">
                  <c:v>-15893</c:v>
                </c:pt>
                <c:pt idx="1225">
                  <c:v>-7786</c:v>
                </c:pt>
                <c:pt idx="1226">
                  <c:v>-13810</c:v>
                </c:pt>
                <c:pt idx="1227">
                  <c:v>-21698</c:v>
                </c:pt>
                <c:pt idx="1228">
                  <c:v>-39294</c:v>
                </c:pt>
                <c:pt idx="1229">
                  <c:v>-38092</c:v>
                </c:pt>
                <c:pt idx="1230">
                  <c:v>-34265</c:v>
                </c:pt>
                <c:pt idx="1231">
                  <c:v>-29628</c:v>
                </c:pt>
                <c:pt idx="1232">
                  <c:v>-37541</c:v>
                </c:pt>
                <c:pt idx="1233">
                  <c:v>-39086</c:v>
                </c:pt>
                <c:pt idx="1234">
                  <c:v>-45078</c:v>
                </c:pt>
                <c:pt idx="1235">
                  <c:v>-33996</c:v>
                </c:pt>
                <c:pt idx="1236">
                  <c:v>-9811</c:v>
                </c:pt>
              </c:numCache>
            </c:numRef>
          </c:val>
          <c:smooth val="0"/>
          <c:extLst>
            <c:ext xmlns:c16="http://schemas.microsoft.com/office/drawing/2014/chart" uri="{C3380CC4-5D6E-409C-BE32-E72D297353CC}">
              <c16:uniqueId val="{00000000-F247-444E-A73E-ED80A0945AD6}"/>
            </c:ext>
          </c:extLst>
        </c:ser>
        <c:dLbls>
          <c:dLblPos val="t"/>
          <c:showLegendKey val="0"/>
          <c:showVal val="0"/>
          <c:showCatName val="0"/>
          <c:showSerName val="0"/>
          <c:showPercent val="0"/>
          <c:showBubbleSize val="0"/>
        </c:dLbls>
        <c:smooth val="0"/>
        <c:axId val="1152381112"/>
        <c:axId val="1152381768"/>
      </c:lineChart>
      <c:dateAx>
        <c:axId val="1152381112"/>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2381768"/>
        <c:crosses val="autoZero"/>
        <c:auto val="0"/>
        <c:lblOffset val="100"/>
        <c:baseTimeUnit val="days"/>
      </c:dateAx>
      <c:valAx>
        <c:axId val="11523817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2381112"/>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Currency!$B$2</c:f>
          <c:strCache>
            <c:ptCount val="1"/>
            <c:pt idx="0">
              <c:v>COT Non-Commercial Net - EUR</c:v>
            </c:pt>
          </c:strCache>
        </c:strRef>
      </c:tx>
      <c:overlay val="0"/>
      <c:spPr>
        <a:noFill/>
        <a:ln>
          <a:noFill/>
          <a:prstDash val="solid"/>
        </a:ln>
      </c:spPr>
    </c:title>
    <c:autoTitleDeleted val="0"/>
    <c:plotArea>
      <c:layout/>
      <c:barChart>
        <c:barDir val="col"/>
        <c:grouping val="clustered"/>
        <c:varyColors val="0"/>
        <c:ser>
          <c:idx val="0"/>
          <c:order val="0"/>
          <c:tx>
            <c:strRef>
              <c:f>Currency!$B$2</c:f>
              <c:strCache>
                <c:ptCount val="1"/>
                <c:pt idx="0">
                  <c:v>COT Non-Commercial Net - EUR</c:v>
                </c:pt>
              </c:strCache>
            </c:strRef>
          </c:tx>
          <c:spPr>
            <a:solidFill>
              <a:schemeClr val="accent1"/>
            </a:solidFill>
            <a:ln>
              <a:noFill/>
              <a:prstDash val="solid"/>
            </a:ln>
          </c:spPr>
          <c:invertIfNegative val="0"/>
          <c:cat>
            <c:numRef>
              <c:f>Currency!$A$900:$A$1378</c:f>
              <c:numCache>
                <c:formatCode>m/d/yyyy</c:formatCode>
                <c:ptCount val="479"/>
                <c:pt idx="0">
                  <c:v>42416</c:v>
                </c:pt>
                <c:pt idx="1">
                  <c:v>42423</c:v>
                </c:pt>
                <c:pt idx="2">
                  <c:v>42430</c:v>
                </c:pt>
                <c:pt idx="3">
                  <c:v>42437</c:v>
                </c:pt>
                <c:pt idx="4">
                  <c:v>42444</c:v>
                </c:pt>
                <c:pt idx="5">
                  <c:v>42451</c:v>
                </c:pt>
                <c:pt idx="6">
                  <c:v>42458</c:v>
                </c:pt>
                <c:pt idx="7">
                  <c:v>42465</c:v>
                </c:pt>
                <c:pt idx="8">
                  <c:v>42472</c:v>
                </c:pt>
                <c:pt idx="9">
                  <c:v>42479</c:v>
                </c:pt>
                <c:pt idx="10">
                  <c:v>42486</c:v>
                </c:pt>
                <c:pt idx="11">
                  <c:v>42493</c:v>
                </c:pt>
                <c:pt idx="12">
                  <c:v>42500</c:v>
                </c:pt>
                <c:pt idx="13">
                  <c:v>42507</c:v>
                </c:pt>
                <c:pt idx="14">
                  <c:v>42514</c:v>
                </c:pt>
                <c:pt idx="15">
                  <c:v>42521</c:v>
                </c:pt>
                <c:pt idx="16">
                  <c:v>42528</c:v>
                </c:pt>
                <c:pt idx="17">
                  <c:v>42535</c:v>
                </c:pt>
                <c:pt idx="18">
                  <c:v>42542</c:v>
                </c:pt>
                <c:pt idx="19">
                  <c:v>42549</c:v>
                </c:pt>
                <c:pt idx="20">
                  <c:v>42556</c:v>
                </c:pt>
                <c:pt idx="21">
                  <c:v>42563</c:v>
                </c:pt>
                <c:pt idx="22">
                  <c:v>42570</c:v>
                </c:pt>
                <c:pt idx="23">
                  <c:v>42577</c:v>
                </c:pt>
                <c:pt idx="24">
                  <c:v>42584</c:v>
                </c:pt>
                <c:pt idx="25">
                  <c:v>42591</c:v>
                </c:pt>
                <c:pt idx="26">
                  <c:v>42598</c:v>
                </c:pt>
                <c:pt idx="27">
                  <c:v>42605</c:v>
                </c:pt>
                <c:pt idx="28">
                  <c:v>42612</c:v>
                </c:pt>
                <c:pt idx="29">
                  <c:v>42619</c:v>
                </c:pt>
                <c:pt idx="30">
                  <c:v>42626</c:v>
                </c:pt>
                <c:pt idx="31">
                  <c:v>42633</c:v>
                </c:pt>
                <c:pt idx="32">
                  <c:v>42640</c:v>
                </c:pt>
                <c:pt idx="33">
                  <c:v>42647</c:v>
                </c:pt>
                <c:pt idx="34">
                  <c:v>42654</c:v>
                </c:pt>
                <c:pt idx="35">
                  <c:v>42661</c:v>
                </c:pt>
                <c:pt idx="36">
                  <c:v>42668</c:v>
                </c:pt>
                <c:pt idx="37">
                  <c:v>42675</c:v>
                </c:pt>
                <c:pt idx="38">
                  <c:v>42682</c:v>
                </c:pt>
                <c:pt idx="39">
                  <c:v>42689</c:v>
                </c:pt>
                <c:pt idx="40">
                  <c:v>42696</c:v>
                </c:pt>
                <c:pt idx="41">
                  <c:v>42703</c:v>
                </c:pt>
                <c:pt idx="42">
                  <c:v>42710</c:v>
                </c:pt>
                <c:pt idx="43">
                  <c:v>42717</c:v>
                </c:pt>
                <c:pt idx="44">
                  <c:v>42724</c:v>
                </c:pt>
                <c:pt idx="45">
                  <c:v>42731</c:v>
                </c:pt>
                <c:pt idx="46">
                  <c:v>42738</c:v>
                </c:pt>
                <c:pt idx="47">
                  <c:v>42745</c:v>
                </c:pt>
                <c:pt idx="48">
                  <c:v>42752</c:v>
                </c:pt>
                <c:pt idx="49">
                  <c:v>42759</c:v>
                </c:pt>
                <c:pt idx="50">
                  <c:v>42766</c:v>
                </c:pt>
                <c:pt idx="51">
                  <c:v>42773</c:v>
                </c:pt>
                <c:pt idx="52">
                  <c:v>42780</c:v>
                </c:pt>
                <c:pt idx="53">
                  <c:v>42787</c:v>
                </c:pt>
                <c:pt idx="54">
                  <c:v>42794</c:v>
                </c:pt>
                <c:pt idx="55">
                  <c:v>42801</c:v>
                </c:pt>
                <c:pt idx="56">
                  <c:v>42808</c:v>
                </c:pt>
                <c:pt idx="57">
                  <c:v>42815</c:v>
                </c:pt>
                <c:pt idx="58">
                  <c:v>42822</c:v>
                </c:pt>
                <c:pt idx="59">
                  <c:v>42829</c:v>
                </c:pt>
                <c:pt idx="60">
                  <c:v>42836</c:v>
                </c:pt>
                <c:pt idx="61">
                  <c:v>42843</c:v>
                </c:pt>
                <c:pt idx="62">
                  <c:v>42850</c:v>
                </c:pt>
                <c:pt idx="63">
                  <c:v>42857</c:v>
                </c:pt>
                <c:pt idx="64">
                  <c:v>42864</c:v>
                </c:pt>
                <c:pt idx="65">
                  <c:v>42871</c:v>
                </c:pt>
                <c:pt idx="66">
                  <c:v>42878</c:v>
                </c:pt>
                <c:pt idx="67">
                  <c:v>42885</c:v>
                </c:pt>
                <c:pt idx="68">
                  <c:v>42892</c:v>
                </c:pt>
                <c:pt idx="69">
                  <c:v>42899</c:v>
                </c:pt>
                <c:pt idx="70">
                  <c:v>42906</c:v>
                </c:pt>
                <c:pt idx="71">
                  <c:v>42913</c:v>
                </c:pt>
                <c:pt idx="72">
                  <c:v>42920</c:v>
                </c:pt>
                <c:pt idx="73">
                  <c:v>42927</c:v>
                </c:pt>
                <c:pt idx="74">
                  <c:v>42934</c:v>
                </c:pt>
                <c:pt idx="75">
                  <c:v>42941</c:v>
                </c:pt>
                <c:pt idx="76">
                  <c:v>42948</c:v>
                </c:pt>
                <c:pt idx="77">
                  <c:v>42955</c:v>
                </c:pt>
                <c:pt idx="78">
                  <c:v>42962</c:v>
                </c:pt>
                <c:pt idx="79">
                  <c:v>42969</c:v>
                </c:pt>
                <c:pt idx="80">
                  <c:v>42976</c:v>
                </c:pt>
                <c:pt idx="81">
                  <c:v>42983</c:v>
                </c:pt>
                <c:pt idx="82">
                  <c:v>42990</c:v>
                </c:pt>
                <c:pt idx="83">
                  <c:v>42997</c:v>
                </c:pt>
                <c:pt idx="84">
                  <c:v>43004</c:v>
                </c:pt>
                <c:pt idx="85">
                  <c:v>43011</c:v>
                </c:pt>
                <c:pt idx="86">
                  <c:v>43018</c:v>
                </c:pt>
                <c:pt idx="87">
                  <c:v>43025</c:v>
                </c:pt>
                <c:pt idx="88">
                  <c:v>43032</c:v>
                </c:pt>
                <c:pt idx="89">
                  <c:v>43039</c:v>
                </c:pt>
                <c:pt idx="90">
                  <c:v>43046</c:v>
                </c:pt>
                <c:pt idx="91">
                  <c:v>43053</c:v>
                </c:pt>
                <c:pt idx="92">
                  <c:v>43060</c:v>
                </c:pt>
                <c:pt idx="93">
                  <c:v>43067</c:v>
                </c:pt>
                <c:pt idx="94">
                  <c:v>43074</c:v>
                </c:pt>
                <c:pt idx="95">
                  <c:v>43081</c:v>
                </c:pt>
                <c:pt idx="96">
                  <c:v>43088</c:v>
                </c:pt>
                <c:pt idx="97">
                  <c:v>43095</c:v>
                </c:pt>
                <c:pt idx="98">
                  <c:v>43102</c:v>
                </c:pt>
                <c:pt idx="99">
                  <c:v>43109</c:v>
                </c:pt>
                <c:pt idx="100">
                  <c:v>43116</c:v>
                </c:pt>
                <c:pt idx="101">
                  <c:v>43123</c:v>
                </c:pt>
                <c:pt idx="102">
                  <c:v>43130</c:v>
                </c:pt>
                <c:pt idx="103">
                  <c:v>43137</c:v>
                </c:pt>
                <c:pt idx="104">
                  <c:v>43144</c:v>
                </c:pt>
                <c:pt idx="105">
                  <c:v>43151</c:v>
                </c:pt>
                <c:pt idx="106">
                  <c:v>43158</c:v>
                </c:pt>
                <c:pt idx="107">
                  <c:v>43165</c:v>
                </c:pt>
                <c:pt idx="108">
                  <c:v>43172</c:v>
                </c:pt>
                <c:pt idx="109">
                  <c:v>43179</c:v>
                </c:pt>
                <c:pt idx="110">
                  <c:v>43186</c:v>
                </c:pt>
                <c:pt idx="111">
                  <c:v>43193</c:v>
                </c:pt>
                <c:pt idx="112">
                  <c:v>43200</c:v>
                </c:pt>
                <c:pt idx="113">
                  <c:v>43207</c:v>
                </c:pt>
                <c:pt idx="114">
                  <c:v>43214</c:v>
                </c:pt>
                <c:pt idx="115">
                  <c:v>43221</c:v>
                </c:pt>
                <c:pt idx="116">
                  <c:v>43228</c:v>
                </c:pt>
                <c:pt idx="117">
                  <c:v>43235</c:v>
                </c:pt>
                <c:pt idx="118">
                  <c:v>43242</c:v>
                </c:pt>
                <c:pt idx="119">
                  <c:v>43249</c:v>
                </c:pt>
                <c:pt idx="120">
                  <c:v>43256</c:v>
                </c:pt>
                <c:pt idx="121">
                  <c:v>43263</c:v>
                </c:pt>
                <c:pt idx="122">
                  <c:v>43270</c:v>
                </c:pt>
                <c:pt idx="123">
                  <c:v>43277</c:v>
                </c:pt>
                <c:pt idx="124">
                  <c:v>43284</c:v>
                </c:pt>
                <c:pt idx="125">
                  <c:v>43291</c:v>
                </c:pt>
                <c:pt idx="126">
                  <c:v>43298</c:v>
                </c:pt>
                <c:pt idx="127">
                  <c:v>43305</c:v>
                </c:pt>
                <c:pt idx="128">
                  <c:v>43312</c:v>
                </c:pt>
                <c:pt idx="129">
                  <c:v>43319</c:v>
                </c:pt>
                <c:pt idx="130">
                  <c:v>43326</c:v>
                </c:pt>
                <c:pt idx="131">
                  <c:v>43333</c:v>
                </c:pt>
                <c:pt idx="132">
                  <c:v>43340</c:v>
                </c:pt>
                <c:pt idx="133">
                  <c:v>43347</c:v>
                </c:pt>
                <c:pt idx="134">
                  <c:v>43354</c:v>
                </c:pt>
                <c:pt idx="135">
                  <c:v>43361</c:v>
                </c:pt>
                <c:pt idx="136">
                  <c:v>43368</c:v>
                </c:pt>
                <c:pt idx="137">
                  <c:v>43375</c:v>
                </c:pt>
                <c:pt idx="138">
                  <c:v>43382</c:v>
                </c:pt>
                <c:pt idx="139">
                  <c:v>43389</c:v>
                </c:pt>
                <c:pt idx="140">
                  <c:v>43396</c:v>
                </c:pt>
                <c:pt idx="141">
                  <c:v>43403</c:v>
                </c:pt>
                <c:pt idx="142">
                  <c:v>43410</c:v>
                </c:pt>
                <c:pt idx="143">
                  <c:v>43417</c:v>
                </c:pt>
                <c:pt idx="144">
                  <c:v>43424</c:v>
                </c:pt>
                <c:pt idx="145">
                  <c:v>43431</c:v>
                </c:pt>
                <c:pt idx="146">
                  <c:v>43438</c:v>
                </c:pt>
                <c:pt idx="147">
                  <c:v>43445</c:v>
                </c:pt>
                <c:pt idx="148">
                  <c:v>43452</c:v>
                </c:pt>
                <c:pt idx="149">
                  <c:v>43458</c:v>
                </c:pt>
                <c:pt idx="150">
                  <c:v>43465</c:v>
                </c:pt>
                <c:pt idx="151">
                  <c:v>43473</c:v>
                </c:pt>
                <c:pt idx="152">
                  <c:v>43480</c:v>
                </c:pt>
                <c:pt idx="153">
                  <c:v>43487</c:v>
                </c:pt>
                <c:pt idx="154">
                  <c:v>43494</c:v>
                </c:pt>
                <c:pt idx="155">
                  <c:v>43501</c:v>
                </c:pt>
                <c:pt idx="156">
                  <c:v>43508</c:v>
                </c:pt>
                <c:pt idx="157">
                  <c:v>43515</c:v>
                </c:pt>
                <c:pt idx="158">
                  <c:v>43522</c:v>
                </c:pt>
                <c:pt idx="159">
                  <c:v>43529</c:v>
                </c:pt>
                <c:pt idx="160">
                  <c:v>43536</c:v>
                </c:pt>
                <c:pt idx="161">
                  <c:v>43543</c:v>
                </c:pt>
                <c:pt idx="162">
                  <c:v>43550</c:v>
                </c:pt>
                <c:pt idx="163">
                  <c:v>43557</c:v>
                </c:pt>
                <c:pt idx="164">
                  <c:v>43564</c:v>
                </c:pt>
                <c:pt idx="165">
                  <c:v>43571</c:v>
                </c:pt>
                <c:pt idx="166">
                  <c:v>43578</c:v>
                </c:pt>
                <c:pt idx="167">
                  <c:v>43585</c:v>
                </c:pt>
                <c:pt idx="168">
                  <c:v>43592</c:v>
                </c:pt>
                <c:pt idx="169">
                  <c:v>43599</c:v>
                </c:pt>
                <c:pt idx="170">
                  <c:v>43606</c:v>
                </c:pt>
                <c:pt idx="171">
                  <c:v>43613</c:v>
                </c:pt>
                <c:pt idx="172">
                  <c:v>43620</c:v>
                </c:pt>
                <c:pt idx="173">
                  <c:v>43627</c:v>
                </c:pt>
                <c:pt idx="174">
                  <c:v>43634</c:v>
                </c:pt>
                <c:pt idx="175">
                  <c:v>43641</c:v>
                </c:pt>
                <c:pt idx="176">
                  <c:v>43648</c:v>
                </c:pt>
                <c:pt idx="177">
                  <c:v>43655</c:v>
                </c:pt>
                <c:pt idx="178">
                  <c:v>43662</c:v>
                </c:pt>
                <c:pt idx="179">
                  <c:v>43669</c:v>
                </c:pt>
                <c:pt idx="180">
                  <c:v>43676</c:v>
                </c:pt>
                <c:pt idx="181">
                  <c:v>43683</c:v>
                </c:pt>
                <c:pt idx="182">
                  <c:v>43690</c:v>
                </c:pt>
                <c:pt idx="183">
                  <c:v>43697</c:v>
                </c:pt>
                <c:pt idx="184">
                  <c:v>43704</c:v>
                </c:pt>
                <c:pt idx="185">
                  <c:v>43711</c:v>
                </c:pt>
                <c:pt idx="186">
                  <c:v>43718</c:v>
                </c:pt>
                <c:pt idx="187">
                  <c:v>43725</c:v>
                </c:pt>
                <c:pt idx="188">
                  <c:v>43732</c:v>
                </c:pt>
                <c:pt idx="189">
                  <c:v>43739</c:v>
                </c:pt>
                <c:pt idx="190">
                  <c:v>43746</c:v>
                </c:pt>
                <c:pt idx="191">
                  <c:v>43753</c:v>
                </c:pt>
                <c:pt idx="192">
                  <c:v>43760</c:v>
                </c:pt>
                <c:pt idx="193">
                  <c:v>43767</c:v>
                </c:pt>
                <c:pt idx="194">
                  <c:v>43774</c:v>
                </c:pt>
                <c:pt idx="195">
                  <c:v>43781</c:v>
                </c:pt>
                <c:pt idx="196">
                  <c:v>43788</c:v>
                </c:pt>
                <c:pt idx="197">
                  <c:v>43795</c:v>
                </c:pt>
                <c:pt idx="198">
                  <c:v>43802</c:v>
                </c:pt>
                <c:pt idx="199">
                  <c:v>43809</c:v>
                </c:pt>
                <c:pt idx="200">
                  <c:v>43816</c:v>
                </c:pt>
                <c:pt idx="201">
                  <c:v>43823</c:v>
                </c:pt>
                <c:pt idx="202">
                  <c:v>43830</c:v>
                </c:pt>
                <c:pt idx="203">
                  <c:v>43837</c:v>
                </c:pt>
                <c:pt idx="204">
                  <c:v>43844</c:v>
                </c:pt>
                <c:pt idx="205">
                  <c:v>43851</c:v>
                </c:pt>
                <c:pt idx="206">
                  <c:v>43858</c:v>
                </c:pt>
                <c:pt idx="207">
                  <c:v>43865</c:v>
                </c:pt>
                <c:pt idx="208">
                  <c:v>43872</c:v>
                </c:pt>
                <c:pt idx="209">
                  <c:v>43879</c:v>
                </c:pt>
                <c:pt idx="210">
                  <c:v>43886</c:v>
                </c:pt>
                <c:pt idx="211">
                  <c:v>43893</c:v>
                </c:pt>
                <c:pt idx="212">
                  <c:v>43900</c:v>
                </c:pt>
                <c:pt idx="213">
                  <c:v>43907</c:v>
                </c:pt>
                <c:pt idx="214">
                  <c:v>43914</c:v>
                </c:pt>
                <c:pt idx="215">
                  <c:v>43921</c:v>
                </c:pt>
                <c:pt idx="216">
                  <c:v>43928</c:v>
                </c:pt>
                <c:pt idx="217">
                  <c:v>43935</c:v>
                </c:pt>
                <c:pt idx="218">
                  <c:v>43942</c:v>
                </c:pt>
                <c:pt idx="219">
                  <c:v>43949</c:v>
                </c:pt>
                <c:pt idx="220">
                  <c:v>43956</c:v>
                </c:pt>
                <c:pt idx="221">
                  <c:v>43963</c:v>
                </c:pt>
                <c:pt idx="222">
                  <c:v>43970</c:v>
                </c:pt>
                <c:pt idx="223">
                  <c:v>43977</c:v>
                </c:pt>
                <c:pt idx="224">
                  <c:v>43984</c:v>
                </c:pt>
                <c:pt idx="225">
                  <c:v>43991</c:v>
                </c:pt>
                <c:pt idx="226">
                  <c:v>43998</c:v>
                </c:pt>
                <c:pt idx="227">
                  <c:v>44005</c:v>
                </c:pt>
                <c:pt idx="228">
                  <c:v>44012</c:v>
                </c:pt>
                <c:pt idx="229">
                  <c:v>44019</c:v>
                </c:pt>
                <c:pt idx="230">
                  <c:v>44026</c:v>
                </c:pt>
                <c:pt idx="231">
                  <c:v>44033</c:v>
                </c:pt>
                <c:pt idx="232">
                  <c:v>44040</c:v>
                </c:pt>
                <c:pt idx="233">
                  <c:v>44047</c:v>
                </c:pt>
                <c:pt idx="234">
                  <c:v>44054</c:v>
                </c:pt>
                <c:pt idx="235">
                  <c:v>44061</c:v>
                </c:pt>
                <c:pt idx="236">
                  <c:v>44068</c:v>
                </c:pt>
                <c:pt idx="237">
                  <c:v>44075</c:v>
                </c:pt>
                <c:pt idx="238">
                  <c:v>44082</c:v>
                </c:pt>
                <c:pt idx="239">
                  <c:v>44089</c:v>
                </c:pt>
                <c:pt idx="240">
                  <c:v>44096</c:v>
                </c:pt>
                <c:pt idx="241">
                  <c:v>44103</c:v>
                </c:pt>
                <c:pt idx="242">
                  <c:v>44110</c:v>
                </c:pt>
                <c:pt idx="243">
                  <c:v>44117</c:v>
                </c:pt>
                <c:pt idx="244">
                  <c:v>44124</c:v>
                </c:pt>
                <c:pt idx="245">
                  <c:v>44131</c:v>
                </c:pt>
                <c:pt idx="246">
                  <c:v>44138</c:v>
                </c:pt>
                <c:pt idx="247">
                  <c:v>44145</c:v>
                </c:pt>
                <c:pt idx="248">
                  <c:v>44152</c:v>
                </c:pt>
                <c:pt idx="249">
                  <c:v>44159</c:v>
                </c:pt>
                <c:pt idx="250">
                  <c:v>44166</c:v>
                </c:pt>
                <c:pt idx="251">
                  <c:v>44173</c:v>
                </c:pt>
                <c:pt idx="252">
                  <c:v>44180</c:v>
                </c:pt>
                <c:pt idx="253">
                  <c:v>44186</c:v>
                </c:pt>
                <c:pt idx="254">
                  <c:v>44194</c:v>
                </c:pt>
                <c:pt idx="255">
                  <c:v>44201</c:v>
                </c:pt>
                <c:pt idx="256">
                  <c:v>44208</c:v>
                </c:pt>
                <c:pt idx="257">
                  <c:v>44215</c:v>
                </c:pt>
                <c:pt idx="258">
                  <c:v>44222</c:v>
                </c:pt>
                <c:pt idx="259">
                  <c:v>44229</c:v>
                </c:pt>
                <c:pt idx="260">
                  <c:v>44236</c:v>
                </c:pt>
                <c:pt idx="261">
                  <c:v>44243</c:v>
                </c:pt>
                <c:pt idx="262">
                  <c:v>44250</c:v>
                </c:pt>
                <c:pt idx="263">
                  <c:v>44257</c:v>
                </c:pt>
                <c:pt idx="264">
                  <c:v>44264</c:v>
                </c:pt>
                <c:pt idx="265">
                  <c:v>44271</c:v>
                </c:pt>
                <c:pt idx="266">
                  <c:v>44278</c:v>
                </c:pt>
                <c:pt idx="267">
                  <c:v>44285</c:v>
                </c:pt>
                <c:pt idx="268">
                  <c:v>44292</c:v>
                </c:pt>
                <c:pt idx="269">
                  <c:v>44299</c:v>
                </c:pt>
                <c:pt idx="270">
                  <c:v>44306</c:v>
                </c:pt>
                <c:pt idx="271">
                  <c:v>44313</c:v>
                </c:pt>
                <c:pt idx="272">
                  <c:v>44320</c:v>
                </c:pt>
                <c:pt idx="273">
                  <c:v>44327</c:v>
                </c:pt>
                <c:pt idx="274">
                  <c:v>44334</c:v>
                </c:pt>
                <c:pt idx="275">
                  <c:v>44341</c:v>
                </c:pt>
                <c:pt idx="276">
                  <c:v>44348</c:v>
                </c:pt>
                <c:pt idx="277">
                  <c:v>44355</c:v>
                </c:pt>
                <c:pt idx="278">
                  <c:v>44362</c:v>
                </c:pt>
                <c:pt idx="279">
                  <c:v>44369</c:v>
                </c:pt>
                <c:pt idx="280">
                  <c:v>44376</c:v>
                </c:pt>
                <c:pt idx="281">
                  <c:v>44383</c:v>
                </c:pt>
                <c:pt idx="282">
                  <c:v>44390</c:v>
                </c:pt>
                <c:pt idx="283">
                  <c:v>44397</c:v>
                </c:pt>
                <c:pt idx="284">
                  <c:v>44404</c:v>
                </c:pt>
                <c:pt idx="285">
                  <c:v>44411</c:v>
                </c:pt>
                <c:pt idx="286">
                  <c:v>44418</c:v>
                </c:pt>
                <c:pt idx="287">
                  <c:v>44425</c:v>
                </c:pt>
                <c:pt idx="288">
                  <c:v>44432</c:v>
                </c:pt>
                <c:pt idx="289">
                  <c:v>44439</c:v>
                </c:pt>
                <c:pt idx="290">
                  <c:v>44446</c:v>
                </c:pt>
                <c:pt idx="291">
                  <c:v>44453</c:v>
                </c:pt>
                <c:pt idx="292">
                  <c:v>44460</c:v>
                </c:pt>
                <c:pt idx="293">
                  <c:v>44467</c:v>
                </c:pt>
                <c:pt idx="294">
                  <c:v>44474</c:v>
                </c:pt>
                <c:pt idx="295">
                  <c:v>44481</c:v>
                </c:pt>
                <c:pt idx="296">
                  <c:v>44488</c:v>
                </c:pt>
                <c:pt idx="297">
                  <c:v>44495</c:v>
                </c:pt>
                <c:pt idx="298">
                  <c:v>44502</c:v>
                </c:pt>
                <c:pt idx="299">
                  <c:v>44509</c:v>
                </c:pt>
                <c:pt idx="300">
                  <c:v>44516</c:v>
                </c:pt>
                <c:pt idx="301">
                  <c:v>44523</c:v>
                </c:pt>
                <c:pt idx="302">
                  <c:v>44530</c:v>
                </c:pt>
                <c:pt idx="303">
                  <c:v>44537</c:v>
                </c:pt>
                <c:pt idx="304">
                  <c:v>44544</c:v>
                </c:pt>
                <c:pt idx="305">
                  <c:v>44551</c:v>
                </c:pt>
                <c:pt idx="306">
                  <c:v>44558</c:v>
                </c:pt>
                <c:pt idx="307">
                  <c:v>44565</c:v>
                </c:pt>
                <c:pt idx="308">
                  <c:v>44572</c:v>
                </c:pt>
                <c:pt idx="309">
                  <c:v>44579</c:v>
                </c:pt>
                <c:pt idx="310">
                  <c:v>44586</c:v>
                </c:pt>
                <c:pt idx="311">
                  <c:v>44593</c:v>
                </c:pt>
                <c:pt idx="312">
                  <c:v>44600</c:v>
                </c:pt>
                <c:pt idx="313">
                  <c:v>44607</c:v>
                </c:pt>
                <c:pt idx="314">
                  <c:v>44614</c:v>
                </c:pt>
                <c:pt idx="315">
                  <c:v>44621</c:v>
                </c:pt>
                <c:pt idx="316">
                  <c:v>44628</c:v>
                </c:pt>
                <c:pt idx="317">
                  <c:v>44635</c:v>
                </c:pt>
                <c:pt idx="318">
                  <c:v>44642</c:v>
                </c:pt>
                <c:pt idx="319">
                  <c:v>44649</c:v>
                </c:pt>
                <c:pt idx="320">
                  <c:v>44656</c:v>
                </c:pt>
                <c:pt idx="321">
                  <c:v>44663</c:v>
                </c:pt>
                <c:pt idx="322">
                  <c:v>44670</c:v>
                </c:pt>
                <c:pt idx="323">
                  <c:v>44677</c:v>
                </c:pt>
                <c:pt idx="324">
                  <c:v>44684</c:v>
                </c:pt>
                <c:pt idx="325">
                  <c:v>44691</c:v>
                </c:pt>
                <c:pt idx="326">
                  <c:v>44698</c:v>
                </c:pt>
                <c:pt idx="327">
                  <c:v>44705</c:v>
                </c:pt>
                <c:pt idx="328">
                  <c:v>44712</c:v>
                </c:pt>
                <c:pt idx="329">
                  <c:v>44719</c:v>
                </c:pt>
                <c:pt idx="330">
                  <c:v>44726</c:v>
                </c:pt>
                <c:pt idx="331">
                  <c:v>44733</c:v>
                </c:pt>
                <c:pt idx="332">
                  <c:v>44740</c:v>
                </c:pt>
                <c:pt idx="333">
                  <c:v>44747</c:v>
                </c:pt>
                <c:pt idx="334">
                  <c:v>44754</c:v>
                </c:pt>
                <c:pt idx="335">
                  <c:v>44761</c:v>
                </c:pt>
                <c:pt idx="336">
                  <c:v>44768</c:v>
                </c:pt>
                <c:pt idx="337">
                  <c:v>44775</c:v>
                </c:pt>
                <c:pt idx="338">
                  <c:v>44782</c:v>
                </c:pt>
                <c:pt idx="339">
                  <c:v>44789</c:v>
                </c:pt>
                <c:pt idx="340">
                  <c:v>44796</c:v>
                </c:pt>
                <c:pt idx="341">
                  <c:v>44803</c:v>
                </c:pt>
                <c:pt idx="342">
                  <c:v>44810</c:v>
                </c:pt>
                <c:pt idx="343">
                  <c:v>44817</c:v>
                </c:pt>
              </c:numCache>
            </c:numRef>
          </c:cat>
          <c:val>
            <c:numRef>
              <c:f>Currency!$B$900:$B$1378</c:f>
              <c:numCache>
                <c:formatCode>#,##0</c:formatCode>
                <c:ptCount val="479"/>
                <c:pt idx="0">
                  <c:v>-48205</c:v>
                </c:pt>
                <c:pt idx="1">
                  <c:v>-46857</c:v>
                </c:pt>
                <c:pt idx="2">
                  <c:v>-68541</c:v>
                </c:pt>
                <c:pt idx="3">
                  <c:v>-71907</c:v>
                </c:pt>
                <c:pt idx="4">
                  <c:v>-77555</c:v>
                </c:pt>
                <c:pt idx="5">
                  <c:v>-66053</c:v>
                </c:pt>
                <c:pt idx="6">
                  <c:v>-63811</c:v>
                </c:pt>
                <c:pt idx="7">
                  <c:v>-53487</c:v>
                </c:pt>
                <c:pt idx="8">
                  <c:v>-52051</c:v>
                </c:pt>
                <c:pt idx="9">
                  <c:v>-46917</c:v>
                </c:pt>
                <c:pt idx="10">
                  <c:v>-39667</c:v>
                </c:pt>
                <c:pt idx="11">
                  <c:v>-23619</c:v>
                </c:pt>
                <c:pt idx="12">
                  <c:v>-21872</c:v>
                </c:pt>
                <c:pt idx="13">
                  <c:v>-22587</c:v>
                </c:pt>
                <c:pt idx="14">
                  <c:v>-37895</c:v>
                </c:pt>
                <c:pt idx="15">
                  <c:v>-37654</c:v>
                </c:pt>
                <c:pt idx="16">
                  <c:v>-67112</c:v>
                </c:pt>
                <c:pt idx="17">
                  <c:v>-56489</c:v>
                </c:pt>
                <c:pt idx="18">
                  <c:v>-61346</c:v>
                </c:pt>
                <c:pt idx="19">
                  <c:v>-61934</c:v>
                </c:pt>
                <c:pt idx="20">
                  <c:v>-75327</c:v>
                </c:pt>
                <c:pt idx="21">
                  <c:v>-87660</c:v>
                </c:pt>
                <c:pt idx="22">
                  <c:v>-99891</c:v>
                </c:pt>
                <c:pt idx="23">
                  <c:v>-112600</c:v>
                </c:pt>
                <c:pt idx="24">
                  <c:v>-104103</c:v>
                </c:pt>
                <c:pt idx="25">
                  <c:v>-98399</c:v>
                </c:pt>
                <c:pt idx="26">
                  <c:v>-92508</c:v>
                </c:pt>
                <c:pt idx="27">
                  <c:v>-76658</c:v>
                </c:pt>
                <c:pt idx="28">
                  <c:v>-81925</c:v>
                </c:pt>
                <c:pt idx="29">
                  <c:v>-92630</c:v>
                </c:pt>
                <c:pt idx="30">
                  <c:v>-81475</c:v>
                </c:pt>
                <c:pt idx="31">
                  <c:v>-85025</c:v>
                </c:pt>
                <c:pt idx="32">
                  <c:v>-76030</c:v>
                </c:pt>
                <c:pt idx="33">
                  <c:v>-82059</c:v>
                </c:pt>
                <c:pt idx="34">
                  <c:v>-93472</c:v>
                </c:pt>
                <c:pt idx="35">
                  <c:v>-109268</c:v>
                </c:pt>
                <c:pt idx="36">
                  <c:v>-123856</c:v>
                </c:pt>
                <c:pt idx="37">
                  <c:v>-137385</c:v>
                </c:pt>
                <c:pt idx="38">
                  <c:v>-129314</c:v>
                </c:pt>
                <c:pt idx="39">
                  <c:v>-119182</c:v>
                </c:pt>
                <c:pt idx="40">
                  <c:v>-119348</c:v>
                </c:pt>
                <c:pt idx="41">
                  <c:v>-119240</c:v>
                </c:pt>
                <c:pt idx="42">
                  <c:v>-114556</c:v>
                </c:pt>
                <c:pt idx="43">
                  <c:v>-87513</c:v>
                </c:pt>
                <c:pt idx="44">
                  <c:v>-78045</c:v>
                </c:pt>
                <c:pt idx="45">
                  <c:v>-69408</c:v>
                </c:pt>
                <c:pt idx="46">
                  <c:v>-70056</c:v>
                </c:pt>
                <c:pt idx="47">
                  <c:v>-65823</c:v>
                </c:pt>
                <c:pt idx="48">
                  <c:v>-66500</c:v>
                </c:pt>
                <c:pt idx="49">
                  <c:v>-52348</c:v>
                </c:pt>
                <c:pt idx="50">
                  <c:v>-45713</c:v>
                </c:pt>
                <c:pt idx="51">
                  <c:v>-44951</c:v>
                </c:pt>
                <c:pt idx="52">
                  <c:v>-46764</c:v>
                </c:pt>
                <c:pt idx="53">
                  <c:v>-58251</c:v>
                </c:pt>
                <c:pt idx="54">
                  <c:v>-51164</c:v>
                </c:pt>
                <c:pt idx="55">
                  <c:v>-59501</c:v>
                </c:pt>
                <c:pt idx="56">
                  <c:v>-41027</c:v>
                </c:pt>
                <c:pt idx="57">
                  <c:v>-19662</c:v>
                </c:pt>
                <c:pt idx="58">
                  <c:v>-7923</c:v>
                </c:pt>
                <c:pt idx="59">
                  <c:v>-11405</c:v>
                </c:pt>
                <c:pt idx="60">
                  <c:v>-18956</c:v>
                </c:pt>
                <c:pt idx="61">
                  <c:v>-21649</c:v>
                </c:pt>
                <c:pt idx="62">
                  <c:v>-20895</c:v>
                </c:pt>
                <c:pt idx="63">
                  <c:v>-1653</c:v>
                </c:pt>
                <c:pt idx="64">
                  <c:v>22399</c:v>
                </c:pt>
                <c:pt idx="65">
                  <c:v>37604</c:v>
                </c:pt>
                <c:pt idx="66">
                  <c:v>64845</c:v>
                </c:pt>
                <c:pt idx="67">
                  <c:v>72869</c:v>
                </c:pt>
                <c:pt idx="68">
                  <c:v>74009</c:v>
                </c:pt>
                <c:pt idx="69">
                  <c:v>79053</c:v>
                </c:pt>
                <c:pt idx="70">
                  <c:v>44852</c:v>
                </c:pt>
                <c:pt idx="71">
                  <c:v>58695</c:v>
                </c:pt>
                <c:pt idx="72">
                  <c:v>77464</c:v>
                </c:pt>
                <c:pt idx="73">
                  <c:v>83788</c:v>
                </c:pt>
                <c:pt idx="74">
                  <c:v>91321</c:v>
                </c:pt>
                <c:pt idx="75">
                  <c:v>90842</c:v>
                </c:pt>
                <c:pt idx="76">
                  <c:v>82637</c:v>
                </c:pt>
                <c:pt idx="77">
                  <c:v>93685</c:v>
                </c:pt>
                <c:pt idx="78">
                  <c:v>79267</c:v>
                </c:pt>
                <c:pt idx="79">
                  <c:v>87976</c:v>
                </c:pt>
                <c:pt idx="80">
                  <c:v>86519</c:v>
                </c:pt>
                <c:pt idx="81">
                  <c:v>96309</c:v>
                </c:pt>
                <c:pt idx="82">
                  <c:v>86058</c:v>
                </c:pt>
                <c:pt idx="83">
                  <c:v>62753</c:v>
                </c:pt>
                <c:pt idx="84">
                  <c:v>88167</c:v>
                </c:pt>
                <c:pt idx="85">
                  <c:v>90833</c:v>
                </c:pt>
                <c:pt idx="86">
                  <c:v>98079</c:v>
                </c:pt>
                <c:pt idx="87">
                  <c:v>90452</c:v>
                </c:pt>
                <c:pt idx="88">
                  <c:v>83504</c:v>
                </c:pt>
                <c:pt idx="89">
                  <c:v>72097</c:v>
                </c:pt>
                <c:pt idx="90">
                  <c:v>85455</c:v>
                </c:pt>
                <c:pt idx="91">
                  <c:v>84586</c:v>
                </c:pt>
                <c:pt idx="92">
                  <c:v>95437</c:v>
                </c:pt>
                <c:pt idx="93">
                  <c:v>89681</c:v>
                </c:pt>
                <c:pt idx="94">
                  <c:v>93106</c:v>
                </c:pt>
                <c:pt idx="95">
                  <c:v>113889</c:v>
                </c:pt>
                <c:pt idx="96">
                  <c:v>86224</c:v>
                </c:pt>
                <c:pt idx="97">
                  <c:v>92148</c:v>
                </c:pt>
                <c:pt idx="98">
                  <c:v>127868</c:v>
                </c:pt>
                <c:pt idx="99">
                  <c:v>144691</c:v>
                </c:pt>
                <c:pt idx="100">
                  <c:v>139490</c:v>
                </c:pt>
                <c:pt idx="101">
                  <c:v>144717</c:v>
                </c:pt>
                <c:pt idx="102">
                  <c:v>148742</c:v>
                </c:pt>
                <c:pt idx="103">
                  <c:v>140823</c:v>
                </c:pt>
                <c:pt idx="104">
                  <c:v>127289</c:v>
                </c:pt>
                <c:pt idx="105">
                  <c:v>126126</c:v>
                </c:pt>
                <c:pt idx="106">
                  <c:v>137977</c:v>
                </c:pt>
                <c:pt idx="107">
                  <c:v>132972</c:v>
                </c:pt>
                <c:pt idx="108">
                  <c:v>146380</c:v>
                </c:pt>
                <c:pt idx="109">
                  <c:v>132739</c:v>
                </c:pt>
                <c:pt idx="110">
                  <c:v>141064</c:v>
                </c:pt>
                <c:pt idx="111">
                  <c:v>134381</c:v>
                </c:pt>
                <c:pt idx="112">
                  <c:v>147463</c:v>
                </c:pt>
                <c:pt idx="113">
                  <c:v>151476</c:v>
                </c:pt>
                <c:pt idx="114">
                  <c:v>130594</c:v>
                </c:pt>
                <c:pt idx="115">
                  <c:v>120568</c:v>
                </c:pt>
                <c:pt idx="116">
                  <c:v>120505</c:v>
                </c:pt>
                <c:pt idx="117">
                  <c:v>115114</c:v>
                </c:pt>
                <c:pt idx="118">
                  <c:v>109744</c:v>
                </c:pt>
                <c:pt idx="119">
                  <c:v>93037</c:v>
                </c:pt>
                <c:pt idx="120">
                  <c:v>89236</c:v>
                </c:pt>
                <c:pt idx="121">
                  <c:v>88225</c:v>
                </c:pt>
                <c:pt idx="122">
                  <c:v>36118</c:v>
                </c:pt>
                <c:pt idx="123">
                  <c:v>33904</c:v>
                </c:pt>
                <c:pt idx="124">
                  <c:v>36747</c:v>
                </c:pt>
                <c:pt idx="125">
                  <c:v>24357</c:v>
                </c:pt>
                <c:pt idx="126">
                  <c:v>21407</c:v>
                </c:pt>
                <c:pt idx="127">
                  <c:v>29640</c:v>
                </c:pt>
                <c:pt idx="128">
                  <c:v>22825</c:v>
                </c:pt>
                <c:pt idx="129">
                  <c:v>10565</c:v>
                </c:pt>
                <c:pt idx="130">
                  <c:v>-1789</c:v>
                </c:pt>
                <c:pt idx="131">
                  <c:v>-4841</c:v>
                </c:pt>
                <c:pt idx="132">
                  <c:v>-7219</c:v>
                </c:pt>
                <c:pt idx="133">
                  <c:v>7963</c:v>
                </c:pt>
                <c:pt idx="134">
                  <c:v>11170</c:v>
                </c:pt>
                <c:pt idx="135">
                  <c:v>1666</c:v>
                </c:pt>
                <c:pt idx="136">
                  <c:v>3696</c:v>
                </c:pt>
                <c:pt idx="137">
                  <c:v>-7101</c:v>
                </c:pt>
                <c:pt idx="138">
                  <c:v>-16142</c:v>
                </c:pt>
                <c:pt idx="139">
                  <c:v>-29344</c:v>
                </c:pt>
                <c:pt idx="140">
                  <c:v>-30304</c:v>
                </c:pt>
                <c:pt idx="141">
                  <c:v>-32662</c:v>
                </c:pt>
                <c:pt idx="142">
                  <c:v>-46843</c:v>
                </c:pt>
                <c:pt idx="143">
                  <c:v>-37019</c:v>
                </c:pt>
                <c:pt idx="144">
                  <c:v>-47229</c:v>
                </c:pt>
                <c:pt idx="145">
                  <c:v>-55071</c:v>
                </c:pt>
                <c:pt idx="146">
                  <c:v>-60776</c:v>
                </c:pt>
                <c:pt idx="147">
                  <c:v>-56287</c:v>
                </c:pt>
                <c:pt idx="148">
                  <c:v>-53124</c:v>
                </c:pt>
                <c:pt idx="149">
                  <c:v>-58455</c:v>
                </c:pt>
                <c:pt idx="150">
                  <c:v>-46648</c:v>
                </c:pt>
                <c:pt idx="151">
                  <c:v>-40533</c:v>
                </c:pt>
                <c:pt idx="152">
                  <c:v>-32661</c:v>
                </c:pt>
                <c:pt idx="153">
                  <c:v>-41006</c:v>
                </c:pt>
                <c:pt idx="154">
                  <c:v>-46474</c:v>
                </c:pt>
                <c:pt idx="155">
                  <c:v>-51964</c:v>
                </c:pt>
                <c:pt idx="156">
                  <c:v>-63900</c:v>
                </c:pt>
                <c:pt idx="157">
                  <c:v>-74934</c:v>
                </c:pt>
                <c:pt idx="158">
                  <c:v>-72455</c:v>
                </c:pt>
                <c:pt idx="159">
                  <c:v>-78166</c:v>
                </c:pt>
                <c:pt idx="160">
                  <c:v>-75745</c:v>
                </c:pt>
                <c:pt idx="161">
                  <c:v>-77704</c:v>
                </c:pt>
                <c:pt idx="162">
                  <c:v>-80278</c:v>
                </c:pt>
                <c:pt idx="163">
                  <c:v>-99184</c:v>
                </c:pt>
                <c:pt idx="164">
                  <c:v>-102198</c:v>
                </c:pt>
                <c:pt idx="165">
                  <c:v>-98023</c:v>
                </c:pt>
                <c:pt idx="166">
                  <c:v>-105418</c:v>
                </c:pt>
                <c:pt idx="167">
                  <c:v>-105544</c:v>
                </c:pt>
                <c:pt idx="168">
                  <c:v>-106105</c:v>
                </c:pt>
                <c:pt idx="169">
                  <c:v>-95301</c:v>
                </c:pt>
                <c:pt idx="170">
                  <c:v>-101102</c:v>
                </c:pt>
                <c:pt idx="171">
                  <c:v>-99691</c:v>
                </c:pt>
                <c:pt idx="172">
                  <c:v>-87551</c:v>
                </c:pt>
                <c:pt idx="173">
                  <c:v>-86792</c:v>
                </c:pt>
                <c:pt idx="174">
                  <c:v>-52330</c:v>
                </c:pt>
                <c:pt idx="175">
                  <c:v>-56295</c:v>
                </c:pt>
                <c:pt idx="176">
                  <c:v>-31733</c:v>
                </c:pt>
                <c:pt idx="177">
                  <c:v>-35865</c:v>
                </c:pt>
                <c:pt idx="178">
                  <c:v>-31351</c:v>
                </c:pt>
                <c:pt idx="179">
                  <c:v>-39004</c:v>
                </c:pt>
                <c:pt idx="180">
                  <c:v>-53983</c:v>
                </c:pt>
                <c:pt idx="181">
                  <c:v>-44010</c:v>
                </c:pt>
                <c:pt idx="182">
                  <c:v>-46649</c:v>
                </c:pt>
                <c:pt idx="183">
                  <c:v>-37977</c:v>
                </c:pt>
                <c:pt idx="184">
                  <c:v>-38804</c:v>
                </c:pt>
                <c:pt idx="185">
                  <c:v>-49136</c:v>
                </c:pt>
                <c:pt idx="186">
                  <c:v>-49842</c:v>
                </c:pt>
                <c:pt idx="187">
                  <c:v>-68559</c:v>
                </c:pt>
                <c:pt idx="188">
                  <c:v>-60722</c:v>
                </c:pt>
                <c:pt idx="189">
                  <c:v>-65978</c:v>
                </c:pt>
                <c:pt idx="190">
                  <c:v>-75413</c:v>
                </c:pt>
                <c:pt idx="191">
                  <c:v>-76866</c:v>
                </c:pt>
                <c:pt idx="192">
                  <c:v>-51050</c:v>
                </c:pt>
                <c:pt idx="193">
                  <c:v>-53355</c:v>
                </c:pt>
                <c:pt idx="194">
                  <c:v>-60746</c:v>
                </c:pt>
                <c:pt idx="195">
                  <c:v>-57669</c:v>
                </c:pt>
                <c:pt idx="196">
                  <c:v>-62503</c:v>
                </c:pt>
                <c:pt idx="197">
                  <c:v>-61416</c:v>
                </c:pt>
                <c:pt idx="198">
                  <c:v>-69049</c:v>
                </c:pt>
                <c:pt idx="199">
                  <c:v>-67643</c:v>
                </c:pt>
                <c:pt idx="200">
                  <c:v>-65694</c:v>
                </c:pt>
                <c:pt idx="201">
                  <c:v>-72943</c:v>
                </c:pt>
                <c:pt idx="202">
                  <c:v>-74345</c:v>
                </c:pt>
                <c:pt idx="203">
                  <c:v>-61664</c:v>
                </c:pt>
                <c:pt idx="204">
                  <c:v>-48182</c:v>
                </c:pt>
                <c:pt idx="205">
                  <c:v>-47019</c:v>
                </c:pt>
                <c:pt idx="206">
                  <c:v>-58862</c:v>
                </c:pt>
                <c:pt idx="207">
                  <c:v>-75080</c:v>
                </c:pt>
                <c:pt idx="208">
                  <c:v>-85669</c:v>
                </c:pt>
                <c:pt idx="209">
                  <c:v>-91507</c:v>
                </c:pt>
                <c:pt idx="210">
                  <c:v>-114021</c:v>
                </c:pt>
                <c:pt idx="211">
                  <c:v>-86703</c:v>
                </c:pt>
                <c:pt idx="212">
                  <c:v>-12667</c:v>
                </c:pt>
                <c:pt idx="213">
                  <c:v>32495</c:v>
                </c:pt>
                <c:pt idx="214">
                  <c:v>61290</c:v>
                </c:pt>
                <c:pt idx="215">
                  <c:v>74247</c:v>
                </c:pt>
                <c:pt idx="216">
                  <c:v>79624</c:v>
                </c:pt>
                <c:pt idx="217">
                  <c:v>86617</c:v>
                </c:pt>
                <c:pt idx="218">
                  <c:v>87218</c:v>
                </c:pt>
                <c:pt idx="219">
                  <c:v>79681</c:v>
                </c:pt>
                <c:pt idx="220">
                  <c:v>76299</c:v>
                </c:pt>
                <c:pt idx="221">
                  <c:v>78140</c:v>
                </c:pt>
                <c:pt idx="222">
                  <c:v>72562</c:v>
                </c:pt>
                <c:pt idx="223">
                  <c:v>75222</c:v>
                </c:pt>
                <c:pt idx="224">
                  <c:v>81240</c:v>
                </c:pt>
                <c:pt idx="225">
                  <c:v>95649</c:v>
                </c:pt>
                <c:pt idx="226">
                  <c:v>117132</c:v>
                </c:pt>
                <c:pt idx="227">
                  <c:v>118448</c:v>
                </c:pt>
                <c:pt idx="228">
                  <c:v>98955</c:v>
                </c:pt>
                <c:pt idx="229">
                  <c:v>103597</c:v>
                </c:pt>
                <c:pt idx="230">
                  <c:v>110912</c:v>
                </c:pt>
                <c:pt idx="231">
                  <c:v>125047</c:v>
                </c:pt>
                <c:pt idx="232">
                  <c:v>157559</c:v>
                </c:pt>
                <c:pt idx="233">
                  <c:v>180648</c:v>
                </c:pt>
                <c:pt idx="234">
                  <c:v>199751</c:v>
                </c:pt>
                <c:pt idx="235">
                  <c:v>196943</c:v>
                </c:pt>
                <c:pt idx="236">
                  <c:v>211752</c:v>
                </c:pt>
                <c:pt idx="237">
                  <c:v>196747</c:v>
                </c:pt>
                <c:pt idx="238">
                  <c:v>196814</c:v>
                </c:pt>
                <c:pt idx="239">
                  <c:v>178576</c:v>
                </c:pt>
                <c:pt idx="240">
                  <c:v>190822</c:v>
                </c:pt>
                <c:pt idx="241">
                  <c:v>188116</c:v>
                </c:pt>
                <c:pt idx="242">
                  <c:v>174308</c:v>
                </c:pt>
                <c:pt idx="243">
                  <c:v>168637</c:v>
                </c:pt>
                <c:pt idx="244">
                  <c:v>165943</c:v>
                </c:pt>
                <c:pt idx="245">
                  <c:v>155555</c:v>
                </c:pt>
                <c:pt idx="246">
                  <c:v>140349</c:v>
                </c:pt>
                <c:pt idx="247">
                  <c:v>135287</c:v>
                </c:pt>
                <c:pt idx="248">
                  <c:v>133960</c:v>
                </c:pt>
                <c:pt idx="249">
                  <c:v>138250</c:v>
                </c:pt>
                <c:pt idx="250">
                  <c:v>139894</c:v>
                </c:pt>
                <c:pt idx="251">
                  <c:v>156429</c:v>
                </c:pt>
                <c:pt idx="252">
                  <c:v>141833</c:v>
                </c:pt>
                <c:pt idx="253">
                  <c:v>143902</c:v>
                </c:pt>
                <c:pt idx="254">
                  <c:v>143076</c:v>
                </c:pt>
                <c:pt idx="255">
                  <c:v>142991</c:v>
                </c:pt>
                <c:pt idx="256">
                  <c:v>155890</c:v>
                </c:pt>
                <c:pt idx="257">
                  <c:v>163466</c:v>
                </c:pt>
                <c:pt idx="258">
                  <c:v>165344</c:v>
                </c:pt>
                <c:pt idx="259">
                  <c:v>137003</c:v>
                </c:pt>
                <c:pt idx="260">
                  <c:v>140222</c:v>
                </c:pt>
                <c:pt idx="261">
                  <c:v>140006</c:v>
                </c:pt>
                <c:pt idx="262">
                  <c:v>138365</c:v>
                </c:pt>
                <c:pt idx="263">
                  <c:v>125988</c:v>
                </c:pt>
                <c:pt idx="264">
                  <c:v>101964</c:v>
                </c:pt>
                <c:pt idx="265">
                  <c:v>89976</c:v>
                </c:pt>
                <c:pt idx="266">
                  <c:v>93322</c:v>
                </c:pt>
                <c:pt idx="267">
                  <c:v>73739</c:v>
                </c:pt>
                <c:pt idx="268">
                  <c:v>67522</c:v>
                </c:pt>
                <c:pt idx="269">
                  <c:v>66851</c:v>
                </c:pt>
                <c:pt idx="270">
                  <c:v>80808</c:v>
                </c:pt>
                <c:pt idx="271">
                  <c:v>80967</c:v>
                </c:pt>
                <c:pt idx="272">
                  <c:v>84829</c:v>
                </c:pt>
                <c:pt idx="273">
                  <c:v>93907</c:v>
                </c:pt>
                <c:pt idx="274">
                  <c:v>99858</c:v>
                </c:pt>
                <c:pt idx="275">
                  <c:v>104000</c:v>
                </c:pt>
                <c:pt idx="276">
                  <c:v>109322</c:v>
                </c:pt>
                <c:pt idx="277">
                  <c:v>107213</c:v>
                </c:pt>
                <c:pt idx="278">
                  <c:v>118186</c:v>
                </c:pt>
                <c:pt idx="279">
                  <c:v>89057</c:v>
                </c:pt>
                <c:pt idx="280">
                  <c:v>87146</c:v>
                </c:pt>
                <c:pt idx="281">
                  <c:v>77190</c:v>
                </c:pt>
                <c:pt idx="282">
                  <c:v>59713</c:v>
                </c:pt>
                <c:pt idx="283">
                  <c:v>45822</c:v>
                </c:pt>
                <c:pt idx="284">
                  <c:v>38126</c:v>
                </c:pt>
                <c:pt idx="285">
                  <c:v>38007</c:v>
                </c:pt>
                <c:pt idx="286">
                  <c:v>33857</c:v>
                </c:pt>
                <c:pt idx="287">
                  <c:v>57640</c:v>
                </c:pt>
                <c:pt idx="288">
                  <c:v>24630</c:v>
                </c:pt>
                <c:pt idx="289">
                  <c:v>10476</c:v>
                </c:pt>
                <c:pt idx="290">
                  <c:v>26308</c:v>
                </c:pt>
                <c:pt idx="291">
                  <c:v>27805</c:v>
                </c:pt>
                <c:pt idx="292">
                  <c:v>12095</c:v>
                </c:pt>
                <c:pt idx="293">
                  <c:v>872</c:v>
                </c:pt>
                <c:pt idx="294">
                  <c:v>-22334</c:v>
                </c:pt>
                <c:pt idx="295">
                  <c:v>-18398</c:v>
                </c:pt>
                <c:pt idx="296">
                  <c:v>-12107</c:v>
                </c:pt>
                <c:pt idx="297">
                  <c:v>-11256</c:v>
                </c:pt>
                <c:pt idx="298">
                  <c:v>-6138</c:v>
                </c:pt>
                <c:pt idx="299">
                  <c:v>3773</c:v>
                </c:pt>
                <c:pt idx="300">
                  <c:v>-3826</c:v>
                </c:pt>
                <c:pt idx="301">
                  <c:v>-16452</c:v>
                </c:pt>
                <c:pt idx="302">
                  <c:v>-23240</c:v>
                </c:pt>
                <c:pt idx="303">
                  <c:v>-8299</c:v>
                </c:pt>
                <c:pt idx="304">
                  <c:v>-11879</c:v>
                </c:pt>
                <c:pt idx="305">
                  <c:v>-10162</c:v>
                </c:pt>
                <c:pt idx="306">
                  <c:v>-6634</c:v>
                </c:pt>
                <c:pt idx="307">
                  <c:v>-11458</c:v>
                </c:pt>
                <c:pt idx="308">
                  <c:v>-4805</c:v>
                </c:pt>
                <c:pt idx="309">
                  <c:v>15640</c:v>
                </c:pt>
                <c:pt idx="310">
                  <c:v>32140</c:v>
                </c:pt>
                <c:pt idx="311">
                  <c:v>22937</c:v>
                </c:pt>
                <c:pt idx="312">
                  <c:v>29133</c:v>
                </c:pt>
                <c:pt idx="313">
                  <c:v>37831</c:v>
                </c:pt>
                <c:pt idx="314">
                  <c:v>49291</c:v>
                </c:pt>
                <c:pt idx="315">
                  <c:v>57286</c:v>
                </c:pt>
                <c:pt idx="316">
                  <c:v>51725</c:v>
                </c:pt>
                <c:pt idx="317">
                  <c:v>8555</c:v>
                </c:pt>
                <c:pt idx="318">
                  <c:v>21349</c:v>
                </c:pt>
                <c:pt idx="319">
                  <c:v>19060</c:v>
                </c:pt>
                <c:pt idx="320">
                  <c:v>18056</c:v>
                </c:pt>
                <c:pt idx="321">
                  <c:v>29821</c:v>
                </c:pt>
                <c:pt idx="322">
                  <c:v>22216</c:v>
                </c:pt>
                <c:pt idx="323">
                  <c:v>12403</c:v>
                </c:pt>
                <c:pt idx="324">
                  <c:v>-14637</c:v>
                </c:pt>
                <c:pt idx="325">
                  <c:v>8687</c:v>
                </c:pt>
                <c:pt idx="326">
                  <c:v>12181</c:v>
                </c:pt>
                <c:pt idx="327">
                  <c:v>37827</c:v>
                </c:pt>
                <c:pt idx="328">
                  <c:v>46523</c:v>
                </c:pt>
                <c:pt idx="329">
                  <c:v>43597</c:v>
                </c:pt>
                <c:pt idx="330">
                  <c:v>-11147</c:v>
                </c:pt>
                <c:pt idx="331">
                  <c:v>-15893</c:v>
                </c:pt>
                <c:pt idx="332">
                  <c:v>-7786</c:v>
                </c:pt>
                <c:pt idx="333">
                  <c:v>-13810</c:v>
                </c:pt>
                <c:pt idx="334">
                  <c:v>-21698</c:v>
                </c:pt>
                <c:pt idx="335">
                  <c:v>-39294</c:v>
                </c:pt>
                <c:pt idx="336">
                  <c:v>-38092</c:v>
                </c:pt>
                <c:pt idx="337">
                  <c:v>-34265</c:v>
                </c:pt>
                <c:pt idx="338">
                  <c:v>-29628</c:v>
                </c:pt>
                <c:pt idx="339">
                  <c:v>-37541</c:v>
                </c:pt>
                <c:pt idx="340">
                  <c:v>-39086</c:v>
                </c:pt>
                <c:pt idx="341">
                  <c:v>-45078</c:v>
                </c:pt>
                <c:pt idx="342">
                  <c:v>-33996</c:v>
                </c:pt>
                <c:pt idx="343">
                  <c:v>-9811</c:v>
                </c:pt>
              </c:numCache>
            </c:numRef>
          </c:val>
          <c:extLst>
            <c:ext xmlns:c16="http://schemas.microsoft.com/office/drawing/2014/chart" uri="{C3380CC4-5D6E-409C-BE32-E72D297353CC}">
              <c16:uniqueId val="{00000000-686C-4EBA-94AB-5D9D1D0F9550}"/>
            </c:ext>
          </c:extLst>
        </c:ser>
        <c:dLbls>
          <c:showLegendKey val="0"/>
          <c:showVal val="0"/>
          <c:showCatName val="0"/>
          <c:showSerName val="0"/>
          <c:showPercent val="0"/>
          <c:showBubbleSize val="0"/>
        </c:dLbls>
        <c:gapWidth val="150"/>
        <c:axId val="1152381112"/>
        <c:axId val="1152381768"/>
      </c:barChart>
      <c:dateAx>
        <c:axId val="1152381112"/>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2381768"/>
        <c:crosses val="autoZero"/>
        <c:auto val="0"/>
        <c:lblOffset val="100"/>
        <c:baseTimeUnit val="days"/>
      </c:dateAx>
      <c:valAx>
        <c:axId val="11523817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2381112"/>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10"/>
          <c:order val="0"/>
          <c:tx>
            <c:strRef>
              <c:f>Database!$L$1</c:f>
              <c:strCache>
                <c:ptCount val="1"/>
                <c:pt idx="0">
                  <c:v>ZAR</c:v>
                </c:pt>
              </c:strCache>
            </c:strRef>
          </c:tx>
          <c:spPr>
            <a:solidFill>
              <a:schemeClr val="accent5">
                <a:lumMod val="60000"/>
              </a:schemeClr>
            </a:solidFill>
            <a:ln>
              <a:noFill/>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Database!$L$2:$L$1564</c:f>
              <c:numCache>
                <c:formatCode>General</c:formatCode>
                <c:ptCount val="1563"/>
                <c:pt idx="1181">
                  <c:v>-2468</c:v>
                </c:pt>
                <c:pt idx="1183">
                  <c:v>-2449</c:v>
                </c:pt>
                <c:pt idx="1190">
                  <c:v>-3464</c:v>
                </c:pt>
                <c:pt idx="1191">
                  <c:v>-3636</c:v>
                </c:pt>
                <c:pt idx="1192">
                  <c:v>-3916</c:v>
                </c:pt>
                <c:pt idx="1193">
                  <c:v>-3831</c:v>
                </c:pt>
                <c:pt idx="1194">
                  <c:v>-3831</c:v>
                </c:pt>
                <c:pt idx="1195">
                  <c:v>-4109</c:v>
                </c:pt>
                <c:pt idx="1197">
                  <c:v>-1025</c:v>
                </c:pt>
                <c:pt idx="1199">
                  <c:v>-2307</c:v>
                </c:pt>
                <c:pt idx="1201">
                  <c:v>-2816</c:v>
                </c:pt>
                <c:pt idx="1204">
                  <c:v>-3155</c:v>
                </c:pt>
                <c:pt idx="1205">
                  <c:v>-3188</c:v>
                </c:pt>
                <c:pt idx="1206">
                  <c:v>-2935</c:v>
                </c:pt>
                <c:pt idx="1207">
                  <c:v>-2965</c:v>
                </c:pt>
                <c:pt idx="1208">
                  <c:v>-3632</c:v>
                </c:pt>
                <c:pt idx="1209">
                  <c:v>-3310</c:v>
                </c:pt>
                <c:pt idx="1216">
                  <c:v>-428</c:v>
                </c:pt>
                <c:pt idx="1232">
                  <c:v>-1110</c:v>
                </c:pt>
                <c:pt idx="1243">
                  <c:v>-1515</c:v>
                </c:pt>
                <c:pt idx="1244">
                  <c:v>-1181</c:v>
                </c:pt>
                <c:pt idx="1249">
                  <c:v>-1299</c:v>
                </c:pt>
                <c:pt idx="1261">
                  <c:v>-1598</c:v>
                </c:pt>
                <c:pt idx="1262">
                  <c:v>-1545</c:v>
                </c:pt>
                <c:pt idx="1263">
                  <c:v>330</c:v>
                </c:pt>
                <c:pt idx="1264">
                  <c:v>392</c:v>
                </c:pt>
                <c:pt idx="1265">
                  <c:v>737</c:v>
                </c:pt>
                <c:pt idx="1266">
                  <c:v>1687</c:v>
                </c:pt>
                <c:pt idx="1267">
                  <c:v>2057</c:v>
                </c:pt>
                <c:pt idx="1268">
                  <c:v>2785</c:v>
                </c:pt>
                <c:pt idx="1269">
                  <c:v>5918</c:v>
                </c:pt>
                <c:pt idx="1270">
                  <c:v>5712</c:v>
                </c:pt>
                <c:pt idx="1271">
                  <c:v>5838</c:v>
                </c:pt>
                <c:pt idx="1272">
                  <c:v>6153</c:v>
                </c:pt>
                <c:pt idx="1273">
                  <c:v>6365</c:v>
                </c:pt>
                <c:pt idx="1274">
                  <c:v>7192</c:v>
                </c:pt>
                <c:pt idx="1275">
                  <c:v>4169</c:v>
                </c:pt>
                <c:pt idx="1276">
                  <c:v>4112</c:v>
                </c:pt>
                <c:pt idx="1277">
                  <c:v>3716</c:v>
                </c:pt>
                <c:pt idx="1278">
                  <c:v>3834</c:v>
                </c:pt>
                <c:pt idx="1279">
                  <c:v>3456</c:v>
                </c:pt>
                <c:pt idx="1280">
                  <c:v>1318</c:v>
                </c:pt>
                <c:pt idx="1281">
                  <c:v>1878</c:v>
                </c:pt>
                <c:pt idx="1282">
                  <c:v>2033</c:v>
                </c:pt>
                <c:pt idx="1283">
                  <c:v>1198</c:v>
                </c:pt>
                <c:pt idx="1284">
                  <c:v>1626</c:v>
                </c:pt>
                <c:pt idx="1285">
                  <c:v>1499</c:v>
                </c:pt>
                <c:pt idx="1286">
                  <c:v>2072</c:v>
                </c:pt>
                <c:pt idx="1287">
                  <c:v>10113</c:v>
                </c:pt>
                <c:pt idx="1288">
                  <c:v>17200</c:v>
                </c:pt>
                <c:pt idx="1289">
                  <c:v>19329</c:v>
                </c:pt>
                <c:pt idx="1290">
                  <c:v>20013</c:v>
                </c:pt>
                <c:pt idx="1291">
                  <c:v>19124</c:v>
                </c:pt>
                <c:pt idx="1292">
                  <c:v>10145</c:v>
                </c:pt>
                <c:pt idx="1293">
                  <c:v>8332</c:v>
                </c:pt>
                <c:pt idx="1294">
                  <c:v>8648</c:v>
                </c:pt>
                <c:pt idx="1295">
                  <c:v>8544</c:v>
                </c:pt>
                <c:pt idx="1296">
                  <c:v>7906</c:v>
                </c:pt>
                <c:pt idx="1297">
                  <c:v>9472</c:v>
                </c:pt>
                <c:pt idx="1298">
                  <c:v>11203</c:v>
                </c:pt>
                <c:pt idx="1299">
                  <c:v>11624</c:v>
                </c:pt>
                <c:pt idx="1300">
                  <c:v>11558</c:v>
                </c:pt>
                <c:pt idx="1301">
                  <c:v>12346</c:v>
                </c:pt>
                <c:pt idx="1302">
                  <c:v>12869</c:v>
                </c:pt>
                <c:pt idx="1303">
                  <c:v>11356</c:v>
                </c:pt>
                <c:pt idx="1304">
                  <c:v>9209</c:v>
                </c:pt>
                <c:pt idx="1305">
                  <c:v>8525</c:v>
                </c:pt>
                <c:pt idx="1306">
                  <c:v>9052</c:v>
                </c:pt>
                <c:pt idx="1307">
                  <c:v>8598</c:v>
                </c:pt>
                <c:pt idx="1308">
                  <c:v>8376</c:v>
                </c:pt>
                <c:pt idx="1309">
                  <c:v>9290</c:v>
                </c:pt>
                <c:pt idx="1310">
                  <c:v>9916</c:v>
                </c:pt>
                <c:pt idx="1311">
                  <c:v>10212</c:v>
                </c:pt>
                <c:pt idx="1312">
                  <c:v>9636</c:v>
                </c:pt>
                <c:pt idx="1313">
                  <c:v>9927</c:v>
                </c:pt>
                <c:pt idx="1314">
                  <c:v>9801</c:v>
                </c:pt>
                <c:pt idx="1315">
                  <c:v>7462</c:v>
                </c:pt>
                <c:pt idx="1316">
                  <c:v>8867</c:v>
                </c:pt>
                <c:pt idx="1317">
                  <c:v>8754</c:v>
                </c:pt>
                <c:pt idx="1318">
                  <c:v>8895</c:v>
                </c:pt>
                <c:pt idx="1319">
                  <c:v>8753</c:v>
                </c:pt>
                <c:pt idx="1320">
                  <c:v>8594</c:v>
                </c:pt>
                <c:pt idx="1321">
                  <c:v>8746</c:v>
                </c:pt>
                <c:pt idx="1322">
                  <c:v>8439</c:v>
                </c:pt>
                <c:pt idx="1323">
                  <c:v>8113</c:v>
                </c:pt>
                <c:pt idx="1324">
                  <c:v>8044</c:v>
                </c:pt>
                <c:pt idx="1325">
                  <c:v>7920</c:v>
                </c:pt>
                <c:pt idx="1326">
                  <c:v>7796</c:v>
                </c:pt>
                <c:pt idx="1327">
                  <c:v>7614</c:v>
                </c:pt>
                <c:pt idx="1328">
                  <c:v>7348</c:v>
                </c:pt>
                <c:pt idx="1329">
                  <c:v>7840</c:v>
                </c:pt>
                <c:pt idx="1330">
                  <c:v>7911</c:v>
                </c:pt>
                <c:pt idx="1331">
                  <c:v>7654</c:v>
                </c:pt>
                <c:pt idx="1332">
                  <c:v>7534</c:v>
                </c:pt>
                <c:pt idx="1333">
                  <c:v>6663</c:v>
                </c:pt>
                <c:pt idx="1334">
                  <c:v>6445</c:v>
                </c:pt>
                <c:pt idx="1335">
                  <c:v>6431</c:v>
                </c:pt>
                <c:pt idx="1336">
                  <c:v>6510</c:v>
                </c:pt>
                <c:pt idx="1337">
                  <c:v>6281</c:v>
                </c:pt>
                <c:pt idx="1338">
                  <c:v>6319</c:v>
                </c:pt>
                <c:pt idx="1339">
                  <c:v>7041</c:v>
                </c:pt>
                <c:pt idx="1340">
                  <c:v>7785</c:v>
                </c:pt>
                <c:pt idx="1345">
                  <c:v>-62</c:v>
                </c:pt>
                <c:pt idx="1346">
                  <c:v>797</c:v>
                </c:pt>
                <c:pt idx="1347">
                  <c:v>2399</c:v>
                </c:pt>
                <c:pt idx="1348">
                  <c:v>2322</c:v>
                </c:pt>
                <c:pt idx="1349">
                  <c:v>3553</c:v>
                </c:pt>
                <c:pt idx="1350">
                  <c:v>1351</c:v>
                </c:pt>
                <c:pt idx="1351">
                  <c:v>1127</c:v>
                </c:pt>
                <c:pt idx="1352">
                  <c:v>1374</c:v>
                </c:pt>
                <c:pt idx="1353">
                  <c:v>1204</c:v>
                </c:pt>
                <c:pt idx="1354">
                  <c:v>-2393</c:v>
                </c:pt>
                <c:pt idx="1355">
                  <c:v>-4491</c:v>
                </c:pt>
                <c:pt idx="1358">
                  <c:v>-3295</c:v>
                </c:pt>
                <c:pt idx="1360">
                  <c:v>-1945</c:v>
                </c:pt>
                <c:pt idx="1366">
                  <c:v>555</c:v>
                </c:pt>
                <c:pt idx="1369">
                  <c:v>-1178</c:v>
                </c:pt>
                <c:pt idx="1370">
                  <c:v>-1997</c:v>
                </c:pt>
                <c:pt idx="1371">
                  <c:v>-1662</c:v>
                </c:pt>
                <c:pt idx="1372">
                  <c:v>-1081</c:v>
                </c:pt>
                <c:pt idx="1373">
                  <c:v>-1407</c:v>
                </c:pt>
                <c:pt idx="1374">
                  <c:v>-255</c:v>
                </c:pt>
                <c:pt idx="1375">
                  <c:v>444</c:v>
                </c:pt>
                <c:pt idx="1376">
                  <c:v>845</c:v>
                </c:pt>
                <c:pt idx="1378">
                  <c:v>-138</c:v>
                </c:pt>
                <c:pt idx="1379">
                  <c:v>-376</c:v>
                </c:pt>
                <c:pt idx="1380">
                  <c:v>-184</c:v>
                </c:pt>
                <c:pt idx="1388">
                  <c:v>117</c:v>
                </c:pt>
                <c:pt idx="1390">
                  <c:v>2475</c:v>
                </c:pt>
                <c:pt idx="1391">
                  <c:v>2816</c:v>
                </c:pt>
                <c:pt idx="1392">
                  <c:v>2519</c:v>
                </c:pt>
                <c:pt idx="1393">
                  <c:v>-72</c:v>
                </c:pt>
                <c:pt idx="1394">
                  <c:v>451</c:v>
                </c:pt>
                <c:pt idx="1395">
                  <c:v>1429</c:v>
                </c:pt>
                <c:pt idx="1396">
                  <c:v>3095</c:v>
                </c:pt>
                <c:pt idx="1397">
                  <c:v>3678</c:v>
                </c:pt>
                <c:pt idx="1398">
                  <c:v>4137</c:v>
                </c:pt>
                <c:pt idx="1399">
                  <c:v>6125</c:v>
                </c:pt>
                <c:pt idx="1400">
                  <c:v>8968</c:v>
                </c:pt>
                <c:pt idx="1401">
                  <c:v>8167</c:v>
                </c:pt>
                <c:pt idx="1402">
                  <c:v>7423</c:v>
                </c:pt>
                <c:pt idx="1403">
                  <c:v>7339</c:v>
                </c:pt>
                <c:pt idx="1404">
                  <c:v>7365</c:v>
                </c:pt>
                <c:pt idx="1405">
                  <c:v>6484</c:v>
                </c:pt>
                <c:pt idx="1406">
                  <c:v>5950</c:v>
                </c:pt>
                <c:pt idx="1407">
                  <c:v>6831</c:v>
                </c:pt>
                <c:pt idx="1408">
                  <c:v>7441</c:v>
                </c:pt>
                <c:pt idx="1409">
                  <c:v>5679</c:v>
                </c:pt>
                <c:pt idx="1410">
                  <c:v>4635</c:v>
                </c:pt>
                <c:pt idx="1411">
                  <c:v>4138</c:v>
                </c:pt>
                <c:pt idx="1412">
                  <c:v>5754</c:v>
                </c:pt>
                <c:pt idx="1413">
                  <c:v>6955</c:v>
                </c:pt>
                <c:pt idx="1414">
                  <c:v>7071</c:v>
                </c:pt>
                <c:pt idx="1415">
                  <c:v>6701</c:v>
                </c:pt>
                <c:pt idx="1416">
                  <c:v>6828</c:v>
                </c:pt>
                <c:pt idx="1417">
                  <c:v>6268</c:v>
                </c:pt>
                <c:pt idx="1418">
                  <c:v>5967</c:v>
                </c:pt>
                <c:pt idx="1419">
                  <c:v>11286</c:v>
                </c:pt>
                <c:pt idx="1420">
                  <c:v>10561</c:v>
                </c:pt>
                <c:pt idx="1421">
                  <c:v>11375</c:v>
                </c:pt>
                <c:pt idx="1422">
                  <c:v>11374</c:v>
                </c:pt>
                <c:pt idx="1423">
                  <c:v>12015</c:v>
                </c:pt>
                <c:pt idx="1424">
                  <c:v>12156</c:v>
                </c:pt>
                <c:pt idx="1425">
                  <c:v>12886</c:v>
                </c:pt>
                <c:pt idx="1426">
                  <c:v>11001</c:v>
                </c:pt>
                <c:pt idx="1427">
                  <c:v>11186</c:v>
                </c:pt>
                <c:pt idx="1428">
                  <c:v>11505</c:v>
                </c:pt>
                <c:pt idx="1429">
                  <c:v>12871</c:v>
                </c:pt>
                <c:pt idx="1430">
                  <c:v>11321</c:v>
                </c:pt>
                <c:pt idx="1431">
                  <c:v>10956</c:v>
                </c:pt>
                <c:pt idx="1432">
                  <c:v>1153</c:v>
                </c:pt>
                <c:pt idx="1433">
                  <c:v>-1536</c:v>
                </c:pt>
                <c:pt idx="1434">
                  <c:v>-1968</c:v>
                </c:pt>
                <c:pt idx="1435">
                  <c:v>-529</c:v>
                </c:pt>
                <c:pt idx="1436">
                  <c:v>-219</c:v>
                </c:pt>
                <c:pt idx="1437">
                  <c:v>146</c:v>
                </c:pt>
                <c:pt idx="1438">
                  <c:v>281</c:v>
                </c:pt>
                <c:pt idx="1439">
                  <c:v>1130</c:v>
                </c:pt>
                <c:pt idx="1440">
                  <c:v>1998</c:v>
                </c:pt>
                <c:pt idx="1441">
                  <c:v>1349</c:v>
                </c:pt>
                <c:pt idx="1442">
                  <c:v>1237</c:v>
                </c:pt>
                <c:pt idx="1443">
                  <c:v>3293</c:v>
                </c:pt>
                <c:pt idx="1444">
                  <c:v>3688</c:v>
                </c:pt>
                <c:pt idx="1445">
                  <c:v>5972</c:v>
                </c:pt>
                <c:pt idx="1446">
                  <c:v>5988</c:v>
                </c:pt>
                <c:pt idx="1447">
                  <c:v>6687</c:v>
                </c:pt>
                <c:pt idx="1448">
                  <c:v>5617</c:v>
                </c:pt>
                <c:pt idx="1449">
                  <c:v>6070</c:v>
                </c:pt>
                <c:pt idx="1450">
                  <c:v>5173</c:v>
                </c:pt>
                <c:pt idx="1451">
                  <c:v>4071</c:v>
                </c:pt>
                <c:pt idx="1452">
                  <c:v>3529</c:v>
                </c:pt>
                <c:pt idx="1453">
                  <c:v>2646</c:v>
                </c:pt>
                <c:pt idx="1454">
                  <c:v>2654</c:v>
                </c:pt>
                <c:pt idx="1455">
                  <c:v>1793</c:v>
                </c:pt>
                <c:pt idx="1456">
                  <c:v>2986</c:v>
                </c:pt>
                <c:pt idx="1457">
                  <c:v>3854</c:v>
                </c:pt>
                <c:pt idx="1458">
                  <c:v>3459</c:v>
                </c:pt>
                <c:pt idx="1459">
                  <c:v>4835</c:v>
                </c:pt>
                <c:pt idx="1460">
                  <c:v>5330</c:v>
                </c:pt>
                <c:pt idx="1461">
                  <c:v>5221</c:v>
                </c:pt>
                <c:pt idx="1462">
                  <c:v>5227</c:v>
                </c:pt>
                <c:pt idx="1463">
                  <c:v>5016</c:v>
                </c:pt>
                <c:pt idx="1464">
                  <c:v>4652</c:v>
                </c:pt>
                <c:pt idx="1465">
                  <c:v>6090</c:v>
                </c:pt>
                <c:pt idx="1466">
                  <c:v>6948</c:v>
                </c:pt>
                <c:pt idx="1467">
                  <c:v>7667</c:v>
                </c:pt>
                <c:pt idx="1468">
                  <c:v>7733</c:v>
                </c:pt>
                <c:pt idx="1469">
                  <c:v>8112</c:v>
                </c:pt>
                <c:pt idx="1470">
                  <c:v>7303</c:v>
                </c:pt>
                <c:pt idx="1471">
                  <c:v>7957</c:v>
                </c:pt>
                <c:pt idx="1472">
                  <c:v>7477</c:v>
                </c:pt>
                <c:pt idx="1473">
                  <c:v>7377</c:v>
                </c:pt>
                <c:pt idx="1474">
                  <c:v>7620</c:v>
                </c:pt>
                <c:pt idx="1475">
                  <c:v>6453</c:v>
                </c:pt>
                <c:pt idx="1476">
                  <c:v>5283</c:v>
                </c:pt>
                <c:pt idx="1477">
                  <c:v>5050</c:v>
                </c:pt>
                <c:pt idx="1478">
                  <c:v>4259</c:v>
                </c:pt>
                <c:pt idx="1479">
                  <c:v>3845</c:v>
                </c:pt>
                <c:pt idx="1480">
                  <c:v>4579</c:v>
                </c:pt>
                <c:pt idx="1481">
                  <c:v>5780</c:v>
                </c:pt>
                <c:pt idx="1482">
                  <c:v>6361</c:v>
                </c:pt>
                <c:pt idx="1483">
                  <c:v>5606</c:v>
                </c:pt>
                <c:pt idx="1484">
                  <c:v>2185</c:v>
                </c:pt>
                <c:pt idx="1485">
                  <c:v>2050</c:v>
                </c:pt>
                <c:pt idx="1486">
                  <c:v>2116</c:v>
                </c:pt>
                <c:pt idx="1487">
                  <c:v>1900</c:v>
                </c:pt>
                <c:pt idx="1488">
                  <c:v>2523</c:v>
                </c:pt>
                <c:pt idx="1489">
                  <c:v>3828</c:v>
                </c:pt>
                <c:pt idx="1490">
                  <c:v>5443</c:v>
                </c:pt>
                <c:pt idx="1491">
                  <c:v>4535</c:v>
                </c:pt>
                <c:pt idx="1492">
                  <c:v>5622</c:v>
                </c:pt>
                <c:pt idx="1493">
                  <c:v>5779</c:v>
                </c:pt>
                <c:pt idx="1494">
                  <c:v>4883</c:v>
                </c:pt>
                <c:pt idx="1495">
                  <c:v>5037</c:v>
                </c:pt>
                <c:pt idx="1496">
                  <c:v>5254</c:v>
                </c:pt>
                <c:pt idx="1497">
                  <c:v>7030</c:v>
                </c:pt>
                <c:pt idx="1498">
                  <c:v>7301</c:v>
                </c:pt>
                <c:pt idx="1499">
                  <c:v>6440</c:v>
                </c:pt>
                <c:pt idx="1500">
                  <c:v>6046</c:v>
                </c:pt>
                <c:pt idx="1501">
                  <c:v>6626</c:v>
                </c:pt>
                <c:pt idx="1502">
                  <c:v>5643</c:v>
                </c:pt>
                <c:pt idx="1503">
                  <c:v>5005</c:v>
                </c:pt>
                <c:pt idx="1504">
                  <c:v>3949</c:v>
                </c:pt>
                <c:pt idx="1505">
                  <c:v>4509</c:v>
                </c:pt>
                <c:pt idx="1506">
                  <c:v>5117</c:v>
                </c:pt>
                <c:pt idx="1507">
                  <c:v>5483</c:v>
                </c:pt>
                <c:pt idx="1508">
                  <c:v>5400</c:v>
                </c:pt>
                <c:pt idx="1509">
                  <c:v>5407</c:v>
                </c:pt>
                <c:pt idx="1510">
                  <c:v>4374</c:v>
                </c:pt>
                <c:pt idx="1511">
                  <c:v>4305</c:v>
                </c:pt>
                <c:pt idx="1512">
                  <c:v>2519</c:v>
                </c:pt>
                <c:pt idx="1513">
                  <c:v>2536</c:v>
                </c:pt>
                <c:pt idx="1514">
                  <c:v>2156</c:v>
                </c:pt>
                <c:pt idx="1515">
                  <c:v>3713</c:v>
                </c:pt>
                <c:pt idx="1516">
                  <c:v>3951</c:v>
                </c:pt>
                <c:pt idx="1517">
                  <c:v>2427</c:v>
                </c:pt>
                <c:pt idx="1518">
                  <c:v>1638</c:v>
                </c:pt>
                <c:pt idx="1519">
                  <c:v>3277</c:v>
                </c:pt>
                <c:pt idx="1520">
                  <c:v>3230</c:v>
                </c:pt>
                <c:pt idx="1521">
                  <c:v>4239</c:v>
                </c:pt>
                <c:pt idx="1522">
                  <c:v>3818</c:v>
                </c:pt>
                <c:pt idx="1523">
                  <c:v>-187</c:v>
                </c:pt>
                <c:pt idx="1524">
                  <c:v>-440</c:v>
                </c:pt>
                <c:pt idx="1525">
                  <c:v>8</c:v>
                </c:pt>
                <c:pt idx="1526">
                  <c:v>193</c:v>
                </c:pt>
                <c:pt idx="1527">
                  <c:v>1761</c:v>
                </c:pt>
                <c:pt idx="1528">
                  <c:v>1853</c:v>
                </c:pt>
                <c:pt idx="1529">
                  <c:v>2183</c:v>
                </c:pt>
                <c:pt idx="1530">
                  <c:v>2820</c:v>
                </c:pt>
                <c:pt idx="1531">
                  <c:v>3299</c:v>
                </c:pt>
                <c:pt idx="1532">
                  <c:v>2798</c:v>
                </c:pt>
                <c:pt idx="1533">
                  <c:v>1742</c:v>
                </c:pt>
                <c:pt idx="1534">
                  <c:v>2376</c:v>
                </c:pt>
                <c:pt idx="1535">
                  <c:v>-239</c:v>
                </c:pt>
                <c:pt idx="1536">
                  <c:v>13402</c:v>
                </c:pt>
                <c:pt idx="1537">
                  <c:v>13113</c:v>
                </c:pt>
                <c:pt idx="1538">
                  <c:v>13682</c:v>
                </c:pt>
                <c:pt idx="1539">
                  <c:v>13737</c:v>
                </c:pt>
                <c:pt idx="1540">
                  <c:v>14344</c:v>
                </c:pt>
                <c:pt idx="1541">
                  <c:v>15526</c:v>
                </c:pt>
                <c:pt idx="1542">
                  <c:v>15493</c:v>
                </c:pt>
                <c:pt idx="1543">
                  <c:v>15338</c:v>
                </c:pt>
                <c:pt idx="1544">
                  <c:v>13542</c:v>
                </c:pt>
                <c:pt idx="1545">
                  <c:v>13373</c:v>
                </c:pt>
                <c:pt idx="1546">
                  <c:v>13712</c:v>
                </c:pt>
                <c:pt idx="1547">
                  <c:v>13665</c:v>
                </c:pt>
                <c:pt idx="1548">
                  <c:v>14207</c:v>
                </c:pt>
                <c:pt idx="1549">
                  <c:v>21795</c:v>
                </c:pt>
                <c:pt idx="1550">
                  <c:v>22383</c:v>
                </c:pt>
                <c:pt idx="1551">
                  <c:v>22579</c:v>
                </c:pt>
                <c:pt idx="1552">
                  <c:v>22713</c:v>
                </c:pt>
                <c:pt idx="1553">
                  <c:v>13529</c:v>
                </c:pt>
                <c:pt idx="1554">
                  <c:v>9539</c:v>
                </c:pt>
                <c:pt idx="1555">
                  <c:v>6649</c:v>
                </c:pt>
                <c:pt idx="1556">
                  <c:v>6388</c:v>
                </c:pt>
                <c:pt idx="1557">
                  <c:v>5938</c:v>
                </c:pt>
                <c:pt idx="1558">
                  <c:v>5925</c:v>
                </c:pt>
                <c:pt idx="1559">
                  <c:v>6885</c:v>
                </c:pt>
                <c:pt idx="1560">
                  <c:v>6841</c:v>
                </c:pt>
                <c:pt idx="1561">
                  <c:v>7115</c:v>
                </c:pt>
                <c:pt idx="1562">
                  <c:v>6634</c:v>
                </c:pt>
              </c:numCache>
            </c:numRef>
          </c:val>
          <c:extLst>
            <c:ext xmlns:c16="http://schemas.microsoft.com/office/drawing/2014/chart" uri="{C3380CC4-5D6E-409C-BE32-E72D297353CC}">
              <c16:uniqueId val="{00000000-9292-4DC9-9423-67CBCFCCFE3E}"/>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0"/>
          <c:order val="0"/>
          <c:tx>
            <c:strRef>
              <c:f>Database!$B$1</c:f>
              <c:strCache>
                <c:ptCount val="1"/>
                <c:pt idx="0">
                  <c:v>AUD</c:v>
                </c:pt>
              </c:strCache>
            </c:strRef>
          </c:tx>
          <c:spPr>
            <a:solidFill>
              <a:schemeClr val="accent1"/>
            </a:solidFill>
            <a:ln>
              <a:noFill/>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Database!$B$2:$B$1564</c:f>
              <c:numCache>
                <c:formatCode>General</c:formatCode>
                <c:ptCount val="1563"/>
                <c:pt idx="13">
                  <c:v>-1326</c:v>
                </c:pt>
                <c:pt idx="14">
                  <c:v>-1626</c:v>
                </c:pt>
                <c:pt idx="15">
                  <c:v>-1626</c:v>
                </c:pt>
                <c:pt idx="16">
                  <c:v>-1417</c:v>
                </c:pt>
                <c:pt idx="17">
                  <c:v>-1619</c:v>
                </c:pt>
                <c:pt idx="18">
                  <c:v>-1252</c:v>
                </c:pt>
                <c:pt idx="19">
                  <c:v>-851</c:v>
                </c:pt>
                <c:pt idx="20">
                  <c:v>-25</c:v>
                </c:pt>
                <c:pt idx="21">
                  <c:v>738</c:v>
                </c:pt>
                <c:pt idx="22">
                  <c:v>738</c:v>
                </c:pt>
                <c:pt idx="23">
                  <c:v>872</c:v>
                </c:pt>
                <c:pt idx="24">
                  <c:v>1059</c:v>
                </c:pt>
                <c:pt idx="25">
                  <c:v>1059</c:v>
                </c:pt>
                <c:pt idx="26">
                  <c:v>327</c:v>
                </c:pt>
                <c:pt idx="27">
                  <c:v>548</c:v>
                </c:pt>
                <c:pt idx="28">
                  <c:v>656</c:v>
                </c:pt>
                <c:pt idx="29">
                  <c:v>650</c:v>
                </c:pt>
                <c:pt idx="30">
                  <c:v>319</c:v>
                </c:pt>
                <c:pt idx="31">
                  <c:v>319</c:v>
                </c:pt>
                <c:pt idx="32">
                  <c:v>25</c:v>
                </c:pt>
                <c:pt idx="33">
                  <c:v>-60</c:v>
                </c:pt>
                <c:pt idx="34">
                  <c:v>-459</c:v>
                </c:pt>
                <c:pt idx="35">
                  <c:v>-533</c:v>
                </c:pt>
                <c:pt idx="36">
                  <c:v>-588</c:v>
                </c:pt>
                <c:pt idx="37">
                  <c:v>-877</c:v>
                </c:pt>
                <c:pt idx="38">
                  <c:v>-981</c:v>
                </c:pt>
                <c:pt idx="39">
                  <c:v>-781</c:v>
                </c:pt>
                <c:pt idx="40">
                  <c:v>-708</c:v>
                </c:pt>
                <c:pt idx="41">
                  <c:v>-940</c:v>
                </c:pt>
                <c:pt idx="42">
                  <c:v>-953</c:v>
                </c:pt>
                <c:pt idx="43">
                  <c:v>-420</c:v>
                </c:pt>
                <c:pt idx="44">
                  <c:v>704</c:v>
                </c:pt>
                <c:pt idx="45">
                  <c:v>2115</c:v>
                </c:pt>
                <c:pt idx="46">
                  <c:v>1102</c:v>
                </c:pt>
                <c:pt idx="47">
                  <c:v>964</c:v>
                </c:pt>
                <c:pt idx="48">
                  <c:v>-1775</c:v>
                </c:pt>
                <c:pt idx="49">
                  <c:v>-2131</c:v>
                </c:pt>
                <c:pt idx="50">
                  <c:v>-2201</c:v>
                </c:pt>
                <c:pt idx="51">
                  <c:v>-2201</c:v>
                </c:pt>
                <c:pt idx="52">
                  <c:v>-2630</c:v>
                </c:pt>
                <c:pt idx="53">
                  <c:v>-1735</c:v>
                </c:pt>
                <c:pt idx="54">
                  <c:v>-1265</c:v>
                </c:pt>
                <c:pt idx="55">
                  <c:v>-1149</c:v>
                </c:pt>
                <c:pt idx="56">
                  <c:v>-145</c:v>
                </c:pt>
                <c:pt idx="57">
                  <c:v>428</c:v>
                </c:pt>
                <c:pt idx="58">
                  <c:v>-413</c:v>
                </c:pt>
                <c:pt idx="59">
                  <c:v>-413</c:v>
                </c:pt>
                <c:pt idx="60">
                  <c:v>-413</c:v>
                </c:pt>
                <c:pt idx="61">
                  <c:v>-308</c:v>
                </c:pt>
                <c:pt idx="62">
                  <c:v>-9</c:v>
                </c:pt>
                <c:pt idx="63">
                  <c:v>1328</c:v>
                </c:pt>
                <c:pt idx="64">
                  <c:v>1560</c:v>
                </c:pt>
                <c:pt idx="65">
                  <c:v>2242</c:v>
                </c:pt>
                <c:pt idx="66">
                  <c:v>2499</c:v>
                </c:pt>
                <c:pt idx="67">
                  <c:v>3051</c:v>
                </c:pt>
                <c:pt idx="68">
                  <c:v>4590</c:v>
                </c:pt>
                <c:pt idx="69">
                  <c:v>3474</c:v>
                </c:pt>
                <c:pt idx="70">
                  <c:v>3467</c:v>
                </c:pt>
                <c:pt idx="71">
                  <c:v>3159</c:v>
                </c:pt>
                <c:pt idx="72">
                  <c:v>3545</c:v>
                </c:pt>
                <c:pt idx="73">
                  <c:v>3708</c:v>
                </c:pt>
                <c:pt idx="74">
                  <c:v>2640</c:v>
                </c:pt>
                <c:pt idx="75">
                  <c:v>1285</c:v>
                </c:pt>
                <c:pt idx="76">
                  <c:v>1478</c:v>
                </c:pt>
                <c:pt idx="77">
                  <c:v>830</c:v>
                </c:pt>
                <c:pt idx="78">
                  <c:v>-400</c:v>
                </c:pt>
                <c:pt idx="79">
                  <c:v>1226</c:v>
                </c:pt>
                <c:pt idx="80">
                  <c:v>1461</c:v>
                </c:pt>
                <c:pt idx="81">
                  <c:v>1379</c:v>
                </c:pt>
                <c:pt idx="82">
                  <c:v>1490</c:v>
                </c:pt>
                <c:pt idx="83">
                  <c:v>1077</c:v>
                </c:pt>
                <c:pt idx="84">
                  <c:v>1709</c:v>
                </c:pt>
                <c:pt idx="85">
                  <c:v>2883</c:v>
                </c:pt>
                <c:pt idx="86">
                  <c:v>2924</c:v>
                </c:pt>
                <c:pt idx="87">
                  <c:v>2647</c:v>
                </c:pt>
                <c:pt idx="88">
                  <c:v>2589</c:v>
                </c:pt>
                <c:pt idx="89">
                  <c:v>2967</c:v>
                </c:pt>
                <c:pt idx="90">
                  <c:v>178</c:v>
                </c:pt>
                <c:pt idx="91">
                  <c:v>396</c:v>
                </c:pt>
                <c:pt idx="92">
                  <c:v>1302</c:v>
                </c:pt>
                <c:pt idx="93">
                  <c:v>1484</c:v>
                </c:pt>
                <c:pt idx="94">
                  <c:v>2235</c:v>
                </c:pt>
                <c:pt idx="95">
                  <c:v>2524</c:v>
                </c:pt>
                <c:pt idx="96">
                  <c:v>3113</c:v>
                </c:pt>
                <c:pt idx="97">
                  <c:v>3177</c:v>
                </c:pt>
                <c:pt idx="98">
                  <c:v>1670</c:v>
                </c:pt>
                <c:pt idx="99">
                  <c:v>2227</c:v>
                </c:pt>
                <c:pt idx="100">
                  <c:v>2190</c:v>
                </c:pt>
                <c:pt idx="101">
                  <c:v>1933</c:v>
                </c:pt>
                <c:pt idx="102">
                  <c:v>1300</c:v>
                </c:pt>
                <c:pt idx="103">
                  <c:v>1306</c:v>
                </c:pt>
                <c:pt idx="104">
                  <c:v>1296</c:v>
                </c:pt>
                <c:pt idx="105">
                  <c:v>1259</c:v>
                </c:pt>
                <c:pt idx="106">
                  <c:v>1010</c:v>
                </c:pt>
                <c:pt idx="107">
                  <c:v>-2683</c:v>
                </c:pt>
                <c:pt idx="108">
                  <c:v>513</c:v>
                </c:pt>
                <c:pt idx="109">
                  <c:v>6538</c:v>
                </c:pt>
                <c:pt idx="110">
                  <c:v>7392</c:v>
                </c:pt>
                <c:pt idx="111">
                  <c:v>9051</c:v>
                </c:pt>
                <c:pt idx="112">
                  <c:v>6828</c:v>
                </c:pt>
                <c:pt idx="113">
                  <c:v>6766</c:v>
                </c:pt>
                <c:pt idx="114">
                  <c:v>7049</c:v>
                </c:pt>
                <c:pt idx="115">
                  <c:v>8570</c:v>
                </c:pt>
                <c:pt idx="116">
                  <c:v>8825</c:v>
                </c:pt>
                <c:pt idx="117">
                  <c:v>7941</c:v>
                </c:pt>
                <c:pt idx="118">
                  <c:v>6114</c:v>
                </c:pt>
                <c:pt idx="119">
                  <c:v>2127</c:v>
                </c:pt>
                <c:pt idx="120">
                  <c:v>2657</c:v>
                </c:pt>
                <c:pt idx="121">
                  <c:v>1381</c:v>
                </c:pt>
                <c:pt idx="122">
                  <c:v>-1920</c:v>
                </c:pt>
                <c:pt idx="123">
                  <c:v>-2651</c:v>
                </c:pt>
                <c:pt idx="124">
                  <c:v>-3216</c:v>
                </c:pt>
                <c:pt idx="125">
                  <c:v>-3173</c:v>
                </c:pt>
                <c:pt idx="126">
                  <c:v>-1948</c:v>
                </c:pt>
                <c:pt idx="127">
                  <c:v>-1561</c:v>
                </c:pt>
                <c:pt idx="128">
                  <c:v>-3962</c:v>
                </c:pt>
                <c:pt idx="129">
                  <c:v>-3961</c:v>
                </c:pt>
                <c:pt idx="130">
                  <c:v>-2702</c:v>
                </c:pt>
                <c:pt idx="131">
                  <c:v>-1593</c:v>
                </c:pt>
                <c:pt idx="132">
                  <c:v>-1509</c:v>
                </c:pt>
                <c:pt idx="133">
                  <c:v>-1832</c:v>
                </c:pt>
                <c:pt idx="134">
                  <c:v>-1696</c:v>
                </c:pt>
                <c:pt idx="135">
                  <c:v>-784</c:v>
                </c:pt>
                <c:pt idx="136">
                  <c:v>-877</c:v>
                </c:pt>
                <c:pt idx="137">
                  <c:v>-1962</c:v>
                </c:pt>
                <c:pt idx="138">
                  <c:v>-1822</c:v>
                </c:pt>
                <c:pt idx="139">
                  <c:v>-2027</c:v>
                </c:pt>
                <c:pt idx="140">
                  <c:v>-1906</c:v>
                </c:pt>
                <c:pt idx="141">
                  <c:v>-647</c:v>
                </c:pt>
                <c:pt idx="142">
                  <c:v>-1326</c:v>
                </c:pt>
                <c:pt idx="143">
                  <c:v>-1550</c:v>
                </c:pt>
                <c:pt idx="144">
                  <c:v>-1316</c:v>
                </c:pt>
                <c:pt idx="145">
                  <c:v>1227</c:v>
                </c:pt>
                <c:pt idx="146">
                  <c:v>1671</c:v>
                </c:pt>
                <c:pt idx="147">
                  <c:v>1833</c:v>
                </c:pt>
                <c:pt idx="148">
                  <c:v>2797</c:v>
                </c:pt>
                <c:pt idx="149">
                  <c:v>1903</c:v>
                </c:pt>
                <c:pt idx="150">
                  <c:v>673</c:v>
                </c:pt>
                <c:pt idx="151">
                  <c:v>3719</c:v>
                </c:pt>
                <c:pt idx="152">
                  <c:v>4443</c:v>
                </c:pt>
                <c:pt idx="153">
                  <c:v>5067</c:v>
                </c:pt>
                <c:pt idx="154">
                  <c:v>6974</c:v>
                </c:pt>
                <c:pt idx="155">
                  <c:v>1955</c:v>
                </c:pt>
                <c:pt idx="156">
                  <c:v>3185</c:v>
                </c:pt>
                <c:pt idx="157">
                  <c:v>3148</c:v>
                </c:pt>
                <c:pt idx="158">
                  <c:v>2838</c:v>
                </c:pt>
                <c:pt idx="159">
                  <c:v>1200</c:v>
                </c:pt>
                <c:pt idx="160">
                  <c:v>1666</c:v>
                </c:pt>
                <c:pt idx="161">
                  <c:v>1702</c:v>
                </c:pt>
                <c:pt idx="162">
                  <c:v>-208</c:v>
                </c:pt>
                <c:pt idx="163">
                  <c:v>-520</c:v>
                </c:pt>
                <c:pt idx="164">
                  <c:v>-28</c:v>
                </c:pt>
                <c:pt idx="165">
                  <c:v>-305</c:v>
                </c:pt>
                <c:pt idx="166">
                  <c:v>-148</c:v>
                </c:pt>
                <c:pt idx="167">
                  <c:v>0</c:v>
                </c:pt>
                <c:pt idx="168">
                  <c:v>0</c:v>
                </c:pt>
                <c:pt idx="169">
                  <c:v>-230</c:v>
                </c:pt>
                <c:pt idx="170">
                  <c:v>-253</c:v>
                </c:pt>
                <c:pt idx="171">
                  <c:v>0</c:v>
                </c:pt>
                <c:pt idx="172">
                  <c:v>-1588</c:v>
                </c:pt>
                <c:pt idx="173">
                  <c:v>-823</c:v>
                </c:pt>
                <c:pt idx="174">
                  <c:v>2268</c:v>
                </c:pt>
                <c:pt idx="175">
                  <c:v>2637</c:v>
                </c:pt>
                <c:pt idx="176">
                  <c:v>2532</c:v>
                </c:pt>
                <c:pt idx="177">
                  <c:v>2797</c:v>
                </c:pt>
                <c:pt idx="178">
                  <c:v>3706</c:v>
                </c:pt>
                <c:pt idx="179">
                  <c:v>4890</c:v>
                </c:pt>
                <c:pt idx="180">
                  <c:v>5679</c:v>
                </c:pt>
                <c:pt idx="181">
                  <c:v>5403</c:v>
                </c:pt>
                <c:pt idx="182">
                  <c:v>6926</c:v>
                </c:pt>
                <c:pt idx="183">
                  <c:v>5403</c:v>
                </c:pt>
                <c:pt idx="184">
                  <c:v>4649</c:v>
                </c:pt>
                <c:pt idx="185">
                  <c:v>4889</c:v>
                </c:pt>
                <c:pt idx="186">
                  <c:v>4808</c:v>
                </c:pt>
                <c:pt idx="187">
                  <c:v>5581</c:v>
                </c:pt>
                <c:pt idx="188">
                  <c:v>6106</c:v>
                </c:pt>
                <c:pt idx="189">
                  <c:v>5514</c:v>
                </c:pt>
                <c:pt idx="190">
                  <c:v>5620</c:v>
                </c:pt>
                <c:pt idx="191">
                  <c:v>5198</c:v>
                </c:pt>
                <c:pt idx="192">
                  <c:v>3425</c:v>
                </c:pt>
                <c:pt idx="193">
                  <c:v>2491</c:v>
                </c:pt>
                <c:pt idx="194">
                  <c:v>2999</c:v>
                </c:pt>
                <c:pt idx="195">
                  <c:v>202</c:v>
                </c:pt>
                <c:pt idx="196">
                  <c:v>417</c:v>
                </c:pt>
                <c:pt idx="197">
                  <c:v>1260</c:v>
                </c:pt>
                <c:pt idx="198">
                  <c:v>127</c:v>
                </c:pt>
                <c:pt idx="199">
                  <c:v>-1358</c:v>
                </c:pt>
                <c:pt idx="200">
                  <c:v>-2190</c:v>
                </c:pt>
                <c:pt idx="201">
                  <c:v>-1919</c:v>
                </c:pt>
                <c:pt idx="202">
                  <c:v>-313</c:v>
                </c:pt>
                <c:pt idx="203">
                  <c:v>0</c:v>
                </c:pt>
                <c:pt idx="204">
                  <c:v>223</c:v>
                </c:pt>
                <c:pt idx="205">
                  <c:v>3593</c:v>
                </c:pt>
                <c:pt idx="206">
                  <c:v>764</c:v>
                </c:pt>
                <c:pt idx="207">
                  <c:v>-200</c:v>
                </c:pt>
                <c:pt idx="208">
                  <c:v>-322</c:v>
                </c:pt>
                <c:pt idx="209">
                  <c:v>-322</c:v>
                </c:pt>
                <c:pt idx="210">
                  <c:v>284</c:v>
                </c:pt>
                <c:pt idx="211">
                  <c:v>1496</c:v>
                </c:pt>
                <c:pt idx="212">
                  <c:v>284</c:v>
                </c:pt>
                <c:pt idx="213">
                  <c:v>64</c:v>
                </c:pt>
                <c:pt idx="214">
                  <c:v>-740</c:v>
                </c:pt>
                <c:pt idx="215">
                  <c:v>924</c:v>
                </c:pt>
                <c:pt idx="216">
                  <c:v>6004</c:v>
                </c:pt>
                <c:pt idx="217">
                  <c:v>1930</c:v>
                </c:pt>
                <c:pt idx="218">
                  <c:v>997</c:v>
                </c:pt>
                <c:pt idx="219">
                  <c:v>211</c:v>
                </c:pt>
                <c:pt idx="220">
                  <c:v>171</c:v>
                </c:pt>
                <c:pt idx="221">
                  <c:v>171</c:v>
                </c:pt>
                <c:pt idx="222">
                  <c:v>-20</c:v>
                </c:pt>
                <c:pt idx="223">
                  <c:v>-3796</c:v>
                </c:pt>
                <c:pt idx="224">
                  <c:v>-3806</c:v>
                </c:pt>
                <c:pt idx="225">
                  <c:v>-4293</c:v>
                </c:pt>
                <c:pt idx="226">
                  <c:v>-5296</c:v>
                </c:pt>
                <c:pt idx="227">
                  <c:v>-5872</c:v>
                </c:pt>
                <c:pt idx="228">
                  <c:v>-5608</c:v>
                </c:pt>
                <c:pt idx="229">
                  <c:v>-2134</c:v>
                </c:pt>
                <c:pt idx="230">
                  <c:v>351</c:v>
                </c:pt>
                <c:pt idx="231">
                  <c:v>1198</c:v>
                </c:pt>
                <c:pt idx="232">
                  <c:v>1569</c:v>
                </c:pt>
                <c:pt idx="233">
                  <c:v>895</c:v>
                </c:pt>
                <c:pt idx="234">
                  <c:v>254</c:v>
                </c:pt>
                <c:pt idx="235">
                  <c:v>-745</c:v>
                </c:pt>
                <c:pt idx="236">
                  <c:v>-488</c:v>
                </c:pt>
                <c:pt idx="237">
                  <c:v>-489</c:v>
                </c:pt>
                <c:pt idx="238">
                  <c:v>-703</c:v>
                </c:pt>
                <c:pt idx="239">
                  <c:v>-57</c:v>
                </c:pt>
                <c:pt idx="240">
                  <c:v>-490</c:v>
                </c:pt>
                <c:pt idx="241">
                  <c:v>-662</c:v>
                </c:pt>
                <c:pt idx="242">
                  <c:v>-5078</c:v>
                </c:pt>
                <c:pt idx="243">
                  <c:v>-6631</c:v>
                </c:pt>
                <c:pt idx="244">
                  <c:v>-6048</c:v>
                </c:pt>
                <c:pt idx="245">
                  <c:v>-7466</c:v>
                </c:pt>
                <c:pt idx="246">
                  <c:v>-6826</c:v>
                </c:pt>
                <c:pt idx="247">
                  <c:v>-7144</c:v>
                </c:pt>
                <c:pt idx="248">
                  <c:v>-8099</c:v>
                </c:pt>
                <c:pt idx="249">
                  <c:v>-8703</c:v>
                </c:pt>
                <c:pt idx="250">
                  <c:v>-8461</c:v>
                </c:pt>
                <c:pt idx="251">
                  <c:v>-7270</c:v>
                </c:pt>
                <c:pt idx="252">
                  <c:v>-5599</c:v>
                </c:pt>
                <c:pt idx="253">
                  <c:v>-6017</c:v>
                </c:pt>
                <c:pt idx="254">
                  <c:v>-5457</c:v>
                </c:pt>
                <c:pt idx="255">
                  <c:v>-4392</c:v>
                </c:pt>
                <c:pt idx="256">
                  <c:v>-5734</c:v>
                </c:pt>
                <c:pt idx="257">
                  <c:v>-6658</c:v>
                </c:pt>
                <c:pt idx="258">
                  <c:v>-8604</c:v>
                </c:pt>
                <c:pt idx="259">
                  <c:v>-8868</c:v>
                </c:pt>
                <c:pt idx="260">
                  <c:v>-8828</c:v>
                </c:pt>
                <c:pt idx="261">
                  <c:v>-7774</c:v>
                </c:pt>
                <c:pt idx="262">
                  <c:v>-5369</c:v>
                </c:pt>
                <c:pt idx="263">
                  <c:v>-6200</c:v>
                </c:pt>
                <c:pt idx="264">
                  <c:v>-9175</c:v>
                </c:pt>
                <c:pt idx="265">
                  <c:v>-8508</c:v>
                </c:pt>
                <c:pt idx="266">
                  <c:v>-8162</c:v>
                </c:pt>
                <c:pt idx="267">
                  <c:v>-7924</c:v>
                </c:pt>
                <c:pt idx="268">
                  <c:v>-7752</c:v>
                </c:pt>
                <c:pt idx="269">
                  <c:v>-7837</c:v>
                </c:pt>
                <c:pt idx="270">
                  <c:v>-8075</c:v>
                </c:pt>
                <c:pt idx="271">
                  <c:v>-8604</c:v>
                </c:pt>
                <c:pt idx="272">
                  <c:v>-7966</c:v>
                </c:pt>
                <c:pt idx="273">
                  <c:v>-7956</c:v>
                </c:pt>
                <c:pt idx="274">
                  <c:v>-8833</c:v>
                </c:pt>
                <c:pt idx="275">
                  <c:v>-8868</c:v>
                </c:pt>
                <c:pt idx="276">
                  <c:v>-6204</c:v>
                </c:pt>
                <c:pt idx="277">
                  <c:v>-3862</c:v>
                </c:pt>
                <c:pt idx="278">
                  <c:v>-1017</c:v>
                </c:pt>
                <c:pt idx="279">
                  <c:v>-1795</c:v>
                </c:pt>
                <c:pt idx="280">
                  <c:v>-2179</c:v>
                </c:pt>
                <c:pt idx="281">
                  <c:v>-1884</c:v>
                </c:pt>
                <c:pt idx="282">
                  <c:v>-1173</c:v>
                </c:pt>
                <c:pt idx="283">
                  <c:v>-3270</c:v>
                </c:pt>
                <c:pt idx="284">
                  <c:v>-3482</c:v>
                </c:pt>
                <c:pt idx="285">
                  <c:v>-3270</c:v>
                </c:pt>
                <c:pt idx="286">
                  <c:v>-2764</c:v>
                </c:pt>
                <c:pt idx="287">
                  <c:v>-3332</c:v>
                </c:pt>
                <c:pt idx="288">
                  <c:v>-6050</c:v>
                </c:pt>
                <c:pt idx="289">
                  <c:v>-6814</c:v>
                </c:pt>
                <c:pt idx="290">
                  <c:v>-7053</c:v>
                </c:pt>
                <c:pt idx="291">
                  <c:v>-7405</c:v>
                </c:pt>
                <c:pt idx="292">
                  <c:v>-7771</c:v>
                </c:pt>
                <c:pt idx="293">
                  <c:v>-8906</c:v>
                </c:pt>
                <c:pt idx="294">
                  <c:v>-8319</c:v>
                </c:pt>
                <c:pt idx="295">
                  <c:v>-8628</c:v>
                </c:pt>
                <c:pt idx="296">
                  <c:v>-7939</c:v>
                </c:pt>
                <c:pt idx="297">
                  <c:v>-9109</c:v>
                </c:pt>
                <c:pt idx="298">
                  <c:v>-5707</c:v>
                </c:pt>
                <c:pt idx="299">
                  <c:v>-4680</c:v>
                </c:pt>
                <c:pt idx="300">
                  <c:v>-3920</c:v>
                </c:pt>
                <c:pt idx="301">
                  <c:v>-3381</c:v>
                </c:pt>
                <c:pt idx="302">
                  <c:v>-1946</c:v>
                </c:pt>
                <c:pt idx="303">
                  <c:v>-2408</c:v>
                </c:pt>
                <c:pt idx="304">
                  <c:v>-2384</c:v>
                </c:pt>
                <c:pt idx="305">
                  <c:v>-2830</c:v>
                </c:pt>
                <c:pt idx="306">
                  <c:v>-2995</c:v>
                </c:pt>
                <c:pt idx="307">
                  <c:v>-6413</c:v>
                </c:pt>
                <c:pt idx="308">
                  <c:v>-8624</c:v>
                </c:pt>
                <c:pt idx="309">
                  <c:v>-8168</c:v>
                </c:pt>
                <c:pt idx="310">
                  <c:v>-7236</c:v>
                </c:pt>
                <c:pt idx="311">
                  <c:v>-6232</c:v>
                </c:pt>
                <c:pt idx="312">
                  <c:v>-4034</c:v>
                </c:pt>
                <c:pt idx="313">
                  <c:v>-3827</c:v>
                </c:pt>
                <c:pt idx="314">
                  <c:v>-842</c:v>
                </c:pt>
                <c:pt idx="315">
                  <c:v>2671</c:v>
                </c:pt>
                <c:pt idx="316">
                  <c:v>2671</c:v>
                </c:pt>
                <c:pt idx="317">
                  <c:v>2402</c:v>
                </c:pt>
                <c:pt idx="318">
                  <c:v>3214</c:v>
                </c:pt>
                <c:pt idx="319">
                  <c:v>3812</c:v>
                </c:pt>
                <c:pt idx="320">
                  <c:v>4377</c:v>
                </c:pt>
                <c:pt idx="321">
                  <c:v>3805</c:v>
                </c:pt>
                <c:pt idx="322">
                  <c:v>2846</c:v>
                </c:pt>
                <c:pt idx="323">
                  <c:v>257</c:v>
                </c:pt>
                <c:pt idx="324">
                  <c:v>758</c:v>
                </c:pt>
                <c:pt idx="325">
                  <c:v>-779</c:v>
                </c:pt>
                <c:pt idx="326">
                  <c:v>-591</c:v>
                </c:pt>
                <c:pt idx="327">
                  <c:v>900</c:v>
                </c:pt>
                <c:pt idx="328">
                  <c:v>900</c:v>
                </c:pt>
                <c:pt idx="329">
                  <c:v>900</c:v>
                </c:pt>
                <c:pt idx="330">
                  <c:v>419</c:v>
                </c:pt>
                <c:pt idx="331">
                  <c:v>8032</c:v>
                </c:pt>
                <c:pt idx="332">
                  <c:v>7102</c:v>
                </c:pt>
                <c:pt idx="333">
                  <c:v>5741</c:v>
                </c:pt>
                <c:pt idx="334">
                  <c:v>-128</c:v>
                </c:pt>
                <c:pt idx="335">
                  <c:v>898</c:v>
                </c:pt>
                <c:pt idx="336">
                  <c:v>1698</c:v>
                </c:pt>
                <c:pt idx="337">
                  <c:v>2622</c:v>
                </c:pt>
                <c:pt idx="338">
                  <c:v>1118</c:v>
                </c:pt>
                <c:pt idx="339">
                  <c:v>2565</c:v>
                </c:pt>
                <c:pt idx="340">
                  <c:v>1198</c:v>
                </c:pt>
                <c:pt idx="341">
                  <c:v>7666</c:v>
                </c:pt>
                <c:pt idx="342">
                  <c:v>15853</c:v>
                </c:pt>
                <c:pt idx="343">
                  <c:v>18553</c:v>
                </c:pt>
                <c:pt idx="344">
                  <c:v>20329</c:v>
                </c:pt>
                <c:pt idx="345">
                  <c:v>19619</c:v>
                </c:pt>
                <c:pt idx="346">
                  <c:v>14325</c:v>
                </c:pt>
                <c:pt idx="347">
                  <c:v>9210</c:v>
                </c:pt>
                <c:pt idx="348">
                  <c:v>5673</c:v>
                </c:pt>
                <c:pt idx="349">
                  <c:v>7062</c:v>
                </c:pt>
                <c:pt idx="350">
                  <c:v>7244</c:v>
                </c:pt>
                <c:pt idx="351">
                  <c:v>7330</c:v>
                </c:pt>
                <c:pt idx="352">
                  <c:v>9659</c:v>
                </c:pt>
                <c:pt idx="353">
                  <c:v>11422</c:v>
                </c:pt>
                <c:pt idx="354">
                  <c:v>1474</c:v>
                </c:pt>
                <c:pt idx="355">
                  <c:v>-214</c:v>
                </c:pt>
                <c:pt idx="356">
                  <c:v>140</c:v>
                </c:pt>
                <c:pt idx="357">
                  <c:v>-556</c:v>
                </c:pt>
                <c:pt idx="358">
                  <c:v>-698</c:v>
                </c:pt>
                <c:pt idx="359">
                  <c:v>-9578</c:v>
                </c:pt>
                <c:pt idx="360">
                  <c:v>-10202</c:v>
                </c:pt>
                <c:pt idx="361">
                  <c:v>-8999</c:v>
                </c:pt>
                <c:pt idx="362">
                  <c:v>-3909</c:v>
                </c:pt>
                <c:pt idx="363">
                  <c:v>-3727</c:v>
                </c:pt>
                <c:pt idx="364">
                  <c:v>-980</c:v>
                </c:pt>
                <c:pt idx="365">
                  <c:v>1595</c:v>
                </c:pt>
                <c:pt idx="366">
                  <c:v>2067</c:v>
                </c:pt>
                <c:pt idx="367">
                  <c:v>-994</c:v>
                </c:pt>
                <c:pt idx="368">
                  <c:v>1677</c:v>
                </c:pt>
                <c:pt idx="369">
                  <c:v>-1747</c:v>
                </c:pt>
                <c:pt idx="370">
                  <c:v>-2886</c:v>
                </c:pt>
                <c:pt idx="371">
                  <c:v>-2011</c:v>
                </c:pt>
                <c:pt idx="372">
                  <c:v>-2920</c:v>
                </c:pt>
                <c:pt idx="373">
                  <c:v>-4723</c:v>
                </c:pt>
                <c:pt idx="374">
                  <c:v>-7275</c:v>
                </c:pt>
                <c:pt idx="375">
                  <c:v>-7381</c:v>
                </c:pt>
                <c:pt idx="376">
                  <c:v>-5165</c:v>
                </c:pt>
                <c:pt idx="377">
                  <c:v>-4713</c:v>
                </c:pt>
                <c:pt idx="378">
                  <c:v>6279</c:v>
                </c:pt>
                <c:pt idx="379">
                  <c:v>9140</c:v>
                </c:pt>
                <c:pt idx="380">
                  <c:v>17309</c:v>
                </c:pt>
                <c:pt idx="381">
                  <c:v>15399</c:v>
                </c:pt>
                <c:pt idx="382">
                  <c:v>-3012</c:v>
                </c:pt>
                <c:pt idx="383">
                  <c:v>-3098</c:v>
                </c:pt>
                <c:pt idx="384">
                  <c:v>-4947</c:v>
                </c:pt>
                <c:pt idx="385">
                  <c:v>-5025</c:v>
                </c:pt>
                <c:pt idx="386">
                  <c:v>-7213</c:v>
                </c:pt>
                <c:pt idx="387">
                  <c:v>-7703</c:v>
                </c:pt>
                <c:pt idx="388">
                  <c:v>-8421</c:v>
                </c:pt>
                <c:pt idx="389">
                  <c:v>-8307</c:v>
                </c:pt>
                <c:pt idx="390">
                  <c:v>-7848</c:v>
                </c:pt>
                <c:pt idx="391">
                  <c:v>-7568</c:v>
                </c:pt>
                <c:pt idx="392">
                  <c:v>-8015</c:v>
                </c:pt>
                <c:pt idx="393">
                  <c:v>-8965</c:v>
                </c:pt>
                <c:pt idx="394">
                  <c:v>-8292</c:v>
                </c:pt>
                <c:pt idx="395">
                  <c:v>-9583</c:v>
                </c:pt>
                <c:pt idx="396">
                  <c:v>-8048</c:v>
                </c:pt>
                <c:pt idx="397">
                  <c:v>-5768</c:v>
                </c:pt>
                <c:pt idx="398">
                  <c:v>-5283</c:v>
                </c:pt>
                <c:pt idx="399">
                  <c:v>-4782</c:v>
                </c:pt>
                <c:pt idx="400">
                  <c:v>-5438</c:v>
                </c:pt>
                <c:pt idx="401">
                  <c:v>-3879</c:v>
                </c:pt>
                <c:pt idx="412">
                  <c:v>-2507</c:v>
                </c:pt>
                <c:pt idx="413">
                  <c:v>-2722</c:v>
                </c:pt>
                <c:pt idx="414">
                  <c:v>-3554</c:v>
                </c:pt>
                <c:pt idx="416">
                  <c:v>-3422</c:v>
                </c:pt>
                <c:pt idx="417">
                  <c:v>-3613</c:v>
                </c:pt>
                <c:pt idx="418">
                  <c:v>-3490</c:v>
                </c:pt>
                <c:pt idx="419">
                  <c:v>-3201</c:v>
                </c:pt>
                <c:pt idx="420">
                  <c:v>-1728</c:v>
                </c:pt>
                <c:pt idx="421">
                  <c:v>-2146</c:v>
                </c:pt>
                <c:pt idx="422">
                  <c:v>-2616</c:v>
                </c:pt>
                <c:pt idx="423">
                  <c:v>-1741</c:v>
                </c:pt>
                <c:pt idx="424">
                  <c:v>-2270</c:v>
                </c:pt>
                <c:pt idx="425">
                  <c:v>-773</c:v>
                </c:pt>
                <c:pt idx="426">
                  <c:v>660</c:v>
                </c:pt>
                <c:pt idx="427">
                  <c:v>670</c:v>
                </c:pt>
                <c:pt idx="430">
                  <c:v>3046</c:v>
                </c:pt>
                <c:pt idx="431">
                  <c:v>3332</c:v>
                </c:pt>
                <c:pt idx="432">
                  <c:v>3259</c:v>
                </c:pt>
                <c:pt idx="433">
                  <c:v>2837</c:v>
                </c:pt>
                <c:pt idx="434">
                  <c:v>1874</c:v>
                </c:pt>
                <c:pt idx="435">
                  <c:v>1831</c:v>
                </c:pt>
                <c:pt idx="436">
                  <c:v>312</c:v>
                </c:pt>
                <c:pt idx="437">
                  <c:v>-1215</c:v>
                </c:pt>
                <c:pt idx="438">
                  <c:v>-1401</c:v>
                </c:pt>
                <c:pt idx="439">
                  <c:v>-1537</c:v>
                </c:pt>
                <c:pt idx="440">
                  <c:v>-1488</c:v>
                </c:pt>
                <c:pt idx="441">
                  <c:v>-3168</c:v>
                </c:pt>
                <c:pt idx="442">
                  <c:v>-2628</c:v>
                </c:pt>
                <c:pt idx="443">
                  <c:v>-3132</c:v>
                </c:pt>
                <c:pt idx="444">
                  <c:v>-3645</c:v>
                </c:pt>
                <c:pt idx="445">
                  <c:v>-3069</c:v>
                </c:pt>
                <c:pt idx="446">
                  <c:v>-1223</c:v>
                </c:pt>
                <c:pt idx="447">
                  <c:v>-785</c:v>
                </c:pt>
                <c:pt idx="448">
                  <c:v>-744</c:v>
                </c:pt>
                <c:pt idx="449">
                  <c:v>-1359</c:v>
                </c:pt>
                <c:pt idx="450">
                  <c:v>1508</c:v>
                </c:pt>
                <c:pt idx="451">
                  <c:v>616</c:v>
                </c:pt>
                <c:pt idx="452">
                  <c:v>843</c:v>
                </c:pt>
                <c:pt idx="453">
                  <c:v>79</c:v>
                </c:pt>
                <c:pt idx="456">
                  <c:v>-711</c:v>
                </c:pt>
                <c:pt idx="457">
                  <c:v>-525</c:v>
                </c:pt>
                <c:pt idx="458">
                  <c:v>-1853</c:v>
                </c:pt>
                <c:pt idx="459">
                  <c:v>-1158</c:v>
                </c:pt>
                <c:pt idx="460">
                  <c:v>-767</c:v>
                </c:pt>
                <c:pt idx="461">
                  <c:v>-590</c:v>
                </c:pt>
                <c:pt idx="462">
                  <c:v>-118</c:v>
                </c:pt>
                <c:pt idx="463">
                  <c:v>4724</c:v>
                </c:pt>
                <c:pt idx="464">
                  <c:v>3986</c:v>
                </c:pt>
                <c:pt idx="465">
                  <c:v>3933</c:v>
                </c:pt>
                <c:pt idx="466">
                  <c:v>3703</c:v>
                </c:pt>
                <c:pt idx="467">
                  <c:v>-1830</c:v>
                </c:pt>
                <c:pt idx="468">
                  <c:v>-1816</c:v>
                </c:pt>
                <c:pt idx="469">
                  <c:v>-1205</c:v>
                </c:pt>
                <c:pt idx="470">
                  <c:v>-2512</c:v>
                </c:pt>
                <c:pt idx="471">
                  <c:v>-942</c:v>
                </c:pt>
                <c:pt idx="472">
                  <c:v>-647</c:v>
                </c:pt>
                <c:pt idx="473">
                  <c:v>540</c:v>
                </c:pt>
                <c:pt idx="474">
                  <c:v>996</c:v>
                </c:pt>
                <c:pt idx="475">
                  <c:v>12</c:v>
                </c:pt>
                <c:pt idx="476">
                  <c:v>3301</c:v>
                </c:pt>
                <c:pt idx="477">
                  <c:v>3209</c:v>
                </c:pt>
                <c:pt idx="478">
                  <c:v>2136</c:v>
                </c:pt>
                <c:pt idx="479">
                  <c:v>-78</c:v>
                </c:pt>
                <c:pt idx="486">
                  <c:v>977</c:v>
                </c:pt>
                <c:pt idx="487">
                  <c:v>386</c:v>
                </c:pt>
                <c:pt idx="488">
                  <c:v>-2837</c:v>
                </c:pt>
                <c:pt idx="490">
                  <c:v>85</c:v>
                </c:pt>
                <c:pt idx="492">
                  <c:v>5426</c:v>
                </c:pt>
                <c:pt idx="493">
                  <c:v>6875</c:v>
                </c:pt>
                <c:pt idx="494">
                  <c:v>12260</c:v>
                </c:pt>
                <c:pt idx="495">
                  <c:v>14303</c:v>
                </c:pt>
                <c:pt idx="496">
                  <c:v>24037</c:v>
                </c:pt>
                <c:pt idx="497">
                  <c:v>17167</c:v>
                </c:pt>
                <c:pt idx="498">
                  <c:v>19351</c:v>
                </c:pt>
                <c:pt idx="499">
                  <c:v>16621</c:v>
                </c:pt>
                <c:pt idx="500">
                  <c:v>15329</c:v>
                </c:pt>
                <c:pt idx="501">
                  <c:v>11337</c:v>
                </c:pt>
                <c:pt idx="502">
                  <c:v>8071</c:v>
                </c:pt>
                <c:pt idx="503">
                  <c:v>11822</c:v>
                </c:pt>
                <c:pt idx="504">
                  <c:v>14029</c:v>
                </c:pt>
                <c:pt idx="505">
                  <c:v>11349</c:v>
                </c:pt>
                <c:pt idx="506">
                  <c:v>8436</c:v>
                </c:pt>
                <c:pt idx="507">
                  <c:v>6562</c:v>
                </c:pt>
                <c:pt idx="508">
                  <c:v>6222</c:v>
                </c:pt>
                <c:pt idx="509">
                  <c:v>6337</c:v>
                </c:pt>
                <c:pt idx="510">
                  <c:v>4379</c:v>
                </c:pt>
                <c:pt idx="511">
                  <c:v>749</c:v>
                </c:pt>
                <c:pt idx="513">
                  <c:v>1111</c:v>
                </c:pt>
                <c:pt idx="514">
                  <c:v>1191</c:v>
                </c:pt>
                <c:pt idx="515">
                  <c:v>553</c:v>
                </c:pt>
                <c:pt idx="516">
                  <c:v>-90</c:v>
                </c:pt>
                <c:pt idx="517">
                  <c:v>167</c:v>
                </c:pt>
                <c:pt idx="518">
                  <c:v>524</c:v>
                </c:pt>
                <c:pt idx="521">
                  <c:v>2342</c:v>
                </c:pt>
                <c:pt idx="522">
                  <c:v>5845</c:v>
                </c:pt>
                <c:pt idx="523">
                  <c:v>5242</c:v>
                </c:pt>
                <c:pt idx="524">
                  <c:v>9971</c:v>
                </c:pt>
                <c:pt idx="525">
                  <c:v>12614</c:v>
                </c:pt>
                <c:pt idx="526">
                  <c:v>17716</c:v>
                </c:pt>
                <c:pt idx="527">
                  <c:v>17738</c:v>
                </c:pt>
                <c:pt idx="528">
                  <c:v>17300</c:v>
                </c:pt>
                <c:pt idx="529">
                  <c:v>15411</c:v>
                </c:pt>
                <c:pt idx="530">
                  <c:v>13508</c:v>
                </c:pt>
                <c:pt idx="531">
                  <c:v>11373</c:v>
                </c:pt>
                <c:pt idx="532">
                  <c:v>14511</c:v>
                </c:pt>
                <c:pt idx="533">
                  <c:v>12508</c:v>
                </c:pt>
                <c:pt idx="534">
                  <c:v>10920</c:v>
                </c:pt>
                <c:pt idx="535">
                  <c:v>19339</c:v>
                </c:pt>
                <c:pt idx="536">
                  <c:v>19983</c:v>
                </c:pt>
                <c:pt idx="537">
                  <c:v>19357</c:v>
                </c:pt>
                <c:pt idx="538">
                  <c:v>19938</c:v>
                </c:pt>
                <c:pt idx="539">
                  <c:v>22850</c:v>
                </c:pt>
                <c:pt idx="540">
                  <c:v>19635</c:v>
                </c:pt>
                <c:pt idx="541">
                  <c:v>18083</c:v>
                </c:pt>
                <c:pt idx="542">
                  <c:v>18030</c:v>
                </c:pt>
                <c:pt idx="543">
                  <c:v>18155</c:v>
                </c:pt>
                <c:pt idx="544">
                  <c:v>17998</c:v>
                </c:pt>
                <c:pt idx="545">
                  <c:v>9869</c:v>
                </c:pt>
                <c:pt idx="546">
                  <c:v>6153</c:v>
                </c:pt>
                <c:pt idx="547">
                  <c:v>6016</c:v>
                </c:pt>
                <c:pt idx="548">
                  <c:v>6806</c:v>
                </c:pt>
                <c:pt idx="549">
                  <c:v>10954</c:v>
                </c:pt>
                <c:pt idx="550">
                  <c:v>13782</c:v>
                </c:pt>
                <c:pt idx="551">
                  <c:v>14806</c:v>
                </c:pt>
                <c:pt idx="552">
                  <c:v>14558</c:v>
                </c:pt>
                <c:pt idx="553">
                  <c:v>14660</c:v>
                </c:pt>
                <c:pt idx="554">
                  <c:v>12942</c:v>
                </c:pt>
                <c:pt idx="555">
                  <c:v>11456</c:v>
                </c:pt>
                <c:pt idx="556">
                  <c:v>13719</c:v>
                </c:pt>
                <c:pt idx="557">
                  <c:v>12907</c:v>
                </c:pt>
                <c:pt idx="558">
                  <c:v>10956</c:v>
                </c:pt>
                <c:pt idx="559">
                  <c:v>12800</c:v>
                </c:pt>
                <c:pt idx="560">
                  <c:v>15224</c:v>
                </c:pt>
                <c:pt idx="561">
                  <c:v>14175</c:v>
                </c:pt>
                <c:pt idx="562">
                  <c:v>12233</c:v>
                </c:pt>
                <c:pt idx="563">
                  <c:v>11621</c:v>
                </c:pt>
                <c:pt idx="564">
                  <c:v>12207</c:v>
                </c:pt>
                <c:pt idx="565">
                  <c:v>11385</c:v>
                </c:pt>
                <c:pt idx="566">
                  <c:v>10578</c:v>
                </c:pt>
                <c:pt idx="567">
                  <c:v>10320</c:v>
                </c:pt>
                <c:pt idx="568">
                  <c:v>6499</c:v>
                </c:pt>
                <c:pt idx="569">
                  <c:v>4703</c:v>
                </c:pt>
                <c:pt idx="570">
                  <c:v>3434</c:v>
                </c:pt>
                <c:pt idx="571">
                  <c:v>9897</c:v>
                </c:pt>
                <c:pt idx="572">
                  <c:v>9845</c:v>
                </c:pt>
                <c:pt idx="573">
                  <c:v>11419</c:v>
                </c:pt>
                <c:pt idx="574">
                  <c:v>16743</c:v>
                </c:pt>
                <c:pt idx="575">
                  <c:v>18122</c:v>
                </c:pt>
                <c:pt idx="576">
                  <c:v>20390</c:v>
                </c:pt>
                <c:pt idx="577">
                  <c:v>22156</c:v>
                </c:pt>
                <c:pt idx="578">
                  <c:v>25320</c:v>
                </c:pt>
                <c:pt idx="579">
                  <c:v>24735</c:v>
                </c:pt>
                <c:pt idx="580">
                  <c:v>26190</c:v>
                </c:pt>
                <c:pt idx="581">
                  <c:v>25234</c:v>
                </c:pt>
                <c:pt idx="582">
                  <c:v>26431</c:v>
                </c:pt>
                <c:pt idx="583">
                  <c:v>25647</c:v>
                </c:pt>
                <c:pt idx="584">
                  <c:v>25179</c:v>
                </c:pt>
                <c:pt idx="585">
                  <c:v>27325</c:v>
                </c:pt>
                <c:pt idx="586">
                  <c:v>26121</c:v>
                </c:pt>
                <c:pt idx="587">
                  <c:v>24507</c:v>
                </c:pt>
                <c:pt idx="588">
                  <c:v>25356</c:v>
                </c:pt>
                <c:pt idx="589">
                  <c:v>25571</c:v>
                </c:pt>
                <c:pt idx="590">
                  <c:v>25370</c:v>
                </c:pt>
                <c:pt idx="591">
                  <c:v>20278</c:v>
                </c:pt>
                <c:pt idx="592">
                  <c:v>21913</c:v>
                </c:pt>
                <c:pt idx="593">
                  <c:v>29095</c:v>
                </c:pt>
                <c:pt idx="594">
                  <c:v>21347</c:v>
                </c:pt>
                <c:pt idx="595">
                  <c:v>16422</c:v>
                </c:pt>
                <c:pt idx="596">
                  <c:v>10485</c:v>
                </c:pt>
                <c:pt idx="597">
                  <c:v>3836</c:v>
                </c:pt>
                <c:pt idx="598">
                  <c:v>2966</c:v>
                </c:pt>
                <c:pt idx="599">
                  <c:v>4172</c:v>
                </c:pt>
                <c:pt idx="600">
                  <c:v>10367</c:v>
                </c:pt>
                <c:pt idx="601">
                  <c:v>11426</c:v>
                </c:pt>
                <c:pt idx="602">
                  <c:v>3246</c:v>
                </c:pt>
                <c:pt idx="603">
                  <c:v>3133</c:v>
                </c:pt>
                <c:pt idx="604">
                  <c:v>2186</c:v>
                </c:pt>
                <c:pt idx="605">
                  <c:v>-2842</c:v>
                </c:pt>
                <c:pt idx="606">
                  <c:v>-1775</c:v>
                </c:pt>
                <c:pt idx="607">
                  <c:v>-4280</c:v>
                </c:pt>
                <c:pt idx="608">
                  <c:v>-5063</c:v>
                </c:pt>
                <c:pt idx="609">
                  <c:v>-4069</c:v>
                </c:pt>
                <c:pt idx="610">
                  <c:v>-910</c:v>
                </c:pt>
                <c:pt idx="611">
                  <c:v>-1132</c:v>
                </c:pt>
                <c:pt idx="612">
                  <c:v>1704</c:v>
                </c:pt>
                <c:pt idx="613">
                  <c:v>2190</c:v>
                </c:pt>
                <c:pt idx="614">
                  <c:v>7669</c:v>
                </c:pt>
                <c:pt idx="615">
                  <c:v>10106</c:v>
                </c:pt>
                <c:pt idx="616">
                  <c:v>2649</c:v>
                </c:pt>
                <c:pt idx="617">
                  <c:v>6460</c:v>
                </c:pt>
                <c:pt idx="618">
                  <c:v>7113</c:v>
                </c:pt>
                <c:pt idx="619">
                  <c:v>8179</c:v>
                </c:pt>
                <c:pt idx="620">
                  <c:v>7279</c:v>
                </c:pt>
                <c:pt idx="621">
                  <c:v>4738</c:v>
                </c:pt>
                <c:pt idx="622">
                  <c:v>-663</c:v>
                </c:pt>
                <c:pt idx="624">
                  <c:v>813</c:v>
                </c:pt>
                <c:pt idx="625">
                  <c:v>7085</c:v>
                </c:pt>
                <c:pt idx="626">
                  <c:v>16900</c:v>
                </c:pt>
                <c:pt idx="627">
                  <c:v>24203</c:v>
                </c:pt>
                <c:pt idx="628">
                  <c:v>22509</c:v>
                </c:pt>
                <c:pt idx="629">
                  <c:v>28530</c:v>
                </c:pt>
                <c:pt idx="630">
                  <c:v>28990</c:v>
                </c:pt>
                <c:pt idx="631">
                  <c:v>32390</c:v>
                </c:pt>
                <c:pt idx="632">
                  <c:v>34603</c:v>
                </c:pt>
                <c:pt idx="633">
                  <c:v>30629</c:v>
                </c:pt>
                <c:pt idx="634">
                  <c:v>30974</c:v>
                </c:pt>
                <c:pt idx="635">
                  <c:v>34243</c:v>
                </c:pt>
                <c:pt idx="636">
                  <c:v>29561</c:v>
                </c:pt>
                <c:pt idx="637">
                  <c:v>29004</c:v>
                </c:pt>
                <c:pt idx="638">
                  <c:v>30257</c:v>
                </c:pt>
                <c:pt idx="639">
                  <c:v>30613</c:v>
                </c:pt>
                <c:pt idx="640">
                  <c:v>25977</c:v>
                </c:pt>
                <c:pt idx="641">
                  <c:v>27215</c:v>
                </c:pt>
                <c:pt idx="642">
                  <c:v>30903</c:v>
                </c:pt>
                <c:pt idx="643">
                  <c:v>35784</c:v>
                </c:pt>
                <c:pt idx="644">
                  <c:v>27599</c:v>
                </c:pt>
                <c:pt idx="645">
                  <c:v>36699</c:v>
                </c:pt>
                <c:pt idx="646">
                  <c:v>45970</c:v>
                </c:pt>
                <c:pt idx="647">
                  <c:v>55379</c:v>
                </c:pt>
                <c:pt idx="648">
                  <c:v>51953</c:v>
                </c:pt>
                <c:pt idx="649">
                  <c:v>54141</c:v>
                </c:pt>
                <c:pt idx="650">
                  <c:v>54991</c:v>
                </c:pt>
                <c:pt idx="651">
                  <c:v>26624</c:v>
                </c:pt>
                <c:pt idx="652">
                  <c:v>21086</c:v>
                </c:pt>
                <c:pt idx="653">
                  <c:v>25423</c:v>
                </c:pt>
                <c:pt idx="654">
                  <c:v>18323</c:v>
                </c:pt>
                <c:pt idx="655">
                  <c:v>27294</c:v>
                </c:pt>
                <c:pt idx="656">
                  <c:v>29365</c:v>
                </c:pt>
                <c:pt idx="657">
                  <c:v>30826</c:v>
                </c:pt>
                <c:pt idx="658">
                  <c:v>15235</c:v>
                </c:pt>
                <c:pt idx="659">
                  <c:v>13307</c:v>
                </c:pt>
                <c:pt idx="660">
                  <c:v>5924</c:v>
                </c:pt>
                <c:pt idx="661">
                  <c:v>12849</c:v>
                </c:pt>
                <c:pt idx="662">
                  <c:v>15259</c:v>
                </c:pt>
                <c:pt idx="663">
                  <c:v>33395</c:v>
                </c:pt>
                <c:pt idx="664">
                  <c:v>22974</c:v>
                </c:pt>
                <c:pt idx="665">
                  <c:v>8570</c:v>
                </c:pt>
                <c:pt idx="666">
                  <c:v>8556</c:v>
                </c:pt>
                <c:pt idx="667">
                  <c:v>6756</c:v>
                </c:pt>
                <c:pt idx="668">
                  <c:v>17343</c:v>
                </c:pt>
                <c:pt idx="669">
                  <c:v>17317</c:v>
                </c:pt>
                <c:pt idx="670">
                  <c:v>28018</c:v>
                </c:pt>
                <c:pt idx="671">
                  <c:v>26304</c:v>
                </c:pt>
                <c:pt idx="672">
                  <c:v>11870</c:v>
                </c:pt>
                <c:pt idx="673">
                  <c:v>10865</c:v>
                </c:pt>
                <c:pt idx="674">
                  <c:v>19333</c:v>
                </c:pt>
                <c:pt idx="675">
                  <c:v>33242</c:v>
                </c:pt>
                <c:pt idx="676">
                  <c:v>36201</c:v>
                </c:pt>
                <c:pt idx="677">
                  <c:v>22945</c:v>
                </c:pt>
                <c:pt idx="678">
                  <c:v>28870</c:v>
                </c:pt>
                <c:pt idx="679">
                  <c:v>16928</c:v>
                </c:pt>
                <c:pt idx="680">
                  <c:v>11062</c:v>
                </c:pt>
                <c:pt idx="681">
                  <c:v>7914</c:v>
                </c:pt>
                <c:pt idx="682">
                  <c:v>4036</c:v>
                </c:pt>
                <c:pt idx="683">
                  <c:v>4071</c:v>
                </c:pt>
                <c:pt idx="684">
                  <c:v>193</c:v>
                </c:pt>
                <c:pt idx="685">
                  <c:v>749</c:v>
                </c:pt>
                <c:pt idx="686">
                  <c:v>5742</c:v>
                </c:pt>
                <c:pt idx="687">
                  <c:v>15712</c:v>
                </c:pt>
                <c:pt idx="688">
                  <c:v>20282</c:v>
                </c:pt>
                <c:pt idx="689">
                  <c:v>7909</c:v>
                </c:pt>
                <c:pt idx="690">
                  <c:v>904</c:v>
                </c:pt>
                <c:pt idx="691">
                  <c:v>7110</c:v>
                </c:pt>
                <c:pt idx="692">
                  <c:v>21734</c:v>
                </c:pt>
                <c:pt idx="693">
                  <c:v>22709</c:v>
                </c:pt>
                <c:pt idx="694">
                  <c:v>19376</c:v>
                </c:pt>
                <c:pt idx="695">
                  <c:v>29258</c:v>
                </c:pt>
                <c:pt idx="696">
                  <c:v>20781</c:v>
                </c:pt>
                <c:pt idx="697">
                  <c:v>8051</c:v>
                </c:pt>
                <c:pt idx="698">
                  <c:v>4001</c:v>
                </c:pt>
                <c:pt idx="699">
                  <c:v>1375</c:v>
                </c:pt>
                <c:pt idx="700">
                  <c:v>-2896</c:v>
                </c:pt>
                <c:pt idx="701">
                  <c:v>1634</c:v>
                </c:pt>
                <c:pt idx="702">
                  <c:v>-11327</c:v>
                </c:pt>
                <c:pt idx="703">
                  <c:v>-13332</c:v>
                </c:pt>
                <c:pt idx="704">
                  <c:v>-5850</c:v>
                </c:pt>
                <c:pt idx="705">
                  <c:v>6937</c:v>
                </c:pt>
                <c:pt idx="706">
                  <c:v>11161</c:v>
                </c:pt>
                <c:pt idx="707">
                  <c:v>7757</c:v>
                </c:pt>
                <c:pt idx="708">
                  <c:v>21773</c:v>
                </c:pt>
                <c:pt idx="709">
                  <c:v>28854</c:v>
                </c:pt>
                <c:pt idx="710">
                  <c:v>30585</c:v>
                </c:pt>
                <c:pt idx="711">
                  <c:v>16310</c:v>
                </c:pt>
                <c:pt idx="712">
                  <c:v>26788</c:v>
                </c:pt>
                <c:pt idx="713">
                  <c:v>13918</c:v>
                </c:pt>
                <c:pt idx="714">
                  <c:v>11952</c:v>
                </c:pt>
                <c:pt idx="715">
                  <c:v>-2412</c:v>
                </c:pt>
                <c:pt idx="716">
                  <c:v>2706</c:v>
                </c:pt>
                <c:pt idx="717">
                  <c:v>5061</c:v>
                </c:pt>
                <c:pt idx="718">
                  <c:v>16936</c:v>
                </c:pt>
                <c:pt idx="719">
                  <c:v>28215</c:v>
                </c:pt>
                <c:pt idx="720">
                  <c:v>33392</c:v>
                </c:pt>
                <c:pt idx="721">
                  <c:v>38113</c:v>
                </c:pt>
                <c:pt idx="722">
                  <c:v>33057</c:v>
                </c:pt>
                <c:pt idx="723">
                  <c:v>39092</c:v>
                </c:pt>
                <c:pt idx="724">
                  <c:v>30075</c:v>
                </c:pt>
                <c:pt idx="725">
                  <c:v>33241</c:v>
                </c:pt>
                <c:pt idx="726">
                  <c:v>47946</c:v>
                </c:pt>
                <c:pt idx="727">
                  <c:v>24534</c:v>
                </c:pt>
                <c:pt idx="728">
                  <c:v>33632</c:v>
                </c:pt>
                <c:pt idx="729">
                  <c:v>30089</c:v>
                </c:pt>
                <c:pt idx="730">
                  <c:v>21581</c:v>
                </c:pt>
                <c:pt idx="731">
                  <c:v>35250</c:v>
                </c:pt>
                <c:pt idx="732">
                  <c:v>39689</c:v>
                </c:pt>
                <c:pt idx="733">
                  <c:v>56424</c:v>
                </c:pt>
                <c:pt idx="734">
                  <c:v>71353</c:v>
                </c:pt>
                <c:pt idx="735">
                  <c:v>85615</c:v>
                </c:pt>
                <c:pt idx="736">
                  <c:v>64950</c:v>
                </c:pt>
                <c:pt idx="737">
                  <c:v>67461</c:v>
                </c:pt>
                <c:pt idx="738">
                  <c:v>79758</c:v>
                </c:pt>
                <c:pt idx="739">
                  <c:v>75311</c:v>
                </c:pt>
                <c:pt idx="740">
                  <c:v>80914</c:v>
                </c:pt>
                <c:pt idx="741">
                  <c:v>88900</c:v>
                </c:pt>
                <c:pt idx="742">
                  <c:v>85035</c:v>
                </c:pt>
                <c:pt idx="743">
                  <c:v>88823</c:v>
                </c:pt>
                <c:pt idx="744">
                  <c:v>49878</c:v>
                </c:pt>
                <c:pt idx="745">
                  <c:v>66756</c:v>
                </c:pt>
                <c:pt idx="746">
                  <c:v>77248</c:v>
                </c:pt>
                <c:pt idx="747">
                  <c:v>64205</c:v>
                </c:pt>
                <c:pt idx="748">
                  <c:v>61245</c:v>
                </c:pt>
                <c:pt idx="749">
                  <c:v>64868</c:v>
                </c:pt>
                <c:pt idx="750">
                  <c:v>69617</c:v>
                </c:pt>
                <c:pt idx="751">
                  <c:v>83075</c:v>
                </c:pt>
                <c:pt idx="752">
                  <c:v>27010</c:v>
                </c:pt>
                <c:pt idx="753">
                  <c:v>48107</c:v>
                </c:pt>
                <c:pt idx="754">
                  <c:v>63165</c:v>
                </c:pt>
                <c:pt idx="755">
                  <c:v>80597</c:v>
                </c:pt>
                <c:pt idx="756">
                  <c:v>81831</c:v>
                </c:pt>
                <c:pt idx="757">
                  <c:v>74355</c:v>
                </c:pt>
                <c:pt idx="758">
                  <c:v>78317</c:v>
                </c:pt>
                <c:pt idx="759">
                  <c:v>76477</c:v>
                </c:pt>
                <c:pt idx="760">
                  <c:v>63845</c:v>
                </c:pt>
                <c:pt idx="761">
                  <c:v>73626</c:v>
                </c:pt>
                <c:pt idx="762">
                  <c:v>75138</c:v>
                </c:pt>
                <c:pt idx="763">
                  <c:v>47300</c:v>
                </c:pt>
                <c:pt idx="764">
                  <c:v>39338</c:v>
                </c:pt>
                <c:pt idx="765">
                  <c:v>77256</c:v>
                </c:pt>
                <c:pt idx="766">
                  <c:v>73374</c:v>
                </c:pt>
                <c:pt idx="767">
                  <c:v>65213</c:v>
                </c:pt>
                <c:pt idx="768">
                  <c:v>66975</c:v>
                </c:pt>
                <c:pt idx="769">
                  <c:v>58097</c:v>
                </c:pt>
                <c:pt idx="770">
                  <c:v>65158</c:v>
                </c:pt>
                <c:pt idx="771">
                  <c:v>68256</c:v>
                </c:pt>
                <c:pt idx="772">
                  <c:v>66843</c:v>
                </c:pt>
                <c:pt idx="773">
                  <c:v>35773</c:v>
                </c:pt>
                <c:pt idx="774">
                  <c:v>30719</c:v>
                </c:pt>
                <c:pt idx="775">
                  <c:v>23320</c:v>
                </c:pt>
                <c:pt idx="776">
                  <c:v>4976</c:v>
                </c:pt>
                <c:pt idx="777">
                  <c:v>11959</c:v>
                </c:pt>
                <c:pt idx="778">
                  <c:v>26520</c:v>
                </c:pt>
                <c:pt idx="779">
                  <c:v>30447</c:v>
                </c:pt>
                <c:pt idx="780">
                  <c:v>23116</c:v>
                </c:pt>
                <c:pt idx="781">
                  <c:v>39042</c:v>
                </c:pt>
                <c:pt idx="782">
                  <c:v>54632</c:v>
                </c:pt>
                <c:pt idx="783">
                  <c:v>49051</c:v>
                </c:pt>
                <c:pt idx="784">
                  <c:v>55589</c:v>
                </c:pt>
                <c:pt idx="785">
                  <c:v>43653</c:v>
                </c:pt>
                <c:pt idx="786">
                  <c:v>46022</c:v>
                </c:pt>
                <c:pt idx="787">
                  <c:v>50637</c:v>
                </c:pt>
                <c:pt idx="788">
                  <c:v>32828</c:v>
                </c:pt>
                <c:pt idx="789">
                  <c:v>30496</c:v>
                </c:pt>
                <c:pt idx="790">
                  <c:v>25654</c:v>
                </c:pt>
                <c:pt idx="791">
                  <c:v>23519</c:v>
                </c:pt>
                <c:pt idx="792">
                  <c:v>32965</c:v>
                </c:pt>
                <c:pt idx="793">
                  <c:v>11037</c:v>
                </c:pt>
                <c:pt idx="794">
                  <c:v>13540</c:v>
                </c:pt>
                <c:pt idx="795">
                  <c:v>18024</c:v>
                </c:pt>
                <c:pt idx="796">
                  <c:v>23396</c:v>
                </c:pt>
                <c:pt idx="797">
                  <c:v>25460</c:v>
                </c:pt>
                <c:pt idx="798">
                  <c:v>5607</c:v>
                </c:pt>
                <c:pt idx="799">
                  <c:v>16309</c:v>
                </c:pt>
                <c:pt idx="800">
                  <c:v>32897</c:v>
                </c:pt>
                <c:pt idx="801">
                  <c:v>35868</c:v>
                </c:pt>
                <c:pt idx="802">
                  <c:v>40420</c:v>
                </c:pt>
                <c:pt idx="803">
                  <c:v>36844</c:v>
                </c:pt>
                <c:pt idx="804">
                  <c:v>37386</c:v>
                </c:pt>
                <c:pt idx="805">
                  <c:v>31692</c:v>
                </c:pt>
                <c:pt idx="806">
                  <c:v>35565</c:v>
                </c:pt>
                <c:pt idx="807">
                  <c:v>35620</c:v>
                </c:pt>
                <c:pt idx="808">
                  <c:v>36968</c:v>
                </c:pt>
                <c:pt idx="809">
                  <c:v>51689</c:v>
                </c:pt>
                <c:pt idx="810">
                  <c:v>44645</c:v>
                </c:pt>
                <c:pt idx="811">
                  <c:v>58498</c:v>
                </c:pt>
                <c:pt idx="812">
                  <c:v>50465</c:v>
                </c:pt>
                <c:pt idx="813">
                  <c:v>65421</c:v>
                </c:pt>
                <c:pt idx="814">
                  <c:v>57454</c:v>
                </c:pt>
                <c:pt idx="815">
                  <c:v>61301</c:v>
                </c:pt>
                <c:pt idx="816">
                  <c:v>57292</c:v>
                </c:pt>
                <c:pt idx="817">
                  <c:v>53307</c:v>
                </c:pt>
                <c:pt idx="818">
                  <c:v>47497</c:v>
                </c:pt>
                <c:pt idx="819">
                  <c:v>36987</c:v>
                </c:pt>
                <c:pt idx="820">
                  <c:v>49382</c:v>
                </c:pt>
                <c:pt idx="821">
                  <c:v>51409</c:v>
                </c:pt>
                <c:pt idx="822">
                  <c:v>49306</c:v>
                </c:pt>
                <c:pt idx="823">
                  <c:v>56068</c:v>
                </c:pt>
                <c:pt idx="824">
                  <c:v>53588</c:v>
                </c:pt>
                <c:pt idx="825">
                  <c:v>28919</c:v>
                </c:pt>
                <c:pt idx="826">
                  <c:v>14747</c:v>
                </c:pt>
                <c:pt idx="827">
                  <c:v>9053</c:v>
                </c:pt>
                <c:pt idx="828">
                  <c:v>5950</c:v>
                </c:pt>
                <c:pt idx="829">
                  <c:v>1377</c:v>
                </c:pt>
                <c:pt idx="830">
                  <c:v>1511</c:v>
                </c:pt>
                <c:pt idx="831">
                  <c:v>1586</c:v>
                </c:pt>
                <c:pt idx="832">
                  <c:v>-17026</c:v>
                </c:pt>
                <c:pt idx="833">
                  <c:v>-19462</c:v>
                </c:pt>
                <c:pt idx="834">
                  <c:v>-14347</c:v>
                </c:pt>
                <c:pt idx="835">
                  <c:v>-8347</c:v>
                </c:pt>
                <c:pt idx="836">
                  <c:v>-6973</c:v>
                </c:pt>
                <c:pt idx="837">
                  <c:v>-7234</c:v>
                </c:pt>
                <c:pt idx="838">
                  <c:v>-9819</c:v>
                </c:pt>
                <c:pt idx="839">
                  <c:v>-5513</c:v>
                </c:pt>
                <c:pt idx="840">
                  <c:v>-8604</c:v>
                </c:pt>
                <c:pt idx="841">
                  <c:v>-5790</c:v>
                </c:pt>
                <c:pt idx="842">
                  <c:v>-8624</c:v>
                </c:pt>
                <c:pt idx="843">
                  <c:v>-9878</c:v>
                </c:pt>
                <c:pt idx="844">
                  <c:v>-4452</c:v>
                </c:pt>
                <c:pt idx="845">
                  <c:v>-4199</c:v>
                </c:pt>
                <c:pt idx="846">
                  <c:v>-1436</c:v>
                </c:pt>
                <c:pt idx="847">
                  <c:v>-452</c:v>
                </c:pt>
                <c:pt idx="848">
                  <c:v>595</c:v>
                </c:pt>
                <c:pt idx="849">
                  <c:v>-4476</c:v>
                </c:pt>
                <c:pt idx="850">
                  <c:v>-6115</c:v>
                </c:pt>
                <c:pt idx="851">
                  <c:v>-3415</c:v>
                </c:pt>
                <c:pt idx="852">
                  <c:v>-5119</c:v>
                </c:pt>
                <c:pt idx="853">
                  <c:v>-5848</c:v>
                </c:pt>
                <c:pt idx="854">
                  <c:v>-7290</c:v>
                </c:pt>
                <c:pt idx="855">
                  <c:v>-5583</c:v>
                </c:pt>
                <c:pt idx="856">
                  <c:v>-2786</c:v>
                </c:pt>
                <c:pt idx="857">
                  <c:v>-3945</c:v>
                </c:pt>
                <c:pt idx="858">
                  <c:v>-419</c:v>
                </c:pt>
                <c:pt idx="859">
                  <c:v>8413</c:v>
                </c:pt>
                <c:pt idx="860">
                  <c:v>11287</c:v>
                </c:pt>
                <c:pt idx="861">
                  <c:v>18116</c:v>
                </c:pt>
                <c:pt idx="862">
                  <c:v>20789</c:v>
                </c:pt>
                <c:pt idx="863">
                  <c:v>17250</c:v>
                </c:pt>
                <c:pt idx="864">
                  <c:v>16692</c:v>
                </c:pt>
                <c:pt idx="865">
                  <c:v>23064</c:v>
                </c:pt>
                <c:pt idx="866">
                  <c:v>28231</c:v>
                </c:pt>
                <c:pt idx="867">
                  <c:v>29295</c:v>
                </c:pt>
                <c:pt idx="868">
                  <c:v>32469</c:v>
                </c:pt>
                <c:pt idx="869">
                  <c:v>30744</c:v>
                </c:pt>
                <c:pt idx="870">
                  <c:v>31883</c:v>
                </c:pt>
                <c:pt idx="871">
                  <c:v>32203</c:v>
                </c:pt>
                <c:pt idx="872">
                  <c:v>29368</c:v>
                </c:pt>
                <c:pt idx="873">
                  <c:v>34990</c:v>
                </c:pt>
                <c:pt idx="874">
                  <c:v>31886</c:v>
                </c:pt>
                <c:pt idx="875">
                  <c:v>25593</c:v>
                </c:pt>
                <c:pt idx="876">
                  <c:v>38788</c:v>
                </c:pt>
                <c:pt idx="877">
                  <c:v>43495</c:v>
                </c:pt>
                <c:pt idx="878">
                  <c:v>46410</c:v>
                </c:pt>
                <c:pt idx="879">
                  <c:v>48846</c:v>
                </c:pt>
                <c:pt idx="880">
                  <c:v>44120</c:v>
                </c:pt>
                <c:pt idx="881">
                  <c:v>48287</c:v>
                </c:pt>
                <c:pt idx="882">
                  <c:v>41936</c:v>
                </c:pt>
                <c:pt idx="883">
                  <c:v>48384</c:v>
                </c:pt>
                <c:pt idx="884">
                  <c:v>48601</c:v>
                </c:pt>
                <c:pt idx="885">
                  <c:v>51524</c:v>
                </c:pt>
                <c:pt idx="886">
                  <c:v>47698</c:v>
                </c:pt>
                <c:pt idx="887">
                  <c:v>50165</c:v>
                </c:pt>
                <c:pt idx="888">
                  <c:v>52647</c:v>
                </c:pt>
                <c:pt idx="889">
                  <c:v>53990</c:v>
                </c:pt>
                <c:pt idx="890">
                  <c:v>52887</c:v>
                </c:pt>
                <c:pt idx="891">
                  <c:v>50383</c:v>
                </c:pt>
                <c:pt idx="892">
                  <c:v>47434</c:v>
                </c:pt>
                <c:pt idx="893">
                  <c:v>46888</c:v>
                </c:pt>
                <c:pt idx="894">
                  <c:v>43564</c:v>
                </c:pt>
                <c:pt idx="895">
                  <c:v>48438</c:v>
                </c:pt>
                <c:pt idx="896">
                  <c:v>46682</c:v>
                </c:pt>
                <c:pt idx="897">
                  <c:v>40983</c:v>
                </c:pt>
                <c:pt idx="898">
                  <c:v>32425</c:v>
                </c:pt>
                <c:pt idx="899">
                  <c:v>36531</c:v>
                </c:pt>
                <c:pt idx="900">
                  <c:v>47108</c:v>
                </c:pt>
                <c:pt idx="901">
                  <c:v>59352</c:v>
                </c:pt>
                <c:pt idx="902">
                  <c:v>62851</c:v>
                </c:pt>
                <c:pt idx="903">
                  <c:v>45318</c:v>
                </c:pt>
                <c:pt idx="904">
                  <c:v>33271</c:v>
                </c:pt>
                <c:pt idx="905">
                  <c:v>27606</c:v>
                </c:pt>
                <c:pt idx="906">
                  <c:v>27003</c:v>
                </c:pt>
                <c:pt idx="907">
                  <c:v>38992</c:v>
                </c:pt>
                <c:pt idx="908">
                  <c:v>48761</c:v>
                </c:pt>
                <c:pt idx="909">
                  <c:v>61285</c:v>
                </c:pt>
                <c:pt idx="910">
                  <c:v>63494</c:v>
                </c:pt>
                <c:pt idx="911">
                  <c:v>74339</c:v>
                </c:pt>
                <c:pt idx="912">
                  <c:v>69340</c:v>
                </c:pt>
                <c:pt idx="913">
                  <c:v>73198</c:v>
                </c:pt>
                <c:pt idx="914">
                  <c:v>80674</c:v>
                </c:pt>
                <c:pt idx="915">
                  <c:v>78904</c:v>
                </c:pt>
                <c:pt idx="916">
                  <c:v>66068</c:v>
                </c:pt>
                <c:pt idx="917">
                  <c:v>56982</c:v>
                </c:pt>
                <c:pt idx="918">
                  <c:v>49198</c:v>
                </c:pt>
                <c:pt idx="919">
                  <c:v>38380</c:v>
                </c:pt>
                <c:pt idx="920">
                  <c:v>19523</c:v>
                </c:pt>
                <c:pt idx="921">
                  <c:v>15045</c:v>
                </c:pt>
                <c:pt idx="922">
                  <c:v>8435</c:v>
                </c:pt>
                <c:pt idx="923">
                  <c:v>12406</c:v>
                </c:pt>
                <c:pt idx="924">
                  <c:v>11806</c:v>
                </c:pt>
                <c:pt idx="925">
                  <c:v>12854</c:v>
                </c:pt>
                <c:pt idx="926">
                  <c:v>7246</c:v>
                </c:pt>
                <c:pt idx="927">
                  <c:v>23480</c:v>
                </c:pt>
                <c:pt idx="928">
                  <c:v>32886</c:v>
                </c:pt>
                <c:pt idx="929">
                  <c:v>40533</c:v>
                </c:pt>
                <c:pt idx="930">
                  <c:v>48715</c:v>
                </c:pt>
                <c:pt idx="931">
                  <c:v>54370</c:v>
                </c:pt>
                <c:pt idx="932">
                  <c:v>57697</c:v>
                </c:pt>
                <c:pt idx="933">
                  <c:v>47017</c:v>
                </c:pt>
                <c:pt idx="934">
                  <c:v>43808</c:v>
                </c:pt>
                <c:pt idx="935">
                  <c:v>56966</c:v>
                </c:pt>
                <c:pt idx="936">
                  <c:v>56669</c:v>
                </c:pt>
                <c:pt idx="937">
                  <c:v>64324</c:v>
                </c:pt>
                <c:pt idx="938">
                  <c:v>69533</c:v>
                </c:pt>
                <c:pt idx="939">
                  <c:v>69036</c:v>
                </c:pt>
                <c:pt idx="940">
                  <c:v>67691</c:v>
                </c:pt>
                <c:pt idx="941">
                  <c:v>59181</c:v>
                </c:pt>
                <c:pt idx="942">
                  <c:v>55115</c:v>
                </c:pt>
                <c:pt idx="943">
                  <c:v>51180</c:v>
                </c:pt>
                <c:pt idx="944">
                  <c:v>47616</c:v>
                </c:pt>
                <c:pt idx="945">
                  <c:v>36202</c:v>
                </c:pt>
                <c:pt idx="946">
                  <c:v>28471</c:v>
                </c:pt>
                <c:pt idx="947">
                  <c:v>26643</c:v>
                </c:pt>
                <c:pt idx="948">
                  <c:v>43352</c:v>
                </c:pt>
                <c:pt idx="949">
                  <c:v>53778</c:v>
                </c:pt>
                <c:pt idx="950">
                  <c:v>60550</c:v>
                </c:pt>
                <c:pt idx="951">
                  <c:v>64316</c:v>
                </c:pt>
                <c:pt idx="952">
                  <c:v>62513</c:v>
                </c:pt>
                <c:pt idx="953">
                  <c:v>53497</c:v>
                </c:pt>
                <c:pt idx="954">
                  <c:v>53508</c:v>
                </c:pt>
                <c:pt idx="955">
                  <c:v>45458</c:v>
                </c:pt>
                <c:pt idx="956">
                  <c:v>60077</c:v>
                </c:pt>
                <c:pt idx="957">
                  <c:v>71979</c:v>
                </c:pt>
                <c:pt idx="958">
                  <c:v>65514</c:v>
                </c:pt>
                <c:pt idx="959">
                  <c:v>66064</c:v>
                </c:pt>
                <c:pt idx="960">
                  <c:v>71853</c:v>
                </c:pt>
                <c:pt idx="961">
                  <c:v>73695</c:v>
                </c:pt>
                <c:pt idx="962">
                  <c:v>47951</c:v>
                </c:pt>
                <c:pt idx="963">
                  <c:v>51734</c:v>
                </c:pt>
                <c:pt idx="964">
                  <c:v>85565</c:v>
                </c:pt>
                <c:pt idx="965">
                  <c:v>90938</c:v>
                </c:pt>
                <c:pt idx="966">
                  <c:v>90651</c:v>
                </c:pt>
                <c:pt idx="967">
                  <c:v>84961</c:v>
                </c:pt>
                <c:pt idx="968">
                  <c:v>80867</c:v>
                </c:pt>
                <c:pt idx="969">
                  <c:v>73421</c:v>
                </c:pt>
                <c:pt idx="970">
                  <c:v>60321</c:v>
                </c:pt>
                <c:pt idx="971">
                  <c:v>50919</c:v>
                </c:pt>
                <c:pt idx="972">
                  <c:v>53043</c:v>
                </c:pt>
                <c:pt idx="973">
                  <c:v>60015</c:v>
                </c:pt>
                <c:pt idx="974">
                  <c:v>65205</c:v>
                </c:pt>
                <c:pt idx="975">
                  <c:v>67670</c:v>
                </c:pt>
                <c:pt idx="976">
                  <c:v>54571</c:v>
                </c:pt>
                <c:pt idx="977">
                  <c:v>46897</c:v>
                </c:pt>
                <c:pt idx="978">
                  <c:v>63336</c:v>
                </c:pt>
                <c:pt idx="979">
                  <c:v>67623</c:v>
                </c:pt>
                <c:pt idx="980">
                  <c:v>77795</c:v>
                </c:pt>
                <c:pt idx="981">
                  <c:v>81438</c:v>
                </c:pt>
                <c:pt idx="982">
                  <c:v>75598</c:v>
                </c:pt>
                <c:pt idx="983">
                  <c:v>29016</c:v>
                </c:pt>
                <c:pt idx="984">
                  <c:v>29723</c:v>
                </c:pt>
                <c:pt idx="985">
                  <c:v>43574</c:v>
                </c:pt>
                <c:pt idx="986">
                  <c:v>47569</c:v>
                </c:pt>
                <c:pt idx="987">
                  <c:v>48041</c:v>
                </c:pt>
                <c:pt idx="988">
                  <c:v>36934</c:v>
                </c:pt>
                <c:pt idx="989">
                  <c:v>23095</c:v>
                </c:pt>
                <c:pt idx="990">
                  <c:v>5167</c:v>
                </c:pt>
                <c:pt idx="991">
                  <c:v>12911</c:v>
                </c:pt>
                <c:pt idx="992">
                  <c:v>10753</c:v>
                </c:pt>
                <c:pt idx="993">
                  <c:v>20353</c:v>
                </c:pt>
                <c:pt idx="994">
                  <c:v>23071</c:v>
                </c:pt>
                <c:pt idx="995">
                  <c:v>25866</c:v>
                </c:pt>
                <c:pt idx="996">
                  <c:v>27016</c:v>
                </c:pt>
                <c:pt idx="997">
                  <c:v>24330</c:v>
                </c:pt>
                <c:pt idx="998">
                  <c:v>17960</c:v>
                </c:pt>
                <c:pt idx="999">
                  <c:v>12542</c:v>
                </c:pt>
                <c:pt idx="1000">
                  <c:v>29824</c:v>
                </c:pt>
                <c:pt idx="1001">
                  <c:v>34429</c:v>
                </c:pt>
                <c:pt idx="1002">
                  <c:v>25742</c:v>
                </c:pt>
                <c:pt idx="1003">
                  <c:v>32637</c:v>
                </c:pt>
                <c:pt idx="1004">
                  <c:v>46537</c:v>
                </c:pt>
                <c:pt idx="1005">
                  <c:v>53526</c:v>
                </c:pt>
                <c:pt idx="1006">
                  <c:v>54306</c:v>
                </c:pt>
                <c:pt idx="1007">
                  <c:v>69486</c:v>
                </c:pt>
                <c:pt idx="1008">
                  <c:v>78044</c:v>
                </c:pt>
                <c:pt idx="1009">
                  <c:v>75095</c:v>
                </c:pt>
                <c:pt idx="1010">
                  <c:v>73741</c:v>
                </c:pt>
                <c:pt idx="1011">
                  <c:v>74700</c:v>
                </c:pt>
                <c:pt idx="1012">
                  <c:v>78201</c:v>
                </c:pt>
                <c:pt idx="1013">
                  <c:v>61720</c:v>
                </c:pt>
                <c:pt idx="1014">
                  <c:v>66756</c:v>
                </c:pt>
                <c:pt idx="1015">
                  <c:v>45191</c:v>
                </c:pt>
                <c:pt idx="1016">
                  <c:v>59574</c:v>
                </c:pt>
                <c:pt idx="1017">
                  <c:v>49319</c:v>
                </c:pt>
                <c:pt idx="1018">
                  <c:v>39429</c:v>
                </c:pt>
                <c:pt idx="1019">
                  <c:v>48421</c:v>
                </c:pt>
                <c:pt idx="1020">
                  <c:v>46041</c:v>
                </c:pt>
                <c:pt idx="1021">
                  <c:v>52280</c:v>
                </c:pt>
                <c:pt idx="1022">
                  <c:v>25104</c:v>
                </c:pt>
                <c:pt idx="1023">
                  <c:v>4734</c:v>
                </c:pt>
                <c:pt idx="1024">
                  <c:v>-16898</c:v>
                </c:pt>
                <c:pt idx="1025">
                  <c:v>-35527</c:v>
                </c:pt>
                <c:pt idx="1026">
                  <c:v>-51172</c:v>
                </c:pt>
                <c:pt idx="1027">
                  <c:v>-45459</c:v>
                </c:pt>
                <c:pt idx="1028">
                  <c:v>-3458</c:v>
                </c:pt>
                <c:pt idx="1029">
                  <c:v>-2159</c:v>
                </c:pt>
                <c:pt idx="1030">
                  <c:v>9348</c:v>
                </c:pt>
                <c:pt idx="1031">
                  <c:v>19065</c:v>
                </c:pt>
                <c:pt idx="1032">
                  <c:v>13931</c:v>
                </c:pt>
                <c:pt idx="1033">
                  <c:v>26443</c:v>
                </c:pt>
                <c:pt idx="1034">
                  <c:v>37235</c:v>
                </c:pt>
                <c:pt idx="1035">
                  <c:v>52894</c:v>
                </c:pt>
                <c:pt idx="1036">
                  <c:v>66679</c:v>
                </c:pt>
                <c:pt idx="1037">
                  <c:v>86882</c:v>
                </c:pt>
                <c:pt idx="1038">
                  <c:v>78072</c:v>
                </c:pt>
                <c:pt idx="1039">
                  <c:v>62439</c:v>
                </c:pt>
                <c:pt idx="1040">
                  <c:v>68259</c:v>
                </c:pt>
                <c:pt idx="1041">
                  <c:v>69246</c:v>
                </c:pt>
                <c:pt idx="1042">
                  <c:v>89562</c:v>
                </c:pt>
                <c:pt idx="1043">
                  <c:v>63743</c:v>
                </c:pt>
                <c:pt idx="1044">
                  <c:v>39814</c:v>
                </c:pt>
                <c:pt idx="1045">
                  <c:v>38444</c:v>
                </c:pt>
                <c:pt idx="1046">
                  <c:v>45651</c:v>
                </c:pt>
                <c:pt idx="1047">
                  <c:v>52090</c:v>
                </c:pt>
                <c:pt idx="1048">
                  <c:v>60317</c:v>
                </c:pt>
                <c:pt idx="1049">
                  <c:v>68146</c:v>
                </c:pt>
                <c:pt idx="1050">
                  <c:v>64711</c:v>
                </c:pt>
                <c:pt idx="1051">
                  <c:v>76806</c:v>
                </c:pt>
                <c:pt idx="1052">
                  <c:v>92229</c:v>
                </c:pt>
                <c:pt idx="1053">
                  <c:v>103376</c:v>
                </c:pt>
                <c:pt idx="1054">
                  <c:v>97496</c:v>
                </c:pt>
                <c:pt idx="1055">
                  <c:v>75433</c:v>
                </c:pt>
                <c:pt idx="1056">
                  <c:v>79522</c:v>
                </c:pt>
                <c:pt idx="1057">
                  <c:v>80315</c:v>
                </c:pt>
                <c:pt idx="1058">
                  <c:v>89057</c:v>
                </c:pt>
                <c:pt idx="1059">
                  <c:v>97011</c:v>
                </c:pt>
                <c:pt idx="1060">
                  <c:v>85296</c:v>
                </c:pt>
                <c:pt idx="1061">
                  <c:v>80940</c:v>
                </c:pt>
                <c:pt idx="1062">
                  <c:v>54114</c:v>
                </c:pt>
                <c:pt idx="1063">
                  <c:v>43981</c:v>
                </c:pt>
                <c:pt idx="1064">
                  <c:v>25695</c:v>
                </c:pt>
                <c:pt idx="1065">
                  <c:v>7149</c:v>
                </c:pt>
                <c:pt idx="1066">
                  <c:v>23266</c:v>
                </c:pt>
                <c:pt idx="1067">
                  <c:v>54055</c:v>
                </c:pt>
                <c:pt idx="1068">
                  <c:v>85515</c:v>
                </c:pt>
                <c:pt idx="1069">
                  <c:v>83971</c:v>
                </c:pt>
                <c:pt idx="1070">
                  <c:v>77879</c:v>
                </c:pt>
                <c:pt idx="1071">
                  <c:v>53175</c:v>
                </c:pt>
                <c:pt idx="1072">
                  <c:v>31257</c:v>
                </c:pt>
                <c:pt idx="1073">
                  <c:v>30234</c:v>
                </c:pt>
                <c:pt idx="1074">
                  <c:v>6630</c:v>
                </c:pt>
                <c:pt idx="1075">
                  <c:v>-13450</c:v>
                </c:pt>
                <c:pt idx="1076">
                  <c:v>-32409</c:v>
                </c:pt>
                <c:pt idx="1077">
                  <c:v>-42307</c:v>
                </c:pt>
                <c:pt idx="1078">
                  <c:v>-58550</c:v>
                </c:pt>
                <c:pt idx="1079">
                  <c:v>-63277</c:v>
                </c:pt>
                <c:pt idx="1080">
                  <c:v>-63521</c:v>
                </c:pt>
                <c:pt idx="1081">
                  <c:v>-61644</c:v>
                </c:pt>
                <c:pt idx="1082">
                  <c:v>-70515</c:v>
                </c:pt>
                <c:pt idx="1083">
                  <c:v>-63255</c:v>
                </c:pt>
                <c:pt idx="1084">
                  <c:v>-70686</c:v>
                </c:pt>
                <c:pt idx="1085">
                  <c:v>-63982</c:v>
                </c:pt>
                <c:pt idx="1086">
                  <c:v>-72573</c:v>
                </c:pt>
                <c:pt idx="1087">
                  <c:v>-76779</c:v>
                </c:pt>
                <c:pt idx="1088">
                  <c:v>-62721</c:v>
                </c:pt>
                <c:pt idx="1089">
                  <c:v>-63183</c:v>
                </c:pt>
                <c:pt idx="1090">
                  <c:v>-71117</c:v>
                </c:pt>
                <c:pt idx="1091">
                  <c:v>-71506</c:v>
                </c:pt>
                <c:pt idx="1092">
                  <c:v>-60032</c:v>
                </c:pt>
                <c:pt idx="1093">
                  <c:v>-27360</c:v>
                </c:pt>
                <c:pt idx="1094">
                  <c:v>-34819</c:v>
                </c:pt>
                <c:pt idx="1095">
                  <c:v>-28804</c:v>
                </c:pt>
                <c:pt idx="1096">
                  <c:v>-26404</c:v>
                </c:pt>
                <c:pt idx="1097">
                  <c:v>-32237</c:v>
                </c:pt>
                <c:pt idx="1098">
                  <c:v>-22111</c:v>
                </c:pt>
                <c:pt idx="1099">
                  <c:v>-23198</c:v>
                </c:pt>
                <c:pt idx="1100">
                  <c:v>-25067</c:v>
                </c:pt>
                <c:pt idx="1101">
                  <c:v>-35809</c:v>
                </c:pt>
                <c:pt idx="1102">
                  <c:v>-35762</c:v>
                </c:pt>
                <c:pt idx="1103">
                  <c:v>-33511</c:v>
                </c:pt>
                <c:pt idx="1104">
                  <c:v>-44311</c:v>
                </c:pt>
                <c:pt idx="1105">
                  <c:v>-45850</c:v>
                </c:pt>
                <c:pt idx="1106">
                  <c:v>-51653</c:v>
                </c:pt>
                <c:pt idx="1107">
                  <c:v>-54239</c:v>
                </c:pt>
                <c:pt idx="1108">
                  <c:v>-57414</c:v>
                </c:pt>
                <c:pt idx="1109">
                  <c:v>-56852</c:v>
                </c:pt>
                <c:pt idx="1110">
                  <c:v>-51988</c:v>
                </c:pt>
                <c:pt idx="1111">
                  <c:v>-64654</c:v>
                </c:pt>
                <c:pt idx="1112">
                  <c:v>-65723</c:v>
                </c:pt>
                <c:pt idx="1113">
                  <c:v>-55523</c:v>
                </c:pt>
                <c:pt idx="1114">
                  <c:v>-47403</c:v>
                </c:pt>
                <c:pt idx="1115">
                  <c:v>-44398</c:v>
                </c:pt>
                <c:pt idx="1116">
                  <c:v>-38991</c:v>
                </c:pt>
                <c:pt idx="1117">
                  <c:v>-41108</c:v>
                </c:pt>
                <c:pt idx="1118">
                  <c:v>-40850</c:v>
                </c:pt>
                <c:pt idx="1119">
                  <c:v>-24463</c:v>
                </c:pt>
                <c:pt idx="1120">
                  <c:v>-20527</c:v>
                </c:pt>
                <c:pt idx="1121">
                  <c:v>-4880</c:v>
                </c:pt>
                <c:pt idx="1122">
                  <c:v>3310</c:v>
                </c:pt>
                <c:pt idx="1123">
                  <c:v>8097</c:v>
                </c:pt>
                <c:pt idx="1124">
                  <c:v>16370</c:v>
                </c:pt>
                <c:pt idx="1125">
                  <c:v>10706</c:v>
                </c:pt>
                <c:pt idx="1126">
                  <c:v>8637</c:v>
                </c:pt>
                <c:pt idx="1127">
                  <c:v>17127</c:v>
                </c:pt>
                <c:pt idx="1128">
                  <c:v>19462</c:v>
                </c:pt>
                <c:pt idx="1129">
                  <c:v>15848</c:v>
                </c:pt>
                <c:pt idx="1130">
                  <c:v>21527</c:v>
                </c:pt>
                <c:pt idx="1131">
                  <c:v>28247</c:v>
                </c:pt>
                <c:pt idx="1132">
                  <c:v>27029</c:v>
                </c:pt>
                <c:pt idx="1133">
                  <c:v>33463</c:v>
                </c:pt>
                <c:pt idx="1134">
                  <c:v>38879</c:v>
                </c:pt>
                <c:pt idx="1135">
                  <c:v>36603</c:v>
                </c:pt>
                <c:pt idx="1136">
                  <c:v>39743</c:v>
                </c:pt>
                <c:pt idx="1137">
                  <c:v>38793</c:v>
                </c:pt>
                <c:pt idx="1138">
                  <c:v>39606</c:v>
                </c:pt>
                <c:pt idx="1139">
                  <c:v>33300</c:v>
                </c:pt>
                <c:pt idx="1140">
                  <c:v>29546</c:v>
                </c:pt>
                <c:pt idx="1141">
                  <c:v>36574</c:v>
                </c:pt>
                <c:pt idx="1142">
                  <c:v>41938</c:v>
                </c:pt>
                <c:pt idx="1143">
                  <c:v>49047</c:v>
                </c:pt>
                <c:pt idx="1144">
                  <c:v>41229</c:v>
                </c:pt>
                <c:pt idx="1145">
                  <c:v>22140</c:v>
                </c:pt>
                <c:pt idx="1146">
                  <c:v>8347</c:v>
                </c:pt>
                <c:pt idx="1147">
                  <c:v>-2017</c:v>
                </c:pt>
                <c:pt idx="1148">
                  <c:v>-26486</c:v>
                </c:pt>
                <c:pt idx="1149">
                  <c:v>-30271</c:v>
                </c:pt>
                <c:pt idx="1150">
                  <c:v>-31509</c:v>
                </c:pt>
                <c:pt idx="1151">
                  <c:v>-33851</c:v>
                </c:pt>
                <c:pt idx="1152">
                  <c:v>-38268</c:v>
                </c:pt>
                <c:pt idx="1153">
                  <c:v>-38027</c:v>
                </c:pt>
                <c:pt idx="1154">
                  <c:v>-37602</c:v>
                </c:pt>
                <c:pt idx="1155">
                  <c:v>-44088</c:v>
                </c:pt>
                <c:pt idx="1156">
                  <c:v>-41110</c:v>
                </c:pt>
                <c:pt idx="1157">
                  <c:v>-45013</c:v>
                </c:pt>
                <c:pt idx="1158">
                  <c:v>-34253</c:v>
                </c:pt>
                <c:pt idx="1159">
                  <c:v>-39236</c:v>
                </c:pt>
                <c:pt idx="1160">
                  <c:v>-40697</c:v>
                </c:pt>
                <c:pt idx="1161">
                  <c:v>-48652</c:v>
                </c:pt>
                <c:pt idx="1162">
                  <c:v>-45365</c:v>
                </c:pt>
                <c:pt idx="1163">
                  <c:v>-46580</c:v>
                </c:pt>
                <c:pt idx="1164">
                  <c:v>-48943</c:v>
                </c:pt>
                <c:pt idx="1165">
                  <c:v>-56159</c:v>
                </c:pt>
                <c:pt idx="1166">
                  <c:v>-53182</c:v>
                </c:pt>
                <c:pt idx="1167">
                  <c:v>-53831</c:v>
                </c:pt>
                <c:pt idx="1168">
                  <c:v>-63154</c:v>
                </c:pt>
                <c:pt idx="1169">
                  <c:v>-61545</c:v>
                </c:pt>
                <c:pt idx="1170">
                  <c:v>-76851</c:v>
                </c:pt>
                <c:pt idx="1171">
                  <c:v>-28807</c:v>
                </c:pt>
                <c:pt idx="1172">
                  <c:v>-28368</c:v>
                </c:pt>
                <c:pt idx="1173">
                  <c:v>-24356</c:v>
                </c:pt>
                <c:pt idx="1174">
                  <c:v>-40281</c:v>
                </c:pt>
                <c:pt idx="1175">
                  <c:v>-42433</c:v>
                </c:pt>
                <c:pt idx="1176">
                  <c:v>-34663</c:v>
                </c:pt>
                <c:pt idx="1177">
                  <c:v>-27405</c:v>
                </c:pt>
                <c:pt idx="1178">
                  <c:v>626</c:v>
                </c:pt>
                <c:pt idx="1179">
                  <c:v>4487</c:v>
                </c:pt>
                <c:pt idx="1180">
                  <c:v>7323</c:v>
                </c:pt>
                <c:pt idx="1181">
                  <c:v>6422</c:v>
                </c:pt>
                <c:pt idx="1182">
                  <c:v>-13256</c:v>
                </c:pt>
                <c:pt idx="1183">
                  <c:v>-14027</c:v>
                </c:pt>
                <c:pt idx="1184">
                  <c:v>-4048</c:v>
                </c:pt>
                <c:pt idx="1185">
                  <c:v>-9052</c:v>
                </c:pt>
                <c:pt idx="1186">
                  <c:v>-12031</c:v>
                </c:pt>
                <c:pt idx="1187">
                  <c:v>-22197</c:v>
                </c:pt>
                <c:pt idx="1188">
                  <c:v>-33541</c:v>
                </c:pt>
                <c:pt idx="1189">
                  <c:v>-40850</c:v>
                </c:pt>
                <c:pt idx="1190">
                  <c:v>-50659</c:v>
                </c:pt>
                <c:pt idx="1191">
                  <c:v>-49412</c:v>
                </c:pt>
                <c:pt idx="1192">
                  <c:v>-51270</c:v>
                </c:pt>
                <c:pt idx="1193">
                  <c:v>-49883</c:v>
                </c:pt>
                <c:pt idx="1194">
                  <c:v>-63727</c:v>
                </c:pt>
                <c:pt idx="1195">
                  <c:v>-55732</c:v>
                </c:pt>
                <c:pt idx="1196">
                  <c:v>-53316</c:v>
                </c:pt>
                <c:pt idx="1197">
                  <c:v>-40729</c:v>
                </c:pt>
                <c:pt idx="1198">
                  <c:v>-52832</c:v>
                </c:pt>
                <c:pt idx="1199">
                  <c:v>-48865</c:v>
                </c:pt>
                <c:pt idx="1200">
                  <c:v>-40839</c:v>
                </c:pt>
                <c:pt idx="1201">
                  <c:v>-33705</c:v>
                </c:pt>
                <c:pt idx="1202">
                  <c:v>-38412</c:v>
                </c:pt>
                <c:pt idx="1203">
                  <c:v>-36352</c:v>
                </c:pt>
                <c:pt idx="1204">
                  <c:v>-38625</c:v>
                </c:pt>
                <c:pt idx="1205">
                  <c:v>-52830</c:v>
                </c:pt>
                <c:pt idx="1206">
                  <c:v>-66464</c:v>
                </c:pt>
                <c:pt idx="1207">
                  <c:v>-57145</c:v>
                </c:pt>
                <c:pt idx="1208">
                  <c:v>-46648</c:v>
                </c:pt>
                <c:pt idx="1209">
                  <c:v>-33579</c:v>
                </c:pt>
                <c:pt idx="1210">
                  <c:v>-10452</c:v>
                </c:pt>
                <c:pt idx="1211">
                  <c:v>-20854</c:v>
                </c:pt>
                <c:pt idx="1212">
                  <c:v>-17545</c:v>
                </c:pt>
                <c:pt idx="1213">
                  <c:v>-13761</c:v>
                </c:pt>
                <c:pt idx="1214">
                  <c:v>-23043</c:v>
                </c:pt>
                <c:pt idx="1215">
                  <c:v>-36267</c:v>
                </c:pt>
                <c:pt idx="1216">
                  <c:v>-32798</c:v>
                </c:pt>
                <c:pt idx="1217">
                  <c:v>-26168</c:v>
                </c:pt>
                <c:pt idx="1218">
                  <c:v>-5626</c:v>
                </c:pt>
                <c:pt idx="1219">
                  <c:v>2807</c:v>
                </c:pt>
                <c:pt idx="1220">
                  <c:v>9575</c:v>
                </c:pt>
                <c:pt idx="1221">
                  <c:v>16861</c:v>
                </c:pt>
                <c:pt idx="1222">
                  <c:v>29195</c:v>
                </c:pt>
                <c:pt idx="1223">
                  <c:v>12782</c:v>
                </c:pt>
                <c:pt idx="1224">
                  <c:v>18030</c:v>
                </c:pt>
                <c:pt idx="1225">
                  <c:v>23466</c:v>
                </c:pt>
                <c:pt idx="1226">
                  <c:v>26845</c:v>
                </c:pt>
                <c:pt idx="1227">
                  <c:v>35122</c:v>
                </c:pt>
                <c:pt idx="1228">
                  <c:v>44106</c:v>
                </c:pt>
                <c:pt idx="1229">
                  <c:v>59540</c:v>
                </c:pt>
                <c:pt idx="1230">
                  <c:v>52395</c:v>
                </c:pt>
                <c:pt idx="1231">
                  <c:v>38158</c:v>
                </c:pt>
                <c:pt idx="1232">
                  <c:v>24893</c:v>
                </c:pt>
                <c:pt idx="1233">
                  <c:v>124</c:v>
                </c:pt>
                <c:pt idx="1234">
                  <c:v>-4758</c:v>
                </c:pt>
                <c:pt idx="1235">
                  <c:v>-15808</c:v>
                </c:pt>
                <c:pt idx="1236">
                  <c:v>-6778</c:v>
                </c:pt>
                <c:pt idx="1237">
                  <c:v>-7043</c:v>
                </c:pt>
                <c:pt idx="1238">
                  <c:v>-1952</c:v>
                </c:pt>
                <c:pt idx="1239">
                  <c:v>4903</c:v>
                </c:pt>
                <c:pt idx="1240">
                  <c:v>16216</c:v>
                </c:pt>
                <c:pt idx="1241">
                  <c:v>33431</c:v>
                </c:pt>
                <c:pt idx="1242">
                  <c:v>31510</c:v>
                </c:pt>
                <c:pt idx="1243">
                  <c:v>31363</c:v>
                </c:pt>
                <c:pt idx="1244">
                  <c:v>34884</c:v>
                </c:pt>
                <c:pt idx="1245">
                  <c:v>41113</c:v>
                </c:pt>
                <c:pt idx="1246">
                  <c:v>42757</c:v>
                </c:pt>
                <c:pt idx="1247">
                  <c:v>42566</c:v>
                </c:pt>
                <c:pt idx="1248">
                  <c:v>38959</c:v>
                </c:pt>
                <c:pt idx="1249">
                  <c:v>36467</c:v>
                </c:pt>
                <c:pt idx="1250">
                  <c:v>6848</c:v>
                </c:pt>
                <c:pt idx="1251">
                  <c:v>15008</c:v>
                </c:pt>
                <c:pt idx="1252">
                  <c:v>23938</c:v>
                </c:pt>
                <c:pt idx="1253">
                  <c:v>26104</c:v>
                </c:pt>
                <c:pt idx="1254">
                  <c:v>29980</c:v>
                </c:pt>
                <c:pt idx="1255">
                  <c:v>31923</c:v>
                </c:pt>
                <c:pt idx="1256">
                  <c:v>40867</c:v>
                </c:pt>
                <c:pt idx="1257">
                  <c:v>41108</c:v>
                </c:pt>
                <c:pt idx="1258">
                  <c:v>41518</c:v>
                </c:pt>
                <c:pt idx="1259">
                  <c:v>30705</c:v>
                </c:pt>
                <c:pt idx="1260">
                  <c:v>20957</c:v>
                </c:pt>
                <c:pt idx="1261">
                  <c:v>20871</c:v>
                </c:pt>
                <c:pt idx="1262">
                  <c:v>13473</c:v>
                </c:pt>
                <c:pt idx="1263">
                  <c:v>3941</c:v>
                </c:pt>
                <c:pt idx="1264">
                  <c:v>-1510</c:v>
                </c:pt>
                <c:pt idx="1265">
                  <c:v>-3256</c:v>
                </c:pt>
                <c:pt idx="1266">
                  <c:v>-3848</c:v>
                </c:pt>
                <c:pt idx="1267">
                  <c:v>4845</c:v>
                </c:pt>
                <c:pt idx="1268">
                  <c:v>10294</c:v>
                </c:pt>
                <c:pt idx="1269">
                  <c:v>12056</c:v>
                </c:pt>
                <c:pt idx="1270">
                  <c:v>16748</c:v>
                </c:pt>
                <c:pt idx="1271">
                  <c:v>24218</c:v>
                </c:pt>
                <c:pt idx="1272">
                  <c:v>33522</c:v>
                </c:pt>
                <c:pt idx="1273">
                  <c:v>51915</c:v>
                </c:pt>
                <c:pt idx="1274">
                  <c:v>50978</c:v>
                </c:pt>
                <c:pt idx="1275">
                  <c:v>43265</c:v>
                </c:pt>
                <c:pt idx="1276">
                  <c:v>44955</c:v>
                </c:pt>
                <c:pt idx="1277">
                  <c:v>53138</c:v>
                </c:pt>
                <c:pt idx="1278">
                  <c:v>49593</c:v>
                </c:pt>
                <c:pt idx="1279">
                  <c:v>45151</c:v>
                </c:pt>
                <c:pt idx="1280">
                  <c:v>43262</c:v>
                </c:pt>
                <c:pt idx="1281">
                  <c:v>42702</c:v>
                </c:pt>
                <c:pt idx="1282">
                  <c:v>42675</c:v>
                </c:pt>
                <c:pt idx="1283">
                  <c:v>25784</c:v>
                </c:pt>
                <c:pt idx="1284">
                  <c:v>6344</c:v>
                </c:pt>
                <c:pt idx="1285">
                  <c:v>2635</c:v>
                </c:pt>
                <c:pt idx="1286">
                  <c:v>3067</c:v>
                </c:pt>
                <c:pt idx="1287">
                  <c:v>-114</c:v>
                </c:pt>
                <c:pt idx="1288">
                  <c:v>-1511</c:v>
                </c:pt>
                <c:pt idx="1289">
                  <c:v>15033</c:v>
                </c:pt>
                <c:pt idx="1290">
                  <c:v>19749</c:v>
                </c:pt>
                <c:pt idx="1291">
                  <c:v>32414</c:v>
                </c:pt>
                <c:pt idx="1292">
                  <c:v>36806</c:v>
                </c:pt>
                <c:pt idx="1293">
                  <c:v>51356</c:v>
                </c:pt>
                <c:pt idx="1294">
                  <c:v>56374</c:v>
                </c:pt>
                <c:pt idx="1295">
                  <c:v>60713</c:v>
                </c:pt>
                <c:pt idx="1296">
                  <c:v>58010</c:v>
                </c:pt>
                <c:pt idx="1297">
                  <c:v>59612</c:v>
                </c:pt>
                <c:pt idx="1298">
                  <c:v>60484</c:v>
                </c:pt>
                <c:pt idx="1299">
                  <c:v>66527</c:v>
                </c:pt>
                <c:pt idx="1300">
                  <c:v>64904</c:v>
                </c:pt>
                <c:pt idx="1301">
                  <c:v>63033</c:v>
                </c:pt>
                <c:pt idx="1302">
                  <c:v>72512</c:v>
                </c:pt>
                <c:pt idx="1303">
                  <c:v>77194</c:v>
                </c:pt>
                <c:pt idx="1304">
                  <c:v>71812</c:v>
                </c:pt>
                <c:pt idx="1305">
                  <c:v>69182</c:v>
                </c:pt>
                <c:pt idx="1306">
                  <c:v>61800</c:v>
                </c:pt>
                <c:pt idx="1307">
                  <c:v>57250</c:v>
                </c:pt>
                <c:pt idx="1308">
                  <c:v>51608</c:v>
                </c:pt>
                <c:pt idx="1309">
                  <c:v>45437</c:v>
                </c:pt>
                <c:pt idx="1310">
                  <c:v>44032</c:v>
                </c:pt>
                <c:pt idx="1311">
                  <c:v>39817</c:v>
                </c:pt>
                <c:pt idx="1312">
                  <c:v>38882</c:v>
                </c:pt>
                <c:pt idx="1313">
                  <c:v>40328</c:v>
                </c:pt>
                <c:pt idx="1314">
                  <c:v>40720</c:v>
                </c:pt>
                <c:pt idx="1315">
                  <c:v>-12660</c:v>
                </c:pt>
                <c:pt idx="1316">
                  <c:v>-13639</c:v>
                </c:pt>
                <c:pt idx="1317">
                  <c:v>-20026</c:v>
                </c:pt>
                <c:pt idx="1318">
                  <c:v>5458</c:v>
                </c:pt>
                <c:pt idx="1319">
                  <c:v>10074</c:v>
                </c:pt>
                <c:pt idx="1320">
                  <c:v>16679</c:v>
                </c:pt>
                <c:pt idx="1321">
                  <c:v>13151</c:v>
                </c:pt>
                <c:pt idx="1322">
                  <c:v>13748</c:v>
                </c:pt>
                <c:pt idx="1323">
                  <c:v>9081</c:v>
                </c:pt>
                <c:pt idx="1324">
                  <c:v>11875</c:v>
                </c:pt>
                <c:pt idx="1325">
                  <c:v>9574</c:v>
                </c:pt>
                <c:pt idx="1326">
                  <c:v>3135</c:v>
                </c:pt>
                <c:pt idx="1327">
                  <c:v>-779</c:v>
                </c:pt>
                <c:pt idx="1328">
                  <c:v>17925</c:v>
                </c:pt>
                <c:pt idx="1329">
                  <c:v>8074</c:v>
                </c:pt>
                <c:pt idx="1330">
                  <c:v>-75</c:v>
                </c:pt>
                <c:pt idx="1331">
                  <c:v>-2796</c:v>
                </c:pt>
                <c:pt idx="1332">
                  <c:v>-10155</c:v>
                </c:pt>
                <c:pt idx="1333">
                  <c:v>-3396</c:v>
                </c:pt>
                <c:pt idx="1334">
                  <c:v>-5672</c:v>
                </c:pt>
                <c:pt idx="1335">
                  <c:v>-16766</c:v>
                </c:pt>
                <c:pt idx="1336">
                  <c:v>-23106</c:v>
                </c:pt>
                <c:pt idx="1337">
                  <c:v>-21112</c:v>
                </c:pt>
                <c:pt idx="1338">
                  <c:v>-23235</c:v>
                </c:pt>
                <c:pt idx="1339">
                  <c:v>-20208</c:v>
                </c:pt>
                <c:pt idx="1340">
                  <c:v>-15235</c:v>
                </c:pt>
                <c:pt idx="1341">
                  <c:v>-43099</c:v>
                </c:pt>
                <c:pt idx="1342">
                  <c:v>-40978</c:v>
                </c:pt>
                <c:pt idx="1343">
                  <c:v>-39230</c:v>
                </c:pt>
                <c:pt idx="1344">
                  <c:v>-40973</c:v>
                </c:pt>
                <c:pt idx="1345">
                  <c:v>-40525</c:v>
                </c:pt>
                <c:pt idx="1346">
                  <c:v>-45486</c:v>
                </c:pt>
                <c:pt idx="1347">
                  <c:v>-51476</c:v>
                </c:pt>
                <c:pt idx="1348">
                  <c:v>-54540</c:v>
                </c:pt>
                <c:pt idx="1349">
                  <c:v>-51783</c:v>
                </c:pt>
                <c:pt idx="1350">
                  <c:v>-50207</c:v>
                </c:pt>
                <c:pt idx="1351">
                  <c:v>-44633</c:v>
                </c:pt>
                <c:pt idx="1352">
                  <c:v>-44031</c:v>
                </c:pt>
                <c:pt idx="1353">
                  <c:v>-44312</c:v>
                </c:pt>
                <c:pt idx="1354">
                  <c:v>-68003</c:v>
                </c:pt>
                <c:pt idx="1355">
                  <c:v>-72061</c:v>
                </c:pt>
                <c:pt idx="1356">
                  <c:v>-71718</c:v>
                </c:pt>
                <c:pt idx="1357">
                  <c:v>-73284</c:v>
                </c:pt>
                <c:pt idx="1358">
                  <c:v>-71491</c:v>
                </c:pt>
                <c:pt idx="1359">
                  <c:v>-70368</c:v>
                </c:pt>
                <c:pt idx="1360">
                  <c:v>-70412</c:v>
                </c:pt>
                <c:pt idx="1361">
                  <c:v>-66445</c:v>
                </c:pt>
                <c:pt idx="1362">
                  <c:v>-59780</c:v>
                </c:pt>
                <c:pt idx="1363">
                  <c:v>-59180</c:v>
                </c:pt>
                <c:pt idx="1364">
                  <c:v>-53903</c:v>
                </c:pt>
                <c:pt idx="1365">
                  <c:v>-50755</c:v>
                </c:pt>
                <c:pt idx="1366">
                  <c:v>-45531</c:v>
                </c:pt>
                <c:pt idx="1367">
                  <c:v>-35069</c:v>
                </c:pt>
                <c:pt idx="1368">
                  <c:v>-31261</c:v>
                </c:pt>
                <c:pt idx="1369">
                  <c:v>-26291</c:v>
                </c:pt>
                <c:pt idx="1370">
                  <c:v>-37775</c:v>
                </c:pt>
                <c:pt idx="1371">
                  <c:v>-37969</c:v>
                </c:pt>
                <c:pt idx="1372">
                  <c:v>-36063</c:v>
                </c:pt>
                <c:pt idx="1373">
                  <c:v>-32112</c:v>
                </c:pt>
                <c:pt idx="1374">
                  <c:v>-35617</c:v>
                </c:pt>
                <c:pt idx="1375">
                  <c:v>-34495</c:v>
                </c:pt>
                <c:pt idx="1376">
                  <c:v>-37068</c:v>
                </c:pt>
                <c:pt idx="1377">
                  <c:v>-35743</c:v>
                </c:pt>
                <c:pt idx="1378">
                  <c:v>-40741</c:v>
                </c:pt>
                <c:pt idx="1379">
                  <c:v>-43699</c:v>
                </c:pt>
                <c:pt idx="1380">
                  <c:v>-51902</c:v>
                </c:pt>
                <c:pt idx="1381">
                  <c:v>-53670</c:v>
                </c:pt>
                <c:pt idx="1382">
                  <c:v>-55743</c:v>
                </c:pt>
                <c:pt idx="1383">
                  <c:v>-54416</c:v>
                </c:pt>
                <c:pt idx="1384">
                  <c:v>-46880</c:v>
                </c:pt>
                <c:pt idx="1385">
                  <c:v>-50449</c:v>
                </c:pt>
                <c:pt idx="1386">
                  <c:v>-59005</c:v>
                </c:pt>
                <c:pt idx="1387">
                  <c:v>-57049</c:v>
                </c:pt>
                <c:pt idx="1388">
                  <c:v>-64046</c:v>
                </c:pt>
                <c:pt idx="1389">
                  <c:v>-66111</c:v>
                </c:pt>
                <c:pt idx="1390">
                  <c:v>-66393</c:v>
                </c:pt>
                <c:pt idx="1391">
                  <c:v>-63291</c:v>
                </c:pt>
                <c:pt idx="1392">
                  <c:v>-63226</c:v>
                </c:pt>
                <c:pt idx="1393">
                  <c:v>-64863</c:v>
                </c:pt>
                <c:pt idx="1394">
                  <c:v>-66320</c:v>
                </c:pt>
                <c:pt idx="1395">
                  <c:v>-58735</c:v>
                </c:pt>
                <c:pt idx="1396">
                  <c:v>-54007</c:v>
                </c:pt>
                <c:pt idx="1397">
                  <c:v>-52576</c:v>
                </c:pt>
                <c:pt idx="1398">
                  <c:v>-47980</c:v>
                </c:pt>
                <c:pt idx="1399">
                  <c:v>-53442</c:v>
                </c:pt>
                <c:pt idx="1400">
                  <c:v>-55511</c:v>
                </c:pt>
                <c:pt idx="1401">
                  <c:v>-62912</c:v>
                </c:pt>
                <c:pt idx="1402">
                  <c:v>-62781</c:v>
                </c:pt>
                <c:pt idx="1403">
                  <c:v>-61032</c:v>
                </c:pt>
                <c:pt idx="1404">
                  <c:v>-59318</c:v>
                </c:pt>
                <c:pt idx="1405">
                  <c:v>-53014</c:v>
                </c:pt>
                <c:pt idx="1406">
                  <c:v>-40082</c:v>
                </c:pt>
                <c:pt idx="1407">
                  <c:v>-47155</c:v>
                </c:pt>
                <c:pt idx="1408">
                  <c:v>-52302</c:v>
                </c:pt>
                <c:pt idx="1409">
                  <c:v>-46944</c:v>
                </c:pt>
                <c:pt idx="1410">
                  <c:v>-47605</c:v>
                </c:pt>
                <c:pt idx="1411">
                  <c:v>-43986</c:v>
                </c:pt>
                <c:pt idx="1412">
                  <c:v>-40287</c:v>
                </c:pt>
                <c:pt idx="1413">
                  <c:v>-26794</c:v>
                </c:pt>
                <c:pt idx="1414">
                  <c:v>-40809</c:v>
                </c:pt>
                <c:pt idx="1415">
                  <c:v>-47240</c:v>
                </c:pt>
                <c:pt idx="1416">
                  <c:v>-45355</c:v>
                </c:pt>
                <c:pt idx="1417">
                  <c:v>-36433</c:v>
                </c:pt>
                <c:pt idx="1418">
                  <c:v>-36808</c:v>
                </c:pt>
                <c:pt idx="1419">
                  <c:v>-46578</c:v>
                </c:pt>
                <c:pt idx="1420">
                  <c:v>-46164</c:v>
                </c:pt>
                <c:pt idx="1421">
                  <c:v>-38339</c:v>
                </c:pt>
                <c:pt idx="1422">
                  <c:v>-27249</c:v>
                </c:pt>
                <c:pt idx="1423">
                  <c:v>-20549</c:v>
                </c:pt>
                <c:pt idx="1424">
                  <c:v>-19301</c:v>
                </c:pt>
                <c:pt idx="1425">
                  <c:v>-27520</c:v>
                </c:pt>
                <c:pt idx="1426">
                  <c:v>-43297</c:v>
                </c:pt>
                <c:pt idx="1427">
                  <c:v>-32668</c:v>
                </c:pt>
                <c:pt idx="1428">
                  <c:v>-37477</c:v>
                </c:pt>
                <c:pt idx="1429">
                  <c:v>-43852</c:v>
                </c:pt>
                <c:pt idx="1430">
                  <c:v>-51953</c:v>
                </c:pt>
                <c:pt idx="1431">
                  <c:v>-54013</c:v>
                </c:pt>
                <c:pt idx="1432">
                  <c:v>-28733</c:v>
                </c:pt>
                <c:pt idx="1433">
                  <c:v>-25207</c:v>
                </c:pt>
                <c:pt idx="1434">
                  <c:v>-31664</c:v>
                </c:pt>
                <c:pt idx="1435">
                  <c:v>-35398</c:v>
                </c:pt>
                <c:pt idx="1436">
                  <c:v>-35554</c:v>
                </c:pt>
                <c:pt idx="1437">
                  <c:v>-34820</c:v>
                </c:pt>
                <c:pt idx="1438">
                  <c:v>-37741</c:v>
                </c:pt>
                <c:pt idx="1439">
                  <c:v>-33455</c:v>
                </c:pt>
                <c:pt idx="1440">
                  <c:v>-35425</c:v>
                </c:pt>
                <c:pt idx="1441">
                  <c:v>-39558</c:v>
                </c:pt>
                <c:pt idx="1442">
                  <c:v>-40538</c:v>
                </c:pt>
                <c:pt idx="1443">
                  <c:v>-40791</c:v>
                </c:pt>
                <c:pt idx="1444">
                  <c:v>-36575</c:v>
                </c:pt>
                <c:pt idx="1445">
                  <c:v>-6532</c:v>
                </c:pt>
                <c:pt idx="1446">
                  <c:v>-4810</c:v>
                </c:pt>
                <c:pt idx="1447">
                  <c:v>-2908</c:v>
                </c:pt>
                <c:pt idx="1448">
                  <c:v>-694</c:v>
                </c:pt>
                <c:pt idx="1449">
                  <c:v>4250</c:v>
                </c:pt>
                <c:pt idx="1450">
                  <c:v>-205</c:v>
                </c:pt>
                <c:pt idx="1451">
                  <c:v>-5012</c:v>
                </c:pt>
                <c:pt idx="1452">
                  <c:v>-1048</c:v>
                </c:pt>
                <c:pt idx="1453">
                  <c:v>-3488</c:v>
                </c:pt>
                <c:pt idx="1454">
                  <c:v>-3300</c:v>
                </c:pt>
                <c:pt idx="1455">
                  <c:v>-3899</c:v>
                </c:pt>
                <c:pt idx="1456">
                  <c:v>-165</c:v>
                </c:pt>
                <c:pt idx="1457">
                  <c:v>-2044</c:v>
                </c:pt>
                <c:pt idx="1458">
                  <c:v>16219</c:v>
                </c:pt>
                <c:pt idx="1459">
                  <c:v>16339</c:v>
                </c:pt>
                <c:pt idx="1460">
                  <c:v>8937</c:v>
                </c:pt>
                <c:pt idx="1461">
                  <c:v>10847</c:v>
                </c:pt>
                <c:pt idx="1462">
                  <c:v>3854</c:v>
                </c:pt>
                <c:pt idx="1463">
                  <c:v>6755</c:v>
                </c:pt>
                <c:pt idx="1464">
                  <c:v>8890</c:v>
                </c:pt>
                <c:pt idx="1465">
                  <c:v>-1314</c:v>
                </c:pt>
                <c:pt idx="1466">
                  <c:v>-8720</c:v>
                </c:pt>
                <c:pt idx="1467">
                  <c:v>-6123</c:v>
                </c:pt>
                <c:pt idx="1468">
                  <c:v>-5277</c:v>
                </c:pt>
                <c:pt idx="1469">
                  <c:v>-10800</c:v>
                </c:pt>
                <c:pt idx="1470">
                  <c:v>-10107</c:v>
                </c:pt>
                <c:pt idx="1471">
                  <c:v>-9325</c:v>
                </c:pt>
                <c:pt idx="1472">
                  <c:v>-4419</c:v>
                </c:pt>
                <c:pt idx="1473">
                  <c:v>-6506</c:v>
                </c:pt>
                <c:pt idx="1474">
                  <c:v>-3907</c:v>
                </c:pt>
                <c:pt idx="1475">
                  <c:v>5456</c:v>
                </c:pt>
                <c:pt idx="1476">
                  <c:v>4860</c:v>
                </c:pt>
                <c:pt idx="1477">
                  <c:v>771</c:v>
                </c:pt>
                <c:pt idx="1478">
                  <c:v>-1467</c:v>
                </c:pt>
                <c:pt idx="1479">
                  <c:v>-216</c:v>
                </c:pt>
                <c:pt idx="1480">
                  <c:v>-2821</c:v>
                </c:pt>
                <c:pt idx="1481">
                  <c:v>-1636</c:v>
                </c:pt>
                <c:pt idx="1482">
                  <c:v>6041</c:v>
                </c:pt>
                <c:pt idx="1483">
                  <c:v>8075</c:v>
                </c:pt>
                <c:pt idx="1484">
                  <c:v>7620</c:v>
                </c:pt>
                <c:pt idx="1485">
                  <c:v>5942</c:v>
                </c:pt>
                <c:pt idx="1486">
                  <c:v>12263</c:v>
                </c:pt>
                <c:pt idx="1487">
                  <c:v>4066</c:v>
                </c:pt>
                <c:pt idx="1488">
                  <c:v>3759</c:v>
                </c:pt>
                <c:pt idx="1489">
                  <c:v>-1806</c:v>
                </c:pt>
                <c:pt idx="1490">
                  <c:v>-1410</c:v>
                </c:pt>
                <c:pt idx="1491">
                  <c:v>1476</c:v>
                </c:pt>
                <c:pt idx="1492">
                  <c:v>2416</c:v>
                </c:pt>
                <c:pt idx="1493">
                  <c:v>3002</c:v>
                </c:pt>
                <c:pt idx="1494">
                  <c:v>-809</c:v>
                </c:pt>
                <c:pt idx="1495">
                  <c:v>-1925</c:v>
                </c:pt>
                <c:pt idx="1496">
                  <c:v>-9437</c:v>
                </c:pt>
                <c:pt idx="1497">
                  <c:v>-17880</c:v>
                </c:pt>
                <c:pt idx="1498">
                  <c:v>-17575</c:v>
                </c:pt>
                <c:pt idx="1499">
                  <c:v>-17800</c:v>
                </c:pt>
                <c:pt idx="1500">
                  <c:v>-24870</c:v>
                </c:pt>
                <c:pt idx="1501">
                  <c:v>-28788</c:v>
                </c:pt>
                <c:pt idx="1502">
                  <c:v>-35690</c:v>
                </c:pt>
                <c:pt idx="1503">
                  <c:v>-39347</c:v>
                </c:pt>
                <c:pt idx="1504">
                  <c:v>-41283</c:v>
                </c:pt>
                <c:pt idx="1505">
                  <c:v>-49313</c:v>
                </c:pt>
                <c:pt idx="1506">
                  <c:v>-50367</c:v>
                </c:pt>
                <c:pt idx="1507">
                  <c:v>-56600</c:v>
                </c:pt>
                <c:pt idx="1508">
                  <c:v>-60078</c:v>
                </c:pt>
                <c:pt idx="1509">
                  <c:v>-70488</c:v>
                </c:pt>
                <c:pt idx="1510">
                  <c:v>-83383</c:v>
                </c:pt>
                <c:pt idx="1511">
                  <c:v>-85584</c:v>
                </c:pt>
                <c:pt idx="1512">
                  <c:v>-86383</c:v>
                </c:pt>
                <c:pt idx="1513">
                  <c:v>-89979</c:v>
                </c:pt>
                <c:pt idx="1514">
                  <c:v>-87608</c:v>
                </c:pt>
                <c:pt idx="1515">
                  <c:v>-76058</c:v>
                </c:pt>
                <c:pt idx="1516">
                  <c:v>-75246</c:v>
                </c:pt>
                <c:pt idx="1517">
                  <c:v>-75496</c:v>
                </c:pt>
                <c:pt idx="1518">
                  <c:v>-63424</c:v>
                </c:pt>
                <c:pt idx="1519">
                  <c:v>-61153</c:v>
                </c:pt>
                <c:pt idx="1520">
                  <c:v>-63265</c:v>
                </c:pt>
                <c:pt idx="1521">
                  <c:v>-80185</c:v>
                </c:pt>
                <c:pt idx="1522">
                  <c:v>-81792</c:v>
                </c:pt>
                <c:pt idx="1523">
                  <c:v>-78903</c:v>
                </c:pt>
                <c:pt idx="1524">
                  <c:v>-80354</c:v>
                </c:pt>
                <c:pt idx="1525">
                  <c:v>-81741</c:v>
                </c:pt>
                <c:pt idx="1526">
                  <c:v>-89366</c:v>
                </c:pt>
                <c:pt idx="1527">
                  <c:v>-91486</c:v>
                </c:pt>
                <c:pt idx="1528">
                  <c:v>-88454</c:v>
                </c:pt>
                <c:pt idx="1529">
                  <c:v>-83273</c:v>
                </c:pt>
                <c:pt idx="1530">
                  <c:v>-79829</c:v>
                </c:pt>
                <c:pt idx="1531">
                  <c:v>-85741</c:v>
                </c:pt>
                <c:pt idx="1532">
                  <c:v>-86694</c:v>
                </c:pt>
                <c:pt idx="1533">
                  <c:v>-84080</c:v>
                </c:pt>
                <c:pt idx="1534">
                  <c:v>-78336</c:v>
                </c:pt>
                <c:pt idx="1535">
                  <c:v>-78195</c:v>
                </c:pt>
                <c:pt idx="1536">
                  <c:v>-44856</c:v>
                </c:pt>
                <c:pt idx="1537">
                  <c:v>-51189</c:v>
                </c:pt>
                <c:pt idx="1538">
                  <c:v>-49606</c:v>
                </c:pt>
                <c:pt idx="1539">
                  <c:v>-37513</c:v>
                </c:pt>
                <c:pt idx="1540">
                  <c:v>-28715</c:v>
                </c:pt>
                <c:pt idx="1541">
                  <c:v>-28837</c:v>
                </c:pt>
                <c:pt idx="1542">
                  <c:v>-27651</c:v>
                </c:pt>
                <c:pt idx="1543">
                  <c:v>-28516</c:v>
                </c:pt>
                <c:pt idx="1544">
                  <c:v>-41714</c:v>
                </c:pt>
                <c:pt idx="1545">
                  <c:v>-44642</c:v>
                </c:pt>
                <c:pt idx="1546">
                  <c:v>-45446</c:v>
                </c:pt>
                <c:pt idx="1547">
                  <c:v>-48682</c:v>
                </c:pt>
                <c:pt idx="1548">
                  <c:v>-47896</c:v>
                </c:pt>
                <c:pt idx="1549">
                  <c:v>-43254</c:v>
                </c:pt>
                <c:pt idx="1550">
                  <c:v>-40606</c:v>
                </c:pt>
                <c:pt idx="1551">
                  <c:v>-42980</c:v>
                </c:pt>
                <c:pt idx="1552">
                  <c:v>-47621</c:v>
                </c:pt>
                <c:pt idx="1553">
                  <c:v>-41600</c:v>
                </c:pt>
                <c:pt idx="1554">
                  <c:v>-43148</c:v>
                </c:pt>
                <c:pt idx="1555">
                  <c:v>-47385</c:v>
                </c:pt>
                <c:pt idx="1556">
                  <c:v>-55950</c:v>
                </c:pt>
                <c:pt idx="1557">
                  <c:v>-57588</c:v>
                </c:pt>
                <c:pt idx="1558">
                  <c:v>-59248</c:v>
                </c:pt>
                <c:pt idx="1559">
                  <c:v>-60028</c:v>
                </c:pt>
                <c:pt idx="1560">
                  <c:v>-57393</c:v>
                </c:pt>
                <c:pt idx="1561">
                  <c:v>-56500</c:v>
                </c:pt>
                <c:pt idx="1562">
                  <c:v>-57850</c:v>
                </c:pt>
              </c:numCache>
            </c:numRef>
          </c:val>
          <c:extLst>
            <c:ext xmlns:c16="http://schemas.microsoft.com/office/drawing/2014/chart" uri="{C3380CC4-5D6E-409C-BE32-E72D297353CC}">
              <c16:uniqueId val="{00000000-6BFE-4551-B6FC-991DFB470F1F}"/>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1"/>
          <c:order val="0"/>
          <c:tx>
            <c:strRef>
              <c:f>Database!$C$1</c:f>
              <c:strCache>
                <c:ptCount val="1"/>
                <c:pt idx="0">
                  <c:v>BRL</c:v>
                </c:pt>
              </c:strCache>
            </c:strRef>
          </c:tx>
          <c:spPr>
            <a:solidFill>
              <a:schemeClr val="accent2"/>
            </a:solidFill>
            <a:ln>
              <a:noFill/>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Database!$C$2:$C$1564</c:f>
              <c:numCache>
                <c:formatCode>General</c:formatCode>
                <c:ptCount val="1563"/>
                <c:pt idx="1317">
                  <c:v>0</c:v>
                </c:pt>
                <c:pt idx="1318">
                  <c:v>0</c:v>
                </c:pt>
                <c:pt idx="1319">
                  <c:v>0</c:v>
                </c:pt>
                <c:pt idx="1320">
                  <c:v>0</c:v>
                </c:pt>
                <c:pt idx="1321">
                  <c:v>0</c:v>
                </c:pt>
                <c:pt idx="1322">
                  <c:v>0</c:v>
                </c:pt>
                <c:pt idx="1323">
                  <c:v>0</c:v>
                </c:pt>
                <c:pt idx="1324">
                  <c:v>0</c:v>
                </c:pt>
                <c:pt idx="1325">
                  <c:v>2533</c:v>
                </c:pt>
                <c:pt idx="1326">
                  <c:v>-12374</c:v>
                </c:pt>
                <c:pt idx="1327">
                  <c:v>-13318</c:v>
                </c:pt>
                <c:pt idx="1328">
                  <c:v>-12495</c:v>
                </c:pt>
                <c:pt idx="1329">
                  <c:v>-14013</c:v>
                </c:pt>
                <c:pt idx="1330">
                  <c:v>-22788</c:v>
                </c:pt>
                <c:pt idx="1331">
                  <c:v>-22192</c:v>
                </c:pt>
                <c:pt idx="1332">
                  <c:v>-22313</c:v>
                </c:pt>
                <c:pt idx="1333">
                  <c:v>-21471</c:v>
                </c:pt>
                <c:pt idx="1334">
                  <c:v>-22142</c:v>
                </c:pt>
                <c:pt idx="1335">
                  <c:v>-25742</c:v>
                </c:pt>
                <c:pt idx="1336">
                  <c:v>-25685</c:v>
                </c:pt>
                <c:pt idx="1337">
                  <c:v>-25341</c:v>
                </c:pt>
                <c:pt idx="1338">
                  <c:v>-25324</c:v>
                </c:pt>
                <c:pt idx="1339">
                  <c:v>-30262</c:v>
                </c:pt>
                <c:pt idx="1340">
                  <c:v>-28526</c:v>
                </c:pt>
                <c:pt idx="1341">
                  <c:v>-28024</c:v>
                </c:pt>
                <c:pt idx="1342">
                  <c:v>-28797</c:v>
                </c:pt>
                <c:pt idx="1343">
                  <c:v>-28556</c:v>
                </c:pt>
                <c:pt idx="1344">
                  <c:v>-27320</c:v>
                </c:pt>
                <c:pt idx="1345">
                  <c:v>-27010</c:v>
                </c:pt>
                <c:pt idx="1346">
                  <c:v>-26432</c:v>
                </c:pt>
                <c:pt idx="1347">
                  <c:v>-21376</c:v>
                </c:pt>
                <c:pt idx="1348">
                  <c:v>-17205</c:v>
                </c:pt>
                <c:pt idx="1349">
                  <c:v>-17126</c:v>
                </c:pt>
                <c:pt idx="1350">
                  <c:v>-18484</c:v>
                </c:pt>
                <c:pt idx="1351">
                  <c:v>-18029</c:v>
                </c:pt>
                <c:pt idx="1352">
                  <c:v>-16771</c:v>
                </c:pt>
                <c:pt idx="1353">
                  <c:v>-26560</c:v>
                </c:pt>
                <c:pt idx="1354">
                  <c:v>-26000</c:v>
                </c:pt>
                <c:pt idx="1355">
                  <c:v>-28589</c:v>
                </c:pt>
                <c:pt idx="1356">
                  <c:v>-27239</c:v>
                </c:pt>
                <c:pt idx="1357">
                  <c:v>-18828</c:v>
                </c:pt>
                <c:pt idx="1358">
                  <c:v>-15693</c:v>
                </c:pt>
                <c:pt idx="1359">
                  <c:v>-15265</c:v>
                </c:pt>
                <c:pt idx="1360">
                  <c:v>-15657</c:v>
                </c:pt>
                <c:pt idx="1361">
                  <c:v>3600</c:v>
                </c:pt>
                <c:pt idx="1362">
                  <c:v>3214</c:v>
                </c:pt>
                <c:pt idx="1363">
                  <c:v>4043</c:v>
                </c:pt>
                <c:pt idx="1364">
                  <c:v>2455</c:v>
                </c:pt>
                <c:pt idx="1365">
                  <c:v>511</c:v>
                </c:pt>
                <c:pt idx="1366">
                  <c:v>-13</c:v>
                </c:pt>
                <c:pt idx="1367">
                  <c:v>219</c:v>
                </c:pt>
                <c:pt idx="1368">
                  <c:v>-485</c:v>
                </c:pt>
                <c:pt idx="1369">
                  <c:v>-3143</c:v>
                </c:pt>
                <c:pt idx="1370">
                  <c:v>-2896</c:v>
                </c:pt>
                <c:pt idx="1371">
                  <c:v>-1455</c:v>
                </c:pt>
                <c:pt idx="1372">
                  <c:v>36</c:v>
                </c:pt>
                <c:pt idx="1373">
                  <c:v>-108</c:v>
                </c:pt>
                <c:pt idx="1374">
                  <c:v>2767</c:v>
                </c:pt>
                <c:pt idx="1375">
                  <c:v>1476</c:v>
                </c:pt>
                <c:pt idx="1376">
                  <c:v>1025</c:v>
                </c:pt>
                <c:pt idx="1377">
                  <c:v>1097</c:v>
                </c:pt>
                <c:pt idx="1378">
                  <c:v>3138</c:v>
                </c:pt>
                <c:pt idx="1379">
                  <c:v>-4458</c:v>
                </c:pt>
                <c:pt idx="1380">
                  <c:v>1258</c:v>
                </c:pt>
                <c:pt idx="1381">
                  <c:v>-3159</c:v>
                </c:pt>
                <c:pt idx="1382">
                  <c:v>-14059</c:v>
                </c:pt>
                <c:pt idx="1383">
                  <c:v>-14769</c:v>
                </c:pt>
                <c:pt idx="1384">
                  <c:v>-14063</c:v>
                </c:pt>
                <c:pt idx="1385">
                  <c:v>-16357</c:v>
                </c:pt>
                <c:pt idx="1386">
                  <c:v>-15651</c:v>
                </c:pt>
                <c:pt idx="1387">
                  <c:v>-24481</c:v>
                </c:pt>
                <c:pt idx="1388">
                  <c:v>-25920</c:v>
                </c:pt>
                <c:pt idx="1389">
                  <c:v>-25900</c:v>
                </c:pt>
                <c:pt idx="1390">
                  <c:v>-26901</c:v>
                </c:pt>
                <c:pt idx="1391">
                  <c:v>-30679</c:v>
                </c:pt>
                <c:pt idx="1392">
                  <c:v>-25647</c:v>
                </c:pt>
                <c:pt idx="1393">
                  <c:v>-22567</c:v>
                </c:pt>
                <c:pt idx="1394">
                  <c:v>-22668</c:v>
                </c:pt>
                <c:pt idx="1395">
                  <c:v>-4262</c:v>
                </c:pt>
                <c:pt idx="1396">
                  <c:v>-94</c:v>
                </c:pt>
                <c:pt idx="1397">
                  <c:v>2365</c:v>
                </c:pt>
                <c:pt idx="1398">
                  <c:v>2996</c:v>
                </c:pt>
                <c:pt idx="1399">
                  <c:v>2224</c:v>
                </c:pt>
                <c:pt idx="1400">
                  <c:v>9269</c:v>
                </c:pt>
                <c:pt idx="1401">
                  <c:v>676</c:v>
                </c:pt>
                <c:pt idx="1402">
                  <c:v>-8661</c:v>
                </c:pt>
                <c:pt idx="1403">
                  <c:v>-9752</c:v>
                </c:pt>
                <c:pt idx="1404">
                  <c:v>-10928</c:v>
                </c:pt>
                <c:pt idx="1405">
                  <c:v>-34732</c:v>
                </c:pt>
                <c:pt idx="1406">
                  <c:v>-34303</c:v>
                </c:pt>
                <c:pt idx="1407">
                  <c:v>-34451</c:v>
                </c:pt>
                <c:pt idx="1408">
                  <c:v>-39880</c:v>
                </c:pt>
                <c:pt idx="1409">
                  <c:v>-45833</c:v>
                </c:pt>
                <c:pt idx="1410">
                  <c:v>-44435</c:v>
                </c:pt>
                <c:pt idx="1411">
                  <c:v>-47024</c:v>
                </c:pt>
                <c:pt idx="1412">
                  <c:v>-43719</c:v>
                </c:pt>
                <c:pt idx="1413">
                  <c:v>-43452</c:v>
                </c:pt>
                <c:pt idx="1414">
                  <c:v>-43098</c:v>
                </c:pt>
                <c:pt idx="1415">
                  <c:v>-42863</c:v>
                </c:pt>
                <c:pt idx="1416">
                  <c:v>-44614</c:v>
                </c:pt>
                <c:pt idx="1417">
                  <c:v>-51274</c:v>
                </c:pt>
                <c:pt idx="1418">
                  <c:v>-46995</c:v>
                </c:pt>
                <c:pt idx="1419">
                  <c:v>-42690</c:v>
                </c:pt>
                <c:pt idx="1420">
                  <c:v>-39978</c:v>
                </c:pt>
                <c:pt idx="1421">
                  <c:v>-38730</c:v>
                </c:pt>
                <c:pt idx="1422">
                  <c:v>-19623</c:v>
                </c:pt>
                <c:pt idx="1423">
                  <c:v>-19455</c:v>
                </c:pt>
                <c:pt idx="1424">
                  <c:v>-21335</c:v>
                </c:pt>
                <c:pt idx="1425">
                  <c:v>-23624</c:v>
                </c:pt>
                <c:pt idx="1426">
                  <c:v>-30336</c:v>
                </c:pt>
                <c:pt idx="1427">
                  <c:v>-32205</c:v>
                </c:pt>
                <c:pt idx="1428">
                  <c:v>-34980</c:v>
                </c:pt>
                <c:pt idx="1429">
                  <c:v>-36987</c:v>
                </c:pt>
                <c:pt idx="1430">
                  <c:v>-42858</c:v>
                </c:pt>
                <c:pt idx="1431">
                  <c:v>-39826</c:v>
                </c:pt>
                <c:pt idx="1432">
                  <c:v>-33983</c:v>
                </c:pt>
                <c:pt idx="1433">
                  <c:v>-33269</c:v>
                </c:pt>
                <c:pt idx="1434">
                  <c:v>-27804</c:v>
                </c:pt>
                <c:pt idx="1435">
                  <c:v>-9328</c:v>
                </c:pt>
                <c:pt idx="1436">
                  <c:v>-9444</c:v>
                </c:pt>
                <c:pt idx="1437">
                  <c:v>-9394</c:v>
                </c:pt>
                <c:pt idx="1438">
                  <c:v>-9256</c:v>
                </c:pt>
                <c:pt idx="1439">
                  <c:v>-11089</c:v>
                </c:pt>
                <c:pt idx="1440">
                  <c:v>-9753</c:v>
                </c:pt>
                <c:pt idx="1441">
                  <c:v>-10416</c:v>
                </c:pt>
                <c:pt idx="1442">
                  <c:v>-11158</c:v>
                </c:pt>
                <c:pt idx="1443">
                  <c:v>-12003</c:v>
                </c:pt>
                <c:pt idx="1444">
                  <c:v>-13014</c:v>
                </c:pt>
                <c:pt idx="1445">
                  <c:v>-12470</c:v>
                </c:pt>
                <c:pt idx="1446">
                  <c:v>-11309</c:v>
                </c:pt>
                <c:pt idx="1447">
                  <c:v>-10709</c:v>
                </c:pt>
                <c:pt idx="1448">
                  <c:v>-9615</c:v>
                </c:pt>
                <c:pt idx="1449">
                  <c:v>-9406</c:v>
                </c:pt>
                <c:pt idx="1450">
                  <c:v>-10821</c:v>
                </c:pt>
                <c:pt idx="1451">
                  <c:v>-10734</c:v>
                </c:pt>
                <c:pt idx="1452">
                  <c:v>-12702</c:v>
                </c:pt>
                <c:pt idx="1453">
                  <c:v>-13546</c:v>
                </c:pt>
                <c:pt idx="1454">
                  <c:v>-16159</c:v>
                </c:pt>
                <c:pt idx="1455">
                  <c:v>-12814</c:v>
                </c:pt>
                <c:pt idx="1456">
                  <c:v>-19274</c:v>
                </c:pt>
                <c:pt idx="1457">
                  <c:v>-26136</c:v>
                </c:pt>
                <c:pt idx="1458">
                  <c:v>-25013</c:v>
                </c:pt>
                <c:pt idx="1459">
                  <c:v>-23794</c:v>
                </c:pt>
                <c:pt idx="1460">
                  <c:v>-23214</c:v>
                </c:pt>
                <c:pt idx="1461">
                  <c:v>-26298</c:v>
                </c:pt>
                <c:pt idx="1462">
                  <c:v>-26591</c:v>
                </c:pt>
                <c:pt idx="1463">
                  <c:v>-27570</c:v>
                </c:pt>
                <c:pt idx="1464">
                  <c:v>-26894</c:v>
                </c:pt>
                <c:pt idx="1465">
                  <c:v>-28162</c:v>
                </c:pt>
                <c:pt idx="1466">
                  <c:v>-25938</c:v>
                </c:pt>
                <c:pt idx="1467">
                  <c:v>-21089</c:v>
                </c:pt>
                <c:pt idx="1468">
                  <c:v>-18145</c:v>
                </c:pt>
                <c:pt idx="1469">
                  <c:v>-17773</c:v>
                </c:pt>
                <c:pt idx="1470">
                  <c:v>-12718</c:v>
                </c:pt>
                <c:pt idx="1471">
                  <c:v>-9213</c:v>
                </c:pt>
                <c:pt idx="1472">
                  <c:v>-9503</c:v>
                </c:pt>
                <c:pt idx="1473">
                  <c:v>-9677</c:v>
                </c:pt>
                <c:pt idx="1474">
                  <c:v>-3194</c:v>
                </c:pt>
                <c:pt idx="1475">
                  <c:v>-5732</c:v>
                </c:pt>
                <c:pt idx="1476">
                  <c:v>-7145</c:v>
                </c:pt>
                <c:pt idx="1477">
                  <c:v>-8330</c:v>
                </c:pt>
                <c:pt idx="1478">
                  <c:v>-14449</c:v>
                </c:pt>
                <c:pt idx="1479">
                  <c:v>-17366</c:v>
                </c:pt>
                <c:pt idx="1480">
                  <c:v>-18206</c:v>
                </c:pt>
                <c:pt idx="1481">
                  <c:v>-15937</c:v>
                </c:pt>
                <c:pt idx="1482">
                  <c:v>-21051</c:v>
                </c:pt>
                <c:pt idx="1483">
                  <c:v>-23314</c:v>
                </c:pt>
                <c:pt idx="1484">
                  <c:v>-23767</c:v>
                </c:pt>
                <c:pt idx="1485">
                  <c:v>-25249</c:v>
                </c:pt>
                <c:pt idx="1486">
                  <c:v>-25309</c:v>
                </c:pt>
                <c:pt idx="1487">
                  <c:v>-26506</c:v>
                </c:pt>
                <c:pt idx="1488">
                  <c:v>-26591</c:v>
                </c:pt>
                <c:pt idx="1489">
                  <c:v>-25995</c:v>
                </c:pt>
                <c:pt idx="1490">
                  <c:v>-26286</c:v>
                </c:pt>
                <c:pt idx="1491">
                  <c:v>-9898</c:v>
                </c:pt>
                <c:pt idx="1492">
                  <c:v>2513</c:v>
                </c:pt>
                <c:pt idx="1493">
                  <c:v>4831</c:v>
                </c:pt>
                <c:pt idx="1494">
                  <c:v>5607</c:v>
                </c:pt>
                <c:pt idx="1495">
                  <c:v>4088</c:v>
                </c:pt>
                <c:pt idx="1496">
                  <c:v>20048</c:v>
                </c:pt>
                <c:pt idx="1497">
                  <c:v>18659</c:v>
                </c:pt>
                <c:pt idx="1498">
                  <c:v>18265</c:v>
                </c:pt>
                <c:pt idx="1499">
                  <c:v>20486</c:v>
                </c:pt>
                <c:pt idx="1500">
                  <c:v>21305</c:v>
                </c:pt>
                <c:pt idx="1501">
                  <c:v>22220</c:v>
                </c:pt>
                <c:pt idx="1502">
                  <c:v>21413</c:v>
                </c:pt>
                <c:pt idx="1503">
                  <c:v>21761</c:v>
                </c:pt>
                <c:pt idx="1504">
                  <c:v>23444</c:v>
                </c:pt>
                <c:pt idx="1505">
                  <c:v>20538</c:v>
                </c:pt>
                <c:pt idx="1506">
                  <c:v>18989</c:v>
                </c:pt>
                <c:pt idx="1507">
                  <c:v>13346</c:v>
                </c:pt>
                <c:pt idx="1508">
                  <c:v>12258</c:v>
                </c:pt>
                <c:pt idx="1509">
                  <c:v>6334</c:v>
                </c:pt>
                <c:pt idx="1510">
                  <c:v>6994</c:v>
                </c:pt>
                <c:pt idx="1511">
                  <c:v>5772</c:v>
                </c:pt>
                <c:pt idx="1512">
                  <c:v>5086</c:v>
                </c:pt>
                <c:pt idx="1513">
                  <c:v>-2290</c:v>
                </c:pt>
                <c:pt idx="1514">
                  <c:v>-373</c:v>
                </c:pt>
                <c:pt idx="1515">
                  <c:v>-658</c:v>
                </c:pt>
                <c:pt idx="1516">
                  <c:v>-942</c:v>
                </c:pt>
                <c:pt idx="1517">
                  <c:v>-14272</c:v>
                </c:pt>
                <c:pt idx="1518">
                  <c:v>-15458</c:v>
                </c:pt>
                <c:pt idx="1519">
                  <c:v>-15698</c:v>
                </c:pt>
                <c:pt idx="1520">
                  <c:v>-14804</c:v>
                </c:pt>
                <c:pt idx="1521">
                  <c:v>-13842</c:v>
                </c:pt>
                <c:pt idx="1522">
                  <c:v>-5624</c:v>
                </c:pt>
                <c:pt idx="1523">
                  <c:v>-4617</c:v>
                </c:pt>
                <c:pt idx="1524">
                  <c:v>-6547</c:v>
                </c:pt>
                <c:pt idx="1525">
                  <c:v>-5286</c:v>
                </c:pt>
                <c:pt idx="1526">
                  <c:v>-1076</c:v>
                </c:pt>
                <c:pt idx="1527">
                  <c:v>-10812</c:v>
                </c:pt>
                <c:pt idx="1528">
                  <c:v>-11369</c:v>
                </c:pt>
                <c:pt idx="1529">
                  <c:v>-12616</c:v>
                </c:pt>
                <c:pt idx="1530">
                  <c:v>-13353</c:v>
                </c:pt>
                <c:pt idx="1531">
                  <c:v>20246</c:v>
                </c:pt>
                <c:pt idx="1532">
                  <c:v>23760</c:v>
                </c:pt>
                <c:pt idx="1533">
                  <c:v>24445</c:v>
                </c:pt>
                <c:pt idx="1534">
                  <c:v>50448</c:v>
                </c:pt>
                <c:pt idx="1535">
                  <c:v>50496</c:v>
                </c:pt>
                <c:pt idx="1536">
                  <c:v>44163</c:v>
                </c:pt>
                <c:pt idx="1537">
                  <c:v>41564</c:v>
                </c:pt>
                <c:pt idx="1538">
                  <c:v>42616</c:v>
                </c:pt>
                <c:pt idx="1539">
                  <c:v>45526</c:v>
                </c:pt>
                <c:pt idx="1540">
                  <c:v>46129</c:v>
                </c:pt>
                <c:pt idx="1541">
                  <c:v>44572</c:v>
                </c:pt>
                <c:pt idx="1542">
                  <c:v>46884</c:v>
                </c:pt>
                <c:pt idx="1543">
                  <c:v>41788</c:v>
                </c:pt>
                <c:pt idx="1544">
                  <c:v>40778</c:v>
                </c:pt>
                <c:pt idx="1545">
                  <c:v>38095</c:v>
                </c:pt>
                <c:pt idx="1546">
                  <c:v>38714</c:v>
                </c:pt>
                <c:pt idx="1547">
                  <c:v>45316</c:v>
                </c:pt>
                <c:pt idx="1548">
                  <c:v>46705</c:v>
                </c:pt>
                <c:pt idx="1549">
                  <c:v>47213</c:v>
                </c:pt>
                <c:pt idx="1550">
                  <c:v>44345</c:v>
                </c:pt>
                <c:pt idx="1551">
                  <c:v>37028</c:v>
                </c:pt>
                <c:pt idx="1552">
                  <c:v>16333</c:v>
                </c:pt>
                <c:pt idx="1553">
                  <c:v>10205</c:v>
                </c:pt>
                <c:pt idx="1554">
                  <c:v>10475</c:v>
                </c:pt>
                <c:pt idx="1555">
                  <c:v>11712</c:v>
                </c:pt>
                <c:pt idx="1556">
                  <c:v>-1130</c:v>
                </c:pt>
                <c:pt idx="1557">
                  <c:v>1733</c:v>
                </c:pt>
                <c:pt idx="1558">
                  <c:v>6523</c:v>
                </c:pt>
                <c:pt idx="1559">
                  <c:v>6365</c:v>
                </c:pt>
                <c:pt idx="1560">
                  <c:v>8859</c:v>
                </c:pt>
                <c:pt idx="1561">
                  <c:v>30860</c:v>
                </c:pt>
                <c:pt idx="1562">
                  <c:v>32953</c:v>
                </c:pt>
              </c:numCache>
            </c:numRef>
          </c:val>
          <c:extLst>
            <c:ext xmlns:c16="http://schemas.microsoft.com/office/drawing/2014/chart" uri="{C3380CC4-5D6E-409C-BE32-E72D297353CC}">
              <c16:uniqueId val="{00000000-4EDE-44B5-B911-68219CEB640D}"/>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2"/>
          <c:order val="0"/>
          <c:tx>
            <c:strRef>
              <c:f>Database!$D$1</c:f>
              <c:strCache>
                <c:ptCount val="1"/>
                <c:pt idx="0">
                  <c:v>CAD</c:v>
                </c:pt>
              </c:strCache>
            </c:strRef>
          </c:tx>
          <c:spPr>
            <a:solidFill>
              <a:schemeClr val="accent3"/>
            </a:solidFill>
            <a:ln>
              <a:noFill/>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Database!$D$2:$D$1564</c:f>
              <c:numCache>
                <c:formatCode>General</c:formatCode>
                <c:ptCount val="1563"/>
                <c:pt idx="13">
                  <c:v>758</c:v>
                </c:pt>
                <c:pt idx="14">
                  <c:v>-6</c:v>
                </c:pt>
                <c:pt idx="15">
                  <c:v>-359</c:v>
                </c:pt>
                <c:pt idx="16">
                  <c:v>-1147</c:v>
                </c:pt>
                <c:pt idx="17">
                  <c:v>3878</c:v>
                </c:pt>
                <c:pt idx="18">
                  <c:v>4504</c:v>
                </c:pt>
                <c:pt idx="19">
                  <c:v>4939</c:v>
                </c:pt>
                <c:pt idx="20">
                  <c:v>6167</c:v>
                </c:pt>
                <c:pt idx="21">
                  <c:v>7565</c:v>
                </c:pt>
                <c:pt idx="22">
                  <c:v>6708</c:v>
                </c:pt>
                <c:pt idx="23">
                  <c:v>7529</c:v>
                </c:pt>
                <c:pt idx="24">
                  <c:v>5126</c:v>
                </c:pt>
                <c:pt idx="25">
                  <c:v>1794</c:v>
                </c:pt>
                <c:pt idx="26">
                  <c:v>306</c:v>
                </c:pt>
                <c:pt idx="27">
                  <c:v>-526</c:v>
                </c:pt>
                <c:pt idx="28">
                  <c:v>-2348</c:v>
                </c:pt>
                <c:pt idx="29">
                  <c:v>-5515</c:v>
                </c:pt>
                <c:pt idx="30">
                  <c:v>-6440</c:v>
                </c:pt>
                <c:pt idx="31">
                  <c:v>-7287</c:v>
                </c:pt>
                <c:pt idx="32">
                  <c:v>-5530</c:v>
                </c:pt>
                <c:pt idx="33">
                  <c:v>-113</c:v>
                </c:pt>
                <c:pt idx="34">
                  <c:v>-1087</c:v>
                </c:pt>
                <c:pt idx="35">
                  <c:v>-6437</c:v>
                </c:pt>
                <c:pt idx="36">
                  <c:v>-7068</c:v>
                </c:pt>
                <c:pt idx="37">
                  <c:v>-2428</c:v>
                </c:pt>
                <c:pt idx="38">
                  <c:v>-2898</c:v>
                </c:pt>
                <c:pt idx="39">
                  <c:v>-5661</c:v>
                </c:pt>
                <c:pt idx="40">
                  <c:v>-2209</c:v>
                </c:pt>
                <c:pt idx="41">
                  <c:v>414</c:v>
                </c:pt>
                <c:pt idx="42">
                  <c:v>-1996</c:v>
                </c:pt>
                <c:pt idx="43">
                  <c:v>-10779</c:v>
                </c:pt>
                <c:pt idx="44">
                  <c:v>-12884</c:v>
                </c:pt>
                <c:pt idx="45">
                  <c:v>-18602</c:v>
                </c:pt>
                <c:pt idx="46">
                  <c:v>-18328</c:v>
                </c:pt>
                <c:pt idx="47">
                  <c:v>-15844</c:v>
                </c:pt>
                <c:pt idx="48">
                  <c:v>-15482</c:v>
                </c:pt>
                <c:pt idx="49">
                  <c:v>-10328</c:v>
                </c:pt>
                <c:pt idx="50">
                  <c:v>-6499</c:v>
                </c:pt>
                <c:pt idx="51">
                  <c:v>-8246</c:v>
                </c:pt>
                <c:pt idx="52">
                  <c:v>-16540</c:v>
                </c:pt>
                <c:pt idx="53">
                  <c:v>-14494</c:v>
                </c:pt>
                <c:pt idx="54">
                  <c:v>-10891</c:v>
                </c:pt>
                <c:pt idx="55">
                  <c:v>4078</c:v>
                </c:pt>
                <c:pt idx="56">
                  <c:v>4970</c:v>
                </c:pt>
                <c:pt idx="57">
                  <c:v>5445</c:v>
                </c:pt>
                <c:pt idx="58">
                  <c:v>-1487</c:v>
                </c:pt>
                <c:pt idx="59">
                  <c:v>1089</c:v>
                </c:pt>
                <c:pt idx="60">
                  <c:v>-838</c:v>
                </c:pt>
                <c:pt idx="61">
                  <c:v>782</c:v>
                </c:pt>
                <c:pt idx="62">
                  <c:v>-1136</c:v>
                </c:pt>
                <c:pt idx="63">
                  <c:v>-2089</c:v>
                </c:pt>
                <c:pt idx="64">
                  <c:v>702</c:v>
                </c:pt>
                <c:pt idx="65">
                  <c:v>7372</c:v>
                </c:pt>
                <c:pt idx="66">
                  <c:v>5829</c:v>
                </c:pt>
                <c:pt idx="67">
                  <c:v>4678</c:v>
                </c:pt>
                <c:pt idx="68">
                  <c:v>6951</c:v>
                </c:pt>
                <c:pt idx="69">
                  <c:v>3854</c:v>
                </c:pt>
                <c:pt idx="70">
                  <c:v>-1477</c:v>
                </c:pt>
                <c:pt idx="71">
                  <c:v>-5197</c:v>
                </c:pt>
                <c:pt idx="72">
                  <c:v>-4246</c:v>
                </c:pt>
                <c:pt idx="73">
                  <c:v>-6991</c:v>
                </c:pt>
                <c:pt idx="74">
                  <c:v>-9400</c:v>
                </c:pt>
                <c:pt idx="75">
                  <c:v>-9547</c:v>
                </c:pt>
                <c:pt idx="76">
                  <c:v>-8132</c:v>
                </c:pt>
                <c:pt idx="77">
                  <c:v>-10015</c:v>
                </c:pt>
                <c:pt idx="78">
                  <c:v>-11630</c:v>
                </c:pt>
                <c:pt idx="79">
                  <c:v>-8967</c:v>
                </c:pt>
                <c:pt idx="80">
                  <c:v>-6361</c:v>
                </c:pt>
                <c:pt idx="81">
                  <c:v>-4437</c:v>
                </c:pt>
                <c:pt idx="82">
                  <c:v>-6427</c:v>
                </c:pt>
                <c:pt idx="83">
                  <c:v>-2405</c:v>
                </c:pt>
                <c:pt idx="84">
                  <c:v>-4139</c:v>
                </c:pt>
                <c:pt idx="85">
                  <c:v>-7335</c:v>
                </c:pt>
                <c:pt idx="86">
                  <c:v>-5900</c:v>
                </c:pt>
                <c:pt idx="87">
                  <c:v>2168</c:v>
                </c:pt>
                <c:pt idx="88">
                  <c:v>386</c:v>
                </c:pt>
                <c:pt idx="89">
                  <c:v>-4817</c:v>
                </c:pt>
                <c:pt idx="90">
                  <c:v>-3945</c:v>
                </c:pt>
                <c:pt idx="91">
                  <c:v>2447</c:v>
                </c:pt>
                <c:pt idx="92">
                  <c:v>452</c:v>
                </c:pt>
                <c:pt idx="93">
                  <c:v>5649</c:v>
                </c:pt>
                <c:pt idx="94">
                  <c:v>6988</c:v>
                </c:pt>
                <c:pt idx="95">
                  <c:v>-2124</c:v>
                </c:pt>
                <c:pt idx="96">
                  <c:v>8935</c:v>
                </c:pt>
                <c:pt idx="97">
                  <c:v>8472</c:v>
                </c:pt>
                <c:pt idx="98">
                  <c:v>6255</c:v>
                </c:pt>
                <c:pt idx="99">
                  <c:v>8277</c:v>
                </c:pt>
                <c:pt idx="100">
                  <c:v>6541</c:v>
                </c:pt>
                <c:pt idx="101">
                  <c:v>16032</c:v>
                </c:pt>
                <c:pt idx="102">
                  <c:v>21018</c:v>
                </c:pt>
                <c:pt idx="103">
                  <c:v>20149</c:v>
                </c:pt>
                <c:pt idx="104">
                  <c:v>19723</c:v>
                </c:pt>
                <c:pt idx="105">
                  <c:v>18385</c:v>
                </c:pt>
                <c:pt idx="106">
                  <c:v>1015</c:v>
                </c:pt>
                <c:pt idx="107">
                  <c:v>3593</c:v>
                </c:pt>
                <c:pt idx="108">
                  <c:v>380</c:v>
                </c:pt>
                <c:pt idx="109">
                  <c:v>-3834</c:v>
                </c:pt>
                <c:pt idx="110">
                  <c:v>-7652</c:v>
                </c:pt>
                <c:pt idx="111">
                  <c:v>-17033</c:v>
                </c:pt>
                <c:pt idx="112">
                  <c:v>-20226</c:v>
                </c:pt>
                <c:pt idx="113">
                  <c:v>-17574</c:v>
                </c:pt>
                <c:pt idx="114">
                  <c:v>-22865</c:v>
                </c:pt>
                <c:pt idx="115">
                  <c:v>-24444</c:v>
                </c:pt>
                <c:pt idx="116">
                  <c:v>-24857</c:v>
                </c:pt>
                <c:pt idx="117">
                  <c:v>-27195</c:v>
                </c:pt>
                <c:pt idx="118">
                  <c:v>-26749</c:v>
                </c:pt>
                <c:pt idx="119">
                  <c:v>-24149</c:v>
                </c:pt>
                <c:pt idx="120">
                  <c:v>-22638</c:v>
                </c:pt>
                <c:pt idx="121">
                  <c:v>-17701</c:v>
                </c:pt>
                <c:pt idx="122">
                  <c:v>-5438</c:v>
                </c:pt>
                <c:pt idx="123">
                  <c:v>-232</c:v>
                </c:pt>
                <c:pt idx="124">
                  <c:v>890</c:v>
                </c:pt>
                <c:pt idx="125">
                  <c:v>688</c:v>
                </c:pt>
                <c:pt idx="126">
                  <c:v>-620</c:v>
                </c:pt>
                <c:pt idx="127">
                  <c:v>-2049</c:v>
                </c:pt>
                <c:pt idx="128">
                  <c:v>1318</c:v>
                </c:pt>
                <c:pt idx="129">
                  <c:v>1987</c:v>
                </c:pt>
                <c:pt idx="130">
                  <c:v>6371</c:v>
                </c:pt>
                <c:pt idx="131">
                  <c:v>14413</c:v>
                </c:pt>
                <c:pt idx="132">
                  <c:v>16433</c:v>
                </c:pt>
                <c:pt idx="133">
                  <c:v>16548</c:v>
                </c:pt>
                <c:pt idx="134">
                  <c:v>17147</c:v>
                </c:pt>
                <c:pt idx="135">
                  <c:v>16780</c:v>
                </c:pt>
                <c:pt idx="136">
                  <c:v>15673</c:v>
                </c:pt>
                <c:pt idx="137">
                  <c:v>13255</c:v>
                </c:pt>
                <c:pt idx="138">
                  <c:v>8040</c:v>
                </c:pt>
                <c:pt idx="139">
                  <c:v>4727</c:v>
                </c:pt>
                <c:pt idx="140">
                  <c:v>1955</c:v>
                </c:pt>
                <c:pt idx="141">
                  <c:v>4353</c:v>
                </c:pt>
                <c:pt idx="142">
                  <c:v>6117</c:v>
                </c:pt>
                <c:pt idx="143">
                  <c:v>6628</c:v>
                </c:pt>
                <c:pt idx="144">
                  <c:v>17139</c:v>
                </c:pt>
                <c:pt idx="145">
                  <c:v>16720</c:v>
                </c:pt>
                <c:pt idx="146">
                  <c:v>16394</c:v>
                </c:pt>
                <c:pt idx="147">
                  <c:v>11119</c:v>
                </c:pt>
                <c:pt idx="148">
                  <c:v>11699</c:v>
                </c:pt>
                <c:pt idx="149">
                  <c:v>10476</c:v>
                </c:pt>
                <c:pt idx="150">
                  <c:v>11930</c:v>
                </c:pt>
                <c:pt idx="151">
                  <c:v>24193</c:v>
                </c:pt>
                <c:pt idx="152">
                  <c:v>25699</c:v>
                </c:pt>
                <c:pt idx="153">
                  <c:v>23619</c:v>
                </c:pt>
                <c:pt idx="154">
                  <c:v>1674</c:v>
                </c:pt>
                <c:pt idx="155">
                  <c:v>2674</c:v>
                </c:pt>
                <c:pt idx="156">
                  <c:v>9148</c:v>
                </c:pt>
                <c:pt idx="157">
                  <c:v>10566</c:v>
                </c:pt>
                <c:pt idx="158">
                  <c:v>10324</c:v>
                </c:pt>
                <c:pt idx="159">
                  <c:v>1125</c:v>
                </c:pt>
                <c:pt idx="160">
                  <c:v>3819</c:v>
                </c:pt>
                <c:pt idx="161">
                  <c:v>4669</c:v>
                </c:pt>
                <c:pt idx="162">
                  <c:v>3872</c:v>
                </c:pt>
                <c:pt idx="163">
                  <c:v>3943</c:v>
                </c:pt>
                <c:pt idx="164">
                  <c:v>4281</c:v>
                </c:pt>
                <c:pt idx="165">
                  <c:v>654</c:v>
                </c:pt>
                <c:pt idx="166">
                  <c:v>-8677</c:v>
                </c:pt>
                <c:pt idx="167">
                  <c:v>-8324</c:v>
                </c:pt>
                <c:pt idx="168">
                  <c:v>1291</c:v>
                </c:pt>
                <c:pt idx="169">
                  <c:v>1548</c:v>
                </c:pt>
                <c:pt idx="170">
                  <c:v>2333</c:v>
                </c:pt>
                <c:pt idx="171">
                  <c:v>2074</c:v>
                </c:pt>
                <c:pt idx="172">
                  <c:v>385</c:v>
                </c:pt>
                <c:pt idx="173">
                  <c:v>-11492</c:v>
                </c:pt>
                <c:pt idx="174">
                  <c:v>-9728</c:v>
                </c:pt>
                <c:pt idx="175">
                  <c:v>-222</c:v>
                </c:pt>
                <c:pt idx="176">
                  <c:v>-5355</c:v>
                </c:pt>
                <c:pt idx="177">
                  <c:v>-3733</c:v>
                </c:pt>
                <c:pt idx="178">
                  <c:v>43</c:v>
                </c:pt>
                <c:pt idx="179">
                  <c:v>3373</c:v>
                </c:pt>
                <c:pt idx="180">
                  <c:v>14241</c:v>
                </c:pt>
                <c:pt idx="181">
                  <c:v>13452</c:v>
                </c:pt>
                <c:pt idx="182">
                  <c:v>18679</c:v>
                </c:pt>
                <c:pt idx="183">
                  <c:v>15126</c:v>
                </c:pt>
                <c:pt idx="184">
                  <c:v>13763</c:v>
                </c:pt>
                <c:pt idx="185">
                  <c:v>9827</c:v>
                </c:pt>
                <c:pt idx="186">
                  <c:v>6656</c:v>
                </c:pt>
                <c:pt idx="187">
                  <c:v>5741</c:v>
                </c:pt>
                <c:pt idx="188">
                  <c:v>689</c:v>
                </c:pt>
                <c:pt idx="189">
                  <c:v>-10879</c:v>
                </c:pt>
                <c:pt idx="190">
                  <c:v>-14179</c:v>
                </c:pt>
                <c:pt idx="191">
                  <c:v>-2432</c:v>
                </c:pt>
                <c:pt idx="192">
                  <c:v>2216</c:v>
                </c:pt>
                <c:pt idx="193">
                  <c:v>1528</c:v>
                </c:pt>
                <c:pt idx="194">
                  <c:v>8276</c:v>
                </c:pt>
                <c:pt idx="195">
                  <c:v>7489</c:v>
                </c:pt>
                <c:pt idx="196">
                  <c:v>306</c:v>
                </c:pt>
                <c:pt idx="197">
                  <c:v>-132</c:v>
                </c:pt>
                <c:pt idx="198">
                  <c:v>-779</c:v>
                </c:pt>
                <c:pt idx="199">
                  <c:v>-4596</c:v>
                </c:pt>
                <c:pt idx="200">
                  <c:v>-4457</c:v>
                </c:pt>
                <c:pt idx="201">
                  <c:v>-4255</c:v>
                </c:pt>
                <c:pt idx="202">
                  <c:v>-2504</c:v>
                </c:pt>
                <c:pt idx="203">
                  <c:v>4653</c:v>
                </c:pt>
                <c:pt idx="204">
                  <c:v>8448</c:v>
                </c:pt>
                <c:pt idx="205">
                  <c:v>-2226</c:v>
                </c:pt>
                <c:pt idx="206">
                  <c:v>-981</c:v>
                </c:pt>
                <c:pt idx="207">
                  <c:v>6144</c:v>
                </c:pt>
                <c:pt idx="208">
                  <c:v>11509</c:v>
                </c:pt>
                <c:pt idx="209">
                  <c:v>27983</c:v>
                </c:pt>
                <c:pt idx="210">
                  <c:v>28668</c:v>
                </c:pt>
                <c:pt idx="211">
                  <c:v>31017</c:v>
                </c:pt>
                <c:pt idx="212">
                  <c:v>37902</c:v>
                </c:pt>
                <c:pt idx="213">
                  <c:v>41530</c:v>
                </c:pt>
                <c:pt idx="214">
                  <c:v>45809</c:v>
                </c:pt>
                <c:pt idx="215">
                  <c:v>30578</c:v>
                </c:pt>
                <c:pt idx="216">
                  <c:v>27776</c:v>
                </c:pt>
                <c:pt idx="217">
                  <c:v>14976</c:v>
                </c:pt>
                <c:pt idx="218">
                  <c:v>1905</c:v>
                </c:pt>
                <c:pt idx="219">
                  <c:v>4299</c:v>
                </c:pt>
                <c:pt idx="220">
                  <c:v>2914</c:v>
                </c:pt>
                <c:pt idx="221">
                  <c:v>717</c:v>
                </c:pt>
                <c:pt idx="222">
                  <c:v>-4230</c:v>
                </c:pt>
                <c:pt idx="223">
                  <c:v>1801</c:v>
                </c:pt>
                <c:pt idx="224">
                  <c:v>3742</c:v>
                </c:pt>
                <c:pt idx="225">
                  <c:v>3383</c:v>
                </c:pt>
                <c:pt idx="226">
                  <c:v>1965</c:v>
                </c:pt>
                <c:pt idx="227">
                  <c:v>-73</c:v>
                </c:pt>
                <c:pt idx="228">
                  <c:v>1165</c:v>
                </c:pt>
                <c:pt idx="229">
                  <c:v>-3054</c:v>
                </c:pt>
                <c:pt idx="230">
                  <c:v>-10706</c:v>
                </c:pt>
                <c:pt idx="231">
                  <c:v>-9735</c:v>
                </c:pt>
                <c:pt idx="232">
                  <c:v>-11987</c:v>
                </c:pt>
                <c:pt idx="233">
                  <c:v>-14532</c:v>
                </c:pt>
                <c:pt idx="234">
                  <c:v>-14733</c:v>
                </c:pt>
                <c:pt idx="235">
                  <c:v>-17249</c:v>
                </c:pt>
                <c:pt idx="236">
                  <c:v>-16240</c:v>
                </c:pt>
                <c:pt idx="237">
                  <c:v>-16178</c:v>
                </c:pt>
                <c:pt idx="238">
                  <c:v>-14470</c:v>
                </c:pt>
                <c:pt idx="239">
                  <c:v>-8540</c:v>
                </c:pt>
                <c:pt idx="240">
                  <c:v>-10082</c:v>
                </c:pt>
                <c:pt idx="241">
                  <c:v>-3263</c:v>
                </c:pt>
                <c:pt idx="242">
                  <c:v>461</c:v>
                </c:pt>
                <c:pt idx="243">
                  <c:v>-33</c:v>
                </c:pt>
                <c:pt idx="244">
                  <c:v>-3014</c:v>
                </c:pt>
                <c:pt idx="245">
                  <c:v>-1745</c:v>
                </c:pt>
                <c:pt idx="246">
                  <c:v>-3653</c:v>
                </c:pt>
                <c:pt idx="247">
                  <c:v>-3605</c:v>
                </c:pt>
                <c:pt idx="248">
                  <c:v>-1096</c:v>
                </c:pt>
                <c:pt idx="249">
                  <c:v>-2548</c:v>
                </c:pt>
                <c:pt idx="250">
                  <c:v>-1074</c:v>
                </c:pt>
                <c:pt idx="251">
                  <c:v>-4934</c:v>
                </c:pt>
                <c:pt idx="252">
                  <c:v>-4163</c:v>
                </c:pt>
                <c:pt idx="253">
                  <c:v>-8948</c:v>
                </c:pt>
                <c:pt idx="254">
                  <c:v>-14432</c:v>
                </c:pt>
                <c:pt idx="255">
                  <c:v>-15188</c:v>
                </c:pt>
                <c:pt idx="256">
                  <c:v>-5755</c:v>
                </c:pt>
                <c:pt idx="257">
                  <c:v>-2913</c:v>
                </c:pt>
                <c:pt idx="258">
                  <c:v>-9130</c:v>
                </c:pt>
                <c:pt idx="259">
                  <c:v>-10071</c:v>
                </c:pt>
                <c:pt idx="260">
                  <c:v>-1729</c:v>
                </c:pt>
                <c:pt idx="261">
                  <c:v>10291</c:v>
                </c:pt>
                <c:pt idx="262">
                  <c:v>2040</c:v>
                </c:pt>
                <c:pt idx="263">
                  <c:v>-8155</c:v>
                </c:pt>
                <c:pt idx="264">
                  <c:v>-26066</c:v>
                </c:pt>
                <c:pt idx="265">
                  <c:v>-25503</c:v>
                </c:pt>
                <c:pt idx="266">
                  <c:v>-22096</c:v>
                </c:pt>
                <c:pt idx="267">
                  <c:v>-21731</c:v>
                </c:pt>
                <c:pt idx="268">
                  <c:v>-20917</c:v>
                </c:pt>
                <c:pt idx="269">
                  <c:v>-19508</c:v>
                </c:pt>
                <c:pt idx="270">
                  <c:v>-18778</c:v>
                </c:pt>
                <c:pt idx="271">
                  <c:v>-16209</c:v>
                </c:pt>
                <c:pt idx="272">
                  <c:v>-20384</c:v>
                </c:pt>
                <c:pt idx="273">
                  <c:v>-21397</c:v>
                </c:pt>
                <c:pt idx="274">
                  <c:v>-19269</c:v>
                </c:pt>
                <c:pt idx="275">
                  <c:v>-14732</c:v>
                </c:pt>
                <c:pt idx="276">
                  <c:v>-13732</c:v>
                </c:pt>
                <c:pt idx="277">
                  <c:v>-16912</c:v>
                </c:pt>
                <c:pt idx="278">
                  <c:v>-15670</c:v>
                </c:pt>
                <c:pt idx="279">
                  <c:v>-7988</c:v>
                </c:pt>
                <c:pt idx="280">
                  <c:v>-9049</c:v>
                </c:pt>
                <c:pt idx="281">
                  <c:v>-3731</c:v>
                </c:pt>
                <c:pt idx="282">
                  <c:v>-4000</c:v>
                </c:pt>
                <c:pt idx="283">
                  <c:v>3194</c:v>
                </c:pt>
                <c:pt idx="284">
                  <c:v>4887</c:v>
                </c:pt>
                <c:pt idx="285">
                  <c:v>4074</c:v>
                </c:pt>
                <c:pt idx="286">
                  <c:v>4118</c:v>
                </c:pt>
                <c:pt idx="287">
                  <c:v>2768</c:v>
                </c:pt>
                <c:pt idx="288">
                  <c:v>-3614</c:v>
                </c:pt>
                <c:pt idx="289">
                  <c:v>-7390</c:v>
                </c:pt>
                <c:pt idx="290">
                  <c:v>-8879</c:v>
                </c:pt>
                <c:pt idx="291">
                  <c:v>-9320</c:v>
                </c:pt>
                <c:pt idx="292">
                  <c:v>-9503</c:v>
                </c:pt>
                <c:pt idx="293">
                  <c:v>-19175</c:v>
                </c:pt>
                <c:pt idx="294">
                  <c:v>-18768</c:v>
                </c:pt>
                <c:pt idx="295">
                  <c:v>-19285</c:v>
                </c:pt>
                <c:pt idx="296">
                  <c:v>-19367</c:v>
                </c:pt>
                <c:pt idx="297">
                  <c:v>-24781</c:v>
                </c:pt>
                <c:pt idx="298">
                  <c:v>-21656</c:v>
                </c:pt>
                <c:pt idx="299">
                  <c:v>-22497</c:v>
                </c:pt>
                <c:pt idx="300">
                  <c:v>-21148</c:v>
                </c:pt>
                <c:pt idx="301">
                  <c:v>-18804</c:v>
                </c:pt>
                <c:pt idx="302">
                  <c:v>-20194</c:v>
                </c:pt>
                <c:pt idx="303">
                  <c:v>-22338</c:v>
                </c:pt>
                <c:pt idx="304">
                  <c:v>-23332</c:v>
                </c:pt>
                <c:pt idx="305">
                  <c:v>-21831</c:v>
                </c:pt>
                <c:pt idx="306">
                  <c:v>-22653</c:v>
                </c:pt>
                <c:pt idx="307">
                  <c:v>-22301</c:v>
                </c:pt>
                <c:pt idx="308">
                  <c:v>-11021</c:v>
                </c:pt>
                <c:pt idx="309">
                  <c:v>-7682</c:v>
                </c:pt>
                <c:pt idx="310">
                  <c:v>-6228</c:v>
                </c:pt>
                <c:pt idx="311">
                  <c:v>-5433</c:v>
                </c:pt>
                <c:pt idx="312">
                  <c:v>-3423</c:v>
                </c:pt>
                <c:pt idx="313">
                  <c:v>-4299</c:v>
                </c:pt>
                <c:pt idx="314">
                  <c:v>-3602</c:v>
                </c:pt>
                <c:pt idx="315">
                  <c:v>-2843</c:v>
                </c:pt>
                <c:pt idx="316">
                  <c:v>-2984</c:v>
                </c:pt>
                <c:pt idx="317">
                  <c:v>-1649</c:v>
                </c:pt>
                <c:pt idx="318">
                  <c:v>-1777</c:v>
                </c:pt>
                <c:pt idx="319">
                  <c:v>-5248</c:v>
                </c:pt>
                <c:pt idx="320">
                  <c:v>-6077</c:v>
                </c:pt>
                <c:pt idx="321">
                  <c:v>-2762</c:v>
                </c:pt>
                <c:pt idx="322">
                  <c:v>-5354</c:v>
                </c:pt>
                <c:pt idx="323">
                  <c:v>-5538</c:v>
                </c:pt>
                <c:pt idx="324">
                  <c:v>-8206</c:v>
                </c:pt>
                <c:pt idx="325">
                  <c:v>-8275</c:v>
                </c:pt>
                <c:pt idx="326">
                  <c:v>695</c:v>
                </c:pt>
                <c:pt idx="327">
                  <c:v>8313</c:v>
                </c:pt>
                <c:pt idx="328">
                  <c:v>3161</c:v>
                </c:pt>
                <c:pt idx="329">
                  <c:v>3347</c:v>
                </c:pt>
                <c:pt idx="330">
                  <c:v>3346</c:v>
                </c:pt>
                <c:pt idx="331">
                  <c:v>14693</c:v>
                </c:pt>
                <c:pt idx="332">
                  <c:v>16047</c:v>
                </c:pt>
                <c:pt idx="333">
                  <c:v>15846</c:v>
                </c:pt>
                <c:pt idx="334">
                  <c:v>10266</c:v>
                </c:pt>
                <c:pt idx="335">
                  <c:v>7752</c:v>
                </c:pt>
                <c:pt idx="336">
                  <c:v>6038</c:v>
                </c:pt>
                <c:pt idx="337">
                  <c:v>10203</c:v>
                </c:pt>
                <c:pt idx="338">
                  <c:v>6463</c:v>
                </c:pt>
                <c:pt idx="339">
                  <c:v>9693</c:v>
                </c:pt>
                <c:pt idx="340">
                  <c:v>19131</c:v>
                </c:pt>
                <c:pt idx="341">
                  <c:v>28655</c:v>
                </c:pt>
                <c:pt idx="342">
                  <c:v>32190</c:v>
                </c:pt>
                <c:pt idx="343">
                  <c:v>31764</c:v>
                </c:pt>
                <c:pt idx="344">
                  <c:v>31165</c:v>
                </c:pt>
                <c:pt idx="345">
                  <c:v>30898</c:v>
                </c:pt>
                <c:pt idx="346">
                  <c:v>28613</c:v>
                </c:pt>
                <c:pt idx="347">
                  <c:v>21820</c:v>
                </c:pt>
                <c:pt idx="348">
                  <c:v>19517</c:v>
                </c:pt>
                <c:pt idx="349">
                  <c:v>20264</c:v>
                </c:pt>
                <c:pt idx="350">
                  <c:v>19208</c:v>
                </c:pt>
                <c:pt idx="351">
                  <c:v>19682</c:v>
                </c:pt>
                <c:pt idx="352">
                  <c:v>15129</c:v>
                </c:pt>
                <c:pt idx="353">
                  <c:v>8218</c:v>
                </c:pt>
                <c:pt idx="354">
                  <c:v>2444</c:v>
                </c:pt>
                <c:pt idx="355">
                  <c:v>-24931</c:v>
                </c:pt>
                <c:pt idx="356">
                  <c:v>-29215</c:v>
                </c:pt>
                <c:pt idx="357">
                  <c:v>-17570</c:v>
                </c:pt>
                <c:pt idx="358">
                  <c:v>-4821</c:v>
                </c:pt>
                <c:pt idx="359">
                  <c:v>-6644</c:v>
                </c:pt>
                <c:pt idx="360">
                  <c:v>-5808</c:v>
                </c:pt>
                <c:pt idx="361">
                  <c:v>-4142</c:v>
                </c:pt>
                <c:pt idx="362">
                  <c:v>2058</c:v>
                </c:pt>
                <c:pt idx="363">
                  <c:v>7402</c:v>
                </c:pt>
                <c:pt idx="364">
                  <c:v>12569</c:v>
                </c:pt>
                <c:pt idx="365">
                  <c:v>15928</c:v>
                </c:pt>
                <c:pt idx="366">
                  <c:v>15523</c:v>
                </c:pt>
                <c:pt idx="367">
                  <c:v>-1275</c:v>
                </c:pt>
                <c:pt idx="368">
                  <c:v>3215</c:v>
                </c:pt>
                <c:pt idx="369">
                  <c:v>6256</c:v>
                </c:pt>
                <c:pt idx="370">
                  <c:v>10363</c:v>
                </c:pt>
                <c:pt idx="371">
                  <c:v>11516</c:v>
                </c:pt>
                <c:pt idx="372">
                  <c:v>12540</c:v>
                </c:pt>
                <c:pt idx="373">
                  <c:v>5193</c:v>
                </c:pt>
                <c:pt idx="374">
                  <c:v>-2655</c:v>
                </c:pt>
                <c:pt idx="375">
                  <c:v>-3618</c:v>
                </c:pt>
                <c:pt idx="376">
                  <c:v>-7101</c:v>
                </c:pt>
                <c:pt idx="377">
                  <c:v>6422</c:v>
                </c:pt>
                <c:pt idx="378">
                  <c:v>13425</c:v>
                </c:pt>
                <c:pt idx="379">
                  <c:v>10081</c:v>
                </c:pt>
                <c:pt idx="380">
                  <c:v>19712</c:v>
                </c:pt>
                <c:pt idx="381">
                  <c:v>27084</c:v>
                </c:pt>
                <c:pt idx="382">
                  <c:v>19494</c:v>
                </c:pt>
                <c:pt idx="383">
                  <c:v>20468</c:v>
                </c:pt>
                <c:pt idx="384">
                  <c:v>12644</c:v>
                </c:pt>
                <c:pt idx="385">
                  <c:v>4590</c:v>
                </c:pt>
                <c:pt idx="386">
                  <c:v>3629</c:v>
                </c:pt>
                <c:pt idx="387">
                  <c:v>-885</c:v>
                </c:pt>
                <c:pt idx="388">
                  <c:v>-1925</c:v>
                </c:pt>
                <c:pt idx="389">
                  <c:v>-9242</c:v>
                </c:pt>
                <c:pt idx="390">
                  <c:v>-2461</c:v>
                </c:pt>
                <c:pt idx="391">
                  <c:v>-393</c:v>
                </c:pt>
                <c:pt idx="392">
                  <c:v>-4185</c:v>
                </c:pt>
                <c:pt idx="393">
                  <c:v>-11578</c:v>
                </c:pt>
                <c:pt idx="394">
                  <c:v>-11360</c:v>
                </c:pt>
                <c:pt idx="395">
                  <c:v>-12079</c:v>
                </c:pt>
                <c:pt idx="396">
                  <c:v>-13032</c:v>
                </c:pt>
                <c:pt idx="397">
                  <c:v>-19834</c:v>
                </c:pt>
                <c:pt idx="398">
                  <c:v>-25769</c:v>
                </c:pt>
                <c:pt idx="399">
                  <c:v>-31489</c:v>
                </c:pt>
                <c:pt idx="400">
                  <c:v>-18072</c:v>
                </c:pt>
                <c:pt idx="401">
                  <c:v>-14917</c:v>
                </c:pt>
                <c:pt idx="402">
                  <c:v>-14343</c:v>
                </c:pt>
                <c:pt idx="403">
                  <c:v>-16298</c:v>
                </c:pt>
                <c:pt idx="404">
                  <c:v>-19794</c:v>
                </c:pt>
                <c:pt idx="405">
                  <c:v>-19674</c:v>
                </c:pt>
                <c:pt idx="406">
                  <c:v>-18534</c:v>
                </c:pt>
                <c:pt idx="407">
                  <c:v>-5242</c:v>
                </c:pt>
                <c:pt idx="408">
                  <c:v>-13002</c:v>
                </c:pt>
                <c:pt idx="409">
                  <c:v>-12663</c:v>
                </c:pt>
                <c:pt idx="410">
                  <c:v>-14278</c:v>
                </c:pt>
                <c:pt idx="411">
                  <c:v>-12427</c:v>
                </c:pt>
                <c:pt idx="412">
                  <c:v>-13740</c:v>
                </c:pt>
                <c:pt idx="413">
                  <c:v>-8772</c:v>
                </c:pt>
                <c:pt idx="414">
                  <c:v>-11975</c:v>
                </c:pt>
                <c:pt idx="415">
                  <c:v>-16783</c:v>
                </c:pt>
                <c:pt idx="416">
                  <c:v>-22895</c:v>
                </c:pt>
                <c:pt idx="417">
                  <c:v>-35165</c:v>
                </c:pt>
                <c:pt idx="418">
                  <c:v>-34960</c:v>
                </c:pt>
                <c:pt idx="419">
                  <c:v>-37305</c:v>
                </c:pt>
                <c:pt idx="420">
                  <c:v>-38022</c:v>
                </c:pt>
                <c:pt idx="421">
                  <c:v>-37105</c:v>
                </c:pt>
                <c:pt idx="422">
                  <c:v>-31595</c:v>
                </c:pt>
                <c:pt idx="423">
                  <c:v>-29729</c:v>
                </c:pt>
                <c:pt idx="424">
                  <c:v>-27650</c:v>
                </c:pt>
                <c:pt idx="425">
                  <c:v>-19181</c:v>
                </c:pt>
                <c:pt idx="426">
                  <c:v>-18437</c:v>
                </c:pt>
                <c:pt idx="427">
                  <c:v>-14861</c:v>
                </c:pt>
                <c:pt idx="428">
                  <c:v>-13646</c:v>
                </c:pt>
                <c:pt idx="429">
                  <c:v>-11530</c:v>
                </c:pt>
                <c:pt idx="430">
                  <c:v>-3823</c:v>
                </c:pt>
                <c:pt idx="431">
                  <c:v>2021</c:v>
                </c:pt>
                <c:pt idx="432">
                  <c:v>3974</c:v>
                </c:pt>
                <c:pt idx="433">
                  <c:v>9917</c:v>
                </c:pt>
                <c:pt idx="434">
                  <c:v>7224</c:v>
                </c:pt>
                <c:pt idx="435">
                  <c:v>8652</c:v>
                </c:pt>
                <c:pt idx="436">
                  <c:v>25</c:v>
                </c:pt>
                <c:pt idx="437">
                  <c:v>-4298</c:v>
                </c:pt>
                <c:pt idx="438">
                  <c:v>-12949</c:v>
                </c:pt>
                <c:pt idx="439">
                  <c:v>-13480</c:v>
                </c:pt>
                <c:pt idx="440">
                  <c:v>-13419</c:v>
                </c:pt>
                <c:pt idx="441">
                  <c:v>-14674</c:v>
                </c:pt>
                <c:pt idx="442">
                  <c:v>-21032</c:v>
                </c:pt>
                <c:pt idx="443">
                  <c:v>-19364</c:v>
                </c:pt>
                <c:pt idx="444">
                  <c:v>-15022</c:v>
                </c:pt>
                <c:pt idx="445">
                  <c:v>-15602</c:v>
                </c:pt>
                <c:pt idx="446">
                  <c:v>-13517</c:v>
                </c:pt>
                <c:pt idx="447">
                  <c:v>-12156</c:v>
                </c:pt>
                <c:pt idx="448">
                  <c:v>-13134</c:v>
                </c:pt>
                <c:pt idx="449">
                  <c:v>-14854</c:v>
                </c:pt>
                <c:pt idx="450">
                  <c:v>-11502</c:v>
                </c:pt>
                <c:pt idx="451">
                  <c:v>-14042</c:v>
                </c:pt>
                <c:pt idx="452">
                  <c:v>-11529</c:v>
                </c:pt>
                <c:pt idx="453">
                  <c:v>-5509</c:v>
                </c:pt>
                <c:pt idx="454">
                  <c:v>-4810</c:v>
                </c:pt>
                <c:pt idx="455">
                  <c:v>-3407</c:v>
                </c:pt>
                <c:pt idx="456">
                  <c:v>2124</c:v>
                </c:pt>
                <c:pt idx="457">
                  <c:v>1472</c:v>
                </c:pt>
                <c:pt idx="458">
                  <c:v>-4163</c:v>
                </c:pt>
                <c:pt idx="459">
                  <c:v>-12191</c:v>
                </c:pt>
                <c:pt idx="460">
                  <c:v>-1375</c:v>
                </c:pt>
                <c:pt idx="461">
                  <c:v>-1560</c:v>
                </c:pt>
                <c:pt idx="462">
                  <c:v>-1651</c:v>
                </c:pt>
                <c:pt idx="463">
                  <c:v>-7134</c:v>
                </c:pt>
                <c:pt idx="464">
                  <c:v>-6875</c:v>
                </c:pt>
                <c:pt idx="465">
                  <c:v>-15527</c:v>
                </c:pt>
                <c:pt idx="466">
                  <c:v>-25267</c:v>
                </c:pt>
                <c:pt idx="467">
                  <c:v>-26578</c:v>
                </c:pt>
                <c:pt idx="468">
                  <c:v>-27937</c:v>
                </c:pt>
                <c:pt idx="469">
                  <c:v>-30339</c:v>
                </c:pt>
                <c:pt idx="470">
                  <c:v>-20289</c:v>
                </c:pt>
                <c:pt idx="471">
                  <c:v>-12618</c:v>
                </c:pt>
                <c:pt idx="472">
                  <c:v>-19804</c:v>
                </c:pt>
                <c:pt idx="473">
                  <c:v>-20573</c:v>
                </c:pt>
                <c:pt idx="474">
                  <c:v>-26432</c:v>
                </c:pt>
                <c:pt idx="475">
                  <c:v>-28089</c:v>
                </c:pt>
                <c:pt idx="476">
                  <c:v>-25375</c:v>
                </c:pt>
                <c:pt idx="477">
                  <c:v>-26672</c:v>
                </c:pt>
                <c:pt idx="478">
                  <c:v>-7970</c:v>
                </c:pt>
                <c:pt idx="479">
                  <c:v>-7794</c:v>
                </c:pt>
                <c:pt idx="480">
                  <c:v>-4900</c:v>
                </c:pt>
                <c:pt idx="481">
                  <c:v>-6091</c:v>
                </c:pt>
                <c:pt idx="482">
                  <c:v>-14601</c:v>
                </c:pt>
                <c:pt idx="483">
                  <c:v>-15333</c:v>
                </c:pt>
                <c:pt idx="484">
                  <c:v>-15445</c:v>
                </c:pt>
                <c:pt idx="485">
                  <c:v>-22045</c:v>
                </c:pt>
                <c:pt idx="486">
                  <c:v>-17164</c:v>
                </c:pt>
                <c:pt idx="487">
                  <c:v>-15426</c:v>
                </c:pt>
                <c:pt idx="488">
                  <c:v>-13596</c:v>
                </c:pt>
                <c:pt idx="489">
                  <c:v>-9338</c:v>
                </c:pt>
                <c:pt idx="490">
                  <c:v>-19960</c:v>
                </c:pt>
                <c:pt idx="491">
                  <c:v>-10094</c:v>
                </c:pt>
                <c:pt idx="492">
                  <c:v>-2100</c:v>
                </c:pt>
                <c:pt idx="493">
                  <c:v>-2291</c:v>
                </c:pt>
                <c:pt idx="494">
                  <c:v>-4556</c:v>
                </c:pt>
                <c:pt idx="495">
                  <c:v>-12486</c:v>
                </c:pt>
                <c:pt idx="496">
                  <c:v>-20762</c:v>
                </c:pt>
                <c:pt idx="497">
                  <c:v>-8822</c:v>
                </c:pt>
                <c:pt idx="498">
                  <c:v>-469</c:v>
                </c:pt>
                <c:pt idx="499">
                  <c:v>2307</c:v>
                </c:pt>
                <c:pt idx="500">
                  <c:v>6182</c:v>
                </c:pt>
                <c:pt idx="501">
                  <c:v>10523</c:v>
                </c:pt>
                <c:pt idx="502">
                  <c:v>15201</c:v>
                </c:pt>
                <c:pt idx="503">
                  <c:v>18205</c:v>
                </c:pt>
                <c:pt idx="504">
                  <c:v>23278</c:v>
                </c:pt>
                <c:pt idx="505">
                  <c:v>24689</c:v>
                </c:pt>
                <c:pt idx="506">
                  <c:v>18945</c:v>
                </c:pt>
                <c:pt idx="507">
                  <c:v>18175</c:v>
                </c:pt>
                <c:pt idx="508">
                  <c:v>23412</c:v>
                </c:pt>
                <c:pt idx="509">
                  <c:v>22316</c:v>
                </c:pt>
                <c:pt idx="510">
                  <c:v>16222</c:v>
                </c:pt>
                <c:pt idx="511">
                  <c:v>9106</c:v>
                </c:pt>
                <c:pt idx="512">
                  <c:v>4205</c:v>
                </c:pt>
                <c:pt idx="513">
                  <c:v>1234</c:v>
                </c:pt>
                <c:pt idx="514">
                  <c:v>1061</c:v>
                </c:pt>
                <c:pt idx="515">
                  <c:v>557</c:v>
                </c:pt>
                <c:pt idx="516">
                  <c:v>2767</c:v>
                </c:pt>
                <c:pt idx="517">
                  <c:v>10520</c:v>
                </c:pt>
                <c:pt idx="518">
                  <c:v>10603</c:v>
                </c:pt>
                <c:pt idx="519">
                  <c:v>2174</c:v>
                </c:pt>
                <c:pt idx="520">
                  <c:v>612</c:v>
                </c:pt>
                <c:pt idx="521">
                  <c:v>-414</c:v>
                </c:pt>
                <c:pt idx="522">
                  <c:v>53</c:v>
                </c:pt>
                <c:pt idx="523">
                  <c:v>-410</c:v>
                </c:pt>
                <c:pt idx="524">
                  <c:v>7566</c:v>
                </c:pt>
                <c:pt idx="525">
                  <c:v>12585</c:v>
                </c:pt>
                <c:pt idx="526">
                  <c:v>15616</c:v>
                </c:pt>
                <c:pt idx="527">
                  <c:v>11725</c:v>
                </c:pt>
                <c:pt idx="528">
                  <c:v>4490</c:v>
                </c:pt>
                <c:pt idx="529">
                  <c:v>4302</c:v>
                </c:pt>
                <c:pt idx="530">
                  <c:v>16642</c:v>
                </c:pt>
                <c:pt idx="531">
                  <c:v>18682</c:v>
                </c:pt>
                <c:pt idx="532">
                  <c:v>23613</c:v>
                </c:pt>
                <c:pt idx="533">
                  <c:v>23062</c:v>
                </c:pt>
                <c:pt idx="534">
                  <c:v>11519</c:v>
                </c:pt>
                <c:pt idx="535">
                  <c:v>13131</c:v>
                </c:pt>
                <c:pt idx="536">
                  <c:v>24982</c:v>
                </c:pt>
                <c:pt idx="537">
                  <c:v>31985</c:v>
                </c:pt>
                <c:pt idx="538">
                  <c:v>38248</c:v>
                </c:pt>
                <c:pt idx="539">
                  <c:v>43147</c:v>
                </c:pt>
                <c:pt idx="540">
                  <c:v>42822</c:v>
                </c:pt>
                <c:pt idx="541">
                  <c:v>43406</c:v>
                </c:pt>
                <c:pt idx="542">
                  <c:v>41609</c:v>
                </c:pt>
                <c:pt idx="543">
                  <c:v>42464</c:v>
                </c:pt>
                <c:pt idx="544">
                  <c:v>41764</c:v>
                </c:pt>
                <c:pt idx="545">
                  <c:v>42676</c:v>
                </c:pt>
                <c:pt idx="546">
                  <c:v>34208</c:v>
                </c:pt>
                <c:pt idx="547">
                  <c:v>33189</c:v>
                </c:pt>
                <c:pt idx="548">
                  <c:v>32803</c:v>
                </c:pt>
                <c:pt idx="549">
                  <c:v>33309</c:v>
                </c:pt>
                <c:pt idx="550">
                  <c:v>31088</c:v>
                </c:pt>
                <c:pt idx="551">
                  <c:v>35436</c:v>
                </c:pt>
                <c:pt idx="552">
                  <c:v>32757</c:v>
                </c:pt>
                <c:pt idx="553">
                  <c:v>30890</c:v>
                </c:pt>
                <c:pt idx="554">
                  <c:v>25560</c:v>
                </c:pt>
                <c:pt idx="555">
                  <c:v>19947</c:v>
                </c:pt>
                <c:pt idx="556">
                  <c:v>18362</c:v>
                </c:pt>
                <c:pt idx="557">
                  <c:v>17680</c:v>
                </c:pt>
                <c:pt idx="558">
                  <c:v>18454</c:v>
                </c:pt>
                <c:pt idx="559">
                  <c:v>15779</c:v>
                </c:pt>
                <c:pt idx="560">
                  <c:v>16781</c:v>
                </c:pt>
                <c:pt idx="561">
                  <c:v>17923</c:v>
                </c:pt>
                <c:pt idx="562">
                  <c:v>9336</c:v>
                </c:pt>
                <c:pt idx="563">
                  <c:v>8266</c:v>
                </c:pt>
                <c:pt idx="564">
                  <c:v>9434</c:v>
                </c:pt>
                <c:pt idx="565">
                  <c:v>8295</c:v>
                </c:pt>
                <c:pt idx="566">
                  <c:v>13046</c:v>
                </c:pt>
                <c:pt idx="567">
                  <c:v>9971</c:v>
                </c:pt>
                <c:pt idx="568">
                  <c:v>9549</c:v>
                </c:pt>
                <c:pt idx="569">
                  <c:v>12265</c:v>
                </c:pt>
                <c:pt idx="570">
                  <c:v>19420</c:v>
                </c:pt>
                <c:pt idx="571">
                  <c:v>20132</c:v>
                </c:pt>
                <c:pt idx="572">
                  <c:v>22307</c:v>
                </c:pt>
                <c:pt idx="573">
                  <c:v>23087</c:v>
                </c:pt>
                <c:pt idx="574">
                  <c:v>30600</c:v>
                </c:pt>
                <c:pt idx="575">
                  <c:v>29854</c:v>
                </c:pt>
                <c:pt idx="576">
                  <c:v>29405</c:v>
                </c:pt>
                <c:pt idx="577">
                  <c:v>32871</c:v>
                </c:pt>
                <c:pt idx="578">
                  <c:v>28720</c:v>
                </c:pt>
                <c:pt idx="579">
                  <c:v>29705</c:v>
                </c:pt>
                <c:pt idx="580">
                  <c:v>33476</c:v>
                </c:pt>
                <c:pt idx="581">
                  <c:v>25877</c:v>
                </c:pt>
                <c:pt idx="582">
                  <c:v>30668</c:v>
                </c:pt>
                <c:pt idx="583">
                  <c:v>27087</c:v>
                </c:pt>
                <c:pt idx="584">
                  <c:v>16598</c:v>
                </c:pt>
                <c:pt idx="585">
                  <c:v>8663</c:v>
                </c:pt>
                <c:pt idx="586">
                  <c:v>18959</c:v>
                </c:pt>
                <c:pt idx="587">
                  <c:v>27212</c:v>
                </c:pt>
                <c:pt idx="588">
                  <c:v>37569</c:v>
                </c:pt>
                <c:pt idx="589">
                  <c:v>23944</c:v>
                </c:pt>
                <c:pt idx="590">
                  <c:v>13709</c:v>
                </c:pt>
                <c:pt idx="591">
                  <c:v>-3852</c:v>
                </c:pt>
                <c:pt idx="592">
                  <c:v>-4434</c:v>
                </c:pt>
                <c:pt idx="593">
                  <c:v>-373</c:v>
                </c:pt>
                <c:pt idx="594">
                  <c:v>-6776</c:v>
                </c:pt>
                <c:pt idx="595">
                  <c:v>-9415</c:v>
                </c:pt>
                <c:pt idx="596">
                  <c:v>2824</c:v>
                </c:pt>
                <c:pt idx="597">
                  <c:v>3742</c:v>
                </c:pt>
                <c:pt idx="598">
                  <c:v>7100</c:v>
                </c:pt>
                <c:pt idx="599">
                  <c:v>33015</c:v>
                </c:pt>
                <c:pt idx="600">
                  <c:v>41865</c:v>
                </c:pt>
                <c:pt idx="601">
                  <c:v>17150</c:v>
                </c:pt>
                <c:pt idx="602">
                  <c:v>-552</c:v>
                </c:pt>
                <c:pt idx="603">
                  <c:v>-9625</c:v>
                </c:pt>
                <c:pt idx="604">
                  <c:v>-19391</c:v>
                </c:pt>
                <c:pt idx="605">
                  <c:v>-25648</c:v>
                </c:pt>
                <c:pt idx="606">
                  <c:v>-28734</c:v>
                </c:pt>
                <c:pt idx="607">
                  <c:v>-19177</c:v>
                </c:pt>
                <c:pt idx="608">
                  <c:v>-14276</c:v>
                </c:pt>
                <c:pt idx="609">
                  <c:v>-4892</c:v>
                </c:pt>
                <c:pt idx="610">
                  <c:v>-10990</c:v>
                </c:pt>
                <c:pt idx="611">
                  <c:v>-15205</c:v>
                </c:pt>
                <c:pt idx="612">
                  <c:v>265</c:v>
                </c:pt>
                <c:pt idx="613">
                  <c:v>11321</c:v>
                </c:pt>
                <c:pt idx="614">
                  <c:v>23876</c:v>
                </c:pt>
                <c:pt idx="615">
                  <c:v>30978</c:v>
                </c:pt>
                <c:pt idx="616">
                  <c:v>25715</c:v>
                </c:pt>
                <c:pt idx="617">
                  <c:v>23601</c:v>
                </c:pt>
                <c:pt idx="618">
                  <c:v>26639</c:v>
                </c:pt>
                <c:pt idx="619">
                  <c:v>31094</c:v>
                </c:pt>
                <c:pt idx="620">
                  <c:v>33743</c:v>
                </c:pt>
                <c:pt idx="621">
                  <c:v>29138</c:v>
                </c:pt>
                <c:pt idx="622">
                  <c:v>41303</c:v>
                </c:pt>
                <c:pt idx="623">
                  <c:v>44652</c:v>
                </c:pt>
                <c:pt idx="624">
                  <c:v>39399</c:v>
                </c:pt>
                <c:pt idx="625">
                  <c:v>46756</c:v>
                </c:pt>
                <c:pt idx="626">
                  <c:v>45168</c:v>
                </c:pt>
                <c:pt idx="627">
                  <c:v>49386</c:v>
                </c:pt>
                <c:pt idx="628">
                  <c:v>40020</c:v>
                </c:pt>
                <c:pt idx="629">
                  <c:v>36223</c:v>
                </c:pt>
                <c:pt idx="630">
                  <c:v>39692</c:v>
                </c:pt>
                <c:pt idx="631">
                  <c:v>34972</c:v>
                </c:pt>
                <c:pt idx="632">
                  <c:v>33335</c:v>
                </c:pt>
                <c:pt idx="633">
                  <c:v>29471</c:v>
                </c:pt>
                <c:pt idx="634">
                  <c:v>23631</c:v>
                </c:pt>
                <c:pt idx="635">
                  <c:v>18370</c:v>
                </c:pt>
                <c:pt idx="636">
                  <c:v>9077</c:v>
                </c:pt>
                <c:pt idx="637">
                  <c:v>6276</c:v>
                </c:pt>
                <c:pt idx="638">
                  <c:v>6134</c:v>
                </c:pt>
                <c:pt idx="639">
                  <c:v>9662</c:v>
                </c:pt>
                <c:pt idx="640">
                  <c:v>9893</c:v>
                </c:pt>
                <c:pt idx="641">
                  <c:v>5500</c:v>
                </c:pt>
                <c:pt idx="642">
                  <c:v>2653</c:v>
                </c:pt>
                <c:pt idx="643">
                  <c:v>1269</c:v>
                </c:pt>
                <c:pt idx="644">
                  <c:v>-7365</c:v>
                </c:pt>
                <c:pt idx="645">
                  <c:v>-5307</c:v>
                </c:pt>
                <c:pt idx="646">
                  <c:v>-3141</c:v>
                </c:pt>
                <c:pt idx="647">
                  <c:v>-6829</c:v>
                </c:pt>
                <c:pt idx="648">
                  <c:v>3329</c:v>
                </c:pt>
                <c:pt idx="649">
                  <c:v>26150</c:v>
                </c:pt>
                <c:pt idx="650">
                  <c:v>31547</c:v>
                </c:pt>
                <c:pt idx="651">
                  <c:v>26690</c:v>
                </c:pt>
                <c:pt idx="652">
                  <c:v>25675</c:v>
                </c:pt>
                <c:pt idx="653">
                  <c:v>-7434</c:v>
                </c:pt>
                <c:pt idx="654">
                  <c:v>-16358</c:v>
                </c:pt>
                <c:pt idx="655">
                  <c:v>-24719</c:v>
                </c:pt>
                <c:pt idx="656">
                  <c:v>-33321</c:v>
                </c:pt>
                <c:pt idx="657">
                  <c:v>-27795</c:v>
                </c:pt>
                <c:pt idx="658">
                  <c:v>-33492</c:v>
                </c:pt>
                <c:pt idx="659">
                  <c:v>-32884</c:v>
                </c:pt>
                <c:pt idx="660">
                  <c:v>-31240</c:v>
                </c:pt>
                <c:pt idx="661">
                  <c:v>-26561</c:v>
                </c:pt>
                <c:pt idx="662">
                  <c:v>-21011</c:v>
                </c:pt>
                <c:pt idx="663">
                  <c:v>284</c:v>
                </c:pt>
                <c:pt idx="664">
                  <c:v>2284</c:v>
                </c:pt>
                <c:pt idx="665">
                  <c:v>4088</c:v>
                </c:pt>
                <c:pt idx="666">
                  <c:v>23203</c:v>
                </c:pt>
                <c:pt idx="667">
                  <c:v>25825</c:v>
                </c:pt>
                <c:pt idx="668">
                  <c:v>17519</c:v>
                </c:pt>
                <c:pt idx="669">
                  <c:v>12164</c:v>
                </c:pt>
                <c:pt idx="670">
                  <c:v>14214</c:v>
                </c:pt>
                <c:pt idx="671">
                  <c:v>26047</c:v>
                </c:pt>
                <c:pt idx="672">
                  <c:v>24543</c:v>
                </c:pt>
                <c:pt idx="673">
                  <c:v>28914</c:v>
                </c:pt>
                <c:pt idx="674">
                  <c:v>29993</c:v>
                </c:pt>
                <c:pt idx="675">
                  <c:v>29592</c:v>
                </c:pt>
                <c:pt idx="676">
                  <c:v>26503</c:v>
                </c:pt>
                <c:pt idx="677">
                  <c:v>43096</c:v>
                </c:pt>
                <c:pt idx="678">
                  <c:v>38031</c:v>
                </c:pt>
                <c:pt idx="679">
                  <c:v>43591</c:v>
                </c:pt>
                <c:pt idx="680">
                  <c:v>42812</c:v>
                </c:pt>
                <c:pt idx="681">
                  <c:v>36945</c:v>
                </c:pt>
                <c:pt idx="682">
                  <c:v>37160</c:v>
                </c:pt>
                <c:pt idx="683">
                  <c:v>26340</c:v>
                </c:pt>
                <c:pt idx="684">
                  <c:v>20169</c:v>
                </c:pt>
                <c:pt idx="685">
                  <c:v>15725</c:v>
                </c:pt>
                <c:pt idx="686">
                  <c:v>29010</c:v>
                </c:pt>
                <c:pt idx="687">
                  <c:v>37317</c:v>
                </c:pt>
                <c:pt idx="688">
                  <c:v>56183</c:v>
                </c:pt>
                <c:pt idx="689">
                  <c:v>48111</c:v>
                </c:pt>
                <c:pt idx="690">
                  <c:v>42292</c:v>
                </c:pt>
                <c:pt idx="691">
                  <c:v>36687</c:v>
                </c:pt>
                <c:pt idx="692">
                  <c:v>23317</c:v>
                </c:pt>
                <c:pt idx="693">
                  <c:v>26933</c:v>
                </c:pt>
                <c:pt idx="694">
                  <c:v>27133</c:v>
                </c:pt>
                <c:pt idx="695">
                  <c:v>37484</c:v>
                </c:pt>
                <c:pt idx="696">
                  <c:v>44845</c:v>
                </c:pt>
                <c:pt idx="697">
                  <c:v>40464</c:v>
                </c:pt>
                <c:pt idx="698">
                  <c:v>35197</c:v>
                </c:pt>
                <c:pt idx="699">
                  <c:v>40634</c:v>
                </c:pt>
                <c:pt idx="700">
                  <c:v>41323</c:v>
                </c:pt>
                <c:pt idx="701">
                  <c:v>14021</c:v>
                </c:pt>
                <c:pt idx="702">
                  <c:v>-3742</c:v>
                </c:pt>
                <c:pt idx="703">
                  <c:v>-7811</c:v>
                </c:pt>
                <c:pt idx="704">
                  <c:v>-4146</c:v>
                </c:pt>
                <c:pt idx="705">
                  <c:v>13942</c:v>
                </c:pt>
                <c:pt idx="706">
                  <c:v>6918</c:v>
                </c:pt>
                <c:pt idx="707">
                  <c:v>15623</c:v>
                </c:pt>
                <c:pt idx="708">
                  <c:v>32152</c:v>
                </c:pt>
                <c:pt idx="709">
                  <c:v>28873</c:v>
                </c:pt>
                <c:pt idx="710">
                  <c:v>19528</c:v>
                </c:pt>
                <c:pt idx="711">
                  <c:v>15702</c:v>
                </c:pt>
                <c:pt idx="712">
                  <c:v>31707</c:v>
                </c:pt>
                <c:pt idx="713">
                  <c:v>22862</c:v>
                </c:pt>
                <c:pt idx="714">
                  <c:v>33351</c:v>
                </c:pt>
                <c:pt idx="715">
                  <c:v>23978</c:v>
                </c:pt>
                <c:pt idx="716">
                  <c:v>30309</c:v>
                </c:pt>
                <c:pt idx="717">
                  <c:v>36447</c:v>
                </c:pt>
                <c:pt idx="718">
                  <c:v>11621</c:v>
                </c:pt>
                <c:pt idx="719">
                  <c:v>9284</c:v>
                </c:pt>
                <c:pt idx="720">
                  <c:v>-5419</c:v>
                </c:pt>
                <c:pt idx="721">
                  <c:v>-7416</c:v>
                </c:pt>
                <c:pt idx="722">
                  <c:v>9830</c:v>
                </c:pt>
                <c:pt idx="723">
                  <c:v>8597</c:v>
                </c:pt>
                <c:pt idx="724">
                  <c:v>15493</c:v>
                </c:pt>
                <c:pt idx="725">
                  <c:v>30605</c:v>
                </c:pt>
                <c:pt idx="726">
                  <c:v>27466</c:v>
                </c:pt>
                <c:pt idx="727">
                  <c:v>14782</c:v>
                </c:pt>
                <c:pt idx="728">
                  <c:v>855</c:v>
                </c:pt>
                <c:pt idx="729">
                  <c:v>6510</c:v>
                </c:pt>
                <c:pt idx="730">
                  <c:v>9279</c:v>
                </c:pt>
                <c:pt idx="731">
                  <c:v>1859</c:v>
                </c:pt>
                <c:pt idx="732">
                  <c:v>-24498</c:v>
                </c:pt>
                <c:pt idx="733">
                  <c:v>-14233</c:v>
                </c:pt>
                <c:pt idx="734">
                  <c:v>-23678</c:v>
                </c:pt>
                <c:pt idx="735">
                  <c:v>-20342</c:v>
                </c:pt>
                <c:pt idx="736">
                  <c:v>-47375</c:v>
                </c:pt>
                <c:pt idx="737">
                  <c:v>-58893</c:v>
                </c:pt>
                <c:pt idx="738">
                  <c:v>-40282</c:v>
                </c:pt>
                <c:pt idx="739">
                  <c:v>-46479</c:v>
                </c:pt>
                <c:pt idx="740">
                  <c:v>-52008</c:v>
                </c:pt>
                <c:pt idx="741">
                  <c:v>-57392</c:v>
                </c:pt>
                <c:pt idx="742">
                  <c:v>-66294</c:v>
                </c:pt>
                <c:pt idx="743">
                  <c:v>-74268</c:v>
                </c:pt>
                <c:pt idx="744">
                  <c:v>-84906</c:v>
                </c:pt>
                <c:pt idx="745">
                  <c:v>-78967</c:v>
                </c:pt>
                <c:pt idx="746">
                  <c:v>-77857</c:v>
                </c:pt>
                <c:pt idx="747">
                  <c:v>-70876</c:v>
                </c:pt>
                <c:pt idx="748">
                  <c:v>-80646</c:v>
                </c:pt>
                <c:pt idx="749">
                  <c:v>-56695</c:v>
                </c:pt>
                <c:pt idx="750">
                  <c:v>-65426</c:v>
                </c:pt>
                <c:pt idx="751">
                  <c:v>-56424</c:v>
                </c:pt>
                <c:pt idx="752">
                  <c:v>-74925</c:v>
                </c:pt>
                <c:pt idx="753">
                  <c:v>-74139</c:v>
                </c:pt>
                <c:pt idx="754">
                  <c:v>-51153</c:v>
                </c:pt>
                <c:pt idx="755">
                  <c:v>-31982</c:v>
                </c:pt>
                <c:pt idx="756">
                  <c:v>-35165</c:v>
                </c:pt>
                <c:pt idx="757">
                  <c:v>-15564</c:v>
                </c:pt>
                <c:pt idx="758">
                  <c:v>-15991</c:v>
                </c:pt>
                <c:pt idx="759">
                  <c:v>-1631</c:v>
                </c:pt>
                <c:pt idx="760">
                  <c:v>8851</c:v>
                </c:pt>
                <c:pt idx="761">
                  <c:v>17819</c:v>
                </c:pt>
                <c:pt idx="762">
                  <c:v>43097</c:v>
                </c:pt>
                <c:pt idx="763">
                  <c:v>38967</c:v>
                </c:pt>
                <c:pt idx="764">
                  <c:v>52020</c:v>
                </c:pt>
                <c:pt idx="765">
                  <c:v>43858</c:v>
                </c:pt>
                <c:pt idx="766">
                  <c:v>62005</c:v>
                </c:pt>
                <c:pt idx="767">
                  <c:v>58796</c:v>
                </c:pt>
                <c:pt idx="768">
                  <c:v>68863</c:v>
                </c:pt>
                <c:pt idx="769">
                  <c:v>65253</c:v>
                </c:pt>
                <c:pt idx="770">
                  <c:v>67378</c:v>
                </c:pt>
                <c:pt idx="771">
                  <c:v>67272</c:v>
                </c:pt>
                <c:pt idx="772">
                  <c:v>76964</c:v>
                </c:pt>
                <c:pt idx="773">
                  <c:v>49698</c:v>
                </c:pt>
                <c:pt idx="774">
                  <c:v>51938</c:v>
                </c:pt>
                <c:pt idx="775">
                  <c:v>47810</c:v>
                </c:pt>
                <c:pt idx="776">
                  <c:v>40033</c:v>
                </c:pt>
                <c:pt idx="777">
                  <c:v>45094</c:v>
                </c:pt>
                <c:pt idx="778">
                  <c:v>51345</c:v>
                </c:pt>
                <c:pt idx="779">
                  <c:v>58754</c:v>
                </c:pt>
                <c:pt idx="780">
                  <c:v>79828</c:v>
                </c:pt>
                <c:pt idx="781">
                  <c:v>59162</c:v>
                </c:pt>
                <c:pt idx="782">
                  <c:v>69179</c:v>
                </c:pt>
                <c:pt idx="783">
                  <c:v>83001</c:v>
                </c:pt>
                <c:pt idx="784">
                  <c:v>76949</c:v>
                </c:pt>
                <c:pt idx="785">
                  <c:v>71323</c:v>
                </c:pt>
                <c:pt idx="786">
                  <c:v>68831</c:v>
                </c:pt>
                <c:pt idx="787">
                  <c:v>63588</c:v>
                </c:pt>
                <c:pt idx="788">
                  <c:v>46723</c:v>
                </c:pt>
                <c:pt idx="789">
                  <c:v>32292</c:v>
                </c:pt>
                <c:pt idx="790">
                  <c:v>28999</c:v>
                </c:pt>
                <c:pt idx="791">
                  <c:v>15324</c:v>
                </c:pt>
                <c:pt idx="792">
                  <c:v>18664</c:v>
                </c:pt>
                <c:pt idx="793">
                  <c:v>23287</c:v>
                </c:pt>
                <c:pt idx="794">
                  <c:v>14723</c:v>
                </c:pt>
                <c:pt idx="795">
                  <c:v>22998</c:v>
                </c:pt>
                <c:pt idx="796">
                  <c:v>16424</c:v>
                </c:pt>
                <c:pt idx="797">
                  <c:v>7765</c:v>
                </c:pt>
                <c:pt idx="798">
                  <c:v>7677</c:v>
                </c:pt>
                <c:pt idx="799">
                  <c:v>4295</c:v>
                </c:pt>
                <c:pt idx="800">
                  <c:v>10240</c:v>
                </c:pt>
                <c:pt idx="801">
                  <c:v>20435</c:v>
                </c:pt>
                <c:pt idx="802">
                  <c:v>11947</c:v>
                </c:pt>
                <c:pt idx="803">
                  <c:v>26184</c:v>
                </c:pt>
                <c:pt idx="804">
                  <c:v>36406</c:v>
                </c:pt>
                <c:pt idx="805">
                  <c:v>28931</c:v>
                </c:pt>
                <c:pt idx="806">
                  <c:v>20899</c:v>
                </c:pt>
                <c:pt idx="807">
                  <c:v>2178</c:v>
                </c:pt>
                <c:pt idx="808">
                  <c:v>723</c:v>
                </c:pt>
                <c:pt idx="809">
                  <c:v>6564</c:v>
                </c:pt>
                <c:pt idx="810">
                  <c:v>5503</c:v>
                </c:pt>
                <c:pt idx="811">
                  <c:v>17370</c:v>
                </c:pt>
                <c:pt idx="812">
                  <c:v>7428</c:v>
                </c:pt>
                <c:pt idx="813">
                  <c:v>31712</c:v>
                </c:pt>
                <c:pt idx="814">
                  <c:v>29409</c:v>
                </c:pt>
                <c:pt idx="815">
                  <c:v>31418</c:v>
                </c:pt>
                <c:pt idx="816">
                  <c:v>50125</c:v>
                </c:pt>
                <c:pt idx="817">
                  <c:v>45738</c:v>
                </c:pt>
                <c:pt idx="818">
                  <c:v>17579</c:v>
                </c:pt>
                <c:pt idx="819">
                  <c:v>-951</c:v>
                </c:pt>
                <c:pt idx="820">
                  <c:v>-4489</c:v>
                </c:pt>
                <c:pt idx="821">
                  <c:v>-9790</c:v>
                </c:pt>
                <c:pt idx="822">
                  <c:v>-5952</c:v>
                </c:pt>
                <c:pt idx="823">
                  <c:v>12859</c:v>
                </c:pt>
                <c:pt idx="824">
                  <c:v>21889</c:v>
                </c:pt>
                <c:pt idx="825">
                  <c:v>-2246</c:v>
                </c:pt>
                <c:pt idx="826">
                  <c:v>-18772</c:v>
                </c:pt>
                <c:pt idx="827">
                  <c:v>-25329</c:v>
                </c:pt>
                <c:pt idx="828">
                  <c:v>-28085</c:v>
                </c:pt>
                <c:pt idx="829">
                  <c:v>-15764</c:v>
                </c:pt>
                <c:pt idx="830">
                  <c:v>-17574</c:v>
                </c:pt>
                <c:pt idx="831">
                  <c:v>-9984</c:v>
                </c:pt>
                <c:pt idx="832">
                  <c:v>-10222</c:v>
                </c:pt>
                <c:pt idx="833">
                  <c:v>-18653</c:v>
                </c:pt>
                <c:pt idx="834">
                  <c:v>-18021</c:v>
                </c:pt>
                <c:pt idx="835">
                  <c:v>-17152</c:v>
                </c:pt>
                <c:pt idx="836">
                  <c:v>-17884</c:v>
                </c:pt>
                <c:pt idx="837">
                  <c:v>-12395</c:v>
                </c:pt>
                <c:pt idx="838">
                  <c:v>-9847</c:v>
                </c:pt>
                <c:pt idx="839">
                  <c:v>-7494</c:v>
                </c:pt>
                <c:pt idx="840">
                  <c:v>-3245</c:v>
                </c:pt>
                <c:pt idx="841">
                  <c:v>-7177</c:v>
                </c:pt>
                <c:pt idx="842">
                  <c:v>-6269</c:v>
                </c:pt>
                <c:pt idx="843">
                  <c:v>-9707</c:v>
                </c:pt>
                <c:pt idx="844">
                  <c:v>-8829</c:v>
                </c:pt>
                <c:pt idx="845">
                  <c:v>-6748</c:v>
                </c:pt>
                <c:pt idx="846">
                  <c:v>-10030</c:v>
                </c:pt>
                <c:pt idx="847">
                  <c:v>-10355</c:v>
                </c:pt>
                <c:pt idx="848">
                  <c:v>-13872</c:v>
                </c:pt>
                <c:pt idx="849">
                  <c:v>-12204</c:v>
                </c:pt>
                <c:pt idx="850">
                  <c:v>-14585</c:v>
                </c:pt>
                <c:pt idx="851">
                  <c:v>-14966</c:v>
                </c:pt>
                <c:pt idx="852">
                  <c:v>-12575</c:v>
                </c:pt>
                <c:pt idx="853">
                  <c:v>-11471</c:v>
                </c:pt>
                <c:pt idx="854">
                  <c:v>-12909</c:v>
                </c:pt>
                <c:pt idx="855">
                  <c:v>-12965</c:v>
                </c:pt>
                <c:pt idx="856">
                  <c:v>-19013</c:v>
                </c:pt>
                <c:pt idx="857">
                  <c:v>-20290</c:v>
                </c:pt>
                <c:pt idx="858">
                  <c:v>-23950</c:v>
                </c:pt>
                <c:pt idx="859">
                  <c:v>-20672</c:v>
                </c:pt>
                <c:pt idx="860">
                  <c:v>-23346</c:v>
                </c:pt>
                <c:pt idx="861">
                  <c:v>-23311</c:v>
                </c:pt>
                <c:pt idx="862">
                  <c:v>-17729</c:v>
                </c:pt>
                <c:pt idx="863">
                  <c:v>-12707</c:v>
                </c:pt>
                <c:pt idx="864">
                  <c:v>-7707</c:v>
                </c:pt>
                <c:pt idx="865">
                  <c:v>2014</c:v>
                </c:pt>
                <c:pt idx="866">
                  <c:v>5449</c:v>
                </c:pt>
                <c:pt idx="867">
                  <c:v>5425</c:v>
                </c:pt>
                <c:pt idx="868">
                  <c:v>11532</c:v>
                </c:pt>
                <c:pt idx="869">
                  <c:v>6594</c:v>
                </c:pt>
                <c:pt idx="870">
                  <c:v>12966</c:v>
                </c:pt>
                <c:pt idx="871">
                  <c:v>15460</c:v>
                </c:pt>
                <c:pt idx="872">
                  <c:v>11347</c:v>
                </c:pt>
                <c:pt idx="873">
                  <c:v>9272</c:v>
                </c:pt>
                <c:pt idx="874">
                  <c:v>6552</c:v>
                </c:pt>
                <c:pt idx="875">
                  <c:v>5893</c:v>
                </c:pt>
                <c:pt idx="876">
                  <c:v>16506</c:v>
                </c:pt>
                <c:pt idx="877">
                  <c:v>29068</c:v>
                </c:pt>
                <c:pt idx="878">
                  <c:v>36592</c:v>
                </c:pt>
                <c:pt idx="879">
                  <c:v>33889</c:v>
                </c:pt>
                <c:pt idx="880">
                  <c:v>37458</c:v>
                </c:pt>
                <c:pt idx="881">
                  <c:v>39989</c:v>
                </c:pt>
                <c:pt idx="882">
                  <c:v>32889</c:v>
                </c:pt>
                <c:pt idx="883">
                  <c:v>36818</c:v>
                </c:pt>
                <c:pt idx="884">
                  <c:v>38032</c:v>
                </c:pt>
                <c:pt idx="885">
                  <c:v>34552</c:v>
                </c:pt>
                <c:pt idx="886">
                  <c:v>18209</c:v>
                </c:pt>
                <c:pt idx="887">
                  <c:v>35775</c:v>
                </c:pt>
                <c:pt idx="888">
                  <c:v>44196</c:v>
                </c:pt>
                <c:pt idx="889">
                  <c:v>43537</c:v>
                </c:pt>
                <c:pt idx="890">
                  <c:v>35455</c:v>
                </c:pt>
                <c:pt idx="891">
                  <c:v>23369</c:v>
                </c:pt>
                <c:pt idx="892">
                  <c:v>21984</c:v>
                </c:pt>
                <c:pt idx="893">
                  <c:v>23606</c:v>
                </c:pt>
                <c:pt idx="894">
                  <c:v>24653</c:v>
                </c:pt>
                <c:pt idx="895">
                  <c:v>30809</c:v>
                </c:pt>
                <c:pt idx="896">
                  <c:v>29459</c:v>
                </c:pt>
                <c:pt idx="897">
                  <c:v>25625</c:v>
                </c:pt>
                <c:pt idx="898">
                  <c:v>22701</c:v>
                </c:pt>
                <c:pt idx="899">
                  <c:v>39989</c:v>
                </c:pt>
                <c:pt idx="900">
                  <c:v>40196</c:v>
                </c:pt>
                <c:pt idx="901">
                  <c:v>48695</c:v>
                </c:pt>
                <c:pt idx="902">
                  <c:v>46803</c:v>
                </c:pt>
                <c:pt idx="903">
                  <c:v>25809</c:v>
                </c:pt>
                <c:pt idx="904">
                  <c:v>15355</c:v>
                </c:pt>
                <c:pt idx="905">
                  <c:v>8863</c:v>
                </c:pt>
                <c:pt idx="906">
                  <c:v>23455</c:v>
                </c:pt>
                <c:pt idx="907">
                  <c:v>28421</c:v>
                </c:pt>
                <c:pt idx="908">
                  <c:v>38289</c:v>
                </c:pt>
                <c:pt idx="909">
                  <c:v>61399</c:v>
                </c:pt>
                <c:pt idx="910">
                  <c:v>69640</c:v>
                </c:pt>
                <c:pt idx="911">
                  <c:v>73027</c:v>
                </c:pt>
                <c:pt idx="912">
                  <c:v>70296</c:v>
                </c:pt>
                <c:pt idx="913">
                  <c:v>69312</c:v>
                </c:pt>
                <c:pt idx="914">
                  <c:v>70475</c:v>
                </c:pt>
                <c:pt idx="915">
                  <c:v>69656</c:v>
                </c:pt>
                <c:pt idx="916">
                  <c:v>59198</c:v>
                </c:pt>
                <c:pt idx="917">
                  <c:v>52012</c:v>
                </c:pt>
                <c:pt idx="918">
                  <c:v>50454</c:v>
                </c:pt>
                <c:pt idx="919">
                  <c:v>44885</c:v>
                </c:pt>
                <c:pt idx="920">
                  <c:v>23872</c:v>
                </c:pt>
                <c:pt idx="921">
                  <c:v>22154</c:v>
                </c:pt>
                <c:pt idx="922">
                  <c:v>22510</c:v>
                </c:pt>
                <c:pt idx="923">
                  <c:v>27354</c:v>
                </c:pt>
                <c:pt idx="924">
                  <c:v>26353</c:v>
                </c:pt>
                <c:pt idx="925">
                  <c:v>15894</c:v>
                </c:pt>
                <c:pt idx="926">
                  <c:v>8094</c:v>
                </c:pt>
                <c:pt idx="927">
                  <c:v>22038</c:v>
                </c:pt>
                <c:pt idx="928">
                  <c:v>16424</c:v>
                </c:pt>
                <c:pt idx="929">
                  <c:v>23868</c:v>
                </c:pt>
                <c:pt idx="930">
                  <c:v>34182</c:v>
                </c:pt>
                <c:pt idx="931">
                  <c:v>41179</c:v>
                </c:pt>
                <c:pt idx="932">
                  <c:v>29514</c:v>
                </c:pt>
                <c:pt idx="933">
                  <c:v>16147</c:v>
                </c:pt>
                <c:pt idx="934">
                  <c:v>-4764</c:v>
                </c:pt>
                <c:pt idx="935">
                  <c:v>452</c:v>
                </c:pt>
                <c:pt idx="936">
                  <c:v>17695</c:v>
                </c:pt>
                <c:pt idx="937">
                  <c:v>29815</c:v>
                </c:pt>
                <c:pt idx="938">
                  <c:v>27870</c:v>
                </c:pt>
                <c:pt idx="939">
                  <c:v>42678</c:v>
                </c:pt>
                <c:pt idx="940">
                  <c:v>43786</c:v>
                </c:pt>
                <c:pt idx="941">
                  <c:v>30740</c:v>
                </c:pt>
                <c:pt idx="942">
                  <c:v>19875</c:v>
                </c:pt>
                <c:pt idx="943">
                  <c:v>23365</c:v>
                </c:pt>
                <c:pt idx="944">
                  <c:v>37338</c:v>
                </c:pt>
                <c:pt idx="945">
                  <c:v>38441</c:v>
                </c:pt>
                <c:pt idx="946">
                  <c:v>22499</c:v>
                </c:pt>
                <c:pt idx="947">
                  <c:v>19155</c:v>
                </c:pt>
                <c:pt idx="948">
                  <c:v>33722</c:v>
                </c:pt>
                <c:pt idx="949">
                  <c:v>33396</c:v>
                </c:pt>
                <c:pt idx="950">
                  <c:v>24948</c:v>
                </c:pt>
                <c:pt idx="951">
                  <c:v>34787</c:v>
                </c:pt>
                <c:pt idx="952">
                  <c:v>38348</c:v>
                </c:pt>
                <c:pt idx="953">
                  <c:v>47757</c:v>
                </c:pt>
                <c:pt idx="954">
                  <c:v>44055</c:v>
                </c:pt>
                <c:pt idx="955">
                  <c:v>31719</c:v>
                </c:pt>
                <c:pt idx="956">
                  <c:v>33814</c:v>
                </c:pt>
                <c:pt idx="957">
                  <c:v>39790</c:v>
                </c:pt>
                <c:pt idx="958">
                  <c:v>72090</c:v>
                </c:pt>
                <c:pt idx="959">
                  <c:v>68348</c:v>
                </c:pt>
                <c:pt idx="960">
                  <c:v>72827</c:v>
                </c:pt>
                <c:pt idx="961">
                  <c:v>77544</c:v>
                </c:pt>
                <c:pt idx="962">
                  <c:v>56991</c:v>
                </c:pt>
                <c:pt idx="963">
                  <c:v>45977</c:v>
                </c:pt>
                <c:pt idx="964">
                  <c:v>51245</c:v>
                </c:pt>
                <c:pt idx="965">
                  <c:v>65030</c:v>
                </c:pt>
                <c:pt idx="966">
                  <c:v>63741</c:v>
                </c:pt>
                <c:pt idx="967">
                  <c:v>65035</c:v>
                </c:pt>
                <c:pt idx="968">
                  <c:v>59063</c:v>
                </c:pt>
                <c:pt idx="969">
                  <c:v>54041</c:v>
                </c:pt>
                <c:pt idx="970">
                  <c:v>37203</c:v>
                </c:pt>
                <c:pt idx="971">
                  <c:v>26291</c:v>
                </c:pt>
                <c:pt idx="972">
                  <c:v>21277</c:v>
                </c:pt>
                <c:pt idx="973">
                  <c:v>26402</c:v>
                </c:pt>
                <c:pt idx="974">
                  <c:v>13522</c:v>
                </c:pt>
                <c:pt idx="975">
                  <c:v>18855</c:v>
                </c:pt>
                <c:pt idx="976">
                  <c:v>2204</c:v>
                </c:pt>
                <c:pt idx="977">
                  <c:v>-1863</c:v>
                </c:pt>
                <c:pt idx="978">
                  <c:v>6821</c:v>
                </c:pt>
                <c:pt idx="979">
                  <c:v>15334</c:v>
                </c:pt>
                <c:pt idx="980">
                  <c:v>27764</c:v>
                </c:pt>
                <c:pt idx="981">
                  <c:v>36141</c:v>
                </c:pt>
                <c:pt idx="982">
                  <c:v>41037</c:v>
                </c:pt>
                <c:pt idx="983">
                  <c:v>23704</c:v>
                </c:pt>
                <c:pt idx="984">
                  <c:v>4121</c:v>
                </c:pt>
                <c:pt idx="985">
                  <c:v>8804</c:v>
                </c:pt>
                <c:pt idx="986">
                  <c:v>13939</c:v>
                </c:pt>
                <c:pt idx="987">
                  <c:v>2081</c:v>
                </c:pt>
                <c:pt idx="988">
                  <c:v>-6303</c:v>
                </c:pt>
                <c:pt idx="989">
                  <c:v>-5458</c:v>
                </c:pt>
                <c:pt idx="990">
                  <c:v>-20550</c:v>
                </c:pt>
                <c:pt idx="991">
                  <c:v>-15682</c:v>
                </c:pt>
                <c:pt idx="992">
                  <c:v>-24913</c:v>
                </c:pt>
                <c:pt idx="993">
                  <c:v>-24795</c:v>
                </c:pt>
                <c:pt idx="994">
                  <c:v>-17923</c:v>
                </c:pt>
                <c:pt idx="995">
                  <c:v>-14820</c:v>
                </c:pt>
                <c:pt idx="996">
                  <c:v>-15568</c:v>
                </c:pt>
                <c:pt idx="997">
                  <c:v>-17215</c:v>
                </c:pt>
                <c:pt idx="998">
                  <c:v>-22144</c:v>
                </c:pt>
                <c:pt idx="999">
                  <c:v>-26869</c:v>
                </c:pt>
                <c:pt idx="1000">
                  <c:v>-20171</c:v>
                </c:pt>
                <c:pt idx="1001">
                  <c:v>-13385</c:v>
                </c:pt>
                <c:pt idx="1002">
                  <c:v>-26868</c:v>
                </c:pt>
                <c:pt idx="1003">
                  <c:v>-21812</c:v>
                </c:pt>
                <c:pt idx="1004">
                  <c:v>-23371</c:v>
                </c:pt>
                <c:pt idx="1005">
                  <c:v>-28649</c:v>
                </c:pt>
                <c:pt idx="1006">
                  <c:v>-28730</c:v>
                </c:pt>
                <c:pt idx="1007">
                  <c:v>-18909</c:v>
                </c:pt>
                <c:pt idx="1008">
                  <c:v>-19409</c:v>
                </c:pt>
                <c:pt idx="1009">
                  <c:v>2184</c:v>
                </c:pt>
                <c:pt idx="1010">
                  <c:v>9566</c:v>
                </c:pt>
                <c:pt idx="1011">
                  <c:v>14112</c:v>
                </c:pt>
                <c:pt idx="1012">
                  <c:v>22480</c:v>
                </c:pt>
                <c:pt idx="1013">
                  <c:v>26032</c:v>
                </c:pt>
                <c:pt idx="1014">
                  <c:v>26721</c:v>
                </c:pt>
                <c:pt idx="1015">
                  <c:v>42315</c:v>
                </c:pt>
                <c:pt idx="1016">
                  <c:v>23737</c:v>
                </c:pt>
                <c:pt idx="1017">
                  <c:v>29487</c:v>
                </c:pt>
                <c:pt idx="1018">
                  <c:v>27967</c:v>
                </c:pt>
                <c:pt idx="1019">
                  <c:v>38028</c:v>
                </c:pt>
                <c:pt idx="1020">
                  <c:v>44224</c:v>
                </c:pt>
                <c:pt idx="1021">
                  <c:v>70223</c:v>
                </c:pt>
                <c:pt idx="1022">
                  <c:v>60095</c:v>
                </c:pt>
                <c:pt idx="1023">
                  <c:v>51005</c:v>
                </c:pt>
                <c:pt idx="1024">
                  <c:v>38555</c:v>
                </c:pt>
                <c:pt idx="1025">
                  <c:v>34085</c:v>
                </c:pt>
                <c:pt idx="1026">
                  <c:v>14906</c:v>
                </c:pt>
                <c:pt idx="1027">
                  <c:v>9620</c:v>
                </c:pt>
                <c:pt idx="1028">
                  <c:v>8201</c:v>
                </c:pt>
                <c:pt idx="1029">
                  <c:v>9277</c:v>
                </c:pt>
                <c:pt idx="1030">
                  <c:v>8698</c:v>
                </c:pt>
                <c:pt idx="1031">
                  <c:v>4338</c:v>
                </c:pt>
                <c:pt idx="1032">
                  <c:v>-1208</c:v>
                </c:pt>
                <c:pt idx="1033">
                  <c:v>-2432</c:v>
                </c:pt>
                <c:pt idx="1034">
                  <c:v>12449</c:v>
                </c:pt>
                <c:pt idx="1035">
                  <c:v>19122</c:v>
                </c:pt>
                <c:pt idx="1036">
                  <c:v>28593</c:v>
                </c:pt>
                <c:pt idx="1037">
                  <c:v>50867</c:v>
                </c:pt>
                <c:pt idx="1038">
                  <c:v>60936</c:v>
                </c:pt>
                <c:pt idx="1039">
                  <c:v>66555</c:v>
                </c:pt>
                <c:pt idx="1040">
                  <c:v>101860</c:v>
                </c:pt>
                <c:pt idx="1041">
                  <c:v>111881</c:v>
                </c:pt>
                <c:pt idx="1042">
                  <c:v>105346</c:v>
                </c:pt>
                <c:pt idx="1043">
                  <c:v>101176</c:v>
                </c:pt>
                <c:pt idx="1044">
                  <c:v>95628</c:v>
                </c:pt>
                <c:pt idx="1045">
                  <c:v>93750</c:v>
                </c:pt>
                <c:pt idx="1046">
                  <c:v>89088</c:v>
                </c:pt>
                <c:pt idx="1047">
                  <c:v>78771</c:v>
                </c:pt>
                <c:pt idx="1048">
                  <c:v>74762</c:v>
                </c:pt>
                <c:pt idx="1049">
                  <c:v>66119</c:v>
                </c:pt>
                <c:pt idx="1050">
                  <c:v>61446</c:v>
                </c:pt>
                <c:pt idx="1051">
                  <c:v>62379</c:v>
                </c:pt>
                <c:pt idx="1052">
                  <c:v>57071</c:v>
                </c:pt>
                <c:pt idx="1053">
                  <c:v>62533</c:v>
                </c:pt>
                <c:pt idx="1054">
                  <c:v>74278</c:v>
                </c:pt>
                <c:pt idx="1055">
                  <c:v>63352</c:v>
                </c:pt>
                <c:pt idx="1056">
                  <c:v>65926</c:v>
                </c:pt>
                <c:pt idx="1057">
                  <c:v>64005</c:v>
                </c:pt>
                <c:pt idx="1058">
                  <c:v>68668</c:v>
                </c:pt>
                <c:pt idx="1059">
                  <c:v>57952</c:v>
                </c:pt>
                <c:pt idx="1060">
                  <c:v>35057</c:v>
                </c:pt>
                <c:pt idx="1061">
                  <c:v>27761</c:v>
                </c:pt>
                <c:pt idx="1062">
                  <c:v>26565</c:v>
                </c:pt>
                <c:pt idx="1063">
                  <c:v>19379</c:v>
                </c:pt>
                <c:pt idx="1064">
                  <c:v>-21433</c:v>
                </c:pt>
                <c:pt idx="1065">
                  <c:v>-46663</c:v>
                </c:pt>
                <c:pt idx="1066">
                  <c:v>-53397</c:v>
                </c:pt>
                <c:pt idx="1067">
                  <c:v>-65331</c:v>
                </c:pt>
                <c:pt idx="1068">
                  <c:v>-62645</c:v>
                </c:pt>
                <c:pt idx="1069">
                  <c:v>-64544</c:v>
                </c:pt>
                <c:pt idx="1070">
                  <c:v>-71133</c:v>
                </c:pt>
                <c:pt idx="1071">
                  <c:v>-75913</c:v>
                </c:pt>
                <c:pt idx="1072">
                  <c:v>-71679</c:v>
                </c:pt>
                <c:pt idx="1073">
                  <c:v>-67848</c:v>
                </c:pt>
                <c:pt idx="1074">
                  <c:v>-51916</c:v>
                </c:pt>
                <c:pt idx="1075">
                  <c:v>-44417</c:v>
                </c:pt>
                <c:pt idx="1076">
                  <c:v>-33852</c:v>
                </c:pt>
                <c:pt idx="1077">
                  <c:v>-33359</c:v>
                </c:pt>
                <c:pt idx="1078">
                  <c:v>-39776</c:v>
                </c:pt>
                <c:pt idx="1079">
                  <c:v>-35907</c:v>
                </c:pt>
                <c:pt idx="1080">
                  <c:v>-26087</c:v>
                </c:pt>
                <c:pt idx="1081">
                  <c:v>-10638</c:v>
                </c:pt>
                <c:pt idx="1082">
                  <c:v>-16250</c:v>
                </c:pt>
                <c:pt idx="1083">
                  <c:v>-23829</c:v>
                </c:pt>
                <c:pt idx="1084">
                  <c:v>-20043</c:v>
                </c:pt>
                <c:pt idx="1085">
                  <c:v>-16758</c:v>
                </c:pt>
                <c:pt idx="1086">
                  <c:v>-11434</c:v>
                </c:pt>
                <c:pt idx="1087">
                  <c:v>-10436</c:v>
                </c:pt>
                <c:pt idx="1088">
                  <c:v>-9081</c:v>
                </c:pt>
                <c:pt idx="1089">
                  <c:v>-9544</c:v>
                </c:pt>
                <c:pt idx="1090">
                  <c:v>-24959</c:v>
                </c:pt>
                <c:pt idx="1091">
                  <c:v>-34639</c:v>
                </c:pt>
                <c:pt idx="1092">
                  <c:v>-30942</c:v>
                </c:pt>
                <c:pt idx="1093">
                  <c:v>-18764</c:v>
                </c:pt>
                <c:pt idx="1094">
                  <c:v>-5675</c:v>
                </c:pt>
                <c:pt idx="1095">
                  <c:v>-955</c:v>
                </c:pt>
                <c:pt idx="1096">
                  <c:v>-8663</c:v>
                </c:pt>
                <c:pt idx="1097">
                  <c:v>-10814</c:v>
                </c:pt>
                <c:pt idx="1098">
                  <c:v>-5364</c:v>
                </c:pt>
                <c:pt idx="1099">
                  <c:v>-15237</c:v>
                </c:pt>
                <c:pt idx="1100">
                  <c:v>-18002</c:v>
                </c:pt>
                <c:pt idx="1101">
                  <c:v>-16092</c:v>
                </c:pt>
                <c:pt idx="1102">
                  <c:v>-16335</c:v>
                </c:pt>
                <c:pt idx="1103">
                  <c:v>-28780</c:v>
                </c:pt>
                <c:pt idx="1104">
                  <c:v>-41583</c:v>
                </c:pt>
                <c:pt idx="1105">
                  <c:v>-57514</c:v>
                </c:pt>
                <c:pt idx="1106">
                  <c:v>-65500</c:v>
                </c:pt>
                <c:pt idx="1107">
                  <c:v>-58432</c:v>
                </c:pt>
                <c:pt idx="1108">
                  <c:v>-57956</c:v>
                </c:pt>
                <c:pt idx="1109">
                  <c:v>-60542</c:v>
                </c:pt>
                <c:pt idx="1110">
                  <c:v>-67345</c:v>
                </c:pt>
                <c:pt idx="1111">
                  <c:v>-70327</c:v>
                </c:pt>
                <c:pt idx="1112">
                  <c:v>-62789</c:v>
                </c:pt>
                <c:pt idx="1113">
                  <c:v>-60300</c:v>
                </c:pt>
                <c:pt idx="1114">
                  <c:v>-58928</c:v>
                </c:pt>
                <c:pt idx="1115">
                  <c:v>-65000</c:v>
                </c:pt>
                <c:pt idx="1116">
                  <c:v>-58591</c:v>
                </c:pt>
                <c:pt idx="1117">
                  <c:v>-61096</c:v>
                </c:pt>
                <c:pt idx="1118">
                  <c:v>-52191</c:v>
                </c:pt>
                <c:pt idx="1119">
                  <c:v>-69805</c:v>
                </c:pt>
                <c:pt idx="1120">
                  <c:v>-33215</c:v>
                </c:pt>
                <c:pt idx="1121">
                  <c:v>-36994</c:v>
                </c:pt>
                <c:pt idx="1122">
                  <c:v>-34307</c:v>
                </c:pt>
                <c:pt idx="1123">
                  <c:v>-35426</c:v>
                </c:pt>
                <c:pt idx="1124">
                  <c:v>-35455</c:v>
                </c:pt>
                <c:pt idx="1125">
                  <c:v>-30295</c:v>
                </c:pt>
                <c:pt idx="1126">
                  <c:v>-31600</c:v>
                </c:pt>
                <c:pt idx="1127">
                  <c:v>-26037</c:v>
                </c:pt>
                <c:pt idx="1128">
                  <c:v>-26534</c:v>
                </c:pt>
                <c:pt idx="1129">
                  <c:v>-21810</c:v>
                </c:pt>
                <c:pt idx="1130">
                  <c:v>-22731</c:v>
                </c:pt>
                <c:pt idx="1131">
                  <c:v>-24108</c:v>
                </c:pt>
                <c:pt idx="1132">
                  <c:v>-21533</c:v>
                </c:pt>
                <c:pt idx="1133">
                  <c:v>-5320</c:v>
                </c:pt>
                <c:pt idx="1134">
                  <c:v>2695</c:v>
                </c:pt>
                <c:pt idx="1135">
                  <c:v>10295</c:v>
                </c:pt>
                <c:pt idx="1136">
                  <c:v>15621</c:v>
                </c:pt>
                <c:pt idx="1137">
                  <c:v>20581</c:v>
                </c:pt>
                <c:pt idx="1138">
                  <c:v>22691</c:v>
                </c:pt>
                <c:pt idx="1139">
                  <c:v>21455</c:v>
                </c:pt>
                <c:pt idx="1140">
                  <c:v>17998</c:v>
                </c:pt>
                <c:pt idx="1141">
                  <c:v>7281</c:v>
                </c:pt>
                <c:pt idx="1142">
                  <c:v>5663</c:v>
                </c:pt>
                <c:pt idx="1143">
                  <c:v>9191</c:v>
                </c:pt>
                <c:pt idx="1144">
                  <c:v>11630</c:v>
                </c:pt>
                <c:pt idx="1145">
                  <c:v>7544</c:v>
                </c:pt>
                <c:pt idx="1146">
                  <c:v>3064</c:v>
                </c:pt>
                <c:pt idx="1147">
                  <c:v>-4566</c:v>
                </c:pt>
                <c:pt idx="1148">
                  <c:v>-7452</c:v>
                </c:pt>
                <c:pt idx="1149">
                  <c:v>-16167</c:v>
                </c:pt>
                <c:pt idx="1150">
                  <c:v>-21534</c:v>
                </c:pt>
                <c:pt idx="1151">
                  <c:v>-21405</c:v>
                </c:pt>
                <c:pt idx="1152">
                  <c:v>-19415</c:v>
                </c:pt>
                <c:pt idx="1153">
                  <c:v>-21846</c:v>
                </c:pt>
                <c:pt idx="1154">
                  <c:v>-19517</c:v>
                </c:pt>
                <c:pt idx="1155">
                  <c:v>-16341</c:v>
                </c:pt>
                <c:pt idx="1156">
                  <c:v>-18389</c:v>
                </c:pt>
                <c:pt idx="1157">
                  <c:v>-14362</c:v>
                </c:pt>
                <c:pt idx="1158">
                  <c:v>-15694</c:v>
                </c:pt>
                <c:pt idx="1159">
                  <c:v>-12187</c:v>
                </c:pt>
                <c:pt idx="1160">
                  <c:v>-14033</c:v>
                </c:pt>
                <c:pt idx="1161">
                  <c:v>-17087</c:v>
                </c:pt>
                <c:pt idx="1162">
                  <c:v>-21179</c:v>
                </c:pt>
                <c:pt idx="1163">
                  <c:v>-29080</c:v>
                </c:pt>
                <c:pt idx="1164">
                  <c:v>-23963</c:v>
                </c:pt>
                <c:pt idx="1165">
                  <c:v>-27321</c:v>
                </c:pt>
                <c:pt idx="1166">
                  <c:v>-33333</c:v>
                </c:pt>
                <c:pt idx="1167">
                  <c:v>-32842</c:v>
                </c:pt>
                <c:pt idx="1168">
                  <c:v>-36245</c:v>
                </c:pt>
                <c:pt idx="1169">
                  <c:v>-38863</c:v>
                </c:pt>
                <c:pt idx="1170">
                  <c:v>-39030</c:v>
                </c:pt>
                <c:pt idx="1171">
                  <c:v>-32822</c:v>
                </c:pt>
                <c:pt idx="1172">
                  <c:v>-32656</c:v>
                </c:pt>
                <c:pt idx="1173">
                  <c:v>-29618</c:v>
                </c:pt>
                <c:pt idx="1174">
                  <c:v>-30019</c:v>
                </c:pt>
                <c:pt idx="1175">
                  <c:v>-30578</c:v>
                </c:pt>
                <c:pt idx="1176">
                  <c:v>-27051</c:v>
                </c:pt>
                <c:pt idx="1177">
                  <c:v>-20909</c:v>
                </c:pt>
                <c:pt idx="1178">
                  <c:v>-10080</c:v>
                </c:pt>
                <c:pt idx="1179">
                  <c:v>-3982</c:v>
                </c:pt>
                <c:pt idx="1180">
                  <c:v>4348</c:v>
                </c:pt>
                <c:pt idx="1181">
                  <c:v>7333</c:v>
                </c:pt>
                <c:pt idx="1182">
                  <c:v>-1025</c:v>
                </c:pt>
                <c:pt idx="1183">
                  <c:v>-13745</c:v>
                </c:pt>
                <c:pt idx="1184">
                  <c:v>-12281</c:v>
                </c:pt>
                <c:pt idx="1185">
                  <c:v>-17579</c:v>
                </c:pt>
                <c:pt idx="1186">
                  <c:v>-23450</c:v>
                </c:pt>
                <c:pt idx="1187">
                  <c:v>-32268</c:v>
                </c:pt>
                <c:pt idx="1188">
                  <c:v>-40726</c:v>
                </c:pt>
                <c:pt idx="1189">
                  <c:v>-43568</c:v>
                </c:pt>
                <c:pt idx="1190">
                  <c:v>-56067</c:v>
                </c:pt>
                <c:pt idx="1191">
                  <c:v>-64180</c:v>
                </c:pt>
                <c:pt idx="1192">
                  <c:v>-67405</c:v>
                </c:pt>
                <c:pt idx="1193">
                  <c:v>-66794</c:v>
                </c:pt>
                <c:pt idx="1194">
                  <c:v>-59712</c:v>
                </c:pt>
                <c:pt idx="1195">
                  <c:v>-55119</c:v>
                </c:pt>
                <c:pt idx="1196">
                  <c:v>-48640</c:v>
                </c:pt>
                <c:pt idx="1197">
                  <c:v>-47083</c:v>
                </c:pt>
                <c:pt idx="1198">
                  <c:v>-38394</c:v>
                </c:pt>
                <c:pt idx="1199">
                  <c:v>-42235</c:v>
                </c:pt>
                <c:pt idx="1200">
                  <c:v>-35010</c:v>
                </c:pt>
                <c:pt idx="1201">
                  <c:v>-33949</c:v>
                </c:pt>
                <c:pt idx="1202">
                  <c:v>-27112</c:v>
                </c:pt>
                <c:pt idx="1203">
                  <c:v>-18895</c:v>
                </c:pt>
                <c:pt idx="1204">
                  <c:v>-19491</c:v>
                </c:pt>
                <c:pt idx="1205">
                  <c:v>-17907</c:v>
                </c:pt>
                <c:pt idx="1206">
                  <c:v>-28352</c:v>
                </c:pt>
                <c:pt idx="1207">
                  <c:v>-38617</c:v>
                </c:pt>
                <c:pt idx="1208">
                  <c:v>-38980</c:v>
                </c:pt>
                <c:pt idx="1209">
                  <c:v>-40138</c:v>
                </c:pt>
                <c:pt idx="1210">
                  <c:v>-51009</c:v>
                </c:pt>
                <c:pt idx="1211">
                  <c:v>-56027</c:v>
                </c:pt>
                <c:pt idx="1212">
                  <c:v>-60787</c:v>
                </c:pt>
                <c:pt idx="1213">
                  <c:v>-60130</c:v>
                </c:pt>
                <c:pt idx="1214">
                  <c:v>-59214</c:v>
                </c:pt>
                <c:pt idx="1215">
                  <c:v>-66386</c:v>
                </c:pt>
                <c:pt idx="1216">
                  <c:v>-66819</c:v>
                </c:pt>
                <c:pt idx="1217">
                  <c:v>-52420</c:v>
                </c:pt>
                <c:pt idx="1218">
                  <c:v>-51935</c:v>
                </c:pt>
                <c:pt idx="1219">
                  <c:v>-45085</c:v>
                </c:pt>
                <c:pt idx="1220">
                  <c:v>-36940</c:v>
                </c:pt>
                <c:pt idx="1221">
                  <c:v>-30478</c:v>
                </c:pt>
                <c:pt idx="1222">
                  <c:v>-25781</c:v>
                </c:pt>
                <c:pt idx="1223">
                  <c:v>-16826</c:v>
                </c:pt>
                <c:pt idx="1224">
                  <c:v>-15009</c:v>
                </c:pt>
                <c:pt idx="1225">
                  <c:v>-6180</c:v>
                </c:pt>
                <c:pt idx="1226">
                  <c:v>97</c:v>
                </c:pt>
                <c:pt idx="1227">
                  <c:v>2385</c:v>
                </c:pt>
                <c:pt idx="1228">
                  <c:v>7308</c:v>
                </c:pt>
                <c:pt idx="1229">
                  <c:v>11999</c:v>
                </c:pt>
                <c:pt idx="1230">
                  <c:v>18943</c:v>
                </c:pt>
                <c:pt idx="1231">
                  <c:v>25874</c:v>
                </c:pt>
                <c:pt idx="1232">
                  <c:v>22706</c:v>
                </c:pt>
                <c:pt idx="1233">
                  <c:v>20047</c:v>
                </c:pt>
                <c:pt idx="1234">
                  <c:v>26259</c:v>
                </c:pt>
                <c:pt idx="1235">
                  <c:v>21537</c:v>
                </c:pt>
                <c:pt idx="1236">
                  <c:v>18440</c:v>
                </c:pt>
                <c:pt idx="1237">
                  <c:v>2595</c:v>
                </c:pt>
                <c:pt idx="1238">
                  <c:v>7949</c:v>
                </c:pt>
                <c:pt idx="1239">
                  <c:v>11517</c:v>
                </c:pt>
                <c:pt idx="1240">
                  <c:v>17175</c:v>
                </c:pt>
                <c:pt idx="1241">
                  <c:v>22068</c:v>
                </c:pt>
                <c:pt idx="1242">
                  <c:v>23180</c:v>
                </c:pt>
                <c:pt idx="1243">
                  <c:v>17758</c:v>
                </c:pt>
                <c:pt idx="1244">
                  <c:v>15366</c:v>
                </c:pt>
                <c:pt idx="1245">
                  <c:v>12473</c:v>
                </c:pt>
                <c:pt idx="1246">
                  <c:v>16734</c:v>
                </c:pt>
                <c:pt idx="1247">
                  <c:v>22400</c:v>
                </c:pt>
                <c:pt idx="1248">
                  <c:v>20905</c:v>
                </c:pt>
                <c:pt idx="1249">
                  <c:v>17058</c:v>
                </c:pt>
                <c:pt idx="1250">
                  <c:v>16303</c:v>
                </c:pt>
                <c:pt idx="1251">
                  <c:v>-11615</c:v>
                </c:pt>
                <c:pt idx="1252">
                  <c:v>-14077</c:v>
                </c:pt>
                <c:pt idx="1253">
                  <c:v>-11704</c:v>
                </c:pt>
                <c:pt idx="1254">
                  <c:v>-14298</c:v>
                </c:pt>
                <c:pt idx="1255">
                  <c:v>-13324</c:v>
                </c:pt>
                <c:pt idx="1256">
                  <c:v>-15960</c:v>
                </c:pt>
                <c:pt idx="1257">
                  <c:v>-21312</c:v>
                </c:pt>
                <c:pt idx="1258">
                  <c:v>-18599</c:v>
                </c:pt>
                <c:pt idx="1259">
                  <c:v>-17462</c:v>
                </c:pt>
                <c:pt idx="1260">
                  <c:v>-18576</c:v>
                </c:pt>
                <c:pt idx="1261">
                  <c:v>-18158</c:v>
                </c:pt>
                <c:pt idx="1262">
                  <c:v>-21869</c:v>
                </c:pt>
                <c:pt idx="1263">
                  <c:v>-11754</c:v>
                </c:pt>
                <c:pt idx="1264">
                  <c:v>-1598</c:v>
                </c:pt>
                <c:pt idx="1265">
                  <c:v>-3871</c:v>
                </c:pt>
                <c:pt idx="1266">
                  <c:v>-7935</c:v>
                </c:pt>
                <c:pt idx="1267">
                  <c:v>-5456</c:v>
                </c:pt>
                <c:pt idx="1268">
                  <c:v>2519</c:v>
                </c:pt>
                <c:pt idx="1269">
                  <c:v>3472</c:v>
                </c:pt>
                <c:pt idx="1270">
                  <c:v>8550</c:v>
                </c:pt>
                <c:pt idx="1271">
                  <c:v>19340</c:v>
                </c:pt>
                <c:pt idx="1272">
                  <c:v>24584</c:v>
                </c:pt>
                <c:pt idx="1273">
                  <c:v>30090</c:v>
                </c:pt>
                <c:pt idx="1274">
                  <c:v>29220</c:v>
                </c:pt>
                <c:pt idx="1275">
                  <c:v>21458</c:v>
                </c:pt>
                <c:pt idx="1276">
                  <c:v>-24403</c:v>
                </c:pt>
                <c:pt idx="1277">
                  <c:v>-28217</c:v>
                </c:pt>
                <c:pt idx="1278">
                  <c:v>-30225</c:v>
                </c:pt>
                <c:pt idx="1279">
                  <c:v>-32334</c:v>
                </c:pt>
                <c:pt idx="1280">
                  <c:v>-33252</c:v>
                </c:pt>
                <c:pt idx="1281">
                  <c:v>-42642</c:v>
                </c:pt>
                <c:pt idx="1282">
                  <c:v>-47704</c:v>
                </c:pt>
                <c:pt idx="1283">
                  <c:v>-86215</c:v>
                </c:pt>
                <c:pt idx="1284">
                  <c:v>-98000</c:v>
                </c:pt>
                <c:pt idx="1285">
                  <c:v>-99109</c:v>
                </c:pt>
                <c:pt idx="1286">
                  <c:v>-98187</c:v>
                </c:pt>
                <c:pt idx="1287">
                  <c:v>-94501</c:v>
                </c:pt>
                <c:pt idx="1288">
                  <c:v>-88595</c:v>
                </c:pt>
                <c:pt idx="1289">
                  <c:v>-82881</c:v>
                </c:pt>
                <c:pt idx="1290">
                  <c:v>-49495</c:v>
                </c:pt>
                <c:pt idx="1291">
                  <c:v>-39372</c:v>
                </c:pt>
                <c:pt idx="1292">
                  <c:v>-8604</c:v>
                </c:pt>
                <c:pt idx="1293">
                  <c:v>8043</c:v>
                </c:pt>
                <c:pt idx="1294">
                  <c:v>26613</c:v>
                </c:pt>
                <c:pt idx="1295">
                  <c:v>40638</c:v>
                </c:pt>
                <c:pt idx="1296">
                  <c:v>62821</c:v>
                </c:pt>
                <c:pt idx="1297">
                  <c:v>51349</c:v>
                </c:pt>
                <c:pt idx="1298">
                  <c:v>51099</c:v>
                </c:pt>
                <c:pt idx="1299">
                  <c:v>53167</c:v>
                </c:pt>
                <c:pt idx="1300">
                  <c:v>53644</c:v>
                </c:pt>
                <c:pt idx="1301">
                  <c:v>50499</c:v>
                </c:pt>
                <c:pt idx="1302">
                  <c:v>58846</c:v>
                </c:pt>
                <c:pt idx="1303">
                  <c:v>74605</c:v>
                </c:pt>
                <c:pt idx="1304">
                  <c:v>75128</c:v>
                </c:pt>
                <c:pt idx="1305">
                  <c:v>76392</c:v>
                </c:pt>
                <c:pt idx="1306">
                  <c:v>75086</c:v>
                </c:pt>
                <c:pt idx="1307">
                  <c:v>72332</c:v>
                </c:pt>
                <c:pt idx="1308">
                  <c:v>57839</c:v>
                </c:pt>
                <c:pt idx="1309">
                  <c:v>50889</c:v>
                </c:pt>
                <c:pt idx="1310">
                  <c:v>47335</c:v>
                </c:pt>
                <c:pt idx="1311">
                  <c:v>45125</c:v>
                </c:pt>
                <c:pt idx="1312">
                  <c:v>45658</c:v>
                </c:pt>
                <c:pt idx="1313">
                  <c:v>42466</c:v>
                </c:pt>
                <c:pt idx="1314">
                  <c:v>41960</c:v>
                </c:pt>
                <c:pt idx="1315">
                  <c:v>45901</c:v>
                </c:pt>
                <c:pt idx="1316">
                  <c:v>17346</c:v>
                </c:pt>
                <c:pt idx="1317">
                  <c:v>14739</c:v>
                </c:pt>
                <c:pt idx="1318">
                  <c:v>17461</c:v>
                </c:pt>
                <c:pt idx="1319">
                  <c:v>17556</c:v>
                </c:pt>
                <c:pt idx="1320">
                  <c:v>22557</c:v>
                </c:pt>
                <c:pt idx="1321">
                  <c:v>33465</c:v>
                </c:pt>
                <c:pt idx="1322">
                  <c:v>40164</c:v>
                </c:pt>
                <c:pt idx="1323">
                  <c:v>32529</c:v>
                </c:pt>
                <c:pt idx="1324">
                  <c:v>23127</c:v>
                </c:pt>
                <c:pt idx="1325">
                  <c:v>22220</c:v>
                </c:pt>
                <c:pt idx="1326">
                  <c:v>19565</c:v>
                </c:pt>
                <c:pt idx="1327">
                  <c:v>19420</c:v>
                </c:pt>
                <c:pt idx="1328">
                  <c:v>24560</c:v>
                </c:pt>
                <c:pt idx="1329">
                  <c:v>-27050</c:v>
                </c:pt>
                <c:pt idx="1330">
                  <c:v>-31872</c:v>
                </c:pt>
                <c:pt idx="1331">
                  <c:v>-31672</c:v>
                </c:pt>
                <c:pt idx="1332">
                  <c:v>-30324</c:v>
                </c:pt>
                <c:pt idx="1333">
                  <c:v>-25144</c:v>
                </c:pt>
                <c:pt idx="1334">
                  <c:v>-27535</c:v>
                </c:pt>
                <c:pt idx="1335">
                  <c:v>-23861</c:v>
                </c:pt>
                <c:pt idx="1336">
                  <c:v>-23656</c:v>
                </c:pt>
                <c:pt idx="1337">
                  <c:v>-26212</c:v>
                </c:pt>
                <c:pt idx="1338">
                  <c:v>-15690</c:v>
                </c:pt>
                <c:pt idx="1339">
                  <c:v>-16039</c:v>
                </c:pt>
                <c:pt idx="1340">
                  <c:v>-14988</c:v>
                </c:pt>
                <c:pt idx="1341">
                  <c:v>-14014</c:v>
                </c:pt>
                <c:pt idx="1342">
                  <c:v>-32799</c:v>
                </c:pt>
                <c:pt idx="1343">
                  <c:v>-49448</c:v>
                </c:pt>
                <c:pt idx="1344">
                  <c:v>-52887</c:v>
                </c:pt>
                <c:pt idx="1345">
                  <c:v>-47484</c:v>
                </c:pt>
                <c:pt idx="1346">
                  <c:v>-44511</c:v>
                </c:pt>
                <c:pt idx="1347">
                  <c:v>-31569</c:v>
                </c:pt>
                <c:pt idx="1348">
                  <c:v>-24898</c:v>
                </c:pt>
                <c:pt idx="1349">
                  <c:v>-26198</c:v>
                </c:pt>
                <c:pt idx="1350">
                  <c:v>-27021</c:v>
                </c:pt>
                <c:pt idx="1351">
                  <c:v>-24789</c:v>
                </c:pt>
                <c:pt idx="1352">
                  <c:v>-26307</c:v>
                </c:pt>
                <c:pt idx="1353">
                  <c:v>-26942</c:v>
                </c:pt>
                <c:pt idx="1354">
                  <c:v>-30111</c:v>
                </c:pt>
                <c:pt idx="1355">
                  <c:v>-19532</c:v>
                </c:pt>
                <c:pt idx="1356">
                  <c:v>-18484</c:v>
                </c:pt>
                <c:pt idx="1357">
                  <c:v>-12145</c:v>
                </c:pt>
                <c:pt idx="1358">
                  <c:v>-11019</c:v>
                </c:pt>
                <c:pt idx="1359">
                  <c:v>-7228</c:v>
                </c:pt>
                <c:pt idx="1360">
                  <c:v>-9655</c:v>
                </c:pt>
                <c:pt idx="1361">
                  <c:v>-2632</c:v>
                </c:pt>
                <c:pt idx="1362">
                  <c:v>-2791</c:v>
                </c:pt>
                <c:pt idx="1363">
                  <c:v>-6289</c:v>
                </c:pt>
                <c:pt idx="1364">
                  <c:v>-8630</c:v>
                </c:pt>
                <c:pt idx="1365">
                  <c:v>-12936</c:v>
                </c:pt>
                <c:pt idx="1366">
                  <c:v>-11669</c:v>
                </c:pt>
                <c:pt idx="1367">
                  <c:v>-7457</c:v>
                </c:pt>
                <c:pt idx="1368">
                  <c:v>-44692</c:v>
                </c:pt>
                <c:pt idx="1369">
                  <c:v>-50649</c:v>
                </c:pt>
                <c:pt idx="1370">
                  <c:v>-66002</c:v>
                </c:pt>
                <c:pt idx="1371">
                  <c:v>-59524</c:v>
                </c:pt>
                <c:pt idx="1372">
                  <c:v>-56096</c:v>
                </c:pt>
                <c:pt idx="1373">
                  <c:v>-56390</c:v>
                </c:pt>
                <c:pt idx="1374">
                  <c:v>-42037</c:v>
                </c:pt>
                <c:pt idx="1375">
                  <c:v>-37537</c:v>
                </c:pt>
                <c:pt idx="1376">
                  <c:v>-36437</c:v>
                </c:pt>
                <c:pt idx="1377">
                  <c:v>-39177</c:v>
                </c:pt>
                <c:pt idx="1378">
                  <c:v>-40444</c:v>
                </c:pt>
                <c:pt idx="1379">
                  <c:v>-41053</c:v>
                </c:pt>
                <c:pt idx="1380">
                  <c:v>-47774</c:v>
                </c:pt>
                <c:pt idx="1381">
                  <c:v>-39571</c:v>
                </c:pt>
                <c:pt idx="1382">
                  <c:v>-44323</c:v>
                </c:pt>
                <c:pt idx="1383">
                  <c:v>-43202</c:v>
                </c:pt>
                <c:pt idx="1384">
                  <c:v>-49162</c:v>
                </c:pt>
                <c:pt idx="1385">
                  <c:v>-47493</c:v>
                </c:pt>
                <c:pt idx="1386">
                  <c:v>-46745</c:v>
                </c:pt>
                <c:pt idx="1387">
                  <c:v>-46115</c:v>
                </c:pt>
                <c:pt idx="1388">
                  <c:v>-47588</c:v>
                </c:pt>
                <c:pt idx="1389">
                  <c:v>-42236</c:v>
                </c:pt>
                <c:pt idx="1390">
                  <c:v>-39423</c:v>
                </c:pt>
                <c:pt idx="1391">
                  <c:v>-41759</c:v>
                </c:pt>
                <c:pt idx="1392">
                  <c:v>-32840</c:v>
                </c:pt>
                <c:pt idx="1393">
                  <c:v>-38071</c:v>
                </c:pt>
                <c:pt idx="1394">
                  <c:v>-14790</c:v>
                </c:pt>
                <c:pt idx="1395">
                  <c:v>6293</c:v>
                </c:pt>
                <c:pt idx="1396">
                  <c:v>9226</c:v>
                </c:pt>
                <c:pt idx="1397">
                  <c:v>20964</c:v>
                </c:pt>
                <c:pt idx="1398">
                  <c:v>30750</c:v>
                </c:pt>
                <c:pt idx="1399">
                  <c:v>21722</c:v>
                </c:pt>
                <c:pt idx="1400">
                  <c:v>24166</c:v>
                </c:pt>
                <c:pt idx="1401">
                  <c:v>14200</c:v>
                </c:pt>
                <c:pt idx="1402">
                  <c:v>13037</c:v>
                </c:pt>
                <c:pt idx="1403">
                  <c:v>10905</c:v>
                </c:pt>
                <c:pt idx="1404">
                  <c:v>5349</c:v>
                </c:pt>
                <c:pt idx="1405">
                  <c:v>11523</c:v>
                </c:pt>
                <c:pt idx="1406">
                  <c:v>19823</c:v>
                </c:pt>
                <c:pt idx="1407">
                  <c:v>4592</c:v>
                </c:pt>
                <c:pt idx="1408">
                  <c:v>6327</c:v>
                </c:pt>
                <c:pt idx="1409">
                  <c:v>5313</c:v>
                </c:pt>
                <c:pt idx="1410">
                  <c:v>12961</c:v>
                </c:pt>
                <c:pt idx="1411">
                  <c:v>33393</c:v>
                </c:pt>
                <c:pt idx="1412">
                  <c:v>43589</c:v>
                </c:pt>
                <c:pt idx="1413">
                  <c:v>54002</c:v>
                </c:pt>
                <c:pt idx="1414">
                  <c:v>42373</c:v>
                </c:pt>
                <c:pt idx="1415">
                  <c:v>28865</c:v>
                </c:pt>
                <c:pt idx="1416">
                  <c:v>20344</c:v>
                </c:pt>
                <c:pt idx="1417">
                  <c:v>21471</c:v>
                </c:pt>
                <c:pt idx="1418">
                  <c:v>20741</c:v>
                </c:pt>
                <c:pt idx="1419">
                  <c:v>11191</c:v>
                </c:pt>
                <c:pt idx="1420">
                  <c:v>8497</c:v>
                </c:pt>
                <c:pt idx="1421">
                  <c:v>11913</c:v>
                </c:pt>
                <c:pt idx="1422">
                  <c:v>26367</c:v>
                </c:pt>
                <c:pt idx="1423">
                  <c:v>32852</c:v>
                </c:pt>
                <c:pt idx="1424">
                  <c:v>38294</c:v>
                </c:pt>
                <c:pt idx="1425">
                  <c:v>34590</c:v>
                </c:pt>
                <c:pt idx="1426">
                  <c:v>18563</c:v>
                </c:pt>
                <c:pt idx="1427">
                  <c:v>9705</c:v>
                </c:pt>
                <c:pt idx="1428">
                  <c:v>7817</c:v>
                </c:pt>
                <c:pt idx="1429">
                  <c:v>14624</c:v>
                </c:pt>
                <c:pt idx="1430">
                  <c:v>10579</c:v>
                </c:pt>
                <c:pt idx="1431">
                  <c:v>-1990</c:v>
                </c:pt>
                <c:pt idx="1432">
                  <c:v>-9623</c:v>
                </c:pt>
                <c:pt idx="1433">
                  <c:v>-29245</c:v>
                </c:pt>
                <c:pt idx="1434">
                  <c:v>-21929</c:v>
                </c:pt>
                <c:pt idx="1435">
                  <c:v>-24433</c:v>
                </c:pt>
                <c:pt idx="1436">
                  <c:v>-23760</c:v>
                </c:pt>
                <c:pt idx="1437">
                  <c:v>-23891</c:v>
                </c:pt>
                <c:pt idx="1438">
                  <c:v>-29044</c:v>
                </c:pt>
                <c:pt idx="1439">
                  <c:v>-32052</c:v>
                </c:pt>
                <c:pt idx="1440">
                  <c:v>-32246</c:v>
                </c:pt>
                <c:pt idx="1441">
                  <c:v>-35056</c:v>
                </c:pt>
                <c:pt idx="1442">
                  <c:v>-33954</c:v>
                </c:pt>
                <c:pt idx="1443">
                  <c:v>-33138</c:v>
                </c:pt>
                <c:pt idx="1444">
                  <c:v>-24829</c:v>
                </c:pt>
                <c:pt idx="1445">
                  <c:v>-25486</c:v>
                </c:pt>
                <c:pt idx="1446">
                  <c:v>-20834</c:v>
                </c:pt>
                <c:pt idx="1447">
                  <c:v>-20519</c:v>
                </c:pt>
                <c:pt idx="1448">
                  <c:v>-16818</c:v>
                </c:pt>
                <c:pt idx="1449">
                  <c:v>-19775</c:v>
                </c:pt>
                <c:pt idx="1450">
                  <c:v>-16698</c:v>
                </c:pt>
                <c:pt idx="1451">
                  <c:v>-12496</c:v>
                </c:pt>
                <c:pt idx="1452">
                  <c:v>-23195</c:v>
                </c:pt>
                <c:pt idx="1453">
                  <c:v>-29547</c:v>
                </c:pt>
                <c:pt idx="1454">
                  <c:v>-33587</c:v>
                </c:pt>
                <c:pt idx="1455">
                  <c:v>-29318</c:v>
                </c:pt>
                <c:pt idx="1456">
                  <c:v>-27006</c:v>
                </c:pt>
                <c:pt idx="1457">
                  <c:v>-17355</c:v>
                </c:pt>
                <c:pt idx="1458">
                  <c:v>-16943</c:v>
                </c:pt>
                <c:pt idx="1459">
                  <c:v>-18882</c:v>
                </c:pt>
                <c:pt idx="1460">
                  <c:v>-18948</c:v>
                </c:pt>
                <c:pt idx="1461">
                  <c:v>-18047</c:v>
                </c:pt>
                <c:pt idx="1462">
                  <c:v>-13564</c:v>
                </c:pt>
                <c:pt idx="1463">
                  <c:v>-19075</c:v>
                </c:pt>
                <c:pt idx="1464">
                  <c:v>-18069</c:v>
                </c:pt>
                <c:pt idx="1465">
                  <c:v>-20686</c:v>
                </c:pt>
                <c:pt idx="1466">
                  <c:v>-21349</c:v>
                </c:pt>
                <c:pt idx="1467">
                  <c:v>-20359</c:v>
                </c:pt>
                <c:pt idx="1468">
                  <c:v>-16846</c:v>
                </c:pt>
                <c:pt idx="1469">
                  <c:v>-21243</c:v>
                </c:pt>
                <c:pt idx="1470">
                  <c:v>-20738</c:v>
                </c:pt>
                <c:pt idx="1471">
                  <c:v>-15716</c:v>
                </c:pt>
                <c:pt idx="1472">
                  <c:v>10085</c:v>
                </c:pt>
                <c:pt idx="1473">
                  <c:v>15368</c:v>
                </c:pt>
                <c:pt idx="1474">
                  <c:v>14524</c:v>
                </c:pt>
                <c:pt idx="1475">
                  <c:v>12073</c:v>
                </c:pt>
                <c:pt idx="1476">
                  <c:v>10326</c:v>
                </c:pt>
                <c:pt idx="1477">
                  <c:v>13770</c:v>
                </c:pt>
                <c:pt idx="1478">
                  <c:v>16096</c:v>
                </c:pt>
                <c:pt idx="1479">
                  <c:v>9528</c:v>
                </c:pt>
                <c:pt idx="1480">
                  <c:v>8164</c:v>
                </c:pt>
                <c:pt idx="1481">
                  <c:v>9132</c:v>
                </c:pt>
                <c:pt idx="1482">
                  <c:v>15327</c:v>
                </c:pt>
                <c:pt idx="1483">
                  <c:v>10981</c:v>
                </c:pt>
                <c:pt idx="1484">
                  <c:v>10263</c:v>
                </c:pt>
                <c:pt idx="1485">
                  <c:v>5103</c:v>
                </c:pt>
                <c:pt idx="1486">
                  <c:v>6518</c:v>
                </c:pt>
                <c:pt idx="1487">
                  <c:v>2690</c:v>
                </c:pt>
                <c:pt idx="1488">
                  <c:v>2406</c:v>
                </c:pt>
                <c:pt idx="1489">
                  <c:v>13246</c:v>
                </c:pt>
                <c:pt idx="1490">
                  <c:v>15722</c:v>
                </c:pt>
                <c:pt idx="1491">
                  <c:v>25947</c:v>
                </c:pt>
                <c:pt idx="1492">
                  <c:v>38629</c:v>
                </c:pt>
                <c:pt idx="1493">
                  <c:v>46112</c:v>
                </c:pt>
                <c:pt idx="1494">
                  <c:v>44811</c:v>
                </c:pt>
                <c:pt idx="1495">
                  <c:v>48772</c:v>
                </c:pt>
                <c:pt idx="1496">
                  <c:v>45281</c:v>
                </c:pt>
                <c:pt idx="1497">
                  <c:v>44254</c:v>
                </c:pt>
                <c:pt idx="1498">
                  <c:v>43225</c:v>
                </c:pt>
                <c:pt idx="1499">
                  <c:v>45801</c:v>
                </c:pt>
                <c:pt idx="1500">
                  <c:v>41178</c:v>
                </c:pt>
                <c:pt idx="1501">
                  <c:v>26376</c:v>
                </c:pt>
                <c:pt idx="1502">
                  <c:v>12915</c:v>
                </c:pt>
                <c:pt idx="1503">
                  <c:v>5374</c:v>
                </c:pt>
                <c:pt idx="1504">
                  <c:v>7460</c:v>
                </c:pt>
                <c:pt idx="1505">
                  <c:v>6465</c:v>
                </c:pt>
                <c:pt idx="1506">
                  <c:v>2660</c:v>
                </c:pt>
                <c:pt idx="1507">
                  <c:v>5877</c:v>
                </c:pt>
                <c:pt idx="1508">
                  <c:v>-2848</c:v>
                </c:pt>
                <c:pt idx="1509">
                  <c:v>-6010</c:v>
                </c:pt>
                <c:pt idx="1510">
                  <c:v>-9283</c:v>
                </c:pt>
                <c:pt idx="1511">
                  <c:v>-27877</c:v>
                </c:pt>
                <c:pt idx="1512">
                  <c:v>-20235</c:v>
                </c:pt>
                <c:pt idx="1513">
                  <c:v>-26866</c:v>
                </c:pt>
                <c:pt idx="1514">
                  <c:v>-27860</c:v>
                </c:pt>
                <c:pt idx="1515">
                  <c:v>-10924</c:v>
                </c:pt>
                <c:pt idx="1516">
                  <c:v>3320</c:v>
                </c:pt>
                <c:pt idx="1517">
                  <c:v>4162</c:v>
                </c:pt>
                <c:pt idx="1518">
                  <c:v>5104</c:v>
                </c:pt>
                <c:pt idx="1519">
                  <c:v>8709</c:v>
                </c:pt>
                <c:pt idx="1520">
                  <c:v>-3135</c:v>
                </c:pt>
                <c:pt idx="1521">
                  <c:v>-14075</c:v>
                </c:pt>
                <c:pt idx="1522">
                  <c:v>-9358</c:v>
                </c:pt>
                <c:pt idx="1523">
                  <c:v>-13128</c:v>
                </c:pt>
                <c:pt idx="1524">
                  <c:v>-9877</c:v>
                </c:pt>
                <c:pt idx="1525">
                  <c:v>-10334</c:v>
                </c:pt>
                <c:pt idx="1526">
                  <c:v>-11025</c:v>
                </c:pt>
                <c:pt idx="1527">
                  <c:v>-7376</c:v>
                </c:pt>
                <c:pt idx="1528">
                  <c:v>7492</c:v>
                </c:pt>
                <c:pt idx="1529">
                  <c:v>12317</c:v>
                </c:pt>
                <c:pt idx="1530">
                  <c:v>18264</c:v>
                </c:pt>
                <c:pt idx="1531">
                  <c:v>14886</c:v>
                </c:pt>
                <c:pt idx="1532">
                  <c:v>12170</c:v>
                </c:pt>
                <c:pt idx="1533">
                  <c:v>9253</c:v>
                </c:pt>
                <c:pt idx="1534">
                  <c:v>14140</c:v>
                </c:pt>
                <c:pt idx="1535">
                  <c:v>7646</c:v>
                </c:pt>
                <c:pt idx="1536">
                  <c:v>17740</c:v>
                </c:pt>
                <c:pt idx="1537">
                  <c:v>-4940</c:v>
                </c:pt>
                <c:pt idx="1538">
                  <c:v>-1535</c:v>
                </c:pt>
                <c:pt idx="1539">
                  <c:v>6923</c:v>
                </c:pt>
                <c:pt idx="1540">
                  <c:v>12158</c:v>
                </c:pt>
                <c:pt idx="1541">
                  <c:v>21226</c:v>
                </c:pt>
                <c:pt idx="1542">
                  <c:v>20881</c:v>
                </c:pt>
                <c:pt idx="1543">
                  <c:v>9029</c:v>
                </c:pt>
                <c:pt idx="1544">
                  <c:v>-5407</c:v>
                </c:pt>
                <c:pt idx="1545">
                  <c:v>-14496</c:v>
                </c:pt>
                <c:pt idx="1546">
                  <c:v>-12687</c:v>
                </c:pt>
                <c:pt idx="1547">
                  <c:v>-7007</c:v>
                </c:pt>
                <c:pt idx="1548">
                  <c:v>-1062</c:v>
                </c:pt>
                <c:pt idx="1549">
                  <c:v>23202</c:v>
                </c:pt>
                <c:pt idx="1550">
                  <c:v>4105</c:v>
                </c:pt>
                <c:pt idx="1551">
                  <c:v>9097</c:v>
                </c:pt>
                <c:pt idx="1552">
                  <c:v>4293</c:v>
                </c:pt>
                <c:pt idx="1553">
                  <c:v>3505</c:v>
                </c:pt>
                <c:pt idx="1554">
                  <c:v>6667</c:v>
                </c:pt>
                <c:pt idx="1555">
                  <c:v>15769</c:v>
                </c:pt>
                <c:pt idx="1556">
                  <c:v>20277</c:v>
                </c:pt>
                <c:pt idx="1557">
                  <c:v>21223</c:v>
                </c:pt>
                <c:pt idx="1558">
                  <c:v>26867</c:v>
                </c:pt>
                <c:pt idx="1559">
                  <c:v>23227</c:v>
                </c:pt>
                <c:pt idx="1560">
                  <c:v>24179</c:v>
                </c:pt>
                <c:pt idx="1561">
                  <c:v>17910</c:v>
                </c:pt>
                <c:pt idx="1562">
                  <c:v>12425</c:v>
                </c:pt>
              </c:numCache>
            </c:numRef>
          </c:val>
          <c:extLst>
            <c:ext xmlns:c16="http://schemas.microsoft.com/office/drawing/2014/chart" uri="{C3380CC4-5D6E-409C-BE32-E72D297353CC}">
              <c16:uniqueId val="{00000000-4AF0-40C7-A42C-79FF8F536C25}"/>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3"/>
          <c:order val="0"/>
          <c:tx>
            <c:strRef>
              <c:f>Database!$E$1</c:f>
              <c:strCache>
                <c:ptCount val="1"/>
                <c:pt idx="0">
                  <c:v>CHF</c:v>
                </c:pt>
              </c:strCache>
            </c:strRef>
          </c:tx>
          <c:spPr>
            <a:solidFill>
              <a:schemeClr val="accent4"/>
            </a:solidFill>
            <a:ln>
              <a:noFill/>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Database!$E$2:$E$1564</c:f>
              <c:numCache>
                <c:formatCode>General</c:formatCode>
                <c:ptCount val="1563"/>
                <c:pt idx="0">
                  <c:v>-72</c:v>
                </c:pt>
                <c:pt idx="1">
                  <c:v>-6304</c:v>
                </c:pt>
                <c:pt idx="2">
                  <c:v>-12656</c:v>
                </c:pt>
                <c:pt idx="3">
                  <c:v>-9248</c:v>
                </c:pt>
                <c:pt idx="4">
                  <c:v>-9248</c:v>
                </c:pt>
                <c:pt idx="5">
                  <c:v>-9216</c:v>
                </c:pt>
                <c:pt idx="6">
                  <c:v>-11016</c:v>
                </c:pt>
                <c:pt idx="7">
                  <c:v>-11353</c:v>
                </c:pt>
                <c:pt idx="8">
                  <c:v>-11464</c:v>
                </c:pt>
                <c:pt idx="9">
                  <c:v>-11494</c:v>
                </c:pt>
                <c:pt idx="10">
                  <c:v>-10676</c:v>
                </c:pt>
                <c:pt idx="11">
                  <c:v>-11316</c:v>
                </c:pt>
                <c:pt idx="12">
                  <c:v>-16649</c:v>
                </c:pt>
                <c:pt idx="13">
                  <c:v>-17130</c:v>
                </c:pt>
                <c:pt idx="14">
                  <c:v>-22604</c:v>
                </c:pt>
                <c:pt idx="15">
                  <c:v>-18510</c:v>
                </c:pt>
                <c:pt idx="16">
                  <c:v>-12713</c:v>
                </c:pt>
                <c:pt idx="17">
                  <c:v>-16727</c:v>
                </c:pt>
                <c:pt idx="18">
                  <c:v>-13134</c:v>
                </c:pt>
                <c:pt idx="19">
                  <c:v>-13710</c:v>
                </c:pt>
                <c:pt idx="20">
                  <c:v>-10511</c:v>
                </c:pt>
                <c:pt idx="21">
                  <c:v>-14431</c:v>
                </c:pt>
                <c:pt idx="22">
                  <c:v>-12979</c:v>
                </c:pt>
                <c:pt idx="23">
                  <c:v>-7386</c:v>
                </c:pt>
                <c:pt idx="24">
                  <c:v>-12764</c:v>
                </c:pt>
                <c:pt idx="25">
                  <c:v>-11478</c:v>
                </c:pt>
                <c:pt idx="26">
                  <c:v>-5027</c:v>
                </c:pt>
                <c:pt idx="27">
                  <c:v>3023</c:v>
                </c:pt>
                <c:pt idx="28">
                  <c:v>1632</c:v>
                </c:pt>
                <c:pt idx="29">
                  <c:v>4837</c:v>
                </c:pt>
                <c:pt idx="30">
                  <c:v>9030</c:v>
                </c:pt>
                <c:pt idx="31">
                  <c:v>4876</c:v>
                </c:pt>
                <c:pt idx="32">
                  <c:v>359</c:v>
                </c:pt>
                <c:pt idx="33">
                  <c:v>2401</c:v>
                </c:pt>
                <c:pt idx="34">
                  <c:v>4090</c:v>
                </c:pt>
                <c:pt idx="35">
                  <c:v>832</c:v>
                </c:pt>
                <c:pt idx="36">
                  <c:v>-1095</c:v>
                </c:pt>
                <c:pt idx="37">
                  <c:v>-7828</c:v>
                </c:pt>
                <c:pt idx="38">
                  <c:v>-8680</c:v>
                </c:pt>
                <c:pt idx="39">
                  <c:v>-8132</c:v>
                </c:pt>
                <c:pt idx="40">
                  <c:v>-13313</c:v>
                </c:pt>
                <c:pt idx="41">
                  <c:v>-8339</c:v>
                </c:pt>
                <c:pt idx="42">
                  <c:v>-10695</c:v>
                </c:pt>
                <c:pt idx="43">
                  <c:v>-6998</c:v>
                </c:pt>
                <c:pt idx="44">
                  <c:v>-9385</c:v>
                </c:pt>
                <c:pt idx="45">
                  <c:v>-9343</c:v>
                </c:pt>
                <c:pt idx="46">
                  <c:v>84</c:v>
                </c:pt>
                <c:pt idx="47">
                  <c:v>2924</c:v>
                </c:pt>
                <c:pt idx="48">
                  <c:v>13572</c:v>
                </c:pt>
                <c:pt idx="49">
                  <c:v>22446</c:v>
                </c:pt>
                <c:pt idx="50">
                  <c:v>23259</c:v>
                </c:pt>
                <c:pt idx="51">
                  <c:v>24365</c:v>
                </c:pt>
                <c:pt idx="52">
                  <c:v>24771</c:v>
                </c:pt>
                <c:pt idx="53">
                  <c:v>29561</c:v>
                </c:pt>
                <c:pt idx="54">
                  <c:v>14207</c:v>
                </c:pt>
                <c:pt idx="55">
                  <c:v>-1208</c:v>
                </c:pt>
                <c:pt idx="56">
                  <c:v>-13168</c:v>
                </c:pt>
                <c:pt idx="57">
                  <c:v>-13334</c:v>
                </c:pt>
                <c:pt idx="58">
                  <c:v>-26453</c:v>
                </c:pt>
                <c:pt idx="59">
                  <c:v>-22372</c:v>
                </c:pt>
                <c:pt idx="60">
                  <c:v>-18454</c:v>
                </c:pt>
                <c:pt idx="61">
                  <c:v>-3911</c:v>
                </c:pt>
                <c:pt idx="62">
                  <c:v>-3340</c:v>
                </c:pt>
                <c:pt idx="63">
                  <c:v>815</c:v>
                </c:pt>
                <c:pt idx="64">
                  <c:v>14188</c:v>
                </c:pt>
                <c:pt idx="65">
                  <c:v>9440</c:v>
                </c:pt>
                <c:pt idx="66">
                  <c:v>9594</c:v>
                </c:pt>
                <c:pt idx="67">
                  <c:v>-1930</c:v>
                </c:pt>
                <c:pt idx="68">
                  <c:v>-5741</c:v>
                </c:pt>
                <c:pt idx="69">
                  <c:v>427</c:v>
                </c:pt>
                <c:pt idx="70">
                  <c:v>4645</c:v>
                </c:pt>
                <c:pt idx="71">
                  <c:v>1215</c:v>
                </c:pt>
                <c:pt idx="72">
                  <c:v>3601</c:v>
                </c:pt>
                <c:pt idx="73">
                  <c:v>5409</c:v>
                </c:pt>
                <c:pt idx="74">
                  <c:v>5335</c:v>
                </c:pt>
                <c:pt idx="75">
                  <c:v>4478</c:v>
                </c:pt>
                <c:pt idx="76">
                  <c:v>5369</c:v>
                </c:pt>
                <c:pt idx="77">
                  <c:v>5865</c:v>
                </c:pt>
                <c:pt idx="78">
                  <c:v>1383</c:v>
                </c:pt>
                <c:pt idx="79">
                  <c:v>371</c:v>
                </c:pt>
                <c:pt idx="80">
                  <c:v>-5580</c:v>
                </c:pt>
                <c:pt idx="81">
                  <c:v>-394</c:v>
                </c:pt>
                <c:pt idx="82">
                  <c:v>12317</c:v>
                </c:pt>
                <c:pt idx="83">
                  <c:v>6240</c:v>
                </c:pt>
                <c:pt idx="84">
                  <c:v>8542</c:v>
                </c:pt>
                <c:pt idx="85">
                  <c:v>7852</c:v>
                </c:pt>
                <c:pt idx="86">
                  <c:v>8478</c:v>
                </c:pt>
                <c:pt idx="87">
                  <c:v>5973</c:v>
                </c:pt>
                <c:pt idx="88">
                  <c:v>15458</c:v>
                </c:pt>
                <c:pt idx="89">
                  <c:v>21074</c:v>
                </c:pt>
                <c:pt idx="90">
                  <c:v>20849</c:v>
                </c:pt>
                <c:pt idx="91">
                  <c:v>21634</c:v>
                </c:pt>
                <c:pt idx="92">
                  <c:v>20502</c:v>
                </c:pt>
                <c:pt idx="93">
                  <c:v>14894</c:v>
                </c:pt>
                <c:pt idx="94">
                  <c:v>11484</c:v>
                </c:pt>
                <c:pt idx="95">
                  <c:v>11954</c:v>
                </c:pt>
                <c:pt idx="96">
                  <c:v>15105</c:v>
                </c:pt>
                <c:pt idx="97">
                  <c:v>19039</c:v>
                </c:pt>
                <c:pt idx="98">
                  <c:v>20365</c:v>
                </c:pt>
                <c:pt idx="99">
                  <c:v>9802</c:v>
                </c:pt>
                <c:pt idx="100">
                  <c:v>14397</c:v>
                </c:pt>
                <c:pt idx="101">
                  <c:v>13630</c:v>
                </c:pt>
                <c:pt idx="102">
                  <c:v>13286</c:v>
                </c:pt>
                <c:pt idx="103">
                  <c:v>12150</c:v>
                </c:pt>
                <c:pt idx="104">
                  <c:v>9213</c:v>
                </c:pt>
                <c:pt idx="105">
                  <c:v>9080</c:v>
                </c:pt>
                <c:pt idx="106">
                  <c:v>15850</c:v>
                </c:pt>
                <c:pt idx="107">
                  <c:v>14295</c:v>
                </c:pt>
                <c:pt idx="108">
                  <c:v>11391</c:v>
                </c:pt>
                <c:pt idx="109">
                  <c:v>3809</c:v>
                </c:pt>
                <c:pt idx="110">
                  <c:v>-15532</c:v>
                </c:pt>
                <c:pt idx="111">
                  <c:v>-22154</c:v>
                </c:pt>
                <c:pt idx="112">
                  <c:v>-22990</c:v>
                </c:pt>
                <c:pt idx="113">
                  <c:v>-24470</c:v>
                </c:pt>
                <c:pt idx="114">
                  <c:v>-23288</c:v>
                </c:pt>
                <c:pt idx="115">
                  <c:v>-15415</c:v>
                </c:pt>
                <c:pt idx="116">
                  <c:v>-16071</c:v>
                </c:pt>
                <c:pt idx="117">
                  <c:v>-10337</c:v>
                </c:pt>
                <c:pt idx="118">
                  <c:v>-3419</c:v>
                </c:pt>
                <c:pt idx="119">
                  <c:v>-2908</c:v>
                </c:pt>
                <c:pt idx="120">
                  <c:v>-1689</c:v>
                </c:pt>
                <c:pt idx="121">
                  <c:v>-4290</c:v>
                </c:pt>
                <c:pt idx="122">
                  <c:v>-8773</c:v>
                </c:pt>
                <c:pt idx="123">
                  <c:v>-9026</c:v>
                </c:pt>
                <c:pt idx="124">
                  <c:v>-6304</c:v>
                </c:pt>
                <c:pt idx="125">
                  <c:v>-6747</c:v>
                </c:pt>
                <c:pt idx="126">
                  <c:v>5988</c:v>
                </c:pt>
                <c:pt idx="127">
                  <c:v>8460</c:v>
                </c:pt>
                <c:pt idx="128">
                  <c:v>8087</c:v>
                </c:pt>
                <c:pt idx="129">
                  <c:v>7849</c:v>
                </c:pt>
                <c:pt idx="130">
                  <c:v>6931</c:v>
                </c:pt>
                <c:pt idx="131">
                  <c:v>6414</c:v>
                </c:pt>
                <c:pt idx="132">
                  <c:v>6508</c:v>
                </c:pt>
                <c:pt idx="133">
                  <c:v>6152</c:v>
                </c:pt>
                <c:pt idx="134">
                  <c:v>5880</c:v>
                </c:pt>
                <c:pt idx="135">
                  <c:v>5887</c:v>
                </c:pt>
                <c:pt idx="136">
                  <c:v>-5105</c:v>
                </c:pt>
                <c:pt idx="137">
                  <c:v>-6378</c:v>
                </c:pt>
                <c:pt idx="138">
                  <c:v>-2821</c:v>
                </c:pt>
                <c:pt idx="139">
                  <c:v>-3081</c:v>
                </c:pt>
                <c:pt idx="140">
                  <c:v>-3063</c:v>
                </c:pt>
                <c:pt idx="141">
                  <c:v>-3316</c:v>
                </c:pt>
                <c:pt idx="142">
                  <c:v>-2145</c:v>
                </c:pt>
                <c:pt idx="143">
                  <c:v>-2800</c:v>
                </c:pt>
                <c:pt idx="144">
                  <c:v>-3727</c:v>
                </c:pt>
                <c:pt idx="145">
                  <c:v>-4807</c:v>
                </c:pt>
                <c:pt idx="146">
                  <c:v>-4077</c:v>
                </c:pt>
                <c:pt idx="147">
                  <c:v>-152</c:v>
                </c:pt>
                <c:pt idx="148">
                  <c:v>-2680</c:v>
                </c:pt>
                <c:pt idx="149">
                  <c:v>-6773</c:v>
                </c:pt>
                <c:pt idx="150">
                  <c:v>-6874</c:v>
                </c:pt>
                <c:pt idx="151">
                  <c:v>-6857</c:v>
                </c:pt>
                <c:pt idx="152">
                  <c:v>-5964</c:v>
                </c:pt>
                <c:pt idx="153">
                  <c:v>-8453</c:v>
                </c:pt>
                <c:pt idx="154">
                  <c:v>-8048</c:v>
                </c:pt>
                <c:pt idx="155">
                  <c:v>3586</c:v>
                </c:pt>
                <c:pt idx="156">
                  <c:v>3250</c:v>
                </c:pt>
                <c:pt idx="157">
                  <c:v>3265</c:v>
                </c:pt>
                <c:pt idx="158">
                  <c:v>2990</c:v>
                </c:pt>
                <c:pt idx="159">
                  <c:v>4090</c:v>
                </c:pt>
                <c:pt idx="160">
                  <c:v>3422</c:v>
                </c:pt>
                <c:pt idx="161">
                  <c:v>2805</c:v>
                </c:pt>
                <c:pt idx="162">
                  <c:v>2312</c:v>
                </c:pt>
                <c:pt idx="163">
                  <c:v>2762</c:v>
                </c:pt>
                <c:pt idx="164">
                  <c:v>1782</c:v>
                </c:pt>
                <c:pt idx="165">
                  <c:v>-11859</c:v>
                </c:pt>
                <c:pt idx="166">
                  <c:v>-11813</c:v>
                </c:pt>
                <c:pt idx="167">
                  <c:v>-10885</c:v>
                </c:pt>
                <c:pt idx="168">
                  <c:v>-10567</c:v>
                </c:pt>
                <c:pt idx="169">
                  <c:v>-9228</c:v>
                </c:pt>
                <c:pt idx="170">
                  <c:v>-11134</c:v>
                </c:pt>
                <c:pt idx="171">
                  <c:v>-11507</c:v>
                </c:pt>
                <c:pt idx="172">
                  <c:v>-13691</c:v>
                </c:pt>
                <c:pt idx="173">
                  <c:v>-14208</c:v>
                </c:pt>
                <c:pt idx="174">
                  <c:v>-14261</c:v>
                </c:pt>
                <c:pt idx="175">
                  <c:v>-13735</c:v>
                </c:pt>
                <c:pt idx="176">
                  <c:v>-10167</c:v>
                </c:pt>
                <c:pt idx="177">
                  <c:v>-8506</c:v>
                </c:pt>
                <c:pt idx="178">
                  <c:v>-6787</c:v>
                </c:pt>
                <c:pt idx="179">
                  <c:v>-6635</c:v>
                </c:pt>
                <c:pt idx="180">
                  <c:v>-6777</c:v>
                </c:pt>
                <c:pt idx="181">
                  <c:v>-6539</c:v>
                </c:pt>
                <c:pt idx="182">
                  <c:v>-5489</c:v>
                </c:pt>
                <c:pt idx="183">
                  <c:v>-8027</c:v>
                </c:pt>
                <c:pt idx="184">
                  <c:v>-13312</c:v>
                </c:pt>
                <c:pt idx="185">
                  <c:v>-12744</c:v>
                </c:pt>
                <c:pt idx="186">
                  <c:v>-14952</c:v>
                </c:pt>
                <c:pt idx="187">
                  <c:v>-15083</c:v>
                </c:pt>
                <c:pt idx="188">
                  <c:v>-14604</c:v>
                </c:pt>
                <c:pt idx="189">
                  <c:v>-15131</c:v>
                </c:pt>
                <c:pt idx="190">
                  <c:v>-15545</c:v>
                </c:pt>
                <c:pt idx="191">
                  <c:v>-13653</c:v>
                </c:pt>
                <c:pt idx="192">
                  <c:v>-14577</c:v>
                </c:pt>
                <c:pt idx="193">
                  <c:v>-11059</c:v>
                </c:pt>
                <c:pt idx="194">
                  <c:v>-12876</c:v>
                </c:pt>
                <c:pt idx="195">
                  <c:v>-13144</c:v>
                </c:pt>
                <c:pt idx="196">
                  <c:v>-12174</c:v>
                </c:pt>
                <c:pt idx="197">
                  <c:v>1954</c:v>
                </c:pt>
                <c:pt idx="198">
                  <c:v>5686</c:v>
                </c:pt>
                <c:pt idx="199">
                  <c:v>5952</c:v>
                </c:pt>
                <c:pt idx="200">
                  <c:v>7744</c:v>
                </c:pt>
                <c:pt idx="201">
                  <c:v>6853</c:v>
                </c:pt>
                <c:pt idx="202">
                  <c:v>7352</c:v>
                </c:pt>
                <c:pt idx="203">
                  <c:v>8276</c:v>
                </c:pt>
                <c:pt idx="204">
                  <c:v>7016</c:v>
                </c:pt>
                <c:pt idx="205">
                  <c:v>-7135</c:v>
                </c:pt>
                <c:pt idx="206">
                  <c:v>-12174</c:v>
                </c:pt>
                <c:pt idx="207">
                  <c:v>-12773</c:v>
                </c:pt>
                <c:pt idx="208">
                  <c:v>-13030</c:v>
                </c:pt>
                <c:pt idx="209">
                  <c:v>-12622</c:v>
                </c:pt>
                <c:pt idx="210">
                  <c:v>-14429</c:v>
                </c:pt>
                <c:pt idx="211">
                  <c:v>-15797</c:v>
                </c:pt>
                <c:pt idx="212">
                  <c:v>-13407</c:v>
                </c:pt>
                <c:pt idx="213">
                  <c:v>-15608</c:v>
                </c:pt>
                <c:pt idx="214">
                  <c:v>-14680</c:v>
                </c:pt>
                <c:pt idx="215">
                  <c:v>-15838</c:v>
                </c:pt>
                <c:pt idx="216">
                  <c:v>-17233</c:v>
                </c:pt>
                <c:pt idx="217">
                  <c:v>-15660</c:v>
                </c:pt>
                <c:pt idx="218">
                  <c:v>-16822</c:v>
                </c:pt>
                <c:pt idx="219">
                  <c:v>-15564</c:v>
                </c:pt>
                <c:pt idx="220">
                  <c:v>-17914</c:v>
                </c:pt>
                <c:pt idx="221">
                  <c:v>-16032</c:v>
                </c:pt>
                <c:pt idx="222">
                  <c:v>-17254</c:v>
                </c:pt>
                <c:pt idx="223">
                  <c:v>-20090</c:v>
                </c:pt>
                <c:pt idx="224">
                  <c:v>-19464</c:v>
                </c:pt>
                <c:pt idx="225">
                  <c:v>-18487</c:v>
                </c:pt>
                <c:pt idx="226">
                  <c:v>-18362</c:v>
                </c:pt>
                <c:pt idx="227">
                  <c:v>-17959</c:v>
                </c:pt>
                <c:pt idx="228">
                  <c:v>-18869</c:v>
                </c:pt>
                <c:pt idx="229">
                  <c:v>-19291</c:v>
                </c:pt>
                <c:pt idx="230">
                  <c:v>-18795</c:v>
                </c:pt>
                <c:pt idx="231">
                  <c:v>-17078</c:v>
                </c:pt>
                <c:pt idx="232">
                  <c:v>-14934</c:v>
                </c:pt>
                <c:pt idx="233">
                  <c:v>-14738</c:v>
                </c:pt>
                <c:pt idx="234">
                  <c:v>-15126</c:v>
                </c:pt>
                <c:pt idx="235">
                  <c:v>-16664</c:v>
                </c:pt>
                <c:pt idx="236">
                  <c:v>-16791</c:v>
                </c:pt>
                <c:pt idx="237">
                  <c:v>-16579</c:v>
                </c:pt>
                <c:pt idx="238">
                  <c:v>-16923</c:v>
                </c:pt>
                <c:pt idx="239">
                  <c:v>-12280</c:v>
                </c:pt>
                <c:pt idx="240">
                  <c:v>9949</c:v>
                </c:pt>
                <c:pt idx="241">
                  <c:v>14379</c:v>
                </c:pt>
                <c:pt idx="242">
                  <c:v>15318</c:v>
                </c:pt>
                <c:pt idx="243">
                  <c:v>11525</c:v>
                </c:pt>
                <c:pt idx="244">
                  <c:v>-9946</c:v>
                </c:pt>
                <c:pt idx="245">
                  <c:v>-9745</c:v>
                </c:pt>
                <c:pt idx="246">
                  <c:v>-4970</c:v>
                </c:pt>
                <c:pt idx="247">
                  <c:v>-12855</c:v>
                </c:pt>
                <c:pt idx="248">
                  <c:v>-20293</c:v>
                </c:pt>
                <c:pt idx="249">
                  <c:v>-16728</c:v>
                </c:pt>
                <c:pt idx="250">
                  <c:v>-17755</c:v>
                </c:pt>
                <c:pt idx="251">
                  <c:v>-21234</c:v>
                </c:pt>
                <c:pt idx="252">
                  <c:v>-22222</c:v>
                </c:pt>
                <c:pt idx="253">
                  <c:v>-17201</c:v>
                </c:pt>
                <c:pt idx="254">
                  <c:v>-15168</c:v>
                </c:pt>
                <c:pt idx="255">
                  <c:v>-10555</c:v>
                </c:pt>
                <c:pt idx="256">
                  <c:v>-11054</c:v>
                </c:pt>
                <c:pt idx="257">
                  <c:v>-8767</c:v>
                </c:pt>
                <c:pt idx="258">
                  <c:v>8239</c:v>
                </c:pt>
                <c:pt idx="259">
                  <c:v>8471</c:v>
                </c:pt>
                <c:pt idx="260">
                  <c:v>10791</c:v>
                </c:pt>
                <c:pt idx="261">
                  <c:v>15987</c:v>
                </c:pt>
                <c:pt idx="262">
                  <c:v>13583</c:v>
                </c:pt>
                <c:pt idx="263">
                  <c:v>1646</c:v>
                </c:pt>
                <c:pt idx="264">
                  <c:v>10176</c:v>
                </c:pt>
                <c:pt idx="265">
                  <c:v>12113</c:v>
                </c:pt>
                <c:pt idx="266">
                  <c:v>16168</c:v>
                </c:pt>
                <c:pt idx="267">
                  <c:v>17238</c:v>
                </c:pt>
                <c:pt idx="268">
                  <c:v>16984</c:v>
                </c:pt>
                <c:pt idx="269">
                  <c:v>11123</c:v>
                </c:pt>
                <c:pt idx="270">
                  <c:v>-17831</c:v>
                </c:pt>
                <c:pt idx="271">
                  <c:v>-13437</c:v>
                </c:pt>
                <c:pt idx="272">
                  <c:v>-12562</c:v>
                </c:pt>
                <c:pt idx="273">
                  <c:v>-15883</c:v>
                </c:pt>
                <c:pt idx="274">
                  <c:v>-20783</c:v>
                </c:pt>
                <c:pt idx="275">
                  <c:v>-22275</c:v>
                </c:pt>
                <c:pt idx="276">
                  <c:v>-28458</c:v>
                </c:pt>
                <c:pt idx="277">
                  <c:v>-14522</c:v>
                </c:pt>
                <c:pt idx="278">
                  <c:v>-12809</c:v>
                </c:pt>
                <c:pt idx="279">
                  <c:v>-13343</c:v>
                </c:pt>
                <c:pt idx="280">
                  <c:v>-14222</c:v>
                </c:pt>
                <c:pt idx="281">
                  <c:v>-12255</c:v>
                </c:pt>
                <c:pt idx="282">
                  <c:v>-13317</c:v>
                </c:pt>
                <c:pt idx="283">
                  <c:v>-22605</c:v>
                </c:pt>
                <c:pt idx="284">
                  <c:v>-18025</c:v>
                </c:pt>
                <c:pt idx="285">
                  <c:v>-23731</c:v>
                </c:pt>
                <c:pt idx="286">
                  <c:v>-27004</c:v>
                </c:pt>
                <c:pt idx="287">
                  <c:v>-30014</c:v>
                </c:pt>
                <c:pt idx="288">
                  <c:v>-19237</c:v>
                </c:pt>
                <c:pt idx="289">
                  <c:v>-14866</c:v>
                </c:pt>
                <c:pt idx="290">
                  <c:v>-14322</c:v>
                </c:pt>
                <c:pt idx="291">
                  <c:v>-12672</c:v>
                </c:pt>
                <c:pt idx="292">
                  <c:v>-7291</c:v>
                </c:pt>
                <c:pt idx="293">
                  <c:v>-8494</c:v>
                </c:pt>
                <c:pt idx="294">
                  <c:v>11107</c:v>
                </c:pt>
                <c:pt idx="295">
                  <c:v>6273</c:v>
                </c:pt>
                <c:pt idx="296">
                  <c:v>6531</c:v>
                </c:pt>
                <c:pt idx="297">
                  <c:v>-22981</c:v>
                </c:pt>
                <c:pt idx="298">
                  <c:v>-25380</c:v>
                </c:pt>
                <c:pt idx="299">
                  <c:v>-34301</c:v>
                </c:pt>
                <c:pt idx="300">
                  <c:v>-36438</c:v>
                </c:pt>
                <c:pt idx="301">
                  <c:v>-32851</c:v>
                </c:pt>
                <c:pt idx="302">
                  <c:v>-29060</c:v>
                </c:pt>
                <c:pt idx="303">
                  <c:v>-20028</c:v>
                </c:pt>
                <c:pt idx="304">
                  <c:v>-8641</c:v>
                </c:pt>
                <c:pt idx="305">
                  <c:v>-6189</c:v>
                </c:pt>
                <c:pt idx="306">
                  <c:v>-6146</c:v>
                </c:pt>
                <c:pt idx="307">
                  <c:v>-4850</c:v>
                </c:pt>
                <c:pt idx="308">
                  <c:v>26604</c:v>
                </c:pt>
                <c:pt idx="309">
                  <c:v>27678</c:v>
                </c:pt>
                <c:pt idx="310">
                  <c:v>25201</c:v>
                </c:pt>
                <c:pt idx="311">
                  <c:v>27309</c:v>
                </c:pt>
                <c:pt idx="312">
                  <c:v>26069</c:v>
                </c:pt>
                <c:pt idx="313">
                  <c:v>26625</c:v>
                </c:pt>
                <c:pt idx="314">
                  <c:v>25877</c:v>
                </c:pt>
                <c:pt idx="315">
                  <c:v>24459</c:v>
                </c:pt>
                <c:pt idx="316">
                  <c:v>22836</c:v>
                </c:pt>
                <c:pt idx="317">
                  <c:v>17326</c:v>
                </c:pt>
                <c:pt idx="318">
                  <c:v>-2954</c:v>
                </c:pt>
                <c:pt idx="319">
                  <c:v>938</c:v>
                </c:pt>
                <c:pt idx="320">
                  <c:v>-4278</c:v>
                </c:pt>
                <c:pt idx="321">
                  <c:v>-12146</c:v>
                </c:pt>
                <c:pt idx="322">
                  <c:v>-7366</c:v>
                </c:pt>
                <c:pt idx="323">
                  <c:v>11231</c:v>
                </c:pt>
                <c:pt idx="324">
                  <c:v>8344</c:v>
                </c:pt>
                <c:pt idx="325">
                  <c:v>7119</c:v>
                </c:pt>
                <c:pt idx="326">
                  <c:v>3291</c:v>
                </c:pt>
                <c:pt idx="327">
                  <c:v>-485</c:v>
                </c:pt>
                <c:pt idx="328">
                  <c:v>4843</c:v>
                </c:pt>
                <c:pt idx="329">
                  <c:v>2119</c:v>
                </c:pt>
                <c:pt idx="330">
                  <c:v>-15793</c:v>
                </c:pt>
                <c:pt idx="331">
                  <c:v>-17539</c:v>
                </c:pt>
                <c:pt idx="332">
                  <c:v>-18228</c:v>
                </c:pt>
                <c:pt idx="333">
                  <c:v>-23542</c:v>
                </c:pt>
                <c:pt idx="334">
                  <c:v>-27589</c:v>
                </c:pt>
                <c:pt idx="335">
                  <c:v>-28973</c:v>
                </c:pt>
                <c:pt idx="336">
                  <c:v>-32087</c:v>
                </c:pt>
                <c:pt idx="337">
                  <c:v>-32145</c:v>
                </c:pt>
                <c:pt idx="338">
                  <c:v>-36330</c:v>
                </c:pt>
                <c:pt idx="339">
                  <c:v>-34106</c:v>
                </c:pt>
                <c:pt idx="340">
                  <c:v>-34487</c:v>
                </c:pt>
                <c:pt idx="341">
                  <c:v>-39912</c:v>
                </c:pt>
                <c:pt idx="342">
                  <c:v>-45337</c:v>
                </c:pt>
                <c:pt idx="343">
                  <c:v>-52472</c:v>
                </c:pt>
                <c:pt idx="344">
                  <c:v>-38187</c:v>
                </c:pt>
                <c:pt idx="345">
                  <c:v>-43350</c:v>
                </c:pt>
                <c:pt idx="346">
                  <c:v>-30615</c:v>
                </c:pt>
                <c:pt idx="347">
                  <c:v>-33735</c:v>
                </c:pt>
                <c:pt idx="348">
                  <c:v>-35591</c:v>
                </c:pt>
                <c:pt idx="349">
                  <c:v>-33492</c:v>
                </c:pt>
                <c:pt idx="350">
                  <c:v>-34727</c:v>
                </c:pt>
                <c:pt idx="351">
                  <c:v>-36883</c:v>
                </c:pt>
                <c:pt idx="352">
                  <c:v>-40237</c:v>
                </c:pt>
                <c:pt idx="353">
                  <c:v>-36684</c:v>
                </c:pt>
                <c:pt idx="354">
                  <c:v>-33401</c:v>
                </c:pt>
                <c:pt idx="355">
                  <c:v>7496</c:v>
                </c:pt>
                <c:pt idx="356">
                  <c:v>15138</c:v>
                </c:pt>
                <c:pt idx="357">
                  <c:v>17095</c:v>
                </c:pt>
                <c:pt idx="358">
                  <c:v>11555</c:v>
                </c:pt>
                <c:pt idx="359">
                  <c:v>9461</c:v>
                </c:pt>
                <c:pt idx="360">
                  <c:v>7342</c:v>
                </c:pt>
                <c:pt idx="361">
                  <c:v>13062</c:v>
                </c:pt>
                <c:pt idx="362">
                  <c:v>-3594</c:v>
                </c:pt>
                <c:pt idx="363">
                  <c:v>-10421</c:v>
                </c:pt>
                <c:pt idx="364">
                  <c:v>-7584</c:v>
                </c:pt>
                <c:pt idx="365">
                  <c:v>10694</c:v>
                </c:pt>
                <c:pt idx="366">
                  <c:v>25331</c:v>
                </c:pt>
                <c:pt idx="367">
                  <c:v>44644</c:v>
                </c:pt>
                <c:pt idx="368">
                  <c:v>33579</c:v>
                </c:pt>
                <c:pt idx="369">
                  <c:v>11193</c:v>
                </c:pt>
                <c:pt idx="370">
                  <c:v>-16619</c:v>
                </c:pt>
                <c:pt idx="371">
                  <c:v>-19397</c:v>
                </c:pt>
                <c:pt idx="372">
                  <c:v>-20954</c:v>
                </c:pt>
                <c:pt idx="373">
                  <c:v>-22732</c:v>
                </c:pt>
                <c:pt idx="374">
                  <c:v>-18181</c:v>
                </c:pt>
                <c:pt idx="375">
                  <c:v>-12726</c:v>
                </c:pt>
                <c:pt idx="376">
                  <c:v>-11703</c:v>
                </c:pt>
                <c:pt idx="377">
                  <c:v>-13233</c:v>
                </c:pt>
                <c:pt idx="378">
                  <c:v>-9915</c:v>
                </c:pt>
                <c:pt idx="379">
                  <c:v>-54</c:v>
                </c:pt>
                <c:pt idx="380">
                  <c:v>-10007</c:v>
                </c:pt>
                <c:pt idx="381">
                  <c:v>-20511</c:v>
                </c:pt>
                <c:pt idx="382">
                  <c:v>-32413</c:v>
                </c:pt>
                <c:pt idx="383">
                  <c:v>-31526</c:v>
                </c:pt>
                <c:pt idx="384">
                  <c:v>-27587</c:v>
                </c:pt>
                <c:pt idx="385">
                  <c:v>-18737</c:v>
                </c:pt>
                <c:pt idx="386">
                  <c:v>-26712</c:v>
                </c:pt>
                <c:pt idx="387">
                  <c:v>-26268</c:v>
                </c:pt>
                <c:pt idx="388">
                  <c:v>-25074</c:v>
                </c:pt>
                <c:pt idx="389">
                  <c:v>-27603</c:v>
                </c:pt>
                <c:pt idx="390">
                  <c:v>-11566</c:v>
                </c:pt>
                <c:pt idx="391">
                  <c:v>-9675</c:v>
                </c:pt>
                <c:pt idx="392">
                  <c:v>-9628</c:v>
                </c:pt>
                <c:pt idx="393">
                  <c:v>-13474</c:v>
                </c:pt>
                <c:pt idx="394">
                  <c:v>-17619</c:v>
                </c:pt>
                <c:pt idx="395">
                  <c:v>-18673</c:v>
                </c:pt>
                <c:pt idx="396">
                  <c:v>-20739</c:v>
                </c:pt>
                <c:pt idx="397">
                  <c:v>-19232</c:v>
                </c:pt>
                <c:pt idx="398">
                  <c:v>-17985</c:v>
                </c:pt>
                <c:pt idx="399">
                  <c:v>-10276</c:v>
                </c:pt>
                <c:pt idx="400">
                  <c:v>-2424</c:v>
                </c:pt>
                <c:pt idx="401">
                  <c:v>8945</c:v>
                </c:pt>
                <c:pt idx="402">
                  <c:v>10376</c:v>
                </c:pt>
                <c:pt idx="403">
                  <c:v>8015</c:v>
                </c:pt>
                <c:pt idx="404">
                  <c:v>8702</c:v>
                </c:pt>
                <c:pt idx="405">
                  <c:v>9460</c:v>
                </c:pt>
                <c:pt idx="406">
                  <c:v>1386</c:v>
                </c:pt>
                <c:pt idx="407">
                  <c:v>-2360</c:v>
                </c:pt>
                <c:pt idx="408">
                  <c:v>-2907</c:v>
                </c:pt>
                <c:pt idx="409">
                  <c:v>-16995</c:v>
                </c:pt>
                <c:pt idx="410">
                  <c:v>-16919</c:v>
                </c:pt>
                <c:pt idx="411">
                  <c:v>-21490</c:v>
                </c:pt>
                <c:pt idx="412">
                  <c:v>-21678</c:v>
                </c:pt>
                <c:pt idx="413">
                  <c:v>-21864</c:v>
                </c:pt>
                <c:pt idx="414">
                  <c:v>-22852</c:v>
                </c:pt>
                <c:pt idx="415">
                  <c:v>-22237</c:v>
                </c:pt>
                <c:pt idx="416">
                  <c:v>-15777</c:v>
                </c:pt>
                <c:pt idx="417">
                  <c:v>-15332</c:v>
                </c:pt>
                <c:pt idx="418">
                  <c:v>-13893</c:v>
                </c:pt>
                <c:pt idx="419">
                  <c:v>-17512</c:v>
                </c:pt>
                <c:pt idx="420">
                  <c:v>-18005</c:v>
                </c:pt>
                <c:pt idx="421">
                  <c:v>-17293</c:v>
                </c:pt>
                <c:pt idx="422">
                  <c:v>-13199</c:v>
                </c:pt>
                <c:pt idx="423">
                  <c:v>-12417</c:v>
                </c:pt>
                <c:pt idx="424">
                  <c:v>-14700</c:v>
                </c:pt>
                <c:pt idx="425">
                  <c:v>-11163</c:v>
                </c:pt>
                <c:pt idx="426">
                  <c:v>5125</c:v>
                </c:pt>
                <c:pt idx="427">
                  <c:v>9089</c:v>
                </c:pt>
                <c:pt idx="428">
                  <c:v>8840</c:v>
                </c:pt>
                <c:pt idx="429">
                  <c:v>11154</c:v>
                </c:pt>
                <c:pt idx="430">
                  <c:v>11486</c:v>
                </c:pt>
                <c:pt idx="431">
                  <c:v>11959</c:v>
                </c:pt>
                <c:pt idx="432">
                  <c:v>13313</c:v>
                </c:pt>
                <c:pt idx="433">
                  <c:v>13668</c:v>
                </c:pt>
                <c:pt idx="434">
                  <c:v>10837</c:v>
                </c:pt>
                <c:pt idx="435">
                  <c:v>8425</c:v>
                </c:pt>
                <c:pt idx="436">
                  <c:v>7587</c:v>
                </c:pt>
                <c:pt idx="437">
                  <c:v>-1333</c:v>
                </c:pt>
                <c:pt idx="438">
                  <c:v>-2092</c:v>
                </c:pt>
                <c:pt idx="439">
                  <c:v>196</c:v>
                </c:pt>
                <c:pt idx="440">
                  <c:v>-1918</c:v>
                </c:pt>
                <c:pt idx="441">
                  <c:v>-14630</c:v>
                </c:pt>
                <c:pt idx="442">
                  <c:v>-15031</c:v>
                </c:pt>
                <c:pt idx="443">
                  <c:v>-15316</c:v>
                </c:pt>
                <c:pt idx="444">
                  <c:v>-15561</c:v>
                </c:pt>
                <c:pt idx="445">
                  <c:v>-16745</c:v>
                </c:pt>
                <c:pt idx="446">
                  <c:v>-18022</c:v>
                </c:pt>
                <c:pt idx="447">
                  <c:v>-20688</c:v>
                </c:pt>
                <c:pt idx="448">
                  <c:v>-20424</c:v>
                </c:pt>
                <c:pt idx="449">
                  <c:v>-21997</c:v>
                </c:pt>
                <c:pt idx="450">
                  <c:v>-24343</c:v>
                </c:pt>
                <c:pt idx="451">
                  <c:v>-23704</c:v>
                </c:pt>
                <c:pt idx="452">
                  <c:v>-23342</c:v>
                </c:pt>
                <c:pt idx="453">
                  <c:v>-21769</c:v>
                </c:pt>
                <c:pt idx="454">
                  <c:v>-18492</c:v>
                </c:pt>
                <c:pt idx="455">
                  <c:v>-17361</c:v>
                </c:pt>
                <c:pt idx="456">
                  <c:v>-28415</c:v>
                </c:pt>
                <c:pt idx="457">
                  <c:v>-26318</c:v>
                </c:pt>
                <c:pt idx="458">
                  <c:v>-18118</c:v>
                </c:pt>
                <c:pt idx="459">
                  <c:v>4827</c:v>
                </c:pt>
                <c:pt idx="460">
                  <c:v>6669</c:v>
                </c:pt>
                <c:pt idx="461">
                  <c:v>10999</c:v>
                </c:pt>
                <c:pt idx="462">
                  <c:v>17131</c:v>
                </c:pt>
                <c:pt idx="463">
                  <c:v>20703</c:v>
                </c:pt>
                <c:pt idx="464">
                  <c:v>20179</c:v>
                </c:pt>
                <c:pt idx="465">
                  <c:v>15362</c:v>
                </c:pt>
                <c:pt idx="466">
                  <c:v>14766</c:v>
                </c:pt>
                <c:pt idx="467">
                  <c:v>21668</c:v>
                </c:pt>
                <c:pt idx="468">
                  <c:v>18339</c:v>
                </c:pt>
                <c:pt idx="469">
                  <c:v>17158</c:v>
                </c:pt>
                <c:pt idx="470">
                  <c:v>17082</c:v>
                </c:pt>
                <c:pt idx="471">
                  <c:v>16961</c:v>
                </c:pt>
                <c:pt idx="472">
                  <c:v>9443</c:v>
                </c:pt>
                <c:pt idx="473">
                  <c:v>12429</c:v>
                </c:pt>
                <c:pt idx="474">
                  <c:v>12036</c:v>
                </c:pt>
                <c:pt idx="475">
                  <c:v>5219</c:v>
                </c:pt>
                <c:pt idx="476">
                  <c:v>239</c:v>
                </c:pt>
                <c:pt idx="477">
                  <c:v>-4584</c:v>
                </c:pt>
                <c:pt idx="478">
                  <c:v>-205</c:v>
                </c:pt>
                <c:pt idx="479">
                  <c:v>-466</c:v>
                </c:pt>
                <c:pt idx="480">
                  <c:v>7133</c:v>
                </c:pt>
                <c:pt idx="481">
                  <c:v>2250</c:v>
                </c:pt>
                <c:pt idx="482">
                  <c:v>-9439</c:v>
                </c:pt>
                <c:pt idx="483">
                  <c:v>-5865</c:v>
                </c:pt>
                <c:pt idx="484">
                  <c:v>-9020</c:v>
                </c:pt>
                <c:pt idx="485">
                  <c:v>-3946</c:v>
                </c:pt>
                <c:pt idx="486">
                  <c:v>-18370</c:v>
                </c:pt>
                <c:pt idx="487">
                  <c:v>-13957</c:v>
                </c:pt>
                <c:pt idx="488">
                  <c:v>-14326</c:v>
                </c:pt>
                <c:pt idx="489">
                  <c:v>-12230</c:v>
                </c:pt>
                <c:pt idx="490">
                  <c:v>-14899</c:v>
                </c:pt>
                <c:pt idx="491">
                  <c:v>-12945</c:v>
                </c:pt>
                <c:pt idx="492">
                  <c:v>-8036</c:v>
                </c:pt>
                <c:pt idx="493">
                  <c:v>-6555</c:v>
                </c:pt>
                <c:pt idx="494">
                  <c:v>-4257</c:v>
                </c:pt>
                <c:pt idx="495">
                  <c:v>-1741</c:v>
                </c:pt>
                <c:pt idx="496">
                  <c:v>-6540</c:v>
                </c:pt>
                <c:pt idx="497">
                  <c:v>-3517</c:v>
                </c:pt>
                <c:pt idx="498">
                  <c:v>6770</c:v>
                </c:pt>
                <c:pt idx="499">
                  <c:v>15107</c:v>
                </c:pt>
                <c:pt idx="500">
                  <c:v>15674</c:v>
                </c:pt>
                <c:pt idx="501">
                  <c:v>13315</c:v>
                </c:pt>
                <c:pt idx="502">
                  <c:v>13821</c:v>
                </c:pt>
                <c:pt idx="503">
                  <c:v>11988</c:v>
                </c:pt>
                <c:pt idx="504">
                  <c:v>10022</c:v>
                </c:pt>
                <c:pt idx="505">
                  <c:v>12475</c:v>
                </c:pt>
                <c:pt idx="506">
                  <c:v>14400</c:v>
                </c:pt>
                <c:pt idx="507">
                  <c:v>14520</c:v>
                </c:pt>
                <c:pt idx="508">
                  <c:v>13173</c:v>
                </c:pt>
                <c:pt idx="509">
                  <c:v>12398</c:v>
                </c:pt>
                <c:pt idx="510">
                  <c:v>14085</c:v>
                </c:pt>
                <c:pt idx="511">
                  <c:v>13114</c:v>
                </c:pt>
                <c:pt idx="512">
                  <c:v>8159</c:v>
                </c:pt>
                <c:pt idx="513">
                  <c:v>6487</c:v>
                </c:pt>
                <c:pt idx="514">
                  <c:v>7552</c:v>
                </c:pt>
                <c:pt idx="515">
                  <c:v>6223</c:v>
                </c:pt>
                <c:pt idx="516">
                  <c:v>9939</c:v>
                </c:pt>
                <c:pt idx="517">
                  <c:v>10931</c:v>
                </c:pt>
                <c:pt idx="518">
                  <c:v>10234</c:v>
                </c:pt>
                <c:pt idx="519">
                  <c:v>-5904</c:v>
                </c:pt>
                <c:pt idx="520">
                  <c:v>-3074</c:v>
                </c:pt>
                <c:pt idx="521">
                  <c:v>2105</c:v>
                </c:pt>
                <c:pt idx="522">
                  <c:v>-3594</c:v>
                </c:pt>
                <c:pt idx="523">
                  <c:v>-2998</c:v>
                </c:pt>
                <c:pt idx="524">
                  <c:v>-6155</c:v>
                </c:pt>
                <c:pt idx="525">
                  <c:v>1677</c:v>
                </c:pt>
                <c:pt idx="526">
                  <c:v>10550</c:v>
                </c:pt>
                <c:pt idx="527">
                  <c:v>17241</c:v>
                </c:pt>
                <c:pt idx="528">
                  <c:v>15127</c:v>
                </c:pt>
                <c:pt idx="529">
                  <c:v>6007</c:v>
                </c:pt>
                <c:pt idx="530">
                  <c:v>5308</c:v>
                </c:pt>
                <c:pt idx="531">
                  <c:v>9033</c:v>
                </c:pt>
                <c:pt idx="532">
                  <c:v>19195</c:v>
                </c:pt>
                <c:pt idx="533">
                  <c:v>21823</c:v>
                </c:pt>
                <c:pt idx="534">
                  <c:v>23253</c:v>
                </c:pt>
                <c:pt idx="535">
                  <c:v>23050</c:v>
                </c:pt>
                <c:pt idx="536">
                  <c:v>23030</c:v>
                </c:pt>
                <c:pt idx="537">
                  <c:v>26679</c:v>
                </c:pt>
                <c:pt idx="538">
                  <c:v>25464</c:v>
                </c:pt>
                <c:pt idx="539">
                  <c:v>25746</c:v>
                </c:pt>
                <c:pt idx="540">
                  <c:v>20287</c:v>
                </c:pt>
                <c:pt idx="541">
                  <c:v>14506</c:v>
                </c:pt>
                <c:pt idx="542">
                  <c:v>15843</c:v>
                </c:pt>
                <c:pt idx="543">
                  <c:v>20228</c:v>
                </c:pt>
                <c:pt idx="544">
                  <c:v>20819</c:v>
                </c:pt>
                <c:pt idx="545">
                  <c:v>5032</c:v>
                </c:pt>
                <c:pt idx="546">
                  <c:v>-443</c:v>
                </c:pt>
                <c:pt idx="547">
                  <c:v>1988</c:v>
                </c:pt>
                <c:pt idx="548">
                  <c:v>-1220</c:v>
                </c:pt>
                <c:pt idx="549">
                  <c:v>-1429</c:v>
                </c:pt>
                <c:pt idx="550">
                  <c:v>-2053</c:v>
                </c:pt>
                <c:pt idx="551">
                  <c:v>-326</c:v>
                </c:pt>
                <c:pt idx="552">
                  <c:v>13491</c:v>
                </c:pt>
                <c:pt idx="553">
                  <c:v>15626</c:v>
                </c:pt>
                <c:pt idx="554">
                  <c:v>17989</c:v>
                </c:pt>
                <c:pt idx="555">
                  <c:v>20787</c:v>
                </c:pt>
                <c:pt idx="556">
                  <c:v>16049</c:v>
                </c:pt>
                <c:pt idx="557">
                  <c:v>16140</c:v>
                </c:pt>
                <c:pt idx="558">
                  <c:v>17779</c:v>
                </c:pt>
                <c:pt idx="559">
                  <c:v>8495</c:v>
                </c:pt>
                <c:pt idx="560">
                  <c:v>379</c:v>
                </c:pt>
                <c:pt idx="561">
                  <c:v>-6099</c:v>
                </c:pt>
                <c:pt idx="562">
                  <c:v>-8852</c:v>
                </c:pt>
                <c:pt idx="563">
                  <c:v>-9025</c:v>
                </c:pt>
                <c:pt idx="564">
                  <c:v>-8140</c:v>
                </c:pt>
                <c:pt idx="565">
                  <c:v>-8456</c:v>
                </c:pt>
                <c:pt idx="566">
                  <c:v>-10002</c:v>
                </c:pt>
                <c:pt idx="567">
                  <c:v>-19797</c:v>
                </c:pt>
                <c:pt idx="568">
                  <c:v>-19376</c:v>
                </c:pt>
                <c:pt idx="569">
                  <c:v>-20089</c:v>
                </c:pt>
                <c:pt idx="570">
                  <c:v>-16104</c:v>
                </c:pt>
                <c:pt idx="571">
                  <c:v>-19934</c:v>
                </c:pt>
                <c:pt idx="572">
                  <c:v>-9503</c:v>
                </c:pt>
                <c:pt idx="573">
                  <c:v>1587</c:v>
                </c:pt>
                <c:pt idx="574">
                  <c:v>7066</c:v>
                </c:pt>
                <c:pt idx="575">
                  <c:v>14898</c:v>
                </c:pt>
                <c:pt idx="576">
                  <c:v>11393</c:v>
                </c:pt>
                <c:pt idx="577">
                  <c:v>13099</c:v>
                </c:pt>
                <c:pt idx="578">
                  <c:v>-2294</c:v>
                </c:pt>
                <c:pt idx="579">
                  <c:v>-15722</c:v>
                </c:pt>
                <c:pt idx="580">
                  <c:v>2951</c:v>
                </c:pt>
                <c:pt idx="581">
                  <c:v>4881</c:v>
                </c:pt>
                <c:pt idx="582">
                  <c:v>8458</c:v>
                </c:pt>
                <c:pt idx="583">
                  <c:v>12351</c:v>
                </c:pt>
                <c:pt idx="584">
                  <c:v>13254</c:v>
                </c:pt>
                <c:pt idx="585">
                  <c:v>11632</c:v>
                </c:pt>
                <c:pt idx="586">
                  <c:v>16783</c:v>
                </c:pt>
                <c:pt idx="587">
                  <c:v>16205</c:v>
                </c:pt>
                <c:pt idx="588">
                  <c:v>15273</c:v>
                </c:pt>
                <c:pt idx="589">
                  <c:v>9032</c:v>
                </c:pt>
                <c:pt idx="590">
                  <c:v>12979</c:v>
                </c:pt>
                <c:pt idx="591">
                  <c:v>9443</c:v>
                </c:pt>
                <c:pt idx="592">
                  <c:v>11003</c:v>
                </c:pt>
                <c:pt idx="593">
                  <c:v>11479</c:v>
                </c:pt>
                <c:pt idx="594">
                  <c:v>5374</c:v>
                </c:pt>
                <c:pt idx="595">
                  <c:v>-10780</c:v>
                </c:pt>
                <c:pt idx="596">
                  <c:v>-14773</c:v>
                </c:pt>
                <c:pt idx="597">
                  <c:v>-9323</c:v>
                </c:pt>
                <c:pt idx="598">
                  <c:v>-2862</c:v>
                </c:pt>
                <c:pt idx="599">
                  <c:v>-4620</c:v>
                </c:pt>
                <c:pt idx="600">
                  <c:v>-12828</c:v>
                </c:pt>
                <c:pt idx="601">
                  <c:v>-5941</c:v>
                </c:pt>
                <c:pt idx="602">
                  <c:v>-8303</c:v>
                </c:pt>
                <c:pt idx="603">
                  <c:v>-11092</c:v>
                </c:pt>
                <c:pt idx="604">
                  <c:v>-7089</c:v>
                </c:pt>
                <c:pt idx="605">
                  <c:v>-6895</c:v>
                </c:pt>
                <c:pt idx="606">
                  <c:v>-2598</c:v>
                </c:pt>
                <c:pt idx="607">
                  <c:v>-3540</c:v>
                </c:pt>
                <c:pt idx="608">
                  <c:v>5322</c:v>
                </c:pt>
                <c:pt idx="609">
                  <c:v>16262</c:v>
                </c:pt>
                <c:pt idx="610">
                  <c:v>16745</c:v>
                </c:pt>
                <c:pt idx="611">
                  <c:v>17438</c:v>
                </c:pt>
                <c:pt idx="612">
                  <c:v>12349</c:v>
                </c:pt>
                <c:pt idx="613">
                  <c:v>22176</c:v>
                </c:pt>
                <c:pt idx="614">
                  <c:v>26841</c:v>
                </c:pt>
                <c:pt idx="615">
                  <c:v>21163</c:v>
                </c:pt>
                <c:pt idx="616">
                  <c:v>-826</c:v>
                </c:pt>
                <c:pt idx="617">
                  <c:v>-12827</c:v>
                </c:pt>
                <c:pt idx="618">
                  <c:v>-6429</c:v>
                </c:pt>
                <c:pt idx="619">
                  <c:v>-2502</c:v>
                </c:pt>
                <c:pt idx="620">
                  <c:v>-6536</c:v>
                </c:pt>
                <c:pt idx="621">
                  <c:v>-8183</c:v>
                </c:pt>
                <c:pt idx="622">
                  <c:v>-7660</c:v>
                </c:pt>
                <c:pt idx="625">
                  <c:v>-5546</c:v>
                </c:pt>
                <c:pt idx="626">
                  <c:v>-4760</c:v>
                </c:pt>
                <c:pt idx="627">
                  <c:v>-4638</c:v>
                </c:pt>
                <c:pt idx="628">
                  <c:v>11798</c:v>
                </c:pt>
                <c:pt idx="629">
                  <c:v>27331</c:v>
                </c:pt>
                <c:pt idx="630">
                  <c:v>31792</c:v>
                </c:pt>
                <c:pt idx="631">
                  <c:v>40367</c:v>
                </c:pt>
                <c:pt idx="632">
                  <c:v>41005</c:v>
                </c:pt>
                <c:pt idx="633">
                  <c:v>38786</c:v>
                </c:pt>
                <c:pt idx="634">
                  <c:v>38938</c:v>
                </c:pt>
                <c:pt idx="635">
                  <c:v>36048</c:v>
                </c:pt>
                <c:pt idx="636">
                  <c:v>17560</c:v>
                </c:pt>
                <c:pt idx="637">
                  <c:v>11552</c:v>
                </c:pt>
                <c:pt idx="638">
                  <c:v>24989</c:v>
                </c:pt>
                <c:pt idx="639">
                  <c:v>11495</c:v>
                </c:pt>
                <c:pt idx="640">
                  <c:v>60</c:v>
                </c:pt>
                <c:pt idx="641">
                  <c:v>-1100</c:v>
                </c:pt>
                <c:pt idx="642">
                  <c:v>-5181</c:v>
                </c:pt>
                <c:pt idx="643">
                  <c:v>-7400</c:v>
                </c:pt>
                <c:pt idx="644">
                  <c:v>-17174</c:v>
                </c:pt>
                <c:pt idx="645">
                  <c:v>-11269</c:v>
                </c:pt>
                <c:pt idx="646">
                  <c:v>-3450</c:v>
                </c:pt>
                <c:pt idx="647">
                  <c:v>-1903</c:v>
                </c:pt>
                <c:pt idx="648">
                  <c:v>-3027</c:v>
                </c:pt>
                <c:pt idx="649">
                  <c:v>160</c:v>
                </c:pt>
                <c:pt idx="650">
                  <c:v>-11356</c:v>
                </c:pt>
                <c:pt idx="651">
                  <c:v>-14042</c:v>
                </c:pt>
                <c:pt idx="652">
                  <c:v>-18779</c:v>
                </c:pt>
                <c:pt idx="653">
                  <c:v>-22764</c:v>
                </c:pt>
                <c:pt idx="654">
                  <c:v>-11721</c:v>
                </c:pt>
                <c:pt idx="655">
                  <c:v>-8625</c:v>
                </c:pt>
                <c:pt idx="656">
                  <c:v>-11330</c:v>
                </c:pt>
                <c:pt idx="657">
                  <c:v>-17424</c:v>
                </c:pt>
                <c:pt idx="658">
                  <c:v>-28378</c:v>
                </c:pt>
                <c:pt idx="659">
                  <c:v>-37671</c:v>
                </c:pt>
                <c:pt idx="660">
                  <c:v>-39399</c:v>
                </c:pt>
                <c:pt idx="661">
                  <c:v>-45312</c:v>
                </c:pt>
                <c:pt idx="662">
                  <c:v>-43581</c:v>
                </c:pt>
                <c:pt idx="663">
                  <c:v>-42387</c:v>
                </c:pt>
                <c:pt idx="664">
                  <c:v>-44421</c:v>
                </c:pt>
                <c:pt idx="665">
                  <c:v>-45540</c:v>
                </c:pt>
                <c:pt idx="666">
                  <c:v>-37948</c:v>
                </c:pt>
                <c:pt idx="667">
                  <c:v>-36492</c:v>
                </c:pt>
                <c:pt idx="668">
                  <c:v>-36429</c:v>
                </c:pt>
                <c:pt idx="669">
                  <c:v>-31326</c:v>
                </c:pt>
                <c:pt idx="670">
                  <c:v>-32211</c:v>
                </c:pt>
                <c:pt idx="671">
                  <c:v>-27622</c:v>
                </c:pt>
                <c:pt idx="672">
                  <c:v>-37544</c:v>
                </c:pt>
                <c:pt idx="673">
                  <c:v>-31876</c:v>
                </c:pt>
                <c:pt idx="674">
                  <c:v>-785</c:v>
                </c:pt>
                <c:pt idx="675">
                  <c:v>-14966</c:v>
                </c:pt>
                <c:pt idx="676">
                  <c:v>-30910</c:v>
                </c:pt>
                <c:pt idx="677">
                  <c:v>-43731</c:v>
                </c:pt>
                <c:pt idx="678">
                  <c:v>-47126</c:v>
                </c:pt>
                <c:pt idx="679">
                  <c:v>-25287</c:v>
                </c:pt>
                <c:pt idx="680">
                  <c:v>-30982</c:v>
                </c:pt>
                <c:pt idx="681">
                  <c:v>-20843</c:v>
                </c:pt>
                <c:pt idx="682">
                  <c:v>-21779</c:v>
                </c:pt>
                <c:pt idx="683">
                  <c:v>-34670</c:v>
                </c:pt>
                <c:pt idx="684">
                  <c:v>-45034</c:v>
                </c:pt>
                <c:pt idx="685">
                  <c:v>-48207</c:v>
                </c:pt>
                <c:pt idx="686">
                  <c:v>-48416</c:v>
                </c:pt>
                <c:pt idx="687">
                  <c:v>-49359</c:v>
                </c:pt>
                <c:pt idx="688">
                  <c:v>-39861</c:v>
                </c:pt>
                <c:pt idx="689">
                  <c:v>-34067</c:v>
                </c:pt>
                <c:pt idx="690">
                  <c:v>-38326</c:v>
                </c:pt>
                <c:pt idx="691">
                  <c:v>-16511</c:v>
                </c:pt>
                <c:pt idx="692">
                  <c:v>-240</c:v>
                </c:pt>
                <c:pt idx="693">
                  <c:v>1460</c:v>
                </c:pt>
                <c:pt idx="694">
                  <c:v>4363</c:v>
                </c:pt>
                <c:pt idx="695">
                  <c:v>983</c:v>
                </c:pt>
                <c:pt idx="696">
                  <c:v>-14690</c:v>
                </c:pt>
                <c:pt idx="697">
                  <c:v>-31188</c:v>
                </c:pt>
                <c:pt idx="698">
                  <c:v>-36975</c:v>
                </c:pt>
                <c:pt idx="699">
                  <c:v>-68262</c:v>
                </c:pt>
                <c:pt idx="700">
                  <c:v>-46223</c:v>
                </c:pt>
                <c:pt idx="701">
                  <c:v>-48378</c:v>
                </c:pt>
                <c:pt idx="702">
                  <c:v>-46865</c:v>
                </c:pt>
                <c:pt idx="703">
                  <c:v>-45335</c:v>
                </c:pt>
                <c:pt idx="704">
                  <c:v>-38128</c:v>
                </c:pt>
                <c:pt idx="705">
                  <c:v>-28651</c:v>
                </c:pt>
                <c:pt idx="706">
                  <c:v>-22168</c:v>
                </c:pt>
                <c:pt idx="707">
                  <c:v>-24429</c:v>
                </c:pt>
                <c:pt idx="708">
                  <c:v>-12629</c:v>
                </c:pt>
                <c:pt idx="709">
                  <c:v>-11013</c:v>
                </c:pt>
                <c:pt idx="710">
                  <c:v>-1581</c:v>
                </c:pt>
                <c:pt idx="711">
                  <c:v>8382</c:v>
                </c:pt>
                <c:pt idx="712">
                  <c:v>10531</c:v>
                </c:pt>
                <c:pt idx="713">
                  <c:v>9320</c:v>
                </c:pt>
                <c:pt idx="714">
                  <c:v>-2882</c:v>
                </c:pt>
                <c:pt idx="715">
                  <c:v>-5472</c:v>
                </c:pt>
                <c:pt idx="716">
                  <c:v>-15889</c:v>
                </c:pt>
                <c:pt idx="717">
                  <c:v>-4314</c:v>
                </c:pt>
                <c:pt idx="718">
                  <c:v>-7259</c:v>
                </c:pt>
                <c:pt idx="719">
                  <c:v>-15417</c:v>
                </c:pt>
                <c:pt idx="720">
                  <c:v>-20960</c:v>
                </c:pt>
                <c:pt idx="721">
                  <c:v>-9394</c:v>
                </c:pt>
                <c:pt idx="722">
                  <c:v>-14853</c:v>
                </c:pt>
                <c:pt idx="723">
                  <c:v>-15247</c:v>
                </c:pt>
                <c:pt idx="724">
                  <c:v>-10465</c:v>
                </c:pt>
                <c:pt idx="725">
                  <c:v>-12635</c:v>
                </c:pt>
                <c:pt idx="726">
                  <c:v>-19146</c:v>
                </c:pt>
                <c:pt idx="727">
                  <c:v>-33241</c:v>
                </c:pt>
                <c:pt idx="728">
                  <c:v>-44034</c:v>
                </c:pt>
                <c:pt idx="729">
                  <c:v>-29020</c:v>
                </c:pt>
                <c:pt idx="730">
                  <c:v>-30127</c:v>
                </c:pt>
                <c:pt idx="731">
                  <c:v>-60420</c:v>
                </c:pt>
                <c:pt idx="732">
                  <c:v>-67208</c:v>
                </c:pt>
                <c:pt idx="733">
                  <c:v>-70223</c:v>
                </c:pt>
                <c:pt idx="734">
                  <c:v>-47069</c:v>
                </c:pt>
                <c:pt idx="735">
                  <c:v>-55701</c:v>
                </c:pt>
                <c:pt idx="736">
                  <c:v>-42545</c:v>
                </c:pt>
                <c:pt idx="737">
                  <c:v>-38797</c:v>
                </c:pt>
                <c:pt idx="738">
                  <c:v>-13903</c:v>
                </c:pt>
                <c:pt idx="739">
                  <c:v>-6468</c:v>
                </c:pt>
                <c:pt idx="740">
                  <c:v>-9772</c:v>
                </c:pt>
                <c:pt idx="741">
                  <c:v>-10838</c:v>
                </c:pt>
                <c:pt idx="742">
                  <c:v>-12285</c:v>
                </c:pt>
                <c:pt idx="743">
                  <c:v>-22798</c:v>
                </c:pt>
                <c:pt idx="744">
                  <c:v>-40371</c:v>
                </c:pt>
                <c:pt idx="745">
                  <c:v>-42248</c:v>
                </c:pt>
                <c:pt idx="746">
                  <c:v>-44081</c:v>
                </c:pt>
                <c:pt idx="747">
                  <c:v>-59580</c:v>
                </c:pt>
                <c:pt idx="748">
                  <c:v>-42925</c:v>
                </c:pt>
                <c:pt idx="749">
                  <c:v>-63406</c:v>
                </c:pt>
                <c:pt idx="750">
                  <c:v>-55553</c:v>
                </c:pt>
                <c:pt idx="751">
                  <c:v>-44685</c:v>
                </c:pt>
                <c:pt idx="752">
                  <c:v>-21867</c:v>
                </c:pt>
                <c:pt idx="753">
                  <c:v>-24891</c:v>
                </c:pt>
                <c:pt idx="754">
                  <c:v>-15002</c:v>
                </c:pt>
                <c:pt idx="755">
                  <c:v>-11559</c:v>
                </c:pt>
                <c:pt idx="756">
                  <c:v>-27265</c:v>
                </c:pt>
                <c:pt idx="757">
                  <c:v>-23206</c:v>
                </c:pt>
                <c:pt idx="758">
                  <c:v>-22372</c:v>
                </c:pt>
                <c:pt idx="759">
                  <c:v>-16851</c:v>
                </c:pt>
                <c:pt idx="760">
                  <c:v>-31170</c:v>
                </c:pt>
                <c:pt idx="761">
                  <c:v>-34352</c:v>
                </c:pt>
                <c:pt idx="762">
                  <c:v>-34745</c:v>
                </c:pt>
                <c:pt idx="763">
                  <c:v>-65869</c:v>
                </c:pt>
                <c:pt idx="764">
                  <c:v>-59208</c:v>
                </c:pt>
                <c:pt idx="765">
                  <c:v>-58252</c:v>
                </c:pt>
                <c:pt idx="766">
                  <c:v>-79181</c:v>
                </c:pt>
                <c:pt idx="767">
                  <c:v>-79331</c:v>
                </c:pt>
                <c:pt idx="768">
                  <c:v>-58831</c:v>
                </c:pt>
                <c:pt idx="769">
                  <c:v>-33575</c:v>
                </c:pt>
                <c:pt idx="770">
                  <c:v>-38072</c:v>
                </c:pt>
                <c:pt idx="771">
                  <c:v>-35554</c:v>
                </c:pt>
                <c:pt idx="772">
                  <c:v>-42877</c:v>
                </c:pt>
                <c:pt idx="773">
                  <c:v>-14633</c:v>
                </c:pt>
                <c:pt idx="774">
                  <c:v>-2304</c:v>
                </c:pt>
                <c:pt idx="775">
                  <c:v>-13990</c:v>
                </c:pt>
                <c:pt idx="776">
                  <c:v>-17279</c:v>
                </c:pt>
                <c:pt idx="777">
                  <c:v>-18123</c:v>
                </c:pt>
                <c:pt idx="778">
                  <c:v>-34475</c:v>
                </c:pt>
                <c:pt idx="779">
                  <c:v>2661</c:v>
                </c:pt>
                <c:pt idx="780">
                  <c:v>5489</c:v>
                </c:pt>
                <c:pt idx="781">
                  <c:v>6292</c:v>
                </c:pt>
                <c:pt idx="782">
                  <c:v>-3078</c:v>
                </c:pt>
                <c:pt idx="783">
                  <c:v>-4091</c:v>
                </c:pt>
                <c:pt idx="784">
                  <c:v>-8189</c:v>
                </c:pt>
                <c:pt idx="785">
                  <c:v>2510</c:v>
                </c:pt>
                <c:pt idx="786">
                  <c:v>10790</c:v>
                </c:pt>
                <c:pt idx="787">
                  <c:v>2419</c:v>
                </c:pt>
                <c:pt idx="788">
                  <c:v>15503</c:v>
                </c:pt>
                <c:pt idx="789">
                  <c:v>13732</c:v>
                </c:pt>
                <c:pt idx="790">
                  <c:v>13202</c:v>
                </c:pt>
                <c:pt idx="791">
                  <c:v>7043</c:v>
                </c:pt>
                <c:pt idx="792">
                  <c:v>1933</c:v>
                </c:pt>
                <c:pt idx="793">
                  <c:v>-6984</c:v>
                </c:pt>
                <c:pt idx="794">
                  <c:v>-11497</c:v>
                </c:pt>
                <c:pt idx="795">
                  <c:v>-4619</c:v>
                </c:pt>
                <c:pt idx="796">
                  <c:v>-2171</c:v>
                </c:pt>
                <c:pt idx="797">
                  <c:v>5162</c:v>
                </c:pt>
                <c:pt idx="798">
                  <c:v>15376</c:v>
                </c:pt>
                <c:pt idx="799">
                  <c:v>9233</c:v>
                </c:pt>
                <c:pt idx="800">
                  <c:v>2786</c:v>
                </c:pt>
                <c:pt idx="801">
                  <c:v>3180</c:v>
                </c:pt>
                <c:pt idx="802">
                  <c:v>987</c:v>
                </c:pt>
                <c:pt idx="803">
                  <c:v>8772</c:v>
                </c:pt>
                <c:pt idx="804">
                  <c:v>167</c:v>
                </c:pt>
                <c:pt idx="805">
                  <c:v>-4248</c:v>
                </c:pt>
                <c:pt idx="806">
                  <c:v>11224</c:v>
                </c:pt>
                <c:pt idx="807">
                  <c:v>10781</c:v>
                </c:pt>
                <c:pt idx="808">
                  <c:v>8881</c:v>
                </c:pt>
                <c:pt idx="809">
                  <c:v>917</c:v>
                </c:pt>
                <c:pt idx="810">
                  <c:v>5234</c:v>
                </c:pt>
                <c:pt idx="811">
                  <c:v>3009</c:v>
                </c:pt>
                <c:pt idx="812">
                  <c:v>7001</c:v>
                </c:pt>
                <c:pt idx="813">
                  <c:v>-4137</c:v>
                </c:pt>
                <c:pt idx="814">
                  <c:v>-17436</c:v>
                </c:pt>
                <c:pt idx="815">
                  <c:v>-4943</c:v>
                </c:pt>
                <c:pt idx="816">
                  <c:v>-9849</c:v>
                </c:pt>
                <c:pt idx="817">
                  <c:v>-7271</c:v>
                </c:pt>
                <c:pt idx="818">
                  <c:v>-3732</c:v>
                </c:pt>
                <c:pt idx="819">
                  <c:v>-8914</c:v>
                </c:pt>
                <c:pt idx="820">
                  <c:v>-2401</c:v>
                </c:pt>
                <c:pt idx="821">
                  <c:v>6607</c:v>
                </c:pt>
                <c:pt idx="822">
                  <c:v>-4697</c:v>
                </c:pt>
                <c:pt idx="823">
                  <c:v>15044</c:v>
                </c:pt>
                <c:pt idx="824">
                  <c:v>-1666</c:v>
                </c:pt>
                <c:pt idx="825">
                  <c:v>-4655</c:v>
                </c:pt>
                <c:pt idx="826">
                  <c:v>-8983</c:v>
                </c:pt>
                <c:pt idx="827">
                  <c:v>-8383</c:v>
                </c:pt>
                <c:pt idx="828">
                  <c:v>-13402</c:v>
                </c:pt>
                <c:pt idx="829">
                  <c:v>-13329</c:v>
                </c:pt>
                <c:pt idx="830">
                  <c:v>-13263</c:v>
                </c:pt>
                <c:pt idx="831">
                  <c:v>-14915</c:v>
                </c:pt>
                <c:pt idx="832">
                  <c:v>-13448</c:v>
                </c:pt>
                <c:pt idx="833">
                  <c:v>-8107</c:v>
                </c:pt>
                <c:pt idx="834">
                  <c:v>-11449</c:v>
                </c:pt>
                <c:pt idx="835">
                  <c:v>-11529</c:v>
                </c:pt>
                <c:pt idx="836">
                  <c:v>-13082</c:v>
                </c:pt>
                <c:pt idx="837">
                  <c:v>-15922</c:v>
                </c:pt>
                <c:pt idx="838">
                  <c:v>-14316</c:v>
                </c:pt>
                <c:pt idx="839">
                  <c:v>-7201</c:v>
                </c:pt>
                <c:pt idx="840">
                  <c:v>-10156</c:v>
                </c:pt>
                <c:pt idx="841">
                  <c:v>-13589</c:v>
                </c:pt>
                <c:pt idx="842">
                  <c:v>-16413</c:v>
                </c:pt>
                <c:pt idx="843">
                  <c:v>-18240</c:v>
                </c:pt>
                <c:pt idx="844">
                  <c:v>-14074</c:v>
                </c:pt>
                <c:pt idx="845">
                  <c:v>-5311</c:v>
                </c:pt>
                <c:pt idx="846">
                  <c:v>-4156</c:v>
                </c:pt>
                <c:pt idx="847">
                  <c:v>-3847</c:v>
                </c:pt>
                <c:pt idx="848">
                  <c:v>-5867</c:v>
                </c:pt>
                <c:pt idx="849">
                  <c:v>-6234</c:v>
                </c:pt>
                <c:pt idx="850">
                  <c:v>-6374</c:v>
                </c:pt>
                <c:pt idx="851">
                  <c:v>-10188</c:v>
                </c:pt>
                <c:pt idx="852">
                  <c:v>-11140</c:v>
                </c:pt>
                <c:pt idx="853">
                  <c:v>-11521</c:v>
                </c:pt>
                <c:pt idx="854">
                  <c:v>-11138</c:v>
                </c:pt>
                <c:pt idx="855">
                  <c:v>-11188</c:v>
                </c:pt>
                <c:pt idx="856">
                  <c:v>-12910</c:v>
                </c:pt>
                <c:pt idx="857">
                  <c:v>-11453</c:v>
                </c:pt>
                <c:pt idx="858">
                  <c:v>-8438</c:v>
                </c:pt>
                <c:pt idx="859">
                  <c:v>-3148</c:v>
                </c:pt>
                <c:pt idx="860">
                  <c:v>-4411</c:v>
                </c:pt>
                <c:pt idx="861">
                  <c:v>-3541</c:v>
                </c:pt>
                <c:pt idx="862">
                  <c:v>-5055</c:v>
                </c:pt>
                <c:pt idx="863">
                  <c:v>-12085</c:v>
                </c:pt>
                <c:pt idx="864">
                  <c:v>-4922</c:v>
                </c:pt>
                <c:pt idx="865">
                  <c:v>-743</c:v>
                </c:pt>
                <c:pt idx="866">
                  <c:v>1619</c:v>
                </c:pt>
                <c:pt idx="867">
                  <c:v>4609</c:v>
                </c:pt>
                <c:pt idx="868">
                  <c:v>6674</c:v>
                </c:pt>
                <c:pt idx="869">
                  <c:v>8599</c:v>
                </c:pt>
                <c:pt idx="870">
                  <c:v>8474</c:v>
                </c:pt>
                <c:pt idx="871">
                  <c:v>7902</c:v>
                </c:pt>
                <c:pt idx="872">
                  <c:v>14408</c:v>
                </c:pt>
                <c:pt idx="873">
                  <c:v>10690</c:v>
                </c:pt>
                <c:pt idx="874">
                  <c:v>11054</c:v>
                </c:pt>
                <c:pt idx="875">
                  <c:v>10792</c:v>
                </c:pt>
                <c:pt idx="876">
                  <c:v>13197</c:v>
                </c:pt>
                <c:pt idx="877">
                  <c:v>14170</c:v>
                </c:pt>
                <c:pt idx="878">
                  <c:v>14512</c:v>
                </c:pt>
                <c:pt idx="879">
                  <c:v>-37</c:v>
                </c:pt>
                <c:pt idx="880">
                  <c:v>6755</c:v>
                </c:pt>
                <c:pt idx="881">
                  <c:v>16798</c:v>
                </c:pt>
                <c:pt idx="882">
                  <c:v>14252</c:v>
                </c:pt>
                <c:pt idx="883">
                  <c:v>18137</c:v>
                </c:pt>
                <c:pt idx="884">
                  <c:v>18191</c:v>
                </c:pt>
                <c:pt idx="885">
                  <c:v>23791</c:v>
                </c:pt>
                <c:pt idx="886">
                  <c:v>17593</c:v>
                </c:pt>
                <c:pt idx="887">
                  <c:v>23470</c:v>
                </c:pt>
                <c:pt idx="888">
                  <c:v>22279</c:v>
                </c:pt>
                <c:pt idx="889">
                  <c:v>23853</c:v>
                </c:pt>
                <c:pt idx="890">
                  <c:v>17845</c:v>
                </c:pt>
                <c:pt idx="891">
                  <c:v>18665</c:v>
                </c:pt>
                <c:pt idx="892">
                  <c:v>23298</c:v>
                </c:pt>
                <c:pt idx="893">
                  <c:v>22199</c:v>
                </c:pt>
                <c:pt idx="894">
                  <c:v>22117</c:v>
                </c:pt>
                <c:pt idx="895">
                  <c:v>24725</c:v>
                </c:pt>
                <c:pt idx="896">
                  <c:v>13348</c:v>
                </c:pt>
                <c:pt idx="897">
                  <c:v>461</c:v>
                </c:pt>
                <c:pt idx="898">
                  <c:v>-4568</c:v>
                </c:pt>
                <c:pt idx="899">
                  <c:v>-7051</c:v>
                </c:pt>
                <c:pt idx="900">
                  <c:v>-2780</c:v>
                </c:pt>
                <c:pt idx="901">
                  <c:v>13926</c:v>
                </c:pt>
                <c:pt idx="902">
                  <c:v>13971</c:v>
                </c:pt>
                <c:pt idx="903">
                  <c:v>5705</c:v>
                </c:pt>
                <c:pt idx="904">
                  <c:v>-1775</c:v>
                </c:pt>
                <c:pt idx="905">
                  <c:v>-6896</c:v>
                </c:pt>
                <c:pt idx="906">
                  <c:v>-4667</c:v>
                </c:pt>
                <c:pt idx="907">
                  <c:v>-8819</c:v>
                </c:pt>
                <c:pt idx="908">
                  <c:v>-6310</c:v>
                </c:pt>
                <c:pt idx="909">
                  <c:v>-5145</c:v>
                </c:pt>
                <c:pt idx="910">
                  <c:v>-5233</c:v>
                </c:pt>
                <c:pt idx="911">
                  <c:v>-1088</c:v>
                </c:pt>
                <c:pt idx="912">
                  <c:v>-6540</c:v>
                </c:pt>
                <c:pt idx="913">
                  <c:v>-4152</c:v>
                </c:pt>
                <c:pt idx="914">
                  <c:v>-4954</c:v>
                </c:pt>
                <c:pt idx="915">
                  <c:v>-5382</c:v>
                </c:pt>
                <c:pt idx="916">
                  <c:v>-13613</c:v>
                </c:pt>
                <c:pt idx="917">
                  <c:v>-16592</c:v>
                </c:pt>
                <c:pt idx="918">
                  <c:v>-17527</c:v>
                </c:pt>
                <c:pt idx="919">
                  <c:v>-14558</c:v>
                </c:pt>
                <c:pt idx="920">
                  <c:v>-12619</c:v>
                </c:pt>
                <c:pt idx="921">
                  <c:v>-14724</c:v>
                </c:pt>
                <c:pt idx="922">
                  <c:v>-11415</c:v>
                </c:pt>
                <c:pt idx="923">
                  <c:v>-16476</c:v>
                </c:pt>
                <c:pt idx="924">
                  <c:v>-10265</c:v>
                </c:pt>
                <c:pt idx="925">
                  <c:v>-12848</c:v>
                </c:pt>
                <c:pt idx="926">
                  <c:v>-7455</c:v>
                </c:pt>
                <c:pt idx="927">
                  <c:v>14590</c:v>
                </c:pt>
                <c:pt idx="928">
                  <c:v>15113</c:v>
                </c:pt>
                <c:pt idx="929">
                  <c:v>6216</c:v>
                </c:pt>
                <c:pt idx="930">
                  <c:v>16223</c:v>
                </c:pt>
                <c:pt idx="931">
                  <c:v>10901</c:v>
                </c:pt>
                <c:pt idx="932">
                  <c:v>11750</c:v>
                </c:pt>
                <c:pt idx="933">
                  <c:v>13868</c:v>
                </c:pt>
                <c:pt idx="934">
                  <c:v>14281</c:v>
                </c:pt>
                <c:pt idx="935">
                  <c:v>16627</c:v>
                </c:pt>
                <c:pt idx="936">
                  <c:v>14236</c:v>
                </c:pt>
                <c:pt idx="937">
                  <c:v>14462</c:v>
                </c:pt>
                <c:pt idx="938">
                  <c:v>19993</c:v>
                </c:pt>
                <c:pt idx="939">
                  <c:v>22599</c:v>
                </c:pt>
                <c:pt idx="940">
                  <c:v>19947</c:v>
                </c:pt>
                <c:pt idx="941">
                  <c:v>11235</c:v>
                </c:pt>
                <c:pt idx="942">
                  <c:v>12519</c:v>
                </c:pt>
                <c:pt idx="943">
                  <c:v>12465</c:v>
                </c:pt>
                <c:pt idx="944">
                  <c:v>12615</c:v>
                </c:pt>
                <c:pt idx="945">
                  <c:v>7803</c:v>
                </c:pt>
                <c:pt idx="946">
                  <c:v>8511</c:v>
                </c:pt>
                <c:pt idx="947">
                  <c:v>7824</c:v>
                </c:pt>
                <c:pt idx="948">
                  <c:v>8987</c:v>
                </c:pt>
                <c:pt idx="949">
                  <c:v>10716</c:v>
                </c:pt>
                <c:pt idx="950">
                  <c:v>12527</c:v>
                </c:pt>
                <c:pt idx="951">
                  <c:v>14002</c:v>
                </c:pt>
                <c:pt idx="952">
                  <c:v>13032</c:v>
                </c:pt>
                <c:pt idx="953">
                  <c:v>10818</c:v>
                </c:pt>
                <c:pt idx="954">
                  <c:v>6992</c:v>
                </c:pt>
                <c:pt idx="955">
                  <c:v>6594</c:v>
                </c:pt>
                <c:pt idx="956">
                  <c:v>10441</c:v>
                </c:pt>
                <c:pt idx="957">
                  <c:v>8181</c:v>
                </c:pt>
                <c:pt idx="958">
                  <c:v>10518</c:v>
                </c:pt>
                <c:pt idx="959">
                  <c:v>12291</c:v>
                </c:pt>
                <c:pt idx="960">
                  <c:v>18017</c:v>
                </c:pt>
                <c:pt idx="961">
                  <c:v>23661</c:v>
                </c:pt>
                <c:pt idx="962">
                  <c:v>27640</c:v>
                </c:pt>
                <c:pt idx="963">
                  <c:v>21301</c:v>
                </c:pt>
                <c:pt idx="964">
                  <c:v>18957</c:v>
                </c:pt>
                <c:pt idx="965">
                  <c:v>10843</c:v>
                </c:pt>
                <c:pt idx="966">
                  <c:v>14657</c:v>
                </c:pt>
                <c:pt idx="967">
                  <c:v>17374</c:v>
                </c:pt>
                <c:pt idx="968">
                  <c:v>17841</c:v>
                </c:pt>
                <c:pt idx="969">
                  <c:v>18381</c:v>
                </c:pt>
                <c:pt idx="970">
                  <c:v>16336</c:v>
                </c:pt>
                <c:pt idx="971">
                  <c:v>15661</c:v>
                </c:pt>
                <c:pt idx="972">
                  <c:v>14725</c:v>
                </c:pt>
                <c:pt idx="973">
                  <c:v>21119</c:v>
                </c:pt>
                <c:pt idx="974">
                  <c:v>16865</c:v>
                </c:pt>
                <c:pt idx="975">
                  <c:v>13287</c:v>
                </c:pt>
                <c:pt idx="976">
                  <c:v>11813</c:v>
                </c:pt>
                <c:pt idx="977">
                  <c:v>9948</c:v>
                </c:pt>
                <c:pt idx="978">
                  <c:v>5291</c:v>
                </c:pt>
                <c:pt idx="979">
                  <c:v>8081</c:v>
                </c:pt>
                <c:pt idx="980">
                  <c:v>11494</c:v>
                </c:pt>
                <c:pt idx="981">
                  <c:v>7877</c:v>
                </c:pt>
                <c:pt idx="982">
                  <c:v>12341</c:v>
                </c:pt>
                <c:pt idx="983">
                  <c:v>4655</c:v>
                </c:pt>
                <c:pt idx="984">
                  <c:v>9008</c:v>
                </c:pt>
                <c:pt idx="985">
                  <c:v>9637</c:v>
                </c:pt>
                <c:pt idx="986">
                  <c:v>9342</c:v>
                </c:pt>
                <c:pt idx="987">
                  <c:v>7549</c:v>
                </c:pt>
                <c:pt idx="988">
                  <c:v>5493</c:v>
                </c:pt>
                <c:pt idx="989">
                  <c:v>4221</c:v>
                </c:pt>
                <c:pt idx="990">
                  <c:v>2424</c:v>
                </c:pt>
                <c:pt idx="991">
                  <c:v>-1109</c:v>
                </c:pt>
                <c:pt idx="992">
                  <c:v>13</c:v>
                </c:pt>
                <c:pt idx="993">
                  <c:v>-2243</c:v>
                </c:pt>
                <c:pt idx="994">
                  <c:v>-1203</c:v>
                </c:pt>
                <c:pt idx="995">
                  <c:v>-1746</c:v>
                </c:pt>
                <c:pt idx="996">
                  <c:v>2162</c:v>
                </c:pt>
                <c:pt idx="997">
                  <c:v>-1904</c:v>
                </c:pt>
                <c:pt idx="998">
                  <c:v>-5870</c:v>
                </c:pt>
                <c:pt idx="999">
                  <c:v>-9327</c:v>
                </c:pt>
                <c:pt idx="1000">
                  <c:v>-11158</c:v>
                </c:pt>
                <c:pt idx="1001">
                  <c:v>-10481</c:v>
                </c:pt>
                <c:pt idx="1002">
                  <c:v>-3136</c:v>
                </c:pt>
                <c:pt idx="1003">
                  <c:v>-10798</c:v>
                </c:pt>
                <c:pt idx="1004">
                  <c:v>-12355</c:v>
                </c:pt>
                <c:pt idx="1005">
                  <c:v>-12097</c:v>
                </c:pt>
                <c:pt idx="1006">
                  <c:v>-12822</c:v>
                </c:pt>
                <c:pt idx="1007">
                  <c:v>-12514</c:v>
                </c:pt>
                <c:pt idx="1008">
                  <c:v>-11222</c:v>
                </c:pt>
                <c:pt idx="1009">
                  <c:v>-9795</c:v>
                </c:pt>
                <c:pt idx="1010">
                  <c:v>-15863</c:v>
                </c:pt>
                <c:pt idx="1011">
                  <c:v>-19846</c:v>
                </c:pt>
                <c:pt idx="1012">
                  <c:v>-19391</c:v>
                </c:pt>
                <c:pt idx="1013">
                  <c:v>-19478</c:v>
                </c:pt>
                <c:pt idx="1014">
                  <c:v>-14798</c:v>
                </c:pt>
                <c:pt idx="1015">
                  <c:v>-11191</c:v>
                </c:pt>
                <c:pt idx="1016">
                  <c:v>-15096</c:v>
                </c:pt>
                <c:pt idx="1017">
                  <c:v>-14676</c:v>
                </c:pt>
                <c:pt idx="1018">
                  <c:v>-9919</c:v>
                </c:pt>
                <c:pt idx="1019">
                  <c:v>-13762</c:v>
                </c:pt>
                <c:pt idx="1020">
                  <c:v>-16641</c:v>
                </c:pt>
                <c:pt idx="1021">
                  <c:v>-14311</c:v>
                </c:pt>
                <c:pt idx="1022">
                  <c:v>-16494</c:v>
                </c:pt>
                <c:pt idx="1023">
                  <c:v>-26694</c:v>
                </c:pt>
                <c:pt idx="1024">
                  <c:v>-34851</c:v>
                </c:pt>
                <c:pt idx="1025">
                  <c:v>-30596</c:v>
                </c:pt>
                <c:pt idx="1026">
                  <c:v>-33648</c:v>
                </c:pt>
                <c:pt idx="1027">
                  <c:v>-33301</c:v>
                </c:pt>
                <c:pt idx="1028">
                  <c:v>-7007</c:v>
                </c:pt>
                <c:pt idx="1029">
                  <c:v>-23836</c:v>
                </c:pt>
                <c:pt idx="1030">
                  <c:v>-19060</c:v>
                </c:pt>
                <c:pt idx="1031">
                  <c:v>-17584</c:v>
                </c:pt>
                <c:pt idx="1032">
                  <c:v>-23090</c:v>
                </c:pt>
                <c:pt idx="1033">
                  <c:v>-25945</c:v>
                </c:pt>
                <c:pt idx="1034">
                  <c:v>-18808</c:v>
                </c:pt>
                <c:pt idx="1035">
                  <c:v>-17915</c:v>
                </c:pt>
                <c:pt idx="1036">
                  <c:v>-18854</c:v>
                </c:pt>
                <c:pt idx="1037">
                  <c:v>-15662</c:v>
                </c:pt>
                <c:pt idx="1038">
                  <c:v>-11461</c:v>
                </c:pt>
                <c:pt idx="1039">
                  <c:v>-13112</c:v>
                </c:pt>
                <c:pt idx="1040">
                  <c:v>-8967</c:v>
                </c:pt>
                <c:pt idx="1041">
                  <c:v>-4527</c:v>
                </c:pt>
                <c:pt idx="1042">
                  <c:v>-904</c:v>
                </c:pt>
                <c:pt idx="1043">
                  <c:v>-984</c:v>
                </c:pt>
                <c:pt idx="1044">
                  <c:v>-306</c:v>
                </c:pt>
                <c:pt idx="1045">
                  <c:v>-1192</c:v>
                </c:pt>
                <c:pt idx="1046">
                  <c:v>2361</c:v>
                </c:pt>
                <c:pt idx="1047">
                  <c:v>2366</c:v>
                </c:pt>
                <c:pt idx="1048">
                  <c:v>-303</c:v>
                </c:pt>
                <c:pt idx="1049">
                  <c:v>-8888</c:v>
                </c:pt>
                <c:pt idx="1050">
                  <c:v>-12488</c:v>
                </c:pt>
                <c:pt idx="1051">
                  <c:v>-3367</c:v>
                </c:pt>
                <c:pt idx="1052">
                  <c:v>636</c:v>
                </c:pt>
                <c:pt idx="1053">
                  <c:v>3209</c:v>
                </c:pt>
                <c:pt idx="1054">
                  <c:v>4280</c:v>
                </c:pt>
                <c:pt idx="1055">
                  <c:v>11435</c:v>
                </c:pt>
                <c:pt idx="1056">
                  <c:v>11631</c:v>
                </c:pt>
                <c:pt idx="1057">
                  <c:v>10261</c:v>
                </c:pt>
                <c:pt idx="1058">
                  <c:v>12770</c:v>
                </c:pt>
                <c:pt idx="1059">
                  <c:v>6384</c:v>
                </c:pt>
                <c:pt idx="1060">
                  <c:v>4148</c:v>
                </c:pt>
                <c:pt idx="1061">
                  <c:v>3876</c:v>
                </c:pt>
                <c:pt idx="1062">
                  <c:v>4552</c:v>
                </c:pt>
                <c:pt idx="1063">
                  <c:v>-675</c:v>
                </c:pt>
                <c:pt idx="1064">
                  <c:v>-8191</c:v>
                </c:pt>
                <c:pt idx="1065">
                  <c:v>-11450</c:v>
                </c:pt>
                <c:pt idx="1066">
                  <c:v>-13488</c:v>
                </c:pt>
                <c:pt idx="1067">
                  <c:v>-10996</c:v>
                </c:pt>
                <c:pt idx="1068">
                  <c:v>-12198</c:v>
                </c:pt>
                <c:pt idx="1069">
                  <c:v>-12015</c:v>
                </c:pt>
                <c:pt idx="1070">
                  <c:v>-10014</c:v>
                </c:pt>
                <c:pt idx="1071">
                  <c:v>-3253</c:v>
                </c:pt>
                <c:pt idx="1072">
                  <c:v>1179</c:v>
                </c:pt>
                <c:pt idx="1073">
                  <c:v>-8264</c:v>
                </c:pt>
                <c:pt idx="1074">
                  <c:v>-6235</c:v>
                </c:pt>
                <c:pt idx="1075">
                  <c:v>-15410</c:v>
                </c:pt>
                <c:pt idx="1076">
                  <c:v>-19930</c:v>
                </c:pt>
                <c:pt idx="1077">
                  <c:v>-28972</c:v>
                </c:pt>
                <c:pt idx="1078">
                  <c:v>-25803</c:v>
                </c:pt>
                <c:pt idx="1079">
                  <c:v>-20738</c:v>
                </c:pt>
                <c:pt idx="1080">
                  <c:v>5791</c:v>
                </c:pt>
                <c:pt idx="1081">
                  <c:v>2464</c:v>
                </c:pt>
                <c:pt idx="1082">
                  <c:v>-116</c:v>
                </c:pt>
                <c:pt idx="1083">
                  <c:v>-1776</c:v>
                </c:pt>
                <c:pt idx="1084">
                  <c:v>-4969</c:v>
                </c:pt>
                <c:pt idx="1085">
                  <c:v>-5433</c:v>
                </c:pt>
                <c:pt idx="1086">
                  <c:v>-1261</c:v>
                </c:pt>
                <c:pt idx="1087">
                  <c:v>-325</c:v>
                </c:pt>
                <c:pt idx="1088">
                  <c:v>2136</c:v>
                </c:pt>
                <c:pt idx="1089">
                  <c:v>291</c:v>
                </c:pt>
                <c:pt idx="1090">
                  <c:v>402</c:v>
                </c:pt>
                <c:pt idx="1091">
                  <c:v>1059</c:v>
                </c:pt>
                <c:pt idx="1092">
                  <c:v>420</c:v>
                </c:pt>
                <c:pt idx="1093">
                  <c:v>616</c:v>
                </c:pt>
                <c:pt idx="1094">
                  <c:v>5745</c:v>
                </c:pt>
                <c:pt idx="1095">
                  <c:v>6636</c:v>
                </c:pt>
                <c:pt idx="1096">
                  <c:v>10415</c:v>
                </c:pt>
                <c:pt idx="1097">
                  <c:v>10767</c:v>
                </c:pt>
                <c:pt idx="1098">
                  <c:v>10931</c:v>
                </c:pt>
                <c:pt idx="1099">
                  <c:v>11451</c:v>
                </c:pt>
                <c:pt idx="1100">
                  <c:v>8095</c:v>
                </c:pt>
                <c:pt idx="1101">
                  <c:v>3189</c:v>
                </c:pt>
                <c:pt idx="1102">
                  <c:v>3669</c:v>
                </c:pt>
                <c:pt idx="1103">
                  <c:v>4652</c:v>
                </c:pt>
                <c:pt idx="1104">
                  <c:v>6547</c:v>
                </c:pt>
                <c:pt idx="1105">
                  <c:v>11998</c:v>
                </c:pt>
                <c:pt idx="1106">
                  <c:v>11955</c:v>
                </c:pt>
                <c:pt idx="1107">
                  <c:v>11920</c:v>
                </c:pt>
                <c:pt idx="1108">
                  <c:v>10889</c:v>
                </c:pt>
                <c:pt idx="1109">
                  <c:v>4727</c:v>
                </c:pt>
                <c:pt idx="1110">
                  <c:v>-2941</c:v>
                </c:pt>
                <c:pt idx="1111">
                  <c:v>-1921</c:v>
                </c:pt>
                <c:pt idx="1112">
                  <c:v>-441</c:v>
                </c:pt>
                <c:pt idx="1113">
                  <c:v>2220</c:v>
                </c:pt>
                <c:pt idx="1114">
                  <c:v>555</c:v>
                </c:pt>
                <c:pt idx="1115">
                  <c:v>-2828</c:v>
                </c:pt>
                <c:pt idx="1116">
                  <c:v>358</c:v>
                </c:pt>
                <c:pt idx="1117">
                  <c:v>2168</c:v>
                </c:pt>
                <c:pt idx="1118">
                  <c:v>8957</c:v>
                </c:pt>
                <c:pt idx="1119">
                  <c:v>15116</c:v>
                </c:pt>
                <c:pt idx="1120">
                  <c:v>14819</c:v>
                </c:pt>
                <c:pt idx="1121">
                  <c:v>14231</c:v>
                </c:pt>
                <c:pt idx="1122">
                  <c:v>11335</c:v>
                </c:pt>
                <c:pt idx="1123">
                  <c:v>14066</c:v>
                </c:pt>
                <c:pt idx="1124">
                  <c:v>14023</c:v>
                </c:pt>
                <c:pt idx="1125">
                  <c:v>13703</c:v>
                </c:pt>
                <c:pt idx="1126">
                  <c:v>13184</c:v>
                </c:pt>
                <c:pt idx="1127">
                  <c:v>6806</c:v>
                </c:pt>
                <c:pt idx="1128">
                  <c:v>5019</c:v>
                </c:pt>
                <c:pt idx="1129">
                  <c:v>-3872</c:v>
                </c:pt>
                <c:pt idx="1130">
                  <c:v>-2012</c:v>
                </c:pt>
                <c:pt idx="1131">
                  <c:v>-3030</c:v>
                </c:pt>
                <c:pt idx="1132">
                  <c:v>3520</c:v>
                </c:pt>
                <c:pt idx="1133">
                  <c:v>-5372</c:v>
                </c:pt>
                <c:pt idx="1134">
                  <c:v>-7260</c:v>
                </c:pt>
                <c:pt idx="1135">
                  <c:v>-6813</c:v>
                </c:pt>
                <c:pt idx="1136">
                  <c:v>-6262</c:v>
                </c:pt>
                <c:pt idx="1137">
                  <c:v>-7380</c:v>
                </c:pt>
                <c:pt idx="1138">
                  <c:v>-11764</c:v>
                </c:pt>
                <c:pt idx="1139">
                  <c:v>-18853</c:v>
                </c:pt>
                <c:pt idx="1140">
                  <c:v>-17359</c:v>
                </c:pt>
                <c:pt idx="1141">
                  <c:v>-15492</c:v>
                </c:pt>
                <c:pt idx="1142">
                  <c:v>-13039</c:v>
                </c:pt>
                <c:pt idx="1143">
                  <c:v>-13167</c:v>
                </c:pt>
                <c:pt idx="1144">
                  <c:v>-13825</c:v>
                </c:pt>
                <c:pt idx="1145">
                  <c:v>-11396</c:v>
                </c:pt>
                <c:pt idx="1146">
                  <c:v>-13375</c:v>
                </c:pt>
                <c:pt idx="1147">
                  <c:v>-12557</c:v>
                </c:pt>
                <c:pt idx="1148">
                  <c:v>-12419</c:v>
                </c:pt>
                <c:pt idx="1149">
                  <c:v>-17553</c:v>
                </c:pt>
                <c:pt idx="1150">
                  <c:v>-17862</c:v>
                </c:pt>
                <c:pt idx="1151">
                  <c:v>-20283</c:v>
                </c:pt>
                <c:pt idx="1152">
                  <c:v>-20221</c:v>
                </c:pt>
                <c:pt idx="1153">
                  <c:v>-22675</c:v>
                </c:pt>
                <c:pt idx="1154">
                  <c:v>-22116</c:v>
                </c:pt>
                <c:pt idx="1155">
                  <c:v>-23424</c:v>
                </c:pt>
                <c:pt idx="1156">
                  <c:v>-22922</c:v>
                </c:pt>
                <c:pt idx="1157">
                  <c:v>-22097</c:v>
                </c:pt>
                <c:pt idx="1158">
                  <c:v>-3655</c:v>
                </c:pt>
                <c:pt idx="1159">
                  <c:v>-16846</c:v>
                </c:pt>
                <c:pt idx="1160">
                  <c:v>-16545</c:v>
                </c:pt>
                <c:pt idx="1161">
                  <c:v>-24171</c:v>
                </c:pt>
                <c:pt idx="1162">
                  <c:v>-26444</c:v>
                </c:pt>
                <c:pt idx="1163">
                  <c:v>-9809</c:v>
                </c:pt>
                <c:pt idx="1164">
                  <c:v>-7373</c:v>
                </c:pt>
                <c:pt idx="1165">
                  <c:v>-5350</c:v>
                </c:pt>
                <c:pt idx="1166">
                  <c:v>-5486</c:v>
                </c:pt>
                <c:pt idx="1167">
                  <c:v>-6044</c:v>
                </c:pt>
                <c:pt idx="1168">
                  <c:v>-5085</c:v>
                </c:pt>
                <c:pt idx="1169">
                  <c:v>-6062</c:v>
                </c:pt>
                <c:pt idx="1170">
                  <c:v>-8380</c:v>
                </c:pt>
                <c:pt idx="1171">
                  <c:v>2235</c:v>
                </c:pt>
                <c:pt idx="1172">
                  <c:v>-3955</c:v>
                </c:pt>
                <c:pt idx="1173">
                  <c:v>706</c:v>
                </c:pt>
                <c:pt idx="1174">
                  <c:v>120</c:v>
                </c:pt>
                <c:pt idx="1175">
                  <c:v>170</c:v>
                </c:pt>
                <c:pt idx="1176">
                  <c:v>335</c:v>
                </c:pt>
                <c:pt idx="1177">
                  <c:v>1335</c:v>
                </c:pt>
                <c:pt idx="1178">
                  <c:v>5331</c:v>
                </c:pt>
                <c:pt idx="1179">
                  <c:v>10550</c:v>
                </c:pt>
                <c:pt idx="1180">
                  <c:v>9405</c:v>
                </c:pt>
                <c:pt idx="1181">
                  <c:v>8330</c:v>
                </c:pt>
                <c:pt idx="1182">
                  <c:v>8359</c:v>
                </c:pt>
                <c:pt idx="1183">
                  <c:v>10129</c:v>
                </c:pt>
                <c:pt idx="1184">
                  <c:v>5358</c:v>
                </c:pt>
                <c:pt idx="1185">
                  <c:v>7072</c:v>
                </c:pt>
                <c:pt idx="1186">
                  <c:v>6855</c:v>
                </c:pt>
                <c:pt idx="1187">
                  <c:v>6121</c:v>
                </c:pt>
                <c:pt idx="1188">
                  <c:v>3081</c:v>
                </c:pt>
                <c:pt idx="1189">
                  <c:v>3417</c:v>
                </c:pt>
                <c:pt idx="1190">
                  <c:v>124</c:v>
                </c:pt>
                <c:pt idx="1191">
                  <c:v>-1466</c:v>
                </c:pt>
                <c:pt idx="1192">
                  <c:v>-7012</c:v>
                </c:pt>
                <c:pt idx="1193">
                  <c:v>-9868</c:v>
                </c:pt>
                <c:pt idx="1194">
                  <c:v>-12597</c:v>
                </c:pt>
                <c:pt idx="1195">
                  <c:v>-8503</c:v>
                </c:pt>
                <c:pt idx="1196">
                  <c:v>-6896</c:v>
                </c:pt>
                <c:pt idx="1197">
                  <c:v>3782</c:v>
                </c:pt>
                <c:pt idx="1198">
                  <c:v>-1876</c:v>
                </c:pt>
                <c:pt idx="1199">
                  <c:v>-2715</c:v>
                </c:pt>
                <c:pt idx="1200">
                  <c:v>-3970</c:v>
                </c:pt>
                <c:pt idx="1201">
                  <c:v>-2352</c:v>
                </c:pt>
                <c:pt idx="1202">
                  <c:v>625</c:v>
                </c:pt>
                <c:pt idx="1203">
                  <c:v>1499</c:v>
                </c:pt>
                <c:pt idx="1204">
                  <c:v>-7035</c:v>
                </c:pt>
                <c:pt idx="1205">
                  <c:v>-9310</c:v>
                </c:pt>
                <c:pt idx="1206">
                  <c:v>-15329</c:v>
                </c:pt>
                <c:pt idx="1207">
                  <c:v>-22209</c:v>
                </c:pt>
                <c:pt idx="1208">
                  <c:v>-24789</c:v>
                </c:pt>
                <c:pt idx="1209">
                  <c:v>-25540</c:v>
                </c:pt>
                <c:pt idx="1210">
                  <c:v>1951</c:v>
                </c:pt>
                <c:pt idx="1211">
                  <c:v>2752</c:v>
                </c:pt>
                <c:pt idx="1212">
                  <c:v>3564</c:v>
                </c:pt>
                <c:pt idx="1213">
                  <c:v>3620</c:v>
                </c:pt>
                <c:pt idx="1214">
                  <c:v>3324</c:v>
                </c:pt>
                <c:pt idx="1215">
                  <c:v>906</c:v>
                </c:pt>
                <c:pt idx="1216">
                  <c:v>-4503</c:v>
                </c:pt>
                <c:pt idx="1217">
                  <c:v>-4695</c:v>
                </c:pt>
                <c:pt idx="1218">
                  <c:v>-7268</c:v>
                </c:pt>
                <c:pt idx="1219">
                  <c:v>-4366</c:v>
                </c:pt>
                <c:pt idx="1220">
                  <c:v>-2321</c:v>
                </c:pt>
                <c:pt idx="1221">
                  <c:v>-1507</c:v>
                </c:pt>
                <c:pt idx="1222">
                  <c:v>-129</c:v>
                </c:pt>
                <c:pt idx="1223">
                  <c:v>5262</c:v>
                </c:pt>
                <c:pt idx="1224">
                  <c:v>4186</c:v>
                </c:pt>
                <c:pt idx="1225">
                  <c:v>4647</c:v>
                </c:pt>
                <c:pt idx="1226">
                  <c:v>5649</c:v>
                </c:pt>
                <c:pt idx="1227">
                  <c:v>8238</c:v>
                </c:pt>
                <c:pt idx="1228">
                  <c:v>9410</c:v>
                </c:pt>
                <c:pt idx="1229">
                  <c:v>9265</c:v>
                </c:pt>
                <c:pt idx="1230">
                  <c:v>6829</c:v>
                </c:pt>
                <c:pt idx="1231">
                  <c:v>6917</c:v>
                </c:pt>
                <c:pt idx="1232">
                  <c:v>4147</c:v>
                </c:pt>
                <c:pt idx="1233">
                  <c:v>3954</c:v>
                </c:pt>
                <c:pt idx="1234">
                  <c:v>129</c:v>
                </c:pt>
                <c:pt idx="1235">
                  <c:v>-9645</c:v>
                </c:pt>
                <c:pt idx="1236">
                  <c:v>7130</c:v>
                </c:pt>
                <c:pt idx="1237">
                  <c:v>6381</c:v>
                </c:pt>
                <c:pt idx="1238">
                  <c:v>10867</c:v>
                </c:pt>
                <c:pt idx="1239">
                  <c:v>8678</c:v>
                </c:pt>
                <c:pt idx="1240">
                  <c:v>6718</c:v>
                </c:pt>
                <c:pt idx="1241">
                  <c:v>4687</c:v>
                </c:pt>
                <c:pt idx="1242">
                  <c:v>946</c:v>
                </c:pt>
                <c:pt idx="1243">
                  <c:v>-1715</c:v>
                </c:pt>
                <c:pt idx="1244">
                  <c:v>107</c:v>
                </c:pt>
                <c:pt idx="1245">
                  <c:v>-1545</c:v>
                </c:pt>
                <c:pt idx="1246">
                  <c:v>1885</c:v>
                </c:pt>
                <c:pt idx="1247">
                  <c:v>8208</c:v>
                </c:pt>
                <c:pt idx="1248">
                  <c:v>1451</c:v>
                </c:pt>
                <c:pt idx="1249">
                  <c:v>1348</c:v>
                </c:pt>
                <c:pt idx="1250">
                  <c:v>8413</c:v>
                </c:pt>
                <c:pt idx="1251">
                  <c:v>-5956</c:v>
                </c:pt>
                <c:pt idx="1252">
                  <c:v>-2936</c:v>
                </c:pt>
                <c:pt idx="1253">
                  <c:v>-9408</c:v>
                </c:pt>
                <c:pt idx="1254">
                  <c:v>-16377</c:v>
                </c:pt>
                <c:pt idx="1255">
                  <c:v>-18700</c:v>
                </c:pt>
                <c:pt idx="1256">
                  <c:v>-19970</c:v>
                </c:pt>
                <c:pt idx="1257">
                  <c:v>-23291</c:v>
                </c:pt>
                <c:pt idx="1258">
                  <c:v>-22194</c:v>
                </c:pt>
                <c:pt idx="1259">
                  <c:v>-22900</c:v>
                </c:pt>
                <c:pt idx="1260">
                  <c:v>-24334</c:v>
                </c:pt>
                <c:pt idx="1261">
                  <c:v>-25397</c:v>
                </c:pt>
                <c:pt idx="1262">
                  <c:v>-25288</c:v>
                </c:pt>
                <c:pt idx="1263">
                  <c:v>7110</c:v>
                </c:pt>
                <c:pt idx="1264">
                  <c:v>-10091</c:v>
                </c:pt>
                <c:pt idx="1265">
                  <c:v>-13439</c:v>
                </c:pt>
                <c:pt idx="1266">
                  <c:v>-14246</c:v>
                </c:pt>
                <c:pt idx="1267">
                  <c:v>-13683</c:v>
                </c:pt>
                <c:pt idx="1268">
                  <c:v>-13644</c:v>
                </c:pt>
                <c:pt idx="1269">
                  <c:v>-17140</c:v>
                </c:pt>
                <c:pt idx="1270">
                  <c:v>-14621</c:v>
                </c:pt>
                <c:pt idx="1271">
                  <c:v>-11484</c:v>
                </c:pt>
                <c:pt idx="1272">
                  <c:v>-8936</c:v>
                </c:pt>
                <c:pt idx="1273">
                  <c:v>-11814</c:v>
                </c:pt>
                <c:pt idx="1274">
                  <c:v>-10016</c:v>
                </c:pt>
                <c:pt idx="1275">
                  <c:v>-8997</c:v>
                </c:pt>
                <c:pt idx="1276">
                  <c:v>-11979</c:v>
                </c:pt>
                <c:pt idx="1277">
                  <c:v>-16392</c:v>
                </c:pt>
                <c:pt idx="1278">
                  <c:v>-13825</c:v>
                </c:pt>
                <c:pt idx="1279">
                  <c:v>-10128</c:v>
                </c:pt>
                <c:pt idx="1280">
                  <c:v>-13802</c:v>
                </c:pt>
                <c:pt idx="1281">
                  <c:v>-17317</c:v>
                </c:pt>
                <c:pt idx="1282">
                  <c:v>-17708</c:v>
                </c:pt>
                <c:pt idx="1283">
                  <c:v>-15196</c:v>
                </c:pt>
                <c:pt idx="1284">
                  <c:v>-21162</c:v>
                </c:pt>
                <c:pt idx="1285">
                  <c:v>-19785</c:v>
                </c:pt>
                <c:pt idx="1286">
                  <c:v>-18512</c:v>
                </c:pt>
                <c:pt idx="1287">
                  <c:v>-16555</c:v>
                </c:pt>
                <c:pt idx="1288">
                  <c:v>-14460</c:v>
                </c:pt>
                <c:pt idx="1289">
                  <c:v>-2982</c:v>
                </c:pt>
                <c:pt idx="1290">
                  <c:v>-4669</c:v>
                </c:pt>
                <c:pt idx="1291">
                  <c:v>-113</c:v>
                </c:pt>
                <c:pt idx="1292">
                  <c:v>208</c:v>
                </c:pt>
                <c:pt idx="1293">
                  <c:v>-3667</c:v>
                </c:pt>
                <c:pt idx="1294">
                  <c:v>-1550</c:v>
                </c:pt>
                <c:pt idx="1295">
                  <c:v>1440</c:v>
                </c:pt>
                <c:pt idx="1296">
                  <c:v>-1402</c:v>
                </c:pt>
                <c:pt idx="1297">
                  <c:v>-1181</c:v>
                </c:pt>
                <c:pt idx="1298">
                  <c:v>-1987</c:v>
                </c:pt>
                <c:pt idx="1299">
                  <c:v>-1778</c:v>
                </c:pt>
                <c:pt idx="1300">
                  <c:v>-2171</c:v>
                </c:pt>
                <c:pt idx="1301">
                  <c:v>-1314</c:v>
                </c:pt>
                <c:pt idx="1302">
                  <c:v>-1569</c:v>
                </c:pt>
                <c:pt idx="1303">
                  <c:v>-1862</c:v>
                </c:pt>
                <c:pt idx="1304">
                  <c:v>-3293</c:v>
                </c:pt>
                <c:pt idx="1305">
                  <c:v>-4262</c:v>
                </c:pt>
                <c:pt idx="1306">
                  <c:v>-4931</c:v>
                </c:pt>
                <c:pt idx="1307">
                  <c:v>-11597</c:v>
                </c:pt>
                <c:pt idx="1308">
                  <c:v>-20671</c:v>
                </c:pt>
                <c:pt idx="1309">
                  <c:v>-25110</c:v>
                </c:pt>
                <c:pt idx="1310">
                  <c:v>-27983</c:v>
                </c:pt>
                <c:pt idx="1311">
                  <c:v>-29740</c:v>
                </c:pt>
                <c:pt idx="1312">
                  <c:v>-30184</c:v>
                </c:pt>
                <c:pt idx="1313">
                  <c:v>-29567</c:v>
                </c:pt>
                <c:pt idx="1314">
                  <c:v>-28765</c:v>
                </c:pt>
                <c:pt idx="1315">
                  <c:v>-17395</c:v>
                </c:pt>
                <c:pt idx="1316">
                  <c:v>-13902</c:v>
                </c:pt>
                <c:pt idx="1317">
                  <c:v>-16232</c:v>
                </c:pt>
                <c:pt idx="1318">
                  <c:v>-21922</c:v>
                </c:pt>
                <c:pt idx="1319">
                  <c:v>-21106</c:v>
                </c:pt>
                <c:pt idx="1320">
                  <c:v>-22115</c:v>
                </c:pt>
                <c:pt idx="1321">
                  <c:v>-20327</c:v>
                </c:pt>
                <c:pt idx="1322">
                  <c:v>-20241</c:v>
                </c:pt>
                <c:pt idx="1323">
                  <c:v>-19925</c:v>
                </c:pt>
                <c:pt idx="1324">
                  <c:v>-15788</c:v>
                </c:pt>
                <c:pt idx="1325">
                  <c:v>-15999</c:v>
                </c:pt>
                <c:pt idx="1326">
                  <c:v>-8477</c:v>
                </c:pt>
                <c:pt idx="1327">
                  <c:v>-6572</c:v>
                </c:pt>
                <c:pt idx="1328">
                  <c:v>-8246</c:v>
                </c:pt>
                <c:pt idx="1329">
                  <c:v>-9445</c:v>
                </c:pt>
                <c:pt idx="1330">
                  <c:v>-9911</c:v>
                </c:pt>
                <c:pt idx="1331">
                  <c:v>-10744</c:v>
                </c:pt>
                <c:pt idx="1332">
                  <c:v>-10521</c:v>
                </c:pt>
                <c:pt idx="1333">
                  <c:v>-10225</c:v>
                </c:pt>
                <c:pt idx="1334">
                  <c:v>-19456</c:v>
                </c:pt>
                <c:pt idx="1335">
                  <c:v>-32602</c:v>
                </c:pt>
                <c:pt idx="1336">
                  <c:v>-36393</c:v>
                </c:pt>
                <c:pt idx="1337">
                  <c:v>-37311</c:v>
                </c:pt>
                <c:pt idx="1338">
                  <c:v>-43431</c:v>
                </c:pt>
                <c:pt idx="1339">
                  <c:v>-39216</c:v>
                </c:pt>
                <c:pt idx="1340">
                  <c:v>-37245</c:v>
                </c:pt>
                <c:pt idx="1341">
                  <c:v>-31957</c:v>
                </c:pt>
                <c:pt idx="1342">
                  <c:v>-38031</c:v>
                </c:pt>
                <c:pt idx="1343">
                  <c:v>-40494</c:v>
                </c:pt>
                <c:pt idx="1344">
                  <c:v>-40121</c:v>
                </c:pt>
                <c:pt idx="1345">
                  <c:v>-42143</c:v>
                </c:pt>
                <c:pt idx="1346">
                  <c:v>-45808</c:v>
                </c:pt>
                <c:pt idx="1347">
                  <c:v>-44422</c:v>
                </c:pt>
                <c:pt idx="1348">
                  <c:v>-46108</c:v>
                </c:pt>
                <c:pt idx="1349">
                  <c:v>-45849</c:v>
                </c:pt>
                <c:pt idx="1350">
                  <c:v>-47218</c:v>
                </c:pt>
                <c:pt idx="1351">
                  <c:v>-44744</c:v>
                </c:pt>
                <c:pt idx="1352">
                  <c:v>-40394</c:v>
                </c:pt>
                <c:pt idx="1353">
                  <c:v>-35350</c:v>
                </c:pt>
                <c:pt idx="1354">
                  <c:v>-18438</c:v>
                </c:pt>
                <c:pt idx="1355">
                  <c:v>-16083</c:v>
                </c:pt>
                <c:pt idx="1356">
                  <c:v>-13402</c:v>
                </c:pt>
                <c:pt idx="1357">
                  <c:v>-12803</c:v>
                </c:pt>
                <c:pt idx="1358">
                  <c:v>-16524</c:v>
                </c:pt>
                <c:pt idx="1359">
                  <c:v>-17105</c:v>
                </c:pt>
                <c:pt idx="1360">
                  <c:v>-14522</c:v>
                </c:pt>
                <c:pt idx="1361">
                  <c:v>-19948</c:v>
                </c:pt>
                <c:pt idx="1362">
                  <c:v>-18602</c:v>
                </c:pt>
                <c:pt idx="1363">
                  <c:v>-19625</c:v>
                </c:pt>
                <c:pt idx="1364">
                  <c:v>-21068</c:v>
                </c:pt>
                <c:pt idx="1365">
                  <c:v>-19795</c:v>
                </c:pt>
                <c:pt idx="1366">
                  <c:v>-18267</c:v>
                </c:pt>
                <c:pt idx="1367">
                  <c:v>-22926</c:v>
                </c:pt>
                <c:pt idx="1368">
                  <c:v>-23329</c:v>
                </c:pt>
                <c:pt idx="1369">
                  <c:v>-25530</c:v>
                </c:pt>
                <c:pt idx="1370">
                  <c:v>-23186</c:v>
                </c:pt>
                <c:pt idx="1371">
                  <c:v>-15294</c:v>
                </c:pt>
                <c:pt idx="1372">
                  <c:v>-16402</c:v>
                </c:pt>
                <c:pt idx="1373">
                  <c:v>-18080</c:v>
                </c:pt>
                <c:pt idx="1374">
                  <c:v>-18114</c:v>
                </c:pt>
                <c:pt idx="1375">
                  <c:v>-20680</c:v>
                </c:pt>
                <c:pt idx="1376">
                  <c:v>-23350</c:v>
                </c:pt>
                <c:pt idx="1377">
                  <c:v>-25349</c:v>
                </c:pt>
                <c:pt idx="1378">
                  <c:v>-24104</c:v>
                </c:pt>
                <c:pt idx="1379">
                  <c:v>-23305</c:v>
                </c:pt>
                <c:pt idx="1380">
                  <c:v>-27189</c:v>
                </c:pt>
                <c:pt idx="1381">
                  <c:v>-27295</c:v>
                </c:pt>
                <c:pt idx="1382">
                  <c:v>-26266</c:v>
                </c:pt>
                <c:pt idx="1383">
                  <c:v>-28146</c:v>
                </c:pt>
                <c:pt idx="1384">
                  <c:v>-32584</c:v>
                </c:pt>
                <c:pt idx="1385">
                  <c:v>-37536</c:v>
                </c:pt>
                <c:pt idx="1386">
                  <c:v>-39746</c:v>
                </c:pt>
                <c:pt idx="1387">
                  <c:v>-39579</c:v>
                </c:pt>
                <c:pt idx="1388">
                  <c:v>-40010</c:v>
                </c:pt>
                <c:pt idx="1389">
                  <c:v>-37495</c:v>
                </c:pt>
                <c:pt idx="1390">
                  <c:v>-34675</c:v>
                </c:pt>
                <c:pt idx="1391">
                  <c:v>-36065</c:v>
                </c:pt>
                <c:pt idx="1392">
                  <c:v>-24788</c:v>
                </c:pt>
                <c:pt idx="1393">
                  <c:v>-15484</c:v>
                </c:pt>
                <c:pt idx="1394">
                  <c:v>-16481</c:v>
                </c:pt>
                <c:pt idx="1395">
                  <c:v>-10742</c:v>
                </c:pt>
                <c:pt idx="1396">
                  <c:v>-10428</c:v>
                </c:pt>
                <c:pt idx="1397">
                  <c:v>-11732</c:v>
                </c:pt>
                <c:pt idx="1398">
                  <c:v>-13193</c:v>
                </c:pt>
                <c:pt idx="1399">
                  <c:v>-14488</c:v>
                </c:pt>
                <c:pt idx="1400">
                  <c:v>-16431</c:v>
                </c:pt>
                <c:pt idx="1401">
                  <c:v>-12952</c:v>
                </c:pt>
                <c:pt idx="1402">
                  <c:v>-11117</c:v>
                </c:pt>
                <c:pt idx="1403">
                  <c:v>-3800</c:v>
                </c:pt>
                <c:pt idx="1404">
                  <c:v>-5839</c:v>
                </c:pt>
                <c:pt idx="1405">
                  <c:v>-2892</c:v>
                </c:pt>
                <c:pt idx="1406">
                  <c:v>-4556</c:v>
                </c:pt>
                <c:pt idx="1407">
                  <c:v>-10552</c:v>
                </c:pt>
                <c:pt idx="1408">
                  <c:v>-11535</c:v>
                </c:pt>
                <c:pt idx="1409">
                  <c:v>-11047</c:v>
                </c:pt>
                <c:pt idx="1410">
                  <c:v>-12766</c:v>
                </c:pt>
                <c:pt idx="1411">
                  <c:v>-11335</c:v>
                </c:pt>
                <c:pt idx="1412">
                  <c:v>-12484</c:v>
                </c:pt>
                <c:pt idx="1413">
                  <c:v>-14153</c:v>
                </c:pt>
                <c:pt idx="1414">
                  <c:v>-15120</c:v>
                </c:pt>
                <c:pt idx="1415">
                  <c:v>-16192</c:v>
                </c:pt>
                <c:pt idx="1416">
                  <c:v>-20975</c:v>
                </c:pt>
                <c:pt idx="1417">
                  <c:v>-22287</c:v>
                </c:pt>
                <c:pt idx="1418">
                  <c:v>-20865</c:v>
                </c:pt>
                <c:pt idx="1419">
                  <c:v>-11074</c:v>
                </c:pt>
                <c:pt idx="1420">
                  <c:v>-9679</c:v>
                </c:pt>
                <c:pt idx="1421">
                  <c:v>-5725</c:v>
                </c:pt>
                <c:pt idx="1422">
                  <c:v>-4469</c:v>
                </c:pt>
                <c:pt idx="1423">
                  <c:v>-192</c:v>
                </c:pt>
                <c:pt idx="1424">
                  <c:v>1536</c:v>
                </c:pt>
                <c:pt idx="1425">
                  <c:v>3497</c:v>
                </c:pt>
                <c:pt idx="1426">
                  <c:v>4919</c:v>
                </c:pt>
                <c:pt idx="1427">
                  <c:v>3767</c:v>
                </c:pt>
                <c:pt idx="1428">
                  <c:v>1541</c:v>
                </c:pt>
                <c:pt idx="1429">
                  <c:v>616</c:v>
                </c:pt>
                <c:pt idx="1430">
                  <c:v>-3242</c:v>
                </c:pt>
                <c:pt idx="1431">
                  <c:v>595</c:v>
                </c:pt>
                <c:pt idx="1432">
                  <c:v>7374</c:v>
                </c:pt>
                <c:pt idx="1433">
                  <c:v>4891</c:v>
                </c:pt>
                <c:pt idx="1434">
                  <c:v>4947</c:v>
                </c:pt>
                <c:pt idx="1435">
                  <c:v>5604</c:v>
                </c:pt>
                <c:pt idx="1436">
                  <c:v>4657</c:v>
                </c:pt>
                <c:pt idx="1437">
                  <c:v>4924</c:v>
                </c:pt>
                <c:pt idx="1438">
                  <c:v>5576</c:v>
                </c:pt>
                <c:pt idx="1439">
                  <c:v>7791</c:v>
                </c:pt>
                <c:pt idx="1440">
                  <c:v>6648</c:v>
                </c:pt>
                <c:pt idx="1441">
                  <c:v>8728</c:v>
                </c:pt>
                <c:pt idx="1442">
                  <c:v>8739</c:v>
                </c:pt>
                <c:pt idx="1443">
                  <c:v>8989</c:v>
                </c:pt>
                <c:pt idx="1444">
                  <c:v>1766</c:v>
                </c:pt>
                <c:pt idx="1445">
                  <c:v>1606</c:v>
                </c:pt>
                <c:pt idx="1446">
                  <c:v>1448</c:v>
                </c:pt>
                <c:pt idx="1447">
                  <c:v>4338</c:v>
                </c:pt>
                <c:pt idx="1448">
                  <c:v>3778</c:v>
                </c:pt>
                <c:pt idx="1449">
                  <c:v>7057</c:v>
                </c:pt>
                <c:pt idx="1450">
                  <c:v>7379</c:v>
                </c:pt>
                <c:pt idx="1451">
                  <c:v>8442</c:v>
                </c:pt>
                <c:pt idx="1452">
                  <c:v>11660</c:v>
                </c:pt>
                <c:pt idx="1453">
                  <c:v>17165</c:v>
                </c:pt>
                <c:pt idx="1454">
                  <c:v>14507</c:v>
                </c:pt>
                <c:pt idx="1455">
                  <c:v>11866</c:v>
                </c:pt>
                <c:pt idx="1456">
                  <c:v>11597</c:v>
                </c:pt>
                <c:pt idx="1457">
                  <c:v>11527</c:v>
                </c:pt>
                <c:pt idx="1458">
                  <c:v>12066</c:v>
                </c:pt>
                <c:pt idx="1459">
                  <c:v>15916</c:v>
                </c:pt>
                <c:pt idx="1460">
                  <c:v>12741</c:v>
                </c:pt>
                <c:pt idx="1461">
                  <c:v>13096</c:v>
                </c:pt>
                <c:pt idx="1462">
                  <c:v>12172</c:v>
                </c:pt>
                <c:pt idx="1463">
                  <c:v>14399</c:v>
                </c:pt>
                <c:pt idx="1464">
                  <c:v>15503</c:v>
                </c:pt>
                <c:pt idx="1465">
                  <c:v>14895</c:v>
                </c:pt>
                <c:pt idx="1466">
                  <c:v>15864</c:v>
                </c:pt>
                <c:pt idx="1467">
                  <c:v>14924</c:v>
                </c:pt>
                <c:pt idx="1468">
                  <c:v>14986</c:v>
                </c:pt>
                <c:pt idx="1469">
                  <c:v>14651</c:v>
                </c:pt>
                <c:pt idx="1470">
                  <c:v>10423</c:v>
                </c:pt>
                <c:pt idx="1471">
                  <c:v>9291</c:v>
                </c:pt>
                <c:pt idx="1472">
                  <c:v>11244</c:v>
                </c:pt>
                <c:pt idx="1473">
                  <c:v>11787</c:v>
                </c:pt>
                <c:pt idx="1474">
                  <c:v>9372</c:v>
                </c:pt>
                <c:pt idx="1475">
                  <c:v>11975</c:v>
                </c:pt>
                <c:pt idx="1476">
                  <c:v>9420</c:v>
                </c:pt>
                <c:pt idx="1477">
                  <c:v>10092</c:v>
                </c:pt>
                <c:pt idx="1478">
                  <c:v>14641</c:v>
                </c:pt>
                <c:pt idx="1479">
                  <c:v>11408</c:v>
                </c:pt>
                <c:pt idx="1480">
                  <c:v>8371</c:v>
                </c:pt>
                <c:pt idx="1481">
                  <c:v>11523</c:v>
                </c:pt>
                <c:pt idx="1482">
                  <c:v>12261</c:v>
                </c:pt>
                <c:pt idx="1483">
                  <c:v>14393</c:v>
                </c:pt>
                <c:pt idx="1484">
                  <c:v>4671</c:v>
                </c:pt>
                <c:pt idx="1485">
                  <c:v>2872</c:v>
                </c:pt>
                <c:pt idx="1486">
                  <c:v>4269</c:v>
                </c:pt>
                <c:pt idx="1487">
                  <c:v>3245</c:v>
                </c:pt>
                <c:pt idx="1488">
                  <c:v>824</c:v>
                </c:pt>
                <c:pt idx="1489">
                  <c:v>-1642</c:v>
                </c:pt>
                <c:pt idx="1490">
                  <c:v>-686</c:v>
                </c:pt>
                <c:pt idx="1491">
                  <c:v>56</c:v>
                </c:pt>
                <c:pt idx="1492">
                  <c:v>-2851</c:v>
                </c:pt>
                <c:pt idx="1493">
                  <c:v>-4265</c:v>
                </c:pt>
                <c:pt idx="1494">
                  <c:v>-1203</c:v>
                </c:pt>
                <c:pt idx="1495">
                  <c:v>324</c:v>
                </c:pt>
                <c:pt idx="1496">
                  <c:v>1076</c:v>
                </c:pt>
                <c:pt idx="1497">
                  <c:v>9387</c:v>
                </c:pt>
                <c:pt idx="1498">
                  <c:v>13552</c:v>
                </c:pt>
                <c:pt idx="1499">
                  <c:v>11065</c:v>
                </c:pt>
                <c:pt idx="1500">
                  <c:v>10162</c:v>
                </c:pt>
                <c:pt idx="1501">
                  <c:v>7137</c:v>
                </c:pt>
                <c:pt idx="1502">
                  <c:v>8042</c:v>
                </c:pt>
                <c:pt idx="1503">
                  <c:v>8489</c:v>
                </c:pt>
                <c:pt idx="1504">
                  <c:v>7543</c:v>
                </c:pt>
                <c:pt idx="1505">
                  <c:v>9678</c:v>
                </c:pt>
                <c:pt idx="1506">
                  <c:v>5547</c:v>
                </c:pt>
                <c:pt idx="1507">
                  <c:v>4094</c:v>
                </c:pt>
                <c:pt idx="1508">
                  <c:v>3975</c:v>
                </c:pt>
                <c:pt idx="1509">
                  <c:v>220</c:v>
                </c:pt>
                <c:pt idx="1510">
                  <c:v>-5878</c:v>
                </c:pt>
                <c:pt idx="1511">
                  <c:v>-9217</c:v>
                </c:pt>
                <c:pt idx="1512">
                  <c:v>-11587</c:v>
                </c:pt>
                <c:pt idx="1513">
                  <c:v>-15679</c:v>
                </c:pt>
                <c:pt idx="1514">
                  <c:v>-12972</c:v>
                </c:pt>
                <c:pt idx="1515">
                  <c:v>-17584</c:v>
                </c:pt>
                <c:pt idx="1516">
                  <c:v>-19379</c:v>
                </c:pt>
                <c:pt idx="1517">
                  <c:v>-20648</c:v>
                </c:pt>
                <c:pt idx="1518">
                  <c:v>-17043</c:v>
                </c:pt>
                <c:pt idx="1519">
                  <c:v>-8889</c:v>
                </c:pt>
                <c:pt idx="1520">
                  <c:v>-11376</c:v>
                </c:pt>
                <c:pt idx="1521">
                  <c:v>-14182</c:v>
                </c:pt>
                <c:pt idx="1522">
                  <c:v>-12053</c:v>
                </c:pt>
                <c:pt idx="1523">
                  <c:v>-8336</c:v>
                </c:pt>
                <c:pt idx="1524">
                  <c:v>-9227</c:v>
                </c:pt>
                <c:pt idx="1525">
                  <c:v>-10718</c:v>
                </c:pt>
                <c:pt idx="1526">
                  <c:v>-9529</c:v>
                </c:pt>
                <c:pt idx="1527">
                  <c:v>-7660</c:v>
                </c:pt>
                <c:pt idx="1528">
                  <c:v>-10810</c:v>
                </c:pt>
                <c:pt idx="1529">
                  <c:v>-8796</c:v>
                </c:pt>
                <c:pt idx="1530">
                  <c:v>-8239</c:v>
                </c:pt>
                <c:pt idx="1531">
                  <c:v>-9399</c:v>
                </c:pt>
                <c:pt idx="1532">
                  <c:v>-9715</c:v>
                </c:pt>
                <c:pt idx="1533">
                  <c:v>-10987</c:v>
                </c:pt>
                <c:pt idx="1534">
                  <c:v>-15248</c:v>
                </c:pt>
                <c:pt idx="1535">
                  <c:v>-9710</c:v>
                </c:pt>
                <c:pt idx="1536">
                  <c:v>-5229</c:v>
                </c:pt>
                <c:pt idx="1537">
                  <c:v>-8424</c:v>
                </c:pt>
                <c:pt idx="1538">
                  <c:v>-11579</c:v>
                </c:pt>
                <c:pt idx="1539">
                  <c:v>-12393</c:v>
                </c:pt>
                <c:pt idx="1540">
                  <c:v>-13942</c:v>
                </c:pt>
                <c:pt idx="1541">
                  <c:v>-11450</c:v>
                </c:pt>
                <c:pt idx="1542">
                  <c:v>-12869</c:v>
                </c:pt>
                <c:pt idx="1543">
                  <c:v>-13907</c:v>
                </c:pt>
                <c:pt idx="1544">
                  <c:v>-15763</c:v>
                </c:pt>
                <c:pt idx="1545">
                  <c:v>-16592</c:v>
                </c:pt>
                <c:pt idx="1546">
                  <c:v>-19673</c:v>
                </c:pt>
                <c:pt idx="1547">
                  <c:v>-20458</c:v>
                </c:pt>
                <c:pt idx="1548">
                  <c:v>-16132</c:v>
                </c:pt>
                <c:pt idx="1549">
                  <c:v>-6808</c:v>
                </c:pt>
                <c:pt idx="1550">
                  <c:v>-7157</c:v>
                </c:pt>
                <c:pt idx="1551">
                  <c:v>-8591</c:v>
                </c:pt>
                <c:pt idx="1552">
                  <c:v>-10135</c:v>
                </c:pt>
                <c:pt idx="1553">
                  <c:v>-8724</c:v>
                </c:pt>
                <c:pt idx="1554">
                  <c:v>-10912</c:v>
                </c:pt>
                <c:pt idx="1555">
                  <c:v>-11299</c:v>
                </c:pt>
                <c:pt idx="1556">
                  <c:v>-13308</c:v>
                </c:pt>
                <c:pt idx="1557">
                  <c:v>-9782</c:v>
                </c:pt>
                <c:pt idx="1558">
                  <c:v>-5096</c:v>
                </c:pt>
                <c:pt idx="1559">
                  <c:v>-2405</c:v>
                </c:pt>
                <c:pt idx="1560">
                  <c:v>-2262</c:v>
                </c:pt>
                <c:pt idx="1561">
                  <c:v>-4037</c:v>
                </c:pt>
                <c:pt idx="1562">
                  <c:v>-7305</c:v>
                </c:pt>
              </c:numCache>
            </c:numRef>
          </c:val>
          <c:extLst>
            <c:ext xmlns:c16="http://schemas.microsoft.com/office/drawing/2014/chart" uri="{C3380CC4-5D6E-409C-BE32-E72D297353CC}">
              <c16:uniqueId val="{00000000-48E5-4CBC-A542-30D0E2681BDE}"/>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15"/>
          <c:order val="0"/>
          <c:tx>
            <c:strRef>
              <c:f>Database!$F$1</c:f>
              <c:strCache>
                <c:ptCount val="1"/>
                <c:pt idx="0">
                  <c:v>EUR</c:v>
                </c:pt>
              </c:strCache>
            </c:strRef>
          </c:tx>
          <c:spPr>
            <a:ln>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Database!$F$2:$F$1564</c:f>
              <c:numCache>
                <c:formatCode>General</c:formatCode>
                <c:ptCount val="1563"/>
                <c:pt idx="326">
                  <c:v>-240</c:v>
                </c:pt>
                <c:pt idx="327">
                  <c:v>440</c:v>
                </c:pt>
                <c:pt idx="328">
                  <c:v>973</c:v>
                </c:pt>
                <c:pt idx="329">
                  <c:v>986</c:v>
                </c:pt>
                <c:pt idx="330">
                  <c:v>-10354</c:v>
                </c:pt>
                <c:pt idx="331">
                  <c:v>-13123</c:v>
                </c:pt>
                <c:pt idx="332">
                  <c:v>-15031</c:v>
                </c:pt>
                <c:pt idx="333">
                  <c:v>-17145</c:v>
                </c:pt>
                <c:pt idx="334">
                  <c:v>-13574</c:v>
                </c:pt>
                <c:pt idx="335">
                  <c:v>-8944</c:v>
                </c:pt>
                <c:pt idx="336">
                  <c:v>-12004</c:v>
                </c:pt>
                <c:pt idx="337">
                  <c:v>-9129</c:v>
                </c:pt>
                <c:pt idx="338">
                  <c:v>-17277</c:v>
                </c:pt>
                <c:pt idx="339">
                  <c:v>-11042</c:v>
                </c:pt>
                <c:pt idx="340">
                  <c:v>-14160</c:v>
                </c:pt>
                <c:pt idx="341">
                  <c:v>-24502</c:v>
                </c:pt>
                <c:pt idx="342">
                  <c:v>-18858</c:v>
                </c:pt>
                <c:pt idx="343">
                  <c:v>-19180</c:v>
                </c:pt>
                <c:pt idx="344">
                  <c:v>-10700</c:v>
                </c:pt>
                <c:pt idx="345">
                  <c:v>-10563</c:v>
                </c:pt>
                <c:pt idx="346">
                  <c:v>-9512</c:v>
                </c:pt>
                <c:pt idx="347">
                  <c:v>-8008</c:v>
                </c:pt>
                <c:pt idx="348">
                  <c:v>-8974</c:v>
                </c:pt>
                <c:pt idx="349">
                  <c:v>-8523</c:v>
                </c:pt>
                <c:pt idx="350">
                  <c:v>-5322</c:v>
                </c:pt>
                <c:pt idx="351">
                  <c:v>-3868</c:v>
                </c:pt>
                <c:pt idx="352">
                  <c:v>-5711</c:v>
                </c:pt>
                <c:pt idx="353">
                  <c:v>-5312</c:v>
                </c:pt>
                <c:pt idx="354">
                  <c:v>-6007</c:v>
                </c:pt>
                <c:pt idx="355">
                  <c:v>1803</c:v>
                </c:pt>
                <c:pt idx="356">
                  <c:v>7453</c:v>
                </c:pt>
                <c:pt idx="357">
                  <c:v>11901</c:v>
                </c:pt>
                <c:pt idx="358">
                  <c:v>1243</c:v>
                </c:pt>
                <c:pt idx="359">
                  <c:v>605</c:v>
                </c:pt>
                <c:pt idx="360">
                  <c:v>3462</c:v>
                </c:pt>
                <c:pt idx="361">
                  <c:v>1844</c:v>
                </c:pt>
                <c:pt idx="362">
                  <c:v>-2563</c:v>
                </c:pt>
                <c:pt idx="363">
                  <c:v>-1560</c:v>
                </c:pt>
                <c:pt idx="364">
                  <c:v>2233</c:v>
                </c:pt>
                <c:pt idx="365">
                  <c:v>12979</c:v>
                </c:pt>
                <c:pt idx="366">
                  <c:v>13099</c:v>
                </c:pt>
                <c:pt idx="367">
                  <c:v>23385</c:v>
                </c:pt>
                <c:pt idx="368">
                  <c:v>10239</c:v>
                </c:pt>
                <c:pt idx="369">
                  <c:v>-4593</c:v>
                </c:pt>
                <c:pt idx="370">
                  <c:v>-4890</c:v>
                </c:pt>
                <c:pt idx="371">
                  <c:v>-9009</c:v>
                </c:pt>
                <c:pt idx="372">
                  <c:v>-14345</c:v>
                </c:pt>
                <c:pt idx="373">
                  <c:v>-25051</c:v>
                </c:pt>
                <c:pt idx="374">
                  <c:v>-20738</c:v>
                </c:pt>
                <c:pt idx="375">
                  <c:v>-16856</c:v>
                </c:pt>
                <c:pt idx="376">
                  <c:v>-6949</c:v>
                </c:pt>
                <c:pt idx="377">
                  <c:v>-12841</c:v>
                </c:pt>
                <c:pt idx="378">
                  <c:v>-5189</c:v>
                </c:pt>
                <c:pt idx="379">
                  <c:v>8714</c:v>
                </c:pt>
                <c:pt idx="380">
                  <c:v>-8018</c:v>
                </c:pt>
                <c:pt idx="381">
                  <c:v>-13303</c:v>
                </c:pt>
                <c:pt idx="382">
                  <c:v>-23010</c:v>
                </c:pt>
                <c:pt idx="383">
                  <c:v>-16692</c:v>
                </c:pt>
                <c:pt idx="384">
                  <c:v>-5414</c:v>
                </c:pt>
                <c:pt idx="385">
                  <c:v>2644</c:v>
                </c:pt>
                <c:pt idx="386">
                  <c:v>-7591</c:v>
                </c:pt>
                <c:pt idx="387">
                  <c:v>-17953</c:v>
                </c:pt>
                <c:pt idx="388">
                  <c:v>-13639</c:v>
                </c:pt>
                <c:pt idx="389">
                  <c:v>-12025</c:v>
                </c:pt>
                <c:pt idx="390">
                  <c:v>-11640</c:v>
                </c:pt>
                <c:pt idx="391">
                  <c:v>-8524</c:v>
                </c:pt>
                <c:pt idx="392">
                  <c:v>-4856</c:v>
                </c:pt>
                <c:pt idx="393">
                  <c:v>-1664</c:v>
                </c:pt>
                <c:pt idx="394">
                  <c:v>980</c:v>
                </c:pt>
                <c:pt idx="395">
                  <c:v>1649</c:v>
                </c:pt>
                <c:pt idx="396">
                  <c:v>-2179</c:v>
                </c:pt>
                <c:pt idx="397">
                  <c:v>536</c:v>
                </c:pt>
                <c:pt idx="398">
                  <c:v>519</c:v>
                </c:pt>
                <c:pt idx="399">
                  <c:v>6509</c:v>
                </c:pt>
                <c:pt idx="400">
                  <c:v>9951</c:v>
                </c:pt>
                <c:pt idx="401">
                  <c:v>10332</c:v>
                </c:pt>
                <c:pt idx="402">
                  <c:v>9625</c:v>
                </c:pt>
                <c:pt idx="403">
                  <c:v>9061</c:v>
                </c:pt>
                <c:pt idx="404">
                  <c:v>7450</c:v>
                </c:pt>
                <c:pt idx="405">
                  <c:v>10130</c:v>
                </c:pt>
                <c:pt idx="406">
                  <c:v>8045</c:v>
                </c:pt>
                <c:pt idx="407">
                  <c:v>12397</c:v>
                </c:pt>
                <c:pt idx="408">
                  <c:v>10272</c:v>
                </c:pt>
                <c:pt idx="409">
                  <c:v>8362</c:v>
                </c:pt>
                <c:pt idx="410">
                  <c:v>7634</c:v>
                </c:pt>
                <c:pt idx="411">
                  <c:v>3360</c:v>
                </c:pt>
                <c:pt idx="412">
                  <c:v>1206</c:v>
                </c:pt>
                <c:pt idx="413">
                  <c:v>382</c:v>
                </c:pt>
                <c:pt idx="414">
                  <c:v>1174</c:v>
                </c:pt>
                <c:pt idx="415">
                  <c:v>-4237</c:v>
                </c:pt>
                <c:pt idx="416">
                  <c:v>149</c:v>
                </c:pt>
                <c:pt idx="417">
                  <c:v>3393</c:v>
                </c:pt>
                <c:pt idx="418">
                  <c:v>5403</c:v>
                </c:pt>
                <c:pt idx="419">
                  <c:v>1720</c:v>
                </c:pt>
                <c:pt idx="420">
                  <c:v>1833</c:v>
                </c:pt>
                <c:pt idx="421">
                  <c:v>2173</c:v>
                </c:pt>
                <c:pt idx="422">
                  <c:v>3778</c:v>
                </c:pt>
                <c:pt idx="423">
                  <c:v>2735</c:v>
                </c:pt>
                <c:pt idx="424">
                  <c:v>5908</c:v>
                </c:pt>
                <c:pt idx="425">
                  <c:v>6941</c:v>
                </c:pt>
                <c:pt idx="426">
                  <c:v>16028</c:v>
                </c:pt>
                <c:pt idx="427">
                  <c:v>19532</c:v>
                </c:pt>
                <c:pt idx="428">
                  <c:v>21814</c:v>
                </c:pt>
                <c:pt idx="429">
                  <c:v>26380</c:v>
                </c:pt>
                <c:pt idx="430">
                  <c:v>27074</c:v>
                </c:pt>
                <c:pt idx="431">
                  <c:v>23832</c:v>
                </c:pt>
                <c:pt idx="432">
                  <c:v>20735</c:v>
                </c:pt>
                <c:pt idx="433">
                  <c:v>17242</c:v>
                </c:pt>
                <c:pt idx="434">
                  <c:v>16160</c:v>
                </c:pt>
                <c:pt idx="435">
                  <c:v>14335</c:v>
                </c:pt>
                <c:pt idx="436">
                  <c:v>14702</c:v>
                </c:pt>
                <c:pt idx="437">
                  <c:v>10002</c:v>
                </c:pt>
                <c:pt idx="438">
                  <c:v>9513</c:v>
                </c:pt>
                <c:pt idx="439">
                  <c:v>17064</c:v>
                </c:pt>
                <c:pt idx="440">
                  <c:v>7827</c:v>
                </c:pt>
                <c:pt idx="441">
                  <c:v>2613</c:v>
                </c:pt>
                <c:pt idx="442">
                  <c:v>3884</c:v>
                </c:pt>
                <c:pt idx="443">
                  <c:v>6775</c:v>
                </c:pt>
                <c:pt idx="444">
                  <c:v>5745</c:v>
                </c:pt>
                <c:pt idx="445">
                  <c:v>4993</c:v>
                </c:pt>
                <c:pt idx="446">
                  <c:v>7303</c:v>
                </c:pt>
                <c:pt idx="447">
                  <c:v>6044</c:v>
                </c:pt>
                <c:pt idx="448">
                  <c:v>4354</c:v>
                </c:pt>
                <c:pt idx="449">
                  <c:v>3408</c:v>
                </c:pt>
                <c:pt idx="450">
                  <c:v>-5453</c:v>
                </c:pt>
                <c:pt idx="451">
                  <c:v>-2931</c:v>
                </c:pt>
                <c:pt idx="452">
                  <c:v>-4813</c:v>
                </c:pt>
                <c:pt idx="453">
                  <c:v>-4588</c:v>
                </c:pt>
                <c:pt idx="454">
                  <c:v>3633</c:v>
                </c:pt>
                <c:pt idx="455">
                  <c:v>3175</c:v>
                </c:pt>
                <c:pt idx="456">
                  <c:v>3246</c:v>
                </c:pt>
                <c:pt idx="457">
                  <c:v>6651</c:v>
                </c:pt>
                <c:pt idx="458">
                  <c:v>9043</c:v>
                </c:pt>
                <c:pt idx="459">
                  <c:v>14291</c:v>
                </c:pt>
                <c:pt idx="460">
                  <c:v>16083</c:v>
                </c:pt>
                <c:pt idx="461">
                  <c:v>16640</c:v>
                </c:pt>
                <c:pt idx="462">
                  <c:v>24353</c:v>
                </c:pt>
                <c:pt idx="463">
                  <c:v>28970</c:v>
                </c:pt>
                <c:pt idx="464">
                  <c:v>29505</c:v>
                </c:pt>
                <c:pt idx="465">
                  <c:v>21821</c:v>
                </c:pt>
                <c:pt idx="466">
                  <c:v>17849</c:v>
                </c:pt>
                <c:pt idx="467">
                  <c:v>24437</c:v>
                </c:pt>
                <c:pt idx="468">
                  <c:v>27848</c:v>
                </c:pt>
                <c:pt idx="469">
                  <c:v>24952</c:v>
                </c:pt>
                <c:pt idx="470">
                  <c:v>22441</c:v>
                </c:pt>
                <c:pt idx="471">
                  <c:v>17616</c:v>
                </c:pt>
                <c:pt idx="472">
                  <c:v>9390</c:v>
                </c:pt>
                <c:pt idx="473">
                  <c:v>16686</c:v>
                </c:pt>
                <c:pt idx="474">
                  <c:v>15352</c:v>
                </c:pt>
                <c:pt idx="475">
                  <c:v>484</c:v>
                </c:pt>
                <c:pt idx="476">
                  <c:v>-286</c:v>
                </c:pt>
                <c:pt idx="477">
                  <c:v>915</c:v>
                </c:pt>
                <c:pt idx="478">
                  <c:v>13846</c:v>
                </c:pt>
                <c:pt idx="479">
                  <c:v>11906</c:v>
                </c:pt>
                <c:pt idx="480">
                  <c:v>11871</c:v>
                </c:pt>
                <c:pt idx="481">
                  <c:v>11422</c:v>
                </c:pt>
                <c:pt idx="482">
                  <c:v>11182</c:v>
                </c:pt>
                <c:pt idx="483">
                  <c:v>14773</c:v>
                </c:pt>
                <c:pt idx="484">
                  <c:v>12096</c:v>
                </c:pt>
                <c:pt idx="485">
                  <c:v>17289</c:v>
                </c:pt>
                <c:pt idx="486">
                  <c:v>855</c:v>
                </c:pt>
                <c:pt idx="487">
                  <c:v>2323</c:v>
                </c:pt>
                <c:pt idx="488">
                  <c:v>3254</c:v>
                </c:pt>
                <c:pt idx="489">
                  <c:v>8647</c:v>
                </c:pt>
                <c:pt idx="490">
                  <c:v>3133</c:v>
                </c:pt>
                <c:pt idx="491">
                  <c:v>6288</c:v>
                </c:pt>
                <c:pt idx="492">
                  <c:v>15461</c:v>
                </c:pt>
                <c:pt idx="493">
                  <c:v>21256</c:v>
                </c:pt>
                <c:pt idx="494">
                  <c:v>23293</c:v>
                </c:pt>
                <c:pt idx="495">
                  <c:v>26158</c:v>
                </c:pt>
                <c:pt idx="496">
                  <c:v>19441</c:v>
                </c:pt>
                <c:pt idx="497">
                  <c:v>27627</c:v>
                </c:pt>
                <c:pt idx="498">
                  <c:v>29623</c:v>
                </c:pt>
                <c:pt idx="499">
                  <c:v>31472</c:v>
                </c:pt>
                <c:pt idx="500">
                  <c:v>35433</c:v>
                </c:pt>
                <c:pt idx="501">
                  <c:v>34600</c:v>
                </c:pt>
                <c:pt idx="502">
                  <c:v>31173</c:v>
                </c:pt>
                <c:pt idx="503">
                  <c:v>31725</c:v>
                </c:pt>
                <c:pt idx="504">
                  <c:v>31616</c:v>
                </c:pt>
                <c:pt idx="505">
                  <c:v>28367</c:v>
                </c:pt>
                <c:pt idx="506">
                  <c:v>29457</c:v>
                </c:pt>
                <c:pt idx="507">
                  <c:v>22524</c:v>
                </c:pt>
                <c:pt idx="508">
                  <c:v>24395</c:v>
                </c:pt>
                <c:pt idx="509">
                  <c:v>24082</c:v>
                </c:pt>
                <c:pt idx="510">
                  <c:v>26654</c:v>
                </c:pt>
                <c:pt idx="511">
                  <c:v>25678</c:v>
                </c:pt>
                <c:pt idx="512">
                  <c:v>25483</c:v>
                </c:pt>
                <c:pt idx="513">
                  <c:v>20022</c:v>
                </c:pt>
                <c:pt idx="514">
                  <c:v>19782</c:v>
                </c:pt>
                <c:pt idx="515">
                  <c:v>17863</c:v>
                </c:pt>
                <c:pt idx="516">
                  <c:v>22088</c:v>
                </c:pt>
                <c:pt idx="517">
                  <c:v>25238</c:v>
                </c:pt>
                <c:pt idx="518">
                  <c:v>20351</c:v>
                </c:pt>
                <c:pt idx="519">
                  <c:v>12610</c:v>
                </c:pt>
                <c:pt idx="520">
                  <c:v>14602</c:v>
                </c:pt>
                <c:pt idx="521">
                  <c:v>16937</c:v>
                </c:pt>
                <c:pt idx="522">
                  <c:v>12652</c:v>
                </c:pt>
                <c:pt idx="523">
                  <c:v>21032</c:v>
                </c:pt>
                <c:pt idx="524">
                  <c:v>14068</c:v>
                </c:pt>
                <c:pt idx="525">
                  <c:v>19325</c:v>
                </c:pt>
                <c:pt idx="526">
                  <c:v>31037</c:v>
                </c:pt>
                <c:pt idx="527">
                  <c:v>33277</c:v>
                </c:pt>
                <c:pt idx="528">
                  <c:v>30205</c:v>
                </c:pt>
                <c:pt idx="529">
                  <c:v>28776</c:v>
                </c:pt>
                <c:pt idx="530">
                  <c:v>22876</c:v>
                </c:pt>
                <c:pt idx="531">
                  <c:v>28064</c:v>
                </c:pt>
                <c:pt idx="532">
                  <c:v>30601</c:v>
                </c:pt>
                <c:pt idx="533">
                  <c:v>28127</c:v>
                </c:pt>
                <c:pt idx="534">
                  <c:v>29010</c:v>
                </c:pt>
                <c:pt idx="535">
                  <c:v>28157</c:v>
                </c:pt>
                <c:pt idx="536">
                  <c:v>28773</c:v>
                </c:pt>
                <c:pt idx="537">
                  <c:v>28442</c:v>
                </c:pt>
                <c:pt idx="538">
                  <c:v>26336</c:v>
                </c:pt>
                <c:pt idx="539">
                  <c:v>30666</c:v>
                </c:pt>
                <c:pt idx="540">
                  <c:v>22298</c:v>
                </c:pt>
                <c:pt idx="541">
                  <c:v>25485</c:v>
                </c:pt>
                <c:pt idx="542">
                  <c:v>20063</c:v>
                </c:pt>
                <c:pt idx="543">
                  <c:v>29975</c:v>
                </c:pt>
                <c:pt idx="544">
                  <c:v>30266</c:v>
                </c:pt>
                <c:pt idx="545">
                  <c:v>13339</c:v>
                </c:pt>
                <c:pt idx="546">
                  <c:v>7594</c:v>
                </c:pt>
                <c:pt idx="547">
                  <c:v>10564</c:v>
                </c:pt>
                <c:pt idx="548">
                  <c:v>13145</c:v>
                </c:pt>
                <c:pt idx="549">
                  <c:v>14205</c:v>
                </c:pt>
                <c:pt idx="550">
                  <c:v>24387</c:v>
                </c:pt>
                <c:pt idx="551">
                  <c:v>28005</c:v>
                </c:pt>
                <c:pt idx="552">
                  <c:v>31970</c:v>
                </c:pt>
                <c:pt idx="553">
                  <c:v>24903</c:v>
                </c:pt>
                <c:pt idx="554">
                  <c:v>26898</c:v>
                </c:pt>
                <c:pt idx="555">
                  <c:v>24113</c:v>
                </c:pt>
                <c:pt idx="556">
                  <c:v>30033</c:v>
                </c:pt>
                <c:pt idx="557">
                  <c:v>26262</c:v>
                </c:pt>
                <c:pt idx="558">
                  <c:v>28123</c:v>
                </c:pt>
                <c:pt idx="559">
                  <c:v>23470</c:v>
                </c:pt>
                <c:pt idx="560">
                  <c:v>23630</c:v>
                </c:pt>
                <c:pt idx="561">
                  <c:v>19161</c:v>
                </c:pt>
                <c:pt idx="562">
                  <c:v>16195</c:v>
                </c:pt>
                <c:pt idx="563">
                  <c:v>13153</c:v>
                </c:pt>
                <c:pt idx="564">
                  <c:v>12420</c:v>
                </c:pt>
                <c:pt idx="565">
                  <c:v>13889</c:v>
                </c:pt>
                <c:pt idx="566">
                  <c:v>14702</c:v>
                </c:pt>
                <c:pt idx="567">
                  <c:v>9121</c:v>
                </c:pt>
                <c:pt idx="568">
                  <c:v>2673</c:v>
                </c:pt>
                <c:pt idx="569">
                  <c:v>2129</c:v>
                </c:pt>
                <c:pt idx="570">
                  <c:v>2505</c:v>
                </c:pt>
                <c:pt idx="571">
                  <c:v>4724</c:v>
                </c:pt>
                <c:pt idx="572">
                  <c:v>8777</c:v>
                </c:pt>
                <c:pt idx="573">
                  <c:v>13649</c:v>
                </c:pt>
                <c:pt idx="574">
                  <c:v>20025</c:v>
                </c:pt>
                <c:pt idx="575">
                  <c:v>24994</c:v>
                </c:pt>
                <c:pt idx="576">
                  <c:v>24113</c:v>
                </c:pt>
                <c:pt idx="577">
                  <c:v>24205</c:v>
                </c:pt>
                <c:pt idx="578">
                  <c:v>19573</c:v>
                </c:pt>
                <c:pt idx="579">
                  <c:v>17919</c:v>
                </c:pt>
                <c:pt idx="580">
                  <c:v>34546</c:v>
                </c:pt>
                <c:pt idx="581">
                  <c:v>30497</c:v>
                </c:pt>
                <c:pt idx="582">
                  <c:v>30680</c:v>
                </c:pt>
                <c:pt idx="583">
                  <c:v>27998</c:v>
                </c:pt>
                <c:pt idx="584">
                  <c:v>34783</c:v>
                </c:pt>
                <c:pt idx="585">
                  <c:v>33708</c:v>
                </c:pt>
                <c:pt idx="586">
                  <c:v>33556</c:v>
                </c:pt>
                <c:pt idx="587">
                  <c:v>29910</c:v>
                </c:pt>
                <c:pt idx="588">
                  <c:v>26937</c:v>
                </c:pt>
                <c:pt idx="589">
                  <c:v>28243</c:v>
                </c:pt>
                <c:pt idx="590">
                  <c:v>33298</c:v>
                </c:pt>
                <c:pt idx="591">
                  <c:v>20446</c:v>
                </c:pt>
                <c:pt idx="592">
                  <c:v>26242</c:v>
                </c:pt>
                <c:pt idx="593">
                  <c:v>28409</c:v>
                </c:pt>
                <c:pt idx="594">
                  <c:v>26367</c:v>
                </c:pt>
                <c:pt idx="595">
                  <c:v>17028</c:v>
                </c:pt>
                <c:pt idx="596">
                  <c:v>14065</c:v>
                </c:pt>
                <c:pt idx="597">
                  <c:v>8454</c:v>
                </c:pt>
                <c:pt idx="598">
                  <c:v>10293</c:v>
                </c:pt>
                <c:pt idx="599">
                  <c:v>6174</c:v>
                </c:pt>
                <c:pt idx="600">
                  <c:v>6017</c:v>
                </c:pt>
                <c:pt idx="601">
                  <c:v>5743</c:v>
                </c:pt>
                <c:pt idx="602">
                  <c:v>9799</c:v>
                </c:pt>
                <c:pt idx="603">
                  <c:v>5570</c:v>
                </c:pt>
                <c:pt idx="604">
                  <c:v>6999</c:v>
                </c:pt>
                <c:pt idx="605">
                  <c:v>12478</c:v>
                </c:pt>
                <c:pt idx="606">
                  <c:v>13422</c:v>
                </c:pt>
                <c:pt idx="607">
                  <c:v>18714</c:v>
                </c:pt>
                <c:pt idx="608">
                  <c:v>22194</c:v>
                </c:pt>
                <c:pt idx="609">
                  <c:v>23474</c:v>
                </c:pt>
                <c:pt idx="610">
                  <c:v>16588</c:v>
                </c:pt>
                <c:pt idx="611">
                  <c:v>12079</c:v>
                </c:pt>
                <c:pt idx="612">
                  <c:v>13755</c:v>
                </c:pt>
                <c:pt idx="613">
                  <c:v>19037</c:v>
                </c:pt>
                <c:pt idx="614">
                  <c:v>31012</c:v>
                </c:pt>
                <c:pt idx="615">
                  <c:v>36101</c:v>
                </c:pt>
                <c:pt idx="616">
                  <c:v>16927</c:v>
                </c:pt>
                <c:pt idx="617">
                  <c:v>12242</c:v>
                </c:pt>
                <c:pt idx="618">
                  <c:v>16857</c:v>
                </c:pt>
                <c:pt idx="619">
                  <c:v>25699</c:v>
                </c:pt>
                <c:pt idx="620">
                  <c:v>24616</c:v>
                </c:pt>
                <c:pt idx="621">
                  <c:v>20827</c:v>
                </c:pt>
                <c:pt idx="622">
                  <c:v>18032</c:v>
                </c:pt>
                <c:pt idx="623">
                  <c:v>25858</c:v>
                </c:pt>
                <c:pt idx="624">
                  <c:v>25447</c:v>
                </c:pt>
                <c:pt idx="625">
                  <c:v>32334</c:v>
                </c:pt>
                <c:pt idx="626">
                  <c:v>44811</c:v>
                </c:pt>
                <c:pt idx="627">
                  <c:v>38095</c:v>
                </c:pt>
                <c:pt idx="628">
                  <c:v>36512</c:v>
                </c:pt>
                <c:pt idx="629">
                  <c:v>45531</c:v>
                </c:pt>
                <c:pt idx="630">
                  <c:v>53465</c:v>
                </c:pt>
                <c:pt idx="631">
                  <c:v>57529</c:v>
                </c:pt>
                <c:pt idx="632">
                  <c:v>54028</c:v>
                </c:pt>
                <c:pt idx="633">
                  <c:v>32261</c:v>
                </c:pt>
                <c:pt idx="634">
                  <c:v>24485</c:v>
                </c:pt>
                <c:pt idx="635">
                  <c:v>24114</c:v>
                </c:pt>
                <c:pt idx="636">
                  <c:v>-14542</c:v>
                </c:pt>
                <c:pt idx="637">
                  <c:v>-12164</c:v>
                </c:pt>
                <c:pt idx="638">
                  <c:v>16814</c:v>
                </c:pt>
                <c:pt idx="639">
                  <c:v>11071</c:v>
                </c:pt>
                <c:pt idx="640">
                  <c:v>16181</c:v>
                </c:pt>
                <c:pt idx="641">
                  <c:v>9913</c:v>
                </c:pt>
                <c:pt idx="642">
                  <c:v>768</c:v>
                </c:pt>
                <c:pt idx="643">
                  <c:v>1925</c:v>
                </c:pt>
                <c:pt idx="644">
                  <c:v>-631</c:v>
                </c:pt>
                <c:pt idx="645">
                  <c:v>-245</c:v>
                </c:pt>
                <c:pt idx="646">
                  <c:v>4024</c:v>
                </c:pt>
                <c:pt idx="647">
                  <c:v>33418</c:v>
                </c:pt>
                <c:pt idx="648">
                  <c:v>22590</c:v>
                </c:pt>
                <c:pt idx="649">
                  <c:v>29912</c:v>
                </c:pt>
                <c:pt idx="650">
                  <c:v>27199</c:v>
                </c:pt>
                <c:pt idx="651">
                  <c:v>17753</c:v>
                </c:pt>
                <c:pt idx="652">
                  <c:v>6898</c:v>
                </c:pt>
                <c:pt idx="653">
                  <c:v>5760</c:v>
                </c:pt>
                <c:pt idx="654">
                  <c:v>5021</c:v>
                </c:pt>
                <c:pt idx="655">
                  <c:v>4219</c:v>
                </c:pt>
                <c:pt idx="656">
                  <c:v>4875</c:v>
                </c:pt>
                <c:pt idx="657">
                  <c:v>-1544</c:v>
                </c:pt>
                <c:pt idx="658">
                  <c:v>-13488</c:v>
                </c:pt>
                <c:pt idx="659">
                  <c:v>-15321</c:v>
                </c:pt>
                <c:pt idx="660">
                  <c:v>-18310</c:v>
                </c:pt>
                <c:pt idx="661">
                  <c:v>-17771</c:v>
                </c:pt>
                <c:pt idx="662">
                  <c:v>-19665</c:v>
                </c:pt>
                <c:pt idx="663">
                  <c:v>-21282</c:v>
                </c:pt>
                <c:pt idx="664">
                  <c:v>-14241</c:v>
                </c:pt>
                <c:pt idx="665">
                  <c:v>-24872</c:v>
                </c:pt>
                <c:pt idx="666">
                  <c:v>-7848</c:v>
                </c:pt>
                <c:pt idx="667">
                  <c:v>-11870</c:v>
                </c:pt>
                <c:pt idx="668">
                  <c:v>-8296</c:v>
                </c:pt>
                <c:pt idx="669">
                  <c:v>-191</c:v>
                </c:pt>
                <c:pt idx="670">
                  <c:v>4231</c:v>
                </c:pt>
                <c:pt idx="671">
                  <c:v>584</c:v>
                </c:pt>
                <c:pt idx="672">
                  <c:v>-5766</c:v>
                </c:pt>
                <c:pt idx="673">
                  <c:v>-3619</c:v>
                </c:pt>
                <c:pt idx="674">
                  <c:v>23518</c:v>
                </c:pt>
                <c:pt idx="675">
                  <c:v>7585</c:v>
                </c:pt>
                <c:pt idx="676">
                  <c:v>-1428</c:v>
                </c:pt>
                <c:pt idx="677">
                  <c:v>-1603</c:v>
                </c:pt>
                <c:pt idx="678">
                  <c:v>-1898</c:v>
                </c:pt>
                <c:pt idx="679">
                  <c:v>4792</c:v>
                </c:pt>
                <c:pt idx="680">
                  <c:v>855</c:v>
                </c:pt>
                <c:pt idx="681">
                  <c:v>-2558</c:v>
                </c:pt>
                <c:pt idx="682">
                  <c:v>6998</c:v>
                </c:pt>
                <c:pt idx="683">
                  <c:v>-6627</c:v>
                </c:pt>
                <c:pt idx="684">
                  <c:v>-13222</c:v>
                </c:pt>
                <c:pt idx="685">
                  <c:v>-11127</c:v>
                </c:pt>
                <c:pt idx="686">
                  <c:v>-18132</c:v>
                </c:pt>
                <c:pt idx="687">
                  <c:v>-22572</c:v>
                </c:pt>
                <c:pt idx="688">
                  <c:v>-1063</c:v>
                </c:pt>
                <c:pt idx="689">
                  <c:v>4504</c:v>
                </c:pt>
                <c:pt idx="690">
                  <c:v>4578</c:v>
                </c:pt>
                <c:pt idx="691">
                  <c:v>11231</c:v>
                </c:pt>
                <c:pt idx="692">
                  <c:v>21961</c:v>
                </c:pt>
                <c:pt idx="693">
                  <c:v>21211</c:v>
                </c:pt>
                <c:pt idx="694">
                  <c:v>37464</c:v>
                </c:pt>
                <c:pt idx="695">
                  <c:v>36382</c:v>
                </c:pt>
                <c:pt idx="696">
                  <c:v>18965</c:v>
                </c:pt>
                <c:pt idx="697">
                  <c:v>11956</c:v>
                </c:pt>
                <c:pt idx="698">
                  <c:v>10085</c:v>
                </c:pt>
                <c:pt idx="699">
                  <c:v>18402</c:v>
                </c:pt>
                <c:pt idx="700">
                  <c:v>13878</c:v>
                </c:pt>
                <c:pt idx="701">
                  <c:v>27984</c:v>
                </c:pt>
                <c:pt idx="702">
                  <c:v>41452</c:v>
                </c:pt>
                <c:pt idx="703">
                  <c:v>40811</c:v>
                </c:pt>
                <c:pt idx="704">
                  <c:v>52392</c:v>
                </c:pt>
                <c:pt idx="705">
                  <c:v>41630</c:v>
                </c:pt>
                <c:pt idx="706">
                  <c:v>55342</c:v>
                </c:pt>
                <c:pt idx="707">
                  <c:v>65525</c:v>
                </c:pt>
                <c:pt idx="708">
                  <c:v>74474</c:v>
                </c:pt>
                <c:pt idx="709">
                  <c:v>72911</c:v>
                </c:pt>
                <c:pt idx="710">
                  <c:v>73376</c:v>
                </c:pt>
                <c:pt idx="711">
                  <c:v>72076</c:v>
                </c:pt>
                <c:pt idx="712">
                  <c:v>79884</c:v>
                </c:pt>
                <c:pt idx="713">
                  <c:v>88196</c:v>
                </c:pt>
                <c:pt idx="714">
                  <c:v>61846</c:v>
                </c:pt>
                <c:pt idx="715">
                  <c:v>52490</c:v>
                </c:pt>
                <c:pt idx="716">
                  <c:v>64670</c:v>
                </c:pt>
                <c:pt idx="717">
                  <c:v>68545</c:v>
                </c:pt>
                <c:pt idx="718">
                  <c:v>77895</c:v>
                </c:pt>
                <c:pt idx="719">
                  <c:v>51694</c:v>
                </c:pt>
                <c:pt idx="720">
                  <c:v>50301</c:v>
                </c:pt>
                <c:pt idx="721">
                  <c:v>73429</c:v>
                </c:pt>
                <c:pt idx="722">
                  <c:v>92108</c:v>
                </c:pt>
                <c:pt idx="723">
                  <c:v>90204</c:v>
                </c:pt>
                <c:pt idx="724">
                  <c:v>81470</c:v>
                </c:pt>
                <c:pt idx="725">
                  <c:v>79637</c:v>
                </c:pt>
                <c:pt idx="726">
                  <c:v>75016</c:v>
                </c:pt>
                <c:pt idx="727">
                  <c:v>66717</c:v>
                </c:pt>
                <c:pt idx="728">
                  <c:v>51114</c:v>
                </c:pt>
                <c:pt idx="729">
                  <c:v>49942</c:v>
                </c:pt>
                <c:pt idx="730">
                  <c:v>56217</c:v>
                </c:pt>
                <c:pt idx="731">
                  <c:v>36528</c:v>
                </c:pt>
                <c:pt idx="732">
                  <c:v>26592</c:v>
                </c:pt>
                <c:pt idx="733">
                  <c:v>27151</c:v>
                </c:pt>
                <c:pt idx="734">
                  <c:v>60048</c:v>
                </c:pt>
                <c:pt idx="735">
                  <c:v>68925</c:v>
                </c:pt>
                <c:pt idx="736">
                  <c:v>60475</c:v>
                </c:pt>
                <c:pt idx="737">
                  <c:v>65306</c:v>
                </c:pt>
                <c:pt idx="738">
                  <c:v>89594</c:v>
                </c:pt>
                <c:pt idx="739">
                  <c:v>98265</c:v>
                </c:pt>
                <c:pt idx="740">
                  <c:v>96683</c:v>
                </c:pt>
                <c:pt idx="741">
                  <c:v>91970</c:v>
                </c:pt>
                <c:pt idx="742">
                  <c:v>79970</c:v>
                </c:pt>
                <c:pt idx="743">
                  <c:v>77456</c:v>
                </c:pt>
                <c:pt idx="744">
                  <c:v>75172</c:v>
                </c:pt>
                <c:pt idx="745">
                  <c:v>53542</c:v>
                </c:pt>
                <c:pt idx="746">
                  <c:v>61010</c:v>
                </c:pt>
                <c:pt idx="747">
                  <c:v>62579</c:v>
                </c:pt>
                <c:pt idx="748">
                  <c:v>45330</c:v>
                </c:pt>
                <c:pt idx="749">
                  <c:v>83795</c:v>
                </c:pt>
                <c:pt idx="750">
                  <c:v>99326</c:v>
                </c:pt>
                <c:pt idx="751">
                  <c:v>102598</c:v>
                </c:pt>
                <c:pt idx="752">
                  <c:v>88679</c:v>
                </c:pt>
                <c:pt idx="753">
                  <c:v>96155</c:v>
                </c:pt>
                <c:pt idx="754">
                  <c:v>87956</c:v>
                </c:pt>
                <c:pt idx="755">
                  <c:v>93741</c:v>
                </c:pt>
                <c:pt idx="756">
                  <c:v>95078</c:v>
                </c:pt>
                <c:pt idx="757">
                  <c:v>104394</c:v>
                </c:pt>
                <c:pt idx="758">
                  <c:v>106770</c:v>
                </c:pt>
                <c:pt idx="759">
                  <c:v>111282</c:v>
                </c:pt>
                <c:pt idx="760">
                  <c:v>106688</c:v>
                </c:pt>
                <c:pt idx="761">
                  <c:v>105270</c:v>
                </c:pt>
                <c:pt idx="762">
                  <c:v>119538</c:v>
                </c:pt>
                <c:pt idx="763">
                  <c:v>95287</c:v>
                </c:pt>
                <c:pt idx="764">
                  <c:v>94319</c:v>
                </c:pt>
                <c:pt idx="765">
                  <c:v>84965</c:v>
                </c:pt>
                <c:pt idx="766">
                  <c:v>50638</c:v>
                </c:pt>
                <c:pt idx="767">
                  <c:v>46341</c:v>
                </c:pt>
                <c:pt idx="768">
                  <c:v>67433</c:v>
                </c:pt>
                <c:pt idx="769">
                  <c:v>76524</c:v>
                </c:pt>
                <c:pt idx="770">
                  <c:v>102896</c:v>
                </c:pt>
                <c:pt idx="771">
                  <c:v>99185</c:v>
                </c:pt>
                <c:pt idx="772">
                  <c:v>96415</c:v>
                </c:pt>
                <c:pt idx="773">
                  <c:v>78453</c:v>
                </c:pt>
                <c:pt idx="774">
                  <c:v>79029</c:v>
                </c:pt>
                <c:pt idx="775">
                  <c:v>64674</c:v>
                </c:pt>
                <c:pt idx="776">
                  <c:v>38463</c:v>
                </c:pt>
                <c:pt idx="777">
                  <c:v>42826</c:v>
                </c:pt>
                <c:pt idx="778">
                  <c:v>46645</c:v>
                </c:pt>
                <c:pt idx="779">
                  <c:v>58214</c:v>
                </c:pt>
                <c:pt idx="780">
                  <c:v>86049</c:v>
                </c:pt>
                <c:pt idx="781">
                  <c:v>83448</c:v>
                </c:pt>
                <c:pt idx="782">
                  <c:v>94440</c:v>
                </c:pt>
                <c:pt idx="783">
                  <c:v>87166</c:v>
                </c:pt>
                <c:pt idx="784">
                  <c:v>86604</c:v>
                </c:pt>
                <c:pt idx="785">
                  <c:v>69016</c:v>
                </c:pt>
                <c:pt idx="786">
                  <c:v>68848</c:v>
                </c:pt>
                <c:pt idx="787">
                  <c:v>76048</c:v>
                </c:pt>
                <c:pt idx="788">
                  <c:v>69429</c:v>
                </c:pt>
                <c:pt idx="789">
                  <c:v>70028</c:v>
                </c:pt>
                <c:pt idx="790">
                  <c:v>66556</c:v>
                </c:pt>
                <c:pt idx="791">
                  <c:v>69117</c:v>
                </c:pt>
                <c:pt idx="792">
                  <c:v>63374</c:v>
                </c:pt>
                <c:pt idx="793">
                  <c:v>31149</c:v>
                </c:pt>
                <c:pt idx="794">
                  <c:v>30641</c:v>
                </c:pt>
                <c:pt idx="795">
                  <c:v>36655</c:v>
                </c:pt>
                <c:pt idx="796">
                  <c:v>51902</c:v>
                </c:pt>
                <c:pt idx="797">
                  <c:v>44982</c:v>
                </c:pt>
                <c:pt idx="798">
                  <c:v>23745</c:v>
                </c:pt>
                <c:pt idx="799">
                  <c:v>22456</c:v>
                </c:pt>
                <c:pt idx="800">
                  <c:v>12564</c:v>
                </c:pt>
                <c:pt idx="801">
                  <c:v>10295</c:v>
                </c:pt>
                <c:pt idx="802">
                  <c:v>14730</c:v>
                </c:pt>
                <c:pt idx="803">
                  <c:v>31778</c:v>
                </c:pt>
                <c:pt idx="804">
                  <c:v>32010</c:v>
                </c:pt>
                <c:pt idx="805">
                  <c:v>29099</c:v>
                </c:pt>
                <c:pt idx="806">
                  <c:v>26521</c:v>
                </c:pt>
                <c:pt idx="807">
                  <c:v>42771</c:v>
                </c:pt>
                <c:pt idx="808">
                  <c:v>29072</c:v>
                </c:pt>
                <c:pt idx="809">
                  <c:v>29435</c:v>
                </c:pt>
                <c:pt idx="810">
                  <c:v>20093</c:v>
                </c:pt>
                <c:pt idx="811">
                  <c:v>18907</c:v>
                </c:pt>
                <c:pt idx="812">
                  <c:v>-21315</c:v>
                </c:pt>
                <c:pt idx="813">
                  <c:v>-12512</c:v>
                </c:pt>
                <c:pt idx="814">
                  <c:v>-9499</c:v>
                </c:pt>
                <c:pt idx="815">
                  <c:v>6841</c:v>
                </c:pt>
                <c:pt idx="816">
                  <c:v>-3390</c:v>
                </c:pt>
                <c:pt idx="817">
                  <c:v>-14454</c:v>
                </c:pt>
                <c:pt idx="818">
                  <c:v>-7540</c:v>
                </c:pt>
                <c:pt idx="819">
                  <c:v>-9290</c:v>
                </c:pt>
                <c:pt idx="820">
                  <c:v>1432</c:v>
                </c:pt>
                <c:pt idx="821">
                  <c:v>27683</c:v>
                </c:pt>
                <c:pt idx="822">
                  <c:v>24007</c:v>
                </c:pt>
                <c:pt idx="823">
                  <c:v>23049</c:v>
                </c:pt>
                <c:pt idx="824">
                  <c:v>4071</c:v>
                </c:pt>
                <c:pt idx="825">
                  <c:v>-16218</c:v>
                </c:pt>
                <c:pt idx="826">
                  <c:v>-9447</c:v>
                </c:pt>
                <c:pt idx="827">
                  <c:v>-19427</c:v>
                </c:pt>
                <c:pt idx="828">
                  <c:v>-20364</c:v>
                </c:pt>
                <c:pt idx="829">
                  <c:v>-33778</c:v>
                </c:pt>
                <c:pt idx="830">
                  <c:v>-38623</c:v>
                </c:pt>
                <c:pt idx="831">
                  <c:v>-36432</c:v>
                </c:pt>
                <c:pt idx="832">
                  <c:v>-40654</c:v>
                </c:pt>
                <c:pt idx="833">
                  <c:v>-31057</c:v>
                </c:pt>
                <c:pt idx="834">
                  <c:v>-28932</c:v>
                </c:pt>
                <c:pt idx="835">
                  <c:v>-18662</c:v>
                </c:pt>
                <c:pt idx="836">
                  <c:v>-30100</c:v>
                </c:pt>
                <c:pt idx="837">
                  <c:v>-30620</c:v>
                </c:pt>
                <c:pt idx="838">
                  <c:v>-29052</c:v>
                </c:pt>
                <c:pt idx="839">
                  <c:v>-21433</c:v>
                </c:pt>
                <c:pt idx="840">
                  <c:v>-20621</c:v>
                </c:pt>
                <c:pt idx="841">
                  <c:v>-17358</c:v>
                </c:pt>
                <c:pt idx="842">
                  <c:v>-21478</c:v>
                </c:pt>
                <c:pt idx="843">
                  <c:v>-20197</c:v>
                </c:pt>
                <c:pt idx="844">
                  <c:v>-16668</c:v>
                </c:pt>
                <c:pt idx="845">
                  <c:v>-6626</c:v>
                </c:pt>
                <c:pt idx="846">
                  <c:v>-3645</c:v>
                </c:pt>
                <c:pt idx="847">
                  <c:v>-3204</c:v>
                </c:pt>
                <c:pt idx="848">
                  <c:v>-2375</c:v>
                </c:pt>
                <c:pt idx="849">
                  <c:v>-9348</c:v>
                </c:pt>
                <c:pt idx="850">
                  <c:v>-7580</c:v>
                </c:pt>
                <c:pt idx="851">
                  <c:v>-7489</c:v>
                </c:pt>
                <c:pt idx="852">
                  <c:v>-9052</c:v>
                </c:pt>
                <c:pt idx="853">
                  <c:v>-9994</c:v>
                </c:pt>
                <c:pt idx="854">
                  <c:v>-15437</c:v>
                </c:pt>
                <c:pt idx="855">
                  <c:v>-10081</c:v>
                </c:pt>
                <c:pt idx="856">
                  <c:v>-19431</c:v>
                </c:pt>
                <c:pt idx="857">
                  <c:v>-10232</c:v>
                </c:pt>
                <c:pt idx="858">
                  <c:v>-9039</c:v>
                </c:pt>
                <c:pt idx="859">
                  <c:v>-5458</c:v>
                </c:pt>
                <c:pt idx="860">
                  <c:v>2265</c:v>
                </c:pt>
                <c:pt idx="861">
                  <c:v>3872</c:v>
                </c:pt>
                <c:pt idx="862">
                  <c:v>5575</c:v>
                </c:pt>
                <c:pt idx="863">
                  <c:v>1597</c:v>
                </c:pt>
                <c:pt idx="864">
                  <c:v>-2073</c:v>
                </c:pt>
                <c:pt idx="865">
                  <c:v>3368</c:v>
                </c:pt>
                <c:pt idx="866">
                  <c:v>10415</c:v>
                </c:pt>
                <c:pt idx="867">
                  <c:v>12250</c:v>
                </c:pt>
                <c:pt idx="868">
                  <c:v>15584</c:v>
                </c:pt>
                <c:pt idx="869">
                  <c:v>6793</c:v>
                </c:pt>
                <c:pt idx="870">
                  <c:v>15024</c:v>
                </c:pt>
                <c:pt idx="871">
                  <c:v>12485</c:v>
                </c:pt>
                <c:pt idx="872">
                  <c:v>17423</c:v>
                </c:pt>
                <c:pt idx="873">
                  <c:v>17219</c:v>
                </c:pt>
                <c:pt idx="874">
                  <c:v>10312</c:v>
                </c:pt>
                <c:pt idx="875">
                  <c:v>13899</c:v>
                </c:pt>
                <c:pt idx="876">
                  <c:v>34772</c:v>
                </c:pt>
                <c:pt idx="877">
                  <c:v>20287</c:v>
                </c:pt>
                <c:pt idx="878">
                  <c:v>27106</c:v>
                </c:pt>
                <c:pt idx="879">
                  <c:v>16811</c:v>
                </c:pt>
                <c:pt idx="880">
                  <c:v>5732</c:v>
                </c:pt>
                <c:pt idx="881">
                  <c:v>18171</c:v>
                </c:pt>
                <c:pt idx="882">
                  <c:v>9017</c:v>
                </c:pt>
                <c:pt idx="883">
                  <c:v>18033</c:v>
                </c:pt>
                <c:pt idx="884">
                  <c:v>37772</c:v>
                </c:pt>
                <c:pt idx="885">
                  <c:v>38000</c:v>
                </c:pt>
                <c:pt idx="886">
                  <c:v>39766</c:v>
                </c:pt>
                <c:pt idx="887">
                  <c:v>51045</c:v>
                </c:pt>
                <c:pt idx="888">
                  <c:v>43367</c:v>
                </c:pt>
                <c:pt idx="889">
                  <c:v>36033</c:v>
                </c:pt>
                <c:pt idx="890">
                  <c:v>32869</c:v>
                </c:pt>
                <c:pt idx="891">
                  <c:v>22191</c:v>
                </c:pt>
                <c:pt idx="892">
                  <c:v>25173</c:v>
                </c:pt>
                <c:pt idx="893">
                  <c:v>11956</c:v>
                </c:pt>
                <c:pt idx="894">
                  <c:v>18467</c:v>
                </c:pt>
                <c:pt idx="895">
                  <c:v>22151</c:v>
                </c:pt>
                <c:pt idx="896">
                  <c:v>-511</c:v>
                </c:pt>
                <c:pt idx="897">
                  <c:v>-16448</c:v>
                </c:pt>
                <c:pt idx="898">
                  <c:v>-14327</c:v>
                </c:pt>
                <c:pt idx="899">
                  <c:v>-33797</c:v>
                </c:pt>
                <c:pt idx="900">
                  <c:v>-35788</c:v>
                </c:pt>
                <c:pt idx="901">
                  <c:v>-17917</c:v>
                </c:pt>
                <c:pt idx="902">
                  <c:v>-25282</c:v>
                </c:pt>
                <c:pt idx="903">
                  <c:v>-39539</c:v>
                </c:pt>
                <c:pt idx="904">
                  <c:v>-43741</c:v>
                </c:pt>
                <c:pt idx="905">
                  <c:v>-57152</c:v>
                </c:pt>
                <c:pt idx="906">
                  <c:v>-59422</c:v>
                </c:pt>
                <c:pt idx="907">
                  <c:v>-71623</c:v>
                </c:pt>
                <c:pt idx="908">
                  <c:v>-66770</c:v>
                </c:pt>
                <c:pt idx="909">
                  <c:v>-74551</c:v>
                </c:pt>
                <c:pt idx="910">
                  <c:v>-46341</c:v>
                </c:pt>
                <c:pt idx="911">
                  <c:v>-74917</c:v>
                </c:pt>
                <c:pt idx="912">
                  <c:v>-85326</c:v>
                </c:pt>
                <c:pt idx="913">
                  <c:v>-67223</c:v>
                </c:pt>
                <c:pt idx="914">
                  <c:v>-55464</c:v>
                </c:pt>
                <c:pt idx="915">
                  <c:v>-71424</c:v>
                </c:pt>
                <c:pt idx="916">
                  <c:v>-89013</c:v>
                </c:pt>
                <c:pt idx="917">
                  <c:v>-103402</c:v>
                </c:pt>
                <c:pt idx="918">
                  <c:v>-113890</c:v>
                </c:pt>
                <c:pt idx="919">
                  <c:v>-107143</c:v>
                </c:pt>
                <c:pt idx="920">
                  <c:v>-106736</c:v>
                </c:pt>
                <c:pt idx="921">
                  <c:v>-93325</c:v>
                </c:pt>
                <c:pt idx="922">
                  <c:v>-111945</c:v>
                </c:pt>
                <c:pt idx="923">
                  <c:v>-62360</c:v>
                </c:pt>
                <c:pt idx="924">
                  <c:v>-70974</c:v>
                </c:pt>
                <c:pt idx="925">
                  <c:v>-73670</c:v>
                </c:pt>
                <c:pt idx="926">
                  <c:v>-38909</c:v>
                </c:pt>
                <c:pt idx="927">
                  <c:v>-27050</c:v>
                </c:pt>
                <c:pt idx="928">
                  <c:v>-24251</c:v>
                </c:pt>
                <c:pt idx="929">
                  <c:v>-21339</c:v>
                </c:pt>
                <c:pt idx="930">
                  <c:v>-7297</c:v>
                </c:pt>
                <c:pt idx="931">
                  <c:v>-3731</c:v>
                </c:pt>
                <c:pt idx="932">
                  <c:v>-14627</c:v>
                </c:pt>
                <c:pt idx="933">
                  <c:v>-21603</c:v>
                </c:pt>
                <c:pt idx="934">
                  <c:v>-25569</c:v>
                </c:pt>
                <c:pt idx="935">
                  <c:v>-23699</c:v>
                </c:pt>
                <c:pt idx="936">
                  <c:v>-9644</c:v>
                </c:pt>
                <c:pt idx="937">
                  <c:v>5097</c:v>
                </c:pt>
                <c:pt idx="938">
                  <c:v>35330</c:v>
                </c:pt>
                <c:pt idx="939">
                  <c:v>48243</c:v>
                </c:pt>
                <c:pt idx="940">
                  <c:v>41511</c:v>
                </c:pt>
                <c:pt idx="941">
                  <c:v>46748</c:v>
                </c:pt>
                <c:pt idx="942">
                  <c:v>40505</c:v>
                </c:pt>
                <c:pt idx="943">
                  <c:v>38610</c:v>
                </c:pt>
                <c:pt idx="944">
                  <c:v>23283</c:v>
                </c:pt>
                <c:pt idx="945">
                  <c:v>8606</c:v>
                </c:pt>
                <c:pt idx="946">
                  <c:v>-8293</c:v>
                </c:pt>
                <c:pt idx="947">
                  <c:v>-7248</c:v>
                </c:pt>
                <c:pt idx="948">
                  <c:v>-15290</c:v>
                </c:pt>
                <c:pt idx="949">
                  <c:v>-10304</c:v>
                </c:pt>
                <c:pt idx="950">
                  <c:v>-14093</c:v>
                </c:pt>
                <c:pt idx="951">
                  <c:v>-26479</c:v>
                </c:pt>
                <c:pt idx="952">
                  <c:v>-24201</c:v>
                </c:pt>
                <c:pt idx="953">
                  <c:v>-45182</c:v>
                </c:pt>
                <c:pt idx="954">
                  <c:v>4109</c:v>
                </c:pt>
                <c:pt idx="955">
                  <c:v>22901</c:v>
                </c:pt>
                <c:pt idx="956">
                  <c:v>39934</c:v>
                </c:pt>
                <c:pt idx="957">
                  <c:v>34734</c:v>
                </c:pt>
                <c:pt idx="958">
                  <c:v>32464</c:v>
                </c:pt>
                <c:pt idx="959">
                  <c:v>45598</c:v>
                </c:pt>
                <c:pt idx="960">
                  <c:v>51308</c:v>
                </c:pt>
                <c:pt idx="961">
                  <c:v>62294</c:v>
                </c:pt>
                <c:pt idx="962">
                  <c:v>46316</c:v>
                </c:pt>
                <c:pt idx="963">
                  <c:v>48353</c:v>
                </c:pt>
                <c:pt idx="964">
                  <c:v>56630</c:v>
                </c:pt>
                <c:pt idx="965">
                  <c:v>59857</c:v>
                </c:pt>
                <c:pt idx="966">
                  <c:v>64985</c:v>
                </c:pt>
                <c:pt idx="967">
                  <c:v>62195</c:v>
                </c:pt>
                <c:pt idx="968">
                  <c:v>68279</c:v>
                </c:pt>
                <c:pt idx="969">
                  <c:v>99516</c:v>
                </c:pt>
                <c:pt idx="970">
                  <c:v>61447</c:v>
                </c:pt>
                <c:pt idx="971">
                  <c:v>41645</c:v>
                </c:pt>
                <c:pt idx="972">
                  <c:v>19129</c:v>
                </c:pt>
                <c:pt idx="973">
                  <c:v>21970</c:v>
                </c:pt>
                <c:pt idx="974">
                  <c:v>51836</c:v>
                </c:pt>
                <c:pt idx="975">
                  <c:v>49894</c:v>
                </c:pt>
                <c:pt idx="976">
                  <c:v>29771</c:v>
                </c:pt>
                <c:pt idx="977">
                  <c:v>32987</c:v>
                </c:pt>
                <c:pt idx="978">
                  <c:v>43194</c:v>
                </c:pt>
                <c:pt idx="979">
                  <c:v>12416</c:v>
                </c:pt>
                <c:pt idx="980">
                  <c:v>9246</c:v>
                </c:pt>
                <c:pt idx="981">
                  <c:v>17038</c:v>
                </c:pt>
                <c:pt idx="982">
                  <c:v>1763</c:v>
                </c:pt>
                <c:pt idx="983">
                  <c:v>-8273</c:v>
                </c:pt>
                <c:pt idx="984">
                  <c:v>6726</c:v>
                </c:pt>
                <c:pt idx="985">
                  <c:v>2539</c:v>
                </c:pt>
                <c:pt idx="986">
                  <c:v>-384</c:v>
                </c:pt>
                <c:pt idx="987">
                  <c:v>-36443</c:v>
                </c:pt>
                <c:pt idx="988">
                  <c:v>-54459</c:v>
                </c:pt>
                <c:pt idx="989">
                  <c:v>-79460</c:v>
                </c:pt>
                <c:pt idx="990">
                  <c:v>-82473</c:v>
                </c:pt>
                <c:pt idx="991">
                  <c:v>-82697</c:v>
                </c:pt>
                <c:pt idx="992">
                  <c:v>-73795</c:v>
                </c:pt>
                <c:pt idx="993">
                  <c:v>-77720</c:v>
                </c:pt>
                <c:pt idx="994">
                  <c:v>-76512</c:v>
                </c:pt>
                <c:pt idx="995">
                  <c:v>-60060</c:v>
                </c:pt>
                <c:pt idx="996">
                  <c:v>-54257</c:v>
                </c:pt>
                <c:pt idx="997">
                  <c:v>-76147</c:v>
                </c:pt>
                <c:pt idx="998">
                  <c:v>-85068</c:v>
                </c:pt>
                <c:pt idx="999">
                  <c:v>-104302</c:v>
                </c:pt>
                <c:pt idx="1000">
                  <c:v>-95814</c:v>
                </c:pt>
                <c:pt idx="1001">
                  <c:v>-116457</c:v>
                </c:pt>
                <c:pt idx="1002">
                  <c:v>-113697</c:v>
                </c:pt>
                <c:pt idx="1003">
                  <c:v>-127879</c:v>
                </c:pt>
                <c:pt idx="1004">
                  <c:v>-138909</c:v>
                </c:pt>
                <c:pt idx="1005">
                  <c:v>-155195</c:v>
                </c:pt>
                <c:pt idx="1006">
                  <c:v>-160030</c:v>
                </c:pt>
                <c:pt idx="1007">
                  <c:v>-171347</c:v>
                </c:pt>
                <c:pt idx="1008">
                  <c:v>-157546</c:v>
                </c:pt>
                <c:pt idx="1009">
                  <c:v>-140593</c:v>
                </c:pt>
                <c:pt idx="1010">
                  <c:v>-148641</c:v>
                </c:pt>
                <c:pt idx="1011">
                  <c:v>-142159</c:v>
                </c:pt>
                <c:pt idx="1012">
                  <c:v>-109674</c:v>
                </c:pt>
                <c:pt idx="1013">
                  <c:v>-116473</c:v>
                </c:pt>
                <c:pt idx="1014">
                  <c:v>-99336</c:v>
                </c:pt>
                <c:pt idx="1015">
                  <c:v>-82954</c:v>
                </c:pt>
                <c:pt idx="1016">
                  <c:v>-89129</c:v>
                </c:pt>
                <c:pt idx="1017">
                  <c:v>-79480</c:v>
                </c:pt>
                <c:pt idx="1018">
                  <c:v>-101364</c:v>
                </c:pt>
                <c:pt idx="1019">
                  <c:v>-118125</c:v>
                </c:pt>
                <c:pt idx="1020">
                  <c:v>-113367</c:v>
                </c:pt>
                <c:pt idx="1021">
                  <c:v>-106990</c:v>
                </c:pt>
                <c:pt idx="1022">
                  <c:v>-143984</c:v>
                </c:pt>
                <c:pt idx="1023">
                  <c:v>-173869</c:v>
                </c:pt>
                <c:pt idx="1024">
                  <c:v>-195361</c:v>
                </c:pt>
                <c:pt idx="1025">
                  <c:v>-203415</c:v>
                </c:pt>
                <c:pt idx="1026">
                  <c:v>-214418</c:v>
                </c:pt>
                <c:pt idx="1027">
                  <c:v>-195187</c:v>
                </c:pt>
                <c:pt idx="1028">
                  <c:v>-141066</c:v>
                </c:pt>
                <c:pt idx="1029">
                  <c:v>-159880</c:v>
                </c:pt>
                <c:pt idx="1030">
                  <c:v>-146177</c:v>
                </c:pt>
                <c:pt idx="1031">
                  <c:v>-165705</c:v>
                </c:pt>
                <c:pt idx="1032">
                  <c:v>-167249</c:v>
                </c:pt>
                <c:pt idx="1033">
                  <c:v>-155066</c:v>
                </c:pt>
                <c:pt idx="1034">
                  <c:v>-138994</c:v>
                </c:pt>
                <c:pt idx="1035">
                  <c:v>-131711</c:v>
                </c:pt>
                <c:pt idx="1036">
                  <c:v>-137810</c:v>
                </c:pt>
                <c:pt idx="1037">
                  <c:v>-123932</c:v>
                </c:pt>
                <c:pt idx="1038">
                  <c:v>-101561</c:v>
                </c:pt>
                <c:pt idx="1039">
                  <c:v>-102306</c:v>
                </c:pt>
                <c:pt idx="1040">
                  <c:v>-93658</c:v>
                </c:pt>
                <c:pt idx="1041">
                  <c:v>-73482</c:v>
                </c:pt>
                <c:pt idx="1042">
                  <c:v>-50238</c:v>
                </c:pt>
                <c:pt idx="1043">
                  <c:v>-50265</c:v>
                </c:pt>
                <c:pt idx="1044">
                  <c:v>-72570</c:v>
                </c:pt>
                <c:pt idx="1045">
                  <c:v>-53495</c:v>
                </c:pt>
                <c:pt idx="1046">
                  <c:v>-55219</c:v>
                </c:pt>
                <c:pt idx="1047">
                  <c:v>-58204</c:v>
                </c:pt>
                <c:pt idx="1048">
                  <c:v>-67141</c:v>
                </c:pt>
                <c:pt idx="1049">
                  <c:v>-83646</c:v>
                </c:pt>
                <c:pt idx="1050">
                  <c:v>-91400</c:v>
                </c:pt>
                <c:pt idx="1051">
                  <c:v>-66693</c:v>
                </c:pt>
                <c:pt idx="1052">
                  <c:v>-32795</c:v>
                </c:pt>
                <c:pt idx="1053">
                  <c:v>-31623</c:v>
                </c:pt>
                <c:pt idx="1054">
                  <c:v>-9736</c:v>
                </c:pt>
                <c:pt idx="1055">
                  <c:v>-2549</c:v>
                </c:pt>
                <c:pt idx="1056">
                  <c:v>5126</c:v>
                </c:pt>
                <c:pt idx="1057">
                  <c:v>-8035</c:v>
                </c:pt>
                <c:pt idx="1058">
                  <c:v>7315</c:v>
                </c:pt>
                <c:pt idx="1059">
                  <c:v>21381</c:v>
                </c:pt>
                <c:pt idx="1060">
                  <c:v>27472</c:v>
                </c:pt>
                <c:pt idx="1061">
                  <c:v>37952</c:v>
                </c:pt>
                <c:pt idx="1062">
                  <c:v>24181</c:v>
                </c:pt>
                <c:pt idx="1063">
                  <c:v>19103</c:v>
                </c:pt>
                <c:pt idx="1064">
                  <c:v>-9394</c:v>
                </c:pt>
                <c:pt idx="1065">
                  <c:v>-26116</c:v>
                </c:pt>
                <c:pt idx="1066">
                  <c:v>-24787</c:v>
                </c:pt>
                <c:pt idx="1067">
                  <c:v>-44884</c:v>
                </c:pt>
                <c:pt idx="1068">
                  <c:v>-49095</c:v>
                </c:pt>
                <c:pt idx="1069">
                  <c:v>-65701</c:v>
                </c:pt>
                <c:pt idx="1070">
                  <c:v>-50858</c:v>
                </c:pt>
                <c:pt idx="1071">
                  <c:v>-29764</c:v>
                </c:pt>
                <c:pt idx="1072">
                  <c:v>-34275</c:v>
                </c:pt>
                <c:pt idx="1073">
                  <c:v>-30149</c:v>
                </c:pt>
                <c:pt idx="1074">
                  <c:v>-33533</c:v>
                </c:pt>
                <c:pt idx="1075">
                  <c:v>-46921</c:v>
                </c:pt>
                <c:pt idx="1076">
                  <c:v>-80949</c:v>
                </c:pt>
                <c:pt idx="1077">
                  <c:v>-84644</c:v>
                </c:pt>
                <c:pt idx="1078">
                  <c:v>-51621</c:v>
                </c:pt>
                <c:pt idx="1079">
                  <c:v>-7533</c:v>
                </c:pt>
                <c:pt idx="1080">
                  <c:v>20030</c:v>
                </c:pt>
                <c:pt idx="1081">
                  <c:v>17357</c:v>
                </c:pt>
                <c:pt idx="1082">
                  <c:v>-16090</c:v>
                </c:pt>
                <c:pt idx="1083">
                  <c:v>-40900</c:v>
                </c:pt>
                <c:pt idx="1084">
                  <c:v>-37165</c:v>
                </c:pt>
                <c:pt idx="1085">
                  <c:v>-27900</c:v>
                </c:pt>
                <c:pt idx="1086">
                  <c:v>-8504</c:v>
                </c:pt>
                <c:pt idx="1087">
                  <c:v>6061</c:v>
                </c:pt>
                <c:pt idx="1088">
                  <c:v>16057</c:v>
                </c:pt>
                <c:pt idx="1089">
                  <c:v>36746</c:v>
                </c:pt>
                <c:pt idx="1090">
                  <c:v>40081</c:v>
                </c:pt>
                <c:pt idx="1091">
                  <c:v>22738</c:v>
                </c:pt>
                <c:pt idx="1092">
                  <c:v>12696</c:v>
                </c:pt>
                <c:pt idx="1093">
                  <c:v>31907</c:v>
                </c:pt>
                <c:pt idx="1094">
                  <c:v>65844</c:v>
                </c:pt>
                <c:pt idx="1095">
                  <c:v>68276</c:v>
                </c:pt>
                <c:pt idx="1096">
                  <c:v>68683</c:v>
                </c:pt>
                <c:pt idx="1097">
                  <c:v>60374</c:v>
                </c:pt>
                <c:pt idx="1098">
                  <c:v>72434</c:v>
                </c:pt>
                <c:pt idx="1099">
                  <c:v>70617</c:v>
                </c:pt>
                <c:pt idx="1100">
                  <c:v>33143</c:v>
                </c:pt>
                <c:pt idx="1101">
                  <c:v>16826</c:v>
                </c:pt>
                <c:pt idx="1102">
                  <c:v>8911</c:v>
                </c:pt>
                <c:pt idx="1103">
                  <c:v>-431</c:v>
                </c:pt>
                <c:pt idx="1104">
                  <c:v>9312</c:v>
                </c:pt>
                <c:pt idx="1105">
                  <c:v>15930</c:v>
                </c:pt>
                <c:pt idx="1106">
                  <c:v>27923</c:v>
                </c:pt>
                <c:pt idx="1107">
                  <c:v>32172</c:v>
                </c:pt>
                <c:pt idx="1108">
                  <c:v>30589</c:v>
                </c:pt>
                <c:pt idx="1109">
                  <c:v>14498</c:v>
                </c:pt>
                <c:pt idx="1110">
                  <c:v>9246</c:v>
                </c:pt>
                <c:pt idx="1111">
                  <c:v>-3772</c:v>
                </c:pt>
                <c:pt idx="1112">
                  <c:v>14347</c:v>
                </c:pt>
                <c:pt idx="1113">
                  <c:v>-13610</c:v>
                </c:pt>
                <c:pt idx="1114">
                  <c:v>-6929</c:v>
                </c:pt>
                <c:pt idx="1115">
                  <c:v>8599</c:v>
                </c:pt>
                <c:pt idx="1116">
                  <c:v>13900</c:v>
                </c:pt>
                <c:pt idx="1117">
                  <c:v>23452</c:v>
                </c:pt>
                <c:pt idx="1118">
                  <c:v>36385</c:v>
                </c:pt>
                <c:pt idx="1119">
                  <c:v>52991</c:v>
                </c:pt>
                <c:pt idx="1120">
                  <c:v>39634</c:v>
                </c:pt>
                <c:pt idx="1121">
                  <c:v>33238</c:v>
                </c:pt>
                <c:pt idx="1122">
                  <c:v>23300</c:v>
                </c:pt>
                <c:pt idx="1123">
                  <c:v>27688</c:v>
                </c:pt>
                <c:pt idx="1124">
                  <c:v>25774</c:v>
                </c:pt>
                <c:pt idx="1125">
                  <c:v>25734</c:v>
                </c:pt>
                <c:pt idx="1126">
                  <c:v>32551</c:v>
                </c:pt>
                <c:pt idx="1127">
                  <c:v>-2175</c:v>
                </c:pt>
                <c:pt idx="1128">
                  <c:v>-9220</c:v>
                </c:pt>
                <c:pt idx="1129">
                  <c:v>-16633</c:v>
                </c:pt>
                <c:pt idx="1130">
                  <c:v>-33025</c:v>
                </c:pt>
                <c:pt idx="1131">
                  <c:v>-57185</c:v>
                </c:pt>
                <c:pt idx="1132">
                  <c:v>-61835</c:v>
                </c:pt>
                <c:pt idx="1133">
                  <c:v>-57503</c:v>
                </c:pt>
                <c:pt idx="1134">
                  <c:v>-60776</c:v>
                </c:pt>
                <c:pt idx="1135">
                  <c:v>-59265</c:v>
                </c:pt>
                <c:pt idx="1136">
                  <c:v>-62846</c:v>
                </c:pt>
                <c:pt idx="1137">
                  <c:v>-88823</c:v>
                </c:pt>
                <c:pt idx="1138">
                  <c:v>-108075</c:v>
                </c:pt>
                <c:pt idx="1139">
                  <c:v>-128747</c:v>
                </c:pt>
                <c:pt idx="1140">
                  <c:v>-126017</c:v>
                </c:pt>
                <c:pt idx="1141">
                  <c:v>-138825</c:v>
                </c:pt>
                <c:pt idx="1142">
                  <c:v>-150657</c:v>
                </c:pt>
                <c:pt idx="1143">
                  <c:v>-161423</c:v>
                </c:pt>
                <c:pt idx="1144">
                  <c:v>-157505</c:v>
                </c:pt>
                <c:pt idx="1145">
                  <c:v>-137149</c:v>
                </c:pt>
                <c:pt idx="1146">
                  <c:v>-141965</c:v>
                </c:pt>
                <c:pt idx="1147">
                  <c:v>-137525</c:v>
                </c:pt>
                <c:pt idx="1148">
                  <c:v>-146212</c:v>
                </c:pt>
                <c:pt idx="1149">
                  <c:v>-155342</c:v>
                </c:pt>
                <c:pt idx="1150">
                  <c:v>-159371</c:v>
                </c:pt>
                <c:pt idx="1151">
                  <c:v>-165707</c:v>
                </c:pt>
                <c:pt idx="1152">
                  <c:v>-179021</c:v>
                </c:pt>
                <c:pt idx="1153">
                  <c:v>-163893</c:v>
                </c:pt>
                <c:pt idx="1154">
                  <c:v>-168730</c:v>
                </c:pt>
                <c:pt idx="1155">
                  <c:v>-165080</c:v>
                </c:pt>
                <c:pt idx="1156">
                  <c:v>-159279</c:v>
                </c:pt>
                <c:pt idx="1157">
                  <c:v>-136912</c:v>
                </c:pt>
                <c:pt idx="1158">
                  <c:v>-126655</c:v>
                </c:pt>
                <c:pt idx="1159">
                  <c:v>-146604</c:v>
                </c:pt>
                <c:pt idx="1160">
                  <c:v>-152219</c:v>
                </c:pt>
                <c:pt idx="1161">
                  <c:v>-161040</c:v>
                </c:pt>
                <c:pt idx="1162">
                  <c:v>-167851</c:v>
                </c:pt>
                <c:pt idx="1163">
                  <c:v>-180730</c:v>
                </c:pt>
                <c:pt idx="1164">
                  <c:v>-184745</c:v>
                </c:pt>
                <c:pt idx="1165">
                  <c:v>-196309</c:v>
                </c:pt>
                <c:pt idx="1166">
                  <c:v>-194641</c:v>
                </c:pt>
                <c:pt idx="1167">
                  <c:v>-185582</c:v>
                </c:pt>
                <c:pt idx="1168">
                  <c:v>-177736</c:v>
                </c:pt>
                <c:pt idx="1169">
                  <c:v>-172389</c:v>
                </c:pt>
                <c:pt idx="1170">
                  <c:v>-181073</c:v>
                </c:pt>
                <c:pt idx="1171">
                  <c:v>-193774</c:v>
                </c:pt>
                <c:pt idx="1172">
                  <c:v>-220963</c:v>
                </c:pt>
                <c:pt idx="1173">
                  <c:v>-226560</c:v>
                </c:pt>
                <c:pt idx="1174">
                  <c:v>-215258</c:v>
                </c:pt>
                <c:pt idx="1175">
                  <c:v>-212347</c:v>
                </c:pt>
                <c:pt idx="1176">
                  <c:v>-214645</c:v>
                </c:pt>
                <c:pt idx="1177">
                  <c:v>-197766</c:v>
                </c:pt>
                <c:pt idx="1178">
                  <c:v>-190127</c:v>
                </c:pt>
                <c:pt idx="1179">
                  <c:v>-178976</c:v>
                </c:pt>
                <c:pt idx="1180">
                  <c:v>-168339</c:v>
                </c:pt>
                <c:pt idx="1181">
                  <c:v>-171740</c:v>
                </c:pt>
                <c:pt idx="1182">
                  <c:v>-165512</c:v>
                </c:pt>
                <c:pt idx="1183">
                  <c:v>-137974</c:v>
                </c:pt>
                <c:pt idx="1184">
                  <c:v>-89357</c:v>
                </c:pt>
                <c:pt idx="1185">
                  <c:v>-99306</c:v>
                </c:pt>
                <c:pt idx="1186">
                  <c:v>-100035</c:v>
                </c:pt>
                <c:pt idx="1187">
                  <c:v>-99266</c:v>
                </c:pt>
                <c:pt idx="1188">
                  <c:v>-107781</c:v>
                </c:pt>
                <c:pt idx="1189">
                  <c:v>-112976</c:v>
                </c:pt>
                <c:pt idx="1190">
                  <c:v>-104008</c:v>
                </c:pt>
                <c:pt idx="1191">
                  <c:v>-113394</c:v>
                </c:pt>
                <c:pt idx="1192">
                  <c:v>-115210</c:v>
                </c:pt>
                <c:pt idx="1193">
                  <c:v>-92732</c:v>
                </c:pt>
                <c:pt idx="1194">
                  <c:v>-66078</c:v>
                </c:pt>
                <c:pt idx="1195">
                  <c:v>-67857</c:v>
                </c:pt>
                <c:pt idx="1196">
                  <c:v>-81241</c:v>
                </c:pt>
                <c:pt idx="1197">
                  <c:v>-84202</c:v>
                </c:pt>
                <c:pt idx="1198">
                  <c:v>-81033</c:v>
                </c:pt>
                <c:pt idx="1199">
                  <c:v>-87660</c:v>
                </c:pt>
                <c:pt idx="1200">
                  <c:v>-88810</c:v>
                </c:pt>
                <c:pt idx="1201">
                  <c:v>-80576</c:v>
                </c:pt>
                <c:pt idx="1202">
                  <c:v>-62566</c:v>
                </c:pt>
                <c:pt idx="1203">
                  <c:v>-105934</c:v>
                </c:pt>
                <c:pt idx="1204">
                  <c:v>-134334</c:v>
                </c:pt>
                <c:pt idx="1205">
                  <c:v>-142939</c:v>
                </c:pt>
                <c:pt idx="1206">
                  <c:v>-164177</c:v>
                </c:pt>
                <c:pt idx="1207">
                  <c:v>-175484</c:v>
                </c:pt>
                <c:pt idx="1208">
                  <c:v>-182845</c:v>
                </c:pt>
                <c:pt idx="1209">
                  <c:v>-172331</c:v>
                </c:pt>
                <c:pt idx="1210">
                  <c:v>-159961</c:v>
                </c:pt>
                <c:pt idx="1211">
                  <c:v>-161047</c:v>
                </c:pt>
                <c:pt idx="1212">
                  <c:v>-160550</c:v>
                </c:pt>
                <c:pt idx="1213">
                  <c:v>-160643</c:v>
                </c:pt>
                <c:pt idx="1214">
                  <c:v>-146451</c:v>
                </c:pt>
                <c:pt idx="1215">
                  <c:v>-137015</c:v>
                </c:pt>
                <c:pt idx="1216">
                  <c:v>-127215</c:v>
                </c:pt>
                <c:pt idx="1217">
                  <c:v>-87073</c:v>
                </c:pt>
                <c:pt idx="1218">
                  <c:v>-63314</c:v>
                </c:pt>
                <c:pt idx="1219">
                  <c:v>-48205</c:v>
                </c:pt>
                <c:pt idx="1220">
                  <c:v>-46857</c:v>
                </c:pt>
                <c:pt idx="1221">
                  <c:v>-68541</c:v>
                </c:pt>
                <c:pt idx="1222">
                  <c:v>-71907</c:v>
                </c:pt>
                <c:pt idx="1223">
                  <c:v>-77555</c:v>
                </c:pt>
                <c:pt idx="1224">
                  <c:v>-66053</c:v>
                </c:pt>
                <c:pt idx="1225">
                  <c:v>-63811</c:v>
                </c:pt>
                <c:pt idx="1226">
                  <c:v>-53487</c:v>
                </c:pt>
                <c:pt idx="1227">
                  <c:v>-52051</c:v>
                </c:pt>
                <c:pt idx="1228">
                  <c:v>-46917</c:v>
                </c:pt>
                <c:pt idx="1229">
                  <c:v>-39667</c:v>
                </c:pt>
                <c:pt idx="1230">
                  <c:v>-23619</c:v>
                </c:pt>
                <c:pt idx="1231">
                  <c:v>-21872</c:v>
                </c:pt>
                <c:pt idx="1232">
                  <c:v>-22587</c:v>
                </c:pt>
                <c:pt idx="1233">
                  <c:v>-37895</c:v>
                </c:pt>
                <c:pt idx="1234">
                  <c:v>-37654</c:v>
                </c:pt>
                <c:pt idx="1235">
                  <c:v>-67112</c:v>
                </c:pt>
                <c:pt idx="1236">
                  <c:v>-56489</c:v>
                </c:pt>
                <c:pt idx="1237">
                  <c:v>-61346</c:v>
                </c:pt>
                <c:pt idx="1238">
                  <c:v>-61934</c:v>
                </c:pt>
                <c:pt idx="1239">
                  <c:v>-75327</c:v>
                </c:pt>
                <c:pt idx="1240">
                  <c:v>-87660</c:v>
                </c:pt>
                <c:pt idx="1241">
                  <c:v>-99891</c:v>
                </c:pt>
                <c:pt idx="1242">
                  <c:v>-112600</c:v>
                </c:pt>
                <c:pt idx="1243">
                  <c:v>-104103</c:v>
                </c:pt>
                <c:pt idx="1244">
                  <c:v>-98399</c:v>
                </c:pt>
                <c:pt idx="1245">
                  <c:v>-92508</c:v>
                </c:pt>
                <c:pt idx="1246">
                  <c:v>-76658</c:v>
                </c:pt>
                <c:pt idx="1247">
                  <c:v>-81925</c:v>
                </c:pt>
                <c:pt idx="1248">
                  <c:v>-92630</c:v>
                </c:pt>
                <c:pt idx="1249">
                  <c:v>-81475</c:v>
                </c:pt>
                <c:pt idx="1250">
                  <c:v>-85025</c:v>
                </c:pt>
                <c:pt idx="1251">
                  <c:v>-76030</c:v>
                </c:pt>
                <c:pt idx="1252">
                  <c:v>-82059</c:v>
                </c:pt>
                <c:pt idx="1253">
                  <c:v>-93472</c:v>
                </c:pt>
                <c:pt idx="1254">
                  <c:v>-109268</c:v>
                </c:pt>
                <c:pt idx="1255">
                  <c:v>-123856</c:v>
                </c:pt>
                <c:pt idx="1256">
                  <c:v>-137385</c:v>
                </c:pt>
                <c:pt idx="1257">
                  <c:v>-129314</c:v>
                </c:pt>
                <c:pt idx="1258">
                  <c:v>-119182</c:v>
                </c:pt>
                <c:pt idx="1259">
                  <c:v>-119348</c:v>
                </c:pt>
                <c:pt idx="1260">
                  <c:v>-119240</c:v>
                </c:pt>
                <c:pt idx="1261">
                  <c:v>-114556</c:v>
                </c:pt>
                <c:pt idx="1262">
                  <c:v>-87513</c:v>
                </c:pt>
                <c:pt idx="1263">
                  <c:v>-78045</c:v>
                </c:pt>
                <c:pt idx="1264">
                  <c:v>-69408</c:v>
                </c:pt>
                <c:pt idx="1265">
                  <c:v>-70056</c:v>
                </c:pt>
                <c:pt idx="1266">
                  <c:v>-65823</c:v>
                </c:pt>
                <c:pt idx="1267">
                  <c:v>-66500</c:v>
                </c:pt>
                <c:pt idx="1268">
                  <c:v>-52348</c:v>
                </c:pt>
                <c:pt idx="1269">
                  <c:v>-45713</c:v>
                </c:pt>
                <c:pt idx="1270">
                  <c:v>-44951</c:v>
                </c:pt>
                <c:pt idx="1271">
                  <c:v>-46764</c:v>
                </c:pt>
                <c:pt idx="1272">
                  <c:v>-58251</c:v>
                </c:pt>
                <c:pt idx="1273">
                  <c:v>-51164</c:v>
                </c:pt>
                <c:pt idx="1274">
                  <c:v>-59501</c:v>
                </c:pt>
                <c:pt idx="1275">
                  <c:v>-41027</c:v>
                </c:pt>
                <c:pt idx="1276">
                  <c:v>-19662</c:v>
                </c:pt>
                <c:pt idx="1277">
                  <c:v>-7923</c:v>
                </c:pt>
                <c:pt idx="1278">
                  <c:v>-11405</c:v>
                </c:pt>
                <c:pt idx="1279">
                  <c:v>-18956</c:v>
                </c:pt>
                <c:pt idx="1280">
                  <c:v>-21649</c:v>
                </c:pt>
                <c:pt idx="1281">
                  <c:v>-20895</c:v>
                </c:pt>
                <c:pt idx="1282">
                  <c:v>-1653</c:v>
                </c:pt>
                <c:pt idx="1283">
                  <c:v>22399</c:v>
                </c:pt>
                <c:pt idx="1284">
                  <c:v>37604</c:v>
                </c:pt>
                <c:pt idx="1285">
                  <c:v>64845</c:v>
                </c:pt>
                <c:pt idx="1286">
                  <c:v>72869</c:v>
                </c:pt>
                <c:pt idx="1287">
                  <c:v>74009</c:v>
                </c:pt>
                <c:pt idx="1288">
                  <c:v>79053</c:v>
                </c:pt>
                <c:pt idx="1289">
                  <c:v>44852</c:v>
                </c:pt>
                <c:pt idx="1290">
                  <c:v>58695</c:v>
                </c:pt>
                <c:pt idx="1291">
                  <c:v>77464</c:v>
                </c:pt>
                <c:pt idx="1292">
                  <c:v>83788</c:v>
                </c:pt>
                <c:pt idx="1293">
                  <c:v>91321</c:v>
                </c:pt>
                <c:pt idx="1294">
                  <c:v>90842</c:v>
                </c:pt>
                <c:pt idx="1295">
                  <c:v>82637</c:v>
                </c:pt>
                <c:pt idx="1296">
                  <c:v>93685</c:v>
                </c:pt>
                <c:pt idx="1297">
                  <c:v>79267</c:v>
                </c:pt>
                <c:pt idx="1298">
                  <c:v>87976</c:v>
                </c:pt>
                <c:pt idx="1299">
                  <c:v>86519</c:v>
                </c:pt>
                <c:pt idx="1300">
                  <c:v>96309</c:v>
                </c:pt>
                <c:pt idx="1301">
                  <c:v>86058</c:v>
                </c:pt>
                <c:pt idx="1302">
                  <c:v>62753</c:v>
                </c:pt>
                <c:pt idx="1303">
                  <c:v>88167</c:v>
                </c:pt>
                <c:pt idx="1304">
                  <c:v>90833</c:v>
                </c:pt>
                <c:pt idx="1305">
                  <c:v>98079</c:v>
                </c:pt>
                <c:pt idx="1306">
                  <c:v>90452</c:v>
                </c:pt>
                <c:pt idx="1307">
                  <c:v>83504</c:v>
                </c:pt>
                <c:pt idx="1308">
                  <c:v>72097</c:v>
                </c:pt>
                <c:pt idx="1309">
                  <c:v>85455</c:v>
                </c:pt>
                <c:pt idx="1310">
                  <c:v>84586</c:v>
                </c:pt>
                <c:pt idx="1311">
                  <c:v>95437</c:v>
                </c:pt>
                <c:pt idx="1312">
                  <c:v>89681</c:v>
                </c:pt>
                <c:pt idx="1313">
                  <c:v>93106</c:v>
                </c:pt>
                <c:pt idx="1314">
                  <c:v>113889</c:v>
                </c:pt>
                <c:pt idx="1315">
                  <c:v>86224</c:v>
                </c:pt>
                <c:pt idx="1316">
                  <c:v>92148</c:v>
                </c:pt>
                <c:pt idx="1317">
                  <c:v>127868</c:v>
                </c:pt>
                <c:pt idx="1318">
                  <c:v>144691</c:v>
                </c:pt>
                <c:pt idx="1319">
                  <c:v>139490</c:v>
                </c:pt>
                <c:pt idx="1320">
                  <c:v>144717</c:v>
                </c:pt>
                <c:pt idx="1321">
                  <c:v>148742</c:v>
                </c:pt>
                <c:pt idx="1322">
                  <c:v>140823</c:v>
                </c:pt>
                <c:pt idx="1323">
                  <c:v>127289</c:v>
                </c:pt>
                <c:pt idx="1324">
                  <c:v>126126</c:v>
                </c:pt>
                <c:pt idx="1325">
                  <c:v>137977</c:v>
                </c:pt>
                <c:pt idx="1326">
                  <c:v>132972</c:v>
                </c:pt>
                <c:pt idx="1327">
                  <c:v>146380</c:v>
                </c:pt>
                <c:pt idx="1328">
                  <c:v>132739</c:v>
                </c:pt>
                <c:pt idx="1329">
                  <c:v>141064</c:v>
                </c:pt>
                <c:pt idx="1330">
                  <c:v>134381</c:v>
                </c:pt>
                <c:pt idx="1331">
                  <c:v>147463</c:v>
                </c:pt>
                <c:pt idx="1332">
                  <c:v>151476</c:v>
                </c:pt>
                <c:pt idx="1333">
                  <c:v>130594</c:v>
                </c:pt>
                <c:pt idx="1334">
                  <c:v>120568</c:v>
                </c:pt>
                <c:pt idx="1335">
                  <c:v>120505</c:v>
                </c:pt>
                <c:pt idx="1336">
                  <c:v>115114</c:v>
                </c:pt>
                <c:pt idx="1337">
                  <c:v>109744</c:v>
                </c:pt>
                <c:pt idx="1338">
                  <c:v>93037</c:v>
                </c:pt>
                <c:pt idx="1339">
                  <c:v>89236</c:v>
                </c:pt>
                <c:pt idx="1340">
                  <c:v>88225</c:v>
                </c:pt>
                <c:pt idx="1341">
                  <c:v>36118</c:v>
                </c:pt>
                <c:pt idx="1342">
                  <c:v>33904</c:v>
                </c:pt>
                <c:pt idx="1343">
                  <c:v>36747</c:v>
                </c:pt>
                <c:pt idx="1344">
                  <c:v>24357</c:v>
                </c:pt>
                <c:pt idx="1345">
                  <c:v>21407</c:v>
                </c:pt>
                <c:pt idx="1346">
                  <c:v>29640</c:v>
                </c:pt>
                <c:pt idx="1347">
                  <c:v>22825</c:v>
                </c:pt>
                <c:pt idx="1348">
                  <c:v>10565</c:v>
                </c:pt>
                <c:pt idx="1349">
                  <c:v>-1789</c:v>
                </c:pt>
                <c:pt idx="1350">
                  <c:v>-4841</c:v>
                </c:pt>
                <c:pt idx="1351">
                  <c:v>-7219</c:v>
                </c:pt>
                <c:pt idx="1352">
                  <c:v>7963</c:v>
                </c:pt>
                <c:pt idx="1353">
                  <c:v>11170</c:v>
                </c:pt>
                <c:pt idx="1354">
                  <c:v>1666</c:v>
                </c:pt>
                <c:pt idx="1355">
                  <c:v>3696</c:v>
                </c:pt>
                <c:pt idx="1356">
                  <c:v>-7101</c:v>
                </c:pt>
                <c:pt idx="1357">
                  <c:v>-16142</c:v>
                </c:pt>
                <c:pt idx="1358">
                  <c:v>-29344</c:v>
                </c:pt>
                <c:pt idx="1359">
                  <c:v>-30304</c:v>
                </c:pt>
                <c:pt idx="1360">
                  <c:v>-32662</c:v>
                </c:pt>
                <c:pt idx="1361">
                  <c:v>-46843</c:v>
                </c:pt>
                <c:pt idx="1362">
                  <c:v>-37019</c:v>
                </c:pt>
                <c:pt idx="1363">
                  <c:v>-47229</c:v>
                </c:pt>
                <c:pt idx="1364">
                  <c:v>-55071</c:v>
                </c:pt>
                <c:pt idx="1365">
                  <c:v>-60776</c:v>
                </c:pt>
                <c:pt idx="1366">
                  <c:v>-56287</c:v>
                </c:pt>
                <c:pt idx="1367">
                  <c:v>-53124</c:v>
                </c:pt>
                <c:pt idx="1368">
                  <c:v>-58455</c:v>
                </c:pt>
                <c:pt idx="1369">
                  <c:v>-46648</c:v>
                </c:pt>
                <c:pt idx="1370">
                  <c:v>-40533</c:v>
                </c:pt>
                <c:pt idx="1371">
                  <c:v>-32661</c:v>
                </c:pt>
                <c:pt idx="1372">
                  <c:v>-41006</c:v>
                </c:pt>
                <c:pt idx="1373">
                  <c:v>-46474</c:v>
                </c:pt>
                <c:pt idx="1374">
                  <c:v>-51964</c:v>
                </c:pt>
                <c:pt idx="1375">
                  <c:v>-63900</c:v>
                </c:pt>
                <c:pt idx="1376">
                  <c:v>-74934</c:v>
                </c:pt>
                <c:pt idx="1377">
                  <c:v>-72455</c:v>
                </c:pt>
                <c:pt idx="1378">
                  <c:v>-78166</c:v>
                </c:pt>
                <c:pt idx="1379">
                  <c:v>-75745</c:v>
                </c:pt>
                <c:pt idx="1380">
                  <c:v>-77704</c:v>
                </c:pt>
                <c:pt idx="1381">
                  <c:v>-80278</c:v>
                </c:pt>
                <c:pt idx="1382">
                  <c:v>-99184</c:v>
                </c:pt>
                <c:pt idx="1383">
                  <c:v>-102198</c:v>
                </c:pt>
                <c:pt idx="1384">
                  <c:v>-98023</c:v>
                </c:pt>
                <c:pt idx="1385">
                  <c:v>-105418</c:v>
                </c:pt>
                <c:pt idx="1386">
                  <c:v>-105544</c:v>
                </c:pt>
                <c:pt idx="1387">
                  <c:v>-106105</c:v>
                </c:pt>
                <c:pt idx="1388">
                  <c:v>-95301</c:v>
                </c:pt>
                <c:pt idx="1389">
                  <c:v>-101102</c:v>
                </c:pt>
                <c:pt idx="1390">
                  <c:v>-99691</c:v>
                </c:pt>
                <c:pt idx="1391">
                  <c:v>-87551</c:v>
                </c:pt>
                <c:pt idx="1392">
                  <c:v>-86792</c:v>
                </c:pt>
                <c:pt idx="1393">
                  <c:v>-52330</c:v>
                </c:pt>
                <c:pt idx="1394">
                  <c:v>-56295</c:v>
                </c:pt>
                <c:pt idx="1395">
                  <c:v>-31733</c:v>
                </c:pt>
                <c:pt idx="1396">
                  <c:v>-35865</c:v>
                </c:pt>
                <c:pt idx="1397">
                  <c:v>-31351</c:v>
                </c:pt>
                <c:pt idx="1398">
                  <c:v>-39004</c:v>
                </c:pt>
                <c:pt idx="1399">
                  <c:v>-53983</c:v>
                </c:pt>
                <c:pt idx="1400">
                  <c:v>-44010</c:v>
                </c:pt>
                <c:pt idx="1401">
                  <c:v>-46649</c:v>
                </c:pt>
                <c:pt idx="1402">
                  <c:v>-37977</c:v>
                </c:pt>
                <c:pt idx="1403">
                  <c:v>-38804</c:v>
                </c:pt>
                <c:pt idx="1404">
                  <c:v>-49136</c:v>
                </c:pt>
                <c:pt idx="1405">
                  <c:v>-49842</c:v>
                </c:pt>
                <c:pt idx="1406">
                  <c:v>-68559</c:v>
                </c:pt>
                <c:pt idx="1407">
                  <c:v>-60722</c:v>
                </c:pt>
                <c:pt idx="1408">
                  <c:v>-65978</c:v>
                </c:pt>
                <c:pt idx="1409">
                  <c:v>-75413</c:v>
                </c:pt>
                <c:pt idx="1410">
                  <c:v>-76866</c:v>
                </c:pt>
                <c:pt idx="1411">
                  <c:v>-51050</c:v>
                </c:pt>
                <c:pt idx="1412">
                  <c:v>-53355</c:v>
                </c:pt>
                <c:pt idx="1413">
                  <c:v>-60746</c:v>
                </c:pt>
                <c:pt idx="1414">
                  <c:v>-57669</c:v>
                </c:pt>
                <c:pt idx="1415">
                  <c:v>-62503</c:v>
                </c:pt>
                <c:pt idx="1416">
                  <c:v>-61416</c:v>
                </c:pt>
                <c:pt idx="1417">
                  <c:v>-69049</c:v>
                </c:pt>
                <c:pt idx="1418">
                  <c:v>-67643</c:v>
                </c:pt>
                <c:pt idx="1419">
                  <c:v>-65694</c:v>
                </c:pt>
                <c:pt idx="1420">
                  <c:v>-72943</c:v>
                </c:pt>
                <c:pt idx="1421">
                  <c:v>-74345</c:v>
                </c:pt>
                <c:pt idx="1422">
                  <c:v>-61664</c:v>
                </c:pt>
                <c:pt idx="1423">
                  <c:v>-48182</c:v>
                </c:pt>
                <c:pt idx="1424">
                  <c:v>-47019</c:v>
                </c:pt>
                <c:pt idx="1425">
                  <c:v>-58862</c:v>
                </c:pt>
                <c:pt idx="1426">
                  <c:v>-75080</c:v>
                </c:pt>
                <c:pt idx="1427">
                  <c:v>-85669</c:v>
                </c:pt>
                <c:pt idx="1428">
                  <c:v>-91507</c:v>
                </c:pt>
                <c:pt idx="1429">
                  <c:v>-114021</c:v>
                </c:pt>
                <c:pt idx="1430">
                  <c:v>-86703</c:v>
                </c:pt>
                <c:pt idx="1431">
                  <c:v>-12667</c:v>
                </c:pt>
                <c:pt idx="1432">
                  <c:v>32495</c:v>
                </c:pt>
                <c:pt idx="1433">
                  <c:v>61290</c:v>
                </c:pt>
                <c:pt idx="1434">
                  <c:v>74247</c:v>
                </c:pt>
                <c:pt idx="1435">
                  <c:v>79624</c:v>
                </c:pt>
                <c:pt idx="1436">
                  <c:v>86617</c:v>
                </c:pt>
                <c:pt idx="1437">
                  <c:v>87218</c:v>
                </c:pt>
                <c:pt idx="1438">
                  <c:v>79681</c:v>
                </c:pt>
                <c:pt idx="1439">
                  <c:v>76299</c:v>
                </c:pt>
                <c:pt idx="1440">
                  <c:v>78140</c:v>
                </c:pt>
                <c:pt idx="1441">
                  <c:v>72562</c:v>
                </c:pt>
                <c:pt idx="1442">
                  <c:v>75222</c:v>
                </c:pt>
                <c:pt idx="1443">
                  <c:v>81240</c:v>
                </c:pt>
                <c:pt idx="1444">
                  <c:v>95649</c:v>
                </c:pt>
                <c:pt idx="1445">
                  <c:v>117132</c:v>
                </c:pt>
                <c:pt idx="1446">
                  <c:v>118448</c:v>
                </c:pt>
                <c:pt idx="1447">
                  <c:v>98955</c:v>
                </c:pt>
                <c:pt idx="1448">
                  <c:v>103597</c:v>
                </c:pt>
                <c:pt idx="1449">
                  <c:v>110912</c:v>
                </c:pt>
                <c:pt idx="1450">
                  <c:v>125047</c:v>
                </c:pt>
                <c:pt idx="1451">
                  <c:v>157559</c:v>
                </c:pt>
                <c:pt idx="1452">
                  <c:v>180648</c:v>
                </c:pt>
                <c:pt idx="1453">
                  <c:v>199751</c:v>
                </c:pt>
                <c:pt idx="1454">
                  <c:v>196943</c:v>
                </c:pt>
                <c:pt idx="1455">
                  <c:v>211752</c:v>
                </c:pt>
                <c:pt idx="1456">
                  <c:v>196747</c:v>
                </c:pt>
                <c:pt idx="1457">
                  <c:v>196814</c:v>
                </c:pt>
                <c:pt idx="1458">
                  <c:v>178576</c:v>
                </c:pt>
                <c:pt idx="1459">
                  <c:v>190822</c:v>
                </c:pt>
                <c:pt idx="1460">
                  <c:v>188116</c:v>
                </c:pt>
                <c:pt idx="1461">
                  <c:v>174308</c:v>
                </c:pt>
                <c:pt idx="1462">
                  <c:v>168637</c:v>
                </c:pt>
                <c:pt idx="1463">
                  <c:v>165943</c:v>
                </c:pt>
                <c:pt idx="1464">
                  <c:v>155555</c:v>
                </c:pt>
                <c:pt idx="1465">
                  <c:v>140349</c:v>
                </c:pt>
                <c:pt idx="1466">
                  <c:v>135287</c:v>
                </c:pt>
                <c:pt idx="1467">
                  <c:v>133960</c:v>
                </c:pt>
                <c:pt idx="1468">
                  <c:v>138250</c:v>
                </c:pt>
                <c:pt idx="1469">
                  <c:v>139894</c:v>
                </c:pt>
                <c:pt idx="1470">
                  <c:v>156429</c:v>
                </c:pt>
                <c:pt idx="1471">
                  <c:v>141833</c:v>
                </c:pt>
                <c:pt idx="1472">
                  <c:v>143902</c:v>
                </c:pt>
                <c:pt idx="1473">
                  <c:v>143076</c:v>
                </c:pt>
                <c:pt idx="1474">
                  <c:v>142991</c:v>
                </c:pt>
                <c:pt idx="1475">
                  <c:v>155890</c:v>
                </c:pt>
                <c:pt idx="1476">
                  <c:v>163466</c:v>
                </c:pt>
                <c:pt idx="1477">
                  <c:v>165344</c:v>
                </c:pt>
                <c:pt idx="1478">
                  <c:v>137003</c:v>
                </c:pt>
                <c:pt idx="1479">
                  <c:v>140222</c:v>
                </c:pt>
                <c:pt idx="1480">
                  <c:v>140006</c:v>
                </c:pt>
                <c:pt idx="1481">
                  <c:v>138365</c:v>
                </c:pt>
                <c:pt idx="1482">
                  <c:v>125988</c:v>
                </c:pt>
                <c:pt idx="1483">
                  <c:v>101964</c:v>
                </c:pt>
                <c:pt idx="1484">
                  <c:v>89976</c:v>
                </c:pt>
                <c:pt idx="1485">
                  <c:v>93322</c:v>
                </c:pt>
                <c:pt idx="1486">
                  <c:v>73739</c:v>
                </c:pt>
                <c:pt idx="1487">
                  <c:v>67522</c:v>
                </c:pt>
                <c:pt idx="1488">
                  <c:v>66851</c:v>
                </c:pt>
                <c:pt idx="1489">
                  <c:v>80808</c:v>
                </c:pt>
                <c:pt idx="1490">
                  <c:v>80967</c:v>
                </c:pt>
                <c:pt idx="1491">
                  <c:v>84829</c:v>
                </c:pt>
                <c:pt idx="1492">
                  <c:v>93907</c:v>
                </c:pt>
                <c:pt idx="1493">
                  <c:v>99858</c:v>
                </c:pt>
                <c:pt idx="1494">
                  <c:v>104000</c:v>
                </c:pt>
                <c:pt idx="1495">
                  <c:v>109322</c:v>
                </c:pt>
                <c:pt idx="1496">
                  <c:v>107213</c:v>
                </c:pt>
                <c:pt idx="1497">
                  <c:v>118186</c:v>
                </c:pt>
                <c:pt idx="1498">
                  <c:v>89057</c:v>
                </c:pt>
                <c:pt idx="1499">
                  <c:v>87146</c:v>
                </c:pt>
                <c:pt idx="1500">
                  <c:v>77190</c:v>
                </c:pt>
                <c:pt idx="1501">
                  <c:v>59713</c:v>
                </c:pt>
                <c:pt idx="1502">
                  <c:v>45822</c:v>
                </c:pt>
                <c:pt idx="1503">
                  <c:v>38126</c:v>
                </c:pt>
                <c:pt idx="1504">
                  <c:v>38007</c:v>
                </c:pt>
                <c:pt idx="1505">
                  <c:v>33857</c:v>
                </c:pt>
                <c:pt idx="1506">
                  <c:v>57640</c:v>
                </c:pt>
                <c:pt idx="1507">
                  <c:v>24630</c:v>
                </c:pt>
                <c:pt idx="1508">
                  <c:v>10476</c:v>
                </c:pt>
                <c:pt idx="1509">
                  <c:v>26308</c:v>
                </c:pt>
                <c:pt idx="1510">
                  <c:v>27805</c:v>
                </c:pt>
                <c:pt idx="1511">
                  <c:v>12095</c:v>
                </c:pt>
                <c:pt idx="1512">
                  <c:v>872</c:v>
                </c:pt>
                <c:pt idx="1513">
                  <c:v>-22334</c:v>
                </c:pt>
                <c:pt idx="1514">
                  <c:v>-18398</c:v>
                </c:pt>
                <c:pt idx="1515">
                  <c:v>-12107</c:v>
                </c:pt>
                <c:pt idx="1516">
                  <c:v>-11256</c:v>
                </c:pt>
                <c:pt idx="1517">
                  <c:v>-6138</c:v>
                </c:pt>
                <c:pt idx="1518">
                  <c:v>3773</c:v>
                </c:pt>
                <c:pt idx="1519">
                  <c:v>-3826</c:v>
                </c:pt>
                <c:pt idx="1520">
                  <c:v>-16452</c:v>
                </c:pt>
                <c:pt idx="1521">
                  <c:v>-23240</c:v>
                </c:pt>
                <c:pt idx="1522">
                  <c:v>-8299</c:v>
                </c:pt>
                <c:pt idx="1523">
                  <c:v>-11879</c:v>
                </c:pt>
                <c:pt idx="1524">
                  <c:v>-10162</c:v>
                </c:pt>
                <c:pt idx="1525">
                  <c:v>-6634</c:v>
                </c:pt>
                <c:pt idx="1526">
                  <c:v>-11458</c:v>
                </c:pt>
                <c:pt idx="1527">
                  <c:v>-4805</c:v>
                </c:pt>
                <c:pt idx="1528">
                  <c:v>15640</c:v>
                </c:pt>
                <c:pt idx="1529">
                  <c:v>32140</c:v>
                </c:pt>
                <c:pt idx="1530">
                  <c:v>22937</c:v>
                </c:pt>
                <c:pt idx="1531">
                  <c:v>29133</c:v>
                </c:pt>
                <c:pt idx="1532">
                  <c:v>37831</c:v>
                </c:pt>
                <c:pt idx="1533">
                  <c:v>49291</c:v>
                </c:pt>
                <c:pt idx="1534">
                  <c:v>57286</c:v>
                </c:pt>
                <c:pt idx="1535">
                  <c:v>51725</c:v>
                </c:pt>
                <c:pt idx="1536">
                  <c:v>8555</c:v>
                </c:pt>
                <c:pt idx="1537">
                  <c:v>21349</c:v>
                </c:pt>
                <c:pt idx="1538">
                  <c:v>19060</c:v>
                </c:pt>
                <c:pt idx="1539">
                  <c:v>18056</c:v>
                </c:pt>
                <c:pt idx="1540">
                  <c:v>29821</c:v>
                </c:pt>
                <c:pt idx="1541">
                  <c:v>22216</c:v>
                </c:pt>
                <c:pt idx="1542">
                  <c:v>12403</c:v>
                </c:pt>
                <c:pt idx="1543">
                  <c:v>-14637</c:v>
                </c:pt>
                <c:pt idx="1544">
                  <c:v>8687</c:v>
                </c:pt>
                <c:pt idx="1545">
                  <c:v>12181</c:v>
                </c:pt>
                <c:pt idx="1546">
                  <c:v>37827</c:v>
                </c:pt>
                <c:pt idx="1547">
                  <c:v>46523</c:v>
                </c:pt>
                <c:pt idx="1548">
                  <c:v>43597</c:v>
                </c:pt>
                <c:pt idx="1549">
                  <c:v>-11147</c:v>
                </c:pt>
                <c:pt idx="1550">
                  <c:v>-15893</c:v>
                </c:pt>
                <c:pt idx="1551">
                  <c:v>-7786</c:v>
                </c:pt>
                <c:pt idx="1552">
                  <c:v>-13810</c:v>
                </c:pt>
                <c:pt idx="1553">
                  <c:v>-21698</c:v>
                </c:pt>
                <c:pt idx="1554">
                  <c:v>-39294</c:v>
                </c:pt>
                <c:pt idx="1555">
                  <c:v>-38092</c:v>
                </c:pt>
                <c:pt idx="1556">
                  <c:v>-34265</c:v>
                </c:pt>
                <c:pt idx="1557">
                  <c:v>-29628</c:v>
                </c:pt>
                <c:pt idx="1558">
                  <c:v>-37541</c:v>
                </c:pt>
                <c:pt idx="1559">
                  <c:v>-39086</c:v>
                </c:pt>
                <c:pt idx="1560">
                  <c:v>-45078</c:v>
                </c:pt>
                <c:pt idx="1561">
                  <c:v>-33996</c:v>
                </c:pt>
                <c:pt idx="1562">
                  <c:v>-9811</c:v>
                </c:pt>
              </c:numCache>
            </c:numRef>
          </c:val>
          <c:extLst>
            <c:ext xmlns:c16="http://schemas.microsoft.com/office/drawing/2014/chart" uri="{C3380CC4-5D6E-409C-BE32-E72D297353CC}">
              <c16:uniqueId val="{00000000-4FC2-4854-A49D-30CEEFAE53E5}"/>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areaChart>
        <c:grouping val="stacked"/>
        <c:varyColors val="0"/>
        <c:ser>
          <c:idx val="16"/>
          <c:order val="0"/>
          <c:tx>
            <c:strRef>
              <c:f>Database!$G$1</c:f>
              <c:strCache>
                <c:ptCount val="1"/>
                <c:pt idx="0">
                  <c:v>GBP</c:v>
                </c:pt>
              </c:strCache>
            </c:strRef>
          </c:tx>
          <c:spPr>
            <a:ln>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Database!$G$2:$G$1564</c:f>
              <c:numCache>
                <c:formatCode>General</c:formatCode>
                <c:ptCount val="1563"/>
                <c:pt idx="0">
                  <c:v>-7651</c:v>
                </c:pt>
                <c:pt idx="1">
                  <c:v>-7228</c:v>
                </c:pt>
                <c:pt idx="2">
                  <c:v>-6089</c:v>
                </c:pt>
                <c:pt idx="3">
                  <c:v>-7853</c:v>
                </c:pt>
                <c:pt idx="4">
                  <c:v>-8347</c:v>
                </c:pt>
                <c:pt idx="5">
                  <c:v>-7677</c:v>
                </c:pt>
                <c:pt idx="6">
                  <c:v>-8216</c:v>
                </c:pt>
                <c:pt idx="7">
                  <c:v>-8827</c:v>
                </c:pt>
                <c:pt idx="8">
                  <c:v>-6178</c:v>
                </c:pt>
                <c:pt idx="9">
                  <c:v>-1986</c:v>
                </c:pt>
                <c:pt idx="10">
                  <c:v>-1762</c:v>
                </c:pt>
                <c:pt idx="11">
                  <c:v>-4274</c:v>
                </c:pt>
                <c:pt idx="12">
                  <c:v>-10404</c:v>
                </c:pt>
                <c:pt idx="13">
                  <c:v>-8878</c:v>
                </c:pt>
                <c:pt idx="14">
                  <c:v>-2051</c:v>
                </c:pt>
                <c:pt idx="15">
                  <c:v>-1152</c:v>
                </c:pt>
                <c:pt idx="16">
                  <c:v>-1603</c:v>
                </c:pt>
                <c:pt idx="17">
                  <c:v>-8951</c:v>
                </c:pt>
                <c:pt idx="18">
                  <c:v>-11824</c:v>
                </c:pt>
                <c:pt idx="19">
                  <c:v>-13191</c:v>
                </c:pt>
                <c:pt idx="20">
                  <c:v>-13425</c:v>
                </c:pt>
                <c:pt idx="21">
                  <c:v>-13284</c:v>
                </c:pt>
                <c:pt idx="22">
                  <c:v>-11891</c:v>
                </c:pt>
                <c:pt idx="23">
                  <c:v>-9627</c:v>
                </c:pt>
                <c:pt idx="24">
                  <c:v>2004</c:v>
                </c:pt>
                <c:pt idx="25">
                  <c:v>1635</c:v>
                </c:pt>
                <c:pt idx="26">
                  <c:v>4165</c:v>
                </c:pt>
                <c:pt idx="27">
                  <c:v>5694</c:v>
                </c:pt>
                <c:pt idx="28">
                  <c:v>6731</c:v>
                </c:pt>
                <c:pt idx="29">
                  <c:v>10617</c:v>
                </c:pt>
                <c:pt idx="30">
                  <c:v>10445</c:v>
                </c:pt>
                <c:pt idx="31">
                  <c:v>8956</c:v>
                </c:pt>
                <c:pt idx="32">
                  <c:v>5980</c:v>
                </c:pt>
                <c:pt idx="33">
                  <c:v>5837</c:v>
                </c:pt>
                <c:pt idx="34">
                  <c:v>3025</c:v>
                </c:pt>
                <c:pt idx="35">
                  <c:v>-3849</c:v>
                </c:pt>
                <c:pt idx="36">
                  <c:v>-4875</c:v>
                </c:pt>
                <c:pt idx="37">
                  <c:v>-9290</c:v>
                </c:pt>
                <c:pt idx="38">
                  <c:v>-4874</c:v>
                </c:pt>
                <c:pt idx="39">
                  <c:v>-4241</c:v>
                </c:pt>
                <c:pt idx="40">
                  <c:v>-3908</c:v>
                </c:pt>
                <c:pt idx="41">
                  <c:v>-3444</c:v>
                </c:pt>
                <c:pt idx="42">
                  <c:v>-3079</c:v>
                </c:pt>
                <c:pt idx="43">
                  <c:v>-4100</c:v>
                </c:pt>
                <c:pt idx="44">
                  <c:v>-9654</c:v>
                </c:pt>
                <c:pt idx="45">
                  <c:v>-10024</c:v>
                </c:pt>
                <c:pt idx="46">
                  <c:v>626</c:v>
                </c:pt>
                <c:pt idx="47">
                  <c:v>-5909</c:v>
                </c:pt>
                <c:pt idx="48">
                  <c:v>6555</c:v>
                </c:pt>
                <c:pt idx="49">
                  <c:v>7333</c:v>
                </c:pt>
                <c:pt idx="50">
                  <c:v>4459</c:v>
                </c:pt>
                <c:pt idx="51">
                  <c:v>2797</c:v>
                </c:pt>
                <c:pt idx="52">
                  <c:v>1442</c:v>
                </c:pt>
                <c:pt idx="53">
                  <c:v>1081</c:v>
                </c:pt>
                <c:pt idx="54">
                  <c:v>-4785</c:v>
                </c:pt>
                <c:pt idx="55">
                  <c:v>-7490</c:v>
                </c:pt>
                <c:pt idx="56">
                  <c:v>-7598</c:v>
                </c:pt>
                <c:pt idx="57">
                  <c:v>-10135</c:v>
                </c:pt>
                <c:pt idx="58">
                  <c:v>-9187</c:v>
                </c:pt>
                <c:pt idx="59">
                  <c:v>-6968</c:v>
                </c:pt>
                <c:pt idx="60">
                  <c:v>-3152</c:v>
                </c:pt>
                <c:pt idx="61">
                  <c:v>3076</c:v>
                </c:pt>
                <c:pt idx="62">
                  <c:v>5052</c:v>
                </c:pt>
                <c:pt idx="63">
                  <c:v>-838</c:v>
                </c:pt>
                <c:pt idx="64">
                  <c:v>7980</c:v>
                </c:pt>
                <c:pt idx="65">
                  <c:v>-2472</c:v>
                </c:pt>
                <c:pt idx="66">
                  <c:v>-1471</c:v>
                </c:pt>
                <c:pt idx="67">
                  <c:v>8819</c:v>
                </c:pt>
                <c:pt idx="68">
                  <c:v>13027</c:v>
                </c:pt>
                <c:pt idx="69">
                  <c:v>19052</c:v>
                </c:pt>
                <c:pt idx="70">
                  <c:v>-6666</c:v>
                </c:pt>
                <c:pt idx="71">
                  <c:v>-8238</c:v>
                </c:pt>
                <c:pt idx="72">
                  <c:v>-9865</c:v>
                </c:pt>
                <c:pt idx="73">
                  <c:v>-12226</c:v>
                </c:pt>
                <c:pt idx="74">
                  <c:v>-1897</c:v>
                </c:pt>
                <c:pt idx="75">
                  <c:v>612</c:v>
                </c:pt>
                <c:pt idx="76">
                  <c:v>-958</c:v>
                </c:pt>
                <c:pt idx="77">
                  <c:v>-5129</c:v>
                </c:pt>
                <c:pt idx="78">
                  <c:v>-17834</c:v>
                </c:pt>
                <c:pt idx="79">
                  <c:v>-18420</c:v>
                </c:pt>
                <c:pt idx="80">
                  <c:v>-14981</c:v>
                </c:pt>
                <c:pt idx="81">
                  <c:v>6241</c:v>
                </c:pt>
                <c:pt idx="82">
                  <c:v>12382</c:v>
                </c:pt>
                <c:pt idx="83">
                  <c:v>6704</c:v>
                </c:pt>
                <c:pt idx="84">
                  <c:v>7531</c:v>
                </c:pt>
                <c:pt idx="85">
                  <c:v>6780</c:v>
                </c:pt>
                <c:pt idx="86">
                  <c:v>6394</c:v>
                </c:pt>
                <c:pt idx="87">
                  <c:v>5521</c:v>
                </c:pt>
                <c:pt idx="88">
                  <c:v>11692</c:v>
                </c:pt>
                <c:pt idx="89">
                  <c:v>16953</c:v>
                </c:pt>
                <c:pt idx="90">
                  <c:v>16197</c:v>
                </c:pt>
                <c:pt idx="91">
                  <c:v>15147</c:v>
                </c:pt>
                <c:pt idx="92">
                  <c:v>12338</c:v>
                </c:pt>
                <c:pt idx="93">
                  <c:v>9275</c:v>
                </c:pt>
                <c:pt idx="94">
                  <c:v>-4269</c:v>
                </c:pt>
                <c:pt idx="95">
                  <c:v>-4972</c:v>
                </c:pt>
                <c:pt idx="96">
                  <c:v>-4426</c:v>
                </c:pt>
                <c:pt idx="97">
                  <c:v>-3044</c:v>
                </c:pt>
                <c:pt idx="98">
                  <c:v>38</c:v>
                </c:pt>
                <c:pt idx="99">
                  <c:v>-6618</c:v>
                </c:pt>
                <c:pt idx="100">
                  <c:v>-4327</c:v>
                </c:pt>
                <c:pt idx="101">
                  <c:v>4164</c:v>
                </c:pt>
                <c:pt idx="102">
                  <c:v>10314</c:v>
                </c:pt>
                <c:pt idx="103">
                  <c:v>11875</c:v>
                </c:pt>
                <c:pt idx="104">
                  <c:v>12819</c:v>
                </c:pt>
                <c:pt idx="105">
                  <c:v>12949</c:v>
                </c:pt>
                <c:pt idx="106">
                  <c:v>13420</c:v>
                </c:pt>
                <c:pt idx="107">
                  <c:v>14715</c:v>
                </c:pt>
                <c:pt idx="108">
                  <c:v>12479</c:v>
                </c:pt>
                <c:pt idx="109">
                  <c:v>7350</c:v>
                </c:pt>
                <c:pt idx="110">
                  <c:v>-3720</c:v>
                </c:pt>
                <c:pt idx="111">
                  <c:v>-17046</c:v>
                </c:pt>
                <c:pt idx="112">
                  <c:v>-18669</c:v>
                </c:pt>
                <c:pt idx="113">
                  <c:v>-17712</c:v>
                </c:pt>
                <c:pt idx="114">
                  <c:v>-19438</c:v>
                </c:pt>
                <c:pt idx="115">
                  <c:v>-11336</c:v>
                </c:pt>
                <c:pt idx="116">
                  <c:v>-23164</c:v>
                </c:pt>
                <c:pt idx="117">
                  <c:v>-15443</c:v>
                </c:pt>
                <c:pt idx="118">
                  <c:v>-15891</c:v>
                </c:pt>
                <c:pt idx="119">
                  <c:v>-12897</c:v>
                </c:pt>
                <c:pt idx="120">
                  <c:v>-3868</c:v>
                </c:pt>
                <c:pt idx="121">
                  <c:v>-4700</c:v>
                </c:pt>
                <c:pt idx="122">
                  <c:v>-11909</c:v>
                </c:pt>
                <c:pt idx="123">
                  <c:v>-9662</c:v>
                </c:pt>
                <c:pt idx="124">
                  <c:v>-8124</c:v>
                </c:pt>
                <c:pt idx="125">
                  <c:v>-4596</c:v>
                </c:pt>
                <c:pt idx="126">
                  <c:v>8661</c:v>
                </c:pt>
                <c:pt idx="127">
                  <c:v>4108</c:v>
                </c:pt>
                <c:pt idx="128">
                  <c:v>3477</c:v>
                </c:pt>
                <c:pt idx="129">
                  <c:v>3815</c:v>
                </c:pt>
                <c:pt idx="130">
                  <c:v>3732</c:v>
                </c:pt>
                <c:pt idx="131">
                  <c:v>2786</c:v>
                </c:pt>
                <c:pt idx="132">
                  <c:v>3473</c:v>
                </c:pt>
                <c:pt idx="133">
                  <c:v>2821</c:v>
                </c:pt>
                <c:pt idx="134">
                  <c:v>2427</c:v>
                </c:pt>
                <c:pt idx="135">
                  <c:v>1383</c:v>
                </c:pt>
                <c:pt idx="136">
                  <c:v>-10645</c:v>
                </c:pt>
                <c:pt idx="137">
                  <c:v>-10827</c:v>
                </c:pt>
                <c:pt idx="138">
                  <c:v>-6663</c:v>
                </c:pt>
                <c:pt idx="139">
                  <c:v>-6315</c:v>
                </c:pt>
                <c:pt idx="140">
                  <c:v>-6676</c:v>
                </c:pt>
                <c:pt idx="141">
                  <c:v>-2426</c:v>
                </c:pt>
                <c:pt idx="142">
                  <c:v>-4841</c:v>
                </c:pt>
                <c:pt idx="143">
                  <c:v>-5011</c:v>
                </c:pt>
                <c:pt idx="144">
                  <c:v>-5727</c:v>
                </c:pt>
                <c:pt idx="145">
                  <c:v>-5096</c:v>
                </c:pt>
                <c:pt idx="146">
                  <c:v>-6953</c:v>
                </c:pt>
                <c:pt idx="147">
                  <c:v>-1985</c:v>
                </c:pt>
                <c:pt idx="148">
                  <c:v>2824</c:v>
                </c:pt>
                <c:pt idx="149">
                  <c:v>-10450</c:v>
                </c:pt>
                <c:pt idx="150">
                  <c:v>-14645</c:v>
                </c:pt>
                <c:pt idx="151">
                  <c:v>-12982</c:v>
                </c:pt>
                <c:pt idx="152">
                  <c:v>-11932</c:v>
                </c:pt>
                <c:pt idx="153">
                  <c:v>-13621</c:v>
                </c:pt>
                <c:pt idx="154">
                  <c:v>-13549</c:v>
                </c:pt>
                <c:pt idx="155">
                  <c:v>6465</c:v>
                </c:pt>
                <c:pt idx="156">
                  <c:v>6050</c:v>
                </c:pt>
                <c:pt idx="157">
                  <c:v>7967</c:v>
                </c:pt>
                <c:pt idx="158">
                  <c:v>8494</c:v>
                </c:pt>
                <c:pt idx="159">
                  <c:v>8801</c:v>
                </c:pt>
                <c:pt idx="160">
                  <c:v>8387</c:v>
                </c:pt>
                <c:pt idx="161">
                  <c:v>8996</c:v>
                </c:pt>
                <c:pt idx="162">
                  <c:v>-9594</c:v>
                </c:pt>
                <c:pt idx="163">
                  <c:v>-18344</c:v>
                </c:pt>
                <c:pt idx="164">
                  <c:v>-15378</c:v>
                </c:pt>
                <c:pt idx="165">
                  <c:v>-16525</c:v>
                </c:pt>
                <c:pt idx="166">
                  <c:v>-14101</c:v>
                </c:pt>
                <c:pt idx="167">
                  <c:v>-12295</c:v>
                </c:pt>
                <c:pt idx="168">
                  <c:v>-1927</c:v>
                </c:pt>
                <c:pt idx="169">
                  <c:v>4562</c:v>
                </c:pt>
                <c:pt idx="170">
                  <c:v>7619</c:v>
                </c:pt>
                <c:pt idx="171">
                  <c:v>4971</c:v>
                </c:pt>
                <c:pt idx="172">
                  <c:v>-16895</c:v>
                </c:pt>
                <c:pt idx="173">
                  <c:v>-20841</c:v>
                </c:pt>
                <c:pt idx="174">
                  <c:v>-1863</c:v>
                </c:pt>
                <c:pt idx="175">
                  <c:v>1285</c:v>
                </c:pt>
                <c:pt idx="176">
                  <c:v>5746</c:v>
                </c:pt>
                <c:pt idx="177">
                  <c:v>2172</c:v>
                </c:pt>
                <c:pt idx="178">
                  <c:v>-508</c:v>
                </c:pt>
                <c:pt idx="179">
                  <c:v>-9455</c:v>
                </c:pt>
                <c:pt idx="180">
                  <c:v>-6106</c:v>
                </c:pt>
                <c:pt idx="181">
                  <c:v>-5152</c:v>
                </c:pt>
                <c:pt idx="182">
                  <c:v>-8841</c:v>
                </c:pt>
                <c:pt idx="183">
                  <c:v>-9214</c:v>
                </c:pt>
                <c:pt idx="184">
                  <c:v>-17699</c:v>
                </c:pt>
                <c:pt idx="185">
                  <c:v>-10531</c:v>
                </c:pt>
                <c:pt idx="186">
                  <c:v>-11113</c:v>
                </c:pt>
                <c:pt idx="187">
                  <c:v>-10506</c:v>
                </c:pt>
                <c:pt idx="188">
                  <c:v>-438</c:v>
                </c:pt>
                <c:pt idx="189">
                  <c:v>-852</c:v>
                </c:pt>
                <c:pt idx="190">
                  <c:v>44</c:v>
                </c:pt>
                <c:pt idx="191">
                  <c:v>25205</c:v>
                </c:pt>
                <c:pt idx="192">
                  <c:v>22915</c:v>
                </c:pt>
                <c:pt idx="193">
                  <c:v>15193</c:v>
                </c:pt>
                <c:pt idx="194">
                  <c:v>14530</c:v>
                </c:pt>
                <c:pt idx="195">
                  <c:v>16187</c:v>
                </c:pt>
                <c:pt idx="196">
                  <c:v>20190</c:v>
                </c:pt>
                <c:pt idx="197">
                  <c:v>19641</c:v>
                </c:pt>
                <c:pt idx="198">
                  <c:v>13522</c:v>
                </c:pt>
                <c:pt idx="199">
                  <c:v>13676</c:v>
                </c:pt>
                <c:pt idx="200">
                  <c:v>5934</c:v>
                </c:pt>
                <c:pt idx="201">
                  <c:v>4663</c:v>
                </c:pt>
                <c:pt idx="202">
                  <c:v>5440</c:v>
                </c:pt>
                <c:pt idx="203">
                  <c:v>8753</c:v>
                </c:pt>
                <c:pt idx="204">
                  <c:v>18934</c:v>
                </c:pt>
                <c:pt idx="205">
                  <c:v>18027</c:v>
                </c:pt>
                <c:pt idx="206">
                  <c:v>17847</c:v>
                </c:pt>
                <c:pt idx="207">
                  <c:v>16694</c:v>
                </c:pt>
                <c:pt idx="208">
                  <c:v>17986</c:v>
                </c:pt>
                <c:pt idx="209">
                  <c:v>16022</c:v>
                </c:pt>
                <c:pt idx="210">
                  <c:v>22679</c:v>
                </c:pt>
                <c:pt idx="211">
                  <c:v>23331</c:v>
                </c:pt>
                <c:pt idx="212">
                  <c:v>23706</c:v>
                </c:pt>
                <c:pt idx="213">
                  <c:v>22910</c:v>
                </c:pt>
                <c:pt idx="214">
                  <c:v>22791</c:v>
                </c:pt>
                <c:pt idx="215">
                  <c:v>21750</c:v>
                </c:pt>
                <c:pt idx="216">
                  <c:v>20397</c:v>
                </c:pt>
                <c:pt idx="217">
                  <c:v>3519</c:v>
                </c:pt>
                <c:pt idx="218">
                  <c:v>350</c:v>
                </c:pt>
                <c:pt idx="219">
                  <c:v>1278</c:v>
                </c:pt>
                <c:pt idx="220">
                  <c:v>1208</c:v>
                </c:pt>
                <c:pt idx="221">
                  <c:v>16631</c:v>
                </c:pt>
                <c:pt idx="222">
                  <c:v>14728</c:v>
                </c:pt>
                <c:pt idx="223">
                  <c:v>10728</c:v>
                </c:pt>
                <c:pt idx="224">
                  <c:v>10151</c:v>
                </c:pt>
                <c:pt idx="225">
                  <c:v>-7411</c:v>
                </c:pt>
                <c:pt idx="226">
                  <c:v>-11716</c:v>
                </c:pt>
                <c:pt idx="227">
                  <c:v>-8660</c:v>
                </c:pt>
                <c:pt idx="228">
                  <c:v>-9489</c:v>
                </c:pt>
                <c:pt idx="229">
                  <c:v>-8113</c:v>
                </c:pt>
                <c:pt idx="230">
                  <c:v>-7687</c:v>
                </c:pt>
                <c:pt idx="231">
                  <c:v>-12367</c:v>
                </c:pt>
                <c:pt idx="232">
                  <c:v>-13989</c:v>
                </c:pt>
                <c:pt idx="233">
                  <c:v>-10923</c:v>
                </c:pt>
                <c:pt idx="234">
                  <c:v>8318</c:v>
                </c:pt>
                <c:pt idx="235">
                  <c:v>8987</c:v>
                </c:pt>
                <c:pt idx="236">
                  <c:v>8513</c:v>
                </c:pt>
                <c:pt idx="237">
                  <c:v>9534</c:v>
                </c:pt>
                <c:pt idx="238">
                  <c:v>12230</c:v>
                </c:pt>
                <c:pt idx="239">
                  <c:v>8171</c:v>
                </c:pt>
                <c:pt idx="240">
                  <c:v>7370</c:v>
                </c:pt>
                <c:pt idx="241">
                  <c:v>11111</c:v>
                </c:pt>
                <c:pt idx="242">
                  <c:v>10967</c:v>
                </c:pt>
                <c:pt idx="243">
                  <c:v>11174</c:v>
                </c:pt>
                <c:pt idx="244">
                  <c:v>10422</c:v>
                </c:pt>
                <c:pt idx="245">
                  <c:v>12199</c:v>
                </c:pt>
                <c:pt idx="246">
                  <c:v>24302</c:v>
                </c:pt>
                <c:pt idx="247">
                  <c:v>21986</c:v>
                </c:pt>
                <c:pt idx="248">
                  <c:v>27277</c:v>
                </c:pt>
                <c:pt idx="249">
                  <c:v>26956</c:v>
                </c:pt>
                <c:pt idx="250">
                  <c:v>26094</c:v>
                </c:pt>
                <c:pt idx="251">
                  <c:v>-830</c:v>
                </c:pt>
                <c:pt idx="252">
                  <c:v>-5168</c:v>
                </c:pt>
                <c:pt idx="253">
                  <c:v>-12770</c:v>
                </c:pt>
                <c:pt idx="254">
                  <c:v>-13339</c:v>
                </c:pt>
                <c:pt idx="255">
                  <c:v>-11955</c:v>
                </c:pt>
                <c:pt idx="256">
                  <c:v>-11481</c:v>
                </c:pt>
                <c:pt idx="257">
                  <c:v>-10321</c:v>
                </c:pt>
                <c:pt idx="258">
                  <c:v>-11260</c:v>
                </c:pt>
                <c:pt idx="259">
                  <c:v>-9706</c:v>
                </c:pt>
                <c:pt idx="260">
                  <c:v>-7307</c:v>
                </c:pt>
                <c:pt idx="261">
                  <c:v>-5777</c:v>
                </c:pt>
                <c:pt idx="262">
                  <c:v>-6012</c:v>
                </c:pt>
                <c:pt idx="263">
                  <c:v>-111</c:v>
                </c:pt>
                <c:pt idx="264">
                  <c:v>20105</c:v>
                </c:pt>
                <c:pt idx="265">
                  <c:v>19482</c:v>
                </c:pt>
                <c:pt idx="266">
                  <c:v>24809</c:v>
                </c:pt>
                <c:pt idx="267">
                  <c:v>28441</c:v>
                </c:pt>
                <c:pt idx="268">
                  <c:v>24303</c:v>
                </c:pt>
                <c:pt idx="269">
                  <c:v>24343</c:v>
                </c:pt>
                <c:pt idx="270">
                  <c:v>5967</c:v>
                </c:pt>
                <c:pt idx="271">
                  <c:v>-1656</c:v>
                </c:pt>
                <c:pt idx="272">
                  <c:v>-1503</c:v>
                </c:pt>
                <c:pt idx="273">
                  <c:v>-381</c:v>
                </c:pt>
                <c:pt idx="274">
                  <c:v>-3620</c:v>
                </c:pt>
                <c:pt idx="275">
                  <c:v>-4560</c:v>
                </c:pt>
                <c:pt idx="276">
                  <c:v>-4240</c:v>
                </c:pt>
                <c:pt idx="277">
                  <c:v>3276</c:v>
                </c:pt>
                <c:pt idx="278">
                  <c:v>2687</c:v>
                </c:pt>
                <c:pt idx="279">
                  <c:v>1838</c:v>
                </c:pt>
                <c:pt idx="280">
                  <c:v>1615</c:v>
                </c:pt>
                <c:pt idx="281">
                  <c:v>3668</c:v>
                </c:pt>
                <c:pt idx="282">
                  <c:v>5309</c:v>
                </c:pt>
                <c:pt idx="283">
                  <c:v>-249</c:v>
                </c:pt>
                <c:pt idx="284">
                  <c:v>10879</c:v>
                </c:pt>
                <c:pt idx="285">
                  <c:v>13076</c:v>
                </c:pt>
                <c:pt idx="286">
                  <c:v>13590</c:v>
                </c:pt>
                <c:pt idx="287">
                  <c:v>11810</c:v>
                </c:pt>
                <c:pt idx="288">
                  <c:v>13358</c:v>
                </c:pt>
                <c:pt idx="289">
                  <c:v>17797</c:v>
                </c:pt>
                <c:pt idx="290">
                  <c:v>10518</c:v>
                </c:pt>
                <c:pt idx="291">
                  <c:v>6131</c:v>
                </c:pt>
                <c:pt idx="292">
                  <c:v>-12075</c:v>
                </c:pt>
                <c:pt idx="293">
                  <c:v>-19157</c:v>
                </c:pt>
                <c:pt idx="294">
                  <c:v>-16913</c:v>
                </c:pt>
                <c:pt idx="295">
                  <c:v>-18164</c:v>
                </c:pt>
                <c:pt idx="296">
                  <c:v>-16877</c:v>
                </c:pt>
                <c:pt idx="297">
                  <c:v>-11925</c:v>
                </c:pt>
                <c:pt idx="298">
                  <c:v>17132</c:v>
                </c:pt>
                <c:pt idx="299">
                  <c:v>17799</c:v>
                </c:pt>
                <c:pt idx="300">
                  <c:v>4208</c:v>
                </c:pt>
                <c:pt idx="301">
                  <c:v>-1095</c:v>
                </c:pt>
                <c:pt idx="302">
                  <c:v>-2511</c:v>
                </c:pt>
                <c:pt idx="303">
                  <c:v>4731</c:v>
                </c:pt>
                <c:pt idx="304">
                  <c:v>-2628</c:v>
                </c:pt>
                <c:pt idx="305">
                  <c:v>-4266</c:v>
                </c:pt>
                <c:pt idx="306">
                  <c:v>-26591</c:v>
                </c:pt>
                <c:pt idx="307">
                  <c:v>-13352</c:v>
                </c:pt>
                <c:pt idx="308">
                  <c:v>21739</c:v>
                </c:pt>
                <c:pt idx="309">
                  <c:v>22054</c:v>
                </c:pt>
                <c:pt idx="310">
                  <c:v>16856</c:v>
                </c:pt>
                <c:pt idx="311">
                  <c:v>18226</c:v>
                </c:pt>
                <c:pt idx="312">
                  <c:v>22791</c:v>
                </c:pt>
                <c:pt idx="313">
                  <c:v>17909</c:v>
                </c:pt>
                <c:pt idx="314">
                  <c:v>18014</c:v>
                </c:pt>
                <c:pt idx="315">
                  <c:v>16561</c:v>
                </c:pt>
                <c:pt idx="316">
                  <c:v>2108</c:v>
                </c:pt>
                <c:pt idx="317">
                  <c:v>-5703</c:v>
                </c:pt>
                <c:pt idx="318">
                  <c:v>-4665</c:v>
                </c:pt>
                <c:pt idx="319">
                  <c:v>-7483</c:v>
                </c:pt>
                <c:pt idx="320">
                  <c:v>-9562</c:v>
                </c:pt>
                <c:pt idx="321">
                  <c:v>-10428</c:v>
                </c:pt>
                <c:pt idx="322">
                  <c:v>-10692</c:v>
                </c:pt>
                <c:pt idx="323">
                  <c:v>12972</c:v>
                </c:pt>
                <c:pt idx="324">
                  <c:v>9741</c:v>
                </c:pt>
                <c:pt idx="325">
                  <c:v>12434</c:v>
                </c:pt>
                <c:pt idx="326">
                  <c:v>4966</c:v>
                </c:pt>
                <c:pt idx="327">
                  <c:v>-16161</c:v>
                </c:pt>
                <c:pt idx="328">
                  <c:v>-7265</c:v>
                </c:pt>
                <c:pt idx="329">
                  <c:v>-7263</c:v>
                </c:pt>
                <c:pt idx="330">
                  <c:v>-14356</c:v>
                </c:pt>
                <c:pt idx="331">
                  <c:v>-13656</c:v>
                </c:pt>
                <c:pt idx="332">
                  <c:v>-14215</c:v>
                </c:pt>
                <c:pt idx="333">
                  <c:v>-23784</c:v>
                </c:pt>
                <c:pt idx="334">
                  <c:v>-27766</c:v>
                </c:pt>
                <c:pt idx="335">
                  <c:v>-27603</c:v>
                </c:pt>
                <c:pt idx="336">
                  <c:v>-19133</c:v>
                </c:pt>
                <c:pt idx="337">
                  <c:v>-11196</c:v>
                </c:pt>
                <c:pt idx="338">
                  <c:v>-17021</c:v>
                </c:pt>
                <c:pt idx="339">
                  <c:v>-27260</c:v>
                </c:pt>
                <c:pt idx="340">
                  <c:v>-29132</c:v>
                </c:pt>
                <c:pt idx="341">
                  <c:v>-32116</c:v>
                </c:pt>
                <c:pt idx="342">
                  <c:v>-23495</c:v>
                </c:pt>
                <c:pt idx="343">
                  <c:v>-15908</c:v>
                </c:pt>
                <c:pt idx="344">
                  <c:v>14393</c:v>
                </c:pt>
                <c:pt idx="345">
                  <c:v>14248</c:v>
                </c:pt>
                <c:pt idx="346">
                  <c:v>-11749</c:v>
                </c:pt>
                <c:pt idx="347">
                  <c:v>-20502</c:v>
                </c:pt>
                <c:pt idx="348">
                  <c:v>-18315</c:v>
                </c:pt>
                <c:pt idx="349">
                  <c:v>-19010</c:v>
                </c:pt>
                <c:pt idx="350">
                  <c:v>-22153</c:v>
                </c:pt>
                <c:pt idx="351">
                  <c:v>-34422</c:v>
                </c:pt>
                <c:pt idx="352">
                  <c:v>-38905</c:v>
                </c:pt>
                <c:pt idx="353">
                  <c:v>-40297</c:v>
                </c:pt>
                <c:pt idx="354">
                  <c:v>-31695</c:v>
                </c:pt>
                <c:pt idx="355">
                  <c:v>-26738</c:v>
                </c:pt>
                <c:pt idx="356">
                  <c:v>3544</c:v>
                </c:pt>
                <c:pt idx="357">
                  <c:v>8285</c:v>
                </c:pt>
                <c:pt idx="358">
                  <c:v>9438</c:v>
                </c:pt>
                <c:pt idx="359">
                  <c:v>7311</c:v>
                </c:pt>
                <c:pt idx="360">
                  <c:v>10782</c:v>
                </c:pt>
                <c:pt idx="361">
                  <c:v>3943</c:v>
                </c:pt>
                <c:pt idx="362">
                  <c:v>10331</c:v>
                </c:pt>
                <c:pt idx="363">
                  <c:v>9016</c:v>
                </c:pt>
                <c:pt idx="364">
                  <c:v>28282</c:v>
                </c:pt>
                <c:pt idx="365">
                  <c:v>36351</c:v>
                </c:pt>
                <c:pt idx="366">
                  <c:v>35585</c:v>
                </c:pt>
                <c:pt idx="367">
                  <c:v>43779</c:v>
                </c:pt>
                <c:pt idx="368">
                  <c:v>34044</c:v>
                </c:pt>
                <c:pt idx="369">
                  <c:v>31156</c:v>
                </c:pt>
                <c:pt idx="370">
                  <c:v>9653</c:v>
                </c:pt>
                <c:pt idx="371">
                  <c:v>7208</c:v>
                </c:pt>
                <c:pt idx="372">
                  <c:v>8488</c:v>
                </c:pt>
                <c:pt idx="373">
                  <c:v>-1117</c:v>
                </c:pt>
                <c:pt idx="374">
                  <c:v>-3565</c:v>
                </c:pt>
                <c:pt idx="375">
                  <c:v>-3064</c:v>
                </c:pt>
                <c:pt idx="376">
                  <c:v>-3981</c:v>
                </c:pt>
                <c:pt idx="377">
                  <c:v>-4587</c:v>
                </c:pt>
                <c:pt idx="378">
                  <c:v>4043</c:v>
                </c:pt>
                <c:pt idx="379">
                  <c:v>14108</c:v>
                </c:pt>
                <c:pt idx="380">
                  <c:v>14998</c:v>
                </c:pt>
                <c:pt idx="381">
                  <c:v>20092</c:v>
                </c:pt>
                <c:pt idx="382">
                  <c:v>-201</c:v>
                </c:pt>
                <c:pt idx="383">
                  <c:v>-15910</c:v>
                </c:pt>
                <c:pt idx="384">
                  <c:v>-14138</c:v>
                </c:pt>
                <c:pt idx="385">
                  <c:v>-10441</c:v>
                </c:pt>
                <c:pt idx="386">
                  <c:v>-14810</c:v>
                </c:pt>
                <c:pt idx="387">
                  <c:v>-12357</c:v>
                </c:pt>
                <c:pt idx="388">
                  <c:v>-17790</c:v>
                </c:pt>
                <c:pt idx="389">
                  <c:v>-17132</c:v>
                </c:pt>
                <c:pt idx="390">
                  <c:v>-5674</c:v>
                </c:pt>
                <c:pt idx="391">
                  <c:v>-1120</c:v>
                </c:pt>
                <c:pt idx="392">
                  <c:v>-5762</c:v>
                </c:pt>
                <c:pt idx="393">
                  <c:v>-8699</c:v>
                </c:pt>
                <c:pt idx="394">
                  <c:v>-10669</c:v>
                </c:pt>
                <c:pt idx="395">
                  <c:v>-18048</c:v>
                </c:pt>
                <c:pt idx="396">
                  <c:v>-17943</c:v>
                </c:pt>
                <c:pt idx="397">
                  <c:v>-13124</c:v>
                </c:pt>
                <c:pt idx="398">
                  <c:v>-16389</c:v>
                </c:pt>
                <c:pt idx="399">
                  <c:v>-12974</c:v>
                </c:pt>
                <c:pt idx="400">
                  <c:v>-8019</c:v>
                </c:pt>
                <c:pt idx="401">
                  <c:v>-8103</c:v>
                </c:pt>
                <c:pt idx="402">
                  <c:v>-4660</c:v>
                </c:pt>
                <c:pt idx="403">
                  <c:v>-4662</c:v>
                </c:pt>
                <c:pt idx="404">
                  <c:v>-2439</c:v>
                </c:pt>
                <c:pt idx="405">
                  <c:v>-3554</c:v>
                </c:pt>
                <c:pt idx="406">
                  <c:v>-5797</c:v>
                </c:pt>
                <c:pt idx="407">
                  <c:v>-958</c:v>
                </c:pt>
                <c:pt idx="408">
                  <c:v>-3629</c:v>
                </c:pt>
                <c:pt idx="409">
                  <c:v>-5052</c:v>
                </c:pt>
                <c:pt idx="410">
                  <c:v>-5224</c:v>
                </c:pt>
                <c:pt idx="411">
                  <c:v>-14685</c:v>
                </c:pt>
                <c:pt idx="412">
                  <c:v>-16574</c:v>
                </c:pt>
                <c:pt idx="413">
                  <c:v>-16174</c:v>
                </c:pt>
                <c:pt idx="414">
                  <c:v>-14785</c:v>
                </c:pt>
                <c:pt idx="415">
                  <c:v>-14913</c:v>
                </c:pt>
                <c:pt idx="416">
                  <c:v>-6907</c:v>
                </c:pt>
                <c:pt idx="417">
                  <c:v>-5271</c:v>
                </c:pt>
                <c:pt idx="418">
                  <c:v>-4061</c:v>
                </c:pt>
                <c:pt idx="419">
                  <c:v>-4731</c:v>
                </c:pt>
                <c:pt idx="420">
                  <c:v>-4213</c:v>
                </c:pt>
                <c:pt idx="421">
                  <c:v>-3425</c:v>
                </c:pt>
                <c:pt idx="422">
                  <c:v>-3768</c:v>
                </c:pt>
                <c:pt idx="423">
                  <c:v>-4342</c:v>
                </c:pt>
                <c:pt idx="424">
                  <c:v>-5824</c:v>
                </c:pt>
                <c:pt idx="425">
                  <c:v>-6969</c:v>
                </c:pt>
                <c:pt idx="426">
                  <c:v>-5349</c:v>
                </c:pt>
                <c:pt idx="427">
                  <c:v>-2189</c:v>
                </c:pt>
                <c:pt idx="428">
                  <c:v>-1618</c:v>
                </c:pt>
                <c:pt idx="429">
                  <c:v>-388</c:v>
                </c:pt>
                <c:pt idx="430">
                  <c:v>1837</c:v>
                </c:pt>
                <c:pt idx="431">
                  <c:v>2638</c:v>
                </c:pt>
                <c:pt idx="432">
                  <c:v>2000</c:v>
                </c:pt>
                <c:pt idx="433">
                  <c:v>1868</c:v>
                </c:pt>
                <c:pt idx="434">
                  <c:v>1358</c:v>
                </c:pt>
                <c:pt idx="435">
                  <c:v>1002</c:v>
                </c:pt>
                <c:pt idx="436">
                  <c:v>-1701</c:v>
                </c:pt>
                <c:pt idx="437">
                  <c:v>-2950</c:v>
                </c:pt>
                <c:pt idx="438">
                  <c:v>-2738</c:v>
                </c:pt>
                <c:pt idx="439">
                  <c:v>43</c:v>
                </c:pt>
                <c:pt idx="440">
                  <c:v>998</c:v>
                </c:pt>
                <c:pt idx="441">
                  <c:v>-5106</c:v>
                </c:pt>
                <c:pt idx="442">
                  <c:v>-8302</c:v>
                </c:pt>
                <c:pt idx="443">
                  <c:v>-8464</c:v>
                </c:pt>
                <c:pt idx="444">
                  <c:v>-5579</c:v>
                </c:pt>
                <c:pt idx="445">
                  <c:v>-6973</c:v>
                </c:pt>
                <c:pt idx="446">
                  <c:v>-5013</c:v>
                </c:pt>
                <c:pt idx="447">
                  <c:v>-5592</c:v>
                </c:pt>
                <c:pt idx="448">
                  <c:v>-9522</c:v>
                </c:pt>
                <c:pt idx="449">
                  <c:v>-10314</c:v>
                </c:pt>
                <c:pt idx="450">
                  <c:v>-8024</c:v>
                </c:pt>
                <c:pt idx="451">
                  <c:v>-9858</c:v>
                </c:pt>
                <c:pt idx="452">
                  <c:v>-12241</c:v>
                </c:pt>
                <c:pt idx="453">
                  <c:v>-12401</c:v>
                </c:pt>
                <c:pt idx="454">
                  <c:v>-13351</c:v>
                </c:pt>
                <c:pt idx="455">
                  <c:v>-8951</c:v>
                </c:pt>
                <c:pt idx="456">
                  <c:v>-8565</c:v>
                </c:pt>
                <c:pt idx="457">
                  <c:v>-6817</c:v>
                </c:pt>
                <c:pt idx="458">
                  <c:v>-7682</c:v>
                </c:pt>
                <c:pt idx="459">
                  <c:v>-1720</c:v>
                </c:pt>
                <c:pt idx="460">
                  <c:v>-2012</c:v>
                </c:pt>
                <c:pt idx="461">
                  <c:v>-3137</c:v>
                </c:pt>
                <c:pt idx="462">
                  <c:v>1208</c:v>
                </c:pt>
                <c:pt idx="463">
                  <c:v>10800</c:v>
                </c:pt>
                <c:pt idx="464">
                  <c:v>14793</c:v>
                </c:pt>
                <c:pt idx="465">
                  <c:v>12046</c:v>
                </c:pt>
                <c:pt idx="466">
                  <c:v>12425</c:v>
                </c:pt>
                <c:pt idx="467">
                  <c:v>10169</c:v>
                </c:pt>
                <c:pt idx="468">
                  <c:v>9306</c:v>
                </c:pt>
                <c:pt idx="469">
                  <c:v>9194</c:v>
                </c:pt>
                <c:pt idx="470">
                  <c:v>8288</c:v>
                </c:pt>
                <c:pt idx="471">
                  <c:v>4786</c:v>
                </c:pt>
                <c:pt idx="472">
                  <c:v>-1279</c:v>
                </c:pt>
                <c:pt idx="473">
                  <c:v>899</c:v>
                </c:pt>
                <c:pt idx="474">
                  <c:v>2050</c:v>
                </c:pt>
                <c:pt idx="475">
                  <c:v>1755</c:v>
                </c:pt>
                <c:pt idx="476">
                  <c:v>-6058</c:v>
                </c:pt>
                <c:pt idx="477">
                  <c:v>-8478</c:v>
                </c:pt>
                <c:pt idx="478">
                  <c:v>-8948</c:v>
                </c:pt>
                <c:pt idx="479">
                  <c:v>-2460</c:v>
                </c:pt>
                <c:pt idx="480">
                  <c:v>1742</c:v>
                </c:pt>
                <c:pt idx="481">
                  <c:v>-1628</c:v>
                </c:pt>
                <c:pt idx="482">
                  <c:v>-2485</c:v>
                </c:pt>
                <c:pt idx="483">
                  <c:v>-3410</c:v>
                </c:pt>
                <c:pt idx="484">
                  <c:v>-4517</c:v>
                </c:pt>
                <c:pt idx="485">
                  <c:v>-3089</c:v>
                </c:pt>
                <c:pt idx="486">
                  <c:v>-11942</c:v>
                </c:pt>
                <c:pt idx="487">
                  <c:v>-10864</c:v>
                </c:pt>
                <c:pt idx="488">
                  <c:v>-5398</c:v>
                </c:pt>
                <c:pt idx="489">
                  <c:v>-5595</c:v>
                </c:pt>
                <c:pt idx="490">
                  <c:v>-6214</c:v>
                </c:pt>
                <c:pt idx="491">
                  <c:v>-3596</c:v>
                </c:pt>
                <c:pt idx="492">
                  <c:v>-10123</c:v>
                </c:pt>
                <c:pt idx="493">
                  <c:v>-6691</c:v>
                </c:pt>
                <c:pt idx="494">
                  <c:v>-855</c:v>
                </c:pt>
                <c:pt idx="495">
                  <c:v>4602</c:v>
                </c:pt>
                <c:pt idx="496">
                  <c:v>244</c:v>
                </c:pt>
                <c:pt idx="497">
                  <c:v>2437</c:v>
                </c:pt>
                <c:pt idx="498">
                  <c:v>8681</c:v>
                </c:pt>
                <c:pt idx="499">
                  <c:v>10558</c:v>
                </c:pt>
                <c:pt idx="500">
                  <c:v>11670</c:v>
                </c:pt>
                <c:pt idx="501">
                  <c:v>4393</c:v>
                </c:pt>
                <c:pt idx="502">
                  <c:v>5239</c:v>
                </c:pt>
                <c:pt idx="503">
                  <c:v>4646</c:v>
                </c:pt>
                <c:pt idx="504">
                  <c:v>2850</c:v>
                </c:pt>
                <c:pt idx="505">
                  <c:v>9828</c:v>
                </c:pt>
                <c:pt idx="506">
                  <c:v>5843</c:v>
                </c:pt>
                <c:pt idx="507">
                  <c:v>5240</c:v>
                </c:pt>
                <c:pt idx="508">
                  <c:v>2229</c:v>
                </c:pt>
                <c:pt idx="509">
                  <c:v>1916</c:v>
                </c:pt>
                <c:pt idx="510">
                  <c:v>-255</c:v>
                </c:pt>
                <c:pt idx="511">
                  <c:v>167</c:v>
                </c:pt>
                <c:pt idx="512">
                  <c:v>1514</c:v>
                </c:pt>
                <c:pt idx="513">
                  <c:v>2532</c:v>
                </c:pt>
                <c:pt idx="514">
                  <c:v>1031</c:v>
                </c:pt>
                <c:pt idx="515">
                  <c:v>-1177</c:v>
                </c:pt>
                <c:pt idx="516">
                  <c:v>2563</c:v>
                </c:pt>
                <c:pt idx="517">
                  <c:v>2871</c:v>
                </c:pt>
                <c:pt idx="518">
                  <c:v>2023</c:v>
                </c:pt>
                <c:pt idx="519">
                  <c:v>-2423</c:v>
                </c:pt>
                <c:pt idx="520">
                  <c:v>-1680</c:v>
                </c:pt>
                <c:pt idx="521">
                  <c:v>-384</c:v>
                </c:pt>
                <c:pt idx="522">
                  <c:v>-1155</c:v>
                </c:pt>
                <c:pt idx="523">
                  <c:v>2285</c:v>
                </c:pt>
                <c:pt idx="524">
                  <c:v>267</c:v>
                </c:pt>
                <c:pt idx="525">
                  <c:v>7677</c:v>
                </c:pt>
                <c:pt idx="526">
                  <c:v>9963</c:v>
                </c:pt>
                <c:pt idx="527">
                  <c:v>15319</c:v>
                </c:pt>
                <c:pt idx="528">
                  <c:v>13375</c:v>
                </c:pt>
                <c:pt idx="529">
                  <c:v>6746</c:v>
                </c:pt>
                <c:pt idx="530">
                  <c:v>740</c:v>
                </c:pt>
                <c:pt idx="531">
                  <c:v>3542</c:v>
                </c:pt>
                <c:pt idx="532">
                  <c:v>7757</c:v>
                </c:pt>
                <c:pt idx="533">
                  <c:v>6901</c:v>
                </c:pt>
                <c:pt idx="534">
                  <c:v>8370</c:v>
                </c:pt>
                <c:pt idx="535">
                  <c:v>8814</c:v>
                </c:pt>
                <c:pt idx="536">
                  <c:v>10165</c:v>
                </c:pt>
                <c:pt idx="537">
                  <c:v>11291</c:v>
                </c:pt>
                <c:pt idx="538">
                  <c:v>9304</c:v>
                </c:pt>
                <c:pt idx="539">
                  <c:v>8982</c:v>
                </c:pt>
                <c:pt idx="540">
                  <c:v>4992</c:v>
                </c:pt>
                <c:pt idx="541">
                  <c:v>376</c:v>
                </c:pt>
                <c:pt idx="542">
                  <c:v>-910</c:v>
                </c:pt>
                <c:pt idx="543">
                  <c:v>-188</c:v>
                </c:pt>
                <c:pt idx="544">
                  <c:v>1438</c:v>
                </c:pt>
                <c:pt idx="545">
                  <c:v>-4376</c:v>
                </c:pt>
                <c:pt idx="546">
                  <c:v>-2600</c:v>
                </c:pt>
                <c:pt idx="547">
                  <c:v>-2538</c:v>
                </c:pt>
                <c:pt idx="548">
                  <c:v>-3862</c:v>
                </c:pt>
                <c:pt idx="549">
                  <c:v>-3071</c:v>
                </c:pt>
                <c:pt idx="550">
                  <c:v>-2628</c:v>
                </c:pt>
                <c:pt idx="551">
                  <c:v>-2541</c:v>
                </c:pt>
                <c:pt idx="552">
                  <c:v>4928</c:v>
                </c:pt>
                <c:pt idx="553">
                  <c:v>4094</c:v>
                </c:pt>
                <c:pt idx="554">
                  <c:v>6886</c:v>
                </c:pt>
                <c:pt idx="555">
                  <c:v>7732</c:v>
                </c:pt>
                <c:pt idx="556">
                  <c:v>16036</c:v>
                </c:pt>
                <c:pt idx="557">
                  <c:v>18044</c:v>
                </c:pt>
                <c:pt idx="558">
                  <c:v>17448</c:v>
                </c:pt>
                <c:pt idx="559">
                  <c:v>17217</c:v>
                </c:pt>
                <c:pt idx="560">
                  <c:v>16438</c:v>
                </c:pt>
                <c:pt idx="561">
                  <c:v>9954</c:v>
                </c:pt>
                <c:pt idx="562">
                  <c:v>2502</c:v>
                </c:pt>
                <c:pt idx="563">
                  <c:v>-655</c:v>
                </c:pt>
                <c:pt idx="564">
                  <c:v>-1686</c:v>
                </c:pt>
                <c:pt idx="565">
                  <c:v>-299</c:v>
                </c:pt>
                <c:pt idx="566">
                  <c:v>581</c:v>
                </c:pt>
                <c:pt idx="567">
                  <c:v>-3603</c:v>
                </c:pt>
                <c:pt idx="568">
                  <c:v>-2183</c:v>
                </c:pt>
                <c:pt idx="569">
                  <c:v>-2325</c:v>
                </c:pt>
                <c:pt idx="570">
                  <c:v>-614</c:v>
                </c:pt>
                <c:pt idx="571">
                  <c:v>1521</c:v>
                </c:pt>
                <c:pt idx="572">
                  <c:v>10046</c:v>
                </c:pt>
                <c:pt idx="573">
                  <c:v>9923</c:v>
                </c:pt>
                <c:pt idx="574">
                  <c:v>11617</c:v>
                </c:pt>
                <c:pt idx="575">
                  <c:v>10700</c:v>
                </c:pt>
                <c:pt idx="576">
                  <c:v>12566</c:v>
                </c:pt>
                <c:pt idx="577">
                  <c:v>19666</c:v>
                </c:pt>
                <c:pt idx="578">
                  <c:v>19252</c:v>
                </c:pt>
                <c:pt idx="579">
                  <c:v>14700</c:v>
                </c:pt>
                <c:pt idx="580">
                  <c:v>18941</c:v>
                </c:pt>
                <c:pt idx="581">
                  <c:v>18781</c:v>
                </c:pt>
                <c:pt idx="582">
                  <c:v>23402</c:v>
                </c:pt>
                <c:pt idx="583">
                  <c:v>24626</c:v>
                </c:pt>
                <c:pt idx="584">
                  <c:v>22555</c:v>
                </c:pt>
                <c:pt idx="585">
                  <c:v>20337</c:v>
                </c:pt>
                <c:pt idx="586">
                  <c:v>19956</c:v>
                </c:pt>
                <c:pt idx="587">
                  <c:v>18050</c:v>
                </c:pt>
                <c:pt idx="588">
                  <c:v>13690</c:v>
                </c:pt>
                <c:pt idx="589">
                  <c:v>16235</c:v>
                </c:pt>
                <c:pt idx="590">
                  <c:v>17671</c:v>
                </c:pt>
                <c:pt idx="591">
                  <c:v>20893</c:v>
                </c:pt>
                <c:pt idx="592">
                  <c:v>19906</c:v>
                </c:pt>
                <c:pt idx="593">
                  <c:v>20159</c:v>
                </c:pt>
                <c:pt idx="594">
                  <c:v>21076</c:v>
                </c:pt>
                <c:pt idx="595">
                  <c:v>13977</c:v>
                </c:pt>
                <c:pt idx="596">
                  <c:v>10630</c:v>
                </c:pt>
                <c:pt idx="597">
                  <c:v>4095</c:v>
                </c:pt>
                <c:pt idx="598">
                  <c:v>5872</c:v>
                </c:pt>
                <c:pt idx="599">
                  <c:v>5235</c:v>
                </c:pt>
                <c:pt idx="600">
                  <c:v>11251</c:v>
                </c:pt>
                <c:pt idx="601">
                  <c:v>10648</c:v>
                </c:pt>
                <c:pt idx="602">
                  <c:v>5144</c:v>
                </c:pt>
                <c:pt idx="603">
                  <c:v>3732</c:v>
                </c:pt>
                <c:pt idx="604">
                  <c:v>4730</c:v>
                </c:pt>
                <c:pt idx="605">
                  <c:v>3219</c:v>
                </c:pt>
                <c:pt idx="606">
                  <c:v>1613</c:v>
                </c:pt>
                <c:pt idx="607">
                  <c:v>5902</c:v>
                </c:pt>
                <c:pt idx="608">
                  <c:v>10033</c:v>
                </c:pt>
                <c:pt idx="609">
                  <c:v>13477</c:v>
                </c:pt>
                <c:pt idx="610">
                  <c:v>16208</c:v>
                </c:pt>
                <c:pt idx="611">
                  <c:v>16182</c:v>
                </c:pt>
                <c:pt idx="612">
                  <c:v>13884</c:v>
                </c:pt>
                <c:pt idx="613">
                  <c:v>21077</c:v>
                </c:pt>
                <c:pt idx="614">
                  <c:v>30022</c:v>
                </c:pt>
                <c:pt idx="615">
                  <c:v>31767</c:v>
                </c:pt>
                <c:pt idx="616">
                  <c:v>24495</c:v>
                </c:pt>
                <c:pt idx="617">
                  <c:v>21606</c:v>
                </c:pt>
                <c:pt idx="618">
                  <c:v>22716</c:v>
                </c:pt>
                <c:pt idx="619">
                  <c:v>19198</c:v>
                </c:pt>
                <c:pt idx="620">
                  <c:v>7259</c:v>
                </c:pt>
                <c:pt idx="621">
                  <c:v>7089</c:v>
                </c:pt>
                <c:pt idx="622">
                  <c:v>1747</c:v>
                </c:pt>
                <c:pt idx="623">
                  <c:v>6009</c:v>
                </c:pt>
                <c:pt idx="624">
                  <c:v>6002</c:v>
                </c:pt>
                <c:pt idx="625">
                  <c:v>7816</c:v>
                </c:pt>
                <c:pt idx="626">
                  <c:v>26</c:v>
                </c:pt>
                <c:pt idx="627">
                  <c:v>-4173</c:v>
                </c:pt>
                <c:pt idx="628">
                  <c:v>-1701</c:v>
                </c:pt>
                <c:pt idx="629">
                  <c:v>9525</c:v>
                </c:pt>
                <c:pt idx="630">
                  <c:v>13342</c:v>
                </c:pt>
                <c:pt idx="631">
                  <c:v>23346</c:v>
                </c:pt>
                <c:pt idx="632">
                  <c:v>27649</c:v>
                </c:pt>
                <c:pt idx="633">
                  <c:v>33605</c:v>
                </c:pt>
                <c:pt idx="634">
                  <c:v>32775</c:v>
                </c:pt>
                <c:pt idx="635">
                  <c:v>33585</c:v>
                </c:pt>
                <c:pt idx="636">
                  <c:v>38786</c:v>
                </c:pt>
                <c:pt idx="637">
                  <c:v>34782</c:v>
                </c:pt>
                <c:pt idx="638">
                  <c:v>20151</c:v>
                </c:pt>
                <c:pt idx="639">
                  <c:v>12523</c:v>
                </c:pt>
                <c:pt idx="640">
                  <c:v>21392</c:v>
                </c:pt>
                <c:pt idx="641">
                  <c:v>18715</c:v>
                </c:pt>
                <c:pt idx="642">
                  <c:v>15990</c:v>
                </c:pt>
                <c:pt idx="643">
                  <c:v>16693</c:v>
                </c:pt>
                <c:pt idx="644">
                  <c:v>10109</c:v>
                </c:pt>
                <c:pt idx="645">
                  <c:v>22239</c:v>
                </c:pt>
                <c:pt idx="646">
                  <c:v>25156</c:v>
                </c:pt>
                <c:pt idx="647">
                  <c:v>33519</c:v>
                </c:pt>
                <c:pt idx="648">
                  <c:v>41127</c:v>
                </c:pt>
                <c:pt idx="649">
                  <c:v>37824</c:v>
                </c:pt>
                <c:pt idx="650">
                  <c:v>26655</c:v>
                </c:pt>
                <c:pt idx="651">
                  <c:v>11874</c:v>
                </c:pt>
                <c:pt idx="652">
                  <c:v>15484</c:v>
                </c:pt>
                <c:pt idx="653">
                  <c:v>20371</c:v>
                </c:pt>
                <c:pt idx="654">
                  <c:v>26798</c:v>
                </c:pt>
                <c:pt idx="655">
                  <c:v>23711</c:v>
                </c:pt>
                <c:pt idx="656">
                  <c:v>19878</c:v>
                </c:pt>
                <c:pt idx="657">
                  <c:v>20098</c:v>
                </c:pt>
                <c:pt idx="658">
                  <c:v>434</c:v>
                </c:pt>
                <c:pt idx="659">
                  <c:v>-7410</c:v>
                </c:pt>
                <c:pt idx="660">
                  <c:v>-11071</c:v>
                </c:pt>
                <c:pt idx="661">
                  <c:v>-8575</c:v>
                </c:pt>
                <c:pt idx="662">
                  <c:v>-16949</c:v>
                </c:pt>
                <c:pt idx="663">
                  <c:v>-12919</c:v>
                </c:pt>
                <c:pt idx="664">
                  <c:v>-19805</c:v>
                </c:pt>
                <c:pt idx="665">
                  <c:v>-20414</c:v>
                </c:pt>
                <c:pt idx="666">
                  <c:v>-22581</c:v>
                </c:pt>
                <c:pt idx="667">
                  <c:v>-25624</c:v>
                </c:pt>
                <c:pt idx="668">
                  <c:v>-19865</c:v>
                </c:pt>
                <c:pt idx="669">
                  <c:v>-16979</c:v>
                </c:pt>
                <c:pt idx="670">
                  <c:v>-15509</c:v>
                </c:pt>
                <c:pt idx="671">
                  <c:v>2358</c:v>
                </c:pt>
                <c:pt idx="672">
                  <c:v>5498</c:v>
                </c:pt>
                <c:pt idx="673">
                  <c:v>-2211</c:v>
                </c:pt>
                <c:pt idx="674">
                  <c:v>10996</c:v>
                </c:pt>
                <c:pt idx="675">
                  <c:v>18475</c:v>
                </c:pt>
                <c:pt idx="676">
                  <c:v>10578</c:v>
                </c:pt>
                <c:pt idx="677">
                  <c:v>2563</c:v>
                </c:pt>
                <c:pt idx="678">
                  <c:v>-16860</c:v>
                </c:pt>
                <c:pt idx="679">
                  <c:v>-23045</c:v>
                </c:pt>
                <c:pt idx="680">
                  <c:v>-21050</c:v>
                </c:pt>
                <c:pt idx="681">
                  <c:v>-14041</c:v>
                </c:pt>
                <c:pt idx="682">
                  <c:v>-14309</c:v>
                </c:pt>
                <c:pt idx="683">
                  <c:v>-19370</c:v>
                </c:pt>
                <c:pt idx="684">
                  <c:v>-23817</c:v>
                </c:pt>
                <c:pt idx="685">
                  <c:v>-33020</c:v>
                </c:pt>
                <c:pt idx="686">
                  <c:v>-33087</c:v>
                </c:pt>
                <c:pt idx="687">
                  <c:v>-25779</c:v>
                </c:pt>
                <c:pt idx="688">
                  <c:v>-7856</c:v>
                </c:pt>
                <c:pt idx="689">
                  <c:v>-8192</c:v>
                </c:pt>
                <c:pt idx="690">
                  <c:v>-11593</c:v>
                </c:pt>
                <c:pt idx="691">
                  <c:v>-15021</c:v>
                </c:pt>
                <c:pt idx="692">
                  <c:v>-4773</c:v>
                </c:pt>
                <c:pt idx="693">
                  <c:v>-3303</c:v>
                </c:pt>
                <c:pt idx="694">
                  <c:v>2848</c:v>
                </c:pt>
                <c:pt idx="695">
                  <c:v>-1910</c:v>
                </c:pt>
                <c:pt idx="696">
                  <c:v>-14062</c:v>
                </c:pt>
                <c:pt idx="697">
                  <c:v>-24644</c:v>
                </c:pt>
                <c:pt idx="698">
                  <c:v>-19881</c:v>
                </c:pt>
                <c:pt idx="699">
                  <c:v>-8189</c:v>
                </c:pt>
                <c:pt idx="700">
                  <c:v>-12344</c:v>
                </c:pt>
                <c:pt idx="701">
                  <c:v>-14632</c:v>
                </c:pt>
                <c:pt idx="702">
                  <c:v>-5235</c:v>
                </c:pt>
                <c:pt idx="703">
                  <c:v>-6284</c:v>
                </c:pt>
                <c:pt idx="704">
                  <c:v>-10684</c:v>
                </c:pt>
                <c:pt idx="705">
                  <c:v>-5624</c:v>
                </c:pt>
                <c:pt idx="706">
                  <c:v>5094</c:v>
                </c:pt>
                <c:pt idx="707">
                  <c:v>12290</c:v>
                </c:pt>
                <c:pt idx="708">
                  <c:v>18624</c:v>
                </c:pt>
                <c:pt idx="709">
                  <c:v>25767</c:v>
                </c:pt>
                <c:pt idx="710">
                  <c:v>24272</c:v>
                </c:pt>
                <c:pt idx="711">
                  <c:v>30558</c:v>
                </c:pt>
                <c:pt idx="712">
                  <c:v>39697</c:v>
                </c:pt>
                <c:pt idx="713">
                  <c:v>22286</c:v>
                </c:pt>
                <c:pt idx="714">
                  <c:v>22094</c:v>
                </c:pt>
                <c:pt idx="715">
                  <c:v>23402</c:v>
                </c:pt>
                <c:pt idx="716">
                  <c:v>6571</c:v>
                </c:pt>
                <c:pt idx="717">
                  <c:v>11863</c:v>
                </c:pt>
                <c:pt idx="718">
                  <c:v>13749</c:v>
                </c:pt>
                <c:pt idx="719">
                  <c:v>17077</c:v>
                </c:pt>
                <c:pt idx="720">
                  <c:v>22659</c:v>
                </c:pt>
                <c:pt idx="721">
                  <c:v>45003</c:v>
                </c:pt>
                <c:pt idx="722">
                  <c:v>55626</c:v>
                </c:pt>
                <c:pt idx="723">
                  <c:v>63196</c:v>
                </c:pt>
                <c:pt idx="724">
                  <c:v>56816</c:v>
                </c:pt>
                <c:pt idx="725">
                  <c:v>56125</c:v>
                </c:pt>
                <c:pt idx="726">
                  <c:v>53932</c:v>
                </c:pt>
                <c:pt idx="727">
                  <c:v>37581</c:v>
                </c:pt>
                <c:pt idx="728">
                  <c:v>42953</c:v>
                </c:pt>
                <c:pt idx="729">
                  <c:v>56967</c:v>
                </c:pt>
                <c:pt idx="730">
                  <c:v>44946</c:v>
                </c:pt>
                <c:pt idx="731">
                  <c:v>19835</c:v>
                </c:pt>
                <c:pt idx="732">
                  <c:v>33305</c:v>
                </c:pt>
                <c:pt idx="733">
                  <c:v>37165</c:v>
                </c:pt>
                <c:pt idx="734">
                  <c:v>59864</c:v>
                </c:pt>
                <c:pt idx="735">
                  <c:v>84280</c:v>
                </c:pt>
                <c:pt idx="736">
                  <c:v>62252</c:v>
                </c:pt>
                <c:pt idx="737">
                  <c:v>69089</c:v>
                </c:pt>
                <c:pt idx="738">
                  <c:v>80626</c:v>
                </c:pt>
                <c:pt idx="739">
                  <c:v>75832</c:v>
                </c:pt>
                <c:pt idx="740">
                  <c:v>79169</c:v>
                </c:pt>
                <c:pt idx="741">
                  <c:v>85598</c:v>
                </c:pt>
                <c:pt idx="742">
                  <c:v>73844</c:v>
                </c:pt>
                <c:pt idx="743">
                  <c:v>65157</c:v>
                </c:pt>
                <c:pt idx="744">
                  <c:v>58653</c:v>
                </c:pt>
                <c:pt idx="745">
                  <c:v>84318</c:v>
                </c:pt>
                <c:pt idx="746">
                  <c:v>94728</c:v>
                </c:pt>
                <c:pt idx="747">
                  <c:v>76927</c:v>
                </c:pt>
                <c:pt idx="748">
                  <c:v>92728</c:v>
                </c:pt>
                <c:pt idx="749">
                  <c:v>48598</c:v>
                </c:pt>
                <c:pt idx="750">
                  <c:v>59153</c:v>
                </c:pt>
                <c:pt idx="751">
                  <c:v>68028</c:v>
                </c:pt>
                <c:pt idx="752">
                  <c:v>27393</c:v>
                </c:pt>
                <c:pt idx="753">
                  <c:v>20403</c:v>
                </c:pt>
                <c:pt idx="754">
                  <c:v>46129</c:v>
                </c:pt>
                <c:pt idx="755">
                  <c:v>42578</c:v>
                </c:pt>
                <c:pt idx="756">
                  <c:v>55843</c:v>
                </c:pt>
                <c:pt idx="757">
                  <c:v>48417</c:v>
                </c:pt>
                <c:pt idx="758">
                  <c:v>59667</c:v>
                </c:pt>
                <c:pt idx="759">
                  <c:v>70066</c:v>
                </c:pt>
                <c:pt idx="760">
                  <c:v>63993</c:v>
                </c:pt>
                <c:pt idx="761">
                  <c:v>51997</c:v>
                </c:pt>
                <c:pt idx="762">
                  <c:v>41078</c:v>
                </c:pt>
                <c:pt idx="763">
                  <c:v>35338</c:v>
                </c:pt>
                <c:pt idx="764">
                  <c:v>47410</c:v>
                </c:pt>
                <c:pt idx="765">
                  <c:v>61860</c:v>
                </c:pt>
                <c:pt idx="766">
                  <c:v>39417</c:v>
                </c:pt>
                <c:pt idx="767">
                  <c:v>71693</c:v>
                </c:pt>
                <c:pt idx="768">
                  <c:v>96134</c:v>
                </c:pt>
                <c:pt idx="769">
                  <c:v>98173</c:v>
                </c:pt>
                <c:pt idx="770">
                  <c:v>88531</c:v>
                </c:pt>
                <c:pt idx="771">
                  <c:v>98366</c:v>
                </c:pt>
                <c:pt idx="772">
                  <c:v>83504</c:v>
                </c:pt>
                <c:pt idx="773">
                  <c:v>68713</c:v>
                </c:pt>
                <c:pt idx="774">
                  <c:v>54133</c:v>
                </c:pt>
                <c:pt idx="775">
                  <c:v>41358</c:v>
                </c:pt>
                <c:pt idx="776">
                  <c:v>29139</c:v>
                </c:pt>
                <c:pt idx="777">
                  <c:v>34571</c:v>
                </c:pt>
                <c:pt idx="778">
                  <c:v>32574</c:v>
                </c:pt>
                <c:pt idx="779">
                  <c:v>41591</c:v>
                </c:pt>
                <c:pt idx="780">
                  <c:v>13393</c:v>
                </c:pt>
                <c:pt idx="781">
                  <c:v>24557</c:v>
                </c:pt>
                <c:pt idx="782">
                  <c:v>26554</c:v>
                </c:pt>
                <c:pt idx="783">
                  <c:v>30488</c:v>
                </c:pt>
                <c:pt idx="784">
                  <c:v>35704</c:v>
                </c:pt>
                <c:pt idx="785">
                  <c:v>45421</c:v>
                </c:pt>
                <c:pt idx="786">
                  <c:v>52928</c:v>
                </c:pt>
                <c:pt idx="787">
                  <c:v>60326</c:v>
                </c:pt>
                <c:pt idx="788">
                  <c:v>43625</c:v>
                </c:pt>
                <c:pt idx="789">
                  <c:v>34385</c:v>
                </c:pt>
                <c:pt idx="790">
                  <c:v>35062</c:v>
                </c:pt>
                <c:pt idx="791">
                  <c:v>31528</c:v>
                </c:pt>
                <c:pt idx="792">
                  <c:v>56998</c:v>
                </c:pt>
                <c:pt idx="793">
                  <c:v>11537</c:v>
                </c:pt>
                <c:pt idx="794">
                  <c:v>9126</c:v>
                </c:pt>
                <c:pt idx="795">
                  <c:v>-2809</c:v>
                </c:pt>
                <c:pt idx="796">
                  <c:v>-3262</c:v>
                </c:pt>
                <c:pt idx="797">
                  <c:v>307</c:v>
                </c:pt>
                <c:pt idx="798">
                  <c:v>-729</c:v>
                </c:pt>
                <c:pt idx="799">
                  <c:v>5358</c:v>
                </c:pt>
                <c:pt idx="800">
                  <c:v>-7809</c:v>
                </c:pt>
                <c:pt idx="801">
                  <c:v>-13933</c:v>
                </c:pt>
                <c:pt idx="802">
                  <c:v>-12157</c:v>
                </c:pt>
                <c:pt idx="803">
                  <c:v>3637</c:v>
                </c:pt>
                <c:pt idx="804">
                  <c:v>15714</c:v>
                </c:pt>
                <c:pt idx="805">
                  <c:v>21229</c:v>
                </c:pt>
                <c:pt idx="806">
                  <c:v>29140</c:v>
                </c:pt>
                <c:pt idx="807">
                  <c:v>19728</c:v>
                </c:pt>
                <c:pt idx="808">
                  <c:v>-2760</c:v>
                </c:pt>
                <c:pt idx="809">
                  <c:v>-12560</c:v>
                </c:pt>
                <c:pt idx="810">
                  <c:v>-16136</c:v>
                </c:pt>
                <c:pt idx="811">
                  <c:v>4663</c:v>
                </c:pt>
                <c:pt idx="812">
                  <c:v>-24848</c:v>
                </c:pt>
                <c:pt idx="813">
                  <c:v>-30437</c:v>
                </c:pt>
                <c:pt idx="814">
                  <c:v>-24804</c:v>
                </c:pt>
                <c:pt idx="815">
                  <c:v>-25340</c:v>
                </c:pt>
                <c:pt idx="816">
                  <c:v>-24888</c:v>
                </c:pt>
                <c:pt idx="817">
                  <c:v>-29028</c:v>
                </c:pt>
                <c:pt idx="818">
                  <c:v>-21051</c:v>
                </c:pt>
                <c:pt idx="819">
                  <c:v>-31248</c:v>
                </c:pt>
                <c:pt idx="820">
                  <c:v>-12843</c:v>
                </c:pt>
                <c:pt idx="821">
                  <c:v>-2631</c:v>
                </c:pt>
                <c:pt idx="822">
                  <c:v>-8298</c:v>
                </c:pt>
                <c:pt idx="823">
                  <c:v>6423</c:v>
                </c:pt>
                <c:pt idx="824">
                  <c:v>3322</c:v>
                </c:pt>
                <c:pt idx="825">
                  <c:v>1460</c:v>
                </c:pt>
                <c:pt idx="826">
                  <c:v>-25875</c:v>
                </c:pt>
                <c:pt idx="827">
                  <c:v>-32946</c:v>
                </c:pt>
                <c:pt idx="828">
                  <c:v>-43728</c:v>
                </c:pt>
                <c:pt idx="829">
                  <c:v>-45109</c:v>
                </c:pt>
                <c:pt idx="830">
                  <c:v>-47285</c:v>
                </c:pt>
                <c:pt idx="831">
                  <c:v>-47520</c:v>
                </c:pt>
                <c:pt idx="832">
                  <c:v>-49359</c:v>
                </c:pt>
                <c:pt idx="833">
                  <c:v>-47771</c:v>
                </c:pt>
                <c:pt idx="834">
                  <c:v>-33036</c:v>
                </c:pt>
                <c:pt idx="835">
                  <c:v>-35224</c:v>
                </c:pt>
                <c:pt idx="836">
                  <c:v>-31473</c:v>
                </c:pt>
                <c:pt idx="837">
                  <c:v>-36701</c:v>
                </c:pt>
                <c:pt idx="838">
                  <c:v>-33090</c:v>
                </c:pt>
                <c:pt idx="839">
                  <c:v>-35265</c:v>
                </c:pt>
                <c:pt idx="840">
                  <c:v>-39838</c:v>
                </c:pt>
                <c:pt idx="841">
                  <c:v>-42431</c:v>
                </c:pt>
                <c:pt idx="842">
                  <c:v>-40244</c:v>
                </c:pt>
                <c:pt idx="843">
                  <c:v>-39225</c:v>
                </c:pt>
                <c:pt idx="844">
                  <c:v>-37426</c:v>
                </c:pt>
                <c:pt idx="845">
                  <c:v>-30400</c:v>
                </c:pt>
                <c:pt idx="846">
                  <c:v>-31630</c:v>
                </c:pt>
                <c:pt idx="847">
                  <c:v>-35843</c:v>
                </c:pt>
                <c:pt idx="848">
                  <c:v>-34684</c:v>
                </c:pt>
                <c:pt idx="849">
                  <c:v>-34052</c:v>
                </c:pt>
                <c:pt idx="850">
                  <c:v>-39037</c:v>
                </c:pt>
                <c:pt idx="851">
                  <c:v>-36994</c:v>
                </c:pt>
                <c:pt idx="852">
                  <c:v>-33423</c:v>
                </c:pt>
                <c:pt idx="853">
                  <c:v>-31930</c:v>
                </c:pt>
                <c:pt idx="854">
                  <c:v>-30570</c:v>
                </c:pt>
                <c:pt idx="855">
                  <c:v>-28282</c:v>
                </c:pt>
                <c:pt idx="856">
                  <c:v>-25449</c:v>
                </c:pt>
                <c:pt idx="857">
                  <c:v>-30680</c:v>
                </c:pt>
                <c:pt idx="858">
                  <c:v>-32990</c:v>
                </c:pt>
                <c:pt idx="859">
                  <c:v>-30746</c:v>
                </c:pt>
                <c:pt idx="860">
                  <c:v>-31136</c:v>
                </c:pt>
                <c:pt idx="861">
                  <c:v>-34462</c:v>
                </c:pt>
                <c:pt idx="862">
                  <c:v>-26510</c:v>
                </c:pt>
                <c:pt idx="863">
                  <c:v>-24160</c:v>
                </c:pt>
                <c:pt idx="864">
                  <c:v>-22913</c:v>
                </c:pt>
                <c:pt idx="865">
                  <c:v>-22437</c:v>
                </c:pt>
                <c:pt idx="866">
                  <c:v>-22506</c:v>
                </c:pt>
                <c:pt idx="867">
                  <c:v>-25928</c:v>
                </c:pt>
                <c:pt idx="868">
                  <c:v>-24805</c:v>
                </c:pt>
                <c:pt idx="869">
                  <c:v>-20160</c:v>
                </c:pt>
                <c:pt idx="870">
                  <c:v>-15333</c:v>
                </c:pt>
                <c:pt idx="871">
                  <c:v>-8474</c:v>
                </c:pt>
                <c:pt idx="872">
                  <c:v>-12158</c:v>
                </c:pt>
                <c:pt idx="873">
                  <c:v>-4101</c:v>
                </c:pt>
                <c:pt idx="874">
                  <c:v>-9150</c:v>
                </c:pt>
                <c:pt idx="875">
                  <c:v>-12654</c:v>
                </c:pt>
                <c:pt idx="876">
                  <c:v>-5691</c:v>
                </c:pt>
                <c:pt idx="877">
                  <c:v>-8043</c:v>
                </c:pt>
                <c:pt idx="878">
                  <c:v>-2228</c:v>
                </c:pt>
                <c:pt idx="879">
                  <c:v>-4256</c:v>
                </c:pt>
                <c:pt idx="880">
                  <c:v>-1658</c:v>
                </c:pt>
                <c:pt idx="881">
                  <c:v>-7017</c:v>
                </c:pt>
                <c:pt idx="882">
                  <c:v>-17518</c:v>
                </c:pt>
                <c:pt idx="883">
                  <c:v>-5960</c:v>
                </c:pt>
                <c:pt idx="884">
                  <c:v>-12487</c:v>
                </c:pt>
                <c:pt idx="885">
                  <c:v>-31595</c:v>
                </c:pt>
                <c:pt idx="886">
                  <c:v>-47826</c:v>
                </c:pt>
                <c:pt idx="887">
                  <c:v>-62106</c:v>
                </c:pt>
                <c:pt idx="888">
                  <c:v>-65346</c:v>
                </c:pt>
                <c:pt idx="889">
                  <c:v>-43318</c:v>
                </c:pt>
                <c:pt idx="890">
                  <c:v>-31431</c:v>
                </c:pt>
                <c:pt idx="891">
                  <c:v>-18905</c:v>
                </c:pt>
                <c:pt idx="892">
                  <c:v>-15857</c:v>
                </c:pt>
                <c:pt idx="893">
                  <c:v>-6585</c:v>
                </c:pt>
                <c:pt idx="894">
                  <c:v>-11355</c:v>
                </c:pt>
                <c:pt idx="895">
                  <c:v>-10663</c:v>
                </c:pt>
                <c:pt idx="896">
                  <c:v>-16876</c:v>
                </c:pt>
                <c:pt idx="897">
                  <c:v>-23444</c:v>
                </c:pt>
                <c:pt idx="898">
                  <c:v>-24577</c:v>
                </c:pt>
                <c:pt idx="899">
                  <c:v>-29475</c:v>
                </c:pt>
                <c:pt idx="900">
                  <c:v>-33564</c:v>
                </c:pt>
                <c:pt idx="901">
                  <c:v>-35467</c:v>
                </c:pt>
                <c:pt idx="902">
                  <c:v>-20171</c:v>
                </c:pt>
                <c:pt idx="903">
                  <c:v>-27153</c:v>
                </c:pt>
                <c:pt idx="904">
                  <c:v>-33968</c:v>
                </c:pt>
                <c:pt idx="905">
                  <c:v>-52756</c:v>
                </c:pt>
                <c:pt idx="906">
                  <c:v>-56079</c:v>
                </c:pt>
                <c:pt idx="907">
                  <c:v>-62884</c:v>
                </c:pt>
                <c:pt idx="908">
                  <c:v>-67549</c:v>
                </c:pt>
                <c:pt idx="909">
                  <c:v>-63473</c:v>
                </c:pt>
                <c:pt idx="910">
                  <c:v>-63987</c:v>
                </c:pt>
                <c:pt idx="911">
                  <c:v>-71624</c:v>
                </c:pt>
                <c:pt idx="912">
                  <c:v>-67073</c:v>
                </c:pt>
                <c:pt idx="913">
                  <c:v>-59474</c:v>
                </c:pt>
                <c:pt idx="914">
                  <c:v>-57391</c:v>
                </c:pt>
                <c:pt idx="915">
                  <c:v>-49298</c:v>
                </c:pt>
                <c:pt idx="916">
                  <c:v>-54666</c:v>
                </c:pt>
                <c:pt idx="917">
                  <c:v>-65616</c:v>
                </c:pt>
                <c:pt idx="918">
                  <c:v>-72188</c:v>
                </c:pt>
                <c:pt idx="919">
                  <c:v>-76745</c:v>
                </c:pt>
                <c:pt idx="920">
                  <c:v>-75079</c:v>
                </c:pt>
                <c:pt idx="921">
                  <c:v>-70454</c:v>
                </c:pt>
                <c:pt idx="922">
                  <c:v>-74680</c:v>
                </c:pt>
                <c:pt idx="923">
                  <c:v>-48134</c:v>
                </c:pt>
                <c:pt idx="924">
                  <c:v>-46346</c:v>
                </c:pt>
                <c:pt idx="925">
                  <c:v>-34771</c:v>
                </c:pt>
                <c:pt idx="926">
                  <c:v>-38077</c:v>
                </c:pt>
                <c:pt idx="927">
                  <c:v>-34671</c:v>
                </c:pt>
                <c:pt idx="928">
                  <c:v>-26767</c:v>
                </c:pt>
                <c:pt idx="929">
                  <c:v>-17940</c:v>
                </c:pt>
                <c:pt idx="930">
                  <c:v>-250</c:v>
                </c:pt>
                <c:pt idx="931">
                  <c:v>5021</c:v>
                </c:pt>
                <c:pt idx="932">
                  <c:v>-4431</c:v>
                </c:pt>
                <c:pt idx="933">
                  <c:v>-4365</c:v>
                </c:pt>
                <c:pt idx="934">
                  <c:v>-15266</c:v>
                </c:pt>
                <c:pt idx="935">
                  <c:v>-16068</c:v>
                </c:pt>
                <c:pt idx="936">
                  <c:v>-9127</c:v>
                </c:pt>
                <c:pt idx="937">
                  <c:v>-8989</c:v>
                </c:pt>
                <c:pt idx="938">
                  <c:v>-2194</c:v>
                </c:pt>
                <c:pt idx="939">
                  <c:v>9403</c:v>
                </c:pt>
                <c:pt idx="940">
                  <c:v>8066</c:v>
                </c:pt>
                <c:pt idx="941">
                  <c:v>5796</c:v>
                </c:pt>
                <c:pt idx="942">
                  <c:v>5089</c:v>
                </c:pt>
                <c:pt idx="943">
                  <c:v>15182</c:v>
                </c:pt>
                <c:pt idx="944">
                  <c:v>21266</c:v>
                </c:pt>
                <c:pt idx="945">
                  <c:v>23771</c:v>
                </c:pt>
                <c:pt idx="946">
                  <c:v>10197</c:v>
                </c:pt>
                <c:pt idx="947">
                  <c:v>-4864</c:v>
                </c:pt>
                <c:pt idx="948">
                  <c:v>-12920</c:v>
                </c:pt>
                <c:pt idx="949">
                  <c:v>-8186</c:v>
                </c:pt>
                <c:pt idx="950">
                  <c:v>-7432</c:v>
                </c:pt>
                <c:pt idx="951">
                  <c:v>-13121</c:v>
                </c:pt>
                <c:pt idx="952">
                  <c:v>-14133</c:v>
                </c:pt>
                <c:pt idx="953">
                  <c:v>-5090</c:v>
                </c:pt>
                <c:pt idx="954">
                  <c:v>5794</c:v>
                </c:pt>
                <c:pt idx="955">
                  <c:v>7888</c:v>
                </c:pt>
                <c:pt idx="956">
                  <c:v>22659</c:v>
                </c:pt>
                <c:pt idx="957">
                  <c:v>24475</c:v>
                </c:pt>
                <c:pt idx="958">
                  <c:v>52572</c:v>
                </c:pt>
                <c:pt idx="959">
                  <c:v>36009</c:v>
                </c:pt>
                <c:pt idx="960">
                  <c:v>25809</c:v>
                </c:pt>
                <c:pt idx="961">
                  <c:v>33906</c:v>
                </c:pt>
                <c:pt idx="962">
                  <c:v>-225</c:v>
                </c:pt>
                <c:pt idx="963">
                  <c:v>29724</c:v>
                </c:pt>
                <c:pt idx="964">
                  <c:v>743</c:v>
                </c:pt>
                <c:pt idx="965">
                  <c:v>32414</c:v>
                </c:pt>
                <c:pt idx="966">
                  <c:v>26671</c:v>
                </c:pt>
                <c:pt idx="967">
                  <c:v>30175</c:v>
                </c:pt>
                <c:pt idx="968">
                  <c:v>33583</c:v>
                </c:pt>
                <c:pt idx="969">
                  <c:v>30807</c:v>
                </c:pt>
                <c:pt idx="970">
                  <c:v>18118</c:v>
                </c:pt>
                <c:pt idx="971">
                  <c:v>-928</c:v>
                </c:pt>
                <c:pt idx="972">
                  <c:v>-14143</c:v>
                </c:pt>
                <c:pt idx="973">
                  <c:v>-1829</c:v>
                </c:pt>
                <c:pt idx="974">
                  <c:v>-1750</c:v>
                </c:pt>
                <c:pt idx="975">
                  <c:v>11226</c:v>
                </c:pt>
                <c:pt idx="976">
                  <c:v>-11360</c:v>
                </c:pt>
                <c:pt idx="977">
                  <c:v>-18349</c:v>
                </c:pt>
                <c:pt idx="978">
                  <c:v>-31669</c:v>
                </c:pt>
                <c:pt idx="979">
                  <c:v>-24801</c:v>
                </c:pt>
                <c:pt idx="980">
                  <c:v>-6714</c:v>
                </c:pt>
                <c:pt idx="981">
                  <c:v>1222</c:v>
                </c:pt>
                <c:pt idx="982">
                  <c:v>5139</c:v>
                </c:pt>
                <c:pt idx="983">
                  <c:v>245</c:v>
                </c:pt>
                <c:pt idx="984">
                  <c:v>-3096</c:v>
                </c:pt>
                <c:pt idx="985">
                  <c:v>10961</c:v>
                </c:pt>
                <c:pt idx="986">
                  <c:v>444</c:v>
                </c:pt>
                <c:pt idx="987">
                  <c:v>-13220</c:v>
                </c:pt>
                <c:pt idx="988">
                  <c:v>-26193</c:v>
                </c:pt>
                <c:pt idx="989">
                  <c:v>-59755</c:v>
                </c:pt>
                <c:pt idx="990">
                  <c:v>-64010</c:v>
                </c:pt>
                <c:pt idx="991">
                  <c:v>-68724</c:v>
                </c:pt>
                <c:pt idx="992">
                  <c:v>-61972</c:v>
                </c:pt>
                <c:pt idx="993">
                  <c:v>-53226</c:v>
                </c:pt>
                <c:pt idx="994">
                  <c:v>-50147</c:v>
                </c:pt>
                <c:pt idx="995">
                  <c:v>-47092</c:v>
                </c:pt>
                <c:pt idx="996">
                  <c:v>-29122</c:v>
                </c:pt>
                <c:pt idx="997">
                  <c:v>-32864</c:v>
                </c:pt>
                <c:pt idx="998">
                  <c:v>-36634</c:v>
                </c:pt>
                <c:pt idx="999">
                  <c:v>-46660</c:v>
                </c:pt>
                <c:pt idx="1000">
                  <c:v>-43560</c:v>
                </c:pt>
                <c:pt idx="1001">
                  <c:v>-39509</c:v>
                </c:pt>
                <c:pt idx="1002">
                  <c:v>-25939</c:v>
                </c:pt>
                <c:pt idx="1003">
                  <c:v>-29172</c:v>
                </c:pt>
                <c:pt idx="1004">
                  <c:v>-31899</c:v>
                </c:pt>
                <c:pt idx="1005">
                  <c:v>-35853</c:v>
                </c:pt>
                <c:pt idx="1006">
                  <c:v>-41634</c:v>
                </c:pt>
                <c:pt idx="1007">
                  <c:v>-31361</c:v>
                </c:pt>
                <c:pt idx="1008">
                  <c:v>-26214</c:v>
                </c:pt>
                <c:pt idx="1009">
                  <c:v>-33122</c:v>
                </c:pt>
                <c:pt idx="1010">
                  <c:v>-40599</c:v>
                </c:pt>
                <c:pt idx="1011">
                  <c:v>-31350</c:v>
                </c:pt>
                <c:pt idx="1012">
                  <c:v>-23235</c:v>
                </c:pt>
                <c:pt idx="1013">
                  <c:v>-37099</c:v>
                </c:pt>
                <c:pt idx="1014">
                  <c:v>-41848</c:v>
                </c:pt>
                <c:pt idx="1015">
                  <c:v>-15852</c:v>
                </c:pt>
                <c:pt idx="1016">
                  <c:v>-11110</c:v>
                </c:pt>
                <c:pt idx="1017">
                  <c:v>-8807</c:v>
                </c:pt>
                <c:pt idx="1018">
                  <c:v>-18784</c:v>
                </c:pt>
                <c:pt idx="1019">
                  <c:v>-13051</c:v>
                </c:pt>
                <c:pt idx="1020">
                  <c:v>7536</c:v>
                </c:pt>
                <c:pt idx="1021">
                  <c:v>16493</c:v>
                </c:pt>
                <c:pt idx="1022">
                  <c:v>25339</c:v>
                </c:pt>
                <c:pt idx="1023">
                  <c:v>25021</c:v>
                </c:pt>
                <c:pt idx="1024">
                  <c:v>11340</c:v>
                </c:pt>
                <c:pt idx="1025">
                  <c:v>1475</c:v>
                </c:pt>
                <c:pt idx="1026">
                  <c:v>-2867</c:v>
                </c:pt>
                <c:pt idx="1027">
                  <c:v>-23112</c:v>
                </c:pt>
                <c:pt idx="1028">
                  <c:v>-17153</c:v>
                </c:pt>
                <c:pt idx="1029">
                  <c:v>-758</c:v>
                </c:pt>
                <c:pt idx="1030">
                  <c:v>-5353</c:v>
                </c:pt>
                <c:pt idx="1031">
                  <c:v>-7622</c:v>
                </c:pt>
                <c:pt idx="1032">
                  <c:v>-7453</c:v>
                </c:pt>
                <c:pt idx="1033">
                  <c:v>-2934</c:v>
                </c:pt>
                <c:pt idx="1034">
                  <c:v>-1810</c:v>
                </c:pt>
                <c:pt idx="1035">
                  <c:v>-8275</c:v>
                </c:pt>
                <c:pt idx="1036">
                  <c:v>-288</c:v>
                </c:pt>
                <c:pt idx="1037">
                  <c:v>7833</c:v>
                </c:pt>
                <c:pt idx="1038">
                  <c:v>1968</c:v>
                </c:pt>
                <c:pt idx="1039">
                  <c:v>-6868</c:v>
                </c:pt>
                <c:pt idx="1040">
                  <c:v>-4366</c:v>
                </c:pt>
                <c:pt idx="1041">
                  <c:v>14412</c:v>
                </c:pt>
                <c:pt idx="1042">
                  <c:v>27137</c:v>
                </c:pt>
                <c:pt idx="1043">
                  <c:v>30094</c:v>
                </c:pt>
                <c:pt idx="1044">
                  <c:v>22572</c:v>
                </c:pt>
                <c:pt idx="1045">
                  <c:v>19599</c:v>
                </c:pt>
                <c:pt idx="1046">
                  <c:v>18397</c:v>
                </c:pt>
                <c:pt idx="1047">
                  <c:v>23403</c:v>
                </c:pt>
                <c:pt idx="1048">
                  <c:v>19279</c:v>
                </c:pt>
                <c:pt idx="1049">
                  <c:v>8228</c:v>
                </c:pt>
                <c:pt idx="1050">
                  <c:v>730</c:v>
                </c:pt>
                <c:pt idx="1051">
                  <c:v>10278</c:v>
                </c:pt>
                <c:pt idx="1052">
                  <c:v>27270</c:v>
                </c:pt>
                <c:pt idx="1053">
                  <c:v>27954</c:v>
                </c:pt>
                <c:pt idx="1054">
                  <c:v>28036</c:v>
                </c:pt>
                <c:pt idx="1055">
                  <c:v>37321</c:v>
                </c:pt>
                <c:pt idx="1056">
                  <c:v>36308</c:v>
                </c:pt>
                <c:pt idx="1057">
                  <c:v>25949</c:v>
                </c:pt>
                <c:pt idx="1058">
                  <c:v>28338</c:v>
                </c:pt>
                <c:pt idx="1059">
                  <c:v>17938</c:v>
                </c:pt>
                <c:pt idx="1060">
                  <c:v>10622</c:v>
                </c:pt>
                <c:pt idx="1061">
                  <c:v>1174</c:v>
                </c:pt>
                <c:pt idx="1062">
                  <c:v>-16776</c:v>
                </c:pt>
                <c:pt idx="1063">
                  <c:v>-23365</c:v>
                </c:pt>
                <c:pt idx="1064">
                  <c:v>-36130</c:v>
                </c:pt>
                <c:pt idx="1065">
                  <c:v>-43849</c:v>
                </c:pt>
                <c:pt idx="1066">
                  <c:v>-49800</c:v>
                </c:pt>
                <c:pt idx="1067">
                  <c:v>-61480</c:v>
                </c:pt>
                <c:pt idx="1068">
                  <c:v>-66555</c:v>
                </c:pt>
                <c:pt idx="1069">
                  <c:v>-65020</c:v>
                </c:pt>
                <c:pt idx="1070">
                  <c:v>-69969</c:v>
                </c:pt>
                <c:pt idx="1071">
                  <c:v>-61975</c:v>
                </c:pt>
                <c:pt idx="1072">
                  <c:v>-60112</c:v>
                </c:pt>
                <c:pt idx="1073">
                  <c:v>-58607</c:v>
                </c:pt>
                <c:pt idx="1074">
                  <c:v>-63086</c:v>
                </c:pt>
                <c:pt idx="1075">
                  <c:v>-65355</c:v>
                </c:pt>
                <c:pt idx="1076">
                  <c:v>-76976</c:v>
                </c:pt>
                <c:pt idx="1077">
                  <c:v>-74525</c:v>
                </c:pt>
                <c:pt idx="1078">
                  <c:v>-77738</c:v>
                </c:pt>
                <c:pt idx="1079">
                  <c:v>-53687</c:v>
                </c:pt>
                <c:pt idx="1080">
                  <c:v>-20406</c:v>
                </c:pt>
                <c:pt idx="1081">
                  <c:v>-19429</c:v>
                </c:pt>
                <c:pt idx="1082">
                  <c:v>-31324</c:v>
                </c:pt>
                <c:pt idx="1083">
                  <c:v>-34259</c:v>
                </c:pt>
                <c:pt idx="1084">
                  <c:v>-37446</c:v>
                </c:pt>
                <c:pt idx="1085">
                  <c:v>-49653</c:v>
                </c:pt>
                <c:pt idx="1086">
                  <c:v>-49463</c:v>
                </c:pt>
                <c:pt idx="1087">
                  <c:v>-46033</c:v>
                </c:pt>
                <c:pt idx="1088">
                  <c:v>-46521</c:v>
                </c:pt>
                <c:pt idx="1089">
                  <c:v>-39522</c:v>
                </c:pt>
                <c:pt idx="1090">
                  <c:v>-38226</c:v>
                </c:pt>
                <c:pt idx="1091">
                  <c:v>-43046</c:v>
                </c:pt>
                <c:pt idx="1092">
                  <c:v>-38166</c:v>
                </c:pt>
                <c:pt idx="1093">
                  <c:v>-6310</c:v>
                </c:pt>
                <c:pt idx="1094">
                  <c:v>1174</c:v>
                </c:pt>
                <c:pt idx="1095">
                  <c:v>1496</c:v>
                </c:pt>
                <c:pt idx="1096">
                  <c:v>8771</c:v>
                </c:pt>
                <c:pt idx="1097">
                  <c:v>12231</c:v>
                </c:pt>
                <c:pt idx="1098">
                  <c:v>14262</c:v>
                </c:pt>
                <c:pt idx="1099">
                  <c:v>10162</c:v>
                </c:pt>
                <c:pt idx="1100">
                  <c:v>-2392</c:v>
                </c:pt>
                <c:pt idx="1101">
                  <c:v>-9303</c:v>
                </c:pt>
                <c:pt idx="1102">
                  <c:v>-1665</c:v>
                </c:pt>
                <c:pt idx="1103">
                  <c:v>391</c:v>
                </c:pt>
                <c:pt idx="1104">
                  <c:v>18369</c:v>
                </c:pt>
                <c:pt idx="1105">
                  <c:v>18429</c:v>
                </c:pt>
                <c:pt idx="1106">
                  <c:v>17825</c:v>
                </c:pt>
                <c:pt idx="1107">
                  <c:v>14420</c:v>
                </c:pt>
                <c:pt idx="1108">
                  <c:v>22781</c:v>
                </c:pt>
                <c:pt idx="1109">
                  <c:v>18178</c:v>
                </c:pt>
                <c:pt idx="1110">
                  <c:v>11160</c:v>
                </c:pt>
                <c:pt idx="1111">
                  <c:v>8720</c:v>
                </c:pt>
                <c:pt idx="1112">
                  <c:v>22172</c:v>
                </c:pt>
                <c:pt idx="1113">
                  <c:v>10951</c:v>
                </c:pt>
                <c:pt idx="1114">
                  <c:v>10672</c:v>
                </c:pt>
                <c:pt idx="1115">
                  <c:v>22323</c:v>
                </c:pt>
                <c:pt idx="1116">
                  <c:v>28802</c:v>
                </c:pt>
                <c:pt idx="1117">
                  <c:v>29605</c:v>
                </c:pt>
                <c:pt idx="1118">
                  <c:v>21999</c:v>
                </c:pt>
                <c:pt idx="1119">
                  <c:v>25536</c:v>
                </c:pt>
                <c:pt idx="1120">
                  <c:v>29724</c:v>
                </c:pt>
                <c:pt idx="1121">
                  <c:v>33572</c:v>
                </c:pt>
                <c:pt idx="1122">
                  <c:v>46477</c:v>
                </c:pt>
                <c:pt idx="1123">
                  <c:v>50598</c:v>
                </c:pt>
                <c:pt idx="1124">
                  <c:v>47800</c:v>
                </c:pt>
                <c:pt idx="1125">
                  <c:v>44234</c:v>
                </c:pt>
                <c:pt idx="1126">
                  <c:v>40646</c:v>
                </c:pt>
                <c:pt idx="1127">
                  <c:v>31755</c:v>
                </c:pt>
                <c:pt idx="1128">
                  <c:v>33090</c:v>
                </c:pt>
                <c:pt idx="1129">
                  <c:v>35304</c:v>
                </c:pt>
                <c:pt idx="1130">
                  <c:v>34974</c:v>
                </c:pt>
                <c:pt idx="1131">
                  <c:v>35842</c:v>
                </c:pt>
                <c:pt idx="1132">
                  <c:v>52596</c:v>
                </c:pt>
                <c:pt idx="1133">
                  <c:v>49751</c:v>
                </c:pt>
                <c:pt idx="1134">
                  <c:v>56412</c:v>
                </c:pt>
                <c:pt idx="1135">
                  <c:v>41639</c:v>
                </c:pt>
                <c:pt idx="1136">
                  <c:v>38770</c:v>
                </c:pt>
                <c:pt idx="1137">
                  <c:v>27497</c:v>
                </c:pt>
                <c:pt idx="1138">
                  <c:v>24910</c:v>
                </c:pt>
                <c:pt idx="1139">
                  <c:v>12121</c:v>
                </c:pt>
                <c:pt idx="1140">
                  <c:v>18799</c:v>
                </c:pt>
                <c:pt idx="1141">
                  <c:v>13287</c:v>
                </c:pt>
                <c:pt idx="1142">
                  <c:v>15467</c:v>
                </c:pt>
                <c:pt idx="1143">
                  <c:v>9448</c:v>
                </c:pt>
                <c:pt idx="1144">
                  <c:v>26727</c:v>
                </c:pt>
                <c:pt idx="1145">
                  <c:v>-6581</c:v>
                </c:pt>
                <c:pt idx="1146">
                  <c:v>-1050</c:v>
                </c:pt>
                <c:pt idx="1147">
                  <c:v>3589</c:v>
                </c:pt>
                <c:pt idx="1148">
                  <c:v>-1075</c:v>
                </c:pt>
                <c:pt idx="1149">
                  <c:v>-2837</c:v>
                </c:pt>
                <c:pt idx="1150">
                  <c:v>-4485</c:v>
                </c:pt>
                <c:pt idx="1151">
                  <c:v>-6247</c:v>
                </c:pt>
                <c:pt idx="1152">
                  <c:v>-7462</c:v>
                </c:pt>
                <c:pt idx="1153">
                  <c:v>-12891</c:v>
                </c:pt>
                <c:pt idx="1154">
                  <c:v>-22829</c:v>
                </c:pt>
                <c:pt idx="1155">
                  <c:v>-30666</c:v>
                </c:pt>
                <c:pt idx="1156">
                  <c:v>-31014</c:v>
                </c:pt>
                <c:pt idx="1157">
                  <c:v>-23602</c:v>
                </c:pt>
                <c:pt idx="1158">
                  <c:v>-14552</c:v>
                </c:pt>
                <c:pt idx="1159">
                  <c:v>-15233</c:v>
                </c:pt>
                <c:pt idx="1160">
                  <c:v>-19302</c:v>
                </c:pt>
                <c:pt idx="1161">
                  <c:v>-25570</c:v>
                </c:pt>
                <c:pt idx="1162">
                  <c:v>-37140</c:v>
                </c:pt>
                <c:pt idx="1163">
                  <c:v>-45708</c:v>
                </c:pt>
                <c:pt idx="1164">
                  <c:v>-45340</c:v>
                </c:pt>
                <c:pt idx="1165">
                  <c:v>-42398</c:v>
                </c:pt>
                <c:pt idx="1166">
                  <c:v>-38603</c:v>
                </c:pt>
                <c:pt idx="1167">
                  <c:v>-28798</c:v>
                </c:pt>
                <c:pt idx="1168">
                  <c:v>-21870</c:v>
                </c:pt>
                <c:pt idx="1169">
                  <c:v>-26908</c:v>
                </c:pt>
                <c:pt idx="1170">
                  <c:v>-32591</c:v>
                </c:pt>
                <c:pt idx="1171">
                  <c:v>-37851</c:v>
                </c:pt>
                <c:pt idx="1172">
                  <c:v>-38557</c:v>
                </c:pt>
                <c:pt idx="1173">
                  <c:v>-36630</c:v>
                </c:pt>
                <c:pt idx="1174">
                  <c:v>-34301</c:v>
                </c:pt>
                <c:pt idx="1175">
                  <c:v>-36045</c:v>
                </c:pt>
                <c:pt idx="1176">
                  <c:v>-29281</c:v>
                </c:pt>
                <c:pt idx="1177">
                  <c:v>-34128</c:v>
                </c:pt>
                <c:pt idx="1178">
                  <c:v>-24758</c:v>
                </c:pt>
                <c:pt idx="1179">
                  <c:v>-30769</c:v>
                </c:pt>
                <c:pt idx="1180">
                  <c:v>-23362</c:v>
                </c:pt>
                <c:pt idx="1181">
                  <c:v>-25539</c:v>
                </c:pt>
                <c:pt idx="1182">
                  <c:v>-25658</c:v>
                </c:pt>
                <c:pt idx="1183">
                  <c:v>-28277</c:v>
                </c:pt>
                <c:pt idx="1184">
                  <c:v>-25434</c:v>
                </c:pt>
                <c:pt idx="1185">
                  <c:v>-22194</c:v>
                </c:pt>
                <c:pt idx="1186">
                  <c:v>-12759</c:v>
                </c:pt>
                <c:pt idx="1187">
                  <c:v>-22973</c:v>
                </c:pt>
                <c:pt idx="1188">
                  <c:v>-24199</c:v>
                </c:pt>
                <c:pt idx="1189">
                  <c:v>-21468</c:v>
                </c:pt>
                <c:pt idx="1190">
                  <c:v>-9788</c:v>
                </c:pt>
                <c:pt idx="1191">
                  <c:v>-6557</c:v>
                </c:pt>
                <c:pt idx="1192">
                  <c:v>-10371</c:v>
                </c:pt>
                <c:pt idx="1193">
                  <c:v>-3971</c:v>
                </c:pt>
                <c:pt idx="1194">
                  <c:v>3299</c:v>
                </c:pt>
                <c:pt idx="1195">
                  <c:v>-11239</c:v>
                </c:pt>
                <c:pt idx="1196">
                  <c:v>-17638</c:v>
                </c:pt>
                <c:pt idx="1197">
                  <c:v>-3619</c:v>
                </c:pt>
                <c:pt idx="1198">
                  <c:v>1267</c:v>
                </c:pt>
                <c:pt idx="1199">
                  <c:v>-2047</c:v>
                </c:pt>
                <c:pt idx="1200">
                  <c:v>-4533</c:v>
                </c:pt>
                <c:pt idx="1201">
                  <c:v>-7527</c:v>
                </c:pt>
                <c:pt idx="1202">
                  <c:v>7537</c:v>
                </c:pt>
                <c:pt idx="1203">
                  <c:v>4134</c:v>
                </c:pt>
                <c:pt idx="1204">
                  <c:v>188</c:v>
                </c:pt>
                <c:pt idx="1205">
                  <c:v>-15770</c:v>
                </c:pt>
                <c:pt idx="1206">
                  <c:v>-25260</c:v>
                </c:pt>
                <c:pt idx="1207">
                  <c:v>-32256</c:v>
                </c:pt>
                <c:pt idx="1208">
                  <c:v>-28258</c:v>
                </c:pt>
                <c:pt idx="1209">
                  <c:v>-23902</c:v>
                </c:pt>
                <c:pt idx="1210">
                  <c:v>-16920</c:v>
                </c:pt>
                <c:pt idx="1211">
                  <c:v>-26661</c:v>
                </c:pt>
                <c:pt idx="1212">
                  <c:v>-31022</c:v>
                </c:pt>
                <c:pt idx="1213">
                  <c:v>-30496</c:v>
                </c:pt>
                <c:pt idx="1214">
                  <c:v>-30521</c:v>
                </c:pt>
                <c:pt idx="1215">
                  <c:v>-38579</c:v>
                </c:pt>
                <c:pt idx="1216">
                  <c:v>-47537</c:v>
                </c:pt>
                <c:pt idx="1217">
                  <c:v>-45018</c:v>
                </c:pt>
                <c:pt idx="1218">
                  <c:v>-36300</c:v>
                </c:pt>
                <c:pt idx="1219">
                  <c:v>-36255</c:v>
                </c:pt>
                <c:pt idx="1220">
                  <c:v>-33068</c:v>
                </c:pt>
                <c:pt idx="1221">
                  <c:v>-39378</c:v>
                </c:pt>
                <c:pt idx="1222">
                  <c:v>-49005</c:v>
                </c:pt>
                <c:pt idx="1223">
                  <c:v>-13619</c:v>
                </c:pt>
                <c:pt idx="1224">
                  <c:v>-37723</c:v>
                </c:pt>
                <c:pt idx="1225">
                  <c:v>-40028</c:v>
                </c:pt>
                <c:pt idx="1226">
                  <c:v>-46506</c:v>
                </c:pt>
                <c:pt idx="1227">
                  <c:v>-51310</c:v>
                </c:pt>
                <c:pt idx="1228">
                  <c:v>-55152</c:v>
                </c:pt>
                <c:pt idx="1229">
                  <c:v>-48669</c:v>
                </c:pt>
                <c:pt idx="1230">
                  <c:v>-40408</c:v>
                </c:pt>
                <c:pt idx="1231">
                  <c:v>-34935</c:v>
                </c:pt>
                <c:pt idx="1232">
                  <c:v>-38422</c:v>
                </c:pt>
                <c:pt idx="1233">
                  <c:v>-32835</c:v>
                </c:pt>
                <c:pt idx="1234">
                  <c:v>-32851</c:v>
                </c:pt>
                <c:pt idx="1235">
                  <c:v>-66299</c:v>
                </c:pt>
                <c:pt idx="1236">
                  <c:v>-36661</c:v>
                </c:pt>
                <c:pt idx="1237">
                  <c:v>-51947</c:v>
                </c:pt>
                <c:pt idx="1238">
                  <c:v>-42711</c:v>
                </c:pt>
                <c:pt idx="1239">
                  <c:v>-49031</c:v>
                </c:pt>
                <c:pt idx="1240">
                  <c:v>-60067</c:v>
                </c:pt>
                <c:pt idx="1241">
                  <c:v>-74386</c:v>
                </c:pt>
                <c:pt idx="1242">
                  <c:v>-80572</c:v>
                </c:pt>
                <c:pt idx="1243">
                  <c:v>-82515</c:v>
                </c:pt>
                <c:pt idx="1244">
                  <c:v>-90082</c:v>
                </c:pt>
                <c:pt idx="1245">
                  <c:v>-94238</c:v>
                </c:pt>
                <c:pt idx="1246">
                  <c:v>-94978</c:v>
                </c:pt>
                <c:pt idx="1247">
                  <c:v>-92485</c:v>
                </c:pt>
                <c:pt idx="1248">
                  <c:v>-89969</c:v>
                </c:pt>
                <c:pt idx="1249">
                  <c:v>-82821</c:v>
                </c:pt>
                <c:pt idx="1250">
                  <c:v>-58686</c:v>
                </c:pt>
                <c:pt idx="1251">
                  <c:v>-87714</c:v>
                </c:pt>
                <c:pt idx="1252">
                  <c:v>-97572</c:v>
                </c:pt>
                <c:pt idx="1253">
                  <c:v>-95470</c:v>
                </c:pt>
                <c:pt idx="1254">
                  <c:v>-91558</c:v>
                </c:pt>
                <c:pt idx="1255">
                  <c:v>-83962</c:v>
                </c:pt>
                <c:pt idx="1256">
                  <c:v>-82961</c:v>
                </c:pt>
                <c:pt idx="1257">
                  <c:v>-89845</c:v>
                </c:pt>
                <c:pt idx="1258">
                  <c:v>-80313</c:v>
                </c:pt>
                <c:pt idx="1259">
                  <c:v>-74318</c:v>
                </c:pt>
                <c:pt idx="1260">
                  <c:v>-78135</c:v>
                </c:pt>
                <c:pt idx="1261">
                  <c:v>-77238</c:v>
                </c:pt>
                <c:pt idx="1262">
                  <c:v>-72343</c:v>
                </c:pt>
                <c:pt idx="1263">
                  <c:v>-59350</c:v>
                </c:pt>
                <c:pt idx="1264">
                  <c:v>-57099</c:v>
                </c:pt>
                <c:pt idx="1265">
                  <c:v>-64742</c:v>
                </c:pt>
                <c:pt idx="1266">
                  <c:v>-65831</c:v>
                </c:pt>
                <c:pt idx="1267">
                  <c:v>-66242</c:v>
                </c:pt>
                <c:pt idx="1268">
                  <c:v>-63172</c:v>
                </c:pt>
                <c:pt idx="1269">
                  <c:v>-61772</c:v>
                </c:pt>
                <c:pt idx="1270">
                  <c:v>-64539</c:v>
                </c:pt>
                <c:pt idx="1271">
                  <c:v>-65528</c:v>
                </c:pt>
                <c:pt idx="1272">
                  <c:v>-66352</c:v>
                </c:pt>
                <c:pt idx="1273">
                  <c:v>-70671</c:v>
                </c:pt>
                <c:pt idx="1274">
                  <c:v>-81437</c:v>
                </c:pt>
                <c:pt idx="1275">
                  <c:v>-107117</c:v>
                </c:pt>
                <c:pt idx="1276">
                  <c:v>-107844</c:v>
                </c:pt>
                <c:pt idx="1277">
                  <c:v>-104075</c:v>
                </c:pt>
                <c:pt idx="1278">
                  <c:v>-99673</c:v>
                </c:pt>
                <c:pt idx="1279">
                  <c:v>-105901</c:v>
                </c:pt>
                <c:pt idx="1280">
                  <c:v>-99490</c:v>
                </c:pt>
                <c:pt idx="1281">
                  <c:v>-91182</c:v>
                </c:pt>
                <c:pt idx="1282">
                  <c:v>-81364</c:v>
                </c:pt>
                <c:pt idx="1283">
                  <c:v>-46798</c:v>
                </c:pt>
                <c:pt idx="1284">
                  <c:v>-32995</c:v>
                </c:pt>
                <c:pt idx="1285">
                  <c:v>-23867</c:v>
                </c:pt>
                <c:pt idx="1286">
                  <c:v>-29651</c:v>
                </c:pt>
                <c:pt idx="1287">
                  <c:v>-36716</c:v>
                </c:pt>
                <c:pt idx="1288">
                  <c:v>-39441</c:v>
                </c:pt>
                <c:pt idx="1289">
                  <c:v>-37604</c:v>
                </c:pt>
                <c:pt idx="1290">
                  <c:v>-39133</c:v>
                </c:pt>
                <c:pt idx="1291">
                  <c:v>-27767</c:v>
                </c:pt>
                <c:pt idx="1292">
                  <c:v>-24138</c:v>
                </c:pt>
                <c:pt idx="1293">
                  <c:v>-16473</c:v>
                </c:pt>
                <c:pt idx="1294">
                  <c:v>-26197</c:v>
                </c:pt>
                <c:pt idx="1295">
                  <c:v>-29452</c:v>
                </c:pt>
                <c:pt idx="1296">
                  <c:v>-25160</c:v>
                </c:pt>
                <c:pt idx="1297">
                  <c:v>-31860</c:v>
                </c:pt>
                <c:pt idx="1298">
                  <c:v>-45900</c:v>
                </c:pt>
                <c:pt idx="1299">
                  <c:v>-51555</c:v>
                </c:pt>
                <c:pt idx="1300">
                  <c:v>-52927</c:v>
                </c:pt>
                <c:pt idx="1301">
                  <c:v>-46085</c:v>
                </c:pt>
                <c:pt idx="1302">
                  <c:v>-10161</c:v>
                </c:pt>
                <c:pt idx="1303">
                  <c:v>5054</c:v>
                </c:pt>
                <c:pt idx="1304">
                  <c:v>19949</c:v>
                </c:pt>
                <c:pt idx="1305">
                  <c:v>15508</c:v>
                </c:pt>
                <c:pt idx="1306">
                  <c:v>5047</c:v>
                </c:pt>
                <c:pt idx="1307">
                  <c:v>-1485</c:v>
                </c:pt>
                <c:pt idx="1308">
                  <c:v>1245</c:v>
                </c:pt>
                <c:pt idx="1309">
                  <c:v>-9198</c:v>
                </c:pt>
                <c:pt idx="1310">
                  <c:v>-4533</c:v>
                </c:pt>
                <c:pt idx="1311">
                  <c:v>-300</c:v>
                </c:pt>
                <c:pt idx="1312">
                  <c:v>4573</c:v>
                </c:pt>
                <c:pt idx="1313">
                  <c:v>6406</c:v>
                </c:pt>
                <c:pt idx="1314">
                  <c:v>11388</c:v>
                </c:pt>
                <c:pt idx="1315">
                  <c:v>20388</c:v>
                </c:pt>
                <c:pt idx="1316">
                  <c:v>12676</c:v>
                </c:pt>
                <c:pt idx="1317">
                  <c:v>16235</c:v>
                </c:pt>
                <c:pt idx="1318">
                  <c:v>25492</c:v>
                </c:pt>
                <c:pt idx="1319">
                  <c:v>26204</c:v>
                </c:pt>
                <c:pt idx="1320">
                  <c:v>33045</c:v>
                </c:pt>
                <c:pt idx="1321">
                  <c:v>31741</c:v>
                </c:pt>
                <c:pt idx="1322">
                  <c:v>27867</c:v>
                </c:pt>
                <c:pt idx="1323">
                  <c:v>14940</c:v>
                </c:pt>
                <c:pt idx="1324">
                  <c:v>7803</c:v>
                </c:pt>
                <c:pt idx="1325">
                  <c:v>12687</c:v>
                </c:pt>
                <c:pt idx="1326">
                  <c:v>5264</c:v>
                </c:pt>
                <c:pt idx="1327">
                  <c:v>8027</c:v>
                </c:pt>
                <c:pt idx="1328">
                  <c:v>23807</c:v>
                </c:pt>
                <c:pt idx="1329">
                  <c:v>34176</c:v>
                </c:pt>
                <c:pt idx="1330">
                  <c:v>40338</c:v>
                </c:pt>
                <c:pt idx="1331">
                  <c:v>43016</c:v>
                </c:pt>
                <c:pt idx="1332">
                  <c:v>47702</c:v>
                </c:pt>
                <c:pt idx="1333">
                  <c:v>37365</c:v>
                </c:pt>
                <c:pt idx="1334">
                  <c:v>26372</c:v>
                </c:pt>
                <c:pt idx="1335">
                  <c:v>8988</c:v>
                </c:pt>
                <c:pt idx="1336">
                  <c:v>5621</c:v>
                </c:pt>
                <c:pt idx="1337">
                  <c:v>5701</c:v>
                </c:pt>
                <c:pt idx="1338">
                  <c:v>9477</c:v>
                </c:pt>
                <c:pt idx="1339">
                  <c:v>7345</c:v>
                </c:pt>
                <c:pt idx="1340">
                  <c:v>10969</c:v>
                </c:pt>
                <c:pt idx="1341">
                  <c:v>-19206</c:v>
                </c:pt>
                <c:pt idx="1342">
                  <c:v>-21581</c:v>
                </c:pt>
                <c:pt idx="1343">
                  <c:v>-28781</c:v>
                </c:pt>
                <c:pt idx="1344">
                  <c:v>-40403</c:v>
                </c:pt>
                <c:pt idx="1345">
                  <c:v>-38752</c:v>
                </c:pt>
                <c:pt idx="1346">
                  <c:v>-46743</c:v>
                </c:pt>
                <c:pt idx="1347">
                  <c:v>-47386</c:v>
                </c:pt>
                <c:pt idx="1348">
                  <c:v>-58852</c:v>
                </c:pt>
                <c:pt idx="1349">
                  <c:v>-60741</c:v>
                </c:pt>
                <c:pt idx="1350">
                  <c:v>-72338</c:v>
                </c:pt>
                <c:pt idx="1351">
                  <c:v>-76928</c:v>
                </c:pt>
                <c:pt idx="1352">
                  <c:v>-69613</c:v>
                </c:pt>
                <c:pt idx="1353">
                  <c:v>-61179</c:v>
                </c:pt>
                <c:pt idx="1354">
                  <c:v>-79258</c:v>
                </c:pt>
                <c:pt idx="1355">
                  <c:v>-67078</c:v>
                </c:pt>
                <c:pt idx="1356">
                  <c:v>-59340</c:v>
                </c:pt>
                <c:pt idx="1357">
                  <c:v>-60507</c:v>
                </c:pt>
                <c:pt idx="1358">
                  <c:v>-50353</c:v>
                </c:pt>
                <c:pt idx="1359">
                  <c:v>-46997</c:v>
                </c:pt>
                <c:pt idx="1360">
                  <c:v>-52482</c:v>
                </c:pt>
                <c:pt idx="1361">
                  <c:v>-56799</c:v>
                </c:pt>
                <c:pt idx="1362">
                  <c:v>-47107</c:v>
                </c:pt>
                <c:pt idx="1363">
                  <c:v>-43478</c:v>
                </c:pt>
                <c:pt idx="1364">
                  <c:v>-39150</c:v>
                </c:pt>
                <c:pt idx="1365">
                  <c:v>-39750</c:v>
                </c:pt>
                <c:pt idx="1366">
                  <c:v>-42419</c:v>
                </c:pt>
                <c:pt idx="1367">
                  <c:v>-60723</c:v>
                </c:pt>
                <c:pt idx="1368">
                  <c:v>-56479</c:v>
                </c:pt>
                <c:pt idx="1369">
                  <c:v>-56914</c:v>
                </c:pt>
                <c:pt idx="1370">
                  <c:v>-60092</c:v>
                </c:pt>
                <c:pt idx="1371">
                  <c:v>-60476</c:v>
                </c:pt>
                <c:pt idx="1372">
                  <c:v>-52111</c:v>
                </c:pt>
                <c:pt idx="1373">
                  <c:v>-35196</c:v>
                </c:pt>
                <c:pt idx="1374">
                  <c:v>-33744</c:v>
                </c:pt>
                <c:pt idx="1375">
                  <c:v>-42944</c:v>
                </c:pt>
                <c:pt idx="1376">
                  <c:v>-47528</c:v>
                </c:pt>
                <c:pt idx="1377">
                  <c:v>-39263</c:v>
                </c:pt>
                <c:pt idx="1378">
                  <c:v>-34929</c:v>
                </c:pt>
                <c:pt idx="1379">
                  <c:v>-36696</c:v>
                </c:pt>
                <c:pt idx="1380">
                  <c:v>-13774</c:v>
                </c:pt>
                <c:pt idx="1381">
                  <c:v>-8582</c:v>
                </c:pt>
                <c:pt idx="1382">
                  <c:v>-9931</c:v>
                </c:pt>
                <c:pt idx="1383">
                  <c:v>-6516</c:v>
                </c:pt>
                <c:pt idx="1384">
                  <c:v>922</c:v>
                </c:pt>
                <c:pt idx="1385">
                  <c:v>-1835</c:v>
                </c:pt>
                <c:pt idx="1386">
                  <c:v>-4668</c:v>
                </c:pt>
                <c:pt idx="1387">
                  <c:v>-6879</c:v>
                </c:pt>
                <c:pt idx="1388">
                  <c:v>-3318</c:v>
                </c:pt>
                <c:pt idx="1389">
                  <c:v>-26152</c:v>
                </c:pt>
                <c:pt idx="1390">
                  <c:v>-31996</c:v>
                </c:pt>
                <c:pt idx="1391">
                  <c:v>-47762</c:v>
                </c:pt>
                <c:pt idx="1392">
                  <c:v>-44801</c:v>
                </c:pt>
                <c:pt idx="1393">
                  <c:v>-52564</c:v>
                </c:pt>
                <c:pt idx="1394">
                  <c:v>-58937</c:v>
                </c:pt>
                <c:pt idx="1395">
                  <c:v>-64244</c:v>
                </c:pt>
                <c:pt idx="1396">
                  <c:v>-72982</c:v>
                </c:pt>
                <c:pt idx="1397">
                  <c:v>-76357</c:v>
                </c:pt>
                <c:pt idx="1398">
                  <c:v>-78583</c:v>
                </c:pt>
                <c:pt idx="1399">
                  <c:v>-90150</c:v>
                </c:pt>
                <c:pt idx="1400">
                  <c:v>-102702</c:v>
                </c:pt>
                <c:pt idx="1401">
                  <c:v>-95820</c:v>
                </c:pt>
                <c:pt idx="1402">
                  <c:v>-92418</c:v>
                </c:pt>
                <c:pt idx="1403">
                  <c:v>-89028</c:v>
                </c:pt>
                <c:pt idx="1404">
                  <c:v>-84959</c:v>
                </c:pt>
                <c:pt idx="1405">
                  <c:v>-92233</c:v>
                </c:pt>
                <c:pt idx="1406">
                  <c:v>-86124</c:v>
                </c:pt>
                <c:pt idx="1407">
                  <c:v>-80795</c:v>
                </c:pt>
                <c:pt idx="1408">
                  <c:v>-77092</c:v>
                </c:pt>
                <c:pt idx="1409">
                  <c:v>-73219</c:v>
                </c:pt>
                <c:pt idx="1410">
                  <c:v>-72952</c:v>
                </c:pt>
                <c:pt idx="1411">
                  <c:v>-52440</c:v>
                </c:pt>
                <c:pt idx="1412">
                  <c:v>-32415</c:v>
                </c:pt>
                <c:pt idx="1413">
                  <c:v>-29035</c:v>
                </c:pt>
                <c:pt idx="1414">
                  <c:v>-28133</c:v>
                </c:pt>
                <c:pt idx="1415">
                  <c:v>-31903</c:v>
                </c:pt>
                <c:pt idx="1416">
                  <c:v>-36576</c:v>
                </c:pt>
                <c:pt idx="1417">
                  <c:v>-30050</c:v>
                </c:pt>
                <c:pt idx="1418">
                  <c:v>-22639</c:v>
                </c:pt>
                <c:pt idx="1419">
                  <c:v>-5780</c:v>
                </c:pt>
                <c:pt idx="1420">
                  <c:v>8697</c:v>
                </c:pt>
                <c:pt idx="1421">
                  <c:v>12393</c:v>
                </c:pt>
                <c:pt idx="1422">
                  <c:v>16510</c:v>
                </c:pt>
                <c:pt idx="1423">
                  <c:v>31532</c:v>
                </c:pt>
                <c:pt idx="1424">
                  <c:v>24922</c:v>
                </c:pt>
                <c:pt idx="1425">
                  <c:v>17689</c:v>
                </c:pt>
                <c:pt idx="1426">
                  <c:v>12987</c:v>
                </c:pt>
                <c:pt idx="1427">
                  <c:v>21084</c:v>
                </c:pt>
                <c:pt idx="1428">
                  <c:v>29258</c:v>
                </c:pt>
                <c:pt idx="1429">
                  <c:v>29598</c:v>
                </c:pt>
                <c:pt idx="1430">
                  <c:v>35162</c:v>
                </c:pt>
                <c:pt idx="1431">
                  <c:v>26328</c:v>
                </c:pt>
                <c:pt idx="1432">
                  <c:v>18640</c:v>
                </c:pt>
                <c:pt idx="1433">
                  <c:v>10884</c:v>
                </c:pt>
                <c:pt idx="1434">
                  <c:v>4993</c:v>
                </c:pt>
                <c:pt idx="1435">
                  <c:v>3693</c:v>
                </c:pt>
                <c:pt idx="1436">
                  <c:v>3232</c:v>
                </c:pt>
                <c:pt idx="1437">
                  <c:v>-1380</c:v>
                </c:pt>
                <c:pt idx="1438">
                  <c:v>-6681</c:v>
                </c:pt>
                <c:pt idx="1439">
                  <c:v>-12005</c:v>
                </c:pt>
                <c:pt idx="1440">
                  <c:v>-13688</c:v>
                </c:pt>
                <c:pt idx="1441">
                  <c:v>-18989</c:v>
                </c:pt>
                <c:pt idx="1442">
                  <c:v>-22257</c:v>
                </c:pt>
                <c:pt idx="1443">
                  <c:v>-36044</c:v>
                </c:pt>
                <c:pt idx="1444">
                  <c:v>-24048</c:v>
                </c:pt>
                <c:pt idx="1445">
                  <c:v>-15998</c:v>
                </c:pt>
                <c:pt idx="1446">
                  <c:v>-18516</c:v>
                </c:pt>
                <c:pt idx="1447">
                  <c:v>-20990</c:v>
                </c:pt>
                <c:pt idx="1448">
                  <c:v>-16408</c:v>
                </c:pt>
                <c:pt idx="1449">
                  <c:v>-13586</c:v>
                </c:pt>
                <c:pt idx="1450">
                  <c:v>-15080</c:v>
                </c:pt>
                <c:pt idx="1451">
                  <c:v>-25409</c:v>
                </c:pt>
                <c:pt idx="1452">
                  <c:v>-14727</c:v>
                </c:pt>
                <c:pt idx="1453">
                  <c:v>-2821</c:v>
                </c:pt>
                <c:pt idx="1454">
                  <c:v>6504</c:v>
                </c:pt>
                <c:pt idx="1455">
                  <c:v>5600</c:v>
                </c:pt>
                <c:pt idx="1456">
                  <c:v>6312</c:v>
                </c:pt>
                <c:pt idx="1457">
                  <c:v>12730</c:v>
                </c:pt>
                <c:pt idx="1458">
                  <c:v>2293</c:v>
                </c:pt>
                <c:pt idx="1459">
                  <c:v>2964</c:v>
                </c:pt>
                <c:pt idx="1460">
                  <c:v>-12745</c:v>
                </c:pt>
                <c:pt idx="1461">
                  <c:v>-11298</c:v>
                </c:pt>
                <c:pt idx="1462">
                  <c:v>-9802</c:v>
                </c:pt>
                <c:pt idx="1463">
                  <c:v>-2000</c:v>
                </c:pt>
                <c:pt idx="1464">
                  <c:v>-6660</c:v>
                </c:pt>
                <c:pt idx="1465">
                  <c:v>-11227</c:v>
                </c:pt>
                <c:pt idx="1466">
                  <c:v>-17695</c:v>
                </c:pt>
                <c:pt idx="1467">
                  <c:v>-19746</c:v>
                </c:pt>
                <c:pt idx="1468">
                  <c:v>-17130</c:v>
                </c:pt>
                <c:pt idx="1469">
                  <c:v>-7899</c:v>
                </c:pt>
                <c:pt idx="1470">
                  <c:v>5710</c:v>
                </c:pt>
                <c:pt idx="1471">
                  <c:v>4068</c:v>
                </c:pt>
                <c:pt idx="1472">
                  <c:v>6032</c:v>
                </c:pt>
                <c:pt idx="1473">
                  <c:v>4832</c:v>
                </c:pt>
                <c:pt idx="1474">
                  <c:v>3665</c:v>
                </c:pt>
                <c:pt idx="1475">
                  <c:v>12942</c:v>
                </c:pt>
                <c:pt idx="1476">
                  <c:v>13705</c:v>
                </c:pt>
                <c:pt idx="1477">
                  <c:v>7965</c:v>
                </c:pt>
                <c:pt idx="1478">
                  <c:v>9616</c:v>
                </c:pt>
                <c:pt idx="1479">
                  <c:v>21118</c:v>
                </c:pt>
                <c:pt idx="1480">
                  <c:v>22167</c:v>
                </c:pt>
                <c:pt idx="1481">
                  <c:v>30978</c:v>
                </c:pt>
                <c:pt idx="1482">
                  <c:v>36082</c:v>
                </c:pt>
                <c:pt idx="1483">
                  <c:v>33911</c:v>
                </c:pt>
                <c:pt idx="1484">
                  <c:v>28600</c:v>
                </c:pt>
                <c:pt idx="1485">
                  <c:v>21819</c:v>
                </c:pt>
                <c:pt idx="1486">
                  <c:v>24959</c:v>
                </c:pt>
                <c:pt idx="1487">
                  <c:v>19951</c:v>
                </c:pt>
                <c:pt idx="1488">
                  <c:v>25590</c:v>
                </c:pt>
                <c:pt idx="1489">
                  <c:v>25178</c:v>
                </c:pt>
                <c:pt idx="1490">
                  <c:v>29218</c:v>
                </c:pt>
                <c:pt idx="1491">
                  <c:v>19848</c:v>
                </c:pt>
                <c:pt idx="1492">
                  <c:v>28176</c:v>
                </c:pt>
                <c:pt idx="1493">
                  <c:v>24900</c:v>
                </c:pt>
                <c:pt idx="1494">
                  <c:v>30659</c:v>
                </c:pt>
                <c:pt idx="1495">
                  <c:v>24125</c:v>
                </c:pt>
                <c:pt idx="1496">
                  <c:v>27714</c:v>
                </c:pt>
                <c:pt idx="1497">
                  <c:v>32170</c:v>
                </c:pt>
                <c:pt idx="1498">
                  <c:v>17927</c:v>
                </c:pt>
                <c:pt idx="1499">
                  <c:v>17723</c:v>
                </c:pt>
                <c:pt idx="1500">
                  <c:v>21903</c:v>
                </c:pt>
                <c:pt idx="1501">
                  <c:v>7969</c:v>
                </c:pt>
                <c:pt idx="1502">
                  <c:v>-3497</c:v>
                </c:pt>
                <c:pt idx="1503">
                  <c:v>-5684</c:v>
                </c:pt>
                <c:pt idx="1504">
                  <c:v>-86</c:v>
                </c:pt>
                <c:pt idx="1505">
                  <c:v>7070</c:v>
                </c:pt>
                <c:pt idx="1506">
                  <c:v>4651</c:v>
                </c:pt>
                <c:pt idx="1507">
                  <c:v>-16745</c:v>
                </c:pt>
                <c:pt idx="1508">
                  <c:v>-14900</c:v>
                </c:pt>
                <c:pt idx="1509">
                  <c:v>-24524</c:v>
                </c:pt>
                <c:pt idx="1510">
                  <c:v>4790</c:v>
                </c:pt>
                <c:pt idx="1511">
                  <c:v>-218</c:v>
                </c:pt>
                <c:pt idx="1512">
                  <c:v>1964</c:v>
                </c:pt>
                <c:pt idx="1513">
                  <c:v>-20018</c:v>
                </c:pt>
                <c:pt idx="1514">
                  <c:v>-11979</c:v>
                </c:pt>
                <c:pt idx="1515">
                  <c:v>1615</c:v>
                </c:pt>
                <c:pt idx="1516">
                  <c:v>14953</c:v>
                </c:pt>
                <c:pt idx="1517">
                  <c:v>15047</c:v>
                </c:pt>
                <c:pt idx="1518">
                  <c:v>-12093</c:v>
                </c:pt>
                <c:pt idx="1519">
                  <c:v>-31599</c:v>
                </c:pt>
                <c:pt idx="1520">
                  <c:v>-34579</c:v>
                </c:pt>
                <c:pt idx="1521">
                  <c:v>-38899</c:v>
                </c:pt>
                <c:pt idx="1522">
                  <c:v>-38277</c:v>
                </c:pt>
                <c:pt idx="1523">
                  <c:v>-50748</c:v>
                </c:pt>
                <c:pt idx="1524">
                  <c:v>-57686</c:v>
                </c:pt>
                <c:pt idx="1525">
                  <c:v>-50719</c:v>
                </c:pt>
                <c:pt idx="1526">
                  <c:v>-39171</c:v>
                </c:pt>
                <c:pt idx="1527">
                  <c:v>-29166</c:v>
                </c:pt>
                <c:pt idx="1528">
                  <c:v>-247</c:v>
                </c:pt>
                <c:pt idx="1529">
                  <c:v>-7763</c:v>
                </c:pt>
                <c:pt idx="1530">
                  <c:v>-23605</c:v>
                </c:pt>
                <c:pt idx="1531">
                  <c:v>-8545</c:v>
                </c:pt>
                <c:pt idx="1532">
                  <c:v>2237</c:v>
                </c:pt>
                <c:pt idx="1533">
                  <c:v>-5809</c:v>
                </c:pt>
                <c:pt idx="1534">
                  <c:v>-337</c:v>
                </c:pt>
                <c:pt idx="1535">
                  <c:v>-12526</c:v>
                </c:pt>
                <c:pt idx="1536">
                  <c:v>-29061</c:v>
                </c:pt>
                <c:pt idx="1537">
                  <c:v>-37244</c:v>
                </c:pt>
                <c:pt idx="1538">
                  <c:v>-40070</c:v>
                </c:pt>
                <c:pt idx="1539">
                  <c:v>-41758</c:v>
                </c:pt>
                <c:pt idx="1540">
                  <c:v>-53054</c:v>
                </c:pt>
                <c:pt idx="1541">
                  <c:v>-58914</c:v>
                </c:pt>
                <c:pt idx="1542">
                  <c:v>-69621</c:v>
                </c:pt>
                <c:pt idx="1543">
                  <c:v>-73813</c:v>
                </c:pt>
                <c:pt idx="1544">
                  <c:v>-79598</c:v>
                </c:pt>
                <c:pt idx="1545">
                  <c:v>-79241</c:v>
                </c:pt>
                <c:pt idx="1546">
                  <c:v>-80372</c:v>
                </c:pt>
                <c:pt idx="1547">
                  <c:v>-74105</c:v>
                </c:pt>
                <c:pt idx="1548">
                  <c:v>-70810</c:v>
                </c:pt>
                <c:pt idx="1549">
                  <c:v>-65596</c:v>
                </c:pt>
                <c:pt idx="1550">
                  <c:v>-63247</c:v>
                </c:pt>
                <c:pt idx="1551">
                  <c:v>-53118</c:v>
                </c:pt>
                <c:pt idx="1552">
                  <c:v>-56208</c:v>
                </c:pt>
                <c:pt idx="1553">
                  <c:v>-59089</c:v>
                </c:pt>
                <c:pt idx="1554">
                  <c:v>-57250</c:v>
                </c:pt>
                <c:pt idx="1555">
                  <c:v>-53990</c:v>
                </c:pt>
                <c:pt idx="1556">
                  <c:v>-56409</c:v>
                </c:pt>
                <c:pt idx="1557">
                  <c:v>-34468</c:v>
                </c:pt>
                <c:pt idx="1558">
                  <c:v>-33109</c:v>
                </c:pt>
                <c:pt idx="1559">
                  <c:v>-27966</c:v>
                </c:pt>
                <c:pt idx="1560">
                  <c:v>-29170</c:v>
                </c:pt>
                <c:pt idx="1561">
                  <c:v>-50432</c:v>
                </c:pt>
                <c:pt idx="1562">
                  <c:v>-68086</c:v>
                </c:pt>
              </c:numCache>
            </c:numRef>
          </c:val>
          <c:extLst>
            <c:ext xmlns:c16="http://schemas.microsoft.com/office/drawing/2014/chart" uri="{C3380CC4-5D6E-409C-BE32-E72D297353CC}">
              <c16:uniqueId val="{00000000-29AF-4671-BFB7-B09816468462}"/>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areaChart>
        <c:grouping val="stacked"/>
        <c:varyColors val="0"/>
        <c:ser>
          <c:idx val="17"/>
          <c:order val="0"/>
          <c:tx>
            <c:strRef>
              <c:f>Database!$H$1</c:f>
              <c:strCache>
                <c:ptCount val="1"/>
                <c:pt idx="0">
                  <c:v>JPY</c:v>
                </c:pt>
              </c:strCache>
            </c:strRef>
          </c:tx>
          <c:spPr>
            <a:ln>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Database!$H$2:$H$1564</c:f>
              <c:numCache>
                <c:formatCode>General</c:formatCode>
                <c:ptCount val="1563"/>
                <c:pt idx="0">
                  <c:v>6900</c:v>
                </c:pt>
                <c:pt idx="1">
                  <c:v>3655</c:v>
                </c:pt>
                <c:pt idx="2">
                  <c:v>5811</c:v>
                </c:pt>
                <c:pt idx="3">
                  <c:v>4608</c:v>
                </c:pt>
                <c:pt idx="4">
                  <c:v>1625</c:v>
                </c:pt>
                <c:pt idx="5">
                  <c:v>-1800</c:v>
                </c:pt>
                <c:pt idx="6">
                  <c:v>-4807</c:v>
                </c:pt>
                <c:pt idx="7">
                  <c:v>-4451</c:v>
                </c:pt>
                <c:pt idx="8">
                  <c:v>-3976</c:v>
                </c:pt>
                <c:pt idx="9">
                  <c:v>-5789</c:v>
                </c:pt>
                <c:pt idx="10">
                  <c:v>-2827</c:v>
                </c:pt>
                <c:pt idx="11">
                  <c:v>41</c:v>
                </c:pt>
                <c:pt idx="12">
                  <c:v>-9125</c:v>
                </c:pt>
                <c:pt idx="13">
                  <c:v>-11350</c:v>
                </c:pt>
                <c:pt idx="14">
                  <c:v>-12893</c:v>
                </c:pt>
                <c:pt idx="15">
                  <c:v>-17700</c:v>
                </c:pt>
                <c:pt idx="16">
                  <c:v>-6056</c:v>
                </c:pt>
                <c:pt idx="17">
                  <c:v>-4169</c:v>
                </c:pt>
                <c:pt idx="18">
                  <c:v>8417</c:v>
                </c:pt>
                <c:pt idx="19">
                  <c:v>16697</c:v>
                </c:pt>
                <c:pt idx="20">
                  <c:v>20356</c:v>
                </c:pt>
                <c:pt idx="21">
                  <c:v>18963</c:v>
                </c:pt>
                <c:pt idx="22">
                  <c:v>17362</c:v>
                </c:pt>
                <c:pt idx="23">
                  <c:v>12526</c:v>
                </c:pt>
                <c:pt idx="24">
                  <c:v>17056</c:v>
                </c:pt>
                <c:pt idx="25">
                  <c:v>9928</c:v>
                </c:pt>
                <c:pt idx="26">
                  <c:v>13184</c:v>
                </c:pt>
                <c:pt idx="27">
                  <c:v>22368</c:v>
                </c:pt>
                <c:pt idx="28">
                  <c:v>22530</c:v>
                </c:pt>
                <c:pt idx="29">
                  <c:v>18877</c:v>
                </c:pt>
                <c:pt idx="30">
                  <c:v>19533</c:v>
                </c:pt>
                <c:pt idx="31">
                  <c:v>17386</c:v>
                </c:pt>
                <c:pt idx="32">
                  <c:v>21047</c:v>
                </c:pt>
                <c:pt idx="33">
                  <c:v>26486</c:v>
                </c:pt>
                <c:pt idx="34">
                  <c:v>25759</c:v>
                </c:pt>
                <c:pt idx="35">
                  <c:v>26461</c:v>
                </c:pt>
                <c:pt idx="36">
                  <c:v>29193</c:v>
                </c:pt>
                <c:pt idx="37">
                  <c:v>13911</c:v>
                </c:pt>
                <c:pt idx="38">
                  <c:v>16504</c:v>
                </c:pt>
                <c:pt idx="39">
                  <c:v>13785</c:v>
                </c:pt>
                <c:pt idx="40">
                  <c:v>12080</c:v>
                </c:pt>
                <c:pt idx="41">
                  <c:v>10736</c:v>
                </c:pt>
                <c:pt idx="42">
                  <c:v>20910</c:v>
                </c:pt>
                <c:pt idx="43">
                  <c:v>25585</c:v>
                </c:pt>
                <c:pt idx="44">
                  <c:v>20211</c:v>
                </c:pt>
                <c:pt idx="45">
                  <c:v>24637</c:v>
                </c:pt>
                <c:pt idx="46">
                  <c:v>17802</c:v>
                </c:pt>
                <c:pt idx="47">
                  <c:v>15127</c:v>
                </c:pt>
                <c:pt idx="48">
                  <c:v>5292</c:v>
                </c:pt>
                <c:pt idx="49">
                  <c:v>-7820</c:v>
                </c:pt>
                <c:pt idx="50">
                  <c:v>-13672</c:v>
                </c:pt>
                <c:pt idx="51">
                  <c:v>-9553</c:v>
                </c:pt>
                <c:pt idx="52">
                  <c:v>-12979</c:v>
                </c:pt>
                <c:pt idx="53">
                  <c:v>-13249</c:v>
                </c:pt>
                <c:pt idx="54">
                  <c:v>-33048</c:v>
                </c:pt>
                <c:pt idx="55">
                  <c:v>-40094</c:v>
                </c:pt>
                <c:pt idx="56">
                  <c:v>-32794</c:v>
                </c:pt>
                <c:pt idx="57">
                  <c:v>-30580</c:v>
                </c:pt>
                <c:pt idx="58">
                  <c:v>-10055</c:v>
                </c:pt>
                <c:pt idx="59">
                  <c:v>-14803</c:v>
                </c:pt>
                <c:pt idx="60">
                  <c:v>-22632</c:v>
                </c:pt>
                <c:pt idx="61">
                  <c:v>-19772</c:v>
                </c:pt>
                <c:pt idx="62">
                  <c:v>-25864</c:v>
                </c:pt>
                <c:pt idx="63">
                  <c:v>-42727</c:v>
                </c:pt>
                <c:pt idx="64">
                  <c:v>-43099</c:v>
                </c:pt>
                <c:pt idx="65">
                  <c:v>-22270</c:v>
                </c:pt>
                <c:pt idx="66">
                  <c:v>-20591</c:v>
                </c:pt>
                <c:pt idx="67">
                  <c:v>-18610</c:v>
                </c:pt>
                <c:pt idx="68">
                  <c:v>-32963</c:v>
                </c:pt>
                <c:pt idx="69">
                  <c:v>-9519</c:v>
                </c:pt>
                <c:pt idx="70">
                  <c:v>-6366</c:v>
                </c:pt>
                <c:pt idx="71">
                  <c:v>11167</c:v>
                </c:pt>
                <c:pt idx="72">
                  <c:v>13200</c:v>
                </c:pt>
                <c:pt idx="73">
                  <c:v>8528</c:v>
                </c:pt>
                <c:pt idx="74">
                  <c:v>3134</c:v>
                </c:pt>
                <c:pt idx="75">
                  <c:v>-1969</c:v>
                </c:pt>
                <c:pt idx="76">
                  <c:v>-8979</c:v>
                </c:pt>
                <c:pt idx="77">
                  <c:v>-6055</c:v>
                </c:pt>
                <c:pt idx="78">
                  <c:v>-407</c:v>
                </c:pt>
                <c:pt idx="79">
                  <c:v>-3126</c:v>
                </c:pt>
                <c:pt idx="80">
                  <c:v>-2468</c:v>
                </c:pt>
                <c:pt idx="81">
                  <c:v>-311</c:v>
                </c:pt>
                <c:pt idx="82">
                  <c:v>1352</c:v>
                </c:pt>
                <c:pt idx="83">
                  <c:v>-8747</c:v>
                </c:pt>
                <c:pt idx="84">
                  <c:v>-10603</c:v>
                </c:pt>
                <c:pt idx="85">
                  <c:v>-14274</c:v>
                </c:pt>
                <c:pt idx="86">
                  <c:v>-14113</c:v>
                </c:pt>
                <c:pt idx="87">
                  <c:v>-18003</c:v>
                </c:pt>
                <c:pt idx="88">
                  <c:v>-9464</c:v>
                </c:pt>
                <c:pt idx="89">
                  <c:v>-3330</c:v>
                </c:pt>
                <c:pt idx="90">
                  <c:v>-3797</c:v>
                </c:pt>
                <c:pt idx="91">
                  <c:v>2183</c:v>
                </c:pt>
                <c:pt idx="92">
                  <c:v>716</c:v>
                </c:pt>
                <c:pt idx="93">
                  <c:v>-4079</c:v>
                </c:pt>
                <c:pt idx="94">
                  <c:v>-3506</c:v>
                </c:pt>
                <c:pt idx="95">
                  <c:v>-8981</c:v>
                </c:pt>
                <c:pt idx="96">
                  <c:v>-13317</c:v>
                </c:pt>
                <c:pt idx="97">
                  <c:v>-11654</c:v>
                </c:pt>
                <c:pt idx="98">
                  <c:v>-8683</c:v>
                </c:pt>
                <c:pt idx="99">
                  <c:v>-11226</c:v>
                </c:pt>
                <c:pt idx="100">
                  <c:v>-10599</c:v>
                </c:pt>
                <c:pt idx="101">
                  <c:v>-10096</c:v>
                </c:pt>
                <c:pt idx="102">
                  <c:v>-1452</c:v>
                </c:pt>
                <c:pt idx="103">
                  <c:v>-2596</c:v>
                </c:pt>
                <c:pt idx="104">
                  <c:v>-7539</c:v>
                </c:pt>
                <c:pt idx="105">
                  <c:v>-13419</c:v>
                </c:pt>
                <c:pt idx="106">
                  <c:v>-7555</c:v>
                </c:pt>
                <c:pt idx="107">
                  <c:v>-3429</c:v>
                </c:pt>
                <c:pt idx="108">
                  <c:v>-5109</c:v>
                </c:pt>
                <c:pt idx="109">
                  <c:v>-10265</c:v>
                </c:pt>
                <c:pt idx="110">
                  <c:v>-17414</c:v>
                </c:pt>
                <c:pt idx="111">
                  <c:v>-23805</c:v>
                </c:pt>
                <c:pt idx="112">
                  <c:v>-25277</c:v>
                </c:pt>
                <c:pt idx="113">
                  <c:v>-35724</c:v>
                </c:pt>
                <c:pt idx="114">
                  <c:v>-37538</c:v>
                </c:pt>
                <c:pt idx="115">
                  <c:v>-30500</c:v>
                </c:pt>
                <c:pt idx="116">
                  <c:v>-30649</c:v>
                </c:pt>
                <c:pt idx="117">
                  <c:v>-33724</c:v>
                </c:pt>
                <c:pt idx="118">
                  <c:v>-40300</c:v>
                </c:pt>
                <c:pt idx="119">
                  <c:v>-24181</c:v>
                </c:pt>
                <c:pt idx="120">
                  <c:v>-24894</c:v>
                </c:pt>
                <c:pt idx="121">
                  <c:v>-26239</c:v>
                </c:pt>
                <c:pt idx="122">
                  <c:v>-27510</c:v>
                </c:pt>
                <c:pt idx="123">
                  <c:v>-23663</c:v>
                </c:pt>
                <c:pt idx="124">
                  <c:v>-3808</c:v>
                </c:pt>
                <c:pt idx="125">
                  <c:v>-870</c:v>
                </c:pt>
                <c:pt idx="126">
                  <c:v>2196</c:v>
                </c:pt>
                <c:pt idx="127">
                  <c:v>5165</c:v>
                </c:pt>
                <c:pt idx="128">
                  <c:v>7276</c:v>
                </c:pt>
                <c:pt idx="129">
                  <c:v>4997</c:v>
                </c:pt>
                <c:pt idx="130">
                  <c:v>5627</c:v>
                </c:pt>
                <c:pt idx="131">
                  <c:v>4767</c:v>
                </c:pt>
                <c:pt idx="132">
                  <c:v>5150</c:v>
                </c:pt>
                <c:pt idx="133">
                  <c:v>4805</c:v>
                </c:pt>
                <c:pt idx="134">
                  <c:v>3673</c:v>
                </c:pt>
                <c:pt idx="135">
                  <c:v>768</c:v>
                </c:pt>
                <c:pt idx="136">
                  <c:v>-3939</c:v>
                </c:pt>
                <c:pt idx="137">
                  <c:v>-7684</c:v>
                </c:pt>
                <c:pt idx="138">
                  <c:v>-2379</c:v>
                </c:pt>
                <c:pt idx="139">
                  <c:v>-3774</c:v>
                </c:pt>
                <c:pt idx="140">
                  <c:v>-4820</c:v>
                </c:pt>
                <c:pt idx="141">
                  <c:v>-5517</c:v>
                </c:pt>
                <c:pt idx="142">
                  <c:v>-3876</c:v>
                </c:pt>
                <c:pt idx="143">
                  <c:v>-9046</c:v>
                </c:pt>
                <c:pt idx="144">
                  <c:v>-10926</c:v>
                </c:pt>
                <c:pt idx="145">
                  <c:v>-12258</c:v>
                </c:pt>
                <c:pt idx="146">
                  <c:v>-13666</c:v>
                </c:pt>
                <c:pt idx="147">
                  <c:v>-12959</c:v>
                </c:pt>
                <c:pt idx="148">
                  <c:v>-14584</c:v>
                </c:pt>
                <c:pt idx="149">
                  <c:v>-16718</c:v>
                </c:pt>
                <c:pt idx="150">
                  <c:v>-15549</c:v>
                </c:pt>
                <c:pt idx="151">
                  <c:v>-14134</c:v>
                </c:pt>
                <c:pt idx="152">
                  <c:v>-15342</c:v>
                </c:pt>
                <c:pt idx="153">
                  <c:v>-18439</c:v>
                </c:pt>
                <c:pt idx="154">
                  <c:v>-18410</c:v>
                </c:pt>
                <c:pt idx="155">
                  <c:v>-20211</c:v>
                </c:pt>
                <c:pt idx="156">
                  <c:v>-20961</c:v>
                </c:pt>
                <c:pt idx="157">
                  <c:v>-20783</c:v>
                </c:pt>
                <c:pt idx="158">
                  <c:v>-21164</c:v>
                </c:pt>
                <c:pt idx="159">
                  <c:v>-20047</c:v>
                </c:pt>
                <c:pt idx="160">
                  <c:v>-22212</c:v>
                </c:pt>
                <c:pt idx="161">
                  <c:v>-25063</c:v>
                </c:pt>
                <c:pt idx="162">
                  <c:v>-23049</c:v>
                </c:pt>
                <c:pt idx="163">
                  <c:v>-20664</c:v>
                </c:pt>
                <c:pt idx="164">
                  <c:v>-19132</c:v>
                </c:pt>
                <c:pt idx="165">
                  <c:v>-18764</c:v>
                </c:pt>
                <c:pt idx="166">
                  <c:v>-19274</c:v>
                </c:pt>
                <c:pt idx="167">
                  <c:v>-23044</c:v>
                </c:pt>
                <c:pt idx="168">
                  <c:v>-28074</c:v>
                </c:pt>
                <c:pt idx="169">
                  <c:v>-32299</c:v>
                </c:pt>
                <c:pt idx="170">
                  <c:v>-33256</c:v>
                </c:pt>
                <c:pt idx="171">
                  <c:v>-36988</c:v>
                </c:pt>
                <c:pt idx="172">
                  <c:v>-35798</c:v>
                </c:pt>
                <c:pt idx="173">
                  <c:v>-37035</c:v>
                </c:pt>
                <c:pt idx="174">
                  <c:v>-30935</c:v>
                </c:pt>
                <c:pt idx="175">
                  <c:v>-30578</c:v>
                </c:pt>
                <c:pt idx="176">
                  <c:v>-28625</c:v>
                </c:pt>
                <c:pt idx="177">
                  <c:v>-20669</c:v>
                </c:pt>
                <c:pt idx="178">
                  <c:v>-19845</c:v>
                </c:pt>
                <c:pt idx="179">
                  <c:v>-19712</c:v>
                </c:pt>
                <c:pt idx="180">
                  <c:v>-24358</c:v>
                </c:pt>
                <c:pt idx="181">
                  <c:v>-29664</c:v>
                </c:pt>
                <c:pt idx="182">
                  <c:v>-33900</c:v>
                </c:pt>
                <c:pt idx="183">
                  <c:v>-35695</c:v>
                </c:pt>
                <c:pt idx="184">
                  <c:v>-32574</c:v>
                </c:pt>
                <c:pt idx="185">
                  <c:v>-21926</c:v>
                </c:pt>
                <c:pt idx="186">
                  <c:v>-9187</c:v>
                </c:pt>
                <c:pt idx="187">
                  <c:v>-8511</c:v>
                </c:pt>
                <c:pt idx="188">
                  <c:v>-10024</c:v>
                </c:pt>
                <c:pt idx="189">
                  <c:v>-15506</c:v>
                </c:pt>
                <c:pt idx="190">
                  <c:v>-23871</c:v>
                </c:pt>
                <c:pt idx="191">
                  <c:v>-30082</c:v>
                </c:pt>
                <c:pt idx="192">
                  <c:v>-30748</c:v>
                </c:pt>
                <c:pt idx="193">
                  <c:v>-29185</c:v>
                </c:pt>
                <c:pt idx="194">
                  <c:v>-28056</c:v>
                </c:pt>
                <c:pt idx="195">
                  <c:v>-34188</c:v>
                </c:pt>
                <c:pt idx="196">
                  <c:v>-34251</c:v>
                </c:pt>
                <c:pt idx="197">
                  <c:v>-30346</c:v>
                </c:pt>
                <c:pt idx="198">
                  <c:v>-23681</c:v>
                </c:pt>
                <c:pt idx="199">
                  <c:v>-24368</c:v>
                </c:pt>
                <c:pt idx="200">
                  <c:v>-9298</c:v>
                </c:pt>
                <c:pt idx="201">
                  <c:v>-12136</c:v>
                </c:pt>
                <c:pt idx="202">
                  <c:v>-12895</c:v>
                </c:pt>
                <c:pt idx="203">
                  <c:v>-17125</c:v>
                </c:pt>
                <c:pt idx="204">
                  <c:v>-18494</c:v>
                </c:pt>
                <c:pt idx="205">
                  <c:v>-31523</c:v>
                </c:pt>
                <c:pt idx="206">
                  <c:v>-37684</c:v>
                </c:pt>
                <c:pt idx="207">
                  <c:v>-30333</c:v>
                </c:pt>
                <c:pt idx="208">
                  <c:v>-32598</c:v>
                </c:pt>
                <c:pt idx="209">
                  <c:v>-31300</c:v>
                </c:pt>
                <c:pt idx="210">
                  <c:v>-30802</c:v>
                </c:pt>
                <c:pt idx="211">
                  <c:v>-30035</c:v>
                </c:pt>
                <c:pt idx="212">
                  <c:v>-31551</c:v>
                </c:pt>
                <c:pt idx="213">
                  <c:v>-29522</c:v>
                </c:pt>
                <c:pt idx="214">
                  <c:v>-21177</c:v>
                </c:pt>
                <c:pt idx="215">
                  <c:v>-18693</c:v>
                </c:pt>
                <c:pt idx="216">
                  <c:v>-19003</c:v>
                </c:pt>
                <c:pt idx="217">
                  <c:v>-24590</c:v>
                </c:pt>
                <c:pt idx="218">
                  <c:v>-22744</c:v>
                </c:pt>
                <c:pt idx="219">
                  <c:v>-23708</c:v>
                </c:pt>
                <c:pt idx="220">
                  <c:v>-25100</c:v>
                </c:pt>
                <c:pt idx="221">
                  <c:v>-26475</c:v>
                </c:pt>
                <c:pt idx="222">
                  <c:v>-31304</c:v>
                </c:pt>
                <c:pt idx="223">
                  <c:v>-32607</c:v>
                </c:pt>
                <c:pt idx="224">
                  <c:v>-32385</c:v>
                </c:pt>
                <c:pt idx="225">
                  <c:v>-33226</c:v>
                </c:pt>
                <c:pt idx="226">
                  <c:v>-32803</c:v>
                </c:pt>
                <c:pt idx="227">
                  <c:v>-34709</c:v>
                </c:pt>
                <c:pt idx="228">
                  <c:v>-33148</c:v>
                </c:pt>
                <c:pt idx="229">
                  <c:v>-27251</c:v>
                </c:pt>
                <c:pt idx="230">
                  <c:v>-25085</c:v>
                </c:pt>
                <c:pt idx="231">
                  <c:v>-24227</c:v>
                </c:pt>
                <c:pt idx="232">
                  <c:v>-25670</c:v>
                </c:pt>
                <c:pt idx="233">
                  <c:v>-27027</c:v>
                </c:pt>
                <c:pt idx="234">
                  <c:v>-23733</c:v>
                </c:pt>
                <c:pt idx="235">
                  <c:v>-30640</c:v>
                </c:pt>
                <c:pt idx="236">
                  <c:v>-33614</c:v>
                </c:pt>
                <c:pt idx="237">
                  <c:v>-33594</c:v>
                </c:pt>
                <c:pt idx="238">
                  <c:v>-35863</c:v>
                </c:pt>
                <c:pt idx="239">
                  <c:v>-29805</c:v>
                </c:pt>
                <c:pt idx="240">
                  <c:v>6971</c:v>
                </c:pt>
                <c:pt idx="241">
                  <c:v>13580</c:v>
                </c:pt>
                <c:pt idx="242">
                  <c:v>9947</c:v>
                </c:pt>
                <c:pt idx="243">
                  <c:v>10839</c:v>
                </c:pt>
                <c:pt idx="244">
                  <c:v>10305</c:v>
                </c:pt>
                <c:pt idx="245">
                  <c:v>4461</c:v>
                </c:pt>
                <c:pt idx="246">
                  <c:v>1138</c:v>
                </c:pt>
                <c:pt idx="247">
                  <c:v>2468</c:v>
                </c:pt>
                <c:pt idx="248">
                  <c:v>8191</c:v>
                </c:pt>
                <c:pt idx="249">
                  <c:v>-1594</c:v>
                </c:pt>
                <c:pt idx="250">
                  <c:v>-2617</c:v>
                </c:pt>
                <c:pt idx="251">
                  <c:v>-22087</c:v>
                </c:pt>
                <c:pt idx="252">
                  <c:v>-29326</c:v>
                </c:pt>
                <c:pt idx="253">
                  <c:v>-24325</c:v>
                </c:pt>
                <c:pt idx="254">
                  <c:v>-26730</c:v>
                </c:pt>
                <c:pt idx="255">
                  <c:v>-22748</c:v>
                </c:pt>
                <c:pt idx="256">
                  <c:v>-29314</c:v>
                </c:pt>
                <c:pt idx="257">
                  <c:v>-20403</c:v>
                </c:pt>
                <c:pt idx="258">
                  <c:v>-23221</c:v>
                </c:pt>
                <c:pt idx="259">
                  <c:v>-25155</c:v>
                </c:pt>
                <c:pt idx="260">
                  <c:v>-26133</c:v>
                </c:pt>
                <c:pt idx="261">
                  <c:v>-33002</c:v>
                </c:pt>
                <c:pt idx="262">
                  <c:v>-18769</c:v>
                </c:pt>
                <c:pt idx="263">
                  <c:v>-10907</c:v>
                </c:pt>
                <c:pt idx="264">
                  <c:v>-16255</c:v>
                </c:pt>
                <c:pt idx="265">
                  <c:v>-20842</c:v>
                </c:pt>
                <c:pt idx="266">
                  <c:v>-34135</c:v>
                </c:pt>
                <c:pt idx="267">
                  <c:v>-37522</c:v>
                </c:pt>
                <c:pt idx="268">
                  <c:v>-40207</c:v>
                </c:pt>
                <c:pt idx="269">
                  <c:v>-43148</c:v>
                </c:pt>
                <c:pt idx="270">
                  <c:v>-43600</c:v>
                </c:pt>
                <c:pt idx="271">
                  <c:v>-43086</c:v>
                </c:pt>
                <c:pt idx="272">
                  <c:v>-35407</c:v>
                </c:pt>
                <c:pt idx="273">
                  <c:v>-33958</c:v>
                </c:pt>
                <c:pt idx="274">
                  <c:v>-42053</c:v>
                </c:pt>
                <c:pt idx="275">
                  <c:v>-37612</c:v>
                </c:pt>
                <c:pt idx="276">
                  <c:v>-30261</c:v>
                </c:pt>
                <c:pt idx="277">
                  <c:v>-22630</c:v>
                </c:pt>
                <c:pt idx="278">
                  <c:v>-24272</c:v>
                </c:pt>
                <c:pt idx="279">
                  <c:v>-877</c:v>
                </c:pt>
                <c:pt idx="280">
                  <c:v>-6623</c:v>
                </c:pt>
                <c:pt idx="281">
                  <c:v>-9248</c:v>
                </c:pt>
                <c:pt idx="282">
                  <c:v>-8939</c:v>
                </c:pt>
                <c:pt idx="283">
                  <c:v>-14117</c:v>
                </c:pt>
                <c:pt idx="284">
                  <c:v>-21116</c:v>
                </c:pt>
                <c:pt idx="285">
                  <c:v>-32105</c:v>
                </c:pt>
                <c:pt idx="286">
                  <c:v>-42798</c:v>
                </c:pt>
                <c:pt idx="287">
                  <c:v>-55925</c:v>
                </c:pt>
                <c:pt idx="288">
                  <c:v>-37264</c:v>
                </c:pt>
                <c:pt idx="289">
                  <c:v>-39323</c:v>
                </c:pt>
                <c:pt idx="290">
                  <c:v>-30425</c:v>
                </c:pt>
                <c:pt idx="291">
                  <c:v>-26741</c:v>
                </c:pt>
                <c:pt idx="292">
                  <c:v>-31922</c:v>
                </c:pt>
                <c:pt idx="293">
                  <c:v>-53426</c:v>
                </c:pt>
                <c:pt idx="294">
                  <c:v>-63478</c:v>
                </c:pt>
                <c:pt idx="295">
                  <c:v>-58207</c:v>
                </c:pt>
                <c:pt idx="296">
                  <c:v>-60795</c:v>
                </c:pt>
                <c:pt idx="297">
                  <c:v>-46747</c:v>
                </c:pt>
                <c:pt idx="298">
                  <c:v>-28871</c:v>
                </c:pt>
                <c:pt idx="299">
                  <c:v>-28973</c:v>
                </c:pt>
                <c:pt idx="300">
                  <c:v>-30045</c:v>
                </c:pt>
                <c:pt idx="301">
                  <c:v>-33107</c:v>
                </c:pt>
                <c:pt idx="302">
                  <c:v>-32202</c:v>
                </c:pt>
                <c:pt idx="303">
                  <c:v>-37924</c:v>
                </c:pt>
                <c:pt idx="304">
                  <c:v>-45708</c:v>
                </c:pt>
                <c:pt idx="305">
                  <c:v>-54698</c:v>
                </c:pt>
                <c:pt idx="306">
                  <c:v>-43425</c:v>
                </c:pt>
                <c:pt idx="307">
                  <c:v>-41682</c:v>
                </c:pt>
                <c:pt idx="308">
                  <c:v>-15317</c:v>
                </c:pt>
                <c:pt idx="309">
                  <c:v>8430</c:v>
                </c:pt>
                <c:pt idx="310">
                  <c:v>5823</c:v>
                </c:pt>
                <c:pt idx="311">
                  <c:v>2063</c:v>
                </c:pt>
                <c:pt idx="312">
                  <c:v>862</c:v>
                </c:pt>
                <c:pt idx="313">
                  <c:v>7826</c:v>
                </c:pt>
                <c:pt idx="314">
                  <c:v>6249</c:v>
                </c:pt>
                <c:pt idx="315">
                  <c:v>8220</c:v>
                </c:pt>
                <c:pt idx="316">
                  <c:v>4490</c:v>
                </c:pt>
                <c:pt idx="317">
                  <c:v>8705</c:v>
                </c:pt>
                <c:pt idx="318">
                  <c:v>1073</c:v>
                </c:pt>
                <c:pt idx="319">
                  <c:v>2560</c:v>
                </c:pt>
                <c:pt idx="320">
                  <c:v>929</c:v>
                </c:pt>
                <c:pt idx="321">
                  <c:v>-2236</c:v>
                </c:pt>
                <c:pt idx="322">
                  <c:v>2295</c:v>
                </c:pt>
                <c:pt idx="323">
                  <c:v>8166</c:v>
                </c:pt>
                <c:pt idx="324">
                  <c:v>7910</c:v>
                </c:pt>
                <c:pt idx="325">
                  <c:v>9877</c:v>
                </c:pt>
                <c:pt idx="326">
                  <c:v>22020</c:v>
                </c:pt>
                <c:pt idx="327">
                  <c:v>16926</c:v>
                </c:pt>
                <c:pt idx="328">
                  <c:v>4991</c:v>
                </c:pt>
                <c:pt idx="329">
                  <c:v>8568</c:v>
                </c:pt>
                <c:pt idx="330">
                  <c:v>6104</c:v>
                </c:pt>
                <c:pt idx="331">
                  <c:v>6189</c:v>
                </c:pt>
                <c:pt idx="332">
                  <c:v>-11116</c:v>
                </c:pt>
                <c:pt idx="333">
                  <c:v>-34290</c:v>
                </c:pt>
                <c:pt idx="334">
                  <c:v>-36211</c:v>
                </c:pt>
                <c:pt idx="335">
                  <c:v>-44258</c:v>
                </c:pt>
                <c:pt idx="336">
                  <c:v>-31792</c:v>
                </c:pt>
                <c:pt idx="337">
                  <c:v>-31730</c:v>
                </c:pt>
                <c:pt idx="338">
                  <c:v>-38463</c:v>
                </c:pt>
                <c:pt idx="339">
                  <c:v>-35697</c:v>
                </c:pt>
                <c:pt idx="340">
                  <c:v>-36379</c:v>
                </c:pt>
                <c:pt idx="341">
                  <c:v>-25677</c:v>
                </c:pt>
                <c:pt idx="342">
                  <c:v>-35310</c:v>
                </c:pt>
                <c:pt idx="343">
                  <c:v>-38438</c:v>
                </c:pt>
                <c:pt idx="344">
                  <c:v>-44065</c:v>
                </c:pt>
                <c:pt idx="345">
                  <c:v>-66697</c:v>
                </c:pt>
                <c:pt idx="346">
                  <c:v>-62184</c:v>
                </c:pt>
                <c:pt idx="347">
                  <c:v>-45923</c:v>
                </c:pt>
                <c:pt idx="348">
                  <c:v>-49002</c:v>
                </c:pt>
                <c:pt idx="349">
                  <c:v>-40061</c:v>
                </c:pt>
                <c:pt idx="350">
                  <c:v>-50843</c:v>
                </c:pt>
                <c:pt idx="351">
                  <c:v>-49067</c:v>
                </c:pt>
                <c:pt idx="352">
                  <c:v>-49976</c:v>
                </c:pt>
                <c:pt idx="353">
                  <c:v>-53198</c:v>
                </c:pt>
                <c:pt idx="354">
                  <c:v>-2710</c:v>
                </c:pt>
                <c:pt idx="355">
                  <c:v>24761</c:v>
                </c:pt>
                <c:pt idx="356">
                  <c:v>41869</c:v>
                </c:pt>
                <c:pt idx="357">
                  <c:v>40077</c:v>
                </c:pt>
                <c:pt idx="358">
                  <c:v>41312</c:v>
                </c:pt>
                <c:pt idx="359">
                  <c:v>44431</c:v>
                </c:pt>
                <c:pt idx="360">
                  <c:v>53902</c:v>
                </c:pt>
                <c:pt idx="361">
                  <c:v>44633</c:v>
                </c:pt>
                <c:pt idx="362">
                  <c:v>41124</c:v>
                </c:pt>
                <c:pt idx="363">
                  <c:v>36899</c:v>
                </c:pt>
                <c:pt idx="364">
                  <c:v>31285</c:v>
                </c:pt>
                <c:pt idx="365">
                  <c:v>26594</c:v>
                </c:pt>
                <c:pt idx="366">
                  <c:v>27170</c:v>
                </c:pt>
                <c:pt idx="367">
                  <c:v>23378</c:v>
                </c:pt>
                <c:pt idx="368">
                  <c:v>27713</c:v>
                </c:pt>
                <c:pt idx="369">
                  <c:v>27807</c:v>
                </c:pt>
                <c:pt idx="370">
                  <c:v>19152</c:v>
                </c:pt>
                <c:pt idx="371">
                  <c:v>14998</c:v>
                </c:pt>
                <c:pt idx="372">
                  <c:v>26711</c:v>
                </c:pt>
                <c:pt idx="373">
                  <c:v>37980</c:v>
                </c:pt>
                <c:pt idx="374">
                  <c:v>30325</c:v>
                </c:pt>
                <c:pt idx="375">
                  <c:v>9666</c:v>
                </c:pt>
                <c:pt idx="376">
                  <c:v>17384</c:v>
                </c:pt>
                <c:pt idx="377">
                  <c:v>20392</c:v>
                </c:pt>
                <c:pt idx="378">
                  <c:v>15475</c:v>
                </c:pt>
                <c:pt idx="379">
                  <c:v>-22753</c:v>
                </c:pt>
                <c:pt idx="380">
                  <c:v>-24831</c:v>
                </c:pt>
                <c:pt idx="381">
                  <c:v>-23778</c:v>
                </c:pt>
                <c:pt idx="382">
                  <c:v>-37117</c:v>
                </c:pt>
                <c:pt idx="383">
                  <c:v>-43278</c:v>
                </c:pt>
                <c:pt idx="384">
                  <c:v>-47825</c:v>
                </c:pt>
                <c:pt idx="385">
                  <c:v>-50356</c:v>
                </c:pt>
                <c:pt idx="386">
                  <c:v>-45394</c:v>
                </c:pt>
                <c:pt idx="387">
                  <c:v>-13688</c:v>
                </c:pt>
                <c:pt idx="388">
                  <c:v>-18400</c:v>
                </c:pt>
                <c:pt idx="389">
                  <c:v>-23971</c:v>
                </c:pt>
                <c:pt idx="390">
                  <c:v>-22089</c:v>
                </c:pt>
                <c:pt idx="391">
                  <c:v>7315</c:v>
                </c:pt>
                <c:pt idx="392">
                  <c:v>3926</c:v>
                </c:pt>
                <c:pt idx="393">
                  <c:v>5614</c:v>
                </c:pt>
                <c:pt idx="394">
                  <c:v>3573</c:v>
                </c:pt>
                <c:pt idx="395">
                  <c:v>-12850</c:v>
                </c:pt>
                <c:pt idx="396">
                  <c:v>-19676</c:v>
                </c:pt>
                <c:pt idx="397">
                  <c:v>-17382</c:v>
                </c:pt>
                <c:pt idx="398">
                  <c:v>-13179</c:v>
                </c:pt>
                <c:pt idx="399">
                  <c:v>-12465</c:v>
                </c:pt>
                <c:pt idx="400">
                  <c:v>-14810</c:v>
                </c:pt>
                <c:pt idx="401">
                  <c:v>-9938</c:v>
                </c:pt>
                <c:pt idx="402">
                  <c:v>-7772</c:v>
                </c:pt>
                <c:pt idx="403">
                  <c:v>1641</c:v>
                </c:pt>
                <c:pt idx="404">
                  <c:v>-6070</c:v>
                </c:pt>
                <c:pt idx="405">
                  <c:v>-7789</c:v>
                </c:pt>
                <c:pt idx="406">
                  <c:v>-14486</c:v>
                </c:pt>
                <c:pt idx="407">
                  <c:v>-22229</c:v>
                </c:pt>
                <c:pt idx="408">
                  <c:v>-24999</c:v>
                </c:pt>
                <c:pt idx="409">
                  <c:v>-26752</c:v>
                </c:pt>
                <c:pt idx="410">
                  <c:v>-28804</c:v>
                </c:pt>
                <c:pt idx="411">
                  <c:v>-28479</c:v>
                </c:pt>
                <c:pt idx="412">
                  <c:v>-12975</c:v>
                </c:pt>
                <c:pt idx="413">
                  <c:v>-7102</c:v>
                </c:pt>
                <c:pt idx="414">
                  <c:v>6334</c:v>
                </c:pt>
                <c:pt idx="415">
                  <c:v>-4083</c:v>
                </c:pt>
                <c:pt idx="416">
                  <c:v>-4226</c:v>
                </c:pt>
                <c:pt idx="417">
                  <c:v>-13767</c:v>
                </c:pt>
                <c:pt idx="418">
                  <c:v>-30088</c:v>
                </c:pt>
                <c:pt idx="419">
                  <c:v>-29327</c:v>
                </c:pt>
                <c:pt idx="420">
                  <c:v>-27811</c:v>
                </c:pt>
                <c:pt idx="421">
                  <c:v>-27079</c:v>
                </c:pt>
                <c:pt idx="422">
                  <c:v>-23877</c:v>
                </c:pt>
                <c:pt idx="423">
                  <c:v>-22570</c:v>
                </c:pt>
                <c:pt idx="424">
                  <c:v>-35072</c:v>
                </c:pt>
                <c:pt idx="425">
                  <c:v>-33330</c:v>
                </c:pt>
                <c:pt idx="426">
                  <c:v>-32449</c:v>
                </c:pt>
                <c:pt idx="427">
                  <c:v>-41696</c:v>
                </c:pt>
                <c:pt idx="428">
                  <c:v>-38233</c:v>
                </c:pt>
                <c:pt idx="429">
                  <c:v>-42620</c:v>
                </c:pt>
                <c:pt idx="430">
                  <c:v>-41419</c:v>
                </c:pt>
                <c:pt idx="431">
                  <c:v>-40138</c:v>
                </c:pt>
                <c:pt idx="432">
                  <c:v>-33870</c:v>
                </c:pt>
                <c:pt idx="433">
                  <c:v>-29212</c:v>
                </c:pt>
                <c:pt idx="434">
                  <c:v>-25200</c:v>
                </c:pt>
                <c:pt idx="435">
                  <c:v>-26036</c:v>
                </c:pt>
                <c:pt idx="436">
                  <c:v>-27474</c:v>
                </c:pt>
                <c:pt idx="437">
                  <c:v>-27060</c:v>
                </c:pt>
                <c:pt idx="438">
                  <c:v>-27537</c:v>
                </c:pt>
                <c:pt idx="439">
                  <c:v>-31507</c:v>
                </c:pt>
                <c:pt idx="440">
                  <c:v>-18307</c:v>
                </c:pt>
                <c:pt idx="441">
                  <c:v>-581</c:v>
                </c:pt>
                <c:pt idx="442">
                  <c:v>3487</c:v>
                </c:pt>
                <c:pt idx="443">
                  <c:v>1751</c:v>
                </c:pt>
                <c:pt idx="444">
                  <c:v>1921</c:v>
                </c:pt>
                <c:pt idx="445">
                  <c:v>-25586</c:v>
                </c:pt>
                <c:pt idx="446">
                  <c:v>-23460</c:v>
                </c:pt>
                <c:pt idx="447">
                  <c:v>-5713</c:v>
                </c:pt>
                <c:pt idx="448">
                  <c:v>-2919</c:v>
                </c:pt>
                <c:pt idx="449">
                  <c:v>-2315</c:v>
                </c:pt>
                <c:pt idx="450">
                  <c:v>-27048</c:v>
                </c:pt>
                <c:pt idx="451">
                  <c:v>-10164</c:v>
                </c:pt>
                <c:pt idx="452">
                  <c:v>5263</c:v>
                </c:pt>
                <c:pt idx="453">
                  <c:v>2715</c:v>
                </c:pt>
                <c:pt idx="454">
                  <c:v>-15866</c:v>
                </c:pt>
                <c:pt idx="455">
                  <c:v>-24586</c:v>
                </c:pt>
                <c:pt idx="456">
                  <c:v>-32380</c:v>
                </c:pt>
                <c:pt idx="457">
                  <c:v>-24090</c:v>
                </c:pt>
                <c:pt idx="458">
                  <c:v>-9954</c:v>
                </c:pt>
                <c:pt idx="459">
                  <c:v>-1229</c:v>
                </c:pt>
                <c:pt idx="460">
                  <c:v>-4435</c:v>
                </c:pt>
                <c:pt idx="461">
                  <c:v>1428</c:v>
                </c:pt>
                <c:pt idx="462">
                  <c:v>11558</c:v>
                </c:pt>
                <c:pt idx="463">
                  <c:v>30611</c:v>
                </c:pt>
                <c:pt idx="464">
                  <c:v>30180</c:v>
                </c:pt>
                <c:pt idx="465">
                  <c:v>32511</c:v>
                </c:pt>
                <c:pt idx="466">
                  <c:v>23493</c:v>
                </c:pt>
                <c:pt idx="467">
                  <c:v>28439</c:v>
                </c:pt>
                <c:pt idx="468">
                  <c:v>30365</c:v>
                </c:pt>
                <c:pt idx="469">
                  <c:v>13509</c:v>
                </c:pt>
                <c:pt idx="470">
                  <c:v>10268</c:v>
                </c:pt>
                <c:pt idx="471">
                  <c:v>-1114</c:v>
                </c:pt>
                <c:pt idx="472">
                  <c:v>-21784</c:v>
                </c:pt>
                <c:pt idx="473">
                  <c:v>-27345</c:v>
                </c:pt>
                <c:pt idx="474">
                  <c:v>-13914</c:v>
                </c:pt>
                <c:pt idx="475">
                  <c:v>-4231</c:v>
                </c:pt>
                <c:pt idx="476">
                  <c:v>-18886</c:v>
                </c:pt>
                <c:pt idx="477">
                  <c:v>-21630</c:v>
                </c:pt>
                <c:pt idx="478">
                  <c:v>-8418</c:v>
                </c:pt>
                <c:pt idx="479">
                  <c:v>-4258</c:v>
                </c:pt>
                <c:pt idx="480">
                  <c:v>-1935</c:v>
                </c:pt>
                <c:pt idx="481">
                  <c:v>-4321</c:v>
                </c:pt>
                <c:pt idx="482">
                  <c:v>866</c:v>
                </c:pt>
                <c:pt idx="483">
                  <c:v>-3530</c:v>
                </c:pt>
                <c:pt idx="484">
                  <c:v>-2603</c:v>
                </c:pt>
                <c:pt idx="485">
                  <c:v>-14401</c:v>
                </c:pt>
                <c:pt idx="486">
                  <c:v>-6343</c:v>
                </c:pt>
                <c:pt idx="487">
                  <c:v>-4016</c:v>
                </c:pt>
                <c:pt idx="488">
                  <c:v>-7781</c:v>
                </c:pt>
                <c:pt idx="489">
                  <c:v>-12332</c:v>
                </c:pt>
                <c:pt idx="490">
                  <c:v>-19812</c:v>
                </c:pt>
                <c:pt idx="491">
                  <c:v>-13646</c:v>
                </c:pt>
                <c:pt idx="492">
                  <c:v>6898</c:v>
                </c:pt>
                <c:pt idx="493">
                  <c:v>-1127</c:v>
                </c:pt>
                <c:pt idx="494">
                  <c:v>-4360</c:v>
                </c:pt>
                <c:pt idx="495">
                  <c:v>-9257</c:v>
                </c:pt>
                <c:pt idx="496">
                  <c:v>-10841</c:v>
                </c:pt>
                <c:pt idx="497">
                  <c:v>-8751</c:v>
                </c:pt>
                <c:pt idx="498">
                  <c:v>-726</c:v>
                </c:pt>
                <c:pt idx="499">
                  <c:v>5654</c:v>
                </c:pt>
                <c:pt idx="500">
                  <c:v>6514</c:v>
                </c:pt>
                <c:pt idx="501">
                  <c:v>2814</c:v>
                </c:pt>
                <c:pt idx="502">
                  <c:v>13862</c:v>
                </c:pt>
                <c:pt idx="503">
                  <c:v>12174</c:v>
                </c:pt>
                <c:pt idx="504">
                  <c:v>8375</c:v>
                </c:pt>
                <c:pt idx="505">
                  <c:v>6075</c:v>
                </c:pt>
                <c:pt idx="506">
                  <c:v>9469</c:v>
                </c:pt>
                <c:pt idx="507">
                  <c:v>10609</c:v>
                </c:pt>
                <c:pt idx="508">
                  <c:v>9046</c:v>
                </c:pt>
                <c:pt idx="509">
                  <c:v>10200</c:v>
                </c:pt>
                <c:pt idx="510">
                  <c:v>11221</c:v>
                </c:pt>
                <c:pt idx="511">
                  <c:v>9863</c:v>
                </c:pt>
                <c:pt idx="512">
                  <c:v>3852</c:v>
                </c:pt>
                <c:pt idx="513">
                  <c:v>706</c:v>
                </c:pt>
                <c:pt idx="514">
                  <c:v>3664</c:v>
                </c:pt>
                <c:pt idx="515">
                  <c:v>3412</c:v>
                </c:pt>
                <c:pt idx="516">
                  <c:v>4351</c:v>
                </c:pt>
                <c:pt idx="517">
                  <c:v>6641</c:v>
                </c:pt>
                <c:pt idx="518">
                  <c:v>3220</c:v>
                </c:pt>
                <c:pt idx="519">
                  <c:v>-16374</c:v>
                </c:pt>
                <c:pt idx="520">
                  <c:v>-18080</c:v>
                </c:pt>
                <c:pt idx="521">
                  <c:v>-15313</c:v>
                </c:pt>
                <c:pt idx="522">
                  <c:v>-13241</c:v>
                </c:pt>
                <c:pt idx="523">
                  <c:v>-12830</c:v>
                </c:pt>
                <c:pt idx="524">
                  <c:v>-14934</c:v>
                </c:pt>
                <c:pt idx="525">
                  <c:v>-8264</c:v>
                </c:pt>
                <c:pt idx="526">
                  <c:v>-4696</c:v>
                </c:pt>
                <c:pt idx="527">
                  <c:v>-427</c:v>
                </c:pt>
                <c:pt idx="528">
                  <c:v>-2891</c:v>
                </c:pt>
                <c:pt idx="529">
                  <c:v>-4464</c:v>
                </c:pt>
                <c:pt idx="530">
                  <c:v>-9903</c:v>
                </c:pt>
                <c:pt idx="531">
                  <c:v>-12210</c:v>
                </c:pt>
                <c:pt idx="532">
                  <c:v>-706</c:v>
                </c:pt>
                <c:pt idx="533">
                  <c:v>3807</c:v>
                </c:pt>
                <c:pt idx="534">
                  <c:v>28134</c:v>
                </c:pt>
                <c:pt idx="535">
                  <c:v>27227</c:v>
                </c:pt>
                <c:pt idx="536">
                  <c:v>32944</c:v>
                </c:pt>
                <c:pt idx="537">
                  <c:v>33293</c:v>
                </c:pt>
                <c:pt idx="538">
                  <c:v>25610</c:v>
                </c:pt>
                <c:pt idx="539">
                  <c:v>5594</c:v>
                </c:pt>
                <c:pt idx="540">
                  <c:v>10709</c:v>
                </c:pt>
                <c:pt idx="541">
                  <c:v>18433</c:v>
                </c:pt>
                <c:pt idx="542">
                  <c:v>35754</c:v>
                </c:pt>
                <c:pt idx="543">
                  <c:v>32032</c:v>
                </c:pt>
                <c:pt idx="544">
                  <c:v>36219</c:v>
                </c:pt>
                <c:pt idx="545">
                  <c:v>23318</c:v>
                </c:pt>
                <c:pt idx="546">
                  <c:v>-12983</c:v>
                </c:pt>
                <c:pt idx="547">
                  <c:v>-3903</c:v>
                </c:pt>
                <c:pt idx="548">
                  <c:v>-5634</c:v>
                </c:pt>
                <c:pt idx="549">
                  <c:v>-9417</c:v>
                </c:pt>
                <c:pt idx="550">
                  <c:v>-4183</c:v>
                </c:pt>
                <c:pt idx="551">
                  <c:v>-10180</c:v>
                </c:pt>
                <c:pt idx="552">
                  <c:v>2668</c:v>
                </c:pt>
                <c:pt idx="553">
                  <c:v>29462</c:v>
                </c:pt>
                <c:pt idx="554">
                  <c:v>29770</c:v>
                </c:pt>
                <c:pt idx="555">
                  <c:v>29443</c:v>
                </c:pt>
                <c:pt idx="556">
                  <c:v>7560</c:v>
                </c:pt>
                <c:pt idx="557">
                  <c:v>11756</c:v>
                </c:pt>
                <c:pt idx="558">
                  <c:v>10862</c:v>
                </c:pt>
                <c:pt idx="559">
                  <c:v>17136</c:v>
                </c:pt>
                <c:pt idx="560">
                  <c:v>-13397</c:v>
                </c:pt>
                <c:pt idx="561">
                  <c:v>108</c:v>
                </c:pt>
                <c:pt idx="562">
                  <c:v>15825</c:v>
                </c:pt>
                <c:pt idx="563">
                  <c:v>6792</c:v>
                </c:pt>
                <c:pt idx="564">
                  <c:v>6308</c:v>
                </c:pt>
                <c:pt idx="565">
                  <c:v>-36299</c:v>
                </c:pt>
                <c:pt idx="566">
                  <c:v>-9940</c:v>
                </c:pt>
                <c:pt idx="567">
                  <c:v>-9352</c:v>
                </c:pt>
                <c:pt idx="568">
                  <c:v>13232</c:v>
                </c:pt>
                <c:pt idx="569">
                  <c:v>46955</c:v>
                </c:pt>
                <c:pt idx="570">
                  <c:v>52845</c:v>
                </c:pt>
                <c:pt idx="571">
                  <c:v>54647</c:v>
                </c:pt>
                <c:pt idx="572">
                  <c:v>53548</c:v>
                </c:pt>
                <c:pt idx="573">
                  <c:v>40865</c:v>
                </c:pt>
                <c:pt idx="574">
                  <c:v>49725</c:v>
                </c:pt>
                <c:pt idx="575">
                  <c:v>39209</c:v>
                </c:pt>
                <c:pt idx="576">
                  <c:v>48304</c:v>
                </c:pt>
                <c:pt idx="577">
                  <c:v>54910</c:v>
                </c:pt>
                <c:pt idx="578">
                  <c:v>50344</c:v>
                </c:pt>
                <c:pt idx="579">
                  <c:v>57797</c:v>
                </c:pt>
                <c:pt idx="580">
                  <c:v>53762</c:v>
                </c:pt>
                <c:pt idx="581">
                  <c:v>42540</c:v>
                </c:pt>
                <c:pt idx="582">
                  <c:v>46186</c:v>
                </c:pt>
                <c:pt idx="583">
                  <c:v>56736</c:v>
                </c:pt>
                <c:pt idx="584">
                  <c:v>58236</c:v>
                </c:pt>
                <c:pt idx="585">
                  <c:v>48135</c:v>
                </c:pt>
                <c:pt idx="586">
                  <c:v>47664</c:v>
                </c:pt>
                <c:pt idx="587">
                  <c:v>56834</c:v>
                </c:pt>
                <c:pt idx="588">
                  <c:v>60602</c:v>
                </c:pt>
                <c:pt idx="589">
                  <c:v>51708</c:v>
                </c:pt>
                <c:pt idx="590">
                  <c:v>57992</c:v>
                </c:pt>
                <c:pt idx="591">
                  <c:v>64499</c:v>
                </c:pt>
                <c:pt idx="592">
                  <c:v>58630</c:v>
                </c:pt>
                <c:pt idx="593">
                  <c:v>55198</c:v>
                </c:pt>
                <c:pt idx="594">
                  <c:v>-12181</c:v>
                </c:pt>
                <c:pt idx="595">
                  <c:v>-22312</c:v>
                </c:pt>
                <c:pt idx="596">
                  <c:v>-34516</c:v>
                </c:pt>
                <c:pt idx="597">
                  <c:v>-31439</c:v>
                </c:pt>
                <c:pt idx="598">
                  <c:v>-14601</c:v>
                </c:pt>
                <c:pt idx="599">
                  <c:v>4309</c:v>
                </c:pt>
                <c:pt idx="600">
                  <c:v>20388</c:v>
                </c:pt>
                <c:pt idx="601">
                  <c:v>24760</c:v>
                </c:pt>
                <c:pt idx="602">
                  <c:v>-6044</c:v>
                </c:pt>
                <c:pt idx="603">
                  <c:v>204</c:v>
                </c:pt>
                <c:pt idx="604">
                  <c:v>2973</c:v>
                </c:pt>
                <c:pt idx="605">
                  <c:v>-10093</c:v>
                </c:pt>
                <c:pt idx="606">
                  <c:v>-12682</c:v>
                </c:pt>
                <c:pt idx="607">
                  <c:v>-12107</c:v>
                </c:pt>
                <c:pt idx="608">
                  <c:v>-4839</c:v>
                </c:pt>
                <c:pt idx="609">
                  <c:v>598</c:v>
                </c:pt>
                <c:pt idx="610">
                  <c:v>2493</c:v>
                </c:pt>
                <c:pt idx="611">
                  <c:v>5495</c:v>
                </c:pt>
                <c:pt idx="612">
                  <c:v>8416</c:v>
                </c:pt>
                <c:pt idx="613">
                  <c:v>2417</c:v>
                </c:pt>
                <c:pt idx="614">
                  <c:v>2166</c:v>
                </c:pt>
                <c:pt idx="615">
                  <c:v>1837</c:v>
                </c:pt>
                <c:pt idx="616">
                  <c:v>-2401</c:v>
                </c:pt>
                <c:pt idx="617">
                  <c:v>-3268</c:v>
                </c:pt>
                <c:pt idx="618">
                  <c:v>-8282</c:v>
                </c:pt>
                <c:pt idx="619">
                  <c:v>-5205</c:v>
                </c:pt>
                <c:pt idx="620">
                  <c:v>-969</c:v>
                </c:pt>
                <c:pt idx="621">
                  <c:v>525</c:v>
                </c:pt>
                <c:pt idx="622">
                  <c:v>-832</c:v>
                </c:pt>
                <c:pt idx="623">
                  <c:v>-4057</c:v>
                </c:pt>
                <c:pt idx="624">
                  <c:v>-9357</c:v>
                </c:pt>
                <c:pt idx="625">
                  <c:v>-22203</c:v>
                </c:pt>
                <c:pt idx="626">
                  <c:v>-14496</c:v>
                </c:pt>
                <c:pt idx="627">
                  <c:v>-6387</c:v>
                </c:pt>
                <c:pt idx="628">
                  <c:v>8565</c:v>
                </c:pt>
                <c:pt idx="629">
                  <c:v>27636</c:v>
                </c:pt>
                <c:pt idx="630">
                  <c:v>36814</c:v>
                </c:pt>
                <c:pt idx="631">
                  <c:v>39093</c:v>
                </c:pt>
                <c:pt idx="632">
                  <c:v>44596</c:v>
                </c:pt>
                <c:pt idx="633">
                  <c:v>33198</c:v>
                </c:pt>
                <c:pt idx="634">
                  <c:v>39360</c:v>
                </c:pt>
                <c:pt idx="635">
                  <c:v>37323</c:v>
                </c:pt>
                <c:pt idx="636">
                  <c:v>21401</c:v>
                </c:pt>
                <c:pt idx="637">
                  <c:v>20576</c:v>
                </c:pt>
                <c:pt idx="638">
                  <c:v>27753</c:v>
                </c:pt>
                <c:pt idx="639">
                  <c:v>22720</c:v>
                </c:pt>
                <c:pt idx="640">
                  <c:v>23745</c:v>
                </c:pt>
                <c:pt idx="641">
                  <c:v>7879</c:v>
                </c:pt>
                <c:pt idx="642">
                  <c:v>924</c:v>
                </c:pt>
                <c:pt idx="643">
                  <c:v>399</c:v>
                </c:pt>
                <c:pt idx="644">
                  <c:v>-14290</c:v>
                </c:pt>
                <c:pt idx="645">
                  <c:v>-23693</c:v>
                </c:pt>
                <c:pt idx="646">
                  <c:v>-25935</c:v>
                </c:pt>
                <c:pt idx="647">
                  <c:v>-7123</c:v>
                </c:pt>
                <c:pt idx="648">
                  <c:v>-9786</c:v>
                </c:pt>
                <c:pt idx="649">
                  <c:v>-5346</c:v>
                </c:pt>
                <c:pt idx="650">
                  <c:v>-11903</c:v>
                </c:pt>
                <c:pt idx="651">
                  <c:v>-30189</c:v>
                </c:pt>
                <c:pt idx="652">
                  <c:v>-36442</c:v>
                </c:pt>
                <c:pt idx="653">
                  <c:v>-44196</c:v>
                </c:pt>
                <c:pt idx="654">
                  <c:v>-54697</c:v>
                </c:pt>
                <c:pt idx="655">
                  <c:v>-32502</c:v>
                </c:pt>
                <c:pt idx="656">
                  <c:v>-14131</c:v>
                </c:pt>
                <c:pt idx="657">
                  <c:v>-9563</c:v>
                </c:pt>
                <c:pt idx="658">
                  <c:v>-47883</c:v>
                </c:pt>
                <c:pt idx="659">
                  <c:v>-38831</c:v>
                </c:pt>
                <c:pt idx="660">
                  <c:v>-48435</c:v>
                </c:pt>
                <c:pt idx="661">
                  <c:v>-37111</c:v>
                </c:pt>
                <c:pt idx="662">
                  <c:v>-53164</c:v>
                </c:pt>
                <c:pt idx="663">
                  <c:v>-37974</c:v>
                </c:pt>
                <c:pt idx="664">
                  <c:v>-51845</c:v>
                </c:pt>
                <c:pt idx="665">
                  <c:v>-52186</c:v>
                </c:pt>
                <c:pt idx="666">
                  <c:v>-63076</c:v>
                </c:pt>
                <c:pt idx="667">
                  <c:v>-59056</c:v>
                </c:pt>
                <c:pt idx="668">
                  <c:v>-47768</c:v>
                </c:pt>
                <c:pt idx="669">
                  <c:v>-43151</c:v>
                </c:pt>
                <c:pt idx="670">
                  <c:v>-48660</c:v>
                </c:pt>
                <c:pt idx="671">
                  <c:v>-26385</c:v>
                </c:pt>
                <c:pt idx="672">
                  <c:v>-31366</c:v>
                </c:pt>
                <c:pt idx="673">
                  <c:v>-47665</c:v>
                </c:pt>
                <c:pt idx="674">
                  <c:v>-34372</c:v>
                </c:pt>
                <c:pt idx="675">
                  <c:v>-34934</c:v>
                </c:pt>
                <c:pt idx="676">
                  <c:v>-47629</c:v>
                </c:pt>
                <c:pt idx="677">
                  <c:v>-59066</c:v>
                </c:pt>
                <c:pt idx="678">
                  <c:v>-63299</c:v>
                </c:pt>
                <c:pt idx="679">
                  <c:v>-66035</c:v>
                </c:pt>
                <c:pt idx="680">
                  <c:v>-66641</c:v>
                </c:pt>
                <c:pt idx="681">
                  <c:v>-66682</c:v>
                </c:pt>
                <c:pt idx="682">
                  <c:v>-66302</c:v>
                </c:pt>
                <c:pt idx="683">
                  <c:v>-64628</c:v>
                </c:pt>
                <c:pt idx="684">
                  <c:v>-67231</c:v>
                </c:pt>
                <c:pt idx="685">
                  <c:v>-65884</c:v>
                </c:pt>
                <c:pt idx="686">
                  <c:v>-64000</c:v>
                </c:pt>
                <c:pt idx="687">
                  <c:v>-71643</c:v>
                </c:pt>
                <c:pt idx="688">
                  <c:v>-72063</c:v>
                </c:pt>
                <c:pt idx="689">
                  <c:v>-26105</c:v>
                </c:pt>
                <c:pt idx="690">
                  <c:v>-22129</c:v>
                </c:pt>
                <c:pt idx="691">
                  <c:v>-24737</c:v>
                </c:pt>
                <c:pt idx="692">
                  <c:v>-19529</c:v>
                </c:pt>
                <c:pt idx="693">
                  <c:v>-18259</c:v>
                </c:pt>
                <c:pt idx="694">
                  <c:v>-19278</c:v>
                </c:pt>
                <c:pt idx="695">
                  <c:v>-41745</c:v>
                </c:pt>
                <c:pt idx="696">
                  <c:v>-56347</c:v>
                </c:pt>
                <c:pt idx="697">
                  <c:v>-55057</c:v>
                </c:pt>
                <c:pt idx="698">
                  <c:v>-71184</c:v>
                </c:pt>
                <c:pt idx="699">
                  <c:v>-22821</c:v>
                </c:pt>
                <c:pt idx="700">
                  <c:v>-41831</c:v>
                </c:pt>
                <c:pt idx="701">
                  <c:v>-45289</c:v>
                </c:pt>
                <c:pt idx="702">
                  <c:v>-29356</c:v>
                </c:pt>
                <c:pt idx="703">
                  <c:v>-30412</c:v>
                </c:pt>
                <c:pt idx="704">
                  <c:v>-32716</c:v>
                </c:pt>
                <c:pt idx="705">
                  <c:v>-54471</c:v>
                </c:pt>
                <c:pt idx="706">
                  <c:v>-41141</c:v>
                </c:pt>
                <c:pt idx="707">
                  <c:v>-6490</c:v>
                </c:pt>
                <c:pt idx="708">
                  <c:v>2689</c:v>
                </c:pt>
                <c:pt idx="709">
                  <c:v>18844</c:v>
                </c:pt>
                <c:pt idx="710">
                  <c:v>19121</c:v>
                </c:pt>
                <c:pt idx="711">
                  <c:v>18329</c:v>
                </c:pt>
                <c:pt idx="712">
                  <c:v>25741</c:v>
                </c:pt>
                <c:pt idx="713">
                  <c:v>21003</c:v>
                </c:pt>
                <c:pt idx="714">
                  <c:v>-9597</c:v>
                </c:pt>
                <c:pt idx="715">
                  <c:v>-23007</c:v>
                </c:pt>
                <c:pt idx="716">
                  <c:v>-35572</c:v>
                </c:pt>
                <c:pt idx="717">
                  <c:v>-23909</c:v>
                </c:pt>
                <c:pt idx="718">
                  <c:v>-20704</c:v>
                </c:pt>
                <c:pt idx="719">
                  <c:v>-69049</c:v>
                </c:pt>
                <c:pt idx="720">
                  <c:v>-76886</c:v>
                </c:pt>
                <c:pt idx="721">
                  <c:v>-42984</c:v>
                </c:pt>
                <c:pt idx="722">
                  <c:v>-51791</c:v>
                </c:pt>
                <c:pt idx="723">
                  <c:v>-62274</c:v>
                </c:pt>
                <c:pt idx="724">
                  <c:v>-75077</c:v>
                </c:pt>
                <c:pt idx="725">
                  <c:v>-88329</c:v>
                </c:pt>
                <c:pt idx="726">
                  <c:v>-69498</c:v>
                </c:pt>
                <c:pt idx="727">
                  <c:v>-99452</c:v>
                </c:pt>
                <c:pt idx="728">
                  <c:v>-90804</c:v>
                </c:pt>
                <c:pt idx="729">
                  <c:v>-87358</c:v>
                </c:pt>
                <c:pt idx="730">
                  <c:v>-104151</c:v>
                </c:pt>
                <c:pt idx="731">
                  <c:v>-123598</c:v>
                </c:pt>
                <c:pt idx="732">
                  <c:v>-112578</c:v>
                </c:pt>
                <c:pt idx="733">
                  <c:v>-137290</c:v>
                </c:pt>
                <c:pt idx="734">
                  <c:v>-59600</c:v>
                </c:pt>
                <c:pt idx="735">
                  <c:v>-63512</c:v>
                </c:pt>
                <c:pt idx="736">
                  <c:v>-55012</c:v>
                </c:pt>
                <c:pt idx="737">
                  <c:v>-80421</c:v>
                </c:pt>
                <c:pt idx="738">
                  <c:v>-41958</c:v>
                </c:pt>
                <c:pt idx="739">
                  <c:v>-23537</c:v>
                </c:pt>
                <c:pt idx="740">
                  <c:v>-55560</c:v>
                </c:pt>
                <c:pt idx="741">
                  <c:v>-92519</c:v>
                </c:pt>
                <c:pt idx="742">
                  <c:v>-104914</c:v>
                </c:pt>
                <c:pt idx="743">
                  <c:v>-118592</c:v>
                </c:pt>
                <c:pt idx="744">
                  <c:v>-123343</c:v>
                </c:pt>
                <c:pt idx="745">
                  <c:v>-138146</c:v>
                </c:pt>
                <c:pt idx="746">
                  <c:v>-164860</c:v>
                </c:pt>
                <c:pt idx="747">
                  <c:v>-173005</c:v>
                </c:pt>
                <c:pt idx="748">
                  <c:v>-128526</c:v>
                </c:pt>
                <c:pt idx="749">
                  <c:v>-167505</c:v>
                </c:pt>
                <c:pt idx="750">
                  <c:v>-116195</c:v>
                </c:pt>
                <c:pt idx="751">
                  <c:v>-114626</c:v>
                </c:pt>
                <c:pt idx="752">
                  <c:v>-62886</c:v>
                </c:pt>
                <c:pt idx="753">
                  <c:v>-52853</c:v>
                </c:pt>
                <c:pt idx="754">
                  <c:v>-49953</c:v>
                </c:pt>
                <c:pt idx="755">
                  <c:v>-47480</c:v>
                </c:pt>
                <c:pt idx="756">
                  <c:v>-63858</c:v>
                </c:pt>
                <c:pt idx="757">
                  <c:v>-64841</c:v>
                </c:pt>
                <c:pt idx="758">
                  <c:v>-70519</c:v>
                </c:pt>
                <c:pt idx="759">
                  <c:v>-81772</c:v>
                </c:pt>
                <c:pt idx="760">
                  <c:v>-118782</c:v>
                </c:pt>
                <c:pt idx="761">
                  <c:v>-112259</c:v>
                </c:pt>
                <c:pt idx="762">
                  <c:v>-127896</c:v>
                </c:pt>
                <c:pt idx="763">
                  <c:v>-151746</c:v>
                </c:pt>
                <c:pt idx="764">
                  <c:v>-146243</c:v>
                </c:pt>
                <c:pt idx="765">
                  <c:v>-124006</c:v>
                </c:pt>
                <c:pt idx="766">
                  <c:v>-127562</c:v>
                </c:pt>
                <c:pt idx="767">
                  <c:v>-161361</c:v>
                </c:pt>
                <c:pt idx="768">
                  <c:v>-188077</c:v>
                </c:pt>
                <c:pt idx="769">
                  <c:v>-155138</c:v>
                </c:pt>
                <c:pt idx="770">
                  <c:v>-125890</c:v>
                </c:pt>
                <c:pt idx="771">
                  <c:v>-126773</c:v>
                </c:pt>
                <c:pt idx="772">
                  <c:v>-92415</c:v>
                </c:pt>
                <c:pt idx="773">
                  <c:v>-51162</c:v>
                </c:pt>
                <c:pt idx="774">
                  <c:v>-34493</c:v>
                </c:pt>
                <c:pt idx="775">
                  <c:v>-21889</c:v>
                </c:pt>
                <c:pt idx="776">
                  <c:v>1516</c:v>
                </c:pt>
                <c:pt idx="777">
                  <c:v>9846</c:v>
                </c:pt>
                <c:pt idx="778">
                  <c:v>-7053</c:v>
                </c:pt>
                <c:pt idx="779">
                  <c:v>5585</c:v>
                </c:pt>
                <c:pt idx="780">
                  <c:v>-21067</c:v>
                </c:pt>
                <c:pt idx="781">
                  <c:v>-2449</c:v>
                </c:pt>
                <c:pt idx="782">
                  <c:v>-28069</c:v>
                </c:pt>
                <c:pt idx="783">
                  <c:v>-45757</c:v>
                </c:pt>
                <c:pt idx="784">
                  <c:v>-38613</c:v>
                </c:pt>
                <c:pt idx="785">
                  <c:v>-21354</c:v>
                </c:pt>
                <c:pt idx="786">
                  <c:v>-9949</c:v>
                </c:pt>
                <c:pt idx="787">
                  <c:v>-8897</c:v>
                </c:pt>
                <c:pt idx="788">
                  <c:v>20796</c:v>
                </c:pt>
                <c:pt idx="789">
                  <c:v>30401</c:v>
                </c:pt>
                <c:pt idx="790">
                  <c:v>31332</c:v>
                </c:pt>
                <c:pt idx="791">
                  <c:v>34085</c:v>
                </c:pt>
                <c:pt idx="792">
                  <c:v>30903</c:v>
                </c:pt>
                <c:pt idx="793">
                  <c:v>13357</c:v>
                </c:pt>
                <c:pt idx="794">
                  <c:v>4013</c:v>
                </c:pt>
                <c:pt idx="795">
                  <c:v>920</c:v>
                </c:pt>
                <c:pt idx="796">
                  <c:v>37473</c:v>
                </c:pt>
                <c:pt idx="797">
                  <c:v>37199</c:v>
                </c:pt>
                <c:pt idx="798">
                  <c:v>41842</c:v>
                </c:pt>
                <c:pt idx="799">
                  <c:v>52928</c:v>
                </c:pt>
                <c:pt idx="800">
                  <c:v>54690</c:v>
                </c:pt>
                <c:pt idx="801">
                  <c:v>43471</c:v>
                </c:pt>
                <c:pt idx="802">
                  <c:v>50444</c:v>
                </c:pt>
                <c:pt idx="803">
                  <c:v>34289</c:v>
                </c:pt>
                <c:pt idx="804">
                  <c:v>56285</c:v>
                </c:pt>
                <c:pt idx="805">
                  <c:v>50153</c:v>
                </c:pt>
                <c:pt idx="806">
                  <c:v>55759</c:v>
                </c:pt>
                <c:pt idx="807">
                  <c:v>65920</c:v>
                </c:pt>
                <c:pt idx="808">
                  <c:v>52298</c:v>
                </c:pt>
                <c:pt idx="809">
                  <c:v>43067</c:v>
                </c:pt>
                <c:pt idx="810">
                  <c:v>47972</c:v>
                </c:pt>
                <c:pt idx="811">
                  <c:v>35087</c:v>
                </c:pt>
                <c:pt idx="812">
                  <c:v>55450</c:v>
                </c:pt>
                <c:pt idx="813">
                  <c:v>48735</c:v>
                </c:pt>
                <c:pt idx="814">
                  <c:v>33816</c:v>
                </c:pt>
                <c:pt idx="815">
                  <c:v>40048</c:v>
                </c:pt>
                <c:pt idx="816">
                  <c:v>33304</c:v>
                </c:pt>
                <c:pt idx="817">
                  <c:v>23365</c:v>
                </c:pt>
                <c:pt idx="818">
                  <c:v>7716</c:v>
                </c:pt>
                <c:pt idx="819">
                  <c:v>5857</c:v>
                </c:pt>
                <c:pt idx="820">
                  <c:v>-12747</c:v>
                </c:pt>
                <c:pt idx="821">
                  <c:v>16005</c:v>
                </c:pt>
                <c:pt idx="822">
                  <c:v>5325</c:v>
                </c:pt>
                <c:pt idx="823">
                  <c:v>50105</c:v>
                </c:pt>
                <c:pt idx="824">
                  <c:v>10524</c:v>
                </c:pt>
                <c:pt idx="825">
                  <c:v>-6280</c:v>
                </c:pt>
                <c:pt idx="826">
                  <c:v>-12081</c:v>
                </c:pt>
                <c:pt idx="827">
                  <c:v>-13249</c:v>
                </c:pt>
                <c:pt idx="828">
                  <c:v>-23138</c:v>
                </c:pt>
                <c:pt idx="829">
                  <c:v>-19970</c:v>
                </c:pt>
                <c:pt idx="830">
                  <c:v>-5020</c:v>
                </c:pt>
                <c:pt idx="831">
                  <c:v>14821</c:v>
                </c:pt>
                <c:pt idx="832">
                  <c:v>26600</c:v>
                </c:pt>
                <c:pt idx="833">
                  <c:v>31939</c:v>
                </c:pt>
                <c:pt idx="834">
                  <c:v>43022</c:v>
                </c:pt>
                <c:pt idx="835">
                  <c:v>39813</c:v>
                </c:pt>
                <c:pt idx="836">
                  <c:v>29904</c:v>
                </c:pt>
                <c:pt idx="837">
                  <c:v>30121</c:v>
                </c:pt>
                <c:pt idx="838">
                  <c:v>31826</c:v>
                </c:pt>
                <c:pt idx="839">
                  <c:v>26494</c:v>
                </c:pt>
                <c:pt idx="840">
                  <c:v>24511</c:v>
                </c:pt>
                <c:pt idx="841">
                  <c:v>24134</c:v>
                </c:pt>
                <c:pt idx="842">
                  <c:v>37166</c:v>
                </c:pt>
                <c:pt idx="843">
                  <c:v>42903</c:v>
                </c:pt>
                <c:pt idx="844">
                  <c:v>43259</c:v>
                </c:pt>
                <c:pt idx="845">
                  <c:v>41381</c:v>
                </c:pt>
                <c:pt idx="846">
                  <c:v>40098</c:v>
                </c:pt>
                <c:pt idx="847">
                  <c:v>43876</c:v>
                </c:pt>
                <c:pt idx="848">
                  <c:v>46394</c:v>
                </c:pt>
                <c:pt idx="849">
                  <c:v>44895</c:v>
                </c:pt>
                <c:pt idx="850">
                  <c:v>47090</c:v>
                </c:pt>
                <c:pt idx="851">
                  <c:v>49007</c:v>
                </c:pt>
                <c:pt idx="852">
                  <c:v>50518</c:v>
                </c:pt>
                <c:pt idx="853">
                  <c:v>43597</c:v>
                </c:pt>
                <c:pt idx="854">
                  <c:v>36188</c:v>
                </c:pt>
                <c:pt idx="855">
                  <c:v>28635</c:v>
                </c:pt>
                <c:pt idx="856">
                  <c:v>20070</c:v>
                </c:pt>
                <c:pt idx="857">
                  <c:v>18906</c:v>
                </c:pt>
                <c:pt idx="858">
                  <c:v>-4696</c:v>
                </c:pt>
                <c:pt idx="859">
                  <c:v>-7662</c:v>
                </c:pt>
                <c:pt idx="860">
                  <c:v>-9463</c:v>
                </c:pt>
                <c:pt idx="861">
                  <c:v>-6998</c:v>
                </c:pt>
                <c:pt idx="862">
                  <c:v>-6095</c:v>
                </c:pt>
                <c:pt idx="863">
                  <c:v>-13695</c:v>
                </c:pt>
                <c:pt idx="864">
                  <c:v>-4579</c:v>
                </c:pt>
                <c:pt idx="865">
                  <c:v>-6518</c:v>
                </c:pt>
                <c:pt idx="866">
                  <c:v>2388</c:v>
                </c:pt>
                <c:pt idx="867">
                  <c:v>6000</c:v>
                </c:pt>
                <c:pt idx="868">
                  <c:v>8009</c:v>
                </c:pt>
                <c:pt idx="869">
                  <c:v>9621</c:v>
                </c:pt>
                <c:pt idx="870">
                  <c:v>-2299</c:v>
                </c:pt>
                <c:pt idx="871">
                  <c:v>-8563</c:v>
                </c:pt>
                <c:pt idx="872">
                  <c:v>-4007</c:v>
                </c:pt>
                <c:pt idx="873">
                  <c:v>-1047</c:v>
                </c:pt>
                <c:pt idx="874">
                  <c:v>17117</c:v>
                </c:pt>
                <c:pt idx="875">
                  <c:v>33567</c:v>
                </c:pt>
                <c:pt idx="876">
                  <c:v>36188</c:v>
                </c:pt>
                <c:pt idx="877">
                  <c:v>24302</c:v>
                </c:pt>
                <c:pt idx="878">
                  <c:v>10615</c:v>
                </c:pt>
                <c:pt idx="879">
                  <c:v>824</c:v>
                </c:pt>
                <c:pt idx="880">
                  <c:v>2353</c:v>
                </c:pt>
                <c:pt idx="881">
                  <c:v>11647</c:v>
                </c:pt>
                <c:pt idx="882">
                  <c:v>32365</c:v>
                </c:pt>
                <c:pt idx="883">
                  <c:v>40799</c:v>
                </c:pt>
                <c:pt idx="884">
                  <c:v>37107</c:v>
                </c:pt>
                <c:pt idx="885">
                  <c:v>45615</c:v>
                </c:pt>
                <c:pt idx="886">
                  <c:v>44856</c:v>
                </c:pt>
                <c:pt idx="887">
                  <c:v>44643</c:v>
                </c:pt>
                <c:pt idx="888">
                  <c:v>33339</c:v>
                </c:pt>
                <c:pt idx="889">
                  <c:v>31185</c:v>
                </c:pt>
                <c:pt idx="890">
                  <c:v>17530</c:v>
                </c:pt>
                <c:pt idx="891">
                  <c:v>19832</c:v>
                </c:pt>
                <c:pt idx="892">
                  <c:v>21878</c:v>
                </c:pt>
                <c:pt idx="893">
                  <c:v>35552</c:v>
                </c:pt>
                <c:pt idx="894">
                  <c:v>51710</c:v>
                </c:pt>
                <c:pt idx="895">
                  <c:v>56907</c:v>
                </c:pt>
                <c:pt idx="896">
                  <c:v>35182</c:v>
                </c:pt>
                <c:pt idx="897">
                  <c:v>8372</c:v>
                </c:pt>
                <c:pt idx="898">
                  <c:v>-1011</c:v>
                </c:pt>
                <c:pt idx="899">
                  <c:v>-14903</c:v>
                </c:pt>
                <c:pt idx="900">
                  <c:v>-16811</c:v>
                </c:pt>
                <c:pt idx="901">
                  <c:v>-16744</c:v>
                </c:pt>
                <c:pt idx="902">
                  <c:v>-17096</c:v>
                </c:pt>
                <c:pt idx="903">
                  <c:v>-4347</c:v>
                </c:pt>
                <c:pt idx="904">
                  <c:v>7135</c:v>
                </c:pt>
                <c:pt idx="905">
                  <c:v>22396</c:v>
                </c:pt>
                <c:pt idx="906">
                  <c:v>13912</c:v>
                </c:pt>
                <c:pt idx="907">
                  <c:v>1717</c:v>
                </c:pt>
                <c:pt idx="908">
                  <c:v>32552</c:v>
                </c:pt>
                <c:pt idx="909">
                  <c:v>26288</c:v>
                </c:pt>
                <c:pt idx="910">
                  <c:v>15197</c:v>
                </c:pt>
                <c:pt idx="911">
                  <c:v>10161</c:v>
                </c:pt>
                <c:pt idx="912">
                  <c:v>-30866</c:v>
                </c:pt>
                <c:pt idx="913">
                  <c:v>-42305</c:v>
                </c:pt>
                <c:pt idx="914">
                  <c:v>-55746</c:v>
                </c:pt>
                <c:pt idx="915">
                  <c:v>-50338</c:v>
                </c:pt>
                <c:pt idx="916">
                  <c:v>-49777</c:v>
                </c:pt>
                <c:pt idx="917">
                  <c:v>-65612</c:v>
                </c:pt>
                <c:pt idx="918">
                  <c:v>-34669</c:v>
                </c:pt>
                <c:pt idx="919">
                  <c:v>-34289</c:v>
                </c:pt>
                <c:pt idx="920">
                  <c:v>-10238</c:v>
                </c:pt>
                <c:pt idx="921">
                  <c:v>-6484</c:v>
                </c:pt>
                <c:pt idx="922">
                  <c:v>-12547</c:v>
                </c:pt>
                <c:pt idx="923">
                  <c:v>-3680</c:v>
                </c:pt>
                <c:pt idx="924">
                  <c:v>3630</c:v>
                </c:pt>
                <c:pt idx="925">
                  <c:v>27427</c:v>
                </c:pt>
                <c:pt idx="926">
                  <c:v>37926</c:v>
                </c:pt>
                <c:pt idx="927">
                  <c:v>47359</c:v>
                </c:pt>
                <c:pt idx="928">
                  <c:v>40911</c:v>
                </c:pt>
                <c:pt idx="929">
                  <c:v>29921</c:v>
                </c:pt>
                <c:pt idx="930">
                  <c:v>47998</c:v>
                </c:pt>
                <c:pt idx="931">
                  <c:v>52478</c:v>
                </c:pt>
                <c:pt idx="932">
                  <c:v>49969</c:v>
                </c:pt>
                <c:pt idx="933">
                  <c:v>51069</c:v>
                </c:pt>
                <c:pt idx="934">
                  <c:v>49904</c:v>
                </c:pt>
                <c:pt idx="935">
                  <c:v>52183</c:v>
                </c:pt>
                <c:pt idx="936">
                  <c:v>47642</c:v>
                </c:pt>
                <c:pt idx="937">
                  <c:v>23100</c:v>
                </c:pt>
                <c:pt idx="938">
                  <c:v>28666</c:v>
                </c:pt>
                <c:pt idx="939">
                  <c:v>49206</c:v>
                </c:pt>
                <c:pt idx="940">
                  <c:v>48285</c:v>
                </c:pt>
                <c:pt idx="941">
                  <c:v>45856</c:v>
                </c:pt>
                <c:pt idx="942">
                  <c:v>43129</c:v>
                </c:pt>
                <c:pt idx="943">
                  <c:v>46455</c:v>
                </c:pt>
                <c:pt idx="944">
                  <c:v>36654</c:v>
                </c:pt>
                <c:pt idx="945">
                  <c:v>22858</c:v>
                </c:pt>
                <c:pt idx="946">
                  <c:v>27192</c:v>
                </c:pt>
                <c:pt idx="947">
                  <c:v>30006</c:v>
                </c:pt>
                <c:pt idx="948">
                  <c:v>23288</c:v>
                </c:pt>
                <c:pt idx="949">
                  <c:v>12735</c:v>
                </c:pt>
                <c:pt idx="950">
                  <c:v>12529</c:v>
                </c:pt>
                <c:pt idx="951">
                  <c:v>29641</c:v>
                </c:pt>
                <c:pt idx="952">
                  <c:v>39065</c:v>
                </c:pt>
                <c:pt idx="953">
                  <c:v>24736</c:v>
                </c:pt>
                <c:pt idx="954">
                  <c:v>20529</c:v>
                </c:pt>
                <c:pt idx="955">
                  <c:v>32218</c:v>
                </c:pt>
                <c:pt idx="956">
                  <c:v>31481</c:v>
                </c:pt>
                <c:pt idx="957">
                  <c:v>36731</c:v>
                </c:pt>
                <c:pt idx="958">
                  <c:v>-18548</c:v>
                </c:pt>
                <c:pt idx="959">
                  <c:v>-27746</c:v>
                </c:pt>
                <c:pt idx="960">
                  <c:v>41274</c:v>
                </c:pt>
                <c:pt idx="961">
                  <c:v>16656</c:v>
                </c:pt>
                <c:pt idx="962">
                  <c:v>30230</c:v>
                </c:pt>
                <c:pt idx="963">
                  <c:v>34525</c:v>
                </c:pt>
                <c:pt idx="964">
                  <c:v>7052</c:v>
                </c:pt>
                <c:pt idx="965">
                  <c:v>-43231</c:v>
                </c:pt>
                <c:pt idx="966">
                  <c:v>-52877</c:v>
                </c:pt>
                <c:pt idx="967">
                  <c:v>-52983</c:v>
                </c:pt>
                <c:pt idx="968">
                  <c:v>-36997</c:v>
                </c:pt>
                <c:pt idx="969">
                  <c:v>-18819</c:v>
                </c:pt>
                <c:pt idx="970">
                  <c:v>13054</c:v>
                </c:pt>
                <c:pt idx="971">
                  <c:v>15373</c:v>
                </c:pt>
                <c:pt idx="972">
                  <c:v>8006</c:v>
                </c:pt>
                <c:pt idx="973">
                  <c:v>-1648</c:v>
                </c:pt>
                <c:pt idx="974">
                  <c:v>17631</c:v>
                </c:pt>
                <c:pt idx="975">
                  <c:v>24768</c:v>
                </c:pt>
                <c:pt idx="976">
                  <c:v>32594</c:v>
                </c:pt>
                <c:pt idx="977">
                  <c:v>13623</c:v>
                </c:pt>
                <c:pt idx="978">
                  <c:v>14327</c:v>
                </c:pt>
                <c:pt idx="979">
                  <c:v>28288</c:v>
                </c:pt>
                <c:pt idx="980">
                  <c:v>42155</c:v>
                </c:pt>
                <c:pt idx="981">
                  <c:v>51302</c:v>
                </c:pt>
                <c:pt idx="982">
                  <c:v>58833</c:v>
                </c:pt>
                <c:pt idx="983">
                  <c:v>42149</c:v>
                </c:pt>
                <c:pt idx="984">
                  <c:v>47348</c:v>
                </c:pt>
                <c:pt idx="985">
                  <c:v>47139</c:v>
                </c:pt>
                <c:pt idx="986">
                  <c:v>41185</c:v>
                </c:pt>
                <c:pt idx="987">
                  <c:v>32787</c:v>
                </c:pt>
                <c:pt idx="988">
                  <c:v>34955</c:v>
                </c:pt>
                <c:pt idx="989">
                  <c:v>45617</c:v>
                </c:pt>
                <c:pt idx="990">
                  <c:v>42322</c:v>
                </c:pt>
                <c:pt idx="991">
                  <c:v>43462</c:v>
                </c:pt>
                <c:pt idx="992">
                  <c:v>35119</c:v>
                </c:pt>
                <c:pt idx="993">
                  <c:v>26907</c:v>
                </c:pt>
                <c:pt idx="994">
                  <c:v>54279</c:v>
                </c:pt>
                <c:pt idx="995">
                  <c:v>25904</c:v>
                </c:pt>
                <c:pt idx="996">
                  <c:v>28077</c:v>
                </c:pt>
                <c:pt idx="997">
                  <c:v>33680</c:v>
                </c:pt>
                <c:pt idx="998">
                  <c:v>43180</c:v>
                </c:pt>
                <c:pt idx="999">
                  <c:v>40547</c:v>
                </c:pt>
                <c:pt idx="1000">
                  <c:v>38271</c:v>
                </c:pt>
                <c:pt idx="1001">
                  <c:v>35600</c:v>
                </c:pt>
                <c:pt idx="1002">
                  <c:v>24476</c:v>
                </c:pt>
                <c:pt idx="1003">
                  <c:v>22585</c:v>
                </c:pt>
                <c:pt idx="1004">
                  <c:v>56481</c:v>
                </c:pt>
                <c:pt idx="1005">
                  <c:v>59657</c:v>
                </c:pt>
                <c:pt idx="1006">
                  <c:v>58862</c:v>
                </c:pt>
                <c:pt idx="1007">
                  <c:v>44367</c:v>
                </c:pt>
                <c:pt idx="1008">
                  <c:v>56669</c:v>
                </c:pt>
                <c:pt idx="1009">
                  <c:v>55171</c:v>
                </c:pt>
                <c:pt idx="1010">
                  <c:v>29459</c:v>
                </c:pt>
                <c:pt idx="1011">
                  <c:v>17257</c:v>
                </c:pt>
                <c:pt idx="1012">
                  <c:v>-1203</c:v>
                </c:pt>
                <c:pt idx="1013">
                  <c:v>-19358</c:v>
                </c:pt>
                <c:pt idx="1014">
                  <c:v>-42380</c:v>
                </c:pt>
                <c:pt idx="1015">
                  <c:v>-25821</c:v>
                </c:pt>
                <c:pt idx="1016">
                  <c:v>-67622</c:v>
                </c:pt>
                <c:pt idx="1017">
                  <c:v>-65108</c:v>
                </c:pt>
                <c:pt idx="1018">
                  <c:v>-66084</c:v>
                </c:pt>
                <c:pt idx="1019">
                  <c:v>-57803</c:v>
                </c:pt>
                <c:pt idx="1020">
                  <c:v>-55903</c:v>
                </c:pt>
                <c:pt idx="1021">
                  <c:v>-50173</c:v>
                </c:pt>
                <c:pt idx="1022">
                  <c:v>-41093</c:v>
                </c:pt>
                <c:pt idx="1023">
                  <c:v>-34315</c:v>
                </c:pt>
                <c:pt idx="1024">
                  <c:v>-18015</c:v>
                </c:pt>
                <c:pt idx="1025">
                  <c:v>-11330</c:v>
                </c:pt>
                <c:pt idx="1026">
                  <c:v>12073</c:v>
                </c:pt>
                <c:pt idx="1027">
                  <c:v>12307</c:v>
                </c:pt>
                <c:pt idx="1028">
                  <c:v>15137</c:v>
                </c:pt>
                <c:pt idx="1029">
                  <c:v>4542</c:v>
                </c:pt>
                <c:pt idx="1030">
                  <c:v>4175</c:v>
                </c:pt>
                <c:pt idx="1031">
                  <c:v>8952</c:v>
                </c:pt>
                <c:pt idx="1032">
                  <c:v>11121</c:v>
                </c:pt>
                <c:pt idx="1033">
                  <c:v>25061</c:v>
                </c:pt>
                <c:pt idx="1034">
                  <c:v>32254</c:v>
                </c:pt>
                <c:pt idx="1035">
                  <c:v>27539</c:v>
                </c:pt>
                <c:pt idx="1036">
                  <c:v>30704</c:v>
                </c:pt>
                <c:pt idx="1037">
                  <c:v>11171</c:v>
                </c:pt>
                <c:pt idx="1038">
                  <c:v>21556</c:v>
                </c:pt>
                <c:pt idx="1039">
                  <c:v>24007</c:v>
                </c:pt>
                <c:pt idx="1040">
                  <c:v>32773</c:v>
                </c:pt>
                <c:pt idx="1041">
                  <c:v>15476</c:v>
                </c:pt>
                <c:pt idx="1042">
                  <c:v>21111</c:v>
                </c:pt>
                <c:pt idx="1043">
                  <c:v>29335</c:v>
                </c:pt>
                <c:pt idx="1044">
                  <c:v>12914</c:v>
                </c:pt>
                <c:pt idx="1045">
                  <c:v>10086</c:v>
                </c:pt>
                <c:pt idx="1046">
                  <c:v>-18196</c:v>
                </c:pt>
                <c:pt idx="1047">
                  <c:v>-37020</c:v>
                </c:pt>
                <c:pt idx="1048">
                  <c:v>-40104</c:v>
                </c:pt>
                <c:pt idx="1049">
                  <c:v>-30447</c:v>
                </c:pt>
                <c:pt idx="1050">
                  <c:v>-51389</c:v>
                </c:pt>
                <c:pt idx="1051">
                  <c:v>-79466</c:v>
                </c:pt>
                <c:pt idx="1052">
                  <c:v>-90326</c:v>
                </c:pt>
                <c:pt idx="1053">
                  <c:v>-94401</c:v>
                </c:pt>
                <c:pt idx="1054">
                  <c:v>-89163</c:v>
                </c:pt>
                <c:pt idx="1055">
                  <c:v>-85608</c:v>
                </c:pt>
                <c:pt idx="1056">
                  <c:v>-80517</c:v>
                </c:pt>
                <c:pt idx="1057">
                  <c:v>-74096</c:v>
                </c:pt>
                <c:pt idx="1058">
                  <c:v>-65727</c:v>
                </c:pt>
                <c:pt idx="1059">
                  <c:v>-64068</c:v>
                </c:pt>
                <c:pt idx="1060">
                  <c:v>-71246</c:v>
                </c:pt>
                <c:pt idx="1061">
                  <c:v>-68413</c:v>
                </c:pt>
                <c:pt idx="1062">
                  <c:v>-61306</c:v>
                </c:pt>
                <c:pt idx="1063">
                  <c:v>-65891</c:v>
                </c:pt>
                <c:pt idx="1064">
                  <c:v>-65344</c:v>
                </c:pt>
                <c:pt idx="1065">
                  <c:v>-73351</c:v>
                </c:pt>
                <c:pt idx="1066">
                  <c:v>-93763</c:v>
                </c:pt>
                <c:pt idx="1067">
                  <c:v>-79993</c:v>
                </c:pt>
                <c:pt idx="1068">
                  <c:v>-89149</c:v>
                </c:pt>
                <c:pt idx="1069">
                  <c:v>-78171</c:v>
                </c:pt>
                <c:pt idx="1070">
                  <c:v>-77697</c:v>
                </c:pt>
                <c:pt idx="1071">
                  <c:v>-93411</c:v>
                </c:pt>
                <c:pt idx="1072">
                  <c:v>-79730</c:v>
                </c:pt>
                <c:pt idx="1073">
                  <c:v>-71127</c:v>
                </c:pt>
                <c:pt idx="1074">
                  <c:v>-78560</c:v>
                </c:pt>
                <c:pt idx="1075">
                  <c:v>-88407</c:v>
                </c:pt>
                <c:pt idx="1076">
                  <c:v>-95186</c:v>
                </c:pt>
                <c:pt idx="1077">
                  <c:v>-99769</c:v>
                </c:pt>
                <c:pt idx="1078">
                  <c:v>-82744</c:v>
                </c:pt>
                <c:pt idx="1079">
                  <c:v>-72906</c:v>
                </c:pt>
                <c:pt idx="1080">
                  <c:v>-61890</c:v>
                </c:pt>
                <c:pt idx="1081">
                  <c:v>-61462</c:v>
                </c:pt>
                <c:pt idx="1082">
                  <c:v>-70736</c:v>
                </c:pt>
                <c:pt idx="1083">
                  <c:v>-80305</c:v>
                </c:pt>
                <c:pt idx="1084">
                  <c:v>-85762</c:v>
                </c:pt>
                <c:pt idx="1085">
                  <c:v>-87496</c:v>
                </c:pt>
                <c:pt idx="1086">
                  <c:v>-82135</c:v>
                </c:pt>
                <c:pt idx="1087">
                  <c:v>-80213</c:v>
                </c:pt>
                <c:pt idx="1088">
                  <c:v>-74462</c:v>
                </c:pt>
                <c:pt idx="1089">
                  <c:v>-71721</c:v>
                </c:pt>
                <c:pt idx="1090">
                  <c:v>-78353</c:v>
                </c:pt>
                <c:pt idx="1091">
                  <c:v>-79761</c:v>
                </c:pt>
                <c:pt idx="1092">
                  <c:v>-95066</c:v>
                </c:pt>
                <c:pt idx="1093">
                  <c:v>-88794</c:v>
                </c:pt>
                <c:pt idx="1094">
                  <c:v>-92818</c:v>
                </c:pt>
                <c:pt idx="1095">
                  <c:v>-82324</c:v>
                </c:pt>
                <c:pt idx="1096">
                  <c:v>-57097</c:v>
                </c:pt>
                <c:pt idx="1097">
                  <c:v>-59266</c:v>
                </c:pt>
                <c:pt idx="1098">
                  <c:v>-71802</c:v>
                </c:pt>
                <c:pt idx="1099">
                  <c:v>-62395</c:v>
                </c:pt>
                <c:pt idx="1100">
                  <c:v>-73792</c:v>
                </c:pt>
                <c:pt idx="1101">
                  <c:v>-95107</c:v>
                </c:pt>
                <c:pt idx="1102">
                  <c:v>-112216</c:v>
                </c:pt>
                <c:pt idx="1103">
                  <c:v>-123202</c:v>
                </c:pt>
                <c:pt idx="1104">
                  <c:v>-133383</c:v>
                </c:pt>
                <c:pt idx="1105">
                  <c:v>-129711</c:v>
                </c:pt>
                <c:pt idx="1106">
                  <c:v>-130223</c:v>
                </c:pt>
                <c:pt idx="1107">
                  <c:v>-143822</c:v>
                </c:pt>
                <c:pt idx="1108">
                  <c:v>-135228</c:v>
                </c:pt>
                <c:pt idx="1109">
                  <c:v>-128868</c:v>
                </c:pt>
                <c:pt idx="1110">
                  <c:v>-118066</c:v>
                </c:pt>
                <c:pt idx="1111">
                  <c:v>-114961</c:v>
                </c:pt>
                <c:pt idx="1112">
                  <c:v>-86192</c:v>
                </c:pt>
                <c:pt idx="1113">
                  <c:v>-76829</c:v>
                </c:pt>
                <c:pt idx="1114">
                  <c:v>-78786</c:v>
                </c:pt>
                <c:pt idx="1115">
                  <c:v>-79784</c:v>
                </c:pt>
                <c:pt idx="1116">
                  <c:v>-85090</c:v>
                </c:pt>
                <c:pt idx="1117">
                  <c:v>-79709</c:v>
                </c:pt>
                <c:pt idx="1118">
                  <c:v>-99356</c:v>
                </c:pt>
                <c:pt idx="1119">
                  <c:v>-61099</c:v>
                </c:pt>
                <c:pt idx="1120">
                  <c:v>-68887</c:v>
                </c:pt>
                <c:pt idx="1121">
                  <c:v>-88638</c:v>
                </c:pt>
                <c:pt idx="1122">
                  <c:v>-87462</c:v>
                </c:pt>
                <c:pt idx="1123">
                  <c:v>-68716</c:v>
                </c:pt>
                <c:pt idx="1124">
                  <c:v>-67243</c:v>
                </c:pt>
                <c:pt idx="1125">
                  <c:v>-70352</c:v>
                </c:pt>
                <c:pt idx="1126">
                  <c:v>-60728</c:v>
                </c:pt>
                <c:pt idx="1127">
                  <c:v>-64707</c:v>
                </c:pt>
                <c:pt idx="1128">
                  <c:v>-53787</c:v>
                </c:pt>
                <c:pt idx="1129">
                  <c:v>-59036</c:v>
                </c:pt>
                <c:pt idx="1130">
                  <c:v>-74218</c:v>
                </c:pt>
                <c:pt idx="1131">
                  <c:v>-82162</c:v>
                </c:pt>
                <c:pt idx="1132">
                  <c:v>-68038</c:v>
                </c:pt>
                <c:pt idx="1133">
                  <c:v>-71223</c:v>
                </c:pt>
                <c:pt idx="1134">
                  <c:v>-58686</c:v>
                </c:pt>
                <c:pt idx="1135">
                  <c:v>-66375</c:v>
                </c:pt>
                <c:pt idx="1136">
                  <c:v>-62948</c:v>
                </c:pt>
                <c:pt idx="1137">
                  <c:v>-53916</c:v>
                </c:pt>
                <c:pt idx="1138">
                  <c:v>-73069</c:v>
                </c:pt>
                <c:pt idx="1139">
                  <c:v>-95399</c:v>
                </c:pt>
                <c:pt idx="1140">
                  <c:v>-81097</c:v>
                </c:pt>
                <c:pt idx="1141">
                  <c:v>-87271</c:v>
                </c:pt>
                <c:pt idx="1142">
                  <c:v>-102891</c:v>
                </c:pt>
                <c:pt idx="1143">
                  <c:v>-117308</c:v>
                </c:pt>
                <c:pt idx="1144">
                  <c:v>-100673</c:v>
                </c:pt>
                <c:pt idx="1145">
                  <c:v>-83182</c:v>
                </c:pt>
                <c:pt idx="1146">
                  <c:v>-105422</c:v>
                </c:pt>
                <c:pt idx="1147">
                  <c:v>-120878</c:v>
                </c:pt>
                <c:pt idx="1148">
                  <c:v>-112551</c:v>
                </c:pt>
                <c:pt idx="1149">
                  <c:v>-101147</c:v>
                </c:pt>
                <c:pt idx="1150">
                  <c:v>-71738</c:v>
                </c:pt>
                <c:pt idx="1151">
                  <c:v>-67399</c:v>
                </c:pt>
                <c:pt idx="1152">
                  <c:v>-71651</c:v>
                </c:pt>
                <c:pt idx="1153">
                  <c:v>-82563</c:v>
                </c:pt>
                <c:pt idx="1154">
                  <c:v>-92454</c:v>
                </c:pt>
                <c:pt idx="1155">
                  <c:v>-104380</c:v>
                </c:pt>
                <c:pt idx="1156">
                  <c:v>-111160</c:v>
                </c:pt>
                <c:pt idx="1157">
                  <c:v>-104136</c:v>
                </c:pt>
                <c:pt idx="1158">
                  <c:v>-86927</c:v>
                </c:pt>
                <c:pt idx="1159">
                  <c:v>-93742</c:v>
                </c:pt>
                <c:pt idx="1160">
                  <c:v>-96319</c:v>
                </c:pt>
                <c:pt idx="1161">
                  <c:v>-90083</c:v>
                </c:pt>
                <c:pt idx="1162">
                  <c:v>-94625</c:v>
                </c:pt>
                <c:pt idx="1163">
                  <c:v>-77886</c:v>
                </c:pt>
                <c:pt idx="1164">
                  <c:v>-64658</c:v>
                </c:pt>
                <c:pt idx="1165">
                  <c:v>-59571</c:v>
                </c:pt>
                <c:pt idx="1166">
                  <c:v>-55124</c:v>
                </c:pt>
                <c:pt idx="1167">
                  <c:v>-49091</c:v>
                </c:pt>
                <c:pt idx="1168">
                  <c:v>-47512</c:v>
                </c:pt>
                <c:pt idx="1169">
                  <c:v>-52521</c:v>
                </c:pt>
                <c:pt idx="1170">
                  <c:v>-59387</c:v>
                </c:pt>
                <c:pt idx="1171">
                  <c:v>-48054</c:v>
                </c:pt>
                <c:pt idx="1172">
                  <c:v>-45905</c:v>
                </c:pt>
                <c:pt idx="1173">
                  <c:v>-23924</c:v>
                </c:pt>
                <c:pt idx="1174">
                  <c:v>-24449</c:v>
                </c:pt>
                <c:pt idx="1175">
                  <c:v>-23070</c:v>
                </c:pt>
                <c:pt idx="1176">
                  <c:v>-14448</c:v>
                </c:pt>
                <c:pt idx="1177">
                  <c:v>-5493</c:v>
                </c:pt>
                <c:pt idx="1178">
                  <c:v>-31183</c:v>
                </c:pt>
                <c:pt idx="1179">
                  <c:v>-23593</c:v>
                </c:pt>
                <c:pt idx="1180">
                  <c:v>-22005</c:v>
                </c:pt>
                <c:pt idx="1181">
                  <c:v>-62224</c:v>
                </c:pt>
                <c:pt idx="1182">
                  <c:v>-85693</c:v>
                </c:pt>
                <c:pt idx="1183">
                  <c:v>-116286</c:v>
                </c:pt>
                <c:pt idx="1184">
                  <c:v>-80664</c:v>
                </c:pt>
                <c:pt idx="1185">
                  <c:v>-87717</c:v>
                </c:pt>
                <c:pt idx="1186">
                  <c:v>-78822</c:v>
                </c:pt>
                <c:pt idx="1187">
                  <c:v>-63629</c:v>
                </c:pt>
                <c:pt idx="1188">
                  <c:v>-47371</c:v>
                </c:pt>
                <c:pt idx="1189">
                  <c:v>-62314</c:v>
                </c:pt>
                <c:pt idx="1190">
                  <c:v>-63538</c:v>
                </c:pt>
                <c:pt idx="1191">
                  <c:v>-79716</c:v>
                </c:pt>
                <c:pt idx="1192">
                  <c:v>-105226</c:v>
                </c:pt>
                <c:pt idx="1193">
                  <c:v>-90130</c:v>
                </c:pt>
                <c:pt idx="1194">
                  <c:v>-39059</c:v>
                </c:pt>
                <c:pt idx="1195">
                  <c:v>-15555</c:v>
                </c:pt>
                <c:pt idx="1196">
                  <c:v>-6662</c:v>
                </c:pt>
                <c:pt idx="1197">
                  <c:v>-26814</c:v>
                </c:pt>
                <c:pt idx="1198">
                  <c:v>-23678</c:v>
                </c:pt>
                <c:pt idx="1199">
                  <c:v>-22052</c:v>
                </c:pt>
                <c:pt idx="1200">
                  <c:v>-17599</c:v>
                </c:pt>
                <c:pt idx="1201">
                  <c:v>-13832</c:v>
                </c:pt>
                <c:pt idx="1202">
                  <c:v>-3639</c:v>
                </c:pt>
                <c:pt idx="1203">
                  <c:v>-33911</c:v>
                </c:pt>
                <c:pt idx="1204">
                  <c:v>-43787</c:v>
                </c:pt>
                <c:pt idx="1205">
                  <c:v>-66888</c:v>
                </c:pt>
                <c:pt idx="1206">
                  <c:v>-78611</c:v>
                </c:pt>
                <c:pt idx="1207">
                  <c:v>-77336</c:v>
                </c:pt>
                <c:pt idx="1208">
                  <c:v>-74901</c:v>
                </c:pt>
                <c:pt idx="1209">
                  <c:v>-68050</c:v>
                </c:pt>
                <c:pt idx="1210">
                  <c:v>-26580</c:v>
                </c:pt>
                <c:pt idx="1211">
                  <c:v>-30367</c:v>
                </c:pt>
                <c:pt idx="1212">
                  <c:v>-17226</c:v>
                </c:pt>
                <c:pt idx="1213">
                  <c:v>4103</c:v>
                </c:pt>
                <c:pt idx="1214">
                  <c:v>25266</c:v>
                </c:pt>
                <c:pt idx="1215">
                  <c:v>37653</c:v>
                </c:pt>
                <c:pt idx="1216">
                  <c:v>50026</c:v>
                </c:pt>
                <c:pt idx="1217">
                  <c:v>37245</c:v>
                </c:pt>
                <c:pt idx="1218">
                  <c:v>43232</c:v>
                </c:pt>
                <c:pt idx="1219">
                  <c:v>47901</c:v>
                </c:pt>
                <c:pt idx="1220">
                  <c:v>52734</c:v>
                </c:pt>
                <c:pt idx="1221">
                  <c:v>59625</c:v>
                </c:pt>
                <c:pt idx="1222">
                  <c:v>64333</c:v>
                </c:pt>
                <c:pt idx="1223">
                  <c:v>45489</c:v>
                </c:pt>
                <c:pt idx="1224">
                  <c:v>53346</c:v>
                </c:pt>
                <c:pt idx="1225">
                  <c:v>54387</c:v>
                </c:pt>
                <c:pt idx="1226">
                  <c:v>60073</c:v>
                </c:pt>
                <c:pt idx="1227">
                  <c:v>66190</c:v>
                </c:pt>
                <c:pt idx="1228">
                  <c:v>71870</c:v>
                </c:pt>
                <c:pt idx="1229">
                  <c:v>66498</c:v>
                </c:pt>
                <c:pt idx="1230">
                  <c:v>61521</c:v>
                </c:pt>
                <c:pt idx="1231">
                  <c:v>59047</c:v>
                </c:pt>
                <c:pt idx="1232">
                  <c:v>58919</c:v>
                </c:pt>
                <c:pt idx="1233">
                  <c:v>22059</c:v>
                </c:pt>
                <c:pt idx="1234">
                  <c:v>14837</c:v>
                </c:pt>
                <c:pt idx="1235">
                  <c:v>42853</c:v>
                </c:pt>
                <c:pt idx="1236">
                  <c:v>55690</c:v>
                </c:pt>
                <c:pt idx="1237">
                  <c:v>52296</c:v>
                </c:pt>
                <c:pt idx="1238">
                  <c:v>59750</c:v>
                </c:pt>
                <c:pt idx="1239">
                  <c:v>63568</c:v>
                </c:pt>
                <c:pt idx="1240">
                  <c:v>47545</c:v>
                </c:pt>
                <c:pt idx="1241">
                  <c:v>39353</c:v>
                </c:pt>
                <c:pt idx="1242">
                  <c:v>34958</c:v>
                </c:pt>
                <c:pt idx="1243">
                  <c:v>41700</c:v>
                </c:pt>
                <c:pt idx="1244">
                  <c:v>48831</c:v>
                </c:pt>
                <c:pt idx="1245">
                  <c:v>56006</c:v>
                </c:pt>
                <c:pt idx="1246">
                  <c:v>60316</c:v>
                </c:pt>
                <c:pt idx="1247">
                  <c:v>63661</c:v>
                </c:pt>
                <c:pt idx="1248">
                  <c:v>54489</c:v>
                </c:pt>
                <c:pt idx="1249">
                  <c:v>56846</c:v>
                </c:pt>
                <c:pt idx="1250">
                  <c:v>58785</c:v>
                </c:pt>
                <c:pt idx="1251">
                  <c:v>68892</c:v>
                </c:pt>
                <c:pt idx="1252">
                  <c:v>68695</c:v>
                </c:pt>
                <c:pt idx="1253">
                  <c:v>45909</c:v>
                </c:pt>
                <c:pt idx="1254">
                  <c:v>36991</c:v>
                </c:pt>
                <c:pt idx="1255">
                  <c:v>44595</c:v>
                </c:pt>
                <c:pt idx="1256">
                  <c:v>43160</c:v>
                </c:pt>
                <c:pt idx="1257">
                  <c:v>31956</c:v>
                </c:pt>
                <c:pt idx="1258">
                  <c:v>20676</c:v>
                </c:pt>
                <c:pt idx="1259">
                  <c:v>10900</c:v>
                </c:pt>
                <c:pt idx="1260">
                  <c:v>-269</c:v>
                </c:pt>
                <c:pt idx="1261">
                  <c:v>-33937</c:v>
                </c:pt>
                <c:pt idx="1262">
                  <c:v>-63429</c:v>
                </c:pt>
                <c:pt idx="1263">
                  <c:v>-75449</c:v>
                </c:pt>
                <c:pt idx="1264">
                  <c:v>-87009</c:v>
                </c:pt>
                <c:pt idx="1265">
                  <c:v>-86764</c:v>
                </c:pt>
                <c:pt idx="1266">
                  <c:v>-79839</c:v>
                </c:pt>
                <c:pt idx="1267">
                  <c:v>-77830</c:v>
                </c:pt>
                <c:pt idx="1268">
                  <c:v>-66840</c:v>
                </c:pt>
                <c:pt idx="1269">
                  <c:v>-58331</c:v>
                </c:pt>
                <c:pt idx="1270">
                  <c:v>-55060</c:v>
                </c:pt>
                <c:pt idx="1271">
                  <c:v>-51284</c:v>
                </c:pt>
                <c:pt idx="1272">
                  <c:v>-50162</c:v>
                </c:pt>
                <c:pt idx="1273">
                  <c:v>-50017</c:v>
                </c:pt>
                <c:pt idx="1274">
                  <c:v>-54700</c:v>
                </c:pt>
                <c:pt idx="1275">
                  <c:v>-71297</c:v>
                </c:pt>
                <c:pt idx="1276">
                  <c:v>-66987</c:v>
                </c:pt>
                <c:pt idx="1277">
                  <c:v>-53181</c:v>
                </c:pt>
                <c:pt idx="1278">
                  <c:v>-45800</c:v>
                </c:pt>
                <c:pt idx="1279">
                  <c:v>-34764</c:v>
                </c:pt>
                <c:pt idx="1280">
                  <c:v>-30463</c:v>
                </c:pt>
                <c:pt idx="1281">
                  <c:v>-26869</c:v>
                </c:pt>
                <c:pt idx="1282">
                  <c:v>-30483</c:v>
                </c:pt>
                <c:pt idx="1283">
                  <c:v>-36307</c:v>
                </c:pt>
                <c:pt idx="1284">
                  <c:v>-60008</c:v>
                </c:pt>
                <c:pt idx="1285">
                  <c:v>-51656</c:v>
                </c:pt>
                <c:pt idx="1286">
                  <c:v>-52275</c:v>
                </c:pt>
                <c:pt idx="1287">
                  <c:v>-55027</c:v>
                </c:pt>
                <c:pt idx="1288">
                  <c:v>-50553</c:v>
                </c:pt>
                <c:pt idx="1289">
                  <c:v>-49959</c:v>
                </c:pt>
                <c:pt idx="1290">
                  <c:v>-61350</c:v>
                </c:pt>
                <c:pt idx="1291">
                  <c:v>-75036</c:v>
                </c:pt>
                <c:pt idx="1292">
                  <c:v>-112125</c:v>
                </c:pt>
                <c:pt idx="1293">
                  <c:v>-126919</c:v>
                </c:pt>
                <c:pt idx="1294">
                  <c:v>-121489</c:v>
                </c:pt>
                <c:pt idx="1295">
                  <c:v>-112196</c:v>
                </c:pt>
                <c:pt idx="1296">
                  <c:v>-95813</c:v>
                </c:pt>
                <c:pt idx="1297">
                  <c:v>-77492</c:v>
                </c:pt>
                <c:pt idx="1298">
                  <c:v>-74086</c:v>
                </c:pt>
                <c:pt idx="1299">
                  <c:v>-68524</c:v>
                </c:pt>
                <c:pt idx="1300">
                  <c:v>-72945</c:v>
                </c:pt>
                <c:pt idx="1301">
                  <c:v>-57297</c:v>
                </c:pt>
                <c:pt idx="1302">
                  <c:v>-51322</c:v>
                </c:pt>
                <c:pt idx="1303">
                  <c:v>-71347</c:v>
                </c:pt>
                <c:pt idx="1304">
                  <c:v>-84643</c:v>
                </c:pt>
                <c:pt idx="1305">
                  <c:v>-101419</c:v>
                </c:pt>
                <c:pt idx="1306">
                  <c:v>-101286</c:v>
                </c:pt>
                <c:pt idx="1307">
                  <c:v>-116857</c:v>
                </c:pt>
                <c:pt idx="1308">
                  <c:v>-118869</c:v>
                </c:pt>
                <c:pt idx="1309">
                  <c:v>-127848</c:v>
                </c:pt>
                <c:pt idx="1310">
                  <c:v>-135999</c:v>
                </c:pt>
                <c:pt idx="1311">
                  <c:v>-122602</c:v>
                </c:pt>
                <c:pt idx="1312">
                  <c:v>-110640</c:v>
                </c:pt>
                <c:pt idx="1313">
                  <c:v>-114267</c:v>
                </c:pt>
                <c:pt idx="1314">
                  <c:v>-114123</c:v>
                </c:pt>
                <c:pt idx="1315">
                  <c:v>-114373</c:v>
                </c:pt>
                <c:pt idx="1316">
                  <c:v>-116086</c:v>
                </c:pt>
                <c:pt idx="1317">
                  <c:v>-121766</c:v>
                </c:pt>
                <c:pt idx="1318">
                  <c:v>-125536</c:v>
                </c:pt>
                <c:pt idx="1319">
                  <c:v>-119350</c:v>
                </c:pt>
                <c:pt idx="1320">
                  <c:v>-122870</c:v>
                </c:pt>
                <c:pt idx="1321">
                  <c:v>-114696</c:v>
                </c:pt>
                <c:pt idx="1322">
                  <c:v>-112876</c:v>
                </c:pt>
                <c:pt idx="1323">
                  <c:v>-115509</c:v>
                </c:pt>
                <c:pt idx="1324">
                  <c:v>-108338</c:v>
                </c:pt>
                <c:pt idx="1325">
                  <c:v>-96651</c:v>
                </c:pt>
                <c:pt idx="1326">
                  <c:v>-86845</c:v>
                </c:pt>
                <c:pt idx="1327">
                  <c:v>-79539</c:v>
                </c:pt>
                <c:pt idx="1328">
                  <c:v>-21999</c:v>
                </c:pt>
                <c:pt idx="1329">
                  <c:v>-3668</c:v>
                </c:pt>
                <c:pt idx="1330">
                  <c:v>3572</c:v>
                </c:pt>
                <c:pt idx="1331">
                  <c:v>2761</c:v>
                </c:pt>
                <c:pt idx="1332">
                  <c:v>2591</c:v>
                </c:pt>
                <c:pt idx="1333">
                  <c:v>583</c:v>
                </c:pt>
                <c:pt idx="1334">
                  <c:v>-1405</c:v>
                </c:pt>
                <c:pt idx="1335">
                  <c:v>-5462</c:v>
                </c:pt>
                <c:pt idx="1336">
                  <c:v>3680</c:v>
                </c:pt>
                <c:pt idx="1337">
                  <c:v>-2767</c:v>
                </c:pt>
                <c:pt idx="1338">
                  <c:v>-8036</c:v>
                </c:pt>
                <c:pt idx="1339">
                  <c:v>-3437</c:v>
                </c:pt>
                <c:pt idx="1340">
                  <c:v>5052</c:v>
                </c:pt>
                <c:pt idx="1341">
                  <c:v>-35562</c:v>
                </c:pt>
                <c:pt idx="1342">
                  <c:v>-34221</c:v>
                </c:pt>
                <c:pt idx="1343">
                  <c:v>-38730</c:v>
                </c:pt>
                <c:pt idx="1344">
                  <c:v>-39832</c:v>
                </c:pt>
                <c:pt idx="1345">
                  <c:v>-58650</c:v>
                </c:pt>
                <c:pt idx="1346">
                  <c:v>-73769</c:v>
                </c:pt>
                <c:pt idx="1347">
                  <c:v>-68457</c:v>
                </c:pt>
                <c:pt idx="1348">
                  <c:v>-62807</c:v>
                </c:pt>
                <c:pt idx="1349">
                  <c:v>-58368</c:v>
                </c:pt>
                <c:pt idx="1350">
                  <c:v>-47406</c:v>
                </c:pt>
                <c:pt idx="1351">
                  <c:v>-46041</c:v>
                </c:pt>
                <c:pt idx="1352">
                  <c:v>-51932</c:v>
                </c:pt>
                <c:pt idx="1353">
                  <c:v>-53886</c:v>
                </c:pt>
                <c:pt idx="1354">
                  <c:v>-63755</c:v>
                </c:pt>
                <c:pt idx="1355">
                  <c:v>-84719</c:v>
                </c:pt>
                <c:pt idx="1356">
                  <c:v>-114046</c:v>
                </c:pt>
                <c:pt idx="1357">
                  <c:v>-115201</c:v>
                </c:pt>
                <c:pt idx="1358">
                  <c:v>-100621</c:v>
                </c:pt>
                <c:pt idx="1359">
                  <c:v>-92804</c:v>
                </c:pt>
                <c:pt idx="1360">
                  <c:v>-91620</c:v>
                </c:pt>
                <c:pt idx="1361">
                  <c:v>-89122</c:v>
                </c:pt>
                <c:pt idx="1362">
                  <c:v>-102294</c:v>
                </c:pt>
                <c:pt idx="1363">
                  <c:v>-100065</c:v>
                </c:pt>
                <c:pt idx="1364">
                  <c:v>-104324</c:v>
                </c:pt>
                <c:pt idx="1365">
                  <c:v>-109766</c:v>
                </c:pt>
                <c:pt idx="1366">
                  <c:v>-97606</c:v>
                </c:pt>
                <c:pt idx="1367">
                  <c:v>-102771</c:v>
                </c:pt>
                <c:pt idx="1368">
                  <c:v>-99089</c:v>
                </c:pt>
                <c:pt idx="1369">
                  <c:v>-88623</c:v>
                </c:pt>
                <c:pt idx="1370">
                  <c:v>-61314</c:v>
                </c:pt>
                <c:pt idx="1371">
                  <c:v>-46421</c:v>
                </c:pt>
                <c:pt idx="1372">
                  <c:v>-39667</c:v>
                </c:pt>
                <c:pt idx="1373">
                  <c:v>-33345</c:v>
                </c:pt>
                <c:pt idx="1374">
                  <c:v>-31410</c:v>
                </c:pt>
                <c:pt idx="1375">
                  <c:v>-30742</c:v>
                </c:pt>
                <c:pt idx="1376">
                  <c:v>-37461</c:v>
                </c:pt>
                <c:pt idx="1377">
                  <c:v>-39654</c:v>
                </c:pt>
                <c:pt idx="1378">
                  <c:v>-51306</c:v>
                </c:pt>
                <c:pt idx="1379">
                  <c:v>-58781</c:v>
                </c:pt>
                <c:pt idx="1380">
                  <c:v>-59221</c:v>
                </c:pt>
                <c:pt idx="1381">
                  <c:v>-62121</c:v>
                </c:pt>
                <c:pt idx="1382">
                  <c:v>-62741</c:v>
                </c:pt>
                <c:pt idx="1383">
                  <c:v>-71520</c:v>
                </c:pt>
                <c:pt idx="1384">
                  <c:v>-87106</c:v>
                </c:pt>
                <c:pt idx="1385">
                  <c:v>-94414</c:v>
                </c:pt>
                <c:pt idx="1386">
                  <c:v>-99599</c:v>
                </c:pt>
                <c:pt idx="1387">
                  <c:v>-91717</c:v>
                </c:pt>
                <c:pt idx="1388">
                  <c:v>-61580</c:v>
                </c:pt>
                <c:pt idx="1389">
                  <c:v>-55192</c:v>
                </c:pt>
                <c:pt idx="1390">
                  <c:v>-55577</c:v>
                </c:pt>
                <c:pt idx="1391">
                  <c:v>-44389</c:v>
                </c:pt>
                <c:pt idx="1392">
                  <c:v>-45165</c:v>
                </c:pt>
                <c:pt idx="1393">
                  <c:v>-16565</c:v>
                </c:pt>
                <c:pt idx="1394">
                  <c:v>-10147</c:v>
                </c:pt>
                <c:pt idx="1395">
                  <c:v>-1227</c:v>
                </c:pt>
                <c:pt idx="1396">
                  <c:v>-3651</c:v>
                </c:pt>
                <c:pt idx="1397">
                  <c:v>-11380</c:v>
                </c:pt>
                <c:pt idx="1398">
                  <c:v>-9377</c:v>
                </c:pt>
                <c:pt idx="1399">
                  <c:v>-4218</c:v>
                </c:pt>
                <c:pt idx="1400">
                  <c:v>10561</c:v>
                </c:pt>
                <c:pt idx="1401">
                  <c:v>24742</c:v>
                </c:pt>
                <c:pt idx="1402">
                  <c:v>31154</c:v>
                </c:pt>
                <c:pt idx="1403">
                  <c:v>33607</c:v>
                </c:pt>
                <c:pt idx="1404">
                  <c:v>27682</c:v>
                </c:pt>
                <c:pt idx="1405">
                  <c:v>32591</c:v>
                </c:pt>
                <c:pt idx="1406">
                  <c:v>23862</c:v>
                </c:pt>
                <c:pt idx="1407">
                  <c:v>12783</c:v>
                </c:pt>
                <c:pt idx="1408">
                  <c:v>13917</c:v>
                </c:pt>
                <c:pt idx="1409">
                  <c:v>11012</c:v>
                </c:pt>
                <c:pt idx="1410">
                  <c:v>-6641</c:v>
                </c:pt>
                <c:pt idx="1411">
                  <c:v>-18165</c:v>
                </c:pt>
                <c:pt idx="1412">
                  <c:v>-19698</c:v>
                </c:pt>
                <c:pt idx="1413">
                  <c:v>-26605</c:v>
                </c:pt>
                <c:pt idx="1414">
                  <c:v>-34997</c:v>
                </c:pt>
                <c:pt idx="1415">
                  <c:v>-35031</c:v>
                </c:pt>
                <c:pt idx="1416">
                  <c:v>-39591</c:v>
                </c:pt>
                <c:pt idx="1417">
                  <c:v>-47823</c:v>
                </c:pt>
                <c:pt idx="1418">
                  <c:v>-43682</c:v>
                </c:pt>
                <c:pt idx="1419">
                  <c:v>-42062</c:v>
                </c:pt>
                <c:pt idx="1420">
                  <c:v>-33542</c:v>
                </c:pt>
                <c:pt idx="1421">
                  <c:v>-25302</c:v>
                </c:pt>
                <c:pt idx="1422">
                  <c:v>-12248</c:v>
                </c:pt>
                <c:pt idx="1423">
                  <c:v>-31430</c:v>
                </c:pt>
                <c:pt idx="1424">
                  <c:v>-44701</c:v>
                </c:pt>
                <c:pt idx="1425">
                  <c:v>-36025</c:v>
                </c:pt>
                <c:pt idx="1426">
                  <c:v>-21898</c:v>
                </c:pt>
                <c:pt idx="1427">
                  <c:v>-26188</c:v>
                </c:pt>
                <c:pt idx="1428">
                  <c:v>-27221</c:v>
                </c:pt>
                <c:pt idx="1429">
                  <c:v>-56389</c:v>
                </c:pt>
                <c:pt idx="1430">
                  <c:v>-42324</c:v>
                </c:pt>
                <c:pt idx="1431">
                  <c:v>8157</c:v>
                </c:pt>
                <c:pt idx="1432">
                  <c:v>32935</c:v>
                </c:pt>
                <c:pt idx="1433">
                  <c:v>23863</c:v>
                </c:pt>
                <c:pt idx="1434">
                  <c:v>18282</c:v>
                </c:pt>
                <c:pt idx="1435">
                  <c:v>22410</c:v>
                </c:pt>
                <c:pt idx="1436">
                  <c:v>22643</c:v>
                </c:pt>
                <c:pt idx="1437">
                  <c:v>26026</c:v>
                </c:pt>
                <c:pt idx="1438">
                  <c:v>32326</c:v>
                </c:pt>
                <c:pt idx="1439">
                  <c:v>27214</c:v>
                </c:pt>
                <c:pt idx="1440">
                  <c:v>27937</c:v>
                </c:pt>
                <c:pt idx="1441">
                  <c:v>27470</c:v>
                </c:pt>
                <c:pt idx="1442">
                  <c:v>34607</c:v>
                </c:pt>
                <c:pt idx="1443">
                  <c:v>32579</c:v>
                </c:pt>
                <c:pt idx="1444">
                  <c:v>17462</c:v>
                </c:pt>
                <c:pt idx="1445">
                  <c:v>22110</c:v>
                </c:pt>
                <c:pt idx="1446">
                  <c:v>27458</c:v>
                </c:pt>
                <c:pt idx="1447">
                  <c:v>23861</c:v>
                </c:pt>
                <c:pt idx="1448">
                  <c:v>16812</c:v>
                </c:pt>
                <c:pt idx="1449">
                  <c:v>18326</c:v>
                </c:pt>
                <c:pt idx="1450">
                  <c:v>19307</c:v>
                </c:pt>
                <c:pt idx="1451">
                  <c:v>28507</c:v>
                </c:pt>
                <c:pt idx="1452">
                  <c:v>31429</c:v>
                </c:pt>
                <c:pt idx="1453">
                  <c:v>27016</c:v>
                </c:pt>
                <c:pt idx="1454">
                  <c:v>20584</c:v>
                </c:pt>
                <c:pt idx="1455">
                  <c:v>23616</c:v>
                </c:pt>
                <c:pt idx="1456">
                  <c:v>29604</c:v>
                </c:pt>
                <c:pt idx="1457">
                  <c:v>21742</c:v>
                </c:pt>
                <c:pt idx="1458">
                  <c:v>22889</c:v>
                </c:pt>
                <c:pt idx="1459">
                  <c:v>29581</c:v>
                </c:pt>
                <c:pt idx="1460">
                  <c:v>24789</c:v>
                </c:pt>
                <c:pt idx="1461">
                  <c:v>21102</c:v>
                </c:pt>
                <c:pt idx="1462">
                  <c:v>19976</c:v>
                </c:pt>
                <c:pt idx="1463">
                  <c:v>14183</c:v>
                </c:pt>
                <c:pt idx="1464">
                  <c:v>17893</c:v>
                </c:pt>
                <c:pt idx="1465">
                  <c:v>28098</c:v>
                </c:pt>
                <c:pt idx="1466">
                  <c:v>41894</c:v>
                </c:pt>
                <c:pt idx="1467">
                  <c:v>29667</c:v>
                </c:pt>
                <c:pt idx="1468">
                  <c:v>40242</c:v>
                </c:pt>
                <c:pt idx="1469">
                  <c:v>47503</c:v>
                </c:pt>
                <c:pt idx="1470">
                  <c:v>48166</c:v>
                </c:pt>
                <c:pt idx="1471">
                  <c:v>43963</c:v>
                </c:pt>
                <c:pt idx="1472">
                  <c:v>46093</c:v>
                </c:pt>
                <c:pt idx="1473">
                  <c:v>47350</c:v>
                </c:pt>
                <c:pt idx="1474">
                  <c:v>50190</c:v>
                </c:pt>
                <c:pt idx="1475">
                  <c:v>50520</c:v>
                </c:pt>
                <c:pt idx="1476">
                  <c:v>50014</c:v>
                </c:pt>
                <c:pt idx="1477">
                  <c:v>44992</c:v>
                </c:pt>
                <c:pt idx="1478">
                  <c:v>44629</c:v>
                </c:pt>
                <c:pt idx="1479">
                  <c:v>34618</c:v>
                </c:pt>
                <c:pt idx="1480">
                  <c:v>37182</c:v>
                </c:pt>
                <c:pt idx="1481">
                  <c:v>28622</c:v>
                </c:pt>
                <c:pt idx="1482">
                  <c:v>19270</c:v>
                </c:pt>
                <c:pt idx="1483">
                  <c:v>6514</c:v>
                </c:pt>
                <c:pt idx="1484">
                  <c:v>-39368</c:v>
                </c:pt>
                <c:pt idx="1485">
                  <c:v>-53525</c:v>
                </c:pt>
                <c:pt idx="1486">
                  <c:v>-59481</c:v>
                </c:pt>
                <c:pt idx="1487">
                  <c:v>-57989</c:v>
                </c:pt>
                <c:pt idx="1488">
                  <c:v>-58312</c:v>
                </c:pt>
                <c:pt idx="1489">
                  <c:v>-59819</c:v>
                </c:pt>
                <c:pt idx="1490">
                  <c:v>-48509</c:v>
                </c:pt>
                <c:pt idx="1491">
                  <c:v>-41492</c:v>
                </c:pt>
                <c:pt idx="1492">
                  <c:v>-41728</c:v>
                </c:pt>
                <c:pt idx="1493">
                  <c:v>-50948</c:v>
                </c:pt>
                <c:pt idx="1494">
                  <c:v>-50156</c:v>
                </c:pt>
                <c:pt idx="1495">
                  <c:v>-47115</c:v>
                </c:pt>
                <c:pt idx="1496">
                  <c:v>-37314</c:v>
                </c:pt>
                <c:pt idx="1497">
                  <c:v>-46850</c:v>
                </c:pt>
                <c:pt idx="1498">
                  <c:v>-53862</c:v>
                </c:pt>
                <c:pt idx="1499">
                  <c:v>-69895</c:v>
                </c:pt>
                <c:pt idx="1500">
                  <c:v>-69136</c:v>
                </c:pt>
                <c:pt idx="1501">
                  <c:v>-56250</c:v>
                </c:pt>
                <c:pt idx="1502">
                  <c:v>-55731</c:v>
                </c:pt>
                <c:pt idx="1503">
                  <c:v>-59934</c:v>
                </c:pt>
                <c:pt idx="1504">
                  <c:v>-55190</c:v>
                </c:pt>
                <c:pt idx="1505">
                  <c:v>-60657</c:v>
                </c:pt>
                <c:pt idx="1506">
                  <c:v>-63208</c:v>
                </c:pt>
                <c:pt idx="1507">
                  <c:v>-66671</c:v>
                </c:pt>
                <c:pt idx="1508">
                  <c:v>-63130</c:v>
                </c:pt>
                <c:pt idx="1509">
                  <c:v>-62325</c:v>
                </c:pt>
                <c:pt idx="1510">
                  <c:v>-60295</c:v>
                </c:pt>
                <c:pt idx="1511">
                  <c:v>-56071</c:v>
                </c:pt>
                <c:pt idx="1512">
                  <c:v>-64760</c:v>
                </c:pt>
                <c:pt idx="1513">
                  <c:v>-63694</c:v>
                </c:pt>
                <c:pt idx="1514">
                  <c:v>-76634</c:v>
                </c:pt>
                <c:pt idx="1515">
                  <c:v>-102734</c:v>
                </c:pt>
                <c:pt idx="1516">
                  <c:v>-107036</c:v>
                </c:pt>
                <c:pt idx="1517">
                  <c:v>-107624</c:v>
                </c:pt>
                <c:pt idx="1518">
                  <c:v>-105351</c:v>
                </c:pt>
                <c:pt idx="1519">
                  <c:v>-93126</c:v>
                </c:pt>
                <c:pt idx="1520">
                  <c:v>-97253</c:v>
                </c:pt>
                <c:pt idx="1521">
                  <c:v>-78866</c:v>
                </c:pt>
                <c:pt idx="1522">
                  <c:v>-63081</c:v>
                </c:pt>
                <c:pt idx="1523">
                  <c:v>-53523</c:v>
                </c:pt>
                <c:pt idx="1524">
                  <c:v>-52286</c:v>
                </c:pt>
                <c:pt idx="1525">
                  <c:v>-53102</c:v>
                </c:pt>
                <c:pt idx="1526">
                  <c:v>-62262</c:v>
                </c:pt>
                <c:pt idx="1527">
                  <c:v>-87525</c:v>
                </c:pt>
                <c:pt idx="1528">
                  <c:v>-80879</c:v>
                </c:pt>
                <c:pt idx="1529">
                  <c:v>-68273</c:v>
                </c:pt>
                <c:pt idx="1530">
                  <c:v>-60640</c:v>
                </c:pt>
                <c:pt idx="1531">
                  <c:v>-59148</c:v>
                </c:pt>
                <c:pt idx="1532">
                  <c:v>-66162</c:v>
                </c:pt>
                <c:pt idx="1533">
                  <c:v>-63187</c:v>
                </c:pt>
                <c:pt idx="1534">
                  <c:v>-68732</c:v>
                </c:pt>
                <c:pt idx="1535">
                  <c:v>-55856</c:v>
                </c:pt>
                <c:pt idx="1536">
                  <c:v>-62340</c:v>
                </c:pt>
                <c:pt idx="1537">
                  <c:v>-78482</c:v>
                </c:pt>
                <c:pt idx="1538">
                  <c:v>-102131</c:v>
                </c:pt>
                <c:pt idx="1539">
                  <c:v>-103829</c:v>
                </c:pt>
                <c:pt idx="1540">
                  <c:v>-111827</c:v>
                </c:pt>
                <c:pt idx="1541">
                  <c:v>-107187</c:v>
                </c:pt>
                <c:pt idx="1542">
                  <c:v>-95535</c:v>
                </c:pt>
                <c:pt idx="1543">
                  <c:v>-100794</c:v>
                </c:pt>
                <c:pt idx="1544">
                  <c:v>-110454</c:v>
                </c:pt>
                <c:pt idx="1545">
                  <c:v>-102309</c:v>
                </c:pt>
                <c:pt idx="1546">
                  <c:v>-99444</c:v>
                </c:pt>
                <c:pt idx="1547">
                  <c:v>-94439</c:v>
                </c:pt>
                <c:pt idx="1548">
                  <c:v>-91646</c:v>
                </c:pt>
                <c:pt idx="1549">
                  <c:v>-69755</c:v>
                </c:pt>
                <c:pt idx="1550">
                  <c:v>-58454</c:v>
                </c:pt>
                <c:pt idx="1551">
                  <c:v>-52570</c:v>
                </c:pt>
                <c:pt idx="1552">
                  <c:v>-54445</c:v>
                </c:pt>
                <c:pt idx="1553">
                  <c:v>-59998</c:v>
                </c:pt>
                <c:pt idx="1554">
                  <c:v>-59225</c:v>
                </c:pt>
                <c:pt idx="1555">
                  <c:v>-61481</c:v>
                </c:pt>
                <c:pt idx="1556">
                  <c:v>-42753</c:v>
                </c:pt>
                <c:pt idx="1557">
                  <c:v>-25032</c:v>
                </c:pt>
                <c:pt idx="1558">
                  <c:v>-28891</c:v>
                </c:pt>
                <c:pt idx="1559">
                  <c:v>-38807</c:v>
                </c:pt>
                <c:pt idx="1560">
                  <c:v>-41531</c:v>
                </c:pt>
                <c:pt idx="1561">
                  <c:v>-58189</c:v>
                </c:pt>
                <c:pt idx="1562">
                  <c:v>-80692</c:v>
                </c:pt>
              </c:numCache>
            </c:numRef>
          </c:val>
          <c:extLst>
            <c:ext xmlns:c16="http://schemas.microsoft.com/office/drawing/2014/chart" uri="{C3380CC4-5D6E-409C-BE32-E72D297353CC}">
              <c16:uniqueId val="{00000000-C827-438F-AE68-4C0D979FADCA}"/>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areaChart>
        <c:grouping val="stacked"/>
        <c:varyColors val="0"/>
        <c:ser>
          <c:idx val="18"/>
          <c:order val="0"/>
          <c:tx>
            <c:strRef>
              <c:f>Database!$I$1</c:f>
              <c:strCache>
                <c:ptCount val="1"/>
                <c:pt idx="0">
                  <c:v>MEX</c:v>
                </c:pt>
              </c:strCache>
            </c:strRef>
          </c:tx>
          <c:spPr>
            <a:ln>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Database!$I$2:$I$1564</c:f>
              <c:numCache>
                <c:formatCode>General</c:formatCode>
                <c:ptCount val="1563"/>
                <c:pt idx="137">
                  <c:v>679</c:v>
                </c:pt>
                <c:pt idx="138">
                  <c:v>1162</c:v>
                </c:pt>
                <c:pt idx="139">
                  <c:v>579</c:v>
                </c:pt>
                <c:pt idx="140">
                  <c:v>1287</c:v>
                </c:pt>
                <c:pt idx="141">
                  <c:v>1754</c:v>
                </c:pt>
                <c:pt idx="142">
                  <c:v>2683</c:v>
                </c:pt>
                <c:pt idx="143">
                  <c:v>2628</c:v>
                </c:pt>
                <c:pt idx="144">
                  <c:v>2944</c:v>
                </c:pt>
                <c:pt idx="145">
                  <c:v>2471</c:v>
                </c:pt>
                <c:pt idx="146">
                  <c:v>2338</c:v>
                </c:pt>
                <c:pt idx="147">
                  <c:v>2685</c:v>
                </c:pt>
                <c:pt idx="148">
                  <c:v>2328</c:v>
                </c:pt>
                <c:pt idx="149">
                  <c:v>53</c:v>
                </c:pt>
                <c:pt idx="150">
                  <c:v>288</c:v>
                </c:pt>
                <c:pt idx="151">
                  <c:v>497</c:v>
                </c:pt>
                <c:pt idx="152">
                  <c:v>225</c:v>
                </c:pt>
                <c:pt idx="153">
                  <c:v>225</c:v>
                </c:pt>
                <c:pt idx="154">
                  <c:v>225</c:v>
                </c:pt>
                <c:pt idx="155">
                  <c:v>448</c:v>
                </c:pt>
                <c:pt idx="156">
                  <c:v>1029</c:v>
                </c:pt>
                <c:pt idx="157">
                  <c:v>948</c:v>
                </c:pt>
                <c:pt idx="158">
                  <c:v>963</c:v>
                </c:pt>
                <c:pt idx="159">
                  <c:v>917</c:v>
                </c:pt>
                <c:pt idx="160">
                  <c:v>1076</c:v>
                </c:pt>
                <c:pt idx="161">
                  <c:v>1214</c:v>
                </c:pt>
                <c:pt idx="162">
                  <c:v>1132</c:v>
                </c:pt>
                <c:pt idx="163">
                  <c:v>752</c:v>
                </c:pt>
                <c:pt idx="164">
                  <c:v>612</c:v>
                </c:pt>
                <c:pt idx="165">
                  <c:v>751</c:v>
                </c:pt>
                <c:pt idx="166">
                  <c:v>277</c:v>
                </c:pt>
                <c:pt idx="167">
                  <c:v>-1844</c:v>
                </c:pt>
                <c:pt idx="168">
                  <c:v>-1859</c:v>
                </c:pt>
                <c:pt idx="169">
                  <c:v>-1859</c:v>
                </c:pt>
                <c:pt idx="170">
                  <c:v>-2096</c:v>
                </c:pt>
                <c:pt idx="171">
                  <c:v>-2139</c:v>
                </c:pt>
                <c:pt idx="172">
                  <c:v>-2367</c:v>
                </c:pt>
                <c:pt idx="173">
                  <c:v>-3481</c:v>
                </c:pt>
                <c:pt idx="174">
                  <c:v>-2962</c:v>
                </c:pt>
                <c:pt idx="175">
                  <c:v>-2420</c:v>
                </c:pt>
                <c:pt idx="176">
                  <c:v>-1676</c:v>
                </c:pt>
                <c:pt idx="177">
                  <c:v>-2218</c:v>
                </c:pt>
                <c:pt idx="178">
                  <c:v>-2642</c:v>
                </c:pt>
                <c:pt idx="179">
                  <c:v>-1429</c:v>
                </c:pt>
                <c:pt idx="180">
                  <c:v>18</c:v>
                </c:pt>
                <c:pt idx="181">
                  <c:v>-87</c:v>
                </c:pt>
                <c:pt idx="182">
                  <c:v>173</c:v>
                </c:pt>
                <c:pt idx="183">
                  <c:v>-228</c:v>
                </c:pt>
                <c:pt idx="184">
                  <c:v>-348</c:v>
                </c:pt>
                <c:pt idx="185">
                  <c:v>-1293</c:v>
                </c:pt>
                <c:pt idx="186">
                  <c:v>-1144</c:v>
                </c:pt>
                <c:pt idx="187">
                  <c:v>-1012</c:v>
                </c:pt>
                <c:pt idx="188">
                  <c:v>-852</c:v>
                </c:pt>
                <c:pt idx="189">
                  <c:v>-667</c:v>
                </c:pt>
                <c:pt idx="190">
                  <c:v>-955</c:v>
                </c:pt>
                <c:pt idx="191">
                  <c:v>-1196</c:v>
                </c:pt>
                <c:pt idx="192">
                  <c:v>-669</c:v>
                </c:pt>
                <c:pt idx="193">
                  <c:v>171</c:v>
                </c:pt>
                <c:pt idx="194">
                  <c:v>208</c:v>
                </c:pt>
                <c:pt idx="195">
                  <c:v>477</c:v>
                </c:pt>
                <c:pt idx="196">
                  <c:v>263</c:v>
                </c:pt>
                <c:pt idx="197">
                  <c:v>2613</c:v>
                </c:pt>
                <c:pt idx="198">
                  <c:v>561</c:v>
                </c:pt>
                <c:pt idx="199">
                  <c:v>1030</c:v>
                </c:pt>
                <c:pt idx="200">
                  <c:v>381</c:v>
                </c:pt>
                <c:pt idx="201">
                  <c:v>118</c:v>
                </c:pt>
                <c:pt idx="202">
                  <c:v>241</c:v>
                </c:pt>
                <c:pt idx="203">
                  <c:v>684</c:v>
                </c:pt>
                <c:pt idx="204">
                  <c:v>187</c:v>
                </c:pt>
                <c:pt idx="205">
                  <c:v>1171</c:v>
                </c:pt>
                <c:pt idx="206">
                  <c:v>900</c:v>
                </c:pt>
                <c:pt idx="207">
                  <c:v>1064</c:v>
                </c:pt>
                <c:pt idx="208">
                  <c:v>1065</c:v>
                </c:pt>
                <c:pt idx="209">
                  <c:v>962</c:v>
                </c:pt>
                <c:pt idx="210">
                  <c:v>1199</c:v>
                </c:pt>
                <c:pt idx="211">
                  <c:v>1444</c:v>
                </c:pt>
                <c:pt idx="212">
                  <c:v>1002</c:v>
                </c:pt>
                <c:pt idx="213">
                  <c:v>53</c:v>
                </c:pt>
                <c:pt idx="214">
                  <c:v>746</c:v>
                </c:pt>
                <c:pt idx="215">
                  <c:v>1104</c:v>
                </c:pt>
                <c:pt idx="216">
                  <c:v>21</c:v>
                </c:pt>
                <c:pt idx="217">
                  <c:v>1285</c:v>
                </c:pt>
                <c:pt idx="218">
                  <c:v>1496</c:v>
                </c:pt>
                <c:pt idx="219">
                  <c:v>1814</c:v>
                </c:pt>
                <c:pt idx="220">
                  <c:v>2094</c:v>
                </c:pt>
                <c:pt idx="221">
                  <c:v>2091</c:v>
                </c:pt>
                <c:pt idx="222">
                  <c:v>3335</c:v>
                </c:pt>
                <c:pt idx="223">
                  <c:v>3963</c:v>
                </c:pt>
                <c:pt idx="224">
                  <c:v>4152</c:v>
                </c:pt>
                <c:pt idx="225">
                  <c:v>3979</c:v>
                </c:pt>
                <c:pt idx="226">
                  <c:v>4142</c:v>
                </c:pt>
                <c:pt idx="227">
                  <c:v>3986</c:v>
                </c:pt>
                <c:pt idx="228">
                  <c:v>3807</c:v>
                </c:pt>
                <c:pt idx="229">
                  <c:v>5328</c:v>
                </c:pt>
                <c:pt idx="230">
                  <c:v>1215</c:v>
                </c:pt>
                <c:pt idx="231">
                  <c:v>704</c:v>
                </c:pt>
                <c:pt idx="232">
                  <c:v>0</c:v>
                </c:pt>
                <c:pt idx="233">
                  <c:v>200</c:v>
                </c:pt>
                <c:pt idx="234">
                  <c:v>1266</c:v>
                </c:pt>
                <c:pt idx="235">
                  <c:v>415</c:v>
                </c:pt>
                <c:pt idx="236">
                  <c:v>1764</c:v>
                </c:pt>
                <c:pt idx="237">
                  <c:v>2438</c:v>
                </c:pt>
                <c:pt idx="238">
                  <c:v>1121</c:v>
                </c:pt>
                <c:pt idx="239">
                  <c:v>1372</c:v>
                </c:pt>
                <c:pt idx="240">
                  <c:v>42</c:v>
                </c:pt>
                <c:pt idx="241">
                  <c:v>655</c:v>
                </c:pt>
                <c:pt idx="242">
                  <c:v>504</c:v>
                </c:pt>
                <c:pt idx="243">
                  <c:v>820</c:v>
                </c:pt>
                <c:pt idx="244">
                  <c:v>634</c:v>
                </c:pt>
                <c:pt idx="245">
                  <c:v>272</c:v>
                </c:pt>
                <c:pt idx="246">
                  <c:v>-1896</c:v>
                </c:pt>
                <c:pt idx="247">
                  <c:v>-1185</c:v>
                </c:pt>
                <c:pt idx="248">
                  <c:v>259</c:v>
                </c:pt>
                <c:pt idx="249">
                  <c:v>663</c:v>
                </c:pt>
                <c:pt idx="250">
                  <c:v>1286</c:v>
                </c:pt>
                <c:pt idx="251">
                  <c:v>453</c:v>
                </c:pt>
                <c:pt idx="252">
                  <c:v>2772</c:v>
                </c:pt>
                <c:pt idx="253">
                  <c:v>3304</c:v>
                </c:pt>
                <c:pt idx="254">
                  <c:v>3850</c:v>
                </c:pt>
                <c:pt idx="255">
                  <c:v>5237</c:v>
                </c:pt>
                <c:pt idx="256">
                  <c:v>5131</c:v>
                </c:pt>
                <c:pt idx="257">
                  <c:v>5497</c:v>
                </c:pt>
                <c:pt idx="258">
                  <c:v>7475</c:v>
                </c:pt>
                <c:pt idx="259">
                  <c:v>7071</c:v>
                </c:pt>
                <c:pt idx="260">
                  <c:v>6263</c:v>
                </c:pt>
                <c:pt idx="261">
                  <c:v>5383</c:v>
                </c:pt>
                <c:pt idx="262">
                  <c:v>7344</c:v>
                </c:pt>
                <c:pt idx="263">
                  <c:v>7260</c:v>
                </c:pt>
                <c:pt idx="264">
                  <c:v>4063</c:v>
                </c:pt>
                <c:pt idx="265">
                  <c:v>1550</c:v>
                </c:pt>
                <c:pt idx="266">
                  <c:v>638</c:v>
                </c:pt>
                <c:pt idx="267">
                  <c:v>204</c:v>
                </c:pt>
                <c:pt idx="268">
                  <c:v>-798</c:v>
                </c:pt>
                <c:pt idx="269">
                  <c:v>-683</c:v>
                </c:pt>
                <c:pt idx="270">
                  <c:v>2728</c:v>
                </c:pt>
                <c:pt idx="271">
                  <c:v>1521</c:v>
                </c:pt>
                <c:pt idx="272">
                  <c:v>-412</c:v>
                </c:pt>
                <c:pt idx="273">
                  <c:v>-490</c:v>
                </c:pt>
                <c:pt idx="274">
                  <c:v>-252</c:v>
                </c:pt>
                <c:pt idx="275">
                  <c:v>764</c:v>
                </c:pt>
                <c:pt idx="276">
                  <c:v>58</c:v>
                </c:pt>
                <c:pt idx="277">
                  <c:v>2513</c:v>
                </c:pt>
                <c:pt idx="278">
                  <c:v>3039</c:v>
                </c:pt>
                <c:pt idx="279">
                  <c:v>3188</c:v>
                </c:pt>
                <c:pt idx="280">
                  <c:v>3332</c:v>
                </c:pt>
                <c:pt idx="281">
                  <c:v>254</c:v>
                </c:pt>
                <c:pt idx="282">
                  <c:v>2464</c:v>
                </c:pt>
                <c:pt idx="283">
                  <c:v>3397</c:v>
                </c:pt>
                <c:pt idx="284">
                  <c:v>3230</c:v>
                </c:pt>
                <c:pt idx="285">
                  <c:v>4865</c:v>
                </c:pt>
                <c:pt idx="286">
                  <c:v>1943</c:v>
                </c:pt>
                <c:pt idx="287">
                  <c:v>813</c:v>
                </c:pt>
                <c:pt idx="288">
                  <c:v>2454</c:v>
                </c:pt>
                <c:pt idx="289">
                  <c:v>3981</c:v>
                </c:pt>
                <c:pt idx="290">
                  <c:v>2542</c:v>
                </c:pt>
                <c:pt idx="291">
                  <c:v>5208</c:v>
                </c:pt>
                <c:pt idx="292">
                  <c:v>4297</c:v>
                </c:pt>
                <c:pt idx="293">
                  <c:v>2440</c:v>
                </c:pt>
                <c:pt idx="294">
                  <c:v>-672</c:v>
                </c:pt>
                <c:pt idx="295">
                  <c:v>-2020</c:v>
                </c:pt>
                <c:pt idx="296">
                  <c:v>-1069</c:v>
                </c:pt>
                <c:pt idx="297">
                  <c:v>-1611</c:v>
                </c:pt>
                <c:pt idx="298">
                  <c:v>-78</c:v>
                </c:pt>
                <c:pt idx="299">
                  <c:v>-47</c:v>
                </c:pt>
                <c:pt idx="300">
                  <c:v>1073</c:v>
                </c:pt>
                <c:pt idx="301">
                  <c:v>2730</c:v>
                </c:pt>
                <c:pt idx="302">
                  <c:v>4453</c:v>
                </c:pt>
                <c:pt idx="303">
                  <c:v>3696</c:v>
                </c:pt>
                <c:pt idx="304">
                  <c:v>3265</c:v>
                </c:pt>
                <c:pt idx="305">
                  <c:v>787</c:v>
                </c:pt>
                <c:pt idx="306">
                  <c:v>-819</c:v>
                </c:pt>
                <c:pt idx="307">
                  <c:v>-2178</c:v>
                </c:pt>
                <c:pt idx="308">
                  <c:v>-2247</c:v>
                </c:pt>
                <c:pt idx="309">
                  <c:v>-2283</c:v>
                </c:pt>
                <c:pt idx="310">
                  <c:v>-1062</c:v>
                </c:pt>
                <c:pt idx="311">
                  <c:v>-299</c:v>
                </c:pt>
                <c:pt idx="312">
                  <c:v>219</c:v>
                </c:pt>
                <c:pt idx="313">
                  <c:v>-331</c:v>
                </c:pt>
                <c:pt idx="314">
                  <c:v>-557</c:v>
                </c:pt>
                <c:pt idx="315">
                  <c:v>827</c:v>
                </c:pt>
                <c:pt idx="316">
                  <c:v>877</c:v>
                </c:pt>
                <c:pt idx="317">
                  <c:v>877</c:v>
                </c:pt>
                <c:pt idx="318">
                  <c:v>1092</c:v>
                </c:pt>
                <c:pt idx="319">
                  <c:v>1342</c:v>
                </c:pt>
                <c:pt idx="320">
                  <c:v>1842</c:v>
                </c:pt>
                <c:pt idx="321">
                  <c:v>1814</c:v>
                </c:pt>
                <c:pt idx="322">
                  <c:v>3133</c:v>
                </c:pt>
                <c:pt idx="323">
                  <c:v>3661</c:v>
                </c:pt>
                <c:pt idx="324">
                  <c:v>4306</c:v>
                </c:pt>
                <c:pt idx="325">
                  <c:v>4249</c:v>
                </c:pt>
                <c:pt idx="326">
                  <c:v>4520</c:v>
                </c:pt>
                <c:pt idx="327">
                  <c:v>1007</c:v>
                </c:pt>
                <c:pt idx="328">
                  <c:v>0</c:v>
                </c:pt>
                <c:pt idx="329">
                  <c:v>-200</c:v>
                </c:pt>
                <c:pt idx="330">
                  <c:v>412</c:v>
                </c:pt>
                <c:pt idx="331">
                  <c:v>821</c:v>
                </c:pt>
                <c:pt idx="332">
                  <c:v>4352</c:v>
                </c:pt>
                <c:pt idx="333">
                  <c:v>4472</c:v>
                </c:pt>
                <c:pt idx="334">
                  <c:v>5984</c:v>
                </c:pt>
                <c:pt idx="335">
                  <c:v>7670</c:v>
                </c:pt>
                <c:pt idx="336">
                  <c:v>7784</c:v>
                </c:pt>
                <c:pt idx="337">
                  <c:v>5809</c:v>
                </c:pt>
                <c:pt idx="338">
                  <c:v>6419</c:v>
                </c:pt>
                <c:pt idx="339">
                  <c:v>6116</c:v>
                </c:pt>
                <c:pt idx="340">
                  <c:v>6178</c:v>
                </c:pt>
                <c:pt idx="341">
                  <c:v>7342</c:v>
                </c:pt>
                <c:pt idx="342">
                  <c:v>6530</c:v>
                </c:pt>
                <c:pt idx="343">
                  <c:v>6593</c:v>
                </c:pt>
                <c:pt idx="344">
                  <c:v>6429</c:v>
                </c:pt>
                <c:pt idx="345">
                  <c:v>6546</c:v>
                </c:pt>
                <c:pt idx="346">
                  <c:v>1703</c:v>
                </c:pt>
                <c:pt idx="347">
                  <c:v>250</c:v>
                </c:pt>
                <c:pt idx="348">
                  <c:v>1013</c:v>
                </c:pt>
                <c:pt idx="349">
                  <c:v>1348</c:v>
                </c:pt>
                <c:pt idx="350">
                  <c:v>4284</c:v>
                </c:pt>
                <c:pt idx="351">
                  <c:v>4328</c:v>
                </c:pt>
                <c:pt idx="352">
                  <c:v>3722</c:v>
                </c:pt>
                <c:pt idx="353">
                  <c:v>3931</c:v>
                </c:pt>
                <c:pt idx="354">
                  <c:v>3407</c:v>
                </c:pt>
                <c:pt idx="355">
                  <c:v>3427</c:v>
                </c:pt>
                <c:pt idx="356">
                  <c:v>2953</c:v>
                </c:pt>
                <c:pt idx="357">
                  <c:v>1521</c:v>
                </c:pt>
                <c:pt idx="358">
                  <c:v>4769</c:v>
                </c:pt>
                <c:pt idx="359">
                  <c:v>5041</c:v>
                </c:pt>
                <c:pt idx="360">
                  <c:v>5042</c:v>
                </c:pt>
                <c:pt idx="361">
                  <c:v>6691</c:v>
                </c:pt>
                <c:pt idx="362">
                  <c:v>8634</c:v>
                </c:pt>
                <c:pt idx="363">
                  <c:v>7061</c:v>
                </c:pt>
                <c:pt idx="364">
                  <c:v>6585</c:v>
                </c:pt>
                <c:pt idx="365">
                  <c:v>3221</c:v>
                </c:pt>
                <c:pt idx="366">
                  <c:v>3054</c:v>
                </c:pt>
                <c:pt idx="367">
                  <c:v>1976</c:v>
                </c:pt>
                <c:pt idx="368">
                  <c:v>1475</c:v>
                </c:pt>
                <c:pt idx="369">
                  <c:v>1929</c:v>
                </c:pt>
                <c:pt idx="370">
                  <c:v>8603</c:v>
                </c:pt>
                <c:pt idx="371">
                  <c:v>9444</c:v>
                </c:pt>
                <c:pt idx="372">
                  <c:v>10170</c:v>
                </c:pt>
                <c:pt idx="373">
                  <c:v>9776</c:v>
                </c:pt>
                <c:pt idx="374">
                  <c:v>5524</c:v>
                </c:pt>
                <c:pt idx="375">
                  <c:v>5019</c:v>
                </c:pt>
                <c:pt idx="376">
                  <c:v>5454</c:v>
                </c:pt>
                <c:pt idx="377">
                  <c:v>4874</c:v>
                </c:pt>
                <c:pt idx="378">
                  <c:v>4950</c:v>
                </c:pt>
                <c:pt idx="379">
                  <c:v>5863</c:v>
                </c:pt>
                <c:pt idx="380">
                  <c:v>6167</c:v>
                </c:pt>
                <c:pt idx="381">
                  <c:v>5746</c:v>
                </c:pt>
                <c:pt idx="382">
                  <c:v>3073</c:v>
                </c:pt>
                <c:pt idx="383">
                  <c:v>7979</c:v>
                </c:pt>
                <c:pt idx="384">
                  <c:v>9003</c:v>
                </c:pt>
                <c:pt idx="385">
                  <c:v>9151</c:v>
                </c:pt>
                <c:pt idx="386">
                  <c:v>9609</c:v>
                </c:pt>
                <c:pt idx="387">
                  <c:v>10442</c:v>
                </c:pt>
                <c:pt idx="388">
                  <c:v>9786</c:v>
                </c:pt>
                <c:pt idx="389">
                  <c:v>9436</c:v>
                </c:pt>
                <c:pt idx="390">
                  <c:v>10256</c:v>
                </c:pt>
                <c:pt idx="391">
                  <c:v>6601</c:v>
                </c:pt>
                <c:pt idx="392">
                  <c:v>4431</c:v>
                </c:pt>
                <c:pt idx="393">
                  <c:v>1516</c:v>
                </c:pt>
                <c:pt idx="394">
                  <c:v>1791</c:v>
                </c:pt>
                <c:pt idx="395">
                  <c:v>5542</c:v>
                </c:pt>
                <c:pt idx="396">
                  <c:v>1604</c:v>
                </c:pt>
                <c:pt idx="397">
                  <c:v>-68</c:v>
                </c:pt>
                <c:pt idx="398">
                  <c:v>517</c:v>
                </c:pt>
                <c:pt idx="399">
                  <c:v>1945</c:v>
                </c:pt>
                <c:pt idx="400">
                  <c:v>-1212</c:v>
                </c:pt>
                <c:pt idx="401">
                  <c:v>-1684</c:v>
                </c:pt>
                <c:pt idx="402">
                  <c:v>-2172</c:v>
                </c:pt>
                <c:pt idx="403">
                  <c:v>-2613</c:v>
                </c:pt>
                <c:pt idx="404">
                  <c:v>2400</c:v>
                </c:pt>
                <c:pt idx="405">
                  <c:v>3104</c:v>
                </c:pt>
                <c:pt idx="406">
                  <c:v>3910</c:v>
                </c:pt>
                <c:pt idx="407">
                  <c:v>4167</c:v>
                </c:pt>
                <c:pt idx="408">
                  <c:v>4133</c:v>
                </c:pt>
                <c:pt idx="409">
                  <c:v>4082</c:v>
                </c:pt>
                <c:pt idx="410">
                  <c:v>6019</c:v>
                </c:pt>
                <c:pt idx="411">
                  <c:v>5009</c:v>
                </c:pt>
                <c:pt idx="412">
                  <c:v>5274</c:v>
                </c:pt>
                <c:pt idx="413">
                  <c:v>5420</c:v>
                </c:pt>
                <c:pt idx="414">
                  <c:v>3462</c:v>
                </c:pt>
                <c:pt idx="415">
                  <c:v>1037</c:v>
                </c:pt>
                <c:pt idx="416">
                  <c:v>611</c:v>
                </c:pt>
                <c:pt idx="417">
                  <c:v>2719</c:v>
                </c:pt>
                <c:pt idx="418">
                  <c:v>1417</c:v>
                </c:pt>
                <c:pt idx="419">
                  <c:v>259</c:v>
                </c:pt>
                <c:pt idx="420">
                  <c:v>-929</c:v>
                </c:pt>
                <c:pt idx="421">
                  <c:v>-923</c:v>
                </c:pt>
                <c:pt idx="422">
                  <c:v>-1583</c:v>
                </c:pt>
                <c:pt idx="423">
                  <c:v>3988</c:v>
                </c:pt>
                <c:pt idx="424">
                  <c:v>5421</c:v>
                </c:pt>
                <c:pt idx="425">
                  <c:v>7705</c:v>
                </c:pt>
                <c:pt idx="426">
                  <c:v>8428</c:v>
                </c:pt>
                <c:pt idx="427">
                  <c:v>7671</c:v>
                </c:pt>
                <c:pt idx="428">
                  <c:v>9576</c:v>
                </c:pt>
                <c:pt idx="429">
                  <c:v>4254</c:v>
                </c:pt>
                <c:pt idx="430">
                  <c:v>3043</c:v>
                </c:pt>
                <c:pt idx="431">
                  <c:v>-453</c:v>
                </c:pt>
                <c:pt idx="432">
                  <c:v>-2493</c:v>
                </c:pt>
                <c:pt idx="433">
                  <c:v>-2483</c:v>
                </c:pt>
                <c:pt idx="434">
                  <c:v>168</c:v>
                </c:pt>
                <c:pt idx="435">
                  <c:v>1863</c:v>
                </c:pt>
                <c:pt idx="436">
                  <c:v>2787</c:v>
                </c:pt>
                <c:pt idx="437">
                  <c:v>3226</c:v>
                </c:pt>
                <c:pt idx="438">
                  <c:v>4843</c:v>
                </c:pt>
                <c:pt idx="439">
                  <c:v>5902</c:v>
                </c:pt>
                <c:pt idx="440">
                  <c:v>10224</c:v>
                </c:pt>
                <c:pt idx="441">
                  <c:v>11009</c:v>
                </c:pt>
                <c:pt idx="442">
                  <c:v>9924</c:v>
                </c:pt>
                <c:pt idx="443">
                  <c:v>10037</c:v>
                </c:pt>
                <c:pt idx="444">
                  <c:v>10162</c:v>
                </c:pt>
                <c:pt idx="445">
                  <c:v>9744</c:v>
                </c:pt>
                <c:pt idx="446">
                  <c:v>9627</c:v>
                </c:pt>
                <c:pt idx="447">
                  <c:v>10238</c:v>
                </c:pt>
                <c:pt idx="448">
                  <c:v>10270</c:v>
                </c:pt>
                <c:pt idx="449">
                  <c:v>11216</c:v>
                </c:pt>
                <c:pt idx="450">
                  <c:v>9257</c:v>
                </c:pt>
                <c:pt idx="451">
                  <c:v>9232</c:v>
                </c:pt>
                <c:pt idx="452">
                  <c:v>7249</c:v>
                </c:pt>
                <c:pt idx="453">
                  <c:v>7584</c:v>
                </c:pt>
                <c:pt idx="454">
                  <c:v>8296</c:v>
                </c:pt>
                <c:pt idx="455">
                  <c:v>8465</c:v>
                </c:pt>
                <c:pt idx="456">
                  <c:v>8022</c:v>
                </c:pt>
                <c:pt idx="457">
                  <c:v>3206</c:v>
                </c:pt>
                <c:pt idx="458">
                  <c:v>2399</c:v>
                </c:pt>
                <c:pt idx="459">
                  <c:v>4264</c:v>
                </c:pt>
                <c:pt idx="460">
                  <c:v>3554</c:v>
                </c:pt>
                <c:pt idx="461">
                  <c:v>8148</c:v>
                </c:pt>
                <c:pt idx="462">
                  <c:v>10531</c:v>
                </c:pt>
                <c:pt idx="463">
                  <c:v>9432</c:v>
                </c:pt>
                <c:pt idx="464">
                  <c:v>9722</c:v>
                </c:pt>
                <c:pt idx="465">
                  <c:v>6429</c:v>
                </c:pt>
                <c:pt idx="466">
                  <c:v>2661</c:v>
                </c:pt>
                <c:pt idx="467">
                  <c:v>489</c:v>
                </c:pt>
                <c:pt idx="468">
                  <c:v>206</c:v>
                </c:pt>
                <c:pt idx="469">
                  <c:v>270</c:v>
                </c:pt>
                <c:pt idx="470">
                  <c:v>2355</c:v>
                </c:pt>
                <c:pt idx="471">
                  <c:v>5384</c:v>
                </c:pt>
                <c:pt idx="472">
                  <c:v>7680</c:v>
                </c:pt>
                <c:pt idx="473">
                  <c:v>8616</c:v>
                </c:pt>
                <c:pt idx="474">
                  <c:v>13219</c:v>
                </c:pt>
                <c:pt idx="475">
                  <c:v>14322</c:v>
                </c:pt>
                <c:pt idx="476">
                  <c:v>15329</c:v>
                </c:pt>
                <c:pt idx="477">
                  <c:v>13959</c:v>
                </c:pt>
                <c:pt idx="478">
                  <c:v>11024</c:v>
                </c:pt>
                <c:pt idx="479">
                  <c:v>13874</c:v>
                </c:pt>
                <c:pt idx="480">
                  <c:v>14104</c:v>
                </c:pt>
                <c:pt idx="481">
                  <c:v>15090</c:v>
                </c:pt>
                <c:pt idx="482">
                  <c:v>12974</c:v>
                </c:pt>
                <c:pt idx="483">
                  <c:v>14716</c:v>
                </c:pt>
                <c:pt idx="484">
                  <c:v>11738</c:v>
                </c:pt>
                <c:pt idx="485">
                  <c:v>14993</c:v>
                </c:pt>
                <c:pt idx="486">
                  <c:v>14388</c:v>
                </c:pt>
                <c:pt idx="487">
                  <c:v>16146</c:v>
                </c:pt>
                <c:pt idx="488">
                  <c:v>18053</c:v>
                </c:pt>
                <c:pt idx="489">
                  <c:v>18060</c:v>
                </c:pt>
                <c:pt idx="490">
                  <c:v>17568</c:v>
                </c:pt>
                <c:pt idx="491">
                  <c:v>19348</c:v>
                </c:pt>
                <c:pt idx="492">
                  <c:v>19444</c:v>
                </c:pt>
                <c:pt idx="493">
                  <c:v>20868</c:v>
                </c:pt>
                <c:pt idx="494">
                  <c:v>22937</c:v>
                </c:pt>
                <c:pt idx="495">
                  <c:v>22685</c:v>
                </c:pt>
                <c:pt idx="496">
                  <c:v>21793</c:v>
                </c:pt>
                <c:pt idx="497">
                  <c:v>11255</c:v>
                </c:pt>
                <c:pt idx="498">
                  <c:v>4041</c:v>
                </c:pt>
                <c:pt idx="499">
                  <c:v>-145</c:v>
                </c:pt>
                <c:pt idx="500">
                  <c:v>-1152</c:v>
                </c:pt>
                <c:pt idx="501">
                  <c:v>-3751</c:v>
                </c:pt>
                <c:pt idx="502">
                  <c:v>-5900</c:v>
                </c:pt>
                <c:pt idx="503">
                  <c:v>-6222</c:v>
                </c:pt>
                <c:pt idx="504">
                  <c:v>-8363</c:v>
                </c:pt>
                <c:pt idx="505">
                  <c:v>-9198</c:v>
                </c:pt>
                <c:pt idx="506">
                  <c:v>-7142</c:v>
                </c:pt>
                <c:pt idx="507">
                  <c:v>-9134</c:v>
                </c:pt>
                <c:pt idx="508">
                  <c:v>-9360</c:v>
                </c:pt>
                <c:pt idx="509">
                  <c:v>-7798</c:v>
                </c:pt>
                <c:pt idx="510">
                  <c:v>-3214</c:v>
                </c:pt>
                <c:pt idx="511">
                  <c:v>408</c:v>
                </c:pt>
                <c:pt idx="512">
                  <c:v>1760</c:v>
                </c:pt>
                <c:pt idx="513">
                  <c:v>158</c:v>
                </c:pt>
                <c:pt idx="514">
                  <c:v>-1796</c:v>
                </c:pt>
                <c:pt idx="515">
                  <c:v>-716</c:v>
                </c:pt>
                <c:pt idx="516">
                  <c:v>-1443</c:v>
                </c:pt>
                <c:pt idx="517">
                  <c:v>-2674</c:v>
                </c:pt>
                <c:pt idx="518">
                  <c:v>-4982</c:v>
                </c:pt>
                <c:pt idx="519">
                  <c:v>-4818</c:v>
                </c:pt>
                <c:pt idx="520">
                  <c:v>-10407</c:v>
                </c:pt>
                <c:pt idx="521">
                  <c:v>-10687</c:v>
                </c:pt>
                <c:pt idx="522">
                  <c:v>-10236</c:v>
                </c:pt>
                <c:pt idx="523">
                  <c:v>-7147</c:v>
                </c:pt>
                <c:pt idx="524">
                  <c:v>-2594</c:v>
                </c:pt>
                <c:pt idx="525">
                  <c:v>-2391</c:v>
                </c:pt>
                <c:pt idx="526">
                  <c:v>-5201</c:v>
                </c:pt>
                <c:pt idx="527">
                  <c:v>-7347</c:v>
                </c:pt>
                <c:pt idx="528">
                  <c:v>-2698</c:v>
                </c:pt>
                <c:pt idx="529">
                  <c:v>-2203</c:v>
                </c:pt>
                <c:pt idx="530">
                  <c:v>-307</c:v>
                </c:pt>
                <c:pt idx="531">
                  <c:v>-2398</c:v>
                </c:pt>
                <c:pt idx="532">
                  <c:v>-1380</c:v>
                </c:pt>
                <c:pt idx="533">
                  <c:v>2115</c:v>
                </c:pt>
                <c:pt idx="534">
                  <c:v>-7810</c:v>
                </c:pt>
                <c:pt idx="535">
                  <c:v>-10868</c:v>
                </c:pt>
                <c:pt idx="536">
                  <c:v>-14662</c:v>
                </c:pt>
                <c:pt idx="537">
                  <c:v>-19891</c:v>
                </c:pt>
                <c:pt idx="538">
                  <c:v>-20302</c:v>
                </c:pt>
                <c:pt idx="539">
                  <c:v>-22048</c:v>
                </c:pt>
                <c:pt idx="540">
                  <c:v>-21817</c:v>
                </c:pt>
                <c:pt idx="541">
                  <c:v>-15577</c:v>
                </c:pt>
                <c:pt idx="542">
                  <c:v>-20532</c:v>
                </c:pt>
                <c:pt idx="543">
                  <c:v>-21869</c:v>
                </c:pt>
                <c:pt idx="544">
                  <c:v>-16249</c:v>
                </c:pt>
                <c:pt idx="545">
                  <c:v>-8302</c:v>
                </c:pt>
                <c:pt idx="546">
                  <c:v>-4628</c:v>
                </c:pt>
                <c:pt idx="547">
                  <c:v>-2173</c:v>
                </c:pt>
                <c:pt idx="548">
                  <c:v>-4849</c:v>
                </c:pt>
                <c:pt idx="549">
                  <c:v>574</c:v>
                </c:pt>
                <c:pt idx="550">
                  <c:v>5506</c:v>
                </c:pt>
                <c:pt idx="551">
                  <c:v>14415</c:v>
                </c:pt>
                <c:pt idx="552">
                  <c:v>19689</c:v>
                </c:pt>
                <c:pt idx="553">
                  <c:v>23942</c:v>
                </c:pt>
                <c:pt idx="554">
                  <c:v>20283</c:v>
                </c:pt>
                <c:pt idx="555">
                  <c:v>17545</c:v>
                </c:pt>
                <c:pt idx="556">
                  <c:v>21642</c:v>
                </c:pt>
                <c:pt idx="557">
                  <c:v>2867</c:v>
                </c:pt>
                <c:pt idx="558">
                  <c:v>4772</c:v>
                </c:pt>
                <c:pt idx="559">
                  <c:v>5471</c:v>
                </c:pt>
                <c:pt idx="560">
                  <c:v>7683</c:v>
                </c:pt>
                <c:pt idx="561">
                  <c:v>5226</c:v>
                </c:pt>
                <c:pt idx="562">
                  <c:v>7711</c:v>
                </c:pt>
                <c:pt idx="563">
                  <c:v>9946</c:v>
                </c:pt>
                <c:pt idx="564">
                  <c:v>3345</c:v>
                </c:pt>
                <c:pt idx="565">
                  <c:v>431</c:v>
                </c:pt>
                <c:pt idx="566">
                  <c:v>-2087</c:v>
                </c:pt>
                <c:pt idx="567">
                  <c:v>-7950</c:v>
                </c:pt>
                <c:pt idx="568">
                  <c:v>-10727</c:v>
                </c:pt>
                <c:pt idx="569">
                  <c:v>-14510</c:v>
                </c:pt>
                <c:pt idx="570">
                  <c:v>-14958</c:v>
                </c:pt>
                <c:pt idx="571">
                  <c:v>-15657</c:v>
                </c:pt>
                <c:pt idx="572">
                  <c:v>-8943</c:v>
                </c:pt>
                <c:pt idx="573">
                  <c:v>-10122</c:v>
                </c:pt>
                <c:pt idx="574">
                  <c:v>-20041</c:v>
                </c:pt>
                <c:pt idx="575">
                  <c:v>-23434</c:v>
                </c:pt>
                <c:pt idx="576">
                  <c:v>-22573</c:v>
                </c:pt>
                <c:pt idx="577">
                  <c:v>-19729</c:v>
                </c:pt>
                <c:pt idx="578">
                  <c:v>-14825</c:v>
                </c:pt>
                <c:pt idx="579">
                  <c:v>-11122</c:v>
                </c:pt>
                <c:pt idx="580">
                  <c:v>-15402</c:v>
                </c:pt>
                <c:pt idx="581">
                  <c:v>-16509</c:v>
                </c:pt>
                <c:pt idx="582">
                  <c:v>-18819</c:v>
                </c:pt>
                <c:pt idx="583">
                  <c:v>-17645</c:v>
                </c:pt>
                <c:pt idx="584">
                  <c:v>-15506</c:v>
                </c:pt>
                <c:pt idx="585">
                  <c:v>-17740</c:v>
                </c:pt>
                <c:pt idx="586">
                  <c:v>-10469</c:v>
                </c:pt>
                <c:pt idx="587">
                  <c:v>9454</c:v>
                </c:pt>
                <c:pt idx="588">
                  <c:v>24664</c:v>
                </c:pt>
                <c:pt idx="589">
                  <c:v>28798</c:v>
                </c:pt>
                <c:pt idx="590">
                  <c:v>21611</c:v>
                </c:pt>
                <c:pt idx="591">
                  <c:v>16950</c:v>
                </c:pt>
                <c:pt idx="592">
                  <c:v>8333</c:v>
                </c:pt>
                <c:pt idx="593">
                  <c:v>14145</c:v>
                </c:pt>
                <c:pt idx="594">
                  <c:v>13615</c:v>
                </c:pt>
                <c:pt idx="595">
                  <c:v>17177</c:v>
                </c:pt>
                <c:pt idx="596">
                  <c:v>19646</c:v>
                </c:pt>
                <c:pt idx="597">
                  <c:v>14457</c:v>
                </c:pt>
                <c:pt idx="598">
                  <c:v>18401</c:v>
                </c:pt>
                <c:pt idx="599">
                  <c:v>3700</c:v>
                </c:pt>
                <c:pt idx="600">
                  <c:v>-1837</c:v>
                </c:pt>
                <c:pt idx="601">
                  <c:v>-6269</c:v>
                </c:pt>
                <c:pt idx="602">
                  <c:v>-15337</c:v>
                </c:pt>
                <c:pt idx="603">
                  <c:v>-13294</c:v>
                </c:pt>
                <c:pt idx="604">
                  <c:v>-29427</c:v>
                </c:pt>
                <c:pt idx="605">
                  <c:v>-37871</c:v>
                </c:pt>
                <c:pt idx="606">
                  <c:v>-40503</c:v>
                </c:pt>
                <c:pt idx="607">
                  <c:v>-41893</c:v>
                </c:pt>
                <c:pt idx="608">
                  <c:v>-38202</c:v>
                </c:pt>
                <c:pt idx="609">
                  <c:v>-23774</c:v>
                </c:pt>
                <c:pt idx="610">
                  <c:v>-23046</c:v>
                </c:pt>
                <c:pt idx="611">
                  <c:v>202</c:v>
                </c:pt>
                <c:pt idx="612">
                  <c:v>-12752</c:v>
                </c:pt>
                <c:pt idx="613">
                  <c:v>-21130</c:v>
                </c:pt>
                <c:pt idx="614">
                  <c:v>-22115</c:v>
                </c:pt>
                <c:pt idx="615">
                  <c:v>-8007</c:v>
                </c:pt>
                <c:pt idx="616">
                  <c:v>-6271</c:v>
                </c:pt>
                <c:pt idx="617">
                  <c:v>4880</c:v>
                </c:pt>
                <c:pt idx="618">
                  <c:v>15954</c:v>
                </c:pt>
                <c:pt idx="619">
                  <c:v>34690</c:v>
                </c:pt>
                <c:pt idx="620">
                  <c:v>43097</c:v>
                </c:pt>
                <c:pt idx="621">
                  <c:v>38820</c:v>
                </c:pt>
                <c:pt idx="622">
                  <c:v>9321</c:v>
                </c:pt>
                <c:pt idx="623">
                  <c:v>-14791</c:v>
                </c:pt>
                <c:pt idx="624">
                  <c:v>10332</c:v>
                </c:pt>
                <c:pt idx="625">
                  <c:v>24253</c:v>
                </c:pt>
                <c:pt idx="626">
                  <c:v>45313</c:v>
                </c:pt>
                <c:pt idx="627">
                  <c:v>54931</c:v>
                </c:pt>
                <c:pt idx="628">
                  <c:v>34703</c:v>
                </c:pt>
                <c:pt idx="629">
                  <c:v>22631</c:v>
                </c:pt>
                <c:pt idx="630">
                  <c:v>21464</c:v>
                </c:pt>
                <c:pt idx="631">
                  <c:v>28539</c:v>
                </c:pt>
                <c:pt idx="632">
                  <c:v>36338</c:v>
                </c:pt>
                <c:pt idx="633">
                  <c:v>42984</c:v>
                </c:pt>
                <c:pt idx="634">
                  <c:v>52715</c:v>
                </c:pt>
                <c:pt idx="635">
                  <c:v>55991</c:v>
                </c:pt>
                <c:pt idx="636">
                  <c:v>50110</c:v>
                </c:pt>
                <c:pt idx="637">
                  <c:v>51019</c:v>
                </c:pt>
                <c:pt idx="638">
                  <c:v>48067</c:v>
                </c:pt>
                <c:pt idx="639">
                  <c:v>32911</c:v>
                </c:pt>
                <c:pt idx="640">
                  <c:v>32136</c:v>
                </c:pt>
                <c:pt idx="641">
                  <c:v>42780</c:v>
                </c:pt>
                <c:pt idx="642">
                  <c:v>34880</c:v>
                </c:pt>
                <c:pt idx="643">
                  <c:v>47234</c:v>
                </c:pt>
                <c:pt idx="644">
                  <c:v>51948</c:v>
                </c:pt>
                <c:pt idx="645">
                  <c:v>56164</c:v>
                </c:pt>
                <c:pt idx="646">
                  <c:v>63018</c:v>
                </c:pt>
                <c:pt idx="647">
                  <c:v>62313</c:v>
                </c:pt>
                <c:pt idx="648">
                  <c:v>64999</c:v>
                </c:pt>
                <c:pt idx="649">
                  <c:v>44595</c:v>
                </c:pt>
                <c:pt idx="650">
                  <c:v>33011</c:v>
                </c:pt>
                <c:pt idx="651">
                  <c:v>23832</c:v>
                </c:pt>
                <c:pt idx="652">
                  <c:v>21830</c:v>
                </c:pt>
                <c:pt idx="653">
                  <c:v>47912</c:v>
                </c:pt>
                <c:pt idx="654">
                  <c:v>60934</c:v>
                </c:pt>
                <c:pt idx="655">
                  <c:v>66342</c:v>
                </c:pt>
                <c:pt idx="656">
                  <c:v>76322</c:v>
                </c:pt>
                <c:pt idx="657">
                  <c:v>75436</c:v>
                </c:pt>
                <c:pt idx="658">
                  <c:v>75561</c:v>
                </c:pt>
                <c:pt idx="659">
                  <c:v>73445</c:v>
                </c:pt>
                <c:pt idx="660">
                  <c:v>80430</c:v>
                </c:pt>
                <c:pt idx="661">
                  <c:v>77258</c:v>
                </c:pt>
                <c:pt idx="662">
                  <c:v>77948</c:v>
                </c:pt>
                <c:pt idx="663">
                  <c:v>79090</c:v>
                </c:pt>
                <c:pt idx="664">
                  <c:v>73676</c:v>
                </c:pt>
                <c:pt idx="665">
                  <c:v>78152</c:v>
                </c:pt>
                <c:pt idx="666">
                  <c:v>74296</c:v>
                </c:pt>
                <c:pt idx="667">
                  <c:v>70224</c:v>
                </c:pt>
                <c:pt idx="668">
                  <c:v>73609</c:v>
                </c:pt>
                <c:pt idx="669">
                  <c:v>73170</c:v>
                </c:pt>
                <c:pt idx="670">
                  <c:v>74209</c:v>
                </c:pt>
                <c:pt idx="671">
                  <c:v>74052</c:v>
                </c:pt>
                <c:pt idx="672">
                  <c:v>45300</c:v>
                </c:pt>
                <c:pt idx="673">
                  <c:v>34764</c:v>
                </c:pt>
                <c:pt idx="674">
                  <c:v>43078</c:v>
                </c:pt>
                <c:pt idx="675">
                  <c:v>39606</c:v>
                </c:pt>
                <c:pt idx="676">
                  <c:v>35303</c:v>
                </c:pt>
                <c:pt idx="677">
                  <c:v>32662</c:v>
                </c:pt>
                <c:pt idx="678">
                  <c:v>56274</c:v>
                </c:pt>
                <c:pt idx="679">
                  <c:v>47934</c:v>
                </c:pt>
                <c:pt idx="680">
                  <c:v>20310</c:v>
                </c:pt>
                <c:pt idx="681">
                  <c:v>14671</c:v>
                </c:pt>
                <c:pt idx="682">
                  <c:v>43921</c:v>
                </c:pt>
                <c:pt idx="683">
                  <c:v>62154</c:v>
                </c:pt>
                <c:pt idx="684">
                  <c:v>79837</c:v>
                </c:pt>
                <c:pt idx="685">
                  <c:v>86294</c:v>
                </c:pt>
                <c:pt idx="686">
                  <c:v>85720</c:v>
                </c:pt>
                <c:pt idx="687">
                  <c:v>82590</c:v>
                </c:pt>
                <c:pt idx="688">
                  <c:v>67590</c:v>
                </c:pt>
                <c:pt idx="689">
                  <c:v>36289</c:v>
                </c:pt>
                <c:pt idx="690">
                  <c:v>30635</c:v>
                </c:pt>
                <c:pt idx="691">
                  <c:v>35814</c:v>
                </c:pt>
                <c:pt idx="692">
                  <c:v>40139</c:v>
                </c:pt>
                <c:pt idx="693">
                  <c:v>44070</c:v>
                </c:pt>
                <c:pt idx="694">
                  <c:v>44557</c:v>
                </c:pt>
                <c:pt idx="695">
                  <c:v>66098</c:v>
                </c:pt>
                <c:pt idx="696">
                  <c:v>60973</c:v>
                </c:pt>
                <c:pt idx="697">
                  <c:v>66476</c:v>
                </c:pt>
                <c:pt idx="698">
                  <c:v>64703</c:v>
                </c:pt>
                <c:pt idx="699">
                  <c:v>62905</c:v>
                </c:pt>
                <c:pt idx="700">
                  <c:v>34560</c:v>
                </c:pt>
                <c:pt idx="701">
                  <c:v>29930</c:v>
                </c:pt>
                <c:pt idx="702">
                  <c:v>21010</c:v>
                </c:pt>
                <c:pt idx="703">
                  <c:v>11222</c:v>
                </c:pt>
                <c:pt idx="704">
                  <c:v>-3206</c:v>
                </c:pt>
                <c:pt idx="705">
                  <c:v>-4624</c:v>
                </c:pt>
                <c:pt idx="706">
                  <c:v>-6967</c:v>
                </c:pt>
                <c:pt idx="707">
                  <c:v>-13050</c:v>
                </c:pt>
                <c:pt idx="708">
                  <c:v>-6657</c:v>
                </c:pt>
                <c:pt idx="709">
                  <c:v>-3305</c:v>
                </c:pt>
                <c:pt idx="710">
                  <c:v>-11072</c:v>
                </c:pt>
                <c:pt idx="711">
                  <c:v>-18521</c:v>
                </c:pt>
                <c:pt idx="712">
                  <c:v>-28860</c:v>
                </c:pt>
                <c:pt idx="713">
                  <c:v>-27896</c:v>
                </c:pt>
                <c:pt idx="714">
                  <c:v>-26231</c:v>
                </c:pt>
                <c:pt idx="715">
                  <c:v>-29043</c:v>
                </c:pt>
                <c:pt idx="716">
                  <c:v>-27818</c:v>
                </c:pt>
                <c:pt idx="717">
                  <c:v>-11636</c:v>
                </c:pt>
                <c:pt idx="718">
                  <c:v>-4357</c:v>
                </c:pt>
                <c:pt idx="719">
                  <c:v>6426</c:v>
                </c:pt>
                <c:pt idx="720">
                  <c:v>8071</c:v>
                </c:pt>
                <c:pt idx="721">
                  <c:v>17675</c:v>
                </c:pt>
                <c:pt idx="722">
                  <c:v>21909</c:v>
                </c:pt>
                <c:pt idx="723">
                  <c:v>35634</c:v>
                </c:pt>
                <c:pt idx="724">
                  <c:v>24841</c:v>
                </c:pt>
                <c:pt idx="725">
                  <c:v>22805</c:v>
                </c:pt>
                <c:pt idx="726">
                  <c:v>27671</c:v>
                </c:pt>
                <c:pt idx="727">
                  <c:v>8074</c:v>
                </c:pt>
                <c:pt idx="728">
                  <c:v>2462</c:v>
                </c:pt>
                <c:pt idx="729">
                  <c:v>-4267</c:v>
                </c:pt>
                <c:pt idx="730">
                  <c:v>5664</c:v>
                </c:pt>
                <c:pt idx="731">
                  <c:v>9772</c:v>
                </c:pt>
                <c:pt idx="732">
                  <c:v>52477</c:v>
                </c:pt>
                <c:pt idx="733">
                  <c:v>67083</c:v>
                </c:pt>
                <c:pt idx="734">
                  <c:v>82181</c:v>
                </c:pt>
                <c:pt idx="735">
                  <c:v>58060</c:v>
                </c:pt>
                <c:pt idx="736">
                  <c:v>34160</c:v>
                </c:pt>
                <c:pt idx="737">
                  <c:v>12139</c:v>
                </c:pt>
                <c:pt idx="738">
                  <c:v>3289</c:v>
                </c:pt>
                <c:pt idx="739">
                  <c:v>25349</c:v>
                </c:pt>
                <c:pt idx="740">
                  <c:v>47636</c:v>
                </c:pt>
                <c:pt idx="741">
                  <c:v>60003</c:v>
                </c:pt>
                <c:pt idx="742">
                  <c:v>54781</c:v>
                </c:pt>
                <c:pt idx="743">
                  <c:v>67873</c:v>
                </c:pt>
                <c:pt idx="744">
                  <c:v>27866</c:v>
                </c:pt>
                <c:pt idx="745">
                  <c:v>26500</c:v>
                </c:pt>
                <c:pt idx="746">
                  <c:v>18105</c:v>
                </c:pt>
                <c:pt idx="747">
                  <c:v>10515</c:v>
                </c:pt>
                <c:pt idx="748">
                  <c:v>16714</c:v>
                </c:pt>
                <c:pt idx="749">
                  <c:v>21407</c:v>
                </c:pt>
                <c:pt idx="750">
                  <c:v>17618</c:v>
                </c:pt>
                <c:pt idx="751">
                  <c:v>182</c:v>
                </c:pt>
                <c:pt idx="752">
                  <c:v>-15595</c:v>
                </c:pt>
                <c:pt idx="753">
                  <c:v>-14528</c:v>
                </c:pt>
                <c:pt idx="754">
                  <c:v>-19016</c:v>
                </c:pt>
                <c:pt idx="755">
                  <c:v>3544</c:v>
                </c:pt>
                <c:pt idx="756">
                  <c:v>1783</c:v>
                </c:pt>
                <c:pt idx="757">
                  <c:v>13744</c:v>
                </c:pt>
                <c:pt idx="758">
                  <c:v>9759</c:v>
                </c:pt>
                <c:pt idx="759">
                  <c:v>5729</c:v>
                </c:pt>
                <c:pt idx="760">
                  <c:v>26567</c:v>
                </c:pt>
                <c:pt idx="761">
                  <c:v>48327</c:v>
                </c:pt>
                <c:pt idx="762">
                  <c:v>63062</c:v>
                </c:pt>
                <c:pt idx="763">
                  <c:v>69238</c:v>
                </c:pt>
                <c:pt idx="764">
                  <c:v>86137</c:v>
                </c:pt>
                <c:pt idx="765">
                  <c:v>91056</c:v>
                </c:pt>
                <c:pt idx="766">
                  <c:v>56330</c:v>
                </c:pt>
                <c:pt idx="767">
                  <c:v>64573</c:v>
                </c:pt>
                <c:pt idx="768">
                  <c:v>41980</c:v>
                </c:pt>
                <c:pt idx="769">
                  <c:v>48780</c:v>
                </c:pt>
                <c:pt idx="770">
                  <c:v>52212</c:v>
                </c:pt>
                <c:pt idx="771">
                  <c:v>58167</c:v>
                </c:pt>
                <c:pt idx="772">
                  <c:v>47728</c:v>
                </c:pt>
                <c:pt idx="773">
                  <c:v>22606</c:v>
                </c:pt>
                <c:pt idx="774">
                  <c:v>16370</c:v>
                </c:pt>
                <c:pt idx="775">
                  <c:v>11715</c:v>
                </c:pt>
                <c:pt idx="776">
                  <c:v>-24134</c:v>
                </c:pt>
                <c:pt idx="777">
                  <c:v>-20202</c:v>
                </c:pt>
                <c:pt idx="778">
                  <c:v>-15920</c:v>
                </c:pt>
                <c:pt idx="779">
                  <c:v>-13133</c:v>
                </c:pt>
                <c:pt idx="780">
                  <c:v>-28072</c:v>
                </c:pt>
                <c:pt idx="781">
                  <c:v>-12921</c:v>
                </c:pt>
                <c:pt idx="782">
                  <c:v>-2143</c:v>
                </c:pt>
                <c:pt idx="783">
                  <c:v>10720</c:v>
                </c:pt>
                <c:pt idx="784">
                  <c:v>30194</c:v>
                </c:pt>
                <c:pt idx="785">
                  <c:v>45259</c:v>
                </c:pt>
                <c:pt idx="786">
                  <c:v>69765</c:v>
                </c:pt>
                <c:pt idx="787">
                  <c:v>53575</c:v>
                </c:pt>
                <c:pt idx="788">
                  <c:v>34239</c:v>
                </c:pt>
                <c:pt idx="789">
                  <c:v>16907</c:v>
                </c:pt>
                <c:pt idx="790">
                  <c:v>11769</c:v>
                </c:pt>
                <c:pt idx="791">
                  <c:v>10036</c:v>
                </c:pt>
                <c:pt idx="792">
                  <c:v>38903</c:v>
                </c:pt>
                <c:pt idx="793">
                  <c:v>66889</c:v>
                </c:pt>
                <c:pt idx="794">
                  <c:v>71808</c:v>
                </c:pt>
                <c:pt idx="795">
                  <c:v>56290</c:v>
                </c:pt>
                <c:pt idx="796">
                  <c:v>55866</c:v>
                </c:pt>
                <c:pt idx="797">
                  <c:v>29952</c:v>
                </c:pt>
                <c:pt idx="798">
                  <c:v>23963</c:v>
                </c:pt>
                <c:pt idx="799">
                  <c:v>41786</c:v>
                </c:pt>
                <c:pt idx="800">
                  <c:v>72055</c:v>
                </c:pt>
                <c:pt idx="801">
                  <c:v>106022</c:v>
                </c:pt>
                <c:pt idx="802">
                  <c:v>116507</c:v>
                </c:pt>
                <c:pt idx="803">
                  <c:v>125334</c:v>
                </c:pt>
                <c:pt idx="804">
                  <c:v>112883</c:v>
                </c:pt>
                <c:pt idx="805">
                  <c:v>73734</c:v>
                </c:pt>
                <c:pt idx="806">
                  <c:v>89304</c:v>
                </c:pt>
                <c:pt idx="807">
                  <c:v>103851</c:v>
                </c:pt>
                <c:pt idx="808">
                  <c:v>120903</c:v>
                </c:pt>
                <c:pt idx="809">
                  <c:v>115403</c:v>
                </c:pt>
                <c:pt idx="810">
                  <c:v>114894</c:v>
                </c:pt>
                <c:pt idx="811">
                  <c:v>120857</c:v>
                </c:pt>
                <c:pt idx="812">
                  <c:v>90796</c:v>
                </c:pt>
                <c:pt idx="813">
                  <c:v>101511</c:v>
                </c:pt>
                <c:pt idx="814">
                  <c:v>99028</c:v>
                </c:pt>
                <c:pt idx="815">
                  <c:v>90599</c:v>
                </c:pt>
                <c:pt idx="816">
                  <c:v>94756</c:v>
                </c:pt>
                <c:pt idx="817">
                  <c:v>98835</c:v>
                </c:pt>
                <c:pt idx="818">
                  <c:v>84162</c:v>
                </c:pt>
                <c:pt idx="819">
                  <c:v>95847</c:v>
                </c:pt>
                <c:pt idx="820">
                  <c:v>98170</c:v>
                </c:pt>
                <c:pt idx="821">
                  <c:v>73935</c:v>
                </c:pt>
                <c:pt idx="822">
                  <c:v>72190</c:v>
                </c:pt>
                <c:pt idx="823">
                  <c:v>72341</c:v>
                </c:pt>
                <c:pt idx="824">
                  <c:v>90137</c:v>
                </c:pt>
                <c:pt idx="825">
                  <c:v>78768</c:v>
                </c:pt>
                <c:pt idx="826">
                  <c:v>72293</c:v>
                </c:pt>
                <c:pt idx="827">
                  <c:v>50524</c:v>
                </c:pt>
                <c:pt idx="828">
                  <c:v>50315</c:v>
                </c:pt>
                <c:pt idx="829">
                  <c:v>53868</c:v>
                </c:pt>
                <c:pt idx="830">
                  <c:v>43577</c:v>
                </c:pt>
                <c:pt idx="831">
                  <c:v>25479</c:v>
                </c:pt>
                <c:pt idx="832">
                  <c:v>17308</c:v>
                </c:pt>
                <c:pt idx="833">
                  <c:v>6429</c:v>
                </c:pt>
                <c:pt idx="834">
                  <c:v>12016</c:v>
                </c:pt>
                <c:pt idx="835">
                  <c:v>9935</c:v>
                </c:pt>
                <c:pt idx="836">
                  <c:v>3101</c:v>
                </c:pt>
                <c:pt idx="837">
                  <c:v>429</c:v>
                </c:pt>
                <c:pt idx="838">
                  <c:v>-2965</c:v>
                </c:pt>
                <c:pt idx="839">
                  <c:v>-4559</c:v>
                </c:pt>
                <c:pt idx="840">
                  <c:v>-2335</c:v>
                </c:pt>
                <c:pt idx="841">
                  <c:v>-935</c:v>
                </c:pt>
                <c:pt idx="842">
                  <c:v>-2015</c:v>
                </c:pt>
                <c:pt idx="843">
                  <c:v>-1898</c:v>
                </c:pt>
                <c:pt idx="844">
                  <c:v>625</c:v>
                </c:pt>
                <c:pt idx="845">
                  <c:v>2286</c:v>
                </c:pt>
                <c:pt idx="846">
                  <c:v>1801</c:v>
                </c:pt>
                <c:pt idx="847">
                  <c:v>-640</c:v>
                </c:pt>
                <c:pt idx="848">
                  <c:v>-414</c:v>
                </c:pt>
                <c:pt idx="849">
                  <c:v>-4258</c:v>
                </c:pt>
                <c:pt idx="850">
                  <c:v>-8853</c:v>
                </c:pt>
                <c:pt idx="851">
                  <c:v>-10902</c:v>
                </c:pt>
                <c:pt idx="852">
                  <c:v>-9710</c:v>
                </c:pt>
                <c:pt idx="853">
                  <c:v>-11647</c:v>
                </c:pt>
                <c:pt idx="854">
                  <c:v>-11632</c:v>
                </c:pt>
                <c:pt idx="855">
                  <c:v>-14280</c:v>
                </c:pt>
                <c:pt idx="856">
                  <c:v>-17261</c:v>
                </c:pt>
                <c:pt idx="857">
                  <c:v>-16155</c:v>
                </c:pt>
                <c:pt idx="858">
                  <c:v>-7470</c:v>
                </c:pt>
                <c:pt idx="859">
                  <c:v>-1130</c:v>
                </c:pt>
                <c:pt idx="860">
                  <c:v>-2966</c:v>
                </c:pt>
                <c:pt idx="861">
                  <c:v>5572</c:v>
                </c:pt>
                <c:pt idx="862">
                  <c:v>12698</c:v>
                </c:pt>
                <c:pt idx="863">
                  <c:v>30107</c:v>
                </c:pt>
                <c:pt idx="864">
                  <c:v>29131</c:v>
                </c:pt>
                <c:pt idx="865">
                  <c:v>18905</c:v>
                </c:pt>
                <c:pt idx="866">
                  <c:v>21468</c:v>
                </c:pt>
                <c:pt idx="867">
                  <c:v>21129</c:v>
                </c:pt>
                <c:pt idx="868">
                  <c:v>23804</c:v>
                </c:pt>
                <c:pt idx="869">
                  <c:v>25388</c:v>
                </c:pt>
                <c:pt idx="870">
                  <c:v>13808</c:v>
                </c:pt>
                <c:pt idx="871">
                  <c:v>12741</c:v>
                </c:pt>
                <c:pt idx="872">
                  <c:v>15247</c:v>
                </c:pt>
                <c:pt idx="873">
                  <c:v>28951</c:v>
                </c:pt>
                <c:pt idx="874">
                  <c:v>39020</c:v>
                </c:pt>
                <c:pt idx="875">
                  <c:v>13614</c:v>
                </c:pt>
                <c:pt idx="876">
                  <c:v>11215</c:v>
                </c:pt>
                <c:pt idx="877">
                  <c:v>30207</c:v>
                </c:pt>
                <c:pt idx="878">
                  <c:v>35931</c:v>
                </c:pt>
                <c:pt idx="879">
                  <c:v>48462</c:v>
                </c:pt>
                <c:pt idx="880">
                  <c:v>64413</c:v>
                </c:pt>
                <c:pt idx="881">
                  <c:v>70843</c:v>
                </c:pt>
                <c:pt idx="882">
                  <c:v>30047</c:v>
                </c:pt>
                <c:pt idx="883">
                  <c:v>4064</c:v>
                </c:pt>
                <c:pt idx="884">
                  <c:v>-1292</c:v>
                </c:pt>
                <c:pt idx="885">
                  <c:v>4301</c:v>
                </c:pt>
                <c:pt idx="886">
                  <c:v>-10859</c:v>
                </c:pt>
                <c:pt idx="887">
                  <c:v>-20553</c:v>
                </c:pt>
                <c:pt idx="888">
                  <c:v>7949</c:v>
                </c:pt>
                <c:pt idx="889">
                  <c:v>55184</c:v>
                </c:pt>
                <c:pt idx="890">
                  <c:v>66795</c:v>
                </c:pt>
                <c:pt idx="891">
                  <c:v>59927</c:v>
                </c:pt>
                <c:pt idx="892">
                  <c:v>40450</c:v>
                </c:pt>
                <c:pt idx="893">
                  <c:v>55308</c:v>
                </c:pt>
                <c:pt idx="894">
                  <c:v>89266</c:v>
                </c:pt>
                <c:pt idx="895">
                  <c:v>100385</c:v>
                </c:pt>
                <c:pt idx="896">
                  <c:v>106183</c:v>
                </c:pt>
                <c:pt idx="897">
                  <c:v>91562</c:v>
                </c:pt>
                <c:pt idx="898">
                  <c:v>72998</c:v>
                </c:pt>
                <c:pt idx="899">
                  <c:v>64633</c:v>
                </c:pt>
                <c:pt idx="900">
                  <c:v>61987</c:v>
                </c:pt>
                <c:pt idx="901">
                  <c:v>75897</c:v>
                </c:pt>
                <c:pt idx="902">
                  <c:v>79247</c:v>
                </c:pt>
                <c:pt idx="903">
                  <c:v>58139</c:v>
                </c:pt>
                <c:pt idx="904">
                  <c:v>42653</c:v>
                </c:pt>
                <c:pt idx="905">
                  <c:v>32274</c:v>
                </c:pt>
                <c:pt idx="906">
                  <c:v>34464</c:v>
                </c:pt>
                <c:pt idx="907">
                  <c:v>57345</c:v>
                </c:pt>
                <c:pt idx="908">
                  <c:v>79779</c:v>
                </c:pt>
                <c:pt idx="909">
                  <c:v>93474</c:v>
                </c:pt>
                <c:pt idx="910">
                  <c:v>103254</c:v>
                </c:pt>
                <c:pt idx="911">
                  <c:v>109862</c:v>
                </c:pt>
                <c:pt idx="912">
                  <c:v>109598</c:v>
                </c:pt>
                <c:pt idx="913">
                  <c:v>111210</c:v>
                </c:pt>
                <c:pt idx="914">
                  <c:v>112226</c:v>
                </c:pt>
                <c:pt idx="915">
                  <c:v>110152</c:v>
                </c:pt>
                <c:pt idx="916">
                  <c:v>98041</c:v>
                </c:pt>
                <c:pt idx="917">
                  <c:v>83043</c:v>
                </c:pt>
                <c:pt idx="918">
                  <c:v>41958</c:v>
                </c:pt>
                <c:pt idx="919">
                  <c:v>35702</c:v>
                </c:pt>
                <c:pt idx="920">
                  <c:v>28857</c:v>
                </c:pt>
                <c:pt idx="921">
                  <c:v>19773</c:v>
                </c:pt>
                <c:pt idx="922">
                  <c:v>17426</c:v>
                </c:pt>
                <c:pt idx="923">
                  <c:v>28297</c:v>
                </c:pt>
                <c:pt idx="924">
                  <c:v>35639</c:v>
                </c:pt>
                <c:pt idx="925">
                  <c:v>42496</c:v>
                </c:pt>
                <c:pt idx="926">
                  <c:v>22725</c:v>
                </c:pt>
                <c:pt idx="927">
                  <c:v>28135</c:v>
                </c:pt>
                <c:pt idx="928">
                  <c:v>35886</c:v>
                </c:pt>
                <c:pt idx="929">
                  <c:v>45318</c:v>
                </c:pt>
                <c:pt idx="930">
                  <c:v>55141</c:v>
                </c:pt>
                <c:pt idx="931">
                  <c:v>72369</c:v>
                </c:pt>
                <c:pt idx="932">
                  <c:v>70553</c:v>
                </c:pt>
                <c:pt idx="933">
                  <c:v>59370</c:v>
                </c:pt>
                <c:pt idx="934">
                  <c:v>21004</c:v>
                </c:pt>
                <c:pt idx="935">
                  <c:v>14064</c:v>
                </c:pt>
                <c:pt idx="936">
                  <c:v>14957</c:v>
                </c:pt>
                <c:pt idx="937">
                  <c:v>26376</c:v>
                </c:pt>
                <c:pt idx="938">
                  <c:v>66591</c:v>
                </c:pt>
                <c:pt idx="939">
                  <c:v>85764</c:v>
                </c:pt>
                <c:pt idx="940">
                  <c:v>86218</c:v>
                </c:pt>
                <c:pt idx="941">
                  <c:v>82125</c:v>
                </c:pt>
                <c:pt idx="942">
                  <c:v>80143</c:v>
                </c:pt>
                <c:pt idx="943">
                  <c:v>82272</c:v>
                </c:pt>
                <c:pt idx="944">
                  <c:v>88746</c:v>
                </c:pt>
                <c:pt idx="945">
                  <c:v>93217</c:v>
                </c:pt>
                <c:pt idx="946">
                  <c:v>87246</c:v>
                </c:pt>
                <c:pt idx="947">
                  <c:v>78906</c:v>
                </c:pt>
                <c:pt idx="948">
                  <c:v>59482</c:v>
                </c:pt>
                <c:pt idx="949">
                  <c:v>77168</c:v>
                </c:pt>
                <c:pt idx="950">
                  <c:v>78002</c:v>
                </c:pt>
                <c:pt idx="951">
                  <c:v>82246</c:v>
                </c:pt>
                <c:pt idx="952">
                  <c:v>74310</c:v>
                </c:pt>
                <c:pt idx="953">
                  <c:v>83572</c:v>
                </c:pt>
                <c:pt idx="954">
                  <c:v>90202</c:v>
                </c:pt>
                <c:pt idx="955">
                  <c:v>95245</c:v>
                </c:pt>
                <c:pt idx="956">
                  <c:v>103117</c:v>
                </c:pt>
                <c:pt idx="957">
                  <c:v>103812</c:v>
                </c:pt>
                <c:pt idx="958">
                  <c:v>109096</c:v>
                </c:pt>
                <c:pt idx="959">
                  <c:v>114276</c:v>
                </c:pt>
                <c:pt idx="960">
                  <c:v>97202</c:v>
                </c:pt>
                <c:pt idx="961">
                  <c:v>113165</c:v>
                </c:pt>
                <c:pt idx="962">
                  <c:v>121575</c:v>
                </c:pt>
                <c:pt idx="963">
                  <c:v>87548</c:v>
                </c:pt>
                <c:pt idx="964">
                  <c:v>88075</c:v>
                </c:pt>
                <c:pt idx="965">
                  <c:v>119062</c:v>
                </c:pt>
                <c:pt idx="966">
                  <c:v>124846</c:v>
                </c:pt>
                <c:pt idx="967">
                  <c:v>134129</c:v>
                </c:pt>
                <c:pt idx="968">
                  <c:v>131806</c:v>
                </c:pt>
                <c:pt idx="969">
                  <c:v>124260</c:v>
                </c:pt>
                <c:pt idx="970">
                  <c:v>118065</c:v>
                </c:pt>
                <c:pt idx="971">
                  <c:v>104912</c:v>
                </c:pt>
                <c:pt idx="972">
                  <c:v>108681</c:v>
                </c:pt>
                <c:pt idx="973">
                  <c:v>108268</c:v>
                </c:pt>
                <c:pt idx="974">
                  <c:v>90198</c:v>
                </c:pt>
                <c:pt idx="975">
                  <c:v>48163</c:v>
                </c:pt>
                <c:pt idx="976">
                  <c:v>41423</c:v>
                </c:pt>
                <c:pt idx="977">
                  <c:v>46077</c:v>
                </c:pt>
                <c:pt idx="978">
                  <c:v>82944</c:v>
                </c:pt>
                <c:pt idx="979">
                  <c:v>98447</c:v>
                </c:pt>
                <c:pt idx="980">
                  <c:v>89266</c:v>
                </c:pt>
                <c:pt idx="981">
                  <c:v>91913</c:v>
                </c:pt>
                <c:pt idx="982">
                  <c:v>88484</c:v>
                </c:pt>
                <c:pt idx="983">
                  <c:v>41293</c:v>
                </c:pt>
                <c:pt idx="984">
                  <c:v>22634</c:v>
                </c:pt>
                <c:pt idx="985">
                  <c:v>21835</c:v>
                </c:pt>
                <c:pt idx="986">
                  <c:v>20880</c:v>
                </c:pt>
                <c:pt idx="987">
                  <c:v>13246</c:v>
                </c:pt>
                <c:pt idx="988">
                  <c:v>-1209</c:v>
                </c:pt>
                <c:pt idx="989">
                  <c:v>-16890</c:v>
                </c:pt>
                <c:pt idx="990">
                  <c:v>-20626</c:v>
                </c:pt>
                <c:pt idx="991">
                  <c:v>-25431</c:v>
                </c:pt>
                <c:pt idx="992">
                  <c:v>-24878</c:v>
                </c:pt>
                <c:pt idx="993">
                  <c:v>-24129</c:v>
                </c:pt>
                <c:pt idx="994">
                  <c:v>-27055</c:v>
                </c:pt>
                <c:pt idx="995">
                  <c:v>-26588</c:v>
                </c:pt>
                <c:pt idx="996">
                  <c:v>-18067</c:v>
                </c:pt>
                <c:pt idx="997">
                  <c:v>-15021</c:v>
                </c:pt>
                <c:pt idx="998">
                  <c:v>-31582</c:v>
                </c:pt>
                <c:pt idx="999">
                  <c:v>-36240</c:v>
                </c:pt>
                <c:pt idx="1000">
                  <c:v>-20862</c:v>
                </c:pt>
                <c:pt idx="1001">
                  <c:v>-22894</c:v>
                </c:pt>
                <c:pt idx="1002">
                  <c:v>-18802</c:v>
                </c:pt>
                <c:pt idx="1003">
                  <c:v>-25685</c:v>
                </c:pt>
                <c:pt idx="1004">
                  <c:v>-25829</c:v>
                </c:pt>
                <c:pt idx="1005">
                  <c:v>-22332</c:v>
                </c:pt>
                <c:pt idx="1006">
                  <c:v>-17328</c:v>
                </c:pt>
                <c:pt idx="1007">
                  <c:v>7418</c:v>
                </c:pt>
                <c:pt idx="1008">
                  <c:v>21481</c:v>
                </c:pt>
                <c:pt idx="1009">
                  <c:v>34107</c:v>
                </c:pt>
                <c:pt idx="1010">
                  <c:v>41239</c:v>
                </c:pt>
                <c:pt idx="1011">
                  <c:v>49425</c:v>
                </c:pt>
                <c:pt idx="1012">
                  <c:v>60750</c:v>
                </c:pt>
                <c:pt idx="1013">
                  <c:v>66347</c:v>
                </c:pt>
                <c:pt idx="1014">
                  <c:v>78892</c:v>
                </c:pt>
                <c:pt idx="1015">
                  <c:v>24329</c:v>
                </c:pt>
                <c:pt idx="1016">
                  <c:v>82833</c:v>
                </c:pt>
                <c:pt idx="1017">
                  <c:v>84503</c:v>
                </c:pt>
                <c:pt idx="1018">
                  <c:v>68600</c:v>
                </c:pt>
                <c:pt idx="1019">
                  <c:v>46101</c:v>
                </c:pt>
                <c:pt idx="1020">
                  <c:v>40208</c:v>
                </c:pt>
                <c:pt idx="1021">
                  <c:v>42045</c:v>
                </c:pt>
                <c:pt idx="1022">
                  <c:v>36928</c:v>
                </c:pt>
                <c:pt idx="1023">
                  <c:v>14445</c:v>
                </c:pt>
                <c:pt idx="1024">
                  <c:v>-16116</c:v>
                </c:pt>
                <c:pt idx="1025">
                  <c:v>-12995</c:v>
                </c:pt>
                <c:pt idx="1026">
                  <c:v>-30396</c:v>
                </c:pt>
                <c:pt idx="1027">
                  <c:v>-22004</c:v>
                </c:pt>
                <c:pt idx="1028">
                  <c:v>-14674</c:v>
                </c:pt>
                <c:pt idx="1029">
                  <c:v>-7647</c:v>
                </c:pt>
                <c:pt idx="1030">
                  <c:v>17475</c:v>
                </c:pt>
                <c:pt idx="1031">
                  <c:v>25222</c:v>
                </c:pt>
                <c:pt idx="1032">
                  <c:v>34989</c:v>
                </c:pt>
                <c:pt idx="1033">
                  <c:v>49662</c:v>
                </c:pt>
                <c:pt idx="1034">
                  <c:v>47556</c:v>
                </c:pt>
                <c:pt idx="1035">
                  <c:v>69378</c:v>
                </c:pt>
                <c:pt idx="1036">
                  <c:v>83511</c:v>
                </c:pt>
                <c:pt idx="1037">
                  <c:v>97981</c:v>
                </c:pt>
                <c:pt idx="1038">
                  <c:v>94626</c:v>
                </c:pt>
                <c:pt idx="1039">
                  <c:v>90881</c:v>
                </c:pt>
                <c:pt idx="1040">
                  <c:v>122243</c:v>
                </c:pt>
                <c:pt idx="1041">
                  <c:v>118147</c:v>
                </c:pt>
                <c:pt idx="1042">
                  <c:v>141256</c:v>
                </c:pt>
                <c:pt idx="1043">
                  <c:v>135865</c:v>
                </c:pt>
                <c:pt idx="1044">
                  <c:v>136392</c:v>
                </c:pt>
                <c:pt idx="1045">
                  <c:v>135456</c:v>
                </c:pt>
                <c:pt idx="1046">
                  <c:v>132402</c:v>
                </c:pt>
                <c:pt idx="1047">
                  <c:v>126009</c:v>
                </c:pt>
                <c:pt idx="1048">
                  <c:v>114422</c:v>
                </c:pt>
                <c:pt idx="1049">
                  <c:v>96994</c:v>
                </c:pt>
                <c:pt idx="1050">
                  <c:v>86787</c:v>
                </c:pt>
                <c:pt idx="1051">
                  <c:v>93858</c:v>
                </c:pt>
                <c:pt idx="1052">
                  <c:v>118962</c:v>
                </c:pt>
                <c:pt idx="1053">
                  <c:v>149271</c:v>
                </c:pt>
                <c:pt idx="1054">
                  <c:v>147749</c:v>
                </c:pt>
                <c:pt idx="1055">
                  <c:v>149355</c:v>
                </c:pt>
                <c:pt idx="1056">
                  <c:v>141752</c:v>
                </c:pt>
                <c:pt idx="1057">
                  <c:v>139523</c:v>
                </c:pt>
                <c:pt idx="1058">
                  <c:v>151665</c:v>
                </c:pt>
                <c:pt idx="1059">
                  <c:v>150037</c:v>
                </c:pt>
                <c:pt idx="1060">
                  <c:v>148871</c:v>
                </c:pt>
                <c:pt idx="1061">
                  <c:v>141502</c:v>
                </c:pt>
                <c:pt idx="1062">
                  <c:v>124579</c:v>
                </c:pt>
                <c:pt idx="1063">
                  <c:v>116165</c:v>
                </c:pt>
                <c:pt idx="1064">
                  <c:v>104804</c:v>
                </c:pt>
                <c:pt idx="1065">
                  <c:v>93521</c:v>
                </c:pt>
                <c:pt idx="1066">
                  <c:v>113770</c:v>
                </c:pt>
                <c:pt idx="1067">
                  <c:v>109376</c:v>
                </c:pt>
                <c:pt idx="1068">
                  <c:v>128162</c:v>
                </c:pt>
                <c:pt idx="1069">
                  <c:v>142755</c:v>
                </c:pt>
                <c:pt idx="1070">
                  <c:v>142542</c:v>
                </c:pt>
                <c:pt idx="1071">
                  <c:v>151288</c:v>
                </c:pt>
                <c:pt idx="1072">
                  <c:v>146911</c:v>
                </c:pt>
                <c:pt idx="1073">
                  <c:v>138551</c:v>
                </c:pt>
                <c:pt idx="1074">
                  <c:v>138444</c:v>
                </c:pt>
                <c:pt idx="1075">
                  <c:v>140319</c:v>
                </c:pt>
                <c:pt idx="1076">
                  <c:v>136863</c:v>
                </c:pt>
                <c:pt idx="1077">
                  <c:v>120864</c:v>
                </c:pt>
                <c:pt idx="1078">
                  <c:v>82871</c:v>
                </c:pt>
                <c:pt idx="1079">
                  <c:v>63774</c:v>
                </c:pt>
                <c:pt idx="1080">
                  <c:v>20949</c:v>
                </c:pt>
                <c:pt idx="1081">
                  <c:v>4981</c:v>
                </c:pt>
                <c:pt idx="1082">
                  <c:v>2847</c:v>
                </c:pt>
                <c:pt idx="1083">
                  <c:v>8035</c:v>
                </c:pt>
                <c:pt idx="1084">
                  <c:v>11366</c:v>
                </c:pt>
                <c:pt idx="1085">
                  <c:v>19799</c:v>
                </c:pt>
                <c:pt idx="1086">
                  <c:v>24888</c:v>
                </c:pt>
                <c:pt idx="1087">
                  <c:v>32125</c:v>
                </c:pt>
                <c:pt idx="1088">
                  <c:v>36320</c:v>
                </c:pt>
                <c:pt idx="1089">
                  <c:v>36131</c:v>
                </c:pt>
                <c:pt idx="1090">
                  <c:v>7198</c:v>
                </c:pt>
                <c:pt idx="1091">
                  <c:v>688</c:v>
                </c:pt>
                <c:pt idx="1092">
                  <c:v>8279</c:v>
                </c:pt>
                <c:pt idx="1093">
                  <c:v>-10201</c:v>
                </c:pt>
                <c:pt idx="1094">
                  <c:v>14023</c:v>
                </c:pt>
                <c:pt idx="1095">
                  <c:v>14601</c:v>
                </c:pt>
                <c:pt idx="1096">
                  <c:v>10933</c:v>
                </c:pt>
                <c:pt idx="1097">
                  <c:v>7761</c:v>
                </c:pt>
                <c:pt idx="1098">
                  <c:v>7214</c:v>
                </c:pt>
                <c:pt idx="1099">
                  <c:v>4896</c:v>
                </c:pt>
                <c:pt idx="1100">
                  <c:v>5180</c:v>
                </c:pt>
                <c:pt idx="1101">
                  <c:v>7017</c:v>
                </c:pt>
                <c:pt idx="1102">
                  <c:v>9539</c:v>
                </c:pt>
                <c:pt idx="1103">
                  <c:v>12463</c:v>
                </c:pt>
                <c:pt idx="1104">
                  <c:v>8933</c:v>
                </c:pt>
                <c:pt idx="1105">
                  <c:v>22530</c:v>
                </c:pt>
                <c:pt idx="1106">
                  <c:v>15650</c:v>
                </c:pt>
                <c:pt idx="1107">
                  <c:v>20178</c:v>
                </c:pt>
                <c:pt idx="1108">
                  <c:v>15605</c:v>
                </c:pt>
                <c:pt idx="1109">
                  <c:v>17607</c:v>
                </c:pt>
                <c:pt idx="1110">
                  <c:v>13717</c:v>
                </c:pt>
                <c:pt idx="1111">
                  <c:v>-3628</c:v>
                </c:pt>
                <c:pt idx="1112">
                  <c:v>-35316</c:v>
                </c:pt>
                <c:pt idx="1113">
                  <c:v>-34515</c:v>
                </c:pt>
                <c:pt idx="1114">
                  <c:v>-33940</c:v>
                </c:pt>
                <c:pt idx="1115">
                  <c:v>-23312</c:v>
                </c:pt>
                <c:pt idx="1116">
                  <c:v>-21569</c:v>
                </c:pt>
                <c:pt idx="1117">
                  <c:v>-20750</c:v>
                </c:pt>
                <c:pt idx="1118">
                  <c:v>-8247</c:v>
                </c:pt>
                <c:pt idx="1119">
                  <c:v>-1270</c:v>
                </c:pt>
                <c:pt idx="1120">
                  <c:v>-1654</c:v>
                </c:pt>
                <c:pt idx="1121">
                  <c:v>21784</c:v>
                </c:pt>
                <c:pt idx="1122">
                  <c:v>56501</c:v>
                </c:pt>
                <c:pt idx="1123">
                  <c:v>54237</c:v>
                </c:pt>
                <c:pt idx="1124">
                  <c:v>53511</c:v>
                </c:pt>
                <c:pt idx="1125">
                  <c:v>49618</c:v>
                </c:pt>
                <c:pt idx="1126">
                  <c:v>47884</c:v>
                </c:pt>
                <c:pt idx="1127">
                  <c:v>68622</c:v>
                </c:pt>
                <c:pt idx="1128">
                  <c:v>77266</c:v>
                </c:pt>
                <c:pt idx="1129">
                  <c:v>83301</c:v>
                </c:pt>
                <c:pt idx="1130">
                  <c:v>86016</c:v>
                </c:pt>
                <c:pt idx="1131">
                  <c:v>90203</c:v>
                </c:pt>
                <c:pt idx="1132">
                  <c:v>69075</c:v>
                </c:pt>
                <c:pt idx="1133">
                  <c:v>68969</c:v>
                </c:pt>
                <c:pt idx="1134">
                  <c:v>69562</c:v>
                </c:pt>
                <c:pt idx="1135">
                  <c:v>68811</c:v>
                </c:pt>
                <c:pt idx="1136">
                  <c:v>69637</c:v>
                </c:pt>
                <c:pt idx="1137">
                  <c:v>79134</c:v>
                </c:pt>
                <c:pt idx="1138">
                  <c:v>77115</c:v>
                </c:pt>
                <c:pt idx="1139">
                  <c:v>32433</c:v>
                </c:pt>
                <c:pt idx="1140">
                  <c:v>-41</c:v>
                </c:pt>
                <c:pt idx="1141">
                  <c:v>12407</c:v>
                </c:pt>
                <c:pt idx="1142">
                  <c:v>36670</c:v>
                </c:pt>
                <c:pt idx="1143">
                  <c:v>39164</c:v>
                </c:pt>
                <c:pt idx="1144">
                  <c:v>38518</c:v>
                </c:pt>
                <c:pt idx="1145">
                  <c:v>22046</c:v>
                </c:pt>
                <c:pt idx="1146">
                  <c:v>10504</c:v>
                </c:pt>
                <c:pt idx="1147">
                  <c:v>-7314</c:v>
                </c:pt>
                <c:pt idx="1148">
                  <c:v>-7583</c:v>
                </c:pt>
                <c:pt idx="1149">
                  <c:v>-5763</c:v>
                </c:pt>
                <c:pt idx="1150">
                  <c:v>-21124</c:v>
                </c:pt>
                <c:pt idx="1151">
                  <c:v>-26843</c:v>
                </c:pt>
                <c:pt idx="1152">
                  <c:v>-26590</c:v>
                </c:pt>
                <c:pt idx="1153">
                  <c:v>-29674</c:v>
                </c:pt>
                <c:pt idx="1154">
                  <c:v>-29034</c:v>
                </c:pt>
                <c:pt idx="1155">
                  <c:v>-32552</c:v>
                </c:pt>
                <c:pt idx="1156">
                  <c:v>-43004</c:v>
                </c:pt>
                <c:pt idx="1157">
                  <c:v>-48594</c:v>
                </c:pt>
                <c:pt idx="1158">
                  <c:v>-52756</c:v>
                </c:pt>
                <c:pt idx="1159">
                  <c:v>-63370</c:v>
                </c:pt>
                <c:pt idx="1160">
                  <c:v>-63805</c:v>
                </c:pt>
                <c:pt idx="1161">
                  <c:v>-64451</c:v>
                </c:pt>
                <c:pt idx="1162">
                  <c:v>-54295</c:v>
                </c:pt>
                <c:pt idx="1163">
                  <c:v>-46263</c:v>
                </c:pt>
                <c:pt idx="1164">
                  <c:v>-44573</c:v>
                </c:pt>
                <c:pt idx="1165">
                  <c:v>-48237</c:v>
                </c:pt>
                <c:pt idx="1166">
                  <c:v>-49235</c:v>
                </c:pt>
                <c:pt idx="1167">
                  <c:v>-45445</c:v>
                </c:pt>
                <c:pt idx="1168">
                  <c:v>-48344</c:v>
                </c:pt>
                <c:pt idx="1169">
                  <c:v>-43407</c:v>
                </c:pt>
                <c:pt idx="1170">
                  <c:v>-35647</c:v>
                </c:pt>
                <c:pt idx="1171">
                  <c:v>-55939</c:v>
                </c:pt>
                <c:pt idx="1172">
                  <c:v>-41100</c:v>
                </c:pt>
                <c:pt idx="1173">
                  <c:v>-30289</c:v>
                </c:pt>
                <c:pt idx="1174">
                  <c:v>-22925</c:v>
                </c:pt>
                <c:pt idx="1175">
                  <c:v>8361</c:v>
                </c:pt>
                <c:pt idx="1176">
                  <c:v>-13675</c:v>
                </c:pt>
                <c:pt idx="1177">
                  <c:v>-23391</c:v>
                </c:pt>
                <c:pt idx="1178">
                  <c:v>-50116</c:v>
                </c:pt>
                <c:pt idx="1179">
                  <c:v>-27039</c:v>
                </c:pt>
                <c:pt idx="1180">
                  <c:v>-31331</c:v>
                </c:pt>
                <c:pt idx="1181">
                  <c:v>-32516</c:v>
                </c:pt>
                <c:pt idx="1182">
                  <c:v>-45127</c:v>
                </c:pt>
                <c:pt idx="1183">
                  <c:v>-51132</c:v>
                </c:pt>
                <c:pt idx="1184">
                  <c:v>-52490</c:v>
                </c:pt>
                <c:pt idx="1185">
                  <c:v>-27867</c:v>
                </c:pt>
                <c:pt idx="1186">
                  <c:v>-38759</c:v>
                </c:pt>
                <c:pt idx="1187">
                  <c:v>-72415</c:v>
                </c:pt>
                <c:pt idx="1188">
                  <c:v>-72718</c:v>
                </c:pt>
                <c:pt idx="1189">
                  <c:v>-81424</c:v>
                </c:pt>
                <c:pt idx="1190">
                  <c:v>-88843</c:v>
                </c:pt>
                <c:pt idx="1191">
                  <c:v>-82048</c:v>
                </c:pt>
                <c:pt idx="1192">
                  <c:v>-70569</c:v>
                </c:pt>
                <c:pt idx="1193">
                  <c:v>-60427</c:v>
                </c:pt>
                <c:pt idx="1194">
                  <c:v>-83053</c:v>
                </c:pt>
                <c:pt idx="1195">
                  <c:v>-76937</c:v>
                </c:pt>
                <c:pt idx="1196">
                  <c:v>-70951</c:v>
                </c:pt>
                <c:pt idx="1197">
                  <c:v>-55285</c:v>
                </c:pt>
                <c:pt idx="1198">
                  <c:v>-12356</c:v>
                </c:pt>
                <c:pt idx="1199">
                  <c:v>-44451</c:v>
                </c:pt>
                <c:pt idx="1200">
                  <c:v>-5243</c:v>
                </c:pt>
                <c:pt idx="1201">
                  <c:v>-4143</c:v>
                </c:pt>
                <c:pt idx="1202">
                  <c:v>-616</c:v>
                </c:pt>
                <c:pt idx="1203">
                  <c:v>-83</c:v>
                </c:pt>
                <c:pt idx="1204">
                  <c:v>-735</c:v>
                </c:pt>
                <c:pt idx="1205">
                  <c:v>-18835</c:v>
                </c:pt>
                <c:pt idx="1206">
                  <c:v>-38263</c:v>
                </c:pt>
                <c:pt idx="1207">
                  <c:v>-29261</c:v>
                </c:pt>
                <c:pt idx="1208">
                  <c:v>-25465</c:v>
                </c:pt>
                <c:pt idx="1209">
                  <c:v>-24381</c:v>
                </c:pt>
                <c:pt idx="1210">
                  <c:v>-60372</c:v>
                </c:pt>
                <c:pt idx="1211">
                  <c:v>-56719</c:v>
                </c:pt>
                <c:pt idx="1212">
                  <c:v>-57387</c:v>
                </c:pt>
                <c:pt idx="1213">
                  <c:v>-61988</c:v>
                </c:pt>
                <c:pt idx="1214">
                  <c:v>-74015</c:v>
                </c:pt>
                <c:pt idx="1215">
                  <c:v>-76003</c:v>
                </c:pt>
                <c:pt idx="1216">
                  <c:v>-76607</c:v>
                </c:pt>
                <c:pt idx="1217">
                  <c:v>-78594</c:v>
                </c:pt>
                <c:pt idx="1218">
                  <c:v>-46522</c:v>
                </c:pt>
                <c:pt idx="1219">
                  <c:v>-77385</c:v>
                </c:pt>
                <c:pt idx="1220">
                  <c:v>-52859</c:v>
                </c:pt>
                <c:pt idx="1221">
                  <c:v>-56473</c:v>
                </c:pt>
                <c:pt idx="1222">
                  <c:v>-57554</c:v>
                </c:pt>
                <c:pt idx="1223">
                  <c:v>-45037</c:v>
                </c:pt>
                <c:pt idx="1224">
                  <c:v>-45696</c:v>
                </c:pt>
                <c:pt idx="1225">
                  <c:v>-40796</c:v>
                </c:pt>
                <c:pt idx="1226">
                  <c:v>-31878</c:v>
                </c:pt>
                <c:pt idx="1227">
                  <c:v>-46591</c:v>
                </c:pt>
                <c:pt idx="1228">
                  <c:v>-14409</c:v>
                </c:pt>
                <c:pt idx="1229">
                  <c:v>-19315</c:v>
                </c:pt>
                <c:pt idx="1230">
                  <c:v>-12420</c:v>
                </c:pt>
                <c:pt idx="1231">
                  <c:v>-45220</c:v>
                </c:pt>
                <c:pt idx="1232">
                  <c:v>-45691</c:v>
                </c:pt>
                <c:pt idx="1233">
                  <c:v>-47460</c:v>
                </c:pt>
                <c:pt idx="1234">
                  <c:v>-55615</c:v>
                </c:pt>
                <c:pt idx="1235">
                  <c:v>-59309</c:v>
                </c:pt>
                <c:pt idx="1236">
                  <c:v>-65619</c:v>
                </c:pt>
                <c:pt idx="1237">
                  <c:v>-68880</c:v>
                </c:pt>
                <c:pt idx="1238">
                  <c:v>-65327</c:v>
                </c:pt>
                <c:pt idx="1239">
                  <c:v>-44857</c:v>
                </c:pt>
                <c:pt idx="1240">
                  <c:v>-37172</c:v>
                </c:pt>
                <c:pt idx="1241">
                  <c:v>-39366</c:v>
                </c:pt>
                <c:pt idx="1242">
                  <c:v>-46562</c:v>
                </c:pt>
                <c:pt idx="1243">
                  <c:v>-52123</c:v>
                </c:pt>
                <c:pt idx="1244">
                  <c:v>-54362</c:v>
                </c:pt>
                <c:pt idx="1245">
                  <c:v>-45723</c:v>
                </c:pt>
                <c:pt idx="1246">
                  <c:v>-28541</c:v>
                </c:pt>
                <c:pt idx="1247">
                  <c:v>-33234</c:v>
                </c:pt>
                <c:pt idx="1248">
                  <c:v>-58399</c:v>
                </c:pt>
                <c:pt idx="1249">
                  <c:v>-65747</c:v>
                </c:pt>
                <c:pt idx="1250">
                  <c:v>-89342</c:v>
                </c:pt>
                <c:pt idx="1251">
                  <c:v>-85873</c:v>
                </c:pt>
                <c:pt idx="1252">
                  <c:v>-85892</c:v>
                </c:pt>
                <c:pt idx="1253">
                  <c:v>-51792</c:v>
                </c:pt>
                <c:pt idx="1254">
                  <c:v>-30719</c:v>
                </c:pt>
                <c:pt idx="1255">
                  <c:v>-25343</c:v>
                </c:pt>
                <c:pt idx="1256">
                  <c:v>-36472</c:v>
                </c:pt>
                <c:pt idx="1257">
                  <c:v>-32996</c:v>
                </c:pt>
                <c:pt idx="1258">
                  <c:v>-45153</c:v>
                </c:pt>
                <c:pt idx="1259">
                  <c:v>-48314</c:v>
                </c:pt>
                <c:pt idx="1260">
                  <c:v>-54500</c:v>
                </c:pt>
                <c:pt idx="1261">
                  <c:v>-54066</c:v>
                </c:pt>
                <c:pt idx="1262">
                  <c:v>-57659</c:v>
                </c:pt>
                <c:pt idx="1263">
                  <c:v>-66681</c:v>
                </c:pt>
                <c:pt idx="1264">
                  <c:v>-61657</c:v>
                </c:pt>
                <c:pt idx="1265">
                  <c:v>-65636</c:v>
                </c:pt>
                <c:pt idx="1266">
                  <c:v>-71776</c:v>
                </c:pt>
                <c:pt idx="1267">
                  <c:v>-73321</c:v>
                </c:pt>
                <c:pt idx="1268">
                  <c:v>-64654</c:v>
                </c:pt>
                <c:pt idx="1269">
                  <c:v>-63208</c:v>
                </c:pt>
                <c:pt idx="1270">
                  <c:v>-58488</c:v>
                </c:pt>
                <c:pt idx="1271">
                  <c:v>-60213</c:v>
                </c:pt>
                <c:pt idx="1272">
                  <c:v>-56481</c:v>
                </c:pt>
                <c:pt idx="1273">
                  <c:v>-45783</c:v>
                </c:pt>
                <c:pt idx="1274">
                  <c:v>-42758</c:v>
                </c:pt>
                <c:pt idx="1275">
                  <c:v>-5467</c:v>
                </c:pt>
                <c:pt idx="1276">
                  <c:v>-3281</c:v>
                </c:pt>
                <c:pt idx="1277">
                  <c:v>-4737</c:v>
                </c:pt>
                <c:pt idx="1278">
                  <c:v>-9688</c:v>
                </c:pt>
                <c:pt idx="1279">
                  <c:v>-12675</c:v>
                </c:pt>
                <c:pt idx="1280">
                  <c:v>14244</c:v>
                </c:pt>
                <c:pt idx="1281">
                  <c:v>16038</c:v>
                </c:pt>
                <c:pt idx="1282">
                  <c:v>15115</c:v>
                </c:pt>
                <c:pt idx="1283">
                  <c:v>69903</c:v>
                </c:pt>
                <c:pt idx="1284">
                  <c:v>70054</c:v>
                </c:pt>
                <c:pt idx="1285">
                  <c:v>54298</c:v>
                </c:pt>
                <c:pt idx="1286">
                  <c:v>75002</c:v>
                </c:pt>
                <c:pt idx="1287">
                  <c:v>84821</c:v>
                </c:pt>
                <c:pt idx="1288">
                  <c:v>95814</c:v>
                </c:pt>
                <c:pt idx="1289">
                  <c:v>48985</c:v>
                </c:pt>
                <c:pt idx="1290">
                  <c:v>81007</c:v>
                </c:pt>
                <c:pt idx="1291">
                  <c:v>84859</c:v>
                </c:pt>
                <c:pt idx="1292">
                  <c:v>97859</c:v>
                </c:pt>
                <c:pt idx="1293">
                  <c:v>112539</c:v>
                </c:pt>
                <c:pt idx="1294">
                  <c:v>112890</c:v>
                </c:pt>
                <c:pt idx="1295">
                  <c:v>113549</c:v>
                </c:pt>
                <c:pt idx="1296">
                  <c:v>106437</c:v>
                </c:pt>
                <c:pt idx="1297">
                  <c:v>94849</c:v>
                </c:pt>
                <c:pt idx="1298">
                  <c:v>97618</c:v>
                </c:pt>
                <c:pt idx="1299">
                  <c:v>97010</c:v>
                </c:pt>
                <c:pt idx="1300">
                  <c:v>113612</c:v>
                </c:pt>
                <c:pt idx="1301">
                  <c:v>116998</c:v>
                </c:pt>
                <c:pt idx="1302">
                  <c:v>76952</c:v>
                </c:pt>
                <c:pt idx="1303">
                  <c:v>83727</c:v>
                </c:pt>
                <c:pt idx="1304">
                  <c:v>89116</c:v>
                </c:pt>
                <c:pt idx="1305">
                  <c:v>82749</c:v>
                </c:pt>
                <c:pt idx="1306">
                  <c:v>71067</c:v>
                </c:pt>
                <c:pt idx="1307">
                  <c:v>55701</c:v>
                </c:pt>
                <c:pt idx="1308">
                  <c:v>55246</c:v>
                </c:pt>
                <c:pt idx="1309">
                  <c:v>56975</c:v>
                </c:pt>
                <c:pt idx="1310">
                  <c:v>62533</c:v>
                </c:pt>
                <c:pt idx="1311">
                  <c:v>80386</c:v>
                </c:pt>
                <c:pt idx="1312">
                  <c:v>89566</c:v>
                </c:pt>
                <c:pt idx="1313">
                  <c:v>96523</c:v>
                </c:pt>
                <c:pt idx="1314">
                  <c:v>86176</c:v>
                </c:pt>
                <c:pt idx="1315">
                  <c:v>53894</c:v>
                </c:pt>
                <c:pt idx="1316">
                  <c:v>36384</c:v>
                </c:pt>
                <c:pt idx="1317">
                  <c:v>35058</c:v>
                </c:pt>
                <c:pt idx="1318">
                  <c:v>29797</c:v>
                </c:pt>
                <c:pt idx="1319">
                  <c:v>46795</c:v>
                </c:pt>
                <c:pt idx="1320">
                  <c:v>61155</c:v>
                </c:pt>
                <c:pt idx="1321">
                  <c:v>80045</c:v>
                </c:pt>
                <c:pt idx="1322">
                  <c:v>92855</c:v>
                </c:pt>
                <c:pt idx="1323">
                  <c:v>96778</c:v>
                </c:pt>
                <c:pt idx="1324">
                  <c:v>94821</c:v>
                </c:pt>
                <c:pt idx="1325">
                  <c:v>92507</c:v>
                </c:pt>
                <c:pt idx="1326">
                  <c:v>83295</c:v>
                </c:pt>
                <c:pt idx="1327">
                  <c:v>86940</c:v>
                </c:pt>
                <c:pt idx="1328">
                  <c:v>66845</c:v>
                </c:pt>
                <c:pt idx="1329">
                  <c:v>89787</c:v>
                </c:pt>
                <c:pt idx="1330">
                  <c:v>99080</c:v>
                </c:pt>
                <c:pt idx="1331">
                  <c:v>102218</c:v>
                </c:pt>
                <c:pt idx="1332">
                  <c:v>101841</c:v>
                </c:pt>
                <c:pt idx="1333">
                  <c:v>88783</c:v>
                </c:pt>
                <c:pt idx="1334">
                  <c:v>86041</c:v>
                </c:pt>
                <c:pt idx="1335">
                  <c:v>76188</c:v>
                </c:pt>
                <c:pt idx="1336">
                  <c:v>52778</c:v>
                </c:pt>
                <c:pt idx="1337">
                  <c:v>31540</c:v>
                </c:pt>
                <c:pt idx="1338">
                  <c:v>18336</c:v>
                </c:pt>
                <c:pt idx="1339">
                  <c:v>-11110</c:v>
                </c:pt>
                <c:pt idx="1340">
                  <c:v>-21700</c:v>
                </c:pt>
                <c:pt idx="1341">
                  <c:v>-11265</c:v>
                </c:pt>
                <c:pt idx="1342">
                  <c:v>-12510</c:v>
                </c:pt>
                <c:pt idx="1343">
                  <c:v>5915</c:v>
                </c:pt>
                <c:pt idx="1344">
                  <c:v>28132</c:v>
                </c:pt>
                <c:pt idx="1345">
                  <c:v>29078</c:v>
                </c:pt>
                <c:pt idx="1346">
                  <c:v>19584</c:v>
                </c:pt>
                <c:pt idx="1347">
                  <c:v>26515</c:v>
                </c:pt>
                <c:pt idx="1348">
                  <c:v>33260</c:v>
                </c:pt>
                <c:pt idx="1349">
                  <c:v>31074</c:v>
                </c:pt>
                <c:pt idx="1350">
                  <c:v>25670</c:v>
                </c:pt>
                <c:pt idx="1351">
                  <c:v>19337</c:v>
                </c:pt>
                <c:pt idx="1352">
                  <c:v>12519</c:v>
                </c:pt>
                <c:pt idx="1353">
                  <c:v>14536</c:v>
                </c:pt>
                <c:pt idx="1354">
                  <c:v>40513</c:v>
                </c:pt>
                <c:pt idx="1355">
                  <c:v>51398</c:v>
                </c:pt>
                <c:pt idx="1356">
                  <c:v>73829</c:v>
                </c:pt>
                <c:pt idx="1357">
                  <c:v>74449</c:v>
                </c:pt>
                <c:pt idx="1358">
                  <c:v>68575</c:v>
                </c:pt>
                <c:pt idx="1359">
                  <c:v>58027</c:v>
                </c:pt>
                <c:pt idx="1360">
                  <c:v>33809</c:v>
                </c:pt>
                <c:pt idx="1361">
                  <c:v>7036</c:v>
                </c:pt>
                <c:pt idx="1362">
                  <c:v>7287</c:v>
                </c:pt>
                <c:pt idx="1363">
                  <c:v>14083</c:v>
                </c:pt>
                <c:pt idx="1364">
                  <c:v>15327</c:v>
                </c:pt>
                <c:pt idx="1365">
                  <c:v>4523</c:v>
                </c:pt>
                <c:pt idx="1366">
                  <c:v>11442</c:v>
                </c:pt>
                <c:pt idx="1367">
                  <c:v>-769</c:v>
                </c:pt>
                <c:pt idx="1368">
                  <c:v>3429</c:v>
                </c:pt>
                <c:pt idx="1369">
                  <c:v>9772</c:v>
                </c:pt>
                <c:pt idx="1370">
                  <c:v>30982</c:v>
                </c:pt>
                <c:pt idx="1371">
                  <c:v>57265</c:v>
                </c:pt>
                <c:pt idx="1372">
                  <c:v>63519</c:v>
                </c:pt>
                <c:pt idx="1373">
                  <c:v>69443</c:v>
                </c:pt>
                <c:pt idx="1374">
                  <c:v>71467</c:v>
                </c:pt>
                <c:pt idx="1375">
                  <c:v>76411</c:v>
                </c:pt>
                <c:pt idx="1376">
                  <c:v>95095</c:v>
                </c:pt>
                <c:pt idx="1377">
                  <c:v>91947</c:v>
                </c:pt>
                <c:pt idx="1378">
                  <c:v>88418</c:v>
                </c:pt>
                <c:pt idx="1379">
                  <c:v>75096</c:v>
                </c:pt>
                <c:pt idx="1380">
                  <c:v>122887</c:v>
                </c:pt>
                <c:pt idx="1381">
                  <c:v>146334</c:v>
                </c:pt>
                <c:pt idx="1382">
                  <c:v>142723</c:v>
                </c:pt>
                <c:pt idx="1383">
                  <c:v>155437</c:v>
                </c:pt>
                <c:pt idx="1384">
                  <c:v>156030</c:v>
                </c:pt>
                <c:pt idx="1385">
                  <c:v>150705</c:v>
                </c:pt>
                <c:pt idx="1386">
                  <c:v>144739</c:v>
                </c:pt>
                <c:pt idx="1387">
                  <c:v>144689</c:v>
                </c:pt>
                <c:pt idx="1388">
                  <c:v>148207</c:v>
                </c:pt>
                <c:pt idx="1389">
                  <c:v>146485</c:v>
                </c:pt>
                <c:pt idx="1390">
                  <c:v>142467</c:v>
                </c:pt>
                <c:pt idx="1391">
                  <c:v>124229</c:v>
                </c:pt>
                <c:pt idx="1392">
                  <c:v>101315</c:v>
                </c:pt>
                <c:pt idx="1393">
                  <c:v>116806</c:v>
                </c:pt>
                <c:pt idx="1394">
                  <c:v>115035</c:v>
                </c:pt>
                <c:pt idx="1395">
                  <c:v>108267</c:v>
                </c:pt>
                <c:pt idx="1396">
                  <c:v>126382</c:v>
                </c:pt>
                <c:pt idx="1397">
                  <c:v>128121</c:v>
                </c:pt>
                <c:pt idx="1398">
                  <c:v>124755</c:v>
                </c:pt>
                <c:pt idx="1399">
                  <c:v>128268</c:v>
                </c:pt>
                <c:pt idx="1400">
                  <c:v>122069</c:v>
                </c:pt>
                <c:pt idx="1401">
                  <c:v>117562</c:v>
                </c:pt>
                <c:pt idx="1402">
                  <c:v>110359</c:v>
                </c:pt>
                <c:pt idx="1403">
                  <c:v>93314</c:v>
                </c:pt>
                <c:pt idx="1404">
                  <c:v>91791</c:v>
                </c:pt>
                <c:pt idx="1405">
                  <c:v>95637</c:v>
                </c:pt>
                <c:pt idx="1406">
                  <c:v>81626</c:v>
                </c:pt>
                <c:pt idx="1407">
                  <c:v>92414</c:v>
                </c:pt>
                <c:pt idx="1408">
                  <c:v>115812</c:v>
                </c:pt>
                <c:pt idx="1409">
                  <c:v>115396</c:v>
                </c:pt>
                <c:pt idx="1410">
                  <c:v>113042</c:v>
                </c:pt>
                <c:pt idx="1411">
                  <c:v>112950</c:v>
                </c:pt>
                <c:pt idx="1412">
                  <c:v>128907</c:v>
                </c:pt>
                <c:pt idx="1413">
                  <c:v>140402</c:v>
                </c:pt>
                <c:pt idx="1414">
                  <c:v>142037</c:v>
                </c:pt>
                <c:pt idx="1415">
                  <c:v>139821</c:v>
                </c:pt>
                <c:pt idx="1416">
                  <c:v>135649</c:v>
                </c:pt>
                <c:pt idx="1417">
                  <c:v>130127</c:v>
                </c:pt>
                <c:pt idx="1418">
                  <c:v>130641</c:v>
                </c:pt>
                <c:pt idx="1419">
                  <c:v>152260</c:v>
                </c:pt>
                <c:pt idx="1420">
                  <c:v>158216</c:v>
                </c:pt>
                <c:pt idx="1421">
                  <c:v>150266</c:v>
                </c:pt>
                <c:pt idx="1422">
                  <c:v>157318</c:v>
                </c:pt>
                <c:pt idx="1423">
                  <c:v>165640</c:v>
                </c:pt>
                <c:pt idx="1424">
                  <c:v>169971</c:v>
                </c:pt>
                <c:pt idx="1425">
                  <c:v>170366</c:v>
                </c:pt>
                <c:pt idx="1426">
                  <c:v>165172</c:v>
                </c:pt>
                <c:pt idx="1427">
                  <c:v>156326</c:v>
                </c:pt>
                <c:pt idx="1428">
                  <c:v>153282</c:v>
                </c:pt>
                <c:pt idx="1429">
                  <c:v>150601</c:v>
                </c:pt>
                <c:pt idx="1430">
                  <c:v>131181</c:v>
                </c:pt>
                <c:pt idx="1431">
                  <c:v>112547</c:v>
                </c:pt>
                <c:pt idx="1432">
                  <c:v>33845</c:v>
                </c:pt>
                <c:pt idx="1433">
                  <c:v>21979</c:v>
                </c:pt>
                <c:pt idx="1434">
                  <c:v>7665</c:v>
                </c:pt>
                <c:pt idx="1435">
                  <c:v>5756</c:v>
                </c:pt>
                <c:pt idx="1436">
                  <c:v>3333</c:v>
                </c:pt>
                <c:pt idx="1437">
                  <c:v>1240</c:v>
                </c:pt>
                <c:pt idx="1438">
                  <c:v>8481</c:v>
                </c:pt>
                <c:pt idx="1439">
                  <c:v>7109</c:v>
                </c:pt>
                <c:pt idx="1440">
                  <c:v>-5120</c:v>
                </c:pt>
                <c:pt idx="1441">
                  <c:v>-5984</c:v>
                </c:pt>
                <c:pt idx="1442">
                  <c:v>4691</c:v>
                </c:pt>
                <c:pt idx="1443">
                  <c:v>8317</c:v>
                </c:pt>
                <c:pt idx="1444">
                  <c:v>-846</c:v>
                </c:pt>
                <c:pt idx="1445">
                  <c:v>22106</c:v>
                </c:pt>
                <c:pt idx="1446">
                  <c:v>23178</c:v>
                </c:pt>
                <c:pt idx="1447">
                  <c:v>20956</c:v>
                </c:pt>
                <c:pt idx="1448">
                  <c:v>14980</c:v>
                </c:pt>
                <c:pt idx="1449">
                  <c:v>11871</c:v>
                </c:pt>
                <c:pt idx="1450">
                  <c:v>9848</c:v>
                </c:pt>
                <c:pt idx="1451">
                  <c:v>10864</c:v>
                </c:pt>
                <c:pt idx="1452">
                  <c:v>2999</c:v>
                </c:pt>
                <c:pt idx="1453">
                  <c:v>6507</c:v>
                </c:pt>
                <c:pt idx="1454">
                  <c:v>4338</c:v>
                </c:pt>
                <c:pt idx="1455">
                  <c:v>3862</c:v>
                </c:pt>
                <c:pt idx="1456">
                  <c:v>5969</c:v>
                </c:pt>
                <c:pt idx="1457">
                  <c:v>8373</c:v>
                </c:pt>
                <c:pt idx="1458">
                  <c:v>26471</c:v>
                </c:pt>
                <c:pt idx="1459">
                  <c:v>26650</c:v>
                </c:pt>
                <c:pt idx="1460">
                  <c:v>12636</c:v>
                </c:pt>
                <c:pt idx="1461">
                  <c:v>21342</c:v>
                </c:pt>
                <c:pt idx="1462">
                  <c:v>22478</c:v>
                </c:pt>
                <c:pt idx="1463">
                  <c:v>19842</c:v>
                </c:pt>
                <c:pt idx="1464">
                  <c:v>27946</c:v>
                </c:pt>
                <c:pt idx="1465">
                  <c:v>24097</c:v>
                </c:pt>
                <c:pt idx="1466">
                  <c:v>18322</c:v>
                </c:pt>
                <c:pt idx="1467">
                  <c:v>20409</c:v>
                </c:pt>
                <c:pt idx="1468">
                  <c:v>23795</c:v>
                </c:pt>
                <c:pt idx="1469">
                  <c:v>29041</c:v>
                </c:pt>
                <c:pt idx="1470">
                  <c:v>26522</c:v>
                </c:pt>
                <c:pt idx="1471">
                  <c:v>-3227</c:v>
                </c:pt>
                <c:pt idx="1472">
                  <c:v>-8249</c:v>
                </c:pt>
                <c:pt idx="1473">
                  <c:v>-5258</c:v>
                </c:pt>
                <c:pt idx="1474">
                  <c:v>-7723</c:v>
                </c:pt>
                <c:pt idx="1475">
                  <c:v>-5452</c:v>
                </c:pt>
                <c:pt idx="1476">
                  <c:v>-7687</c:v>
                </c:pt>
                <c:pt idx="1477">
                  <c:v>-950</c:v>
                </c:pt>
                <c:pt idx="1478">
                  <c:v>2868</c:v>
                </c:pt>
                <c:pt idx="1479">
                  <c:v>1483</c:v>
                </c:pt>
                <c:pt idx="1480">
                  <c:v>1412</c:v>
                </c:pt>
                <c:pt idx="1481">
                  <c:v>3025</c:v>
                </c:pt>
                <c:pt idx="1482">
                  <c:v>4431</c:v>
                </c:pt>
                <c:pt idx="1483">
                  <c:v>1852</c:v>
                </c:pt>
                <c:pt idx="1484">
                  <c:v>-29457</c:v>
                </c:pt>
                <c:pt idx="1485">
                  <c:v>-20894</c:v>
                </c:pt>
                <c:pt idx="1486">
                  <c:v>-15113</c:v>
                </c:pt>
                <c:pt idx="1487">
                  <c:v>-13142</c:v>
                </c:pt>
                <c:pt idx="1488">
                  <c:v>-11978</c:v>
                </c:pt>
                <c:pt idx="1489">
                  <c:v>-3554</c:v>
                </c:pt>
                <c:pt idx="1490">
                  <c:v>960</c:v>
                </c:pt>
                <c:pt idx="1491">
                  <c:v>-4446</c:v>
                </c:pt>
                <c:pt idx="1492">
                  <c:v>-8480</c:v>
                </c:pt>
                <c:pt idx="1493">
                  <c:v>-10118</c:v>
                </c:pt>
                <c:pt idx="1494">
                  <c:v>-8498</c:v>
                </c:pt>
                <c:pt idx="1495">
                  <c:v>-3646</c:v>
                </c:pt>
                <c:pt idx="1496">
                  <c:v>-6561</c:v>
                </c:pt>
                <c:pt idx="1497">
                  <c:v>-23930</c:v>
                </c:pt>
                <c:pt idx="1498">
                  <c:v>-28591</c:v>
                </c:pt>
                <c:pt idx="1499">
                  <c:v>-19454</c:v>
                </c:pt>
                <c:pt idx="1500">
                  <c:v>-22333</c:v>
                </c:pt>
                <c:pt idx="1501">
                  <c:v>-27432</c:v>
                </c:pt>
                <c:pt idx="1502">
                  <c:v>-28421</c:v>
                </c:pt>
                <c:pt idx="1503">
                  <c:v>-26407</c:v>
                </c:pt>
                <c:pt idx="1504">
                  <c:v>-21297</c:v>
                </c:pt>
                <c:pt idx="1505">
                  <c:v>-23887</c:v>
                </c:pt>
                <c:pt idx="1506">
                  <c:v>-19117</c:v>
                </c:pt>
                <c:pt idx="1507">
                  <c:v>-23830</c:v>
                </c:pt>
                <c:pt idx="1508">
                  <c:v>-21043</c:v>
                </c:pt>
                <c:pt idx="1509">
                  <c:v>-17517</c:v>
                </c:pt>
                <c:pt idx="1510">
                  <c:v>-15852</c:v>
                </c:pt>
                <c:pt idx="1511">
                  <c:v>-19015</c:v>
                </c:pt>
                <c:pt idx="1512">
                  <c:v>-19595</c:v>
                </c:pt>
                <c:pt idx="1513">
                  <c:v>-35579</c:v>
                </c:pt>
                <c:pt idx="1514">
                  <c:v>-39634</c:v>
                </c:pt>
                <c:pt idx="1515">
                  <c:v>-38571</c:v>
                </c:pt>
                <c:pt idx="1516">
                  <c:v>-43289</c:v>
                </c:pt>
                <c:pt idx="1517">
                  <c:v>-51018</c:v>
                </c:pt>
                <c:pt idx="1518">
                  <c:v>-48407</c:v>
                </c:pt>
                <c:pt idx="1519">
                  <c:v>-47655</c:v>
                </c:pt>
                <c:pt idx="1520">
                  <c:v>-49461</c:v>
                </c:pt>
                <c:pt idx="1521">
                  <c:v>-59747</c:v>
                </c:pt>
                <c:pt idx="1522">
                  <c:v>-64126</c:v>
                </c:pt>
                <c:pt idx="1523">
                  <c:v>-10673</c:v>
                </c:pt>
                <c:pt idx="1524">
                  <c:v>-4792</c:v>
                </c:pt>
                <c:pt idx="1525">
                  <c:v>-9008</c:v>
                </c:pt>
                <c:pt idx="1526">
                  <c:v>-9490</c:v>
                </c:pt>
                <c:pt idx="1527">
                  <c:v>-4451</c:v>
                </c:pt>
                <c:pt idx="1528">
                  <c:v>4920</c:v>
                </c:pt>
                <c:pt idx="1529">
                  <c:v>-790</c:v>
                </c:pt>
                <c:pt idx="1530">
                  <c:v>730</c:v>
                </c:pt>
                <c:pt idx="1531">
                  <c:v>1244</c:v>
                </c:pt>
                <c:pt idx="1532">
                  <c:v>8974</c:v>
                </c:pt>
                <c:pt idx="1533">
                  <c:v>16825</c:v>
                </c:pt>
                <c:pt idx="1534">
                  <c:v>42378</c:v>
                </c:pt>
                <c:pt idx="1535">
                  <c:v>53017</c:v>
                </c:pt>
                <c:pt idx="1536">
                  <c:v>-10576</c:v>
                </c:pt>
                <c:pt idx="1537">
                  <c:v>-18051</c:v>
                </c:pt>
                <c:pt idx="1538">
                  <c:v>-8247</c:v>
                </c:pt>
                <c:pt idx="1539">
                  <c:v>910</c:v>
                </c:pt>
                <c:pt idx="1540">
                  <c:v>14960</c:v>
                </c:pt>
                <c:pt idx="1541">
                  <c:v>21664</c:v>
                </c:pt>
                <c:pt idx="1542">
                  <c:v>20126</c:v>
                </c:pt>
                <c:pt idx="1543">
                  <c:v>14623</c:v>
                </c:pt>
                <c:pt idx="1544">
                  <c:v>16725</c:v>
                </c:pt>
                <c:pt idx="1545">
                  <c:v>28215</c:v>
                </c:pt>
                <c:pt idx="1546">
                  <c:v>29792</c:v>
                </c:pt>
                <c:pt idx="1547">
                  <c:v>35449</c:v>
                </c:pt>
                <c:pt idx="1548">
                  <c:v>32726</c:v>
                </c:pt>
                <c:pt idx="1549">
                  <c:v>-26381</c:v>
                </c:pt>
                <c:pt idx="1550">
                  <c:v>-26870</c:v>
                </c:pt>
                <c:pt idx="1551">
                  <c:v>-13980</c:v>
                </c:pt>
                <c:pt idx="1552">
                  <c:v>-14418</c:v>
                </c:pt>
                <c:pt idx="1553">
                  <c:v>-23238</c:v>
                </c:pt>
                <c:pt idx="1554">
                  <c:v>-30760</c:v>
                </c:pt>
                <c:pt idx="1555">
                  <c:v>-29898</c:v>
                </c:pt>
                <c:pt idx="1556">
                  <c:v>-23053</c:v>
                </c:pt>
                <c:pt idx="1557">
                  <c:v>-27621</c:v>
                </c:pt>
                <c:pt idx="1558">
                  <c:v>-21371</c:v>
                </c:pt>
                <c:pt idx="1559">
                  <c:v>-31316</c:v>
                </c:pt>
                <c:pt idx="1560">
                  <c:v>-29030</c:v>
                </c:pt>
                <c:pt idx="1561">
                  <c:v>-29460</c:v>
                </c:pt>
                <c:pt idx="1562">
                  <c:v>-25381</c:v>
                </c:pt>
              </c:numCache>
            </c:numRef>
          </c:val>
          <c:extLst>
            <c:ext xmlns:c16="http://schemas.microsoft.com/office/drawing/2014/chart" uri="{C3380CC4-5D6E-409C-BE32-E72D297353CC}">
              <c16:uniqueId val="{00000000-72AD-4742-82D3-8AB64B4B8E3B}"/>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areaChart>
        <c:grouping val="stacked"/>
        <c:varyColors val="0"/>
        <c:ser>
          <c:idx val="19"/>
          <c:order val="0"/>
          <c:tx>
            <c:strRef>
              <c:f>Database!$J$1</c:f>
              <c:strCache>
                <c:ptCount val="1"/>
                <c:pt idx="0">
                  <c:v>NZD</c:v>
                </c:pt>
              </c:strCache>
            </c:strRef>
          </c:tx>
          <c:spPr>
            <a:ln>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Database!$J$2:$J$1564</c:f>
              <c:numCache>
                <c:formatCode>General</c:formatCode>
                <c:ptCount val="1563"/>
                <c:pt idx="581">
                  <c:v>3693</c:v>
                </c:pt>
                <c:pt idx="619">
                  <c:v>2890</c:v>
                </c:pt>
                <c:pt idx="628">
                  <c:v>5649</c:v>
                </c:pt>
                <c:pt idx="629">
                  <c:v>7518</c:v>
                </c:pt>
                <c:pt idx="630">
                  <c:v>6978</c:v>
                </c:pt>
                <c:pt idx="631">
                  <c:v>7027</c:v>
                </c:pt>
                <c:pt idx="632">
                  <c:v>7785</c:v>
                </c:pt>
                <c:pt idx="633">
                  <c:v>7776</c:v>
                </c:pt>
                <c:pt idx="634">
                  <c:v>7198</c:v>
                </c:pt>
                <c:pt idx="635">
                  <c:v>3181</c:v>
                </c:pt>
                <c:pt idx="648">
                  <c:v>5933</c:v>
                </c:pt>
                <c:pt idx="651">
                  <c:v>5392</c:v>
                </c:pt>
                <c:pt idx="652">
                  <c:v>5352</c:v>
                </c:pt>
                <c:pt idx="671">
                  <c:v>4581</c:v>
                </c:pt>
                <c:pt idx="673">
                  <c:v>4877</c:v>
                </c:pt>
                <c:pt idx="674">
                  <c:v>5251</c:v>
                </c:pt>
                <c:pt idx="675">
                  <c:v>5465</c:v>
                </c:pt>
                <c:pt idx="679">
                  <c:v>5084</c:v>
                </c:pt>
                <c:pt idx="680">
                  <c:v>5700</c:v>
                </c:pt>
                <c:pt idx="687">
                  <c:v>6711</c:v>
                </c:pt>
                <c:pt idx="688">
                  <c:v>6007</c:v>
                </c:pt>
                <c:pt idx="690">
                  <c:v>4441</c:v>
                </c:pt>
                <c:pt idx="691">
                  <c:v>4837</c:v>
                </c:pt>
                <c:pt idx="692">
                  <c:v>3744</c:v>
                </c:pt>
                <c:pt idx="693">
                  <c:v>4827</c:v>
                </c:pt>
                <c:pt idx="694">
                  <c:v>3849</c:v>
                </c:pt>
                <c:pt idx="695">
                  <c:v>3774</c:v>
                </c:pt>
                <c:pt idx="696">
                  <c:v>4101</c:v>
                </c:pt>
                <c:pt idx="697">
                  <c:v>4011</c:v>
                </c:pt>
                <c:pt idx="698">
                  <c:v>3623</c:v>
                </c:pt>
                <c:pt idx="699">
                  <c:v>2900</c:v>
                </c:pt>
                <c:pt idx="700">
                  <c:v>2846</c:v>
                </c:pt>
                <c:pt idx="701">
                  <c:v>2603</c:v>
                </c:pt>
                <c:pt idx="702">
                  <c:v>1737</c:v>
                </c:pt>
                <c:pt idx="703">
                  <c:v>899</c:v>
                </c:pt>
                <c:pt idx="704">
                  <c:v>388</c:v>
                </c:pt>
                <c:pt idx="705">
                  <c:v>2336</c:v>
                </c:pt>
                <c:pt idx="706">
                  <c:v>4472</c:v>
                </c:pt>
                <c:pt idx="707">
                  <c:v>4808</c:v>
                </c:pt>
                <c:pt idx="708">
                  <c:v>6203</c:v>
                </c:pt>
                <c:pt idx="709">
                  <c:v>6886</c:v>
                </c:pt>
                <c:pt idx="710">
                  <c:v>7366</c:v>
                </c:pt>
                <c:pt idx="711">
                  <c:v>7267</c:v>
                </c:pt>
                <c:pt idx="712">
                  <c:v>2828</c:v>
                </c:pt>
                <c:pt idx="713">
                  <c:v>2158</c:v>
                </c:pt>
                <c:pt idx="714">
                  <c:v>2313</c:v>
                </c:pt>
                <c:pt idx="718">
                  <c:v>-943</c:v>
                </c:pt>
                <c:pt idx="719">
                  <c:v>3568</c:v>
                </c:pt>
                <c:pt idx="720">
                  <c:v>5445</c:v>
                </c:pt>
                <c:pt idx="721">
                  <c:v>8203</c:v>
                </c:pt>
                <c:pt idx="722">
                  <c:v>6945</c:v>
                </c:pt>
                <c:pt idx="723">
                  <c:v>13262</c:v>
                </c:pt>
                <c:pt idx="724">
                  <c:v>11491</c:v>
                </c:pt>
                <c:pt idx="725">
                  <c:v>10516</c:v>
                </c:pt>
                <c:pt idx="726">
                  <c:v>11043</c:v>
                </c:pt>
                <c:pt idx="727">
                  <c:v>9511</c:v>
                </c:pt>
                <c:pt idx="728">
                  <c:v>12882</c:v>
                </c:pt>
                <c:pt idx="729">
                  <c:v>12673</c:v>
                </c:pt>
                <c:pt idx="730">
                  <c:v>7775</c:v>
                </c:pt>
                <c:pt idx="731">
                  <c:v>10109</c:v>
                </c:pt>
                <c:pt idx="732">
                  <c:v>13802</c:v>
                </c:pt>
                <c:pt idx="733">
                  <c:v>15235</c:v>
                </c:pt>
                <c:pt idx="734">
                  <c:v>12257</c:v>
                </c:pt>
                <c:pt idx="735">
                  <c:v>13919</c:v>
                </c:pt>
                <c:pt idx="736">
                  <c:v>10295</c:v>
                </c:pt>
                <c:pt idx="737">
                  <c:v>12846</c:v>
                </c:pt>
                <c:pt idx="738">
                  <c:v>12923</c:v>
                </c:pt>
                <c:pt idx="739">
                  <c:v>14470</c:v>
                </c:pt>
                <c:pt idx="740">
                  <c:v>16567</c:v>
                </c:pt>
                <c:pt idx="741">
                  <c:v>17889</c:v>
                </c:pt>
                <c:pt idx="742">
                  <c:v>17589</c:v>
                </c:pt>
                <c:pt idx="743">
                  <c:v>18352</c:v>
                </c:pt>
                <c:pt idx="744">
                  <c:v>14618</c:v>
                </c:pt>
                <c:pt idx="745">
                  <c:v>13401</c:v>
                </c:pt>
                <c:pt idx="746">
                  <c:v>10195</c:v>
                </c:pt>
                <c:pt idx="747">
                  <c:v>8121</c:v>
                </c:pt>
                <c:pt idx="748">
                  <c:v>10121</c:v>
                </c:pt>
                <c:pt idx="749">
                  <c:v>12473</c:v>
                </c:pt>
                <c:pt idx="750">
                  <c:v>15868</c:v>
                </c:pt>
                <c:pt idx="751">
                  <c:v>16506</c:v>
                </c:pt>
                <c:pt idx="752">
                  <c:v>14289</c:v>
                </c:pt>
                <c:pt idx="753">
                  <c:v>14762</c:v>
                </c:pt>
                <c:pt idx="754">
                  <c:v>18856</c:v>
                </c:pt>
                <c:pt idx="755">
                  <c:v>22788</c:v>
                </c:pt>
                <c:pt idx="756">
                  <c:v>22525</c:v>
                </c:pt>
                <c:pt idx="757">
                  <c:v>20067</c:v>
                </c:pt>
                <c:pt idx="758">
                  <c:v>23097</c:v>
                </c:pt>
                <c:pt idx="759">
                  <c:v>21103</c:v>
                </c:pt>
                <c:pt idx="760">
                  <c:v>17523</c:v>
                </c:pt>
                <c:pt idx="761">
                  <c:v>15255</c:v>
                </c:pt>
                <c:pt idx="762">
                  <c:v>19239</c:v>
                </c:pt>
                <c:pt idx="763">
                  <c:v>15807</c:v>
                </c:pt>
                <c:pt idx="764">
                  <c:v>14911</c:v>
                </c:pt>
                <c:pt idx="765">
                  <c:v>19918</c:v>
                </c:pt>
                <c:pt idx="766">
                  <c:v>26396</c:v>
                </c:pt>
                <c:pt idx="767">
                  <c:v>24316</c:v>
                </c:pt>
                <c:pt idx="768">
                  <c:v>23874</c:v>
                </c:pt>
                <c:pt idx="769">
                  <c:v>22894</c:v>
                </c:pt>
                <c:pt idx="770">
                  <c:v>23250</c:v>
                </c:pt>
                <c:pt idx="771">
                  <c:v>24386</c:v>
                </c:pt>
                <c:pt idx="772">
                  <c:v>27844</c:v>
                </c:pt>
                <c:pt idx="773">
                  <c:v>14264</c:v>
                </c:pt>
                <c:pt idx="774">
                  <c:v>16660</c:v>
                </c:pt>
                <c:pt idx="775">
                  <c:v>14037</c:v>
                </c:pt>
                <c:pt idx="776">
                  <c:v>8885</c:v>
                </c:pt>
                <c:pt idx="777">
                  <c:v>3825</c:v>
                </c:pt>
                <c:pt idx="778">
                  <c:v>6343</c:v>
                </c:pt>
                <c:pt idx="779">
                  <c:v>9674</c:v>
                </c:pt>
                <c:pt idx="780">
                  <c:v>11172</c:v>
                </c:pt>
                <c:pt idx="781">
                  <c:v>12722</c:v>
                </c:pt>
                <c:pt idx="782">
                  <c:v>18494</c:v>
                </c:pt>
                <c:pt idx="783">
                  <c:v>21085</c:v>
                </c:pt>
                <c:pt idx="784">
                  <c:v>22385</c:v>
                </c:pt>
                <c:pt idx="785">
                  <c:v>19451</c:v>
                </c:pt>
                <c:pt idx="786">
                  <c:v>14668</c:v>
                </c:pt>
                <c:pt idx="787">
                  <c:v>13381</c:v>
                </c:pt>
                <c:pt idx="788">
                  <c:v>10423</c:v>
                </c:pt>
                <c:pt idx="789">
                  <c:v>7054</c:v>
                </c:pt>
                <c:pt idx="790">
                  <c:v>6859</c:v>
                </c:pt>
                <c:pt idx="791">
                  <c:v>10999</c:v>
                </c:pt>
                <c:pt idx="792">
                  <c:v>11341</c:v>
                </c:pt>
                <c:pt idx="793">
                  <c:v>9626</c:v>
                </c:pt>
                <c:pt idx="794">
                  <c:v>12247</c:v>
                </c:pt>
                <c:pt idx="795">
                  <c:v>13965</c:v>
                </c:pt>
                <c:pt idx="796">
                  <c:v>13503</c:v>
                </c:pt>
                <c:pt idx="797">
                  <c:v>15749</c:v>
                </c:pt>
                <c:pt idx="798">
                  <c:v>11455</c:v>
                </c:pt>
                <c:pt idx="799">
                  <c:v>10722</c:v>
                </c:pt>
                <c:pt idx="800">
                  <c:v>14789</c:v>
                </c:pt>
                <c:pt idx="801">
                  <c:v>15979</c:v>
                </c:pt>
                <c:pt idx="802">
                  <c:v>15127</c:v>
                </c:pt>
                <c:pt idx="803">
                  <c:v>15533</c:v>
                </c:pt>
                <c:pt idx="804">
                  <c:v>13631</c:v>
                </c:pt>
                <c:pt idx="805">
                  <c:v>12396</c:v>
                </c:pt>
                <c:pt idx="806">
                  <c:v>10378</c:v>
                </c:pt>
                <c:pt idx="807">
                  <c:v>9451</c:v>
                </c:pt>
                <c:pt idx="808">
                  <c:v>7454</c:v>
                </c:pt>
                <c:pt idx="809">
                  <c:v>8372</c:v>
                </c:pt>
                <c:pt idx="810">
                  <c:v>6594</c:v>
                </c:pt>
                <c:pt idx="811">
                  <c:v>7894</c:v>
                </c:pt>
                <c:pt idx="812">
                  <c:v>5489</c:v>
                </c:pt>
                <c:pt idx="813">
                  <c:v>6337</c:v>
                </c:pt>
                <c:pt idx="814">
                  <c:v>3444</c:v>
                </c:pt>
                <c:pt idx="815">
                  <c:v>4541</c:v>
                </c:pt>
                <c:pt idx="816">
                  <c:v>4964</c:v>
                </c:pt>
                <c:pt idx="817">
                  <c:v>6328</c:v>
                </c:pt>
                <c:pt idx="818">
                  <c:v>3200</c:v>
                </c:pt>
                <c:pt idx="819">
                  <c:v>1566</c:v>
                </c:pt>
                <c:pt idx="820">
                  <c:v>2650</c:v>
                </c:pt>
                <c:pt idx="821">
                  <c:v>3166</c:v>
                </c:pt>
                <c:pt idx="822">
                  <c:v>2141</c:v>
                </c:pt>
                <c:pt idx="823">
                  <c:v>5327</c:v>
                </c:pt>
                <c:pt idx="824">
                  <c:v>4984</c:v>
                </c:pt>
                <c:pt idx="825">
                  <c:v>1584</c:v>
                </c:pt>
                <c:pt idx="826">
                  <c:v>-1381</c:v>
                </c:pt>
                <c:pt idx="827">
                  <c:v>-1451</c:v>
                </c:pt>
                <c:pt idx="828">
                  <c:v>-597</c:v>
                </c:pt>
                <c:pt idx="829">
                  <c:v>-463</c:v>
                </c:pt>
                <c:pt idx="830">
                  <c:v>-1814</c:v>
                </c:pt>
                <c:pt idx="831">
                  <c:v>-2950</c:v>
                </c:pt>
                <c:pt idx="832">
                  <c:v>-3900</c:v>
                </c:pt>
                <c:pt idx="833">
                  <c:v>-4586</c:v>
                </c:pt>
                <c:pt idx="834">
                  <c:v>-4781</c:v>
                </c:pt>
                <c:pt idx="835">
                  <c:v>-4478</c:v>
                </c:pt>
                <c:pt idx="836">
                  <c:v>-4560</c:v>
                </c:pt>
                <c:pt idx="837">
                  <c:v>-4171</c:v>
                </c:pt>
                <c:pt idx="838">
                  <c:v>-2447</c:v>
                </c:pt>
                <c:pt idx="839">
                  <c:v>-932</c:v>
                </c:pt>
                <c:pt idx="840">
                  <c:v>-1366</c:v>
                </c:pt>
                <c:pt idx="841">
                  <c:v>-1641</c:v>
                </c:pt>
                <c:pt idx="842">
                  <c:v>-2378</c:v>
                </c:pt>
                <c:pt idx="843">
                  <c:v>-2562</c:v>
                </c:pt>
                <c:pt idx="844">
                  <c:v>-2293</c:v>
                </c:pt>
                <c:pt idx="845">
                  <c:v>-1535</c:v>
                </c:pt>
                <c:pt idx="846">
                  <c:v>-1200</c:v>
                </c:pt>
                <c:pt idx="847">
                  <c:v>-1009</c:v>
                </c:pt>
                <c:pt idx="848">
                  <c:v>248</c:v>
                </c:pt>
                <c:pt idx="849">
                  <c:v>-193</c:v>
                </c:pt>
                <c:pt idx="850">
                  <c:v>-1937</c:v>
                </c:pt>
                <c:pt idx="851">
                  <c:v>-4297</c:v>
                </c:pt>
                <c:pt idx="852">
                  <c:v>-5978</c:v>
                </c:pt>
                <c:pt idx="853">
                  <c:v>-4339</c:v>
                </c:pt>
                <c:pt idx="854">
                  <c:v>-4582</c:v>
                </c:pt>
                <c:pt idx="855">
                  <c:v>-5930</c:v>
                </c:pt>
                <c:pt idx="856">
                  <c:v>-6768</c:v>
                </c:pt>
                <c:pt idx="857">
                  <c:v>-7979</c:v>
                </c:pt>
                <c:pt idx="858">
                  <c:v>-6080</c:v>
                </c:pt>
                <c:pt idx="859">
                  <c:v>-2885</c:v>
                </c:pt>
                <c:pt idx="860">
                  <c:v>-939</c:v>
                </c:pt>
                <c:pt idx="861">
                  <c:v>2968</c:v>
                </c:pt>
                <c:pt idx="862">
                  <c:v>4360</c:v>
                </c:pt>
                <c:pt idx="863">
                  <c:v>3505</c:v>
                </c:pt>
                <c:pt idx="864">
                  <c:v>3648</c:v>
                </c:pt>
                <c:pt idx="865">
                  <c:v>3809</c:v>
                </c:pt>
                <c:pt idx="866">
                  <c:v>6258</c:v>
                </c:pt>
                <c:pt idx="867">
                  <c:v>6819</c:v>
                </c:pt>
                <c:pt idx="868">
                  <c:v>12532</c:v>
                </c:pt>
                <c:pt idx="869">
                  <c:v>14132</c:v>
                </c:pt>
                <c:pt idx="870">
                  <c:v>14773</c:v>
                </c:pt>
                <c:pt idx="871">
                  <c:v>15460</c:v>
                </c:pt>
                <c:pt idx="872">
                  <c:v>16956</c:v>
                </c:pt>
                <c:pt idx="873">
                  <c:v>17683</c:v>
                </c:pt>
                <c:pt idx="874">
                  <c:v>15357</c:v>
                </c:pt>
                <c:pt idx="875">
                  <c:v>14969</c:v>
                </c:pt>
                <c:pt idx="876">
                  <c:v>16183</c:v>
                </c:pt>
                <c:pt idx="877">
                  <c:v>17567</c:v>
                </c:pt>
                <c:pt idx="878">
                  <c:v>18200</c:v>
                </c:pt>
                <c:pt idx="879">
                  <c:v>18811</c:v>
                </c:pt>
                <c:pt idx="880">
                  <c:v>17436</c:v>
                </c:pt>
                <c:pt idx="881">
                  <c:v>18649</c:v>
                </c:pt>
                <c:pt idx="882">
                  <c:v>17664</c:v>
                </c:pt>
                <c:pt idx="883">
                  <c:v>18123</c:v>
                </c:pt>
                <c:pt idx="884">
                  <c:v>18995</c:v>
                </c:pt>
                <c:pt idx="885">
                  <c:v>18645</c:v>
                </c:pt>
                <c:pt idx="886">
                  <c:v>17503</c:v>
                </c:pt>
                <c:pt idx="887">
                  <c:v>18093</c:v>
                </c:pt>
                <c:pt idx="888">
                  <c:v>17630</c:v>
                </c:pt>
                <c:pt idx="889">
                  <c:v>17158</c:v>
                </c:pt>
                <c:pt idx="890">
                  <c:v>15028</c:v>
                </c:pt>
                <c:pt idx="891">
                  <c:v>13316</c:v>
                </c:pt>
                <c:pt idx="892">
                  <c:v>11255</c:v>
                </c:pt>
                <c:pt idx="893">
                  <c:v>12674</c:v>
                </c:pt>
                <c:pt idx="894">
                  <c:v>11584</c:v>
                </c:pt>
                <c:pt idx="895">
                  <c:v>8103</c:v>
                </c:pt>
                <c:pt idx="896">
                  <c:v>7795</c:v>
                </c:pt>
                <c:pt idx="897">
                  <c:v>9452</c:v>
                </c:pt>
                <c:pt idx="898">
                  <c:v>9746</c:v>
                </c:pt>
                <c:pt idx="899">
                  <c:v>8805</c:v>
                </c:pt>
                <c:pt idx="900">
                  <c:v>12973</c:v>
                </c:pt>
                <c:pt idx="901">
                  <c:v>15683</c:v>
                </c:pt>
                <c:pt idx="902">
                  <c:v>16356</c:v>
                </c:pt>
                <c:pt idx="903">
                  <c:v>8471</c:v>
                </c:pt>
                <c:pt idx="904">
                  <c:v>5383</c:v>
                </c:pt>
                <c:pt idx="905">
                  <c:v>4723</c:v>
                </c:pt>
                <c:pt idx="906">
                  <c:v>7435</c:v>
                </c:pt>
                <c:pt idx="907">
                  <c:v>6392</c:v>
                </c:pt>
                <c:pt idx="908">
                  <c:v>5112</c:v>
                </c:pt>
                <c:pt idx="909">
                  <c:v>3247</c:v>
                </c:pt>
                <c:pt idx="910">
                  <c:v>2809</c:v>
                </c:pt>
                <c:pt idx="911">
                  <c:v>5489</c:v>
                </c:pt>
                <c:pt idx="912">
                  <c:v>5806</c:v>
                </c:pt>
                <c:pt idx="913">
                  <c:v>5503</c:v>
                </c:pt>
                <c:pt idx="914">
                  <c:v>7151</c:v>
                </c:pt>
                <c:pt idx="915">
                  <c:v>8752</c:v>
                </c:pt>
                <c:pt idx="916">
                  <c:v>12909</c:v>
                </c:pt>
                <c:pt idx="917">
                  <c:v>14976</c:v>
                </c:pt>
                <c:pt idx="918">
                  <c:v>16892</c:v>
                </c:pt>
                <c:pt idx="919">
                  <c:v>12553</c:v>
                </c:pt>
                <c:pt idx="920">
                  <c:v>7662</c:v>
                </c:pt>
                <c:pt idx="921">
                  <c:v>2204</c:v>
                </c:pt>
                <c:pt idx="922">
                  <c:v>-869</c:v>
                </c:pt>
                <c:pt idx="923">
                  <c:v>-2129</c:v>
                </c:pt>
                <c:pt idx="924">
                  <c:v>822</c:v>
                </c:pt>
                <c:pt idx="925">
                  <c:v>2486</c:v>
                </c:pt>
                <c:pt idx="926">
                  <c:v>2577</c:v>
                </c:pt>
                <c:pt idx="927">
                  <c:v>5452</c:v>
                </c:pt>
                <c:pt idx="928">
                  <c:v>8973</c:v>
                </c:pt>
                <c:pt idx="929">
                  <c:v>13674</c:v>
                </c:pt>
                <c:pt idx="930">
                  <c:v>15059</c:v>
                </c:pt>
                <c:pt idx="931">
                  <c:v>12544</c:v>
                </c:pt>
                <c:pt idx="932">
                  <c:v>12139</c:v>
                </c:pt>
                <c:pt idx="933">
                  <c:v>10683</c:v>
                </c:pt>
                <c:pt idx="934">
                  <c:v>6957</c:v>
                </c:pt>
                <c:pt idx="935">
                  <c:v>9377</c:v>
                </c:pt>
                <c:pt idx="936">
                  <c:v>16839</c:v>
                </c:pt>
                <c:pt idx="937">
                  <c:v>18408</c:v>
                </c:pt>
                <c:pt idx="938">
                  <c:v>17270</c:v>
                </c:pt>
                <c:pt idx="939">
                  <c:v>16334</c:v>
                </c:pt>
                <c:pt idx="940">
                  <c:v>16573</c:v>
                </c:pt>
                <c:pt idx="941">
                  <c:v>15331</c:v>
                </c:pt>
                <c:pt idx="942">
                  <c:v>15871</c:v>
                </c:pt>
                <c:pt idx="943">
                  <c:v>19148</c:v>
                </c:pt>
                <c:pt idx="944">
                  <c:v>22250</c:v>
                </c:pt>
                <c:pt idx="945">
                  <c:v>23445</c:v>
                </c:pt>
                <c:pt idx="946">
                  <c:v>21069</c:v>
                </c:pt>
                <c:pt idx="947">
                  <c:v>18445</c:v>
                </c:pt>
                <c:pt idx="948">
                  <c:v>18261</c:v>
                </c:pt>
                <c:pt idx="949">
                  <c:v>12521</c:v>
                </c:pt>
                <c:pt idx="950">
                  <c:v>7366</c:v>
                </c:pt>
                <c:pt idx="951">
                  <c:v>8115</c:v>
                </c:pt>
                <c:pt idx="952">
                  <c:v>10731</c:v>
                </c:pt>
                <c:pt idx="953">
                  <c:v>9620</c:v>
                </c:pt>
                <c:pt idx="954">
                  <c:v>11247</c:v>
                </c:pt>
                <c:pt idx="955">
                  <c:v>8627</c:v>
                </c:pt>
                <c:pt idx="956">
                  <c:v>10270</c:v>
                </c:pt>
                <c:pt idx="957">
                  <c:v>10857</c:v>
                </c:pt>
                <c:pt idx="958">
                  <c:v>9810</c:v>
                </c:pt>
                <c:pt idx="959">
                  <c:v>8101</c:v>
                </c:pt>
                <c:pt idx="960">
                  <c:v>7411</c:v>
                </c:pt>
                <c:pt idx="961">
                  <c:v>4346</c:v>
                </c:pt>
                <c:pt idx="962">
                  <c:v>-2809</c:v>
                </c:pt>
                <c:pt idx="963">
                  <c:v>-1482</c:v>
                </c:pt>
                <c:pt idx="964">
                  <c:v>239</c:v>
                </c:pt>
                <c:pt idx="965">
                  <c:v>2695</c:v>
                </c:pt>
                <c:pt idx="966">
                  <c:v>6336</c:v>
                </c:pt>
                <c:pt idx="967">
                  <c:v>9339</c:v>
                </c:pt>
                <c:pt idx="968">
                  <c:v>11457</c:v>
                </c:pt>
                <c:pt idx="969">
                  <c:v>12800</c:v>
                </c:pt>
                <c:pt idx="970">
                  <c:v>13714</c:v>
                </c:pt>
                <c:pt idx="971">
                  <c:v>12624</c:v>
                </c:pt>
                <c:pt idx="972">
                  <c:v>13876</c:v>
                </c:pt>
                <c:pt idx="973">
                  <c:v>15724</c:v>
                </c:pt>
                <c:pt idx="974">
                  <c:v>16004</c:v>
                </c:pt>
                <c:pt idx="975">
                  <c:v>19218</c:v>
                </c:pt>
                <c:pt idx="976">
                  <c:v>18849</c:v>
                </c:pt>
                <c:pt idx="977">
                  <c:v>18364</c:v>
                </c:pt>
                <c:pt idx="978">
                  <c:v>18986</c:v>
                </c:pt>
                <c:pt idx="979">
                  <c:v>19584</c:v>
                </c:pt>
                <c:pt idx="980">
                  <c:v>21438</c:v>
                </c:pt>
                <c:pt idx="981">
                  <c:v>23291</c:v>
                </c:pt>
                <c:pt idx="982">
                  <c:v>24126</c:v>
                </c:pt>
                <c:pt idx="983">
                  <c:v>20427</c:v>
                </c:pt>
                <c:pt idx="984">
                  <c:v>18417</c:v>
                </c:pt>
                <c:pt idx="985">
                  <c:v>16876</c:v>
                </c:pt>
                <c:pt idx="986">
                  <c:v>16565</c:v>
                </c:pt>
                <c:pt idx="987">
                  <c:v>17670</c:v>
                </c:pt>
                <c:pt idx="988">
                  <c:v>17664</c:v>
                </c:pt>
                <c:pt idx="989">
                  <c:v>13565</c:v>
                </c:pt>
                <c:pt idx="990">
                  <c:v>9591</c:v>
                </c:pt>
                <c:pt idx="991">
                  <c:v>5566</c:v>
                </c:pt>
                <c:pt idx="992">
                  <c:v>6838</c:v>
                </c:pt>
                <c:pt idx="993">
                  <c:v>8225</c:v>
                </c:pt>
                <c:pt idx="994">
                  <c:v>9219</c:v>
                </c:pt>
                <c:pt idx="995">
                  <c:v>10655</c:v>
                </c:pt>
                <c:pt idx="996">
                  <c:v>11550</c:v>
                </c:pt>
                <c:pt idx="997">
                  <c:v>10614</c:v>
                </c:pt>
                <c:pt idx="998">
                  <c:v>7916</c:v>
                </c:pt>
                <c:pt idx="999">
                  <c:v>3718</c:v>
                </c:pt>
                <c:pt idx="1000">
                  <c:v>3857</c:v>
                </c:pt>
                <c:pt idx="1001">
                  <c:v>5383</c:v>
                </c:pt>
                <c:pt idx="1002">
                  <c:v>612</c:v>
                </c:pt>
                <c:pt idx="1003">
                  <c:v>1405</c:v>
                </c:pt>
                <c:pt idx="1004">
                  <c:v>2436</c:v>
                </c:pt>
                <c:pt idx="1005">
                  <c:v>5029</c:v>
                </c:pt>
                <c:pt idx="1006">
                  <c:v>9455</c:v>
                </c:pt>
                <c:pt idx="1007">
                  <c:v>12932</c:v>
                </c:pt>
                <c:pt idx="1008">
                  <c:v>14797</c:v>
                </c:pt>
                <c:pt idx="1009">
                  <c:v>23335</c:v>
                </c:pt>
                <c:pt idx="1010">
                  <c:v>23870</c:v>
                </c:pt>
                <c:pt idx="1011">
                  <c:v>24211</c:v>
                </c:pt>
                <c:pt idx="1012">
                  <c:v>22114</c:v>
                </c:pt>
                <c:pt idx="1013">
                  <c:v>16788</c:v>
                </c:pt>
                <c:pt idx="1014">
                  <c:v>13223</c:v>
                </c:pt>
                <c:pt idx="1015">
                  <c:v>4210</c:v>
                </c:pt>
                <c:pt idx="1016">
                  <c:v>3984</c:v>
                </c:pt>
                <c:pt idx="1017">
                  <c:v>5846</c:v>
                </c:pt>
                <c:pt idx="1018">
                  <c:v>7170</c:v>
                </c:pt>
                <c:pt idx="1019">
                  <c:v>11939</c:v>
                </c:pt>
                <c:pt idx="1020">
                  <c:v>9486</c:v>
                </c:pt>
                <c:pt idx="1021">
                  <c:v>8025</c:v>
                </c:pt>
                <c:pt idx="1022">
                  <c:v>6224</c:v>
                </c:pt>
                <c:pt idx="1023">
                  <c:v>2597</c:v>
                </c:pt>
                <c:pt idx="1024">
                  <c:v>-1509</c:v>
                </c:pt>
                <c:pt idx="1025">
                  <c:v>-5208</c:v>
                </c:pt>
                <c:pt idx="1026">
                  <c:v>-5530</c:v>
                </c:pt>
                <c:pt idx="1027">
                  <c:v>-3885</c:v>
                </c:pt>
                <c:pt idx="1028">
                  <c:v>-2213</c:v>
                </c:pt>
                <c:pt idx="1029">
                  <c:v>576</c:v>
                </c:pt>
                <c:pt idx="1030">
                  <c:v>4320</c:v>
                </c:pt>
                <c:pt idx="1031">
                  <c:v>5591</c:v>
                </c:pt>
                <c:pt idx="1032">
                  <c:v>6939</c:v>
                </c:pt>
                <c:pt idx="1033">
                  <c:v>7779</c:v>
                </c:pt>
                <c:pt idx="1034">
                  <c:v>10347</c:v>
                </c:pt>
                <c:pt idx="1035">
                  <c:v>14588</c:v>
                </c:pt>
                <c:pt idx="1036">
                  <c:v>15247</c:v>
                </c:pt>
                <c:pt idx="1037">
                  <c:v>16372</c:v>
                </c:pt>
                <c:pt idx="1038">
                  <c:v>14229</c:v>
                </c:pt>
                <c:pt idx="1039">
                  <c:v>11401</c:v>
                </c:pt>
                <c:pt idx="1040">
                  <c:v>10032</c:v>
                </c:pt>
                <c:pt idx="1041">
                  <c:v>16605</c:v>
                </c:pt>
                <c:pt idx="1042">
                  <c:v>19965</c:v>
                </c:pt>
                <c:pt idx="1043">
                  <c:v>21381</c:v>
                </c:pt>
                <c:pt idx="1044">
                  <c:v>16710</c:v>
                </c:pt>
                <c:pt idx="1045">
                  <c:v>16284</c:v>
                </c:pt>
                <c:pt idx="1046">
                  <c:v>16349</c:v>
                </c:pt>
                <c:pt idx="1047">
                  <c:v>16745</c:v>
                </c:pt>
                <c:pt idx="1048">
                  <c:v>19388</c:v>
                </c:pt>
                <c:pt idx="1049">
                  <c:v>19194</c:v>
                </c:pt>
                <c:pt idx="1050">
                  <c:v>17858</c:v>
                </c:pt>
                <c:pt idx="1051">
                  <c:v>18710</c:v>
                </c:pt>
                <c:pt idx="1052">
                  <c:v>21088</c:v>
                </c:pt>
                <c:pt idx="1053">
                  <c:v>24600</c:v>
                </c:pt>
                <c:pt idx="1054">
                  <c:v>14230</c:v>
                </c:pt>
                <c:pt idx="1055">
                  <c:v>14739</c:v>
                </c:pt>
                <c:pt idx="1056">
                  <c:v>17082</c:v>
                </c:pt>
                <c:pt idx="1057">
                  <c:v>19220</c:v>
                </c:pt>
                <c:pt idx="1058">
                  <c:v>22262</c:v>
                </c:pt>
                <c:pt idx="1059">
                  <c:v>23532</c:v>
                </c:pt>
                <c:pt idx="1060">
                  <c:v>21816</c:v>
                </c:pt>
                <c:pt idx="1061">
                  <c:v>22700</c:v>
                </c:pt>
                <c:pt idx="1062">
                  <c:v>21338</c:v>
                </c:pt>
                <c:pt idx="1063">
                  <c:v>24693</c:v>
                </c:pt>
                <c:pt idx="1064">
                  <c:v>20297</c:v>
                </c:pt>
                <c:pt idx="1065">
                  <c:v>19044</c:v>
                </c:pt>
                <c:pt idx="1066">
                  <c:v>19350</c:v>
                </c:pt>
                <c:pt idx="1067">
                  <c:v>12477</c:v>
                </c:pt>
                <c:pt idx="1068">
                  <c:v>16916</c:v>
                </c:pt>
                <c:pt idx="1069">
                  <c:v>18387</c:v>
                </c:pt>
                <c:pt idx="1070">
                  <c:v>25150</c:v>
                </c:pt>
                <c:pt idx="1071">
                  <c:v>30808</c:v>
                </c:pt>
                <c:pt idx="1072">
                  <c:v>27705</c:v>
                </c:pt>
                <c:pt idx="1073">
                  <c:v>29050</c:v>
                </c:pt>
                <c:pt idx="1074">
                  <c:v>28536</c:v>
                </c:pt>
                <c:pt idx="1075">
                  <c:v>23216</c:v>
                </c:pt>
                <c:pt idx="1076">
                  <c:v>17782</c:v>
                </c:pt>
                <c:pt idx="1077">
                  <c:v>14011</c:v>
                </c:pt>
                <c:pt idx="1078">
                  <c:v>6013</c:v>
                </c:pt>
                <c:pt idx="1079">
                  <c:v>2653</c:v>
                </c:pt>
                <c:pt idx="1080">
                  <c:v>2126</c:v>
                </c:pt>
                <c:pt idx="1081">
                  <c:v>-711</c:v>
                </c:pt>
                <c:pt idx="1082">
                  <c:v>-1174</c:v>
                </c:pt>
                <c:pt idx="1083">
                  <c:v>-1008</c:v>
                </c:pt>
                <c:pt idx="1084">
                  <c:v>-2744</c:v>
                </c:pt>
                <c:pt idx="1085">
                  <c:v>-1846</c:v>
                </c:pt>
                <c:pt idx="1086">
                  <c:v>-520</c:v>
                </c:pt>
                <c:pt idx="1087">
                  <c:v>-1539</c:v>
                </c:pt>
                <c:pt idx="1088">
                  <c:v>197</c:v>
                </c:pt>
                <c:pt idx="1089">
                  <c:v>2390</c:v>
                </c:pt>
                <c:pt idx="1090">
                  <c:v>252</c:v>
                </c:pt>
                <c:pt idx="1091">
                  <c:v>-797</c:v>
                </c:pt>
                <c:pt idx="1092">
                  <c:v>-601</c:v>
                </c:pt>
                <c:pt idx="1093">
                  <c:v>5657</c:v>
                </c:pt>
                <c:pt idx="1094">
                  <c:v>8055</c:v>
                </c:pt>
                <c:pt idx="1095">
                  <c:v>10891</c:v>
                </c:pt>
                <c:pt idx="1096">
                  <c:v>10766</c:v>
                </c:pt>
                <c:pt idx="1097">
                  <c:v>12668</c:v>
                </c:pt>
                <c:pt idx="1098">
                  <c:v>13114</c:v>
                </c:pt>
                <c:pt idx="1099">
                  <c:v>10625</c:v>
                </c:pt>
                <c:pt idx="1100">
                  <c:v>9708</c:v>
                </c:pt>
                <c:pt idx="1101">
                  <c:v>10366</c:v>
                </c:pt>
                <c:pt idx="1102">
                  <c:v>12476</c:v>
                </c:pt>
                <c:pt idx="1103">
                  <c:v>10249</c:v>
                </c:pt>
                <c:pt idx="1104">
                  <c:v>7639</c:v>
                </c:pt>
                <c:pt idx="1105">
                  <c:v>8553</c:v>
                </c:pt>
                <c:pt idx="1106">
                  <c:v>5673</c:v>
                </c:pt>
                <c:pt idx="1107">
                  <c:v>6456</c:v>
                </c:pt>
                <c:pt idx="1108">
                  <c:v>6707</c:v>
                </c:pt>
                <c:pt idx="1109">
                  <c:v>7866</c:v>
                </c:pt>
                <c:pt idx="1110">
                  <c:v>9614</c:v>
                </c:pt>
                <c:pt idx="1111">
                  <c:v>8556</c:v>
                </c:pt>
                <c:pt idx="1112">
                  <c:v>9685</c:v>
                </c:pt>
                <c:pt idx="1113">
                  <c:v>8032</c:v>
                </c:pt>
                <c:pt idx="1114">
                  <c:v>7641</c:v>
                </c:pt>
                <c:pt idx="1115">
                  <c:v>8906</c:v>
                </c:pt>
                <c:pt idx="1116">
                  <c:v>10982</c:v>
                </c:pt>
                <c:pt idx="1117">
                  <c:v>13432</c:v>
                </c:pt>
                <c:pt idx="1118">
                  <c:v>14449</c:v>
                </c:pt>
                <c:pt idx="1119">
                  <c:v>15751</c:v>
                </c:pt>
                <c:pt idx="1120">
                  <c:v>18213</c:v>
                </c:pt>
                <c:pt idx="1121">
                  <c:v>18480</c:v>
                </c:pt>
                <c:pt idx="1122">
                  <c:v>19766</c:v>
                </c:pt>
                <c:pt idx="1123">
                  <c:v>19847</c:v>
                </c:pt>
                <c:pt idx="1124">
                  <c:v>20175</c:v>
                </c:pt>
                <c:pt idx="1125">
                  <c:v>18480</c:v>
                </c:pt>
                <c:pt idx="1126">
                  <c:v>20693</c:v>
                </c:pt>
                <c:pt idx="1127">
                  <c:v>19340</c:v>
                </c:pt>
                <c:pt idx="1128">
                  <c:v>17594</c:v>
                </c:pt>
                <c:pt idx="1129">
                  <c:v>17944</c:v>
                </c:pt>
                <c:pt idx="1130">
                  <c:v>17531</c:v>
                </c:pt>
                <c:pt idx="1131">
                  <c:v>16855</c:v>
                </c:pt>
                <c:pt idx="1132">
                  <c:v>3733</c:v>
                </c:pt>
                <c:pt idx="1133">
                  <c:v>6152</c:v>
                </c:pt>
                <c:pt idx="1134">
                  <c:v>8985</c:v>
                </c:pt>
                <c:pt idx="1135">
                  <c:v>14416</c:v>
                </c:pt>
                <c:pt idx="1136">
                  <c:v>15453</c:v>
                </c:pt>
                <c:pt idx="1137">
                  <c:v>15132</c:v>
                </c:pt>
                <c:pt idx="1138">
                  <c:v>15289</c:v>
                </c:pt>
                <c:pt idx="1139">
                  <c:v>14500</c:v>
                </c:pt>
                <c:pt idx="1140">
                  <c:v>13429</c:v>
                </c:pt>
                <c:pt idx="1141">
                  <c:v>12032</c:v>
                </c:pt>
                <c:pt idx="1142">
                  <c:v>11841</c:v>
                </c:pt>
                <c:pt idx="1143">
                  <c:v>10172</c:v>
                </c:pt>
                <c:pt idx="1144">
                  <c:v>9522</c:v>
                </c:pt>
                <c:pt idx="1145">
                  <c:v>1120</c:v>
                </c:pt>
                <c:pt idx="1146">
                  <c:v>1841</c:v>
                </c:pt>
                <c:pt idx="1147">
                  <c:v>64</c:v>
                </c:pt>
                <c:pt idx="1148">
                  <c:v>-100</c:v>
                </c:pt>
                <c:pt idx="1149">
                  <c:v>-2384</c:v>
                </c:pt>
                <c:pt idx="1150">
                  <c:v>-2332</c:v>
                </c:pt>
                <c:pt idx="1151">
                  <c:v>-3898</c:v>
                </c:pt>
                <c:pt idx="1152">
                  <c:v>-4109</c:v>
                </c:pt>
                <c:pt idx="1153">
                  <c:v>-989</c:v>
                </c:pt>
                <c:pt idx="1154">
                  <c:v>-1247</c:v>
                </c:pt>
                <c:pt idx="1155">
                  <c:v>-2294</c:v>
                </c:pt>
                <c:pt idx="1156">
                  <c:v>-1680</c:v>
                </c:pt>
                <c:pt idx="1157">
                  <c:v>-2295</c:v>
                </c:pt>
                <c:pt idx="1158">
                  <c:v>-639</c:v>
                </c:pt>
                <c:pt idx="1159">
                  <c:v>-1408</c:v>
                </c:pt>
                <c:pt idx="1160">
                  <c:v>-1846</c:v>
                </c:pt>
                <c:pt idx="1161">
                  <c:v>-907</c:v>
                </c:pt>
                <c:pt idx="1162">
                  <c:v>-1776</c:v>
                </c:pt>
                <c:pt idx="1163">
                  <c:v>-1817</c:v>
                </c:pt>
                <c:pt idx="1164">
                  <c:v>-3659</c:v>
                </c:pt>
                <c:pt idx="1165">
                  <c:v>-4497</c:v>
                </c:pt>
                <c:pt idx="1166">
                  <c:v>-6200</c:v>
                </c:pt>
                <c:pt idx="1167">
                  <c:v>-5753</c:v>
                </c:pt>
                <c:pt idx="1168">
                  <c:v>-4330</c:v>
                </c:pt>
                <c:pt idx="1169">
                  <c:v>-1367</c:v>
                </c:pt>
                <c:pt idx="1170">
                  <c:v>-2480</c:v>
                </c:pt>
                <c:pt idx="1171">
                  <c:v>-1141</c:v>
                </c:pt>
                <c:pt idx="1172">
                  <c:v>-866</c:v>
                </c:pt>
                <c:pt idx="1173">
                  <c:v>4031</c:v>
                </c:pt>
                <c:pt idx="1174">
                  <c:v>5778</c:v>
                </c:pt>
                <c:pt idx="1175">
                  <c:v>6003</c:v>
                </c:pt>
                <c:pt idx="1176">
                  <c:v>8488</c:v>
                </c:pt>
                <c:pt idx="1177">
                  <c:v>10180</c:v>
                </c:pt>
                <c:pt idx="1178">
                  <c:v>9064</c:v>
                </c:pt>
                <c:pt idx="1179">
                  <c:v>1770</c:v>
                </c:pt>
                <c:pt idx="1180">
                  <c:v>-2231</c:v>
                </c:pt>
                <c:pt idx="1181">
                  <c:v>-5087</c:v>
                </c:pt>
                <c:pt idx="1182">
                  <c:v>-10539</c:v>
                </c:pt>
                <c:pt idx="1183">
                  <c:v>-11795</c:v>
                </c:pt>
                <c:pt idx="1184">
                  <c:v>-9168</c:v>
                </c:pt>
                <c:pt idx="1185">
                  <c:v>-13563</c:v>
                </c:pt>
                <c:pt idx="1186">
                  <c:v>-16066</c:v>
                </c:pt>
                <c:pt idx="1187">
                  <c:v>-18348</c:v>
                </c:pt>
                <c:pt idx="1188">
                  <c:v>-19654</c:v>
                </c:pt>
                <c:pt idx="1189">
                  <c:v>-15954</c:v>
                </c:pt>
                <c:pt idx="1190">
                  <c:v>-12765</c:v>
                </c:pt>
                <c:pt idx="1191">
                  <c:v>-11899</c:v>
                </c:pt>
                <c:pt idx="1192">
                  <c:v>-10572</c:v>
                </c:pt>
                <c:pt idx="1193">
                  <c:v>-9957</c:v>
                </c:pt>
                <c:pt idx="1194">
                  <c:v>-6063</c:v>
                </c:pt>
                <c:pt idx="1195">
                  <c:v>-8279</c:v>
                </c:pt>
                <c:pt idx="1196">
                  <c:v>-11820</c:v>
                </c:pt>
                <c:pt idx="1197">
                  <c:v>-2094</c:v>
                </c:pt>
                <c:pt idx="1198">
                  <c:v>-3529</c:v>
                </c:pt>
                <c:pt idx="1199">
                  <c:v>-3062</c:v>
                </c:pt>
                <c:pt idx="1200">
                  <c:v>-971</c:v>
                </c:pt>
                <c:pt idx="1201">
                  <c:v>692</c:v>
                </c:pt>
                <c:pt idx="1202">
                  <c:v>3759</c:v>
                </c:pt>
                <c:pt idx="1203">
                  <c:v>5589</c:v>
                </c:pt>
                <c:pt idx="1204">
                  <c:v>6618</c:v>
                </c:pt>
                <c:pt idx="1205">
                  <c:v>5564</c:v>
                </c:pt>
                <c:pt idx="1206">
                  <c:v>5248</c:v>
                </c:pt>
                <c:pt idx="1207">
                  <c:v>4010</c:v>
                </c:pt>
                <c:pt idx="1208">
                  <c:v>4757</c:v>
                </c:pt>
                <c:pt idx="1209">
                  <c:v>8881</c:v>
                </c:pt>
                <c:pt idx="1210">
                  <c:v>1119</c:v>
                </c:pt>
                <c:pt idx="1211">
                  <c:v>-221</c:v>
                </c:pt>
                <c:pt idx="1212">
                  <c:v>-146</c:v>
                </c:pt>
                <c:pt idx="1213">
                  <c:v>1579</c:v>
                </c:pt>
                <c:pt idx="1214">
                  <c:v>1541</c:v>
                </c:pt>
                <c:pt idx="1215">
                  <c:v>-2954</c:v>
                </c:pt>
                <c:pt idx="1216">
                  <c:v>-5400</c:v>
                </c:pt>
                <c:pt idx="1217">
                  <c:v>-8436</c:v>
                </c:pt>
                <c:pt idx="1218">
                  <c:v>-9139</c:v>
                </c:pt>
                <c:pt idx="1219">
                  <c:v>-8317</c:v>
                </c:pt>
                <c:pt idx="1220">
                  <c:v>-6615</c:v>
                </c:pt>
                <c:pt idx="1221">
                  <c:v>-4157</c:v>
                </c:pt>
                <c:pt idx="1222">
                  <c:v>-2000</c:v>
                </c:pt>
                <c:pt idx="1223">
                  <c:v>1290</c:v>
                </c:pt>
                <c:pt idx="1224">
                  <c:v>1017</c:v>
                </c:pt>
                <c:pt idx="1225">
                  <c:v>1874</c:v>
                </c:pt>
                <c:pt idx="1226">
                  <c:v>2903</c:v>
                </c:pt>
                <c:pt idx="1227">
                  <c:v>4292</c:v>
                </c:pt>
                <c:pt idx="1228">
                  <c:v>5351</c:v>
                </c:pt>
                <c:pt idx="1229">
                  <c:v>7384</c:v>
                </c:pt>
                <c:pt idx="1230">
                  <c:v>9200</c:v>
                </c:pt>
                <c:pt idx="1231">
                  <c:v>9352</c:v>
                </c:pt>
                <c:pt idx="1232">
                  <c:v>6688</c:v>
                </c:pt>
                <c:pt idx="1233">
                  <c:v>4576</c:v>
                </c:pt>
                <c:pt idx="1234">
                  <c:v>5504</c:v>
                </c:pt>
                <c:pt idx="1235">
                  <c:v>8536</c:v>
                </c:pt>
                <c:pt idx="1236">
                  <c:v>-3818</c:v>
                </c:pt>
                <c:pt idx="1237">
                  <c:v>-3045</c:v>
                </c:pt>
                <c:pt idx="1238">
                  <c:v>-2826</c:v>
                </c:pt>
                <c:pt idx="1239">
                  <c:v>-1403</c:v>
                </c:pt>
                <c:pt idx="1240">
                  <c:v>1011</c:v>
                </c:pt>
                <c:pt idx="1241">
                  <c:v>2173</c:v>
                </c:pt>
                <c:pt idx="1242">
                  <c:v>215</c:v>
                </c:pt>
                <c:pt idx="1243">
                  <c:v>217</c:v>
                </c:pt>
                <c:pt idx="1244">
                  <c:v>-613</c:v>
                </c:pt>
                <c:pt idx="1245">
                  <c:v>-695</c:v>
                </c:pt>
                <c:pt idx="1246">
                  <c:v>-878</c:v>
                </c:pt>
                <c:pt idx="1247">
                  <c:v>1893</c:v>
                </c:pt>
                <c:pt idx="1248">
                  <c:v>6128</c:v>
                </c:pt>
                <c:pt idx="1249">
                  <c:v>5129</c:v>
                </c:pt>
                <c:pt idx="1250">
                  <c:v>-7916</c:v>
                </c:pt>
                <c:pt idx="1251">
                  <c:v>-6793</c:v>
                </c:pt>
                <c:pt idx="1252">
                  <c:v>-7830</c:v>
                </c:pt>
                <c:pt idx="1253">
                  <c:v>-7736</c:v>
                </c:pt>
                <c:pt idx="1254">
                  <c:v>-153</c:v>
                </c:pt>
                <c:pt idx="1255">
                  <c:v>-420</c:v>
                </c:pt>
                <c:pt idx="1256">
                  <c:v>-965</c:v>
                </c:pt>
                <c:pt idx="1257">
                  <c:v>2505</c:v>
                </c:pt>
                <c:pt idx="1258">
                  <c:v>2043</c:v>
                </c:pt>
                <c:pt idx="1259">
                  <c:v>-533</c:v>
                </c:pt>
                <c:pt idx="1260">
                  <c:v>-1872</c:v>
                </c:pt>
                <c:pt idx="1261">
                  <c:v>-3952</c:v>
                </c:pt>
                <c:pt idx="1262">
                  <c:v>-3702</c:v>
                </c:pt>
                <c:pt idx="1263">
                  <c:v>-6953</c:v>
                </c:pt>
                <c:pt idx="1264">
                  <c:v>-11001</c:v>
                </c:pt>
                <c:pt idx="1265">
                  <c:v>-11413</c:v>
                </c:pt>
                <c:pt idx="1266">
                  <c:v>-13960</c:v>
                </c:pt>
                <c:pt idx="1267">
                  <c:v>-12288</c:v>
                </c:pt>
                <c:pt idx="1268">
                  <c:v>-9883</c:v>
                </c:pt>
                <c:pt idx="1269">
                  <c:v>-1022</c:v>
                </c:pt>
                <c:pt idx="1270">
                  <c:v>1845</c:v>
                </c:pt>
                <c:pt idx="1271">
                  <c:v>2876</c:v>
                </c:pt>
                <c:pt idx="1272">
                  <c:v>3158</c:v>
                </c:pt>
                <c:pt idx="1273">
                  <c:v>2937</c:v>
                </c:pt>
                <c:pt idx="1274">
                  <c:v>-4425</c:v>
                </c:pt>
                <c:pt idx="1275">
                  <c:v>-5605</c:v>
                </c:pt>
                <c:pt idx="1276">
                  <c:v>-12610</c:v>
                </c:pt>
                <c:pt idx="1277">
                  <c:v>-12629</c:v>
                </c:pt>
                <c:pt idx="1278">
                  <c:v>-14724</c:v>
                </c:pt>
                <c:pt idx="1279">
                  <c:v>-15153</c:v>
                </c:pt>
                <c:pt idx="1280">
                  <c:v>-15006</c:v>
                </c:pt>
                <c:pt idx="1281">
                  <c:v>-15404</c:v>
                </c:pt>
                <c:pt idx="1282">
                  <c:v>-11970</c:v>
                </c:pt>
                <c:pt idx="1283">
                  <c:v>-10786</c:v>
                </c:pt>
                <c:pt idx="1284">
                  <c:v>-11954</c:v>
                </c:pt>
                <c:pt idx="1285">
                  <c:v>-9217</c:v>
                </c:pt>
                <c:pt idx="1286">
                  <c:v>-5539</c:v>
                </c:pt>
                <c:pt idx="1287">
                  <c:v>-1785</c:v>
                </c:pt>
                <c:pt idx="1288">
                  <c:v>1595</c:v>
                </c:pt>
                <c:pt idx="1289">
                  <c:v>21455</c:v>
                </c:pt>
                <c:pt idx="1290">
                  <c:v>25233</c:v>
                </c:pt>
                <c:pt idx="1291">
                  <c:v>29133</c:v>
                </c:pt>
                <c:pt idx="1292">
                  <c:v>31905</c:v>
                </c:pt>
                <c:pt idx="1293">
                  <c:v>35981</c:v>
                </c:pt>
                <c:pt idx="1294">
                  <c:v>34805</c:v>
                </c:pt>
                <c:pt idx="1295">
                  <c:v>34938</c:v>
                </c:pt>
                <c:pt idx="1296">
                  <c:v>33485</c:v>
                </c:pt>
                <c:pt idx="1297">
                  <c:v>24839</c:v>
                </c:pt>
                <c:pt idx="1298">
                  <c:v>21882</c:v>
                </c:pt>
                <c:pt idx="1299">
                  <c:v>18804</c:v>
                </c:pt>
                <c:pt idx="1300">
                  <c:v>14723</c:v>
                </c:pt>
                <c:pt idx="1301">
                  <c:v>12350</c:v>
                </c:pt>
                <c:pt idx="1302">
                  <c:v>6670</c:v>
                </c:pt>
                <c:pt idx="1303">
                  <c:v>8053</c:v>
                </c:pt>
                <c:pt idx="1304">
                  <c:v>8118</c:v>
                </c:pt>
                <c:pt idx="1305">
                  <c:v>5729</c:v>
                </c:pt>
                <c:pt idx="1306">
                  <c:v>6977</c:v>
                </c:pt>
                <c:pt idx="1307">
                  <c:v>611</c:v>
                </c:pt>
                <c:pt idx="1308">
                  <c:v>-5707</c:v>
                </c:pt>
                <c:pt idx="1309">
                  <c:v>-11187</c:v>
                </c:pt>
                <c:pt idx="1310">
                  <c:v>-11891</c:v>
                </c:pt>
                <c:pt idx="1311">
                  <c:v>-13394</c:v>
                </c:pt>
                <c:pt idx="1312">
                  <c:v>-14022</c:v>
                </c:pt>
                <c:pt idx="1313">
                  <c:v>-12893</c:v>
                </c:pt>
                <c:pt idx="1314">
                  <c:v>-13428</c:v>
                </c:pt>
                <c:pt idx="1315">
                  <c:v>-16619</c:v>
                </c:pt>
                <c:pt idx="1316">
                  <c:v>-17586</c:v>
                </c:pt>
                <c:pt idx="1317">
                  <c:v>-16985</c:v>
                </c:pt>
                <c:pt idx="1318">
                  <c:v>-11017</c:v>
                </c:pt>
                <c:pt idx="1319">
                  <c:v>-7991</c:v>
                </c:pt>
                <c:pt idx="1320">
                  <c:v>-1466</c:v>
                </c:pt>
                <c:pt idx="1321">
                  <c:v>3470</c:v>
                </c:pt>
                <c:pt idx="1322">
                  <c:v>3332</c:v>
                </c:pt>
                <c:pt idx="1323">
                  <c:v>2220</c:v>
                </c:pt>
                <c:pt idx="1324">
                  <c:v>944</c:v>
                </c:pt>
                <c:pt idx="1325">
                  <c:v>-991</c:v>
                </c:pt>
                <c:pt idx="1326">
                  <c:v>30</c:v>
                </c:pt>
                <c:pt idx="1327">
                  <c:v>-2816</c:v>
                </c:pt>
                <c:pt idx="1328">
                  <c:v>19626</c:v>
                </c:pt>
                <c:pt idx="1329">
                  <c:v>18239</c:v>
                </c:pt>
                <c:pt idx="1330">
                  <c:v>18377</c:v>
                </c:pt>
                <c:pt idx="1331">
                  <c:v>22827</c:v>
                </c:pt>
                <c:pt idx="1332">
                  <c:v>27603</c:v>
                </c:pt>
                <c:pt idx="1333">
                  <c:v>24434</c:v>
                </c:pt>
                <c:pt idx="1334">
                  <c:v>16573</c:v>
                </c:pt>
                <c:pt idx="1335">
                  <c:v>12546</c:v>
                </c:pt>
                <c:pt idx="1336">
                  <c:v>1953</c:v>
                </c:pt>
                <c:pt idx="1337">
                  <c:v>-1363</c:v>
                </c:pt>
                <c:pt idx="1338">
                  <c:v>1401</c:v>
                </c:pt>
                <c:pt idx="1339">
                  <c:v>4383</c:v>
                </c:pt>
                <c:pt idx="1340">
                  <c:v>7006</c:v>
                </c:pt>
                <c:pt idx="1341">
                  <c:v>-15940</c:v>
                </c:pt>
                <c:pt idx="1342">
                  <c:v>-17562</c:v>
                </c:pt>
                <c:pt idx="1343">
                  <c:v>-26404</c:v>
                </c:pt>
                <c:pt idx="1344">
                  <c:v>-26574</c:v>
                </c:pt>
                <c:pt idx="1345">
                  <c:v>-25067</c:v>
                </c:pt>
                <c:pt idx="1346">
                  <c:v>-24370</c:v>
                </c:pt>
                <c:pt idx="1347">
                  <c:v>-23680</c:v>
                </c:pt>
                <c:pt idx="1348">
                  <c:v>-24527</c:v>
                </c:pt>
                <c:pt idx="1349">
                  <c:v>-26693</c:v>
                </c:pt>
                <c:pt idx="1350">
                  <c:v>-25143</c:v>
                </c:pt>
                <c:pt idx="1351">
                  <c:v>-23927</c:v>
                </c:pt>
                <c:pt idx="1352">
                  <c:v>-24894</c:v>
                </c:pt>
                <c:pt idx="1353">
                  <c:v>-22647</c:v>
                </c:pt>
                <c:pt idx="1354">
                  <c:v>-31989</c:v>
                </c:pt>
                <c:pt idx="1355">
                  <c:v>-31835</c:v>
                </c:pt>
                <c:pt idx="1356">
                  <c:v>-30596</c:v>
                </c:pt>
                <c:pt idx="1357">
                  <c:v>-33820</c:v>
                </c:pt>
                <c:pt idx="1358">
                  <c:v>-35412</c:v>
                </c:pt>
                <c:pt idx="1359">
                  <c:v>-33048</c:v>
                </c:pt>
                <c:pt idx="1360">
                  <c:v>-35031</c:v>
                </c:pt>
                <c:pt idx="1361">
                  <c:v>-25726</c:v>
                </c:pt>
                <c:pt idx="1362">
                  <c:v>-20868</c:v>
                </c:pt>
                <c:pt idx="1363">
                  <c:v>-19347</c:v>
                </c:pt>
                <c:pt idx="1364">
                  <c:v>-20540</c:v>
                </c:pt>
                <c:pt idx="1365">
                  <c:v>-21297</c:v>
                </c:pt>
                <c:pt idx="1366">
                  <c:v>-15241</c:v>
                </c:pt>
                <c:pt idx="1367">
                  <c:v>3411</c:v>
                </c:pt>
                <c:pt idx="1368">
                  <c:v>1940</c:v>
                </c:pt>
                <c:pt idx="1369">
                  <c:v>1962</c:v>
                </c:pt>
                <c:pt idx="1370">
                  <c:v>-1538</c:v>
                </c:pt>
                <c:pt idx="1371">
                  <c:v>-2940</c:v>
                </c:pt>
                <c:pt idx="1372">
                  <c:v>-4589</c:v>
                </c:pt>
                <c:pt idx="1373">
                  <c:v>-2816</c:v>
                </c:pt>
                <c:pt idx="1374">
                  <c:v>547</c:v>
                </c:pt>
                <c:pt idx="1375">
                  <c:v>-1123</c:v>
                </c:pt>
                <c:pt idx="1376">
                  <c:v>-740</c:v>
                </c:pt>
                <c:pt idx="1377">
                  <c:v>914</c:v>
                </c:pt>
                <c:pt idx="1378">
                  <c:v>1421</c:v>
                </c:pt>
                <c:pt idx="1379">
                  <c:v>4597</c:v>
                </c:pt>
                <c:pt idx="1380">
                  <c:v>-1124</c:v>
                </c:pt>
                <c:pt idx="1381">
                  <c:v>-202</c:v>
                </c:pt>
                <c:pt idx="1382">
                  <c:v>-405</c:v>
                </c:pt>
                <c:pt idx="1383">
                  <c:v>-1483</c:v>
                </c:pt>
                <c:pt idx="1384">
                  <c:v>-3221</c:v>
                </c:pt>
                <c:pt idx="1385">
                  <c:v>-5450</c:v>
                </c:pt>
                <c:pt idx="1386">
                  <c:v>-11460</c:v>
                </c:pt>
                <c:pt idx="1387">
                  <c:v>-12742</c:v>
                </c:pt>
                <c:pt idx="1388">
                  <c:v>-11438</c:v>
                </c:pt>
                <c:pt idx="1389">
                  <c:v>-10864</c:v>
                </c:pt>
                <c:pt idx="1390">
                  <c:v>-16148</c:v>
                </c:pt>
                <c:pt idx="1391">
                  <c:v>-20396</c:v>
                </c:pt>
                <c:pt idx="1392">
                  <c:v>-16122</c:v>
                </c:pt>
                <c:pt idx="1393">
                  <c:v>-24468</c:v>
                </c:pt>
                <c:pt idx="1394">
                  <c:v>-24053</c:v>
                </c:pt>
                <c:pt idx="1395">
                  <c:v>-24032</c:v>
                </c:pt>
                <c:pt idx="1396">
                  <c:v>-22205</c:v>
                </c:pt>
                <c:pt idx="1397">
                  <c:v>-17319</c:v>
                </c:pt>
                <c:pt idx="1398">
                  <c:v>-12225</c:v>
                </c:pt>
                <c:pt idx="1399">
                  <c:v>-12319</c:v>
                </c:pt>
                <c:pt idx="1400">
                  <c:v>-11564</c:v>
                </c:pt>
                <c:pt idx="1401">
                  <c:v>-13447</c:v>
                </c:pt>
                <c:pt idx="1402">
                  <c:v>-18260</c:v>
                </c:pt>
                <c:pt idx="1403">
                  <c:v>-26047</c:v>
                </c:pt>
                <c:pt idx="1404">
                  <c:v>-30676</c:v>
                </c:pt>
                <c:pt idx="1405">
                  <c:v>-29790</c:v>
                </c:pt>
                <c:pt idx="1406">
                  <c:v>-36043</c:v>
                </c:pt>
                <c:pt idx="1407">
                  <c:v>-39598</c:v>
                </c:pt>
                <c:pt idx="1408">
                  <c:v>-42474</c:v>
                </c:pt>
                <c:pt idx="1409">
                  <c:v>-38217</c:v>
                </c:pt>
                <c:pt idx="1410">
                  <c:v>-40016</c:v>
                </c:pt>
                <c:pt idx="1411">
                  <c:v>-40142</c:v>
                </c:pt>
                <c:pt idx="1412">
                  <c:v>-40403</c:v>
                </c:pt>
                <c:pt idx="1413">
                  <c:v>-38965</c:v>
                </c:pt>
                <c:pt idx="1414">
                  <c:v>-36235</c:v>
                </c:pt>
                <c:pt idx="1415">
                  <c:v>-35099</c:v>
                </c:pt>
                <c:pt idx="1416">
                  <c:v>-35826</c:v>
                </c:pt>
                <c:pt idx="1417">
                  <c:v>-26992</c:v>
                </c:pt>
                <c:pt idx="1418">
                  <c:v>-25340</c:v>
                </c:pt>
                <c:pt idx="1419">
                  <c:v>-8217</c:v>
                </c:pt>
                <c:pt idx="1420">
                  <c:v>-7796</c:v>
                </c:pt>
                <c:pt idx="1421">
                  <c:v>-5058</c:v>
                </c:pt>
                <c:pt idx="1422">
                  <c:v>-1488</c:v>
                </c:pt>
                <c:pt idx="1423">
                  <c:v>-361</c:v>
                </c:pt>
                <c:pt idx="1424">
                  <c:v>1833</c:v>
                </c:pt>
                <c:pt idx="1425">
                  <c:v>2060</c:v>
                </c:pt>
                <c:pt idx="1426">
                  <c:v>-2192</c:v>
                </c:pt>
                <c:pt idx="1427">
                  <c:v>-4076</c:v>
                </c:pt>
                <c:pt idx="1428">
                  <c:v>-12187</c:v>
                </c:pt>
                <c:pt idx="1429">
                  <c:v>-15311</c:v>
                </c:pt>
                <c:pt idx="1430">
                  <c:v>-16957</c:v>
                </c:pt>
                <c:pt idx="1431">
                  <c:v>-15376</c:v>
                </c:pt>
                <c:pt idx="1432">
                  <c:v>-20275</c:v>
                </c:pt>
                <c:pt idx="1433">
                  <c:v>-16016</c:v>
                </c:pt>
                <c:pt idx="1434">
                  <c:v>-16106</c:v>
                </c:pt>
                <c:pt idx="1435">
                  <c:v>-14653</c:v>
                </c:pt>
                <c:pt idx="1436">
                  <c:v>-14578</c:v>
                </c:pt>
                <c:pt idx="1437">
                  <c:v>-14259</c:v>
                </c:pt>
                <c:pt idx="1438">
                  <c:v>-13779</c:v>
                </c:pt>
                <c:pt idx="1439">
                  <c:v>-14953</c:v>
                </c:pt>
                <c:pt idx="1440">
                  <c:v>-15878</c:v>
                </c:pt>
                <c:pt idx="1441">
                  <c:v>-15867</c:v>
                </c:pt>
                <c:pt idx="1442">
                  <c:v>-15043</c:v>
                </c:pt>
                <c:pt idx="1443">
                  <c:v>-12923</c:v>
                </c:pt>
                <c:pt idx="1444">
                  <c:v>-11241</c:v>
                </c:pt>
                <c:pt idx="1445">
                  <c:v>-1932</c:v>
                </c:pt>
                <c:pt idx="1446">
                  <c:v>-15</c:v>
                </c:pt>
                <c:pt idx="1447">
                  <c:v>356</c:v>
                </c:pt>
                <c:pt idx="1448">
                  <c:v>-317</c:v>
                </c:pt>
                <c:pt idx="1449">
                  <c:v>1117</c:v>
                </c:pt>
                <c:pt idx="1450">
                  <c:v>2475</c:v>
                </c:pt>
                <c:pt idx="1451">
                  <c:v>-845</c:v>
                </c:pt>
                <c:pt idx="1452">
                  <c:v>-1448</c:v>
                </c:pt>
                <c:pt idx="1453">
                  <c:v>-179</c:v>
                </c:pt>
                <c:pt idx="1454">
                  <c:v>3762</c:v>
                </c:pt>
                <c:pt idx="1455">
                  <c:v>4188</c:v>
                </c:pt>
                <c:pt idx="1456">
                  <c:v>6966</c:v>
                </c:pt>
                <c:pt idx="1457">
                  <c:v>4900</c:v>
                </c:pt>
                <c:pt idx="1458">
                  <c:v>3242</c:v>
                </c:pt>
                <c:pt idx="1459">
                  <c:v>4860</c:v>
                </c:pt>
                <c:pt idx="1460">
                  <c:v>3329</c:v>
                </c:pt>
                <c:pt idx="1461">
                  <c:v>5090</c:v>
                </c:pt>
                <c:pt idx="1462">
                  <c:v>6490</c:v>
                </c:pt>
                <c:pt idx="1463">
                  <c:v>6602</c:v>
                </c:pt>
                <c:pt idx="1464">
                  <c:v>6995</c:v>
                </c:pt>
                <c:pt idx="1465">
                  <c:v>7051</c:v>
                </c:pt>
                <c:pt idx="1466">
                  <c:v>7717</c:v>
                </c:pt>
                <c:pt idx="1467">
                  <c:v>8868</c:v>
                </c:pt>
                <c:pt idx="1468">
                  <c:v>8312</c:v>
                </c:pt>
                <c:pt idx="1469">
                  <c:v>9058</c:v>
                </c:pt>
                <c:pt idx="1470">
                  <c:v>10550</c:v>
                </c:pt>
                <c:pt idx="1471">
                  <c:v>14193</c:v>
                </c:pt>
                <c:pt idx="1472">
                  <c:v>13654</c:v>
                </c:pt>
                <c:pt idx="1473">
                  <c:v>12534</c:v>
                </c:pt>
                <c:pt idx="1474">
                  <c:v>11996</c:v>
                </c:pt>
                <c:pt idx="1475">
                  <c:v>14707</c:v>
                </c:pt>
                <c:pt idx="1476">
                  <c:v>15983</c:v>
                </c:pt>
                <c:pt idx="1477">
                  <c:v>14758</c:v>
                </c:pt>
                <c:pt idx="1478">
                  <c:v>11647</c:v>
                </c:pt>
                <c:pt idx="1479">
                  <c:v>11544</c:v>
                </c:pt>
                <c:pt idx="1480">
                  <c:v>13711</c:v>
                </c:pt>
                <c:pt idx="1481">
                  <c:v>14649</c:v>
                </c:pt>
                <c:pt idx="1482">
                  <c:v>16408</c:v>
                </c:pt>
                <c:pt idx="1483">
                  <c:v>17126</c:v>
                </c:pt>
                <c:pt idx="1484">
                  <c:v>6029</c:v>
                </c:pt>
                <c:pt idx="1485">
                  <c:v>4724</c:v>
                </c:pt>
                <c:pt idx="1486">
                  <c:v>4046</c:v>
                </c:pt>
                <c:pt idx="1487">
                  <c:v>3138</c:v>
                </c:pt>
                <c:pt idx="1488">
                  <c:v>2520</c:v>
                </c:pt>
                <c:pt idx="1489">
                  <c:v>4322</c:v>
                </c:pt>
                <c:pt idx="1490">
                  <c:v>6979</c:v>
                </c:pt>
                <c:pt idx="1491">
                  <c:v>8588</c:v>
                </c:pt>
                <c:pt idx="1492">
                  <c:v>9344</c:v>
                </c:pt>
                <c:pt idx="1493">
                  <c:v>8450</c:v>
                </c:pt>
                <c:pt idx="1494">
                  <c:v>8585</c:v>
                </c:pt>
                <c:pt idx="1495">
                  <c:v>5927</c:v>
                </c:pt>
                <c:pt idx="1496">
                  <c:v>5506</c:v>
                </c:pt>
                <c:pt idx="1497">
                  <c:v>3265</c:v>
                </c:pt>
                <c:pt idx="1498">
                  <c:v>3286</c:v>
                </c:pt>
                <c:pt idx="1499">
                  <c:v>3124</c:v>
                </c:pt>
                <c:pt idx="1500">
                  <c:v>1761</c:v>
                </c:pt>
                <c:pt idx="1501">
                  <c:v>3230</c:v>
                </c:pt>
                <c:pt idx="1502">
                  <c:v>3046</c:v>
                </c:pt>
                <c:pt idx="1503">
                  <c:v>1421</c:v>
                </c:pt>
                <c:pt idx="1504">
                  <c:v>-325</c:v>
                </c:pt>
                <c:pt idx="1505">
                  <c:v>-1032</c:v>
                </c:pt>
                <c:pt idx="1506">
                  <c:v>-235</c:v>
                </c:pt>
                <c:pt idx="1507">
                  <c:v>-362</c:v>
                </c:pt>
                <c:pt idx="1508">
                  <c:v>-2141</c:v>
                </c:pt>
                <c:pt idx="1509">
                  <c:v>3863</c:v>
                </c:pt>
                <c:pt idx="1510">
                  <c:v>6206</c:v>
                </c:pt>
                <c:pt idx="1511">
                  <c:v>8102</c:v>
                </c:pt>
                <c:pt idx="1512">
                  <c:v>10246</c:v>
                </c:pt>
                <c:pt idx="1513">
                  <c:v>8056</c:v>
                </c:pt>
                <c:pt idx="1514">
                  <c:v>8748</c:v>
                </c:pt>
                <c:pt idx="1515">
                  <c:v>6440</c:v>
                </c:pt>
                <c:pt idx="1516">
                  <c:v>8906</c:v>
                </c:pt>
                <c:pt idx="1517">
                  <c:v>13861</c:v>
                </c:pt>
                <c:pt idx="1518">
                  <c:v>12882</c:v>
                </c:pt>
                <c:pt idx="1519">
                  <c:v>13965</c:v>
                </c:pt>
                <c:pt idx="1520">
                  <c:v>13939</c:v>
                </c:pt>
                <c:pt idx="1521">
                  <c:v>10630</c:v>
                </c:pt>
                <c:pt idx="1522">
                  <c:v>10708</c:v>
                </c:pt>
                <c:pt idx="1523">
                  <c:v>-5861</c:v>
                </c:pt>
                <c:pt idx="1524">
                  <c:v>-6136</c:v>
                </c:pt>
                <c:pt idx="1525">
                  <c:v>-8421</c:v>
                </c:pt>
                <c:pt idx="1526">
                  <c:v>-8845</c:v>
                </c:pt>
                <c:pt idx="1527">
                  <c:v>-8604</c:v>
                </c:pt>
                <c:pt idx="1528">
                  <c:v>-8331</c:v>
                </c:pt>
                <c:pt idx="1529">
                  <c:v>-10773</c:v>
                </c:pt>
                <c:pt idx="1530">
                  <c:v>-11698</c:v>
                </c:pt>
                <c:pt idx="1531">
                  <c:v>-10366</c:v>
                </c:pt>
                <c:pt idx="1532">
                  <c:v>-9333</c:v>
                </c:pt>
                <c:pt idx="1533">
                  <c:v>-11551</c:v>
                </c:pt>
                <c:pt idx="1534">
                  <c:v>-14172</c:v>
                </c:pt>
                <c:pt idx="1535">
                  <c:v>-12379</c:v>
                </c:pt>
                <c:pt idx="1536">
                  <c:v>3653</c:v>
                </c:pt>
                <c:pt idx="1537">
                  <c:v>2520</c:v>
                </c:pt>
                <c:pt idx="1538">
                  <c:v>-867</c:v>
                </c:pt>
                <c:pt idx="1539">
                  <c:v>-1569</c:v>
                </c:pt>
                <c:pt idx="1540">
                  <c:v>-289</c:v>
                </c:pt>
                <c:pt idx="1541">
                  <c:v>365</c:v>
                </c:pt>
                <c:pt idx="1542">
                  <c:v>66</c:v>
                </c:pt>
                <c:pt idx="1543">
                  <c:v>-6610</c:v>
                </c:pt>
                <c:pt idx="1544">
                  <c:v>-12996</c:v>
                </c:pt>
                <c:pt idx="1545">
                  <c:v>-17767</c:v>
                </c:pt>
                <c:pt idx="1546">
                  <c:v>-19321</c:v>
                </c:pt>
                <c:pt idx="1547">
                  <c:v>-18724</c:v>
                </c:pt>
                <c:pt idx="1548">
                  <c:v>-19771</c:v>
                </c:pt>
                <c:pt idx="1549">
                  <c:v>-6838</c:v>
                </c:pt>
                <c:pt idx="1550">
                  <c:v>-5423</c:v>
                </c:pt>
                <c:pt idx="1551">
                  <c:v>-5311</c:v>
                </c:pt>
                <c:pt idx="1552">
                  <c:v>-7056</c:v>
                </c:pt>
                <c:pt idx="1553">
                  <c:v>-5283</c:v>
                </c:pt>
                <c:pt idx="1554">
                  <c:v>-3671</c:v>
                </c:pt>
                <c:pt idx="1555">
                  <c:v>-4186</c:v>
                </c:pt>
                <c:pt idx="1556">
                  <c:v>-1573</c:v>
                </c:pt>
                <c:pt idx="1557">
                  <c:v>-276</c:v>
                </c:pt>
                <c:pt idx="1558">
                  <c:v>1769</c:v>
                </c:pt>
                <c:pt idx="1559">
                  <c:v>-1474</c:v>
                </c:pt>
                <c:pt idx="1560">
                  <c:v>-3124</c:v>
                </c:pt>
                <c:pt idx="1561">
                  <c:v>-2746</c:v>
                </c:pt>
                <c:pt idx="1562">
                  <c:v>-5301</c:v>
                </c:pt>
              </c:numCache>
            </c:numRef>
          </c:val>
          <c:extLst>
            <c:ext xmlns:c16="http://schemas.microsoft.com/office/drawing/2014/chart" uri="{C3380CC4-5D6E-409C-BE32-E72D297353CC}">
              <c16:uniqueId val="{00000000-26DB-484F-95C4-7CFF2DA52E84}"/>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areaChart>
        <c:grouping val="stacked"/>
        <c:varyColors val="0"/>
        <c:ser>
          <c:idx val="9"/>
          <c:order val="0"/>
          <c:tx>
            <c:strRef>
              <c:f>Database!$K$1</c:f>
              <c:strCache>
                <c:ptCount val="1"/>
                <c:pt idx="0">
                  <c:v>RUB</c:v>
                </c:pt>
              </c:strCache>
            </c:strRef>
          </c:tx>
          <c:spPr>
            <a:solidFill>
              <a:schemeClr val="accent4">
                <a:lumMod val="60000"/>
              </a:schemeClr>
            </a:solidFill>
            <a:ln>
              <a:noFill/>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Database!$K$2:$K$1564</c:f>
              <c:numCache>
                <c:formatCode>General</c:formatCode>
                <c:ptCount val="1563"/>
                <c:pt idx="1317">
                  <c:v>0</c:v>
                </c:pt>
                <c:pt idx="1318">
                  <c:v>0</c:v>
                </c:pt>
                <c:pt idx="1319">
                  <c:v>0</c:v>
                </c:pt>
                <c:pt idx="1320">
                  <c:v>0</c:v>
                </c:pt>
                <c:pt idx="1321">
                  <c:v>0</c:v>
                </c:pt>
                <c:pt idx="1322">
                  <c:v>0</c:v>
                </c:pt>
                <c:pt idx="1323">
                  <c:v>0</c:v>
                </c:pt>
                <c:pt idx="1324">
                  <c:v>0</c:v>
                </c:pt>
                <c:pt idx="1325">
                  <c:v>17080</c:v>
                </c:pt>
                <c:pt idx="1326">
                  <c:v>17913</c:v>
                </c:pt>
                <c:pt idx="1327">
                  <c:v>22037</c:v>
                </c:pt>
                <c:pt idx="1328">
                  <c:v>18567</c:v>
                </c:pt>
                <c:pt idx="1329">
                  <c:v>18176</c:v>
                </c:pt>
                <c:pt idx="1330">
                  <c:v>18666</c:v>
                </c:pt>
                <c:pt idx="1331">
                  <c:v>15383</c:v>
                </c:pt>
                <c:pt idx="1332">
                  <c:v>14062</c:v>
                </c:pt>
                <c:pt idx="1333">
                  <c:v>13798</c:v>
                </c:pt>
                <c:pt idx="1334">
                  <c:v>9480</c:v>
                </c:pt>
                <c:pt idx="1335">
                  <c:v>9378</c:v>
                </c:pt>
                <c:pt idx="1336">
                  <c:v>10863</c:v>
                </c:pt>
                <c:pt idx="1337">
                  <c:v>11356</c:v>
                </c:pt>
                <c:pt idx="1338">
                  <c:v>11637</c:v>
                </c:pt>
                <c:pt idx="1339">
                  <c:v>11646</c:v>
                </c:pt>
                <c:pt idx="1340">
                  <c:v>12100</c:v>
                </c:pt>
                <c:pt idx="1341">
                  <c:v>9849</c:v>
                </c:pt>
                <c:pt idx="1342">
                  <c:v>6706</c:v>
                </c:pt>
                <c:pt idx="1343">
                  <c:v>5572</c:v>
                </c:pt>
                <c:pt idx="1344">
                  <c:v>6366</c:v>
                </c:pt>
                <c:pt idx="1345">
                  <c:v>7604</c:v>
                </c:pt>
                <c:pt idx="1346">
                  <c:v>8157</c:v>
                </c:pt>
                <c:pt idx="1347">
                  <c:v>7739</c:v>
                </c:pt>
                <c:pt idx="1348">
                  <c:v>7661</c:v>
                </c:pt>
                <c:pt idx="1349">
                  <c:v>5255</c:v>
                </c:pt>
                <c:pt idx="1350">
                  <c:v>4979</c:v>
                </c:pt>
                <c:pt idx="1351">
                  <c:v>5049</c:v>
                </c:pt>
                <c:pt idx="1352">
                  <c:v>4727</c:v>
                </c:pt>
                <c:pt idx="1353">
                  <c:v>2894</c:v>
                </c:pt>
                <c:pt idx="1354">
                  <c:v>-3830</c:v>
                </c:pt>
                <c:pt idx="1355">
                  <c:v>-4215</c:v>
                </c:pt>
                <c:pt idx="1356">
                  <c:v>-118</c:v>
                </c:pt>
                <c:pt idx="1357">
                  <c:v>2645</c:v>
                </c:pt>
                <c:pt idx="1358">
                  <c:v>2831</c:v>
                </c:pt>
                <c:pt idx="1359">
                  <c:v>2563</c:v>
                </c:pt>
                <c:pt idx="1360">
                  <c:v>2572</c:v>
                </c:pt>
                <c:pt idx="1361">
                  <c:v>4558</c:v>
                </c:pt>
                <c:pt idx="1362">
                  <c:v>9996</c:v>
                </c:pt>
                <c:pt idx="1363">
                  <c:v>9716</c:v>
                </c:pt>
                <c:pt idx="1364">
                  <c:v>10212</c:v>
                </c:pt>
                <c:pt idx="1365">
                  <c:v>10358</c:v>
                </c:pt>
                <c:pt idx="1366">
                  <c:v>10763</c:v>
                </c:pt>
                <c:pt idx="1367">
                  <c:v>19686</c:v>
                </c:pt>
                <c:pt idx="1368">
                  <c:v>15569</c:v>
                </c:pt>
                <c:pt idx="1369">
                  <c:v>12949</c:v>
                </c:pt>
                <c:pt idx="1370">
                  <c:v>2467</c:v>
                </c:pt>
                <c:pt idx="1371">
                  <c:v>1415</c:v>
                </c:pt>
                <c:pt idx="1372">
                  <c:v>5909</c:v>
                </c:pt>
                <c:pt idx="1373">
                  <c:v>11311</c:v>
                </c:pt>
                <c:pt idx="1374">
                  <c:v>15633</c:v>
                </c:pt>
                <c:pt idx="1375">
                  <c:v>18338</c:v>
                </c:pt>
                <c:pt idx="1376">
                  <c:v>19047</c:v>
                </c:pt>
                <c:pt idx="1377">
                  <c:v>19563</c:v>
                </c:pt>
                <c:pt idx="1378">
                  <c:v>19536</c:v>
                </c:pt>
                <c:pt idx="1379">
                  <c:v>22577</c:v>
                </c:pt>
                <c:pt idx="1380">
                  <c:v>30134</c:v>
                </c:pt>
                <c:pt idx="1381">
                  <c:v>33340</c:v>
                </c:pt>
                <c:pt idx="1382">
                  <c:v>34012</c:v>
                </c:pt>
                <c:pt idx="1383">
                  <c:v>33198</c:v>
                </c:pt>
                <c:pt idx="1384">
                  <c:v>34298</c:v>
                </c:pt>
                <c:pt idx="1385">
                  <c:v>36073</c:v>
                </c:pt>
                <c:pt idx="1386">
                  <c:v>33594</c:v>
                </c:pt>
                <c:pt idx="1387">
                  <c:v>36589</c:v>
                </c:pt>
                <c:pt idx="1388">
                  <c:v>35799</c:v>
                </c:pt>
                <c:pt idx="1389">
                  <c:v>36163</c:v>
                </c:pt>
                <c:pt idx="1390">
                  <c:v>33501</c:v>
                </c:pt>
                <c:pt idx="1391">
                  <c:v>34414</c:v>
                </c:pt>
                <c:pt idx="1392">
                  <c:v>33174</c:v>
                </c:pt>
                <c:pt idx="1393">
                  <c:v>27750</c:v>
                </c:pt>
                <c:pt idx="1394">
                  <c:v>28733</c:v>
                </c:pt>
                <c:pt idx="1395">
                  <c:v>32046</c:v>
                </c:pt>
                <c:pt idx="1396">
                  <c:v>32455</c:v>
                </c:pt>
                <c:pt idx="1397">
                  <c:v>32133</c:v>
                </c:pt>
                <c:pt idx="1398">
                  <c:v>32920</c:v>
                </c:pt>
                <c:pt idx="1399">
                  <c:v>33412</c:v>
                </c:pt>
                <c:pt idx="1400">
                  <c:v>33276</c:v>
                </c:pt>
                <c:pt idx="1401">
                  <c:v>31259</c:v>
                </c:pt>
                <c:pt idx="1402">
                  <c:v>27108</c:v>
                </c:pt>
                <c:pt idx="1403">
                  <c:v>27249</c:v>
                </c:pt>
                <c:pt idx="1404">
                  <c:v>27465</c:v>
                </c:pt>
                <c:pt idx="1405">
                  <c:v>27903</c:v>
                </c:pt>
                <c:pt idx="1406">
                  <c:v>23551</c:v>
                </c:pt>
                <c:pt idx="1407">
                  <c:v>24612</c:v>
                </c:pt>
                <c:pt idx="1408">
                  <c:v>26262</c:v>
                </c:pt>
                <c:pt idx="1409">
                  <c:v>28378</c:v>
                </c:pt>
                <c:pt idx="1410">
                  <c:v>25086</c:v>
                </c:pt>
                <c:pt idx="1411">
                  <c:v>24981</c:v>
                </c:pt>
                <c:pt idx="1412">
                  <c:v>25776</c:v>
                </c:pt>
                <c:pt idx="1413">
                  <c:v>25705</c:v>
                </c:pt>
                <c:pt idx="1414">
                  <c:v>26327</c:v>
                </c:pt>
                <c:pt idx="1415">
                  <c:v>25753</c:v>
                </c:pt>
                <c:pt idx="1416">
                  <c:v>27334</c:v>
                </c:pt>
                <c:pt idx="1417">
                  <c:v>27957</c:v>
                </c:pt>
                <c:pt idx="1418">
                  <c:v>27190</c:v>
                </c:pt>
                <c:pt idx="1419">
                  <c:v>30341</c:v>
                </c:pt>
                <c:pt idx="1420">
                  <c:v>29211</c:v>
                </c:pt>
                <c:pt idx="1421">
                  <c:v>29007</c:v>
                </c:pt>
                <c:pt idx="1422">
                  <c:v>28790</c:v>
                </c:pt>
                <c:pt idx="1423">
                  <c:v>28882</c:v>
                </c:pt>
                <c:pt idx="1424">
                  <c:v>29690</c:v>
                </c:pt>
                <c:pt idx="1425">
                  <c:v>29147</c:v>
                </c:pt>
                <c:pt idx="1426">
                  <c:v>26415</c:v>
                </c:pt>
                <c:pt idx="1427">
                  <c:v>26936</c:v>
                </c:pt>
                <c:pt idx="1428">
                  <c:v>27022</c:v>
                </c:pt>
                <c:pt idx="1429">
                  <c:v>25959</c:v>
                </c:pt>
                <c:pt idx="1430">
                  <c:v>27699</c:v>
                </c:pt>
                <c:pt idx="1431">
                  <c:v>26473</c:v>
                </c:pt>
                <c:pt idx="1432">
                  <c:v>4126</c:v>
                </c:pt>
                <c:pt idx="1433">
                  <c:v>4966</c:v>
                </c:pt>
                <c:pt idx="1434">
                  <c:v>4154</c:v>
                </c:pt>
                <c:pt idx="1435">
                  <c:v>5287</c:v>
                </c:pt>
                <c:pt idx="1436">
                  <c:v>3812</c:v>
                </c:pt>
                <c:pt idx="1437">
                  <c:v>4220</c:v>
                </c:pt>
                <c:pt idx="1438">
                  <c:v>5567</c:v>
                </c:pt>
                <c:pt idx="1439">
                  <c:v>4061</c:v>
                </c:pt>
                <c:pt idx="1440">
                  <c:v>6458</c:v>
                </c:pt>
                <c:pt idx="1441">
                  <c:v>5510</c:v>
                </c:pt>
                <c:pt idx="1442">
                  <c:v>7201</c:v>
                </c:pt>
                <c:pt idx="1443">
                  <c:v>11262</c:v>
                </c:pt>
                <c:pt idx="1444">
                  <c:v>10782</c:v>
                </c:pt>
                <c:pt idx="1445">
                  <c:v>12510</c:v>
                </c:pt>
                <c:pt idx="1446">
                  <c:v>12068</c:v>
                </c:pt>
                <c:pt idx="1447">
                  <c:v>11935</c:v>
                </c:pt>
                <c:pt idx="1448">
                  <c:v>11106</c:v>
                </c:pt>
                <c:pt idx="1449">
                  <c:v>11101</c:v>
                </c:pt>
                <c:pt idx="1450">
                  <c:v>10946</c:v>
                </c:pt>
                <c:pt idx="1451">
                  <c:v>8216</c:v>
                </c:pt>
                <c:pt idx="1452">
                  <c:v>5860</c:v>
                </c:pt>
                <c:pt idx="1453">
                  <c:v>6532</c:v>
                </c:pt>
                <c:pt idx="1454">
                  <c:v>6446</c:v>
                </c:pt>
                <c:pt idx="1455">
                  <c:v>7630</c:v>
                </c:pt>
                <c:pt idx="1456">
                  <c:v>8686</c:v>
                </c:pt>
                <c:pt idx="1457">
                  <c:v>8282</c:v>
                </c:pt>
                <c:pt idx="1458">
                  <c:v>7652</c:v>
                </c:pt>
                <c:pt idx="1459">
                  <c:v>-3382</c:v>
                </c:pt>
                <c:pt idx="1460">
                  <c:v>-4923</c:v>
                </c:pt>
                <c:pt idx="1461">
                  <c:v>-4547</c:v>
                </c:pt>
                <c:pt idx="1462">
                  <c:v>-4567</c:v>
                </c:pt>
                <c:pt idx="1463">
                  <c:v>-4176</c:v>
                </c:pt>
                <c:pt idx="1464">
                  <c:v>-4124</c:v>
                </c:pt>
                <c:pt idx="1465">
                  <c:v>-5655</c:v>
                </c:pt>
                <c:pt idx="1466">
                  <c:v>-5190</c:v>
                </c:pt>
                <c:pt idx="1467">
                  <c:v>-5227</c:v>
                </c:pt>
                <c:pt idx="1468">
                  <c:v>-3884</c:v>
                </c:pt>
                <c:pt idx="1469">
                  <c:v>-3182</c:v>
                </c:pt>
                <c:pt idx="1470">
                  <c:v>-4668</c:v>
                </c:pt>
                <c:pt idx="1471">
                  <c:v>-2627</c:v>
                </c:pt>
                <c:pt idx="1472">
                  <c:v>1835</c:v>
                </c:pt>
                <c:pt idx="1473">
                  <c:v>2051</c:v>
                </c:pt>
                <c:pt idx="1474">
                  <c:v>825</c:v>
                </c:pt>
                <c:pt idx="1475">
                  <c:v>1636</c:v>
                </c:pt>
                <c:pt idx="1476">
                  <c:v>885</c:v>
                </c:pt>
                <c:pt idx="1477">
                  <c:v>-484</c:v>
                </c:pt>
                <c:pt idx="1478">
                  <c:v>-618</c:v>
                </c:pt>
                <c:pt idx="1479">
                  <c:v>-190</c:v>
                </c:pt>
                <c:pt idx="1480">
                  <c:v>-531</c:v>
                </c:pt>
                <c:pt idx="1481">
                  <c:v>-259</c:v>
                </c:pt>
                <c:pt idx="1482">
                  <c:v>-928</c:v>
                </c:pt>
                <c:pt idx="1483">
                  <c:v>-1609</c:v>
                </c:pt>
                <c:pt idx="1484">
                  <c:v>3973</c:v>
                </c:pt>
                <c:pt idx="1485">
                  <c:v>5625</c:v>
                </c:pt>
                <c:pt idx="1486">
                  <c:v>6784</c:v>
                </c:pt>
                <c:pt idx="1487">
                  <c:v>6875</c:v>
                </c:pt>
                <c:pt idx="1488">
                  <c:v>6313</c:v>
                </c:pt>
                <c:pt idx="1489">
                  <c:v>6852</c:v>
                </c:pt>
                <c:pt idx="1490">
                  <c:v>6378</c:v>
                </c:pt>
                <c:pt idx="1491">
                  <c:v>5509</c:v>
                </c:pt>
                <c:pt idx="1492">
                  <c:v>5483</c:v>
                </c:pt>
                <c:pt idx="1493">
                  <c:v>4680</c:v>
                </c:pt>
                <c:pt idx="1494">
                  <c:v>5372</c:v>
                </c:pt>
                <c:pt idx="1495">
                  <c:v>4586</c:v>
                </c:pt>
                <c:pt idx="1496">
                  <c:v>1740</c:v>
                </c:pt>
                <c:pt idx="1497">
                  <c:v>1904</c:v>
                </c:pt>
                <c:pt idx="1498">
                  <c:v>10096</c:v>
                </c:pt>
                <c:pt idx="1499">
                  <c:v>10338</c:v>
                </c:pt>
                <c:pt idx="1500">
                  <c:v>8897</c:v>
                </c:pt>
                <c:pt idx="1501">
                  <c:v>5791</c:v>
                </c:pt>
                <c:pt idx="1502">
                  <c:v>7801</c:v>
                </c:pt>
                <c:pt idx="1503">
                  <c:v>7593</c:v>
                </c:pt>
                <c:pt idx="1504">
                  <c:v>8923</c:v>
                </c:pt>
                <c:pt idx="1505">
                  <c:v>10702</c:v>
                </c:pt>
                <c:pt idx="1506">
                  <c:v>11701</c:v>
                </c:pt>
                <c:pt idx="1507">
                  <c:v>12965</c:v>
                </c:pt>
                <c:pt idx="1508">
                  <c:v>21471</c:v>
                </c:pt>
                <c:pt idx="1509">
                  <c:v>20945</c:v>
                </c:pt>
                <c:pt idx="1510">
                  <c:v>20223</c:v>
                </c:pt>
                <c:pt idx="1511">
                  <c:v>18233</c:v>
                </c:pt>
                <c:pt idx="1512">
                  <c:v>20828</c:v>
                </c:pt>
                <c:pt idx="1513">
                  <c:v>20409</c:v>
                </c:pt>
                <c:pt idx="1514">
                  <c:v>19308</c:v>
                </c:pt>
                <c:pt idx="1515">
                  <c:v>22171</c:v>
                </c:pt>
                <c:pt idx="1516">
                  <c:v>21462</c:v>
                </c:pt>
                <c:pt idx="1517">
                  <c:v>19982</c:v>
                </c:pt>
                <c:pt idx="1518">
                  <c:v>20703</c:v>
                </c:pt>
                <c:pt idx="1519">
                  <c:v>22625</c:v>
                </c:pt>
                <c:pt idx="1520">
                  <c:v>18064</c:v>
                </c:pt>
                <c:pt idx="1521">
                  <c:v>13637</c:v>
                </c:pt>
                <c:pt idx="1522">
                  <c:v>13799</c:v>
                </c:pt>
                <c:pt idx="1523">
                  <c:v>16524</c:v>
                </c:pt>
                <c:pt idx="1524">
                  <c:v>8621</c:v>
                </c:pt>
                <c:pt idx="1525">
                  <c:v>8464</c:v>
                </c:pt>
                <c:pt idx="1526">
                  <c:v>7329</c:v>
                </c:pt>
                <c:pt idx="1527">
                  <c:v>9617</c:v>
                </c:pt>
                <c:pt idx="1528">
                  <c:v>6422</c:v>
                </c:pt>
                <c:pt idx="1529">
                  <c:v>3944</c:v>
                </c:pt>
                <c:pt idx="1530">
                  <c:v>14151</c:v>
                </c:pt>
                <c:pt idx="1531">
                  <c:v>15443</c:v>
                </c:pt>
                <c:pt idx="1532">
                  <c:v>16164</c:v>
                </c:pt>
                <c:pt idx="1533">
                  <c:v>19517</c:v>
                </c:pt>
                <c:pt idx="1534">
                  <c:v>9674</c:v>
                </c:pt>
                <c:pt idx="1535">
                  <c:v>7806</c:v>
                </c:pt>
                <c:pt idx="1536">
                  <c:v>7543</c:v>
                </c:pt>
              </c:numCache>
            </c:numRef>
          </c:val>
          <c:extLst>
            <c:ext xmlns:c16="http://schemas.microsoft.com/office/drawing/2014/chart" uri="{C3380CC4-5D6E-409C-BE32-E72D297353CC}">
              <c16:uniqueId val="{00000000-776B-4B9F-98A5-0CD8D5D8CB86}"/>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0.xml"/><Relationship Id="rId3" Type="http://schemas.openxmlformats.org/officeDocument/2006/relationships/chart" Target="../charts/chart5.xml"/><Relationship Id="rId7" Type="http://schemas.openxmlformats.org/officeDocument/2006/relationships/chart" Target="../charts/chart9.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3</xdr:col>
      <xdr:colOff>350872</xdr:colOff>
      <xdr:row>1211</xdr:row>
      <xdr:rowOff>106328</xdr:rowOff>
    </xdr:from>
    <xdr:to>
      <xdr:col>16</xdr:col>
      <xdr:colOff>376272</xdr:colOff>
      <xdr:row>1239</xdr:row>
      <xdr:rowOff>49178</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357222</xdr:colOff>
      <xdr:row>1239</xdr:row>
      <xdr:rowOff>111090</xdr:rowOff>
    </xdr:from>
    <xdr:to>
      <xdr:col>16</xdr:col>
      <xdr:colOff>376272</xdr:colOff>
      <xdr:row>1266</xdr:row>
      <xdr:rowOff>61878</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304800</xdr:colOff>
      <xdr:row>32</xdr:row>
      <xdr:rowOff>165100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571500</xdr:colOff>
      <xdr:row>0</xdr:row>
      <xdr:rowOff>127000</xdr:rowOff>
    </xdr:from>
    <xdr:to>
      <xdr:col>32</xdr:col>
      <xdr:colOff>241300</xdr:colOff>
      <xdr:row>33</xdr:row>
      <xdr:rowOff>25400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38100</xdr:colOff>
      <xdr:row>33</xdr:row>
      <xdr:rowOff>88900</xdr:rowOff>
    </xdr:from>
    <xdr:to>
      <xdr:col>16</xdr:col>
      <xdr:colOff>355600</xdr:colOff>
      <xdr:row>66</xdr:row>
      <xdr:rowOff>114300</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520700</xdr:colOff>
      <xdr:row>33</xdr:row>
      <xdr:rowOff>152400</xdr:rowOff>
    </xdr:from>
    <xdr:to>
      <xdr:col>32</xdr:col>
      <xdr:colOff>254000</xdr:colOff>
      <xdr:row>67</xdr:row>
      <xdr:rowOff>101600</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12700</xdr:colOff>
      <xdr:row>67</xdr:row>
      <xdr:rowOff>76200</xdr:rowOff>
    </xdr:from>
    <xdr:to>
      <xdr:col>16</xdr:col>
      <xdr:colOff>381000</xdr:colOff>
      <xdr:row>102</xdr:row>
      <xdr:rowOff>139700</xdr:rowOff>
    </xdr:to>
    <xdr:graphicFrame macro="">
      <xdr:nvGraphicFramePr>
        <xdr:cNvPr id="6" name="Chart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495300</xdr:colOff>
      <xdr:row>68</xdr:row>
      <xdr:rowOff>25400</xdr:rowOff>
    </xdr:from>
    <xdr:to>
      <xdr:col>32</xdr:col>
      <xdr:colOff>254000</xdr:colOff>
      <xdr:row>102</xdr:row>
      <xdr:rowOff>114300</xdr:rowOff>
    </xdr:to>
    <xdr:graphicFrame macro="">
      <xdr:nvGraphicFramePr>
        <xdr:cNvPr id="7" name="Chart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635000</xdr:colOff>
      <xdr:row>103</xdr:row>
      <xdr:rowOff>88900</xdr:rowOff>
    </xdr:from>
    <xdr:to>
      <xdr:col>16</xdr:col>
      <xdr:colOff>393700</xdr:colOff>
      <xdr:row>137</xdr:row>
      <xdr:rowOff>177800</xdr:rowOff>
    </xdr:to>
    <xdr:graphicFrame macro="">
      <xdr:nvGraphicFramePr>
        <xdr:cNvPr id="8" name="Chart 7">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508000</xdr:colOff>
      <xdr:row>103</xdr:row>
      <xdr:rowOff>63500</xdr:rowOff>
    </xdr:from>
    <xdr:to>
      <xdr:col>32</xdr:col>
      <xdr:colOff>266700</xdr:colOff>
      <xdr:row>137</xdr:row>
      <xdr:rowOff>152400</xdr:rowOff>
    </xdr:to>
    <xdr:graphicFrame macro="">
      <xdr:nvGraphicFramePr>
        <xdr:cNvPr id="9" name="Chart 8">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139</xdr:row>
      <xdr:rowOff>25400</xdr:rowOff>
    </xdr:from>
    <xdr:to>
      <xdr:col>16</xdr:col>
      <xdr:colOff>457200</xdr:colOff>
      <xdr:row>173</xdr:row>
      <xdr:rowOff>114300</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571500</xdr:colOff>
      <xdr:row>139</xdr:row>
      <xdr:rowOff>0</xdr:rowOff>
    </xdr:from>
    <xdr:to>
      <xdr:col>32</xdr:col>
      <xdr:colOff>330200</xdr:colOff>
      <xdr:row>173</xdr:row>
      <xdr:rowOff>88900</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0</xdr:colOff>
      <xdr:row>175</xdr:row>
      <xdr:rowOff>25400</xdr:rowOff>
    </xdr:from>
    <xdr:to>
      <xdr:col>16</xdr:col>
      <xdr:colOff>457200</xdr:colOff>
      <xdr:row>209</xdr:row>
      <xdr:rowOff>114300</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6:B1243" totalsRowShown="0" headerRowDxfId="4" dataDxfId="2" headerRowBorderDxfId="3">
  <autoFilter ref="A6:B1243" xr:uid="{00000000-0009-0000-0100-000001000000}"/>
  <tableColumns count="2">
    <tableColumn id="1" xr3:uid="{00000000-0010-0000-0000-000001000000}" name="Date" dataDxfId="1">
      <calculatedColumnFormula>Database!A328</calculatedColumnFormula>
    </tableColumn>
    <tableColumn id="2" xr3:uid="{00000000-0010-0000-0000-000002000000}" name="COT Non-Commercial Net " dataDxfId="0">
      <calculatedColumnFormula>VLOOKUP(A7,Database!$A:$V,MATCH(Currency!$B$1,Database!$A$1:$V$1,),)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cftc.gov/MarketReports/CommitmentsofTraders/HistoricalCompressed/index.htm"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T28"/>
  <sheetViews>
    <sheetView zoomScale="140" zoomScaleNormal="140" workbookViewId="0">
      <selection activeCell="O1535" sqref="O1535"/>
    </sheetView>
  </sheetViews>
  <sheetFormatPr defaultColWidth="9.1796875" defaultRowHeight="14.5" x14ac:dyDescent="0.35"/>
  <cols>
    <col min="1" max="1" width="4" style="49" customWidth="1"/>
    <col min="2" max="5" width="12.81640625" style="49" customWidth="1"/>
    <col min="6" max="6" width="13.6328125" style="49" customWidth="1"/>
    <col min="7" max="10" width="12.81640625" style="49" customWidth="1"/>
    <col min="11" max="13" width="2" style="49" customWidth="1"/>
    <col min="14" max="14" width="11.1796875" style="49" customWidth="1"/>
    <col min="15" max="20" width="13.6328125" style="49" customWidth="1"/>
    <col min="21" max="32" width="9.1796875" style="49" customWidth="1"/>
    <col min="33" max="16384" width="9.1796875" style="49"/>
  </cols>
  <sheetData>
    <row r="1" spans="2:20" x14ac:dyDescent="0.35">
      <c r="B1" s="52"/>
      <c r="C1" s="53"/>
      <c r="D1" s="53"/>
      <c r="E1" s="53"/>
      <c r="F1" s="53"/>
      <c r="G1" s="53"/>
      <c r="H1" s="53"/>
      <c r="I1" s="53"/>
      <c r="J1" s="53"/>
    </row>
    <row r="2" spans="2:20" ht="16" customHeight="1" thickBot="1" x14ac:dyDescent="0.4">
      <c r="B2" s="54"/>
      <c r="C2" s="54"/>
      <c r="D2" s="54"/>
      <c r="E2" s="54"/>
      <c r="F2" s="54"/>
      <c r="G2" s="54"/>
      <c r="H2" s="54"/>
      <c r="I2" s="54"/>
      <c r="J2" s="54"/>
    </row>
    <row r="3" spans="2:20" ht="16" customHeight="1" thickBot="1" x14ac:dyDescent="0.4">
      <c r="B3" s="55" t="s">
        <v>0</v>
      </c>
      <c r="C3" s="56"/>
      <c r="D3" s="56"/>
      <c r="E3" s="56"/>
      <c r="F3" s="56"/>
      <c r="G3" s="56"/>
      <c r="H3" s="56"/>
      <c r="I3" s="56"/>
      <c r="J3" s="57"/>
    </row>
    <row r="5" spans="2:20" x14ac:dyDescent="0.35">
      <c r="B5" s="58" t="s">
        <v>1</v>
      </c>
      <c r="C5" s="59"/>
      <c r="D5" s="59"/>
      <c r="E5" s="59"/>
      <c r="F5" s="59"/>
      <c r="G5" s="59"/>
      <c r="H5" s="59"/>
      <c r="I5" s="59"/>
      <c r="J5" s="60"/>
    </row>
    <row r="7" spans="2:20" ht="171.75" customHeight="1" x14ac:dyDescent="0.35">
      <c r="B7" s="61" t="s">
        <v>2</v>
      </c>
      <c r="C7" s="53"/>
      <c r="D7" s="53"/>
      <c r="E7" s="53"/>
      <c r="F7" s="53"/>
      <c r="G7" s="53"/>
      <c r="H7" s="53"/>
      <c r="I7" s="53"/>
      <c r="J7" s="53"/>
    </row>
    <row r="8" spans="2:20" ht="24" customHeight="1" x14ac:dyDescent="0.35">
      <c r="B8" s="25"/>
      <c r="C8" s="50"/>
      <c r="D8" s="50"/>
      <c r="E8" s="50"/>
      <c r="F8" s="50"/>
      <c r="G8" s="50"/>
      <c r="H8" s="50"/>
      <c r="I8" s="50"/>
      <c r="J8" s="50"/>
    </row>
    <row r="9" spans="2:20" x14ac:dyDescent="0.35">
      <c r="B9" s="26"/>
      <c r="C9" s="27"/>
      <c r="D9" s="27"/>
      <c r="E9" s="27"/>
    </row>
    <row r="10" spans="2:20" x14ac:dyDescent="0.35">
      <c r="B10" s="58" t="s">
        <v>3</v>
      </c>
      <c r="C10" s="59"/>
      <c r="D10" s="59"/>
      <c r="E10" s="59"/>
      <c r="F10" s="59"/>
      <c r="G10" s="59"/>
      <c r="H10" s="59"/>
      <c r="I10" s="59"/>
      <c r="J10" s="60"/>
      <c r="N10" s="58" t="s">
        <v>4</v>
      </c>
      <c r="O10" s="59"/>
      <c r="P10" s="59"/>
      <c r="Q10" s="59"/>
      <c r="R10" s="59"/>
      <c r="S10" s="59"/>
      <c r="T10" s="60"/>
    </row>
    <row r="11" spans="2:20" x14ac:dyDescent="0.35">
      <c r="N11" s="22"/>
      <c r="T11" s="22"/>
    </row>
    <row r="12" spans="2:20" ht="16" customHeight="1" thickBot="1" x14ac:dyDescent="0.4">
      <c r="B12" s="58" t="s">
        <v>5</v>
      </c>
      <c r="C12" s="59"/>
      <c r="D12" s="59"/>
      <c r="E12" s="59"/>
      <c r="F12" s="60"/>
      <c r="G12" s="58" t="s">
        <v>6</v>
      </c>
      <c r="H12" s="59"/>
      <c r="I12" s="59"/>
      <c r="J12" s="60"/>
    </row>
    <row r="13" spans="2:20" ht="30" customHeight="1" thickBot="1" x14ac:dyDescent="0.4">
      <c r="N13" s="7"/>
      <c r="O13" s="29" t="s">
        <v>7</v>
      </c>
      <c r="P13" s="30" t="s">
        <v>8</v>
      </c>
      <c r="Q13" s="31" t="s">
        <v>9</v>
      </c>
      <c r="R13" s="32" t="s">
        <v>10</v>
      </c>
      <c r="S13" s="33" t="s">
        <v>11</v>
      </c>
      <c r="T13" s="34" t="s">
        <v>12</v>
      </c>
    </row>
    <row r="14" spans="2:20" ht="34.5" customHeight="1" x14ac:dyDescent="0.35">
      <c r="B14" s="63" t="s">
        <v>13</v>
      </c>
      <c r="C14" s="53"/>
      <c r="D14" s="53"/>
      <c r="E14" s="53"/>
      <c r="F14" s="53"/>
      <c r="G14" s="49" t="s">
        <v>14</v>
      </c>
      <c r="N14" s="28" t="s">
        <v>15</v>
      </c>
      <c r="O14" s="36"/>
      <c r="P14" s="2"/>
      <c r="Q14" s="37"/>
      <c r="R14" s="3"/>
      <c r="S14" s="2"/>
      <c r="T14" s="4"/>
    </row>
    <row r="15" spans="2:20" ht="30.75" customHeight="1" x14ac:dyDescent="0.35">
      <c r="G15" s="49" t="s">
        <v>16</v>
      </c>
      <c r="N15" s="8" t="s">
        <v>17</v>
      </c>
      <c r="O15" s="38">
        <f>Recap!D7</f>
        <v>131884</v>
      </c>
      <c r="P15" s="48">
        <f ca="1">Recap!E7</f>
        <v>126751</v>
      </c>
      <c r="Q15" s="44">
        <f ca="1">Recap!F7</f>
        <v>5133</v>
      </c>
      <c r="R15" s="38">
        <f ca="1">Recap!G7</f>
        <v>79653</v>
      </c>
      <c r="S15" s="48">
        <f ca="1">Recap!H7</f>
        <v>142405</v>
      </c>
      <c r="T15" s="41">
        <f ca="1">Recap!I7</f>
        <v>0.83234000509943906</v>
      </c>
    </row>
    <row r="16" spans="2:20" ht="15" customHeight="1" x14ac:dyDescent="0.35">
      <c r="B16" s="62"/>
      <c r="C16" s="53"/>
      <c r="D16" s="53"/>
      <c r="E16" s="53"/>
      <c r="F16" s="53"/>
      <c r="G16" s="49" t="s">
        <v>18</v>
      </c>
      <c r="N16" s="8" t="s">
        <v>19</v>
      </c>
      <c r="O16" s="38">
        <f>Recap!D8</f>
        <v>-30955</v>
      </c>
      <c r="P16" s="48">
        <f ca="1">Recap!E8</f>
        <v>-26766</v>
      </c>
      <c r="Q16" s="44">
        <f ca="1">Recap!F8</f>
        <v>-4189</v>
      </c>
      <c r="R16" s="38">
        <f ca="1">Recap!G8</f>
        <v>-30955</v>
      </c>
      <c r="S16" s="48">
        <f ca="1">Recap!H8</f>
        <v>-11672</v>
      </c>
      <c r="T16" s="41">
        <f ca="1">Recap!I8</f>
        <v>0</v>
      </c>
    </row>
    <row r="17" spans="2:20" x14ac:dyDescent="0.35">
      <c r="B17" s="53"/>
      <c r="C17" s="53"/>
      <c r="D17" s="53"/>
      <c r="E17" s="53"/>
      <c r="F17" s="53"/>
      <c r="G17" s="49" t="s">
        <v>20</v>
      </c>
      <c r="N17" s="8" t="s">
        <v>21</v>
      </c>
      <c r="O17" s="38">
        <f>Recap!D9</f>
        <v>-53381</v>
      </c>
      <c r="P17" s="48">
        <f ca="1">Recap!E9</f>
        <v>-56376</v>
      </c>
      <c r="Q17" s="44">
        <f ca="1">Recap!F9</f>
        <v>2995</v>
      </c>
      <c r="R17" s="38">
        <f ca="1">Recap!G9</f>
        <v>-56376</v>
      </c>
      <c r="S17" s="48">
        <f ca="1">Recap!H9</f>
        <v>67851</v>
      </c>
      <c r="T17" s="41">
        <f ca="1">Recap!I9</f>
        <v>2.4109090616371641E-2</v>
      </c>
    </row>
    <row r="18" spans="2:20" ht="15" customHeight="1" x14ac:dyDescent="0.35">
      <c r="B18" s="53"/>
      <c r="C18" s="53"/>
      <c r="D18" s="53"/>
      <c r="E18" s="53"/>
      <c r="F18" s="53"/>
      <c r="N18" s="8" t="s">
        <v>22</v>
      </c>
      <c r="O18" s="38">
        <f>Recap!D10</f>
        <v>-35377</v>
      </c>
      <c r="P18" s="48">
        <f ca="1">Recap!E10</f>
        <v>-46864</v>
      </c>
      <c r="Q18" s="44">
        <f ca="1">Recap!F10</f>
        <v>11487</v>
      </c>
      <c r="R18" s="38">
        <f ca="1">Recap!G10</f>
        <v>-102618</v>
      </c>
      <c r="S18" s="48">
        <f ca="1">Recap!H10</f>
        <v>-35377</v>
      </c>
      <c r="T18" s="41">
        <f ca="1">Recap!I10</f>
        <v>1</v>
      </c>
    </row>
    <row r="19" spans="2:20" x14ac:dyDescent="0.35">
      <c r="G19" s="49" t="s">
        <v>23</v>
      </c>
      <c r="N19" s="8" t="s">
        <v>24</v>
      </c>
      <c r="O19" s="38">
        <f>Recap!D11</f>
        <v>7350</v>
      </c>
      <c r="P19" s="48">
        <f ca="1">Recap!E11</f>
        <v>7480</v>
      </c>
      <c r="Q19" s="44">
        <f ca="1">Recap!F11</f>
        <v>-130</v>
      </c>
      <c r="R19" s="38">
        <f ca="1">Recap!G11</f>
        <v>-12884</v>
      </c>
      <c r="S19" s="48">
        <f ca="1">Recap!H11</f>
        <v>7480</v>
      </c>
      <c r="T19" s="41">
        <f ca="1">Recap!I11</f>
        <v>0.99361618542526031</v>
      </c>
    </row>
    <row r="20" spans="2:20" ht="15" customHeight="1" x14ac:dyDescent="0.35">
      <c r="B20" s="53"/>
      <c r="C20" s="53"/>
      <c r="D20" s="53"/>
      <c r="E20" s="53"/>
      <c r="F20" s="53"/>
      <c r="G20" s="49" t="s">
        <v>25</v>
      </c>
      <c r="N20" s="8" t="s">
        <v>26</v>
      </c>
      <c r="O20" s="38">
        <f>Recap!D12</f>
        <v>2191</v>
      </c>
      <c r="P20" s="48">
        <f ca="1">Recap!E12</f>
        <v>762</v>
      </c>
      <c r="Q20" s="44">
        <f ca="1">Recap!F12</f>
        <v>1429</v>
      </c>
      <c r="R20" s="38">
        <f ca="1">Recap!G12</f>
        <v>-1122</v>
      </c>
      <c r="S20" s="48">
        <f ca="1">Recap!H12</f>
        <v>2677</v>
      </c>
      <c r="T20" s="41">
        <f ca="1">Recap!I12</f>
        <v>0.87207159778889176</v>
      </c>
    </row>
    <row r="21" spans="2:20" ht="15" customHeight="1" x14ac:dyDescent="0.35">
      <c r="B21" s="53"/>
      <c r="C21" s="53"/>
      <c r="D21" s="53"/>
      <c r="E21" s="53"/>
      <c r="F21" s="53"/>
      <c r="G21" s="49" t="s">
        <v>27</v>
      </c>
      <c r="N21" s="8" t="s">
        <v>28</v>
      </c>
      <c r="O21" s="38">
        <f>Recap!D13</f>
        <v>-33690</v>
      </c>
      <c r="P21" s="48">
        <f ca="1">Recap!E13</f>
        <v>-36267</v>
      </c>
      <c r="Q21" s="44">
        <f ca="1">Recap!F13</f>
        <v>2577</v>
      </c>
      <c r="R21" s="38">
        <f ca="1">Recap!G13</f>
        <v>-51446</v>
      </c>
      <c r="S21" s="48">
        <f ca="1">Recap!H13</f>
        <v>-33690</v>
      </c>
      <c r="T21" s="41">
        <f ca="1">Recap!I13</f>
        <v>1</v>
      </c>
    </row>
    <row r="22" spans="2:20" ht="15" customHeight="1" x14ac:dyDescent="0.35">
      <c r="B22" s="53"/>
      <c r="C22" s="53"/>
      <c r="D22" s="53"/>
      <c r="E22" s="53"/>
      <c r="F22" s="53"/>
      <c r="N22" s="8" t="s">
        <v>29</v>
      </c>
      <c r="O22" s="38">
        <f>Recap!D14</f>
        <v>-7370</v>
      </c>
      <c r="P22" s="48">
        <f ca="1">Recap!E14</f>
        <v>-2854</v>
      </c>
      <c r="Q22" s="44">
        <f ca="1">Recap!F14</f>
        <v>-4516</v>
      </c>
      <c r="R22" s="38">
        <f ca="1">Recap!G14</f>
        <v>-17154</v>
      </c>
      <c r="S22" s="48">
        <f ca="1">Recap!H14</f>
        <v>-2854</v>
      </c>
      <c r="T22" s="41">
        <f ca="1">Recap!I14</f>
        <v>0.68419580419580417</v>
      </c>
    </row>
    <row r="23" spans="2:20" ht="15" customHeight="1" x14ac:dyDescent="0.35">
      <c r="B23" s="53"/>
      <c r="C23" s="53"/>
      <c r="D23" s="53"/>
      <c r="E23" s="53"/>
      <c r="F23" s="53"/>
      <c r="G23" s="49" t="s">
        <v>30</v>
      </c>
      <c r="N23" s="8" t="s">
        <v>31</v>
      </c>
      <c r="O23" s="38">
        <f>Recap!D15</f>
        <v>0</v>
      </c>
      <c r="P23" s="48">
        <f ca="1">Recap!E15</f>
        <v>0</v>
      </c>
      <c r="Q23" s="44">
        <f ca="1">Recap!F15</f>
        <v>0</v>
      </c>
      <c r="R23" s="38">
        <f ca="1">Recap!G15</f>
        <v>0</v>
      </c>
      <c r="S23" s="48">
        <f ca="1">Recap!H15</f>
        <v>0</v>
      </c>
      <c r="T23" s="41" t="e">
        <f ca="1">Recap!I15</f>
        <v>#DIV/0!</v>
      </c>
    </row>
    <row r="24" spans="2:20" ht="15" customHeight="1" x14ac:dyDescent="0.35">
      <c r="B24" s="53"/>
      <c r="C24" s="53"/>
      <c r="D24" s="53"/>
      <c r="E24" s="53"/>
      <c r="F24" s="53"/>
      <c r="N24" s="8" t="s">
        <v>32</v>
      </c>
      <c r="O24" s="38">
        <f>Recap!D16</f>
        <v>21701</v>
      </c>
      <c r="P24" s="48">
        <f ca="1">Recap!E16</f>
        <v>28211</v>
      </c>
      <c r="Q24" s="44">
        <f ca="1">Recap!F16</f>
        <v>-6510</v>
      </c>
      <c r="R24" s="38">
        <f ca="1">Recap!G16</f>
        <v>2198</v>
      </c>
      <c r="S24" s="48">
        <f ca="1">Recap!H16</f>
        <v>29179</v>
      </c>
      <c r="T24" s="41">
        <f ca="1">Recap!I16</f>
        <v>0.72284199992587372</v>
      </c>
    </row>
    <row r="25" spans="2:20" ht="16" customHeight="1" thickBot="1" x14ac:dyDescent="0.4">
      <c r="G25" s="49" t="s">
        <v>33</v>
      </c>
      <c r="N25" s="9" t="s">
        <v>34</v>
      </c>
      <c r="O25" s="39">
        <f>Recap!D17</f>
        <v>-29456</v>
      </c>
      <c r="P25" s="40">
        <f ca="1">Recap!E17</f>
        <v>-20301</v>
      </c>
      <c r="Q25" s="45">
        <f ca="1">Recap!F17</f>
        <v>-9155</v>
      </c>
      <c r="R25" s="39">
        <f ca="1">Recap!G17</f>
        <v>-47805</v>
      </c>
      <c r="S25" s="40">
        <f ca="1">Recap!H17</f>
        <v>-5603</v>
      </c>
      <c r="T25" s="42">
        <f ca="1">Recap!I17</f>
        <v>0.43478982038765934</v>
      </c>
    </row>
    <row r="26" spans="2:20" x14ac:dyDescent="0.35">
      <c r="G26" t="s">
        <v>35</v>
      </c>
    </row>
    <row r="27" spans="2:20" x14ac:dyDescent="0.35">
      <c r="G27" s="18" t="s">
        <v>36</v>
      </c>
      <c r="H27" s="18" t="s">
        <v>37</v>
      </c>
    </row>
    <row r="28" spans="2:20" x14ac:dyDescent="0.35">
      <c r="G28" s="17">
        <v>224832</v>
      </c>
      <c r="H28" s="17">
        <v>81841</v>
      </c>
      <c r="I28" s="35">
        <f>G28-H28</f>
        <v>142991</v>
      </c>
    </row>
  </sheetData>
  <mergeCells count="17">
    <mergeCell ref="B22:F22"/>
    <mergeCell ref="B23:F23"/>
    <mergeCell ref="B24:F24"/>
    <mergeCell ref="B20:F20"/>
    <mergeCell ref="B21:F21"/>
    <mergeCell ref="B16:F16"/>
    <mergeCell ref="B17:F17"/>
    <mergeCell ref="B18:F18"/>
    <mergeCell ref="N10:T10"/>
    <mergeCell ref="B12:F12"/>
    <mergeCell ref="G12:J12"/>
    <mergeCell ref="B14:F14"/>
    <mergeCell ref="B1:J2"/>
    <mergeCell ref="B3:J3"/>
    <mergeCell ref="B5:J5"/>
    <mergeCell ref="B7:J7"/>
    <mergeCell ref="B10:J10"/>
  </mergeCells>
  <conditionalFormatting sqref="T15:T25">
    <cfRule type="colorScale" priority="1">
      <colorScale>
        <cfvo type="min"/>
        <cfvo type="percentile" val="50"/>
        <cfvo type="max"/>
        <color rgb="FFF8696B"/>
        <color rgb="FFFFEB84"/>
        <color rgb="FF63BE7B"/>
      </colorScale>
    </cfRule>
    <cfRule type="colorScale" priority="8">
      <colorScale>
        <cfvo type="min"/>
        <cfvo type="percentile" val="50"/>
        <cfvo type="max"/>
        <color rgb="FFF8696B"/>
        <color rgb="FFFFEB84"/>
        <color rgb="FF63BE7B"/>
      </colorScale>
    </cfRule>
  </conditionalFormatting>
  <hyperlinks>
    <hyperlink ref="B14" r:id="rId1"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sheetPr>
  <dimension ref="A1:DV8733"/>
  <sheetViews>
    <sheetView workbookViewId="0">
      <selection activeCell="D1587" sqref="D1587"/>
    </sheetView>
  </sheetViews>
  <sheetFormatPr defaultColWidth="12" defaultRowHeight="14.5" x14ac:dyDescent="0.35"/>
  <cols>
    <col min="9" max="10" width="12" style="17" customWidth="1"/>
  </cols>
  <sheetData>
    <row r="1" spans="1:126" x14ac:dyDescent="0.35">
      <c r="A1" t="s">
        <v>38</v>
      </c>
      <c r="B1" t="s">
        <v>39</v>
      </c>
      <c r="C1" t="s">
        <v>40</v>
      </c>
      <c r="D1" t="s">
        <v>41</v>
      </c>
      <c r="E1" t="s">
        <v>42</v>
      </c>
      <c r="F1" t="s">
        <v>43</v>
      </c>
      <c r="G1" t="s">
        <v>44</v>
      </c>
      <c r="H1" t="s">
        <v>45</v>
      </c>
      <c r="I1" s="18" t="s">
        <v>36</v>
      </c>
      <c r="J1" s="18" t="s">
        <v>37</v>
      </c>
      <c r="K1" t="s">
        <v>46</v>
      </c>
      <c r="L1" t="s">
        <v>47</v>
      </c>
      <c r="M1" t="s">
        <v>48</v>
      </c>
      <c r="N1" t="s">
        <v>49</v>
      </c>
      <c r="O1" t="s">
        <v>50</v>
      </c>
      <c r="P1" t="s">
        <v>51</v>
      </c>
      <c r="Q1" t="s">
        <v>52</v>
      </c>
      <c r="R1" t="s">
        <v>53</v>
      </c>
      <c r="S1" t="s">
        <v>54</v>
      </c>
      <c r="T1" t="s">
        <v>55</v>
      </c>
      <c r="U1" t="s">
        <v>56</v>
      </c>
      <c r="V1" t="s">
        <v>57</v>
      </c>
      <c r="W1" t="s">
        <v>58</v>
      </c>
      <c r="X1" t="s">
        <v>59</v>
      </c>
      <c r="Y1" t="s">
        <v>60</v>
      </c>
      <c r="Z1" t="s">
        <v>61</v>
      </c>
      <c r="AA1" t="s">
        <v>62</v>
      </c>
      <c r="AB1" t="s">
        <v>63</v>
      </c>
      <c r="AC1" t="s">
        <v>64</v>
      </c>
      <c r="AD1" t="s">
        <v>65</v>
      </c>
      <c r="AE1" t="s">
        <v>66</v>
      </c>
      <c r="AF1" t="s">
        <v>67</v>
      </c>
      <c r="AG1" t="s">
        <v>68</v>
      </c>
      <c r="AH1" t="s">
        <v>69</v>
      </c>
      <c r="AI1" t="s">
        <v>70</v>
      </c>
      <c r="AJ1" t="s">
        <v>71</v>
      </c>
      <c r="AK1" t="s">
        <v>72</v>
      </c>
      <c r="AL1" t="s">
        <v>73</v>
      </c>
      <c r="AM1" t="s">
        <v>74</v>
      </c>
      <c r="AN1" t="s">
        <v>75</v>
      </c>
      <c r="AO1" t="s">
        <v>76</v>
      </c>
      <c r="AP1" t="s">
        <v>77</v>
      </c>
      <c r="AQ1" t="s">
        <v>78</v>
      </c>
      <c r="AR1" t="s">
        <v>79</v>
      </c>
      <c r="AS1" t="s">
        <v>80</v>
      </c>
      <c r="AT1" t="s">
        <v>81</v>
      </c>
      <c r="AU1" t="s">
        <v>82</v>
      </c>
      <c r="AV1" t="s">
        <v>83</v>
      </c>
      <c r="AW1" t="s">
        <v>84</v>
      </c>
      <c r="AX1" t="s">
        <v>85</v>
      </c>
      <c r="AY1" t="s">
        <v>86</v>
      </c>
      <c r="AZ1" t="s">
        <v>87</v>
      </c>
      <c r="BA1" t="s">
        <v>88</v>
      </c>
      <c r="BB1" t="s">
        <v>89</v>
      </c>
      <c r="BC1" t="s">
        <v>90</v>
      </c>
      <c r="BD1" t="s">
        <v>91</v>
      </c>
      <c r="BE1" t="s">
        <v>92</v>
      </c>
      <c r="BF1" t="s">
        <v>93</v>
      </c>
      <c r="BG1" t="s">
        <v>94</v>
      </c>
      <c r="BH1" t="s">
        <v>95</v>
      </c>
      <c r="BI1" t="s">
        <v>96</v>
      </c>
      <c r="BJ1" t="s">
        <v>97</v>
      </c>
      <c r="BK1" t="s">
        <v>98</v>
      </c>
      <c r="BL1" t="s">
        <v>99</v>
      </c>
      <c r="BM1" t="s">
        <v>100</v>
      </c>
      <c r="BN1" t="s">
        <v>101</v>
      </c>
      <c r="BO1" t="s">
        <v>102</v>
      </c>
      <c r="BP1" t="s">
        <v>103</v>
      </c>
      <c r="BQ1" t="s">
        <v>104</v>
      </c>
      <c r="BR1" t="s">
        <v>105</v>
      </c>
      <c r="BS1" t="s">
        <v>106</v>
      </c>
      <c r="BT1" t="s">
        <v>107</v>
      </c>
      <c r="BU1" t="s">
        <v>108</v>
      </c>
      <c r="BV1" t="s">
        <v>109</v>
      </c>
      <c r="BW1" t="s">
        <v>110</v>
      </c>
      <c r="BX1" t="s">
        <v>111</v>
      </c>
      <c r="BY1" t="s">
        <v>112</v>
      </c>
      <c r="BZ1" t="s">
        <v>113</v>
      </c>
      <c r="CA1" t="s">
        <v>114</v>
      </c>
      <c r="CB1" t="s">
        <v>115</v>
      </c>
      <c r="CC1" t="s">
        <v>116</v>
      </c>
      <c r="CD1" t="s">
        <v>117</v>
      </c>
      <c r="CE1" t="s">
        <v>118</v>
      </c>
      <c r="CF1" t="s">
        <v>119</v>
      </c>
      <c r="CG1" t="s">
        <v>120</v>
      </c>
      <c r="CH1" t="s">
        <v>121</v>
      </c>
      <c r="CI1" t="s">
        <v>122</v>
      </c>
      <c r="CJ1" t="s">
        <v>123</v>
      </c>
      <c r="CK1" t="s">
        <v>124</v>
      </c>
      <c r="CL1" t="s">
        <v>125</v>
      </c>
      <c r="CM1" t="s">
        <v>126</v>
      </c>
      <c r="CN1" t="s">
        <v>127</v>
      </c>
      <c r="CO1" t="s">
        <v>128</v>
      </c>
      <c r="CP1" t="s">
        <v>129</v>
      </c>
      <c r="CQ1" t="s">
        <v>130</v>
      </c>
      <c r="CR1" t="s">
        <v>131</v>
      </c>
      <c r="CS1" t="s">
        <v>132</v>
      </c>
      <c r="CT1" t="s">
        <v>133</v>
      </c>
      <c r="CU1" t="s">
        <v>134</v>
      </c>
      <c r="CV1" t="s">
        <v>135</v>
      </c>
      <c r="CW1" t="s">
        <v>136</v>
      </c>
      <c r="CX1" t="s">
        <v>137</v>
      </c>
      <c r="CY1" t="s">
        <v>138</v>
      </c>
      <c r="CZ1" t="s">
        <v>139</v>
      </c>
      <c r="DA1" t="s">
        <v>140</v>
      </c>
      <c r="DB1" t="s">
        <v>141</v>
      </c>
      <c r="DC1" t="s">
        <v>142</v>
      </c>
      <c r="DD1" t="s">
        <v>143</v>
      </c>
      <c r="DE1" t="s">
        <v>144</v>
      </c>
      <c r="DF1" t="s">
        <v>145</v>
      </c>
      <c r="DG1" t="s">
        <v>146</v>
      </c>
      <c r="DH1" t="s">
        <v>147</v>
      </c>
      <c r="DI1" t="s">
        <v>148</v>
      </c>
      <c r="DJ1" t="s">
        <v>149</v>
      </c>
      <c r="DK1" t="s">
        <v>150</v>
      </c>
      <c r="DL1" t="s">
        <v>151</v>
      </c>
      <c r="DM1" t="s">
        <v>152</v>
      </c>
      <c r="DN1" t="s">
        <v>153</v>
      </c>
      <c r="DO1" t="s">
        <v>154</v>
      </c>
      <c r="DP1" t="s">
        <v>155</v>
      </c>
      <c r="DQ1" t="s">
        <v>156</v>
      </c>
      <c r="DR1" t="s">
        <v>157</v>
      </c>
      <c r="DS1" t="s">
        <v>158</v>
      </c>
      <c r="DT1" t="s">
        <v>159</v>
      </c>
      <c r="DU1" t="s">
        <v>160</v>
      </c>
      <c r="DV1" t="s">
        <v>161</v>
      </c>
    </row>
    <row r="2" spans="1:126" x14ac:dyDescent="0.35">
      <c r="A2" t="s">
        <v>162</v>
      </c>
      <c r="B2">
        <v>230110</v>
      </c>
      <c r="C2" s="1">
        <v>44936</v>
      </c>
      <c r="D2" t="s">
        <v>163</v>
      </c>
      <c r="E2" t="s">
        <v>164</v>
      </c>
      <c r="F2" t="s">
        <v>165</v>
      </c>
      <c r="G2" t="s">
        <v>166</v>
      </c>
      <c r="H2">
        <v>334538</v>
      </c>
      <c r="I2" s="17">
        <v>87085</v>
      </c>
      <c r="J2" s="17">
        <v>126801</v>
      </c>
      <c r="K2">
        <v>73091</v>
      </c>
      <c r="L2">
        <v>140763</v>
      </c>
      <c r="M2">
        <v>97234</v>
      </c>
      <c r="N2">
        <v>300939</v>
      </c>
      <c r="O2">
        <v>297126</v>
      </c>
      <c r="P2">
        <v>33599</v>
      </c>
      <c r="Q2">
        <v>37412</v>
      </c>
      <c r="R2">
        <v>217526</v>
      </c>
      <c r="S2">
        <v>88400</v>
      </c>
      <c r="T2">
        <v>112291</v>
      </c>
      <c r="U2">
        <v>23583</v>
      </c>
      <c r="V2">
        <v>80231</v>
      </c>
      <c r="W2">
        <v>57174</v>
      </c>
      <c r="X2">
        <v>192214</v>
      </c>
      <c r="Y2">
        <v>193048</v>
      </c>
      <c r="Z2">
        <v>25312</v>
      </c>
      <c r="AA2">
        <v>24478</v>
      </c>
      <c r="AB2">
        <v>117012</v>
      </c>
      <c r="AC2">
        <v>37604</v>
      </c>
      <c r="AD2">
        <v>53429</v>
      </c>
      <c r="AE2">
        <v>10589</v>
      </c>
      <c r="AF2">
        <v>60532</v>
      </c>
      <c r="AG2">
        <v>40060</v>
      </c>
      <c r="AH2">
        <v>108725</v>
      </c>
      <c r="AI2">
        <v>104078</v>
      </c>
      <c r="AJ2">
        <v>8287</v>
      </c>
      <c r="AK2">
        <v>12934</v>
      </c>
      <c r="AL2">
        <v>2961</v>
      </c>
      <c r="AM2">
        <v>2396</v>
      </c>
      <c r="AN2">
        <v>9821</v>
      </c>
      <c r="AO2">
        <v>-1465</v>
      </c>
      <c r="AP2">
        <v>-1199</v>
      </c>
      <c r="AQ2">
        <v>-7092</v>
      </c>
      <c r="AR2">
        <v>-268</v>
      </c>
      <c r="AS2">
        <v>1264</v>
      </c>
      <c r="AT2">
        <v>3229</v>
      </c>
      <c r="AU2">
        <v>1697</v>
      </c>
      <c r="AV2">
        <v>100</v>
      </c>
      <c r="AW2">
        <v>26</v>
      </c>
      <c r="AX2">
        <v>37.9</v>
      </c>
      <c r="AY2">
        <v>21.8</v>
      </c>
      <c r="AZ2">
        <v>42.1</v>
      </c>
      <c r="BA2">
        <v>29.1</v>
      </c>
      <c r="BB2">
        <v>90</v>
      </c>
      <c r="BC2">
        <v>88.8</v>
      </c>
      <c r="BD2">
        <v>10</v>
      </c>
      <c r="BE2">
        <v>11.2</v>
      </c>
      <c r="BF2">
        <v>100</v>
      </c>
      <c r="BG2">
        <v>40.6</v>
      </c>
      <c r="BH2">
        <v>51.6</v>
      </c>
      <c r="BI2">
        <v>10.8</v>
      </c>
      <c r="BJ2">
        <v>36.9</v>
      </c>
      <c r="BK2">
        <v>26.3</v>
      </c>
      <c r="BL2">
        <v>88.4</v>
      </c>
      <c r="BM2">
        <v>88.7</v>
      </c>
      <c r="BN2">
        <v>11.6</v>
      </c>
      <c r="BO2">
        <v>11.3</v>
      </c>
      <c r="BP2">
        <v>100</v>
      </c>
      <c r="BQ2">
        <v>32.1</v>
      </c>
      <c r="BR2">
        <v>45.7</v>
      </c>
      <c r="BS2">
        <v>9</v>
      </c>
      <c r="BT2">
        <v>51.7</v>
      </c>
      <c r="BU2">
        <v>34.200000000000003</v>
      </c>
      <c r="BV2">
        <v>92.9</v>
      </c>
      <c r="BW2">
        <v>88.9</v>
      </c>
      <c r="BX2">
        <v>7.1</v>
      </c>
      <c r="BY2">
        <v>11.1</v>
      </c>
      <c r="BZ2">
        <v>322</v>
      </c>
      <c r="CA2">
        <v>95</v>
      </c>
      <c r="CB2">
        <v>103</v>
      </c>
      <c r="CC2">
        <v>97</v>
      </c>
      <c r="CD2">
        <v>92</v>
      </c>
      <c r="CE2">
        <v>89</v>
      </c>
      <c r="CF2">
        <v>242</v>
      </c>
      <c r="CG2">
        <v>240</v>
      </c>
      <c r="CH2">
        <v>310</v>
      </c>
      <c r="CI2">
        <v>97</v>
      </c>
      <c r="CJ2">
        <v>95</v>
      </c>
      <c r="CK2">
        <v>65</v>
      </c>
      <c r="CL2">
        <v>82</v>
      </c>
      <c r="CM2">
        <v>71</v>
      </c>
      <c r="CN2">
        <v>212</v>
      </c>
      <c r="CO2">
        <v>200</v>
      </c>
      <c r="CP2">
        <v>198</v>
      </c>
      <c r="CQ2">
        <v>45</v>
      </c>
      <c r="CR2">
        <v>63</v>
      </c>
      <c r="CS2">
        <v>35</v>
      </c>
      <c r="CT2">
        <v>55</v>
      </c>
      <c r="CU2">
        <v>64</v>
      </c>
      <c r="CV2">
        <v>126</v>
      </c>
      <c r="CW2">
        <v>137</v>
      </c>
      <c r="CX2">
        <v>14</v>
      </c>
      <c r="CY2">
        <v>12.8</v>
      </c>
      <c r="CZ2">
        <v>23.6</v>
      </c>
      <c r="DA2">
        <v>23.3</v>
      </c>
      <c r="DB2">
        <v>11.3</v>
      </c>
      <c r="DC2">
        <v>11</v>
      </c>
      <c r="DD2">
        <v>19.5</v>
      </c>
      <c r="DE2">
        <v>18.7</v>
      </c>
      <c r="DF2">
        <v>13.8</v>
      </c>
      <c r="DG2">
        <v>15</v>
      </c>
      <c r="DH2">
        <v>23.2</v>
      </c>
      <c r="DI2">
        <v>27.3</v>
      </c>
      <c r="DJ2">
        <v>13.3</v>
      </c>
      <c r="DK2">
        <v>14.6</v>
      </c>
      <c r="DL2">
        <v>21.6</v>
      </c>
      <c r="DM2">
        <v>25.6</v>
      </c>
      <c r="DN2">
        <v>29.3</v>
      </c>
      <c r="DO2">
        <v>22.5</v>
      </c>
      <c r="DP2">
        <v>45.8</v>
      </c>
      <c r="DQ2">
        <v>35.1</v>
      </c>
      <c r="DR2">
        <v>26.4</v>
      </c>
      <c r="DS2">
        <v>22.3</v>
      </c>
      <c r="DT2">
        <v>42.9</v>
      </c>
      <c r="DU2">
        <v>32.1</v>
      </c>
      <c r="DV2" t="s">
        <v>167</v>
      </c>
    </row>
    <row r="3" spans="1:126" x14ac:dyDescent="0.35">
      <c r="A3" t="s">
        <v>162</v>
      </c>
      <c r="B3">
        <v>230103</v>
      </c>
      <c r="C3" s="1">
        <v>44929</v>
      </c>
      <c r="D3" t="s">
        <v>163</v>
      </c>
      <c r="E3" t="s">
        <v>164</v>
      </c>
      <c r="F3" t="s">
        <v>165</v>
      </c>
      <c r="G3" t="s">
        <v>166</v>
      </c>
      <c r="H3">
        <v>331577</v>
      </c>
      <c r="I3" s="17">
        <v>84689</v>
      </c>
      <c r="J3" s="17">
        <v>116980</v>
      </c>
      <c r="K3">
        <v>74556</v>
      </c>
      <c r="L3">
        <v>141962</v>
      </c>
      <c r="M3">
        <v>104326</v>
      </c>
      <c r="N3">
        <v>301207</v>
      </c>
      <c r="O3">
        <v>295862</v>
      </c>
      <c r="P3">
        <v>30370</v>
      </c>
      <c r="Q3">
        <v>35715</v>
      </c>
      <c r="R3">
        <v>217840</v>
      </c>
      <c r="S3">
        <v>86280</v>
      </c>
      <c r="T3">
        <v>102381</v>
      </c>
      <c r="U3">
        <v>24632</v>
      </c>
      <c r="V3">
        <v>83684</v>
      </c>
      <c r="W3">
        <v>67349</v>
      </c>
      <c r="X3">
        <v>194596</v>
      </c>
      <c r="Y3">
        <v>194362</v>
      </c>
      <c r="Z3">
        <v>23244</v>
      </c>
      <c r="AA3">
        <v>23478</v>
      </c>
      <c r="AB3">
        <v>113737</v>
      </c>
      <c r="AC3">
        <v>36816</v>
      </c>
      <c r="AD3">
        <v>53006</v>
      </c>
      <c r="AE3">
        <v>11517</v>
      </c>
      <c r="AF3">
        <v>58278</v>
      </c>
      <c r="AG3">
        <v>36977</v>
      </c>
      <c r="AH3">
        <v>106611</v>
      </c>
      <c r="AI3">
        <v>101500</v>
      </c>
      <c r="AJ3">
        <v>7126</v>
      </c>
      <c r="AK3">
        <v>12237</v>
      </c>
      <c r="AL3">
        <v>15</v>
      </c>
      <c r="AM3">
        <v>-1149</v>
      </c>
      <c r="AN3">
        <v>-5147</v>
      </c>
      <c r="AO3">
        <v>-1879</v>
      </c>
      <c r="AP3">
        <v>3643</v>
      </c>
      <c r="AQ3">
        <v>6662</v>
      </c>
      <c r="AR3">
        <v>615</v>
      </c>
      <c r="AS3">
        <v>-364</v>
      </c>
      <c r="AT3">
        <v>-600</v>
      </c>
      <c r="AU3">
        <v>379</v>
      </c>
      <c r="AV3">
        <v>100</v>
      </c>
      <c r="AW3">
        <v>25.5</v>
      </c>
      <c r="AX3">
        <v>35.299999999999997</v>
      </c>
      <c r="AY3">
        <v>22.5</v>
      </c>
      <c r="AZ3">
        <v>42.8</v>
      </c>
      <c r="BA3">
        <v>31.5</v>
      </c>
      <c r="BB3">
        <v>90.8</v>
      </c>
      <c r="BC3">
        <v>89.2</v>
      </c>
      <c r="BD3">
        <v>9.1999999999999993</v>
      </c>
      <c r="BE3">
        <v>10.8</v>
      </c>
      <c r="BF3">
        <v>100</v>
      </c>
      <c r="BG3">
        <v>39.6</v>
      </c>
      <c r="BH3">
        <v>47</v>
      </c>
      <c r="BI3">
        <v>11.3</v>
      </c>
      <c r="BJ3">
        <v>38.4</v>
      </c>
      <c r="BK3">
        <v>30.9</v>
      </c>
      <c r="BL3">
        <v>89.3</v>
      </c>
      <c r="BM3">
        <v>89.2</v>
      </c>
      <c r="BN3">
        <v>10.7</v>
      </c>
      <c r="BO3">
        <v>10.8</v>
      </c>
      <c r="BP3">
        <v>100</v>
      </c>
      <c r="BQ3">
        <v>32.4</v>
      </c>
      <c r="BR3">
        <v>46.6</v>
      </c>
      <c r="BS3">
        <v>10.1</v>
      </c>
      <c r="BT3">
        <v>51.2</v>
      </c>
      <c r="BU3">
        <v>32.5</v>
      </c>
      <c r="BV3">
        <v>93.7</v>
      </c>
      <c r="BW3">
        <v>89.2</v>
      </c>
      <c r="BX3">
        <v>6.3</v>
      </c>
      <c r="BY3">
        <v>10.8</v>
      </c>
      <c r="BZ3">
        <v>308</v>
      </c>
      <c r="CA3">
        <v>81</v>
      </c>
      <c r="CB3">
        <v>103</v>
      </c>
      <c r="CC3">
        <v>92</v>
      </c>
      <c r="CD3">
        <v>84</v>
      </c>
      <c r="CE3">
        <v>90</v>
      </c>
      <c r="CF3">
        <v>226</v>
      </c>
      <c r="CG3">
        <v>233</v>
      </c>
      <c r="CH3">
        <v>295</v>
      </c>
      <c r="CI3">
        <v>87</v>
      </c>
      <c r="CJ3">
        <v>92</v>
      </c>
      <c r="CK3">
        <v>61</v>
      </c>
      <c r="CL3">
        <v>71</v>
      </c>
      <c r="CM3">
        <v>76</v>
      </c>
      <c r="CN3">
        <v>190</v>
      </c>
      <c r="CO3">
        <v>200</v>
      </c>
      <c r="CP3">
        <v>188</v>
      </c>
      <c r="CQ3">
        <v>42</v>
      </c>
      <c r="CR3">
        <v>58</v>
      </c>
      <c r="CS3">
        <v>36</v>
      </c>
      <c r="CT3">
        <v>52</v>
      </c>
      <c r="CU3">
        <v>65</v>
      </c>
      <c r="CV3">
        <v>121</v>
      </c>
      <c r="CW3">
        <v>133</v>
      </c>
      <c r="CX3">
        <v>14.2</v>
      </c>
      <c r="CY3">
        <v>12.7</v>
      </c>
      <c r="CZ3">
        <v>24.5</v>
      </c>
      <c r="DA3">
        <v>23.4</v>
      </c>
      <c r="DB3">
        <v>11.7</v>
      </c>
      <c r="DC3">
        <v>10.8</v>
      </c>
      <c r="DD3">
        <v>20</v>
      </c>
      <c r="DE3">
        <v>17.600000000000001</v>
      </c>
      <c r="DF3">
        <v>15</v>
      </c>
      <c r="DG3">
        <v>15.5</v>
      </c>
      <c r="DH3">
        <v>25.1</v>
      </c>
      <c r="DI3">
        <v>28.7</v>
      </c>
      <c r="DJ3">
        <v>14.4</v>
      </c>
      <c r="DK3">
        <v>14.1</v>
      </c>
      <c r="DL3">
        <v>22.8</v>
      </c>
      <c r="DM3">
        <v>24</v>
      </c>
      <c r="DN3">
        <v>29.8</v>
      </c>
      <c r="DO3">
        <v>25.4</v>
      </c>
      <c r="DP3">
        <v>46.9</v>
      </c>
      <c r="DQ3">
        <v>37.4</v>
      </c>
      <c r="DR3">
        <v>28.1</v>
      </c>
      <c r="DS3">
        <v>24.5</v>
      </c>
      <c r="DT3">
        <v>45.2</v>
      </c>
      <c r="DU3">
        <v>33.799999999999997</v>
      </c>
      <c r="DV3" t="s">
        <v>167</v>
      </c>
    </row>
    <row r="4" spans="1:126" x14ac:dyDescent="0.35">
      <c r="A4" t="s">
        <v>168</v>
      </c>
      <c r="B4">
        <v>230110</v>
      </c>
      <c r="C4" s="1">
        <v>44936</v>
      </c>
      <c r="D4" t="s">
        <v>169</v>
      </c>
      <c r="E4" t="s">
        <v>164</v>
      </c>
      <c r="F4" t="s">
        <v>165</v>
      </c>
      <c r="G4" t="s">
        <v>166</v>
      </c>
      <c r="H4">
        <v>163353</v>
      </c>
      <c r="I4" s="17">
        <v>31234</v>
      </c>
      <c r="J4" s="17">
        <v>43389</v>
      </c>
      <c r="K4">
        <v>33866</v>
      </c>
      <c r="L4">
        <v>78470</v>
      </c>
      <c r="M4">
        <v>65640</v>
      </c>
      <c r="N4">
        <v>143570</v>
      </c>
      <c r="O4">
        <v>142895</v>
      </c>
      <c r="P4">
        <v>19783</v>
      </c>
      <c r="Q4">
        <v>20458</v>
      </c>
      <c r="R4">
        <v>115704</v>
      </c>
      <c r="S4">
        <v>39602</v>
      </c>
      <c r="T4">
        <v>46893</v>
      </c>
      <c r="U4">
        <v>10607</v>
      </c>
      <c r="V4">
        <v>51096</v>
      </c>
      <c r="W4">
        <v>44268</v>
      </c>
      <c r="X4">
        <v>101305</v>
      </c>
      <c r="Y4">
        <v>101768</v>
      </c>
      <c r="Z4">
        <v>14399</v>
      </c>
      <c r="AA4">
        <v>13936</v>
      </c>
      <c r="AB4">
        <v>47649</v>
      </c>
      <c r="AC4">
        <v>10784</v>
      </c>
      <c r="AD4">
        <v>15648</v>
      </c>
      <c r="AE4">
        <v>4107</v>
      </c>
      <c r="AF4">
        <v>27374</v>
      </c>
      <c r="AG4">
        <v>21372</v>
      </c>
      <c r="AH4">
        <v>42265</v>
      </c>
      <c r="AI4">
        <v>41127</v>
      </c>
      <c r="AJ4">
        <v>5384</v>
      </c>
      <c r="AK4">
        <v>6522</v>
      </c>
      <c r="AL4">
        <v>11292</v>
      </c>
      <c r="AM4">
        <v>-3241</v>
      </c>
      <c r="AN4">
        <v>6282</v>
      </c>
      <c r="AO4">
        <v>6185</v>
      </c>
      <c r="AP4">
        <v>6050</v>
      </c>
      <c r="AQ4">
        <v>-2083</v>
      </c>
      <c r="AR4">
        <v>8994</v>
      </c>
      <c r="AS4">
        <v>10384</v>
      </c>
      <c r="AT4">
        <v>2298</v>
      </c>
      <c r="AU4">
        <v>908</v>
      </c>
      <c r="AV4">
        <v>100</v>
      </c>
      <c r="AW4">
        <v>19.100000000000001</v>
      </c>
      <c r="AX4">
        <v>26.6</v>
      </c>
      <c r="AY4">
        <v>20.7</v>
      </c>
      <c r="AZ4">
        <v>48</v>
      </c>
      <c r="BA4">
        <v>40.200000000000003</v>
      </c>
      <c r="BB4">
        <v>87.9</v>
      </c>
      <c r="BC4">
        <v>87.5</v>
      </c>
      <c r="BD4">
        <v>12.1</v>
      </c>
      <c r="BE4">
        <v>12.5</v>
      </c>
      <c r="BF4">
        <v>100</v>
      </c>
      <c r="BG4">
        <v>34.200000000000003</v>
      </c>
      <c r="BH4">
        <v>40.5</v>
      </c>
      <c r="BI4">
        <v>9.1999999999999993</v>
      </c>
      <c r="BJ4">
        <v>44.2</v>
      </c>
      <c r="BK4">
        <v>38.299999999999997</v>
      </c>
      <c r="BL4">
        <v>87.6</v>
      </c>
      <c r="BM4">
        <v>88</v>
      </c>
      <c r="BN4">
        <v>12.4</v>
      </c>
      <c r="BO4">
        <v>12</v>
      </c>
      <c r="BP4">
        <v>100</v>
      </c>
      <c r="BQ4">
        <v>22.6</v>
      </c>
      <c r="BR4">
        <v>32.799999999999997</v>
      </c>
      <c r="BS4">
        <v>8.6</v>
      </c>
      <c r="BT4">
        <v>57.4</v>
      </c>
      <c r="BU4">
        <v>44.9</v>
      </c>
      <c r="BV4">
        <v>88.7</v>
      </c>
      <c r="BW4">
        <v>86.3</v>
      </c>
      <c r="BX4">
        <v>11.3</v>
      </c>
      <c r="BY4">
        <v>13.7</v>
      </c>
      <c r="BZ4">
        <v>201</v>
      </c>
      <c r="CA4">
        <v>54</v>
      </c>
      <c r="CB4">
        <v>51</v>
      </c>
      <c r="CC4">
        <v>59</v>
      </c>
      <c r="CD4">
        <v>67</v>
      </c>
      <c r="CE4">
        <v>68</v>
      </c>
      <c r="CF4">
        <v>150</v>
      </c>
      <c r="CG4">
        <v>153</v>
      </c>
      <c r="CH4">
        <v>199</v>
      </c>
      <c r="CI4">
        <v>58</v>
      </c>
      <c r="CJ4">
        <v>48</v>
      </c>
      <c r="CK4">
        <v>39</v>
      </c>
      <c r="CL4">
        <v>60</v>
      </c>
      <c r="CM4">
        <v>61</v>
      </c>
      <c r="CN4">
        <v>132</v>
      </c>
      <c r="CO4">
        <v>135</v>
      </c>
      <c r="CP4">
        <v>131</v>
      </c>
      <c r="CQ4">
        <v>31</v>
      </c>
      <c r="CR4">
        <v>27</v>
      </c>
      <c r="CS4">
        <v>21</v>
      </c>
      <c r="CT4">
        <v>42</v>
      </c>
      <c r="CU4">
        <v>49</v>
      </c>
      <c r="CV4">
        <v>84</v>
      </c>
      <c r="CW4">
        <v>86</v>
      </c>
      <c r="CX4">
        <v>15.3</v>
      </c>
      <c r="CY4">
        <v>18.899999999999999</v>
      </c>
      <c r="CZ4">
        <v>25.8</v>
      </c>
      <c r="DA4">
        <v>28.9</v>
      </c>
      <c r="DB4">
        <v>13.4</v>
      </c>
      <c r="DC4">
        <v>16.8</v>
      </c>
      <c r="DD4">
        <v>21.5</v>
      </c>
      <c r="DE4">
        <v>23.9</v>
      </c>
      <c r="DF4">
        <v>18</v>
      </c>
      <c r="DG4">
        <v>23.3</v>
      </c>
      <c r="DH4">
        <v>28.5</v>
      </c>
      <c r="DI4">
        <v>34</v>
      </c>
      <c r="DJ4">
        <v>17.100000000000001</v>
      </c>
      <c r="DK4">
        <v>22.4</v>
      </c>
      <c r="DL4">
        <v>27.4</v>
      </c>
      <c r="DM4">
        <v>32.6</v>
      </c>
      <c r="DN4">
        <v>26.3</v>
      </c>
      <c r="DO4">
        <v>31.3</v>
      </c>
      <c r="DP4">
        <v>39.9</v>
      </c>
      <c r="DQ4">
        <v>46.9</v>
      </c>
      <c r="DR4">
        <v>21.8</v>
      </c>
      <c r="DS4">
        <v>26.7</v>
      </c>
      <c r="DT4">
        <v>35.200000000000003</v>
      </c>
      <c r="DU4">
        <v>37</v>
      </c>
      <c r="DV4" t="s">
        <v>167</v>
      </c>
    </row>
    <row r="5" spans="1:126" x14ac:dyDescent="0.35">
      <c r="A5" t="s">
        <v>168</v>
      </c>
      <c r="B5">
        <v>230103</v>
      </c>
      <c r="C5" s="1">
        <v>44929</v>
      </c>
      <c r="D5" t="s">
        <v>169</v>
      </c>
      <c r="E5" t="s">
        <v>164</v>
      </c>
      <c r="F5" t="s">
        <v>165</v>
      </c>
      <c r="G5" t="s">
        <v>166</v>
      </c>
      <c r="H5">
        <v>152061</v>
      </c>
      <c r="I5" s="17">
        <v>34475</v>
      </c>
      <c r="J5" s="17">
        <v>37107</v>
      </c>
      <c r="K5">
        <v>27681</v>
      </c>
      <c r="L5">
        <v>72420</v>
      </c>
      <c r="M5">
        <v>67723</v>
      </c>
      <c r="N5">
        <v>134576</v>
      </c>
      <c r="O5">
        <v>132511</v>
      </c>
      <c r="P5">
        <v>17485</v>
      </c>
      <c r="Q5">
        <v>19550</v>
      </c>
      <c r="R5">
        <v>111399</v>
      </c>
      <c r="S5">
        <v>40714</v>
      </c>
      <c r="T5">
        <v>39065</v>
      </c>
      <c r="U5">
        <v>8047</v>
      </c>
      <c r="V5">
        <v>49528</v>
      </c>
      <c r="W5">
        <v>50928</v>
      </c>
      <c r="X5">
        <v>98289</v>
      </c>
      <c r="Y5">
        <v>98040</v>
      </c>
      <c r="Z5">
        <v>13110</v>
      </c>
      <c r="AA5">
        <v>13359</v>
      </c>
      <c r="AB5">
        <v>40662</v>
      </c>
      <c r="AC5">
        <v>8419</v>
      </c>
      <c r="AD5">
        <v>12700</v>
      </c>
      <c r="AE5">
        <v>4976</v>
      </c>
      <c r="AF5">
        <v>22892</v>
      </c>
      <c r="AG5">
        <v>16795</v>
      </c>
      <c r="AH5">
        <v>36287</v>
      </c>
      <c r="AI5">
        <v>34471</v>
      </c>
      <c r="AJ5">
        <v>4375</v>
      </c>
      <c r="AK5">
        <v>6191</v>
      </c>
      <c r="AL5">
        <v>2409</v>
      </c>
      <c r="AM5">
        <v>140</v>
      </c>
      <c r="AN5">
        <v>249</v>
      </c>
      <c r="AO5">
        <v>271</v>
      </c>
      <c r="AP5">
        <v>2399</v>
      </c>
      <c r="AQ5">
        <v>1884</v>
      </c>
      <c r="AR5">
        <v>2810</v>
      </c>
      <c r="AS5">
        <v>2404</v>
      </c>
      <c r="AT5">
        <v>-401</v>
      </c>
      <c r="AU5">
        <v>5</v>
      </c>
      <c r="AV5">
        <v>100</v>
      </c>
      <c r="AW5">
        <v>22.7</v>
      </c>
      <c r="AX5">
        <v>24.4</v>
      </c>
      <c r="AY5">
        <v>18.2</v>
      </c>
      <c r="AZ5">
        <v>47.6</v>
      </c>
      <c r="BA5">
        <v>44.5</v>
      </c>
      <c r="BB5">
        <v>88.5</v>
      </c>
      <c r="BC5">
        <v>87.1</v>
      </c>
      <c r="BD5">
        <v>11.5</v>
      </c>
      <c r="BE5">
        <v>12.9</v>
      </c>
      <c r="BF5">
        <v>100</v>
      </c>
      <c r="BG5">
        <v>36.5</v>
      </c>
      <c r="BH5">
        <v>35.1</v>
      </c>
      <c r="BI5">
        <v>7.2</v>
      </c>
      <c r="BJ5">
        <v>44.5</v>
      </c>
      <c r="BK5">
        <v>45.7</v>
      </c>
      <c r="BL5">
        <v>88.2</v>
      </c>
      <c r="BM5">
        <v>88</v>
      </c>
      <c r="BN5">
        <v>11.8</v>
      </c>
      <c r="BO5">
        <v>12</v>
      </c>
      <c r="BP5">
        <v>100</v>
      </c>
      <c r="BQ5">
        <v>20.7</v>
      </c>
      <c r="BR5">
        <v>31.2</v>
      </c>
      <c r="BS5">
        <v>12.2</v>
      </c>
      <c r="BT5">
        <v>56.3</v>
      </c>
      <c r="BU5">
        <v>41.3</v>
      </c>
      <c r="BV5">
        <v>89.2</v>
      </c>
      <c r="BW5">
        <v>84.8</v>
      </c>
      <c r="BX5">
        <v>10.8</v>
      </c>
      <c r="BY5">
        <v>15.2</v>
      </c>
      <c r="BZ5">
        <v>192</v>
      </c>
      <c r="CA5">
        <v>53</v>
      </c>
      <c r="CB5">
        <v>43</v>
      </c>
      <c r="CC5">
        <v>52</v>
      </c>
      <c r="CD5">
        <v>68</v>
      </c>
      <c r="CE5">
        <v>66</v>
      </c>
      <c r="CF5">
        <v>148</v>
      </c>
      <c r="CG5">
        <v>137</v>
      </c>
      <c r="CH5">
        <v>191</v>
      </c>
      <c r="CI5">
        <v>58</v>
      </c>
      <c r="CJ5">
        <v>39</v>
      </c>
      <c r="CK5">
        <v>33</v>
      </c>
      <c r="CL5">
        <v>58</v>
      </c>
      <c r="CM5">
        <v>59</v>
      </c>
      <c r="CN5">
        <v>127</v>
      </c>
      <c r="CO5">
        <v>121</v>
      </c>
      <c r="CP5">
        <v>122</v>
      </c>
      <c r="CQ5">
        <v>22</v>
      </c>
      <c r="CR5">
        <v>28</v>
      </c>
      <c r="CS5">
        <v>25</v>
      </c>
      <c r="CT5">
        <v>38</v>
      </c>
      <c r="CU5">
        <v>48</v>
      </c>
      <c r="CV5">
        <v>75</v>
      </c>
      <c r="CW5">
        <v>87</v>
      </c>
      <c r="CX5">
        <v>16</v>
      </c>
      <c r="CY5">
        <v>21</v>
      </c>
      <c r="CZ5">
        <v>27</v>
      </c>
      <c r="DA5">
        <v>31.8</v>
      </c>
      <c r="DB5">
        <v>14.6</v>
      </c>
      <c r="DC5">
        <v>18.3</v>
      </c>
      <c r="DD5">
        <v>23</v>
      </c>
      <c r="DE5">
        <v>25.4</v>
      </c>
      <c r="DF5">
        <v>19.399999999999999</v>
      </c>
      <c r="DG5">
        <v>25.8</v>
      </c>
      <c r="DH5">
        <v>30.5</v>
      </c>
      <c r="DI5">
        <v>37.299999999999997</v>
      </c>
      <c r="DJ5">
        <v>17.2</v>
      </c>
      <c r="DK5">
        <v>24.3</v>
      </c>
      <c r="DL5">
        <v>27.8</v>
      </c>
      <c r="DM5">
        <v>34.6</v>
      </c>
      <c r="DN5">
        <v>25.5</v>
      </c>
      <c r="DO5">
        <v>31.4</v>
      </c>
      <c r="DP5">
        <v>41.4</v>
      </c>
      <c r="DQ5">
        <v>46.4</v>
      </c>
      <c r="DR5">
        <v>23.8</v>
      </c>
      <c r="DS5">
        <v>28.7</v>
      </c>
      <c r="DT5">
        <v>39.799999999999997</v>
      </c>
      <c r="DU5">
        <v>38.299999999999997</v>
      </c>
      <c r="DV5" t="s">
        <v>167</v>
      </c>
    </row>
    <row r="6" spans="1:126" x14ac:dyDescent="0.35">
      <c r="A6" t="s">
        <v>170</v>
      </c>
      <c r="B6">
        <v>230110</v>
      </c>
      <c r="C6" s="1">
        <v>44936</v>
      </c>
      <c r="D6" t="s">
        <v>171</v>
      </c>
      <c r="E6" t="s">
        <v>172</v>
      </c>
      <c r="F6" t="s">
        <v>165</v>
      </c>
      <c r="G6" t="s">
        <v>166</v>
      </c>
      <c r="H6">
        <v>55859</v>
      </c>
      <c r="I6" s="17">
        <v>6494</v>
      </c>
      <c r="J6" s="17">
        <v>7107</v>
      </c>
      <c r="K6">
        <v>2759</v>
      </c>
      <c r="L6">
        <v>37443</v>
      </c>
      <c r="M6">
        <v>35296</v>
      </c>
      <c r="N6">
        <v>46696</v>
      </c>
      <c r="O6">
        <v>45162</v>
      </c>
      <c r="P6">
        <v>9163</v>
      </c>
      <c r="Q6">
        <v>10697</v>
      </c>
      <c r="R6">
        <v>49319</v>
      </c>
      <c r="S6">
        <v>6632</v>
      </c>
      <c r="T6">
        <v>7016</v>
      </c>
      <c r="U6">
        <v>2485</v>
      </c>
      <c r="V6">
        <v>31830</v>
      </c>
      <c r="W6">
        <v>31240</v>
      </c>
      <c r="X6">
        <v>40947</v>
      </c>
      <c r="Y6">
        <v>40741</v>
      </c>
      <c r="Z6">
        <v>8372</v>
      </c>
      <c r="AA6">
        <v>8578</v>
      </c>
      <c r="AB6">
        <v>6540</v>
      </c>
      <c r="AC6">
        <v>27</v>
      </c>
      <c r="AD6">
        <v>256</v>
      </c>
      <c r="AE6">
        <v>109</v>
      </c>
      <c r="AF6">
        <v>5613</v>
      </c>
      <c r="AG6">
        <v>4056</v>
      </c>
      <c r="AH6">
        <v>5749</v>
      </c>
      <c r="AI6">
        <v>4421</v>
      </c>
      <c r="AJ6">
        <v>791</v>
      </c>
      <c r="AK6">
        <v>2119</v>
      </c>
      <c r="AL6">
        <v>2312</v>
      </c>
      <c r="AM6">
        <v>360</v>
      </c>
      <c r="AN6">
        <v>787</v>
      </c>
      <c r="AO6">
        <v>180</v>
      </c>
      <c r="AP6">
        <v>2032</v>
      </c>
      <c r="AQ6">
        <v>662</v>
      </c>
      <c r="AR6">
        <v>2572</v>
      </c>
      <c r="AS6">
        <v>1629</v>
      </c>
      <c r="AT6">
        <v>-260</v>
      </c>
      <c r="AU6">
        <v>683</v>
      </c>
      <c r="AV6">
        <v>100</v>
      </c>
      <c r="AW6">
        <v>11.6</v>
      </c>
      <c r="AX6">
        <v>12.7</v>
      </c>
      <c r="AY6">
        <v>4.9000000000000004</v>
      </c>
      <c r="AZ6">
        <v>67</v>
      </c>
      <c r="BA6">
        <v>63.2</v>
      </c>
      <c r="BB6">
        <v>83.6</v>
      </c>
      <c r="BC6">
        <v>80.8</v>
      </c>
      <c r="BD6">
        <v>16.399999999999999</v>
      </c>
      <c r="BE6">
        <v>19.100000000000001</v>
      </c>
      <c r="BF6">
        <v>100</v>
      </c>
      <c r="BG6">
        <v>13.4</v>
      </c>
      <c r="BH6">
        <v>14.2</v>
      </c>
      <c r="BI6">
        <v>5</v>
      </c>
      <c r="BJ6">
        <v>64.5</v>
      </c>
      <c r="BK6">
        <v>63.3</v>
      </c>
      <c r="BL6">
        <v>83</v>
      </c>
      <c r="BM6">
        <v>82.6</v>
      </c>
      <c r="BN6">
        <v>17</v>
      </c>
      <c r="BO6">
        <v>17.399999999999999</v>
      </c>
      <c r="BP6">
        <v>100</v>
      </c>
      <c r="BQ6">
        <v>0.4</v>
      </c>
      <c r="BR6">
        <v>3.9</v>
      </c>
      <c r="BS6">
        <v>1.7</v>
      </c>
      <c r="BT6">
        <v>85.8</v>
      </c>
      <c r="BU6">
        <v>62</v>
      </c>
      <c r="BV6">
        <v>87.9</v>
      </c>
      <c r="BW6">
        <v>67.599999999999994</v>
      </c>
      <c r="BX6">
        <v>12.1</v>
      </c>
      <c r="BY6">
        <v>32.4</v>
      </c>
      <c r="BZ6">
        <v>86</v>
      </c>
      <c r="CA6">
        <v>14</v>
      </c>
      <c r="CB6">
        <v>16</v>
      </c>
      <c r="CC6">
        <v>16</v>
      </c>
      <c r="CD6">
        <v>47</v>
      </c>
      <c r="CE6">
        <v>33</v>
      </c>
      <c r="CF6">
        <v>70</v>
      </c>
      <c r="CG6">
        <v>57</v>
      </c>
      <c r="CH6">
        <v>86</v>
      </c>
      <c r="CI6">
        <v>16</v>
      </c>
      <c r="CJ6">
        <v>15</v>
      </c>
      <c r="CK6">
        <v>14</v>
      </c>
      <c r="CL6">
        <v>47</v>
      </c>
      <c r="CM6">
        <v>32</v>
      </c>
      <c r="CN6">
        <v>69</v>
      </c>
      <c r="CO6">
        <v>55</v>
      </c>
      <c r="CP6">
        <v>45</v>
      </c>
      <c r="CQ6">
        <v>2</v>
      </c>
      <c r="CR6">
        <v>8</v>
      </c>
      <c r="CS6">
        <v>2</v>
      </c>
      <c r="CT6">
        <v>16</v>
      </c>
      <c r="CU6">
        <v>20</v>
      </c>
      <c r="CV6">
        <v>20</v>
      </c>
      <c r="CW6">
        <v>29</v>
      </c>
      <c r="CX6">
        <v>31</v>
      </c>
      <c r="CY6">
        <v>29.4</v>
      </c>
      <c r="CZ6">
        <v>41.5</v>
      </c>
      <c r="DA6">
        <v>45.9</v>
      </c>
      <c r="DB6">
        <v>19.100000000000001</v>
      </c>
      <c r="DC6">
        <v>21.3</v>
      </c>
      <c r="DD6">
        <v>27</v>
      </c>
      <c r="DE6">
        <v>34.299999999999997</v>
      </c>
      <c r="DF6">
        <v>30</v>
      </c>
      <c r="DG6">
        <v>30.4</v>
      </c>
      <c r="DH6">
        <v>39</v>
      </c>
      <c r="DI6">
        <v>46.6</v>
      </c>
      <c r="DJ6">
        <v>19.100000000000001</v>
      </c>
      <c r="DK6">
        <v>22.3</v>
      </c>
      <c r="DL6">
        <v>26.1</v>
      </c>
      <c r="DM6">
        <v>34.799999999999997</v>
      </c>
      <c r="DN6">
        <v>60.9</v>
      </c>
      <c r="DO6">
        <v>36.1</v>
      </c>
      <c r="DP6">
        <v>78.8</v>
      </c>
      <c r="DQ6">
        <v>50.7</v>
      </c>
      <c r="DR6">
        <v>60.9</v>
      </c>
      <c r="DS6">
        <v>35</v>
      </c>
      <c r="DT6">
        <v>78.8</v>
      </c>
      <c r="DU6">
        <v>49.6</v>
      </c>
      <c r="DV6" t="s">
        <v>167</v>
      </c>
    </row>
    <row r="7" spans="1:126" x14ac:dyDescent="0.35">
      <c r="A7" t="s">
        <v>170</v>
      </c>
      <c r="B7">
        <v>230103</v>
      </c>
      <c r="C7" s="1">
        <v>44929</v>
      </c>
      <c r="D7" t="s">
        <v>171</v>
      </c>
      <c r="E7" t="s">
        <v>172</v>
      </c>
      <c r="F7" t="s">
        <v>165</v>
      </c>
      <c r="G7" t="s">
        <v>166</v>
      </c>
      <c r="H7">
        <v>53547</v>
      </c>
      <c r="I7" s="17">
        <v>6134</v>
      </c>
      <c r="J7" s="17">
        <v>6320</v>
      </c>
      <c r="K7">
        <v>2579</v>
      </c>
      <c r="L7">
        <v>35411</v>
      </c>
      <c r="M7">
        <v>34634</v>
      </c>
      <c r="N7">
        <v>44124</v>
      </c>
      <c r="O7">
        <v>43533</v>
      </c>
      <c r="P7">
        <v>9423</v>
      </c>
      <c r="Q7">
        <v>10014</v>
      </c>
      <c r="R7">
        <v>47333</v>
      </c>
      <c r="S7">
        <v>6184</v>
      </c>
      <c r="T7">
        <v>6220</v>
      </c>
      <c r="U7">
        <v>2490</v>
      </c>
      <c r="V7">
        <v>30258</v>
      </c>
      <c r="W7">
        <v>30764</v>
      </c>
      <c r="X7">
        <v>38932</v>
      </c>
      <c r="Y7">
        <v>39474</v>
      </c>
      <c r="Z7">
        <v>8401</v>
      </c>
      <c r="AA7">
        <v>7859</v>
      </c>
      <c r="AB7">
        <v>6214</v>
      </c>
      <c r="AC7">
        <v>38</v>
      </c>
      <c r="AD7">
        <v>188</v>
      </c>
      <c r="AE7">
        <v>1</v>
      </c>
      <c r="AF7">
        <v>5153</v>
      </c>
      <c r="AG7">
        <v>3870</v>
      </c>
      <c r="AH7">
        <v>5192</v>
      </c>
      <c r="AI7">
        <v>4059</v>
      </c>
      <c r="AJ7">
        <v>1022</v>
      </c>
      <c r="AK7">
        <v>2155</v>
      </c>
      <c r="AL7">
        <v>-571</v>
      </c>
      <c r="AM7">
        <v>-78</v>
      </c>
      <c r="AN7">
        <v>-235</v>
      </c>
      <c r="AO7">
        <v>126</v>
      </c>
      <c r="AP7">
        <v>-1003</v>
      </c>
      <c r="AQ7">
        <v>-960</v>
      </c>
      <c r="AR7">
        <v>-955</v>
      </c>
      <c r="AS7">
        <v>-1069</v>
      </c>
      <c r="AT7">
        <v>384</v>
      </c>
      <c r="AU7">
        <v>498</v>
      </c>
      <c r="AV7">
        <v>100</v>
      </c>
      <c r="AW7">
        <v>11.5</v>
      </c>
      <c r="AX7">
        <v>11.8</v>
      </c>
      <c r="AY7">
        <v>4.8</v>
      </c>
      <c r="AZ7">
        <v>66.099999999999994</v>
      </c>
      <c r="BA7">
        <v>64.7</v>
      </c>
      <c r="BB7">
        <v>82.4</v>
      </c>
      <c r="BC7">
        <v>81.3</v>
      </c>
      <c r="BD7">
        <v>17.600000000000001</v>
      </c>
      <c r="BE7">
        <v>18.7</v>
      </c>
      <c r="BF7">
        <v>100</v>
      </c>
      <c r="BG7">
        <v>13.1</v>
      </c>
      <c r="BH7">
        <v>13.1</v>
      </c>
      <c r="BI7">
        <v>5.3</v>
      </c>
      <c r="BJ7">
        <v>63.9</v>
      </c>
      <c r="BK7">
        <v>65</v>
      </c>
      <c r="BL7">
        <v>82.3</v>
      </c>
      <c r="BM7">
        <v>83.4</v>
      </c>
      <c r="BN7">
        <v>17.7</v>
      </c>
      <c r="BO7">
        <v>16.600000000000001</v>
      </c>
      <c r="BP7">
        <v>100</v>
      </c>
      <c r="BQ7">
        <v>0.6</v>
      </c>
      <c r="BR7">
        <v>3</v>
      </c>
      <c r="BS7">
        <v>0</v>
      </c>
      <c r="BT7">
        <v>82.9</v>
      </c>
      <c r="BU7">
        <v>62.3</v>
      </c>
      <c r="BV7">
        <v>83.6</v>
      </c>
      <c r="BW7">
        <v>65.3</v>
      </c>
      <c r="BX7">
        <v>16.399999999999999</v>
      </c>
      <c r="BY7">
        <v>34.700000000000003</v>
      </c>
      <c r="BZ7">
        <v>81</v>
      </c>
      <c r="CA7">
        <v>16</v>
      </c>
      <c r="CB7">
        <v>10</v>
      </c>
      <c r="CC7">
        <v>11</v>
      </c>
      <c r="CD7">
        <v>46</v>
      </c>
      <c r="CE7">
        <v>32</v>
      </c>
      <c r="CF7">
        <v>66</v>
      </c>
      <c r="CG7">
        <v>50</v>
      </c>
      <c r="CH7">
        <v>81</v>
      </c>
      <c r="CI7">
        <v>16</v>
      </c>
      <c r="CJ7">
        <v>11</v>
      </c>
      <c r="CK7">
        <v>11</v>
      </c>
      <c r="CL7">
        <v>46</v>
      </c>
      <c r="CM7">
        <v>31</v>
      </c>
      <c r="CN7">
        <v>66</v>
      </c>
      <c r="CO7">
        <v>49</v>
      </c>
      <c r="CP7">
        <v>40</v>
      </c>
      <c r="CQ7">
        <v>3</v>
      </c>
      <c r="CR7">
        <v>5</v>
      </c>
      <c r="CS7">
        <v>1</v>
      </c>
      <c r="CT7">
        <v>14</v>
      </c>
      <c r="CU7">
        <v>20</v>
      </c>
      <c r="CV7">
        <v>17</v>
      </c>
      <c r="CW7">
        <v>26</v>
      </c>
      <c r="CX7">
        <v>32.700000000000003</v>
      </c>
      <c r="CY7">
        <v>31.7</v>
      </c>
      <c r="CZ7">
        <v>42.1</v>
      </c>
      <c r="DA7">
        <v>48.5</v>
      </c>
      <c r="DB7">
        <v>20.100000000000001</v>
      </c>
      <c r="DC7">
        <v>25</v>
      </c>
      <c r="DD7">
        <v>28.1</v>
      </c>
      <c r="DE7">
        <v>36.9</v>
      </c>
      <c r="DF7">
        <v>31.1</v>
      </c>
      <c r="DG7">
        <v>33.5</v>
      </c>
      <c r="DH7">
        <v>39.6</v>
      </c>
      <c r="DI7">
        <v>49.5</v>
      </c>
      <c r="DJ7">
        <v>19</v>
      </c>
      <c r="DK7">
        <v>25.9</v>
      </c>
      <c r="DL7">
        <v>26.1</v>
      </c>
      <c r="DM7">
        <v>37.299999999999997</v>
      </c>
      <c r="DN7">
        <v>61.8</v>
      </c>
      <c r="DO7">
        <v>36.200000000000003</v>
      </c>
      <c r="DP7">
        <v>79.5</v>
      </c>
      <c r="DQ7">
        <v>50.5</v>
      </c>
      <c r="DR7">
        <v>61.8</v>
      </c>
      <c r="DS7">
        <v>35</v>
      </c>
      <c r="DT7">
        <v>79.5</v>
      </c>
      <c r="DU7">
        <v>49.3</v>
      </c>
      <c r="DV7" t="s">
        <v>167</v>
      </c>
    </row>
    <row r="8" spans="1:126" x14ac:dyDescent="0.35">
      <c r="A8" t="s">
        <v>173</v>
      </c>
      <c r="B8">
        <v>230110</v>
      </c>
      <c r="C8" s="1">
        <v>44936</v>
      </c>
      <c r="D8" t="s">
        <v>174</v>
      </c>
      <c r="E8" t="s">
        <v>164</v>
      </c>
      <c r="F8" t="s">
        <v>165</v>
      </c>
      <c r="G8" t="s">
        <v>175</v>
      </c>
      <c r="H8">
        <v>1214817</v>
      </c>
      <c r="I8" s="17">
        <v>332822</v>
      </c>
      <c r="J8" s="17">
        <v>99027</v>
      </c>
      <c r="K8">
        <v>203852</v>
      </c>
      <c r="L8">
        <v>561153</v>
      </c>
      <c r="M8">
        <v>743764</v>
      </c>
      <c r="N8">
        <v>1097827</v>
      </c>
      <c r="O8">
        <v>1046643</v>
      </c>
      <c r="P8">
        <v>116990</v>
      </c>
      <c r="Q8">
        <v>168174</v>
      </c>
      <c r="R8">
        <v>1029143</v>
      </c>
      <c r="S8">
        <v>307187</v>
      </c>
      <c r="T8">
        <v>112290</v>
      </c>
      <c r="U8">
        <v>143594</v>
      </c>
      <c r="V8">
        <v>478524</v>
      </c>
      <c r="W8">
        <v>641485</v>
      </c>
      <c r="X8">
        <v>929305</v>
      </c>
      <c r="Y8">
        <v>897369</v>
      </c>
      <c r="Z8">
        <v>99838</v>
      </c>
      <c r="AA8">
        <v>131774</v>
      </c>
      <c r="AB8">
        <v>185674</v>
      </c>
      <c r="AC8">
        <v>79286</v>
      </c>
      <c r="AD8">
        <v>40388</v>
      </c>
      <c r="AE8">
        <v>6607</v>
      </c>
      <c r="AF8">
        <v>82629</v>
      </c>
      <c r="AG8">
        <v>102279</v>
      </c>
      <c r="AH8">
        <v>168522</v>
      </c>
      <c r="AI8">
        <v>149274</v>
      </c>
      <c r="AJ8">
        <v>17152</v>
      </c>
      <c r="AK8">
        <v>36400</v>
      </c>
      <c r="AL8">
        <v>-6617</v>
      </c>
      <c r="AM8">
        <v>-26671</v>
      </c>
      <c r="AN8">
        <v>7066</v>
      </c>
      <c r="AO8">
        <v>844</v>
      </c>
      <c r="AP8">
        <v>19263</v>
      </c>
      <c r="AQ8">
        <v>-15243</v>
      </c>
      <c r="AR8">
        <v>-6564</v>
      </c>
      <c r="AS8">
        <v>-7333</v>
      </c>
      <c r="AT8">
        <v>-53</v>
      </c>
      <c r="AU8">
        <v>716</v>
      </c>
      <c r="AV8">
        <v>100</v>
      </c>
      <c r="AW8">
        <v>27.4</v>
      </c>
      <c r="AX8">
        <v>8.1999999999999993</v>
      </c>
      <c r="AY8">
        <v>16.8</v>
      </c>
      <c r="AZ8">
        <v>46.2</v>
      </c>
      <c r="BA8">
        <v>61.2</v>
      </c>
      <c r="BB8">
        <v>90.4</v>
      </c>
      <c r="BC8">
        <v>86.2</v>
      </c>
      <c r="BD8">
        <v>9.6</v>
      </c>
      <c r="BE8">
        <v>13.8</v>
      </c>
      <c r="BF8">
        <v>100</v>
      </c>
      <c r="BG8">
        <v>29.8</v>
      </c>
      <c r="BH8">
        <v>10.9</v>
      </c>
      <c r="BI8">
        <v>14</v>
      </c>
      <c r="BJ8">
        <v>46.5</v>
      </c>
      <c r="BK8">
        <v>62.3</v>
      </c>
      <c r="BL8">
        <v>90.3</v>
      </c>
      <c r="BM8">
        <v>87.2</v>
      </c>
      <c r="BN8">
        <v>9.6999999999999993</v>
      </c>
      <c r="BO8">
        <v>12.8</v>
      </c>
      <c r="BP8">
        <v>100</v>
      </c>
      <c r="BQ8">
        <v>42.7</v>
      </c>
      <c r="BR8">
        <v>21.8</v>
      </c>
      <c r="BS8">
        <v>3.6</v>
      </c>
      <c r="BT8">
        <v>44.5</v>
      </c>
      <c r="BU8">
        <v>55.1</v>
      </c>
      <c r="BV8">
        <v>90.8</v>
      </c>
      <c r="BW8">
        <v>80.400000000000006</v>
      </c>
      <c r="BX8">
        <v>9.1999999999999993</v>
      </c>
      <c r="BY8">
        <v>19.600000000000001</v>
      </c>
      <c r="BZ8">
        <v>703</v>
      </c>
      <c r="CA8">
        <v>148</v>
      </c>
      <c r="CB8">
        <v>91</v>
      </c>
      <c r="CC8">
        <v>140</v>
      </c>
      <c r="CD8">
        <v>259</v>
      </c>
      <c r="CE8">
        <v>366</v>
      </c>
      <c r="CF8">
        <v>480</v>
      </c>
      <c r="CG8">
        <v>548</v>
      </c>
      <c r="CH8">
        <v>688</v>
      </c>
      <c r="CI8">
        <v>156</v>
      </c>
      <c r="CJ8">
        <v>88</v>
      </c>
      <c r="CK8">
        <v>115</v>
      </c>
      <c r="CL8">
        <v>247</v>
      </c>
      <c r="CM8">
        <v>349</v>
      </c>
      <c r="CN8">
        <v>457</v>
      </c>
      <c r="CO8">
        <v>509</v>
      </c>
      <c r="CP8">
        <v>465</v>
      </c>
      <c r="CQ8">
        <v>54</v>
      </c>
      <c r="CR8">
        <v>67</v>
      </c>
      <c r="CS8">
        <v>25</v>
      </c>
      <c r="CT8">
        <v>104</v>
      </c>
      <c r="CU8">
        <v>279</v>
      </c>
      <c r="CV8">
        <v>172</v>
      </c>
      <c r="CW8">
        <v>357</v>
      </c>
      <c r="CX8">
        <v>11.2</v>
      </c>
      <c r="CY8">
        <v>9.1</v>
      </c>
      <c r="CZ8">
        <v>18.100000000000001</v>
      </c>
      <c r="DA8">
        <v>15.1</v>
      </c>
      <c r="DB8">
        <v>11.1</v>
      </c>
      <c r="DC8">
        <v>8</v>
      </c>
      <c r="DD8">
        <v>17.899999999999999</v>
      </c>
      <c r="DE8">
        <v>12.2</v>
      </c>
      <c r="DF8">
        <v>12.1</v>
      </c>
      <c r="DG8">
        <v>9.5</v>
      </c>
      <c r="DH8">
        <v>19.7</v>
      </c>
      <c r="DI8">
        <v>16</v>
      </c>
      <c r="DJ8">
        <v>12</v>
      </c>
      <c r="DK8">
        <v>8.9</v>
      </c>
      <c r="DL8">
        <v>19.5</v>
      </c>
      <c r="DM8">
        <v>13.8</v>
      </c>
      <c r="DN8">
        <v>26.5</v>
      </c>
      <c r="DO8">
        <v>12.6</v>
      </c>
      <c r="DP8">
        <v>40.700000000000003</v>
      </c>
      <c r="DQ8">
        <v>20.8</v>
      </c>
      <c r="DR8">
        <v>26.5</v>
      </c>
      <c r="DS8">
        <v>12.6</v>
      </c>
      <c r="DT8">
        <v>40.700000000000003</v>
      </c>
      <c r="DU8">
        <v>20.7</v>
      </c>
      <c r="DV8" t="s">
        <v>167</v>
      </c>
    </row>
    <row r="9" spans="1:126" x14ac:dyDescent="0.35">
      <c r="A9" t="s">
        <v>173</v>
      </c>
      <c r="B9">
        <v>230103</v>
      </c>
      <c r="C9" s="1">
        <v>44929</v>
      </c>
      <c r="D9" t="s">
        <v>174</v>
      </c>
      <c r="E9" t="s">
        <v>164</v>
      </c>
      <c r="F9" t="s">
        <v>165</v>
      </c>
      <c r="G9" t="s">
        <v>175</v>
      </c>
      <c r="H9">
        <v>1221434</v>
      </c>
      <c r="I9" s="17">
        <v>359493</v>
      </c>
      <c r="J9" s="17">
        <v>91961</v>
      </c>
      <c r="K9">
        <v>203008</v>
      </c>
      <c r="L9">
        <v>541890</v>
      </c>
      <c r="M9">
        <v>759007</v>
      </c>
      <c r="N9">
        <v>1104391</v>
      </c>
      <c r="O9">
        <v>1053976</v>
      </c>
      <c r="P9">
        <v>117043</v>
      </c>
      <c r="Q9">
        <v>167458</v>
      </c>
      <c r="R9">
        <v>1041434</v>
      </c>
      <c r="S9">
        <v>327719</v>
      </c>
      <c r="T9">
        <v>101010</v>
      </c>
      <c r="U9">
        <v>149143</v>
      </c>
      <c r="V9">
        <v>463829</v>
      </c>
      <c r="W9">
        <v>657695</v>
      </c>
      <c r="X9">
        <v>940691</v>
      </c>
      <c r="Y9">
        <v>907848</v>
      </c>
      <c r="Z9">
        <v>100743</v>
      </c>
      <c r="AA9">
        <v>133586</v>
      </c>
      <c r="AB9">
        <v>180000</v>
      </c>
      <c r="AC9">
        <v>79038</v>
      </c>
      <c r="AD9">
        <v>38215</v>
      </c>
      <c r="AE9">
        <v>6601</v>
      </c>
      <c r="AF9">
        <v>78061</v>
      </c>
      <c r="AG9">
        <v>101312</v>
      </c>
      <c r="AH9">
        <v>163700</v>
      </c>
      <c r="AI9">
        <v>146128</v>
      </c>
      <c r="AJ9">
        <v>16300</v>
      </c>
      <c r="AK9">
        <v>33872</v>
      </c>
      <c r="AL9">
        <v>34463</v>
      </c>
      <c r="AM9">
        <v>27166</v>
      </c>
      <c r="AN9">
        <v>-5233</v>
      </c>
      <c r="AO9">
        <v>13516</v>
      </c>
      <c r="AP9">
        <v>-3427</v>
      </c>
      <c r="AQ9">
        <v>23817</v>
      </c>
      <c r="AR9">
        <v>37255</v>
      </c>
      <c r="AS9">
        <v>32100</v>
      </c>
      <c r="AT9">
        <v>-2792</v>
      </c>
      <c r="AU9">
        <v>2363</v>
      </c>
      <c r="AV9">
        <v>100</v>
      </c>
      <c r="AW9">
        <v>29.4</v>
      </c>
      <c r="AX9">
        <v>7.5</v>
      </c>
      <c r="AY9">
        <v>16.600000000000001</v>
      </c>
      <c r="AZ9">
        <v>44.4</v>
      </c>
      <c r="BA9">
        <v>62.1</v>
      </c>
      <c r="BB9">
        <v>90.4</v>
      </c>
      <c r="BC9">
        <v>86.3</v>
      </c>
      <c r="BD9">
        <v>9.6</v>
      </c>
      <c r="BE9">
        <v>13.7</v>
      </c>
      <c r="BF9">
        <v>100</v>
      </c>
      <c r="BG9">
        <v>31.5</v>
      </c>
      <c r="BH9">
        <v>9.6999999999999993</v>
      </c>
      <c r="BI9">
        <v>14.3</v>
      </c>
      <c r="BJ9">
        <v>44.5</v>
      </c>
      <c r="BK9">
        <v>63.2</v>
      </c>
      <c r="BL9">
        <v>90.3</v>
      </c>
      <c r="BM9">
        <v>87.2</v>
      </c>
      <c r="BN9">
        <v>9.6999999999999993</v>
      </c>
      <c r="BO9">
        <v>12.8</v>
      </c>
      <c r="BP9">
        <v>100</v>
      </c>
      <c r="BQ9">
        <v>43.9</v>
      </c>
      <c r="BR9">
        <v>21.2</v>
      </c>
      <c r="BS9">
        <v>3.7</v>
      </c>
      <c r="BT9">
        <v>43.4</v>
      </c>
      <c r="BU9">
        <v>56.3</v>
      </c>
      <c r="BV9">
        <v>90.9</v>
      </c>
      <c r="BW9">
        <v>81.2</v>
      </c>
      <c r="BX9">
        <v>9.1</v>
      </c>
      <c r="BY9">
        <v>18.8</v>
      </c>
      <c r="BZ9">
        <v>689</v>
      </c>
      <c r="CA9">
        <v>149</v>
      </c>
      <c r="CB9">
        <v>83</v>
      </c>
      <c r="CC9">
        <v>136</v>
      </c>
      <c r="CD9">
        <v>255</v>
      </c>
      <c r="CE9">
        <v>360</v>
      </c>
      <c r="CF9">
        <v>473</v>
      </c>
      <c r="CG9">
        <v>531</v>
      </c>
      <c r="CH9">
        <v>675</v>
      </c>
      <c r="CI9">
        <v>157</v>
      </c>
      <c r="CJ9">
        <v>80</v>
      </c>
      <c r="CK9">
        <v>111</v>
      </c>
      <c r="CL9">
        <v>243</v>
      </c>
      <c r="CM9">
        <v>343</v>
      </c>
      <c r="CN9">
        <v>449</v>
      </c>
      <c r="CO9">
        <v>494</v>
      </c>
      <c r="CP9">
        <v>463</v>
      </c>
      <c r="CQ9">
        <v>51</v>
      </c>
      <c r="CR9">
        <v>66</v>
      </c>
      <c r="CS9">
        <v>26</v>
      </c>
      <c r="CT9">
        <v>106</v>
      </c>
      <c r="CU9">
        <v>280</v>
      </c>
      <c r="CV9">
        <v>171</v>
      </c>
      <c r="CW9">
        <v>358</v>
      </c>
      <c r="CX9">
        <v>11.3</v>
      </c>
      <c r="CY9">
        <v>9.6</v>
      </c>
      <c r="CZ9">
        <v>18.2</v>
      </c>
      <c r="DA9">
        <v>15.6</v>
      </c>
      <c r="DB9">
        <v>11.2</v>
      </c>
      <c r="DC9">
        <v>8.6999999999999993</v>
      </c>
      <c r="DD9">
        <v>18</v>
      </c>
      <c r="DE9">
        <v>13.3</v>
      </c>
      <c r="DF9">
        <v>12.2</v>
      </c>
      <c r="DG9">
        <v>10.199999999999999</v>
      </c>
      <c r="DH9">
        <v>20</v>
      </c>
      <c r="DI9">
        <v>16.899999999999999</v>
      </c>
      <c r="DJ9">
        <v>12.2</v>
      </c>
      <c r="DK9">
        <v>9.6999999999999993</v>
      </c>
      <c r="DL9">
        <v>20</v>
      </c>
      <c r="DM9">
        <v>14.5</v>
      </c>
      <c r="DN9">
        <v>27.4</v>
      </c>
      <c r="DO9">
        <v>13</v>
      </c>
      <c r="DP9">
        <v>41.6</v>
      </c>
      <c r="DQ9">
        <v>21.4</v>
      </c>
      <c r="DR9">
        <v>27.4</v>
      </c>
      <c r="DS9">
        <v>13</v>
      </c>
      <c r="DT9">
        <v>41.6</v>
      </c>
      <c r="DU9">
        <v>21.2</v>
      </c>
      <c r="DV9" t="s">
        <v>167</v>
      </c>
    </row>
    <row r="10" spans="1:126" x14ac:dyDescent="0.35">
      <c r="A10" t="s">
        <v>176</v>
      </c>
      <c r="B10">
        <v>230110</v>
      </c>
      <c r="C10" s="1">
        <v>44936</v>
      </c>
      <c r="D10" t="s">
        <v>177</v>
      </c>
      <c r="E10" t="s">
        <v>164</v>
      </c>
      <c r="F10" t="s">
        <v>165</v>
      </c>
      <c r="G10" t="s">
        <v>178</v>
      </c>
      <c r="H10">
        <v>3810</v>
      </c>
      <c r="I10" s="17">
        <v>793</v>
      </c>
      <c r="J10" s="17">
        <v>1659</v>
      </c>
      <c r="K10">
        <v>76</v>
      </c>
      <c r="L10">
        <v>870</v>
      </c>
      <c r="M10">
        <v>986</v>
      </c>
      <c r="N10">
        <v>1739</v>
      </c>
      <c r="O10">
        <v>2721</v>
      </c>
      <c r="P10">
        <v>2071</v>
      </c>
      <c r="Q10">
        <v>1089</v>
      </c>
      <c r="R10">
        <v>3608</v>
      </c>
      <c r="S10">
        <v>847</v>
      </c>
      <c r="T10">
        <v>1659</v>
      </c>
      <c r="U10">
        <v>10</v>
      </c>
      <c r="V10">
        <v>870</v>
      </c>
      <c r="W10">
        <v>965</v>
      </c>
      <c r="X10">
        <v>1727</v>
      </c>
      <c r="Y10">
        <v>2634</v>
      </c>
      <c r="Z10">
        <v>1881</v>
      </c>
      <c r="AA10">
        <v>974</v>
      </c>
      <c r="AB10">
        <v>202</v>
      </c>
      <c r="AC10">
        <v>0</v>
      </c>
      <c r="AD10">
        <v>54</v>
      </c>
      <c r="AE10">
        <v>12</v>
      </c>
      <c r="AF10">
        <v>0</v>
      </c>
      <c r="AG10">
        <v>21</v>
      </c>
      <c r="AH10">
        <v>12</v>
      </c>
      <c r="AI10">
        <v>87</v>
      </c>
      <c r="AJ10">
        <v>190</v>
      </c>
      <c r="AK10">
        <v>115</v>
      </c>
      <c r="AL10">
        <v>160</v>
      </c>
      <c r="AM10">
        <v>7</v>
      </c>
      <c r="AN10">
        <v>204</v>
      </c>
      <c r="AO10">
        <v>0</v>
      </c>
      <c r="AP10">
        <v>10</v>
      </c>
      <c r="AQ10">
        <v>-24</v>
      </c>
      <c r="AR10">
        <v>17</v>
      </c>
      <c r="AS10">
        <v>180</v>
      </c>
      <c r="AT10">
        <v>143</v>
      </c>
      <c r="AU10">
        <v>-20</v>
      </c>
      <c r="AV10">
        <v>100</v>
      </c>
      <c r="AW10">
        <v>20.8</v>
      </c>
      <c r="AX10">
        <v>43.5</v>
      </c>
      <c r="AY10">
        <v>2</v>
      </c>
      <c r="AZ10">
        <v>22.8</v>
      </c>
      <c r="BA10">
        <v>25.9</v>
      </c>
      <c r="BB10">
        <v>45.6</v>
      </c>
      <c r="BC10">
        <v>71.400000000000006</v>
      </c>
      <c r="BD10">
        <v>54.4</v>
      </c>
      <c r="BE10">
        <v>28.6</v>
      </c>
      <c r="BF10">
        <v>100</v>
      </c>
      <c r="BG10">
        <v>23.5</v>
      </c>
      <c r="BH10">
        <v>46</v>
      </c>
      <c r="BI10">
        <v>0.3</v>
      </c>
      <c r="BJ10">
        <v>24.1</v>
      </c>
      <c r="BK10">
        <v>26.7</v>
      </c>
      <c r="BL10">
        <v>47.9</v>
      </c>
      <c r="BM10">
        <v>73</v>
      </c>
      <c r="BN10">
        <v>52.1</v>
      </c>
      <c r="BO10">
        <v>27</v>
      </c>
      <c r="BP10">
        <v>100</v>
      </c>
      <c r="BQ10">
        <v>0</v>
      </c>
      <c r="BR10">
        <v>26.7</v>
      </c>
      <c r="BS10">
        <v>5.9</v>
      </c>
      <c r="BT10">
        <v>0</v>
      </c>
      <c r="BU10">
        <v>10.4</v>
      </c>
      <c r="BV10">
        <v>5.9</v>
      </c>
      <c r="BW10">
        <v>43.1</v>
      </c>
      <c r="BX10">
        <v>94.1</v>
      </c>
      <c r="BY10">
        <v>56.9</v>
      </c>
      <c r="BZ10">
        <v>23</v>
      </c>
      <c r="CA10">
        <v>5</v>
      </c>
      <c r="CB10">
        <v>7</v>
      </c>
      <c r="CC10">
        <v>2</v>
      </c>
      <c r="CD10">
        <v>7</v>
      </c>
      <c r="CE10">
        <v>6</v>
      </c>
      <c r="CF10">
        <v>12</v>
      </c>
      <c r="CG10">
        <v>15</v>
      </c>
      <c r="CH10">
        <v>23</v>
      </c>
      <c r="CI10">
        <v>5</v>
      </c>
      <c r="CJ10">
        <v>7</v>
      </c>
      <c r="CK10">
        <v>1</v>
      </c>
      <c r="CL10">
        <v>7</v>
      </c>
      <c r="CM10">
        <v>6</v>
      </c>
      <c r="CN10">
        <v>12</v>
      </c>
      <c r="CO10">
        <v>14</v>
      </c>
      <c r="CP10">
        <v>3</v>
      </c>
      <c r="CQ10">
        <v>0</v>
      </c>
      <c r="CR10">
        <v>2</v>
      </c>
      <c r="CS10">
        <v>1</v>
      </c>
      <c r="CT10">
        <v>0</v>
      </c>
      <c r="CU10">
        <v>1</v>
      </c>
      <c r="CV10">
        <v>1</v>
      </c>
      <c r="CW10">
        <v>3</v>
      </c>
      <c r="CX10">
        <v>27.2</v>
      </c>
      <c r="CY10">
        <v>39.4</v>
      </c>
      <c r="CZ10">
        <v>40.4</v>
      </c>
      <c r="DA10">
        <v>57.9</v>
      </c>
      <c r="DB10">
        <v>27.2</v>
      </c>
      <c r="DC10">
        <v>38.5</v>
      </c>
      <c r="DD10">
        <v>39.700000000000003</v>
      </c>
      <c r="DE10">
        <v>57</v>
      </c>
      <c r="DF10">
        <v>28.7</v>
      </c>
      <c r="DG10">
        <v>41</v>
      </c>
      <c r="DH10">
        <v>42.4</v>
      </c>
      <c r="DI10">
        <v>60.5</v>
      </c>
      <c r="DJ10">
        <v>28.7</v>
      </c>
      <c r="DK10">
        <v>40</v>
      </c>
      <c r="DL10">
        <v>42.4</v>
      </c>
      <c r="DM10">
        <v>59.6</v>
      </c>
      <c r="DN10">
        <v>5.9</v>
      </c>
      <c r="DO10">
        <v>43.1</v>
      </c>
      <c r="DP10">
        <v>5.9</v>
      </c>
      <c r="DQ10">
        <v>43.1</v>
      </c>
      <c r="DR10">
        <v>0</v>
      </c>
      <c r="DS10">
        <v>37.1</v>
      </c>
      <c r="DT10">
        <v>0</v>
      </c>
      <c r="DU10">
        <v>37.1</v>
      </c>
      <c r="DV10" t="s">
        <v>167</v>
      </c>
    </row>
    <row r="11" spans="1:126" x14ac:dyDescent="0.35">
      <c r="A11" t="s">
        <v>176</v>
      </c>
      <c r="B11">
        <v>230103</v>
      </c>
      <c r="C11" s="1">
        <v>44929</v>
      </c>
      <c r="D11" t="s">
        <v>177</v>
      </c>
      <c r="E11" t="s">
        <v>164</v>
      </c>
      <c r="F11" t="s">
        <v>165</v>
      </c>
      <c r="G11" t="s">
        <v>178</v>
      </c>
      <c r="H11">
        <v>3650</v>
      </c>
      <c r="I11" s="17">
        <v>786</v>
      </c>
      <c r="J11" s="17">
        <v>1455</v>
      </c>
      <c r="K11">
        <v>76</v>
      </c>
      <c r="L11">
        <v>860</v>
      </c>
      <c r="M11">
        <v>1010</v>
      </c>
      <c r="N11">
        <v>1722</v>
      </c>
      <c r="O11">
        <v>2541</v>
      </c>
      <c r="P11">
        <v>1928</v>
      </c>
      <c r="Q11">
        <v>1109</v>
      </c>
      <c r="R11">
        <v>3476</v>
      </c>
      <c r="S11">
        <v>826</v>
      </c>
      <c r="T11">
        <v>1455</v>
      </c>
      <c r="U11">
        <v>23</v>
      </c>
      <c r="V11">
        <v>860</v>
      </c>
      <c r="W11">
        <v>989</v>
      </c>
      <c r="X11">
        <v>1709</v>
      </c>
      <c r="Y11">
        <v>2467</v>
      </c>
      <c r="Z11">
        <v>1767</v>
      </c>
      <c r="AA11">
        <v>1009</v>
      </c>
      <c r="AB11">
        <v>174</v>
      </c>
      <c r="AC11">
        <v>0</v>
      </c>
      <c r="AD11">
        <v>40</v>
      </c>
      <c r="AE11">
        <v>13</v>
      </c>
      <c r="AF11">
        <v>0</v>
      </c>
      <c r="AG11">
        <v>21</v>
      </c>
      <c r="AH11">
        <v>13</v>
      </c>
      <c r="AI11">
        <v>74</v>
      </c>
      <c r="AJ11">
        <v>161</v>
      </c>
      <c r="AK11">
        <v>100</v>
      </c>
      <c r="AL11">
        <v>-282</v>
      </c>
      <c r="AM11">
        <v>99</v>
      </c>
      <c r="AN11">
        <v>-242</v>
      </c>
      <c r="AO11">
        <v>23</v>
      </c>
      <c r="AP11">
        <v>-238</v>
      </c>
      <c r="AQ11">
        <v>-60</v>
      </c>
      <c r="AR11">
        <v>-116</v>
      </c>
      <c r="AS11">
        <v>-279</v>
      </c>
      <c r="AT11">
        <v>-166</v>
      </c>
      <c r="AU11">
        <v>-3</v>
      </c>
      <c r="AV11">
        <v>100</v>
      </c>
      <c r="AW11">
        <v>21.5</v>
      </c>
      <c r="AX11">
        <v>39.9</v>
      </c>
      <c r="AY11">
        <v>2.1</v>
      </c>
      <c r="AZ11">
        <v>23.6</v>
      </c>
      <c r="BA11">
        <v>27.7</v>
      </c>
      <c r="BB11">
        <v>47.2</v>
      </c>
      <c r="BC11">
        <v>69.599999999999994</v>
      </c>
      <c r="BD11">
        <v>52.8</v>
      </c>
      <c r="BE11">
        <v>30.4</v>
      </c>
      <c r="BF11">
        <v>100</v>
      </c>
      <c r="BG11">
        <v>23.8</v>
      </c>
      <c r="BH11">
        <v>41.9</v>
      </c>
      <c r="BI11">
        <v>0.7</v>
      </c>
      <c r="BJ11">
        <v>24.7</v>
      </c>
      <c r="BK11">
        <v>28.5</v>
      </c>
      <c r="BL11">
        <v>49.2</v>
      </c>
      <c r="BM11">
        <v>71</v>
      </c>
      <c r="BN11">
        <v>50.8</v>
      </c>
      <c r="BO11">
        <v>29</v>
      </c>
      <c r="BP11">
        <v>100</v>
      </c>
      <c r="BQ11">
        <v>0</v>
      </c>
      <c r="BR11">
        <v>23</v>
      </c>
      <c r="BS11">
        <v>7.5</v>
      </c>
      <c r="BT11">
        <v>0</v>
      </c>
      <c r="BU11">
        <v>12.1</v>
      </c>
      <c r="BV11">
        <v>7.5</v>
      </c>
      <c r="BW11">
        <v>42.5</v>
      </c>
      <c r="BX11">
        <v>92.5</v>
      </c>
      <c r="BY11">
        <v>57.5</v>
      </c>
      <c r="BZ11">
        <v>20</v>
      </c>
      <c r="CA11">
        <v>5</v>
      </c>
      <c r="CB11">
        <v>5</v>
      </c>
      <c r="CC11">
        <v>2</v>
      </c>
      <c r="CD11">
        <v>7</v>
      </c>
      <c r="CE11">
        <v>5</v>
      </c>
      <c r="CF11">
        <v>12</v>
      </c>
      <c r="CG11">
        <v>12</v>
      </c>
      <c r="CH11">
        <v>20</v>
      </c>
      <c r="CI11">
        <v>5</v>
      </c>
      <c r="CJ11">
        <v>5</v>
      </c>
      <c r="CK11">
        <v>1</v>
      </c>
      <c r="CL11">
        <v>7</v>
      </c>
      <c r="CM11">
        <v>5</v>
      </c>
      <c r="CN11">
        <v>12</v>
      </c>
      <c r="CO11">
        <v>11</v>
      </c>
      <c r="CP11">
        <v>3</v>
      </c>
      <c r="CQ11">
        <v>0</v>
      </c>
      <c r="CR11">
        <v>2</v>
      </c>
      <c r="CS11">
        <v>1</v>
      </c>
      <c r="CT11">
        <v>0</v>
      </c>
      <c r="CU11">
        <v>1</v>
      </c>
      <c r="CV11">
        <v>1</v>
      </c>
      <c r="CW11">
        <v>3</v>
      </c>
      <c r="CX11">
        <v>27.3</v>
      </c>
      <c r="CY11">
        <v>44.1</v>
      </c>
      <c r="CZ11">
        <v>41</v>
      </c>
      <c r="DA11">
        <v>65.599999999999994</v>
      </c>
      <c r="DB11">
        <v>27.3</v>
      </c>
      <c r="DC11">
        <v>43.5</v>
      </c>
      <c r="DD11">
        <v>40.200000000000003</v>
      </c>
      <c r="DE11">
        <v>65</v>
      </c>
      <c r="DF11">
        <v>28.7</v>
      </c>
      <c r="DG11">
        <v>45.7</v>
      </c>
      <c r="DH11">
        <v>42.7</v>
      </c>
      <c r="DI11">
        <v>68.3</v>
      </c>
      <c r="DJ11">
        <v>28.7</v>
      </c>
      <c r="DK11">
        <v>45</v>
      </c>
      <c r="DL11">
        <v>42.7</v>
      </c>
      <c r="DM11">
        <v>67.599999999999994</v>
      </c>
      <c r="DN11">
        <v>7.5</v>
      </c>
      <c r="DO11">
        <v>42.5</v>
      </c>
      <c r="DP11">
        <v>7.5</v>
      </c>
      <c r="DQ11">
        <v>42.5</v>
      </c>
      <c r="DR11">
        <v>0</v>
      </c>
      <c r="DS11">
        <v>35.1</v>
      </c>
      <c r="DT11">
        <v>0</v>
      </c>
      <c r="DU11">
        <v>35.1</v>
      </c>
      <c r="DV11" t="s">
        <v>167</v>
      </c>
    </row>
    <row r="12" spans="1:126" x14ac:dyDescent="0.35">
      <c r="A12" t="s">
        <v>179</v>
      </c>
      <c r="B12">
        <v>230110</v>
      </c>
      <c r="C12" s="1">
        <v>44936</v>
      </c>
      <c r="D12" t="s">
        <v>180</v>
      </c>
      <c r="E12" t="s">
        <v>164</v>
      </c>
      <c r="F12" t="s">
        <v>165</v>
      </c>
      <c r="G12" t="s">
        <v>181</v>
      </c>
      <c r="H12">
        <v>620659</v>
      </c>
      <c r="I12" s="17">
        <v>187837</v>
      </c>
      <c r="J12" s="17">
        <v>47509</v>
      </c>
      <c r="K12">
        <v>87628</v>
      </c>
      <c r="L12">
        <v>302217</v>
      </c>
      <c r="M12">
        <v>406383</v>
      </c>
      <c r="N12">
        <v>577682</v>
      </c>
      <c r="O12">
        <v>541520</v>
      </c>
      <c r="P12">
        <v>42977</v>
      </c>
      <c r="Q12">
        <v>79139</v>
      </c>
      <c r="R12">
        <v>519120</v>
      </c>
      <c r="S12">
        <v>174769</v>
      </c>
      <c r="T12">
        <v>43094</v>
      </c>
      <c r="U12">
        <v>58512</v>
      </c>
      <c r="V12">
        <v>250056</v>
      </c>
      <c r="W12">
        <v>362696</v>
      </c>
      <c r="X12">
        <v>483337</v>
      </c>
      <c r="Y12">
        <v>464302</v>
      </c>
      <c r="Z12">
        <v>35783</v>
      </c>
      <c r="AA12">
        <v>54818</v>
      </c>
      <c r="AB12">
        <v>101539</v>
      </c>
      <c r="AC12">
        <v>32908</v>
      </c>
      <c r="AD12">
        <v>24255</v>
      </c>
      <c r="AE12">
        <v>9276</v>
      </c>
      <c r="AF12">
        <v>52161</v>
      </c>
      <c r="AG12">
        <v>43687</v>
      </c>
      <c r="AH12">
        <v>94345</v>
      </c>
      <c r="AI12">
        <v>77218</v>
      </c>
      <c r="AJ12">
        <v>7194</v>
      </c>
      <c r="AK12">
        <v>24321</v>
      </c>
      <c r="AL12">
        <v>17050</v>
      </c>
      <c r="AM12">
        <v>-7483</v>
      </c>
      <c r="AN12">
        <v>828</v>
      </c>
      <c r="AO12">
        <v>6309</v>
      </c>
      <c r="AP12">
        <v>17882</v>
      </c>
      <c r="AQ12">
        <v>10719</v>
      </c>
      <c r="AR12">
        <v>16708</v>
      </c>
      <c r="AS12">
        <v>17856</v>
      </c>
      <c r="AT12">
        <v>342</v>
      </c>
      <c r="AU12">
        <v>-806</v>
      </c>
      <c r="AV12">
        <v>100</v>
      </c>
      <c r="AW12">
        <v>30.3</v>
      </c>
      <c r="AX12">
        <v>7.7</v>
      </c>
      <c r="AY12">
        <v>14.1</v>
      </c>
      <c r="AZ12">
        <v>48.7</v>
      </c>
      <c r="BA12">
        <v>65.5</v>
      </c>
      <c r="BB12">
        <v>93.1</v>
      </c>
      <c r="BC12">
        <v>87.2</v>
      </c>
      <c r="BD12">
        <v>6.9</v>
      </c>
      <c r="BE12">
        <v>12.8</v>
      </c>
      <c r="BF12">
        <v>100</v>
      </c>
      <c r="BG12">
        <v>33.700000000000003</v>
      </c>
      <c r="BH12">
        <v>8.3000000000000007</v>
      </c>
      <c r="BI12">
        <v>11.3</v>
      </c>
      <c r="BJ12">
        <v>48.2</v>
      </c>
      <c r="BK12">
        <v>69.900000000000006</v>
      </c>
      <c r="BL12">
        <v>93.1</v>
      </c>
      <c r="BM12">
        <v>89.4</v>
      </c>
      <c r="BN12">
        <v>6.9</v>
      </c>
      <c r="BO12">
        <v>10.6</v>
      </c>
      <c r="BP12">
        <v>100</v>
      </c>
      <c r="BQ12">
        <v>32.4</v>
      </c>
      <c r="BR12">
        <v>23.9</v>
      </c>
      <c r="BS12">
        <v>9.1</v>
      </c>
      <c r="BT12">
        <v>51.4</v>
      </c>
      <c r="BU12">
        <v>43</v>
      </c>
      <c r="BV12">
        <v>92.9</v>
      </c>
      <c r="BW12">
        <v>76</v>
      </c>
      <c r="BX12">
        <v>7.1</v>
      </c>
      <c r="BY12">
        <v>24</v>
      </c>
      <c r="BZ12">
        <v>500</v>
      </c>
      <c r="CA12">
        <v>147</v>
      </c>
      <c r="CB12">
        <v>82</v>
      </c>
      <c r="CC12">
        <v>128</v>
      </c>
      <c r="CD12">
        <v>149</v>
      </c>
      <c r="CE12">
        <v>216</v>
      </c>
      <c r="CF12">
        <v>365</v>
      </c>
      <c r="CG12">
        <v>378</v>
      </c>
      <c r="CH12">
        <v>489</v>
      </c>
      <c r="CI12">
        <v>146</v>
      </c>
      <c r="CJ12">
        <v>83</v>
      </c>
      <c r="CK12">
        <v>110</v>
      </c>
      <c r="CL12">
        <v>138</v>
      </c>
      <c r="CM12">
        <v>202</v>
      </c>
      <c r="CN12">
        <v>338</v>
      </c>
      <c r="CO12">
        <v>353</v>
      </c>
      <c r="CP12">
        <v>279</v>
      </c>
      <c r="CQ12">
        <v>51</v>
      </c>
      <c r="CR12">
        <v>43</v>
      </c>
      <c r="CS12">
        <v>27</v>
      </c>
      <c r="CT12">
        <v>56</v>
      </c>
      <c r="CU12">
        <v>155</v>
      </c>
      <c r="CV12">
        <v>121</v>
      </c>
      <c r="CW12">
        <v>214</v>
      </c>
      <c r="CX12">
        <v>12.3</v>
      </c>
      <c r="CY12">
        <v>15</v>
      </c>
      <c r="CZ12">
        <v>21.3</v>
      </c>
      <c r="DA12">
        <v>23.8</v>
      </c>
      <c r="DB12">
        <v>11.8</v>
      </c>
      <c r="DC12">
        <v>13.9</v>
      </c>
      <c r="DD12">
        <v>20</v>
      </c>
      <c r="DE12">
        <v>21.6</v>
      </c>
      <c r="DF12">
        <v>13.1</v>
      </c>
      <c r="DG12">
        <v>17.399999999999999</v>
      </c>
      <c r="DH12">
        <v>22.4</v>
      </c>
      <c r="DI12">
        <v>26.8</v>
      </c>
      <c r="DJ12">
        <v>12.6</v>
      </c>
      <c r="DK12">
        <v>16.3</v>
      </c>
      <c r="DL12">
        <v>21.3</v>
      </c>
      <c r="DM12">
        <v>25</v>
      </c>
      <c r="DN12">
        <v>23.4</v>
      </c>
      <c r="DO12">
        <v>19.600000000000001</v>
      </c>
      <c r="DP12">
        <v>40.700000000000003</v>
      </c>
      <c r="DQ12">
        <v>29.8</v>
      </c>
      <c r="DR12">
        <v>23.4</v>
      </c>
      <c r="DS12">
        <v>18.600000000000001</v>
      </c>
      <c r="DT12">
        <v>37.6</v>
      </c>
      <c r="DU12">
        <v>25.6</v>
      </c>
      <c r="DV12" t="s">
        <v>167</v>
      </c>
    </row>
    <row r="13" spans="1:126" x14ac:dyDescent="0.35">
      <c r="A13" t="s">
        <v>179</v>
      </c>
      <c r="B13">
        <v>230103</v>
      </c>
      <c r="C13" s="1">
        <v>44929</v>
      </c>
      <c r="D13" t="s">
        <v>180</v>
      </c>
      <c r="E13" t="s">
        <v>164</v>
      </c>
      <c r="F13" t="s">
        <v>165</v>
      </c>
      <c r="G13" t="s">
        <v>181</v>
      </c>
      <c r="H13">
        <v>603609</v>
      </c>
      <c r="I13" s="17">
        <v>195320</v>
      </c>
      <c r="J13" s="17">
        <v>46681</v>
      </c>
      <c r="K13">
        <v>81319</v>
      </c>
      <c r="L13">
        <v>284335</v>
      </c>
      <c r="M13">
        <v>395664</v>
      </c>
      <c r="N13">
        <v>560974</v>
      </c>
      <c r="O13">
        <v>523664</v>
      </c>
      <c r="P13">
        <v>42635</v>
      </c>
      <c r="Q13">
        <v>79945</v>
      </c>
      <c r="R13">
        <v>509733</v>
      </c>
      <c r="S13">
        <v>182132</v>
      </c>
      <c r="T13">
        <v>42483</v>
      </c>
      <c r="U13">
        <v>55012</v>
      </c>
      <c r="V13">
        <v>236481</v>
      </c>
      <c r="W13">
        <v>355369</v>
      </c>
      <c r="X13">
        <v>473625</v>
      </c>
      <c r="Y13">
        <v>452864</v>
      </c>
      <c r="Z13">
        <v>36108</v>
      </c>
      <c r="AA13">
        <v>56869</v>
      </c>
      <c r="AB13">
        <v>93876</v>
      </c>
      <c r="AC13">
        <v>31189</v>
      </c>
      <c r="AD13">
        <v>22199</v>
      </c>
      <c r="AE13">
        <v>8306</v>
      </c>
      <c r="AF13">
        <v>47854</v>
      </c>
      <c r="AG13">
        <v>40295</v>
      </c>
      <c r="AH13">
        <v>87349</v>
      </c>
      <c r="AI13">
        <v>70800</v>
      </c>
      <c r="AJ13">
        <v>6527</v>
      </c>
      <c r="AK13">
        <v>23076</v>
      </c>
      <c r="AL13">
        <v>8008</v>
      </c>
      <c r="AM13">
        <v>15577</v>
      </c>
      <c r="AN13">
        <v>457</v>
      </c>
      <c r="AO13">
        <v>3077</v>
      </c>
      <c r="AP13">
        <v>-6423</v>
      </c>
      <c r="AQ13">
        <v>4825</v>
      </c>
      <c r="AR13">
        <v>12231</v>
      </c>
      <c r="AS13">
        <v>8359</v>
      </c>
      <c r="AT13">
        <v>-4223</v>
      </c>
      <c r="AU13">
        <v>-351</v>
      </c>
      <c r="AV13">
        <v>100</v>
      </c>
      <c r="AW13">
        <v>32.4</v>
      </c>
      <c r="AX13">
        <v>7.7</v>
      </c>
      <c r="AY13">
        <v>13.5</v>
      </c>
      <c r="AZ13">
        <v>47.1</v>
      </c>
      <c r="BA13">
        <v>65.5</v>
      </c>
      <c r="BB13">
        <v>92.9</v>
      </c>
      <c r="BC13">
        <v>86.8</v>
      </c>
      <c r="BD13">
        <v>7.1</v>
      </c>
      <c r="BE13">
        <v>13.2</v>
      </c>
      <c r="BF13">
        <v>100</v>
      </c>
      <c r="BG13">
        <v>35.700000000000003</v>
      </c>
      <c r="BH13">
        <v>8.3000000000000007</v>
      </c>
      <c r="BI13">
        <v>10.8</v>
      </c>
      <c r="BJ13">
        <v>46.4</v>
      </c>
      <c r="BK13">
        <v>69.7</v>
      </c>
      <c r="BL13">
        <v>92.9</v>
      </c>
      <c r="BM13">
        <v>88.8</v>
      </c>
      <c r="BN13">
        <v>7.1</v>
      </c>
      <c r="BO13">
        <v>11.2</v>
      </c>
      <c r="BP13">
        <v>100</v>
      </c>
      <c r="BQ13">
        <v>33.200000000000003</v>
      </c>
      <c r="BR13">
        <v>23.6</v>
      </c>
      <c r="BS13">
        <v>8.8000000000000007</v>
      </c>
      <c r="BT13">
        <v>51</v>
      </c>
      <c r="BU13">
        <v>42.9</v>
      </c>
      <c r="BV13">
        <v>93</v>
      </c>
      <c r="BW13">
        <v>75.400000000000006</v>
      </c>
      <c r="BX13">
        <v>7</v>
      </c>
      <c r="BY13">
        <v>24.6</v>
      </c>
      <c r="BZ13">
        <v>494</v>
      </c>
      <c r="CA13">
        <v>157</v>
      </c>
      <c r="CB13">
        <v>76</v>
      </c>
      <c r="CC13">
        <v>119</v>
      </c>
      <c r="CD13">
        <v>139</v>
      </c>
      <c r="CE13">
        <v>211</v>
      </c>
      <c r="CF13">
        <v>351</v>
      </c>
      <c r="CG13">
        <v>368</v>
      </c>
      <c r="CH13">
        <v>486</v>
      </c>
      <c r="CI13">
        <v>156</v>
      </c>
      <c r="CJ13">
        <v>77</v>
      </c>
      <c r="CK13">
        <v>104</v>
      </c>
      <c r="CL13">
        <v>129</v>
      </c>
      <c r="CM13">
        <v>200</v>
      </c>
      <c r="CN13">
        <v>328</v>
      </c>
      <c r="CO13">
        <v>348</v>
      </c>
      <c r="CP13">
        <v>275</v>
      </c>
      <c r="CQ13">
        <v>47</v>
      </c>
      <c r="CR13">
        <v>48</v>
      </c>
      <c r="CS13">
        <v>24</v>
      </c>
      <c r="CT13">
        <v>56</v>
      </c>
      <c r="CU13">
        <v>153</v>
      </c>
      <c r="CV13">
        <v>116</v>
      </c>
      <c r="CW13">
        <v>213</v>
      </c>
      <c r="CX13">
        <v>12.3</v>
      </c>
      <c r="CY13">
        <v>15.1</v>
      </c>
      <c r="CZ13">
        <v>21.5</v>
      </c>
      <c r="DA13">
        <v>24.5</v>
      </c>
      <c r="DB13">
        <v>11.8</v>
      </c>
      <c r="DC13">
        <v>14.4</v>
      </c>
      <c r="DD13">
        <v>20.5</v>
      </c>
      <c r="DE13">
        <v>22.7</v>
      </c>
      <c r="DF13">
        <v>12.8</v>
      </c>
      <c r="DG13">
        <v>17.5</v>
      </c>
      <c r="DH13">
        <v>22.6</v>
      </c>
      <c r="DI13">
        <v>27.3</v>
      </c>
      <c r="DJ13">
        <v>12.5</v>
      </c>
      <c r="DK13">
        <v>16.7</v>
      </c>
      <c r="DL13">
        <v>21.8</v>
      </c>
      <c r="DM13">
        <v>25.5</v>
      </c>
      <c r="DN13">
        <v>25.1</v>
      </c>
      <c r="DO13">
        <v>19.399999999999999</v>
      </c>
      <c r="DP13">
        <v>42.9</v>
      </c>
      <c r="DQ13">
        <v>29.3</v>
      </c>
      <c r="DR13">
        <v>24.9</v>
      </c>
      <c r="DS13">
        <v>17.5</v>
      </c>
      <c r="DT13">
        <v>39.1</v>
      </c>
      <c r="DU13">
        <v>24.8</v>
      </c>
      <c r="DV13" t="s">
        <v>167</v>
      </c>
    </row>
    <row r="14" spans="1:126" x14ac:dyDescent="0.35">
      <c r="A14" t="s">
        <v>182</v>
      </c>
      <c r="B14">
        <v>230110</v>
      </c>
      <c r="C14" s="1">
        <v>44936</v>
      </c>
      <c r="D14" t="s">
        <v>183</v>
      </c>
      <c r="E14" t="s">
        <v>184</v>
      </c>
      <c r="F14" t="s">
        <v>185</v>
      </c>
      <c r="G14" t="s">
        <v>186</v>
      </c>
      <c r="H14">
        <v>132224</v>
      </c>
      <c r="I14" s="17">
        <v>39123</v>
      </c>
      <c r="J14" s="17">
        <v>6516</v>
      </c>
      <c r="K14">
        <v>7845</v>
      </c>
      <c r="L14">
        <v>85256</v>
      </c>
      <c r="M14">
        <v>117863</v>
      </c>
      <c r="N14">
        <v>132224</v>
      </c>
      <c r="O14">
        <v>132224</v>
      </c>
      <c r="P14">
        <v>0</v>
      </c>
      <c r="Q14">
        <v>0</v>
      </c>
      <c r="R14">
        <v>132224</v>
      </c>
      <c r="S14">
        <v>39123</v>
      </c>
      <c r="T14">
        <v>6516</v>
      </c>
      <c r="U14">
        <v>7845</v>
      </c>
      <c r="V14">
        <v>85256</v>
      </c>
      <c r="W14">
        <v>117863</v>
      </c>
      <c r="X14">
        <v>132224</v>
      </c>
      <c r="Y14">
        <v>132224</v>
      </c>
      <c r="Z14">
        <v>0</v>
      </c>
      <c r="AA14">
        <v>0</v>
      </c>
      <c r="AB14">
        <v>0</v>
      </c>
      <c r="AC14">
        <v>0</v>
      </c>
      <c r="AD14">
        <v>0</v>
      </c>
      <c r="AE14">
        <v>0</v>
      </c>
      <c r="AF14">
        <v>0</v>
      </c>
      <c r="AG14">
        <v>0</v>
      </c>
      <c r="AH14">
        <v>0</v>
      </c>
      <c r="AI14">
        <v>0</v>
      </c>
      <c r="AJ14">
        <v>0</v>
      </c>
      <c r="AK14">
        <v>0</v>
      </c>
      <c r="AL14">
        <v>-1255</v>
      </c>
      <c r="AM14">
        <v>0</v>
      </c>
      <c r="AN14">
        <v>0</v>
      </c>
      <c r="AO14">
        <v>0</v>
      </c>
      <c r="AP14">
        <v>-1255</v>
      </c>
      <c r="AQ14">
        <v>-1255</v>
      </c>
      <c r="AR14">
        <v>-1255</v>
      </c>
      <c r="AS14">
        <v>-1255</v>
      </c>
      <c r="AT14">
        <v>0</v>
      </c>
      <c r="AU14">
        <v>0</v>
      </c>
      <c r="AV14">
        <v>100</v>
      </c>
      <c r="AW14">
        <v>29.6</v>
      </c>
      <c r="AX14">
        <v>4.9000000000000004</v>
      </c>
      <c r="AY14">
        <v>5.9</v>
      </c>
      <c r="AZ14">
        <v>64.5</v>
      </c>
      <c r="BA14">
        <v>89.1</v>
      </c>
      <c r="BB14">
        <v>100</v>
      </c>
      <c r="BC14">
        <v>100</v>
      </c>
      <c r="BD14">
        <v>0</v>
      </c>
      <c r="BE14">
        <v>0</v>
      </c>
      <c r="BF14">
        <v>100</v>
      </c>
      <c r="BG14">
        <v>29.6</v>
      </c>
      <c r="BH14">
        <v>4.9000000000000004</v>
      </c>
      <c r="BI14">
        <v>5.9</v>
      </c>
      <c r="BJ14">
        <v>64.5</v>
      </c>
      <c r="BK14">
        <v>89.1</v>
      </c>
      <c r="BL14">
        <v>100</v>
      </c>
      <c r="BM14">
        <v>100</v>
      </c>
      <c r="BN14">
        <v>0</v>
      </c>
      <c r="BO14">
        <v>0</v>
      </c>
      <c r="BP14">
        <v>0</v>
      </c>
      <c r="BQ14">
        <v>0</v>
      </c>
      <c r="BR14">
        <v>0</v>
      </c>
      <c r="BS14">
        <v>0</v>
      </c>
      <c r="BT14">
        <v>0</v>
      </c>
      <c r="BU14">
        <v>0</v>
      </c>
      <c r="BV14">
        <v>0</v>
      </c>
      <c r="BW14">
        <v>0</v>
      </c>
      <c r="BX14">
        <v>0</v>
      </c>
      <c r="BY14">
        <v>0</v>
      </c>
      <c r="BZ14">
        <v>29</v>
      </c>
      <c r="CA14">
        <v>7</v>
      </c>
      <c r="CB14">
        <v>3</v>
      </c>
      <c r="CC14">
        <v>5</v>
      </c>
      <c r="CD14">
        <v>16</v>
      </c>
      <c r="CE14">
        <v>9</v>
      </c>
      <c r="CF14">
        <v>26</v>
      </c>
      <c r="CG14">
        <v>15</v>
      </c>
      <c r="CH14">
        <v>29</v>
      </c>
      <c r="CI14">
        <v>7</v>
      </c>
      <c r="CJ14">
        <v>3</v>
      </c>
      <c r="CK14">
        <v>5</v>
      </c>
      <c r="CL14">
        <v>16</v>
      </c>
      <c r="CM14">
        <v>9</v>
      </c>
      <c r="CN14">
        <v>26</v>
      </c>
      <c r="CO14">
        <v>15</v>
      </c>
      <c r="CP14">
        <v>0</v>
      </c>
      <c r="CQ14">
        <v>0</v>
      </c>
      <c r="CR14">
        <v>0</v>
      </c>
      <c r="CS14">
        <v>0</v>
      </c>
      <c r="CT14">
        <v>0</v>
      </c>
      <c r="CU14">
        <v>0</v>
      </c>
      <c r="CV14">
        <v>0</v>
      </c>
      <c r="CW14">
        <v>0</v>
      </c>
      <c r="CX14">
        <v>49.6</v>
      </c>
      <c r="CY14">
        <v>90.4</v>
      </c>
      <c r="CZ14">
        <v>72.400000000000006</v>
      </c>
      <c r="DA14">
        <v>97.5</v>
      </c>
      <c r="DB14">
        <v>49.5</v>
      </c>
      <c r="DC14">
        <v>86.5</v>
      </c>
      <c r="DD14">
        <v>71.2</v>
      </c>
      <c r="DE14">
        <v>88</v>
      </c>
      <c r="DF14">
        <v>49.6</v>
      </c>
      <c r="DG14">
        <v>90.4</v>
      </c>
      <c r="DH14">
        <v>72.400000000000006</v>
      </c>
      <c r="DI14">
        <v>97.5</v>
      </c>
      <c r="DJ14">
        <v>49.5</v>
      </c>
      <c r="DK14">
        <v>86.5</v>
      </c>
      <c r="DL14">
        <v>71.2</v>
      </c>
      <c r="DM14">
        <v>88</v>
      </c>
      <c r="DN14">
        <v>0</v>
      </c>
      <c r="DO14">
        <v>0</v>
      </c>
      <c r="DP14">
        <v>0</v>
      </c>
      <c r="DQ14">
        <v>0</v>
      </c>
      <c r="DR14">
        <v>0</v>
      </c>
      <c r="DS14">
        <v>0</v>
      </c>
      <c r="DT14">
        <v>0</v>
      </c>
      <c r="DU14">
        <v>0</v>
      </c>
      <c r="DV14" t="s">
        <v>187</v>
      </c>
    </row>
    <row r="15" spans="1:126" x14ac:dyDescent="0.35">
      <c r="A15" t="s">
        <v>182</v>
      </c>
      <c r="B15">
        <v>230103</v>
      </c>
      <c r="C15" s="1">
        <v>44929</v>
      </c>
      <c r="D15" t="s">
        <v>183</v>
      </c>
      <c r="E15" t="s">
        <v>184</v>
      </c>
      <c r="F15" t="s">
        <v>185</v>
      </c>
      <c r="G15" t="s">
        <v>186</v>
      </c>
      <c r="H15">
        <v>133479</v>
      </c>
      <c r="I15" s="17">
        <v>39123</v>
      </c>
      <c r="J15" s="17">
        <v>6516</v>
      </c>
      <c r="K15">
        <v>7845</v>
      </c>
      <c r="L15">
        <v>86511</v>
      </c>
      <c r="M15">
        <v>119118</v>
      </c>
      <c r="N15">
        <v>133479</v>
      </c>
      <c r="O15">
        <v>133479</v>
      </c>
      <c r="P15">
        <v>0</v>
      </c>
      <c r="Q15">
        <v>0</v>
      </c>
      <c r="R15">
        <v>133479</v>
      </c>
      <c r="S15">
        <v>39123</v>
      </c>
      <c r="T15">
        <v>6516</v>
      </c>
      <c r="U15">
        <v>7845</v>
      </c>
      <c r="V15">
        <v>86511</v>
      </c>
      <c r="W15">
        <v>119118</v>
      </c>
      <c r="X15">
        <v>133479</v>
      </c>
      <c r="Y15">
        <v>133479</v>
      </c>
      <c r="Z15">
        <v>0</v>
      </c>
      <c r="AA15">
        <v>0</v>
      </c>
      <c r="AB15">
        <v>0</v>
      </c>
      <c r="AC15">
        <v>0</v>
      </c>
      <c r="AD15">
        <v>0</v>
      </c>
      <c r="AE15">
        <v>0</v>
      </c>
      <c r="AF15">
        <v>0</v>
      </c>
      <c r="AG15">
        <v>0</v>
      </c>
      <c r="AH15">
        <v>0</v>
      </c>
      <c r="AI15">
        <v>0</v>
      </c>
      <c r="AJ15">
        <v>0</v>
      </c>
      <c r="AK15">
        <v>0</v>
      </c>
      <c r="AL15">
        <v>0</v>
      </c>
      <c r="AM15">
        <v>0</v>
      </c>
      <c r="AN15">
        <v>0</v>
      </c>
      <c r="AO15">
        <v>0</v>
      </c>
      <c r="AP15">
        <v>0</v>
      </c>
      <c r="AQ15">
        <v>0</v>
      </c>
      <c r="AR15">
        <v>0</v>
      </c>
      <c r="AS15">
        <v>0</v>
      </c>
      <c r="AT15">
        <v>0</v>
      </c>
      <c r="AU15">
        <v>0</v>
      </c>
      <c r="AV15">
        <v>100</v>
      </c>
      <c r="AW15">
        <v>29.3</v>
      </c>
      <c r="AX15">
        <v>4.9000000000000004</v>
      </c>
      <c r="AY15">
        <v>5.9</v>
      </c>
      <c r="AZ15">
        <v>64.8</v>
      </c>
      <c r="BA15">
        <v>89.2</v>
      </c>
      <c r="BB15">
        <v>100</v>
      </c>
      <c r="BC15">
        <v>100</v>
      </c>
      <c r="BD15">
        <v>0</v>
      </c>
      <c r="BE15">
        <v>0</v>
      </c>
      <c r="BF15">
        <v>100</v>
      </c>
      <c r="BG15">
        <v>29.3</v>
      </c>
      <c r="BH15">
        <v>4.9000000000000004</v>
      </c>
      <c r="BI15">
        <v>5.9</v>
      </c>
      <c r="BJ15">
        <v>64.8</v>
      </c>
      <c r="BK15">
        <v>89.2</v>
      </c>
      <c r="BL15">
        <v>100</v>
      </c>
      <c r="BM15">
        <v>100</v>
      </c>
      <c r="BN15">
        <v>0</v>
      </c>
      <c r="BO15">
        <v>0</v>
      </c>
      <c r="BP15">
        <v>0</v>
      </c>
      <c r="BQ15">
        <v>0</v>
      </c>
      <c r="BR15">
        <v>0</v>
      </c>
      <c r="BS15">
        <v>0</v>
      </c>
      <c r="BT15">
        <v>0</v>
      </c>
      <c r="BU15">
        <v>0</v>
      </c>
      <c r="BV15">
        <v>0</v>
      </c>
      <c r="BW15">
        <v>0</v>
      </c>
      <c r="BX15">
        <v>0</v>
      </c>
      <c r="BY15">
        <v>0</v>
      </c>
      <c r="BZ15">
        <v>29</v>
      </c>
      <c r="CA15">
        <v>7</v>
      </c>
      <c r="CB15">
        <v>3</v>
      </c>
      <c r="CC15">
        <v>5</v>
      </c>
      <c r="CD15">
        <v>16</v>
      </c>
      <c r="CE15">
        <v>9</v>
      </c>
      <c r="CF15">
        <v>26</v>
      </c>
      <c r="CG15">
        <v>15</v>
      </c>
      <c r="CH15">
        <v>29</v>
      </c>
      <c r="CI15">
        <v>7</v>
      </c>
      <c r="CJ15">
        <v>3</v>
      </c>
      <c r="CK15">
        <v>5</v>
      </c>
      <c r="CL15">
        <v>16</v>
      </c>
      <c r="CM15">
        <v>9</v>
      </c>
      <c r="CN15">
        <v>26</v>
      </c>
      <c r="CO15">
        <v>15</v>
      </c>
      <c r="CP15">
        <v>0</v>
      </c>
      <c r="CQ15">
        <v>0</v>
      </c>
      <c r="CR15">
        <v>0</v>
      </c>
      <c r="CS15">
        <v>0</v>
      </c>
      <c r="CT15">
        <v>0</v>
      </c>
      <c r="CU15">
        <v>0</v>
      </c>
      <c r="CV15">
        <v>0</v>
      </c>
      <c r="CW15">
        <v>0</v>
      </c>
      <c r="CX15">
        <v>51.1</v>
      </c>
      <c r="CY15">
        <v>90.5</v>
      </c>
      <c r="CZ15">
        <v>73.599999999999994</v>
      </c>
      <c r="DA15">
        <v>97.5</v>
      </c>
      <c r="DB15">
        <v>50.9</v>
      </c>
      <c r="DC15">
        <v>87.6</v>
      </c>
      <c r="DD15">
        <v>72.400000000000006</v>
      </c>
      <c r="DE15">
        <v>89</v>
      </c>
      <c r="DF15">
        <v>51.1</v>
      </c>
      <c r="DG15">
        <v>90.5</v>
      </c>
      <c r="DH15">
        <v>73.599999999999994</v>
      </c>
      <c r="DI15">
        <v>97.5</v>
      </c>
      <c r="DJ15">
        <v>50.9</v>
      </c>
      <c r="DK15">
        <v>87.6</v>
      </c>
      <c r="DL15">
        <v>72.400000000000006</v>
      </c>
      <c r="DM15">
        <v>89</v>
      </c>
      <c r="DN15">
        <v>0</v>
      </c>
      <c r="DO15">
        <v>0</v>
      </c>
      <c r="DP15">
        <v>0</v>
      </c>
      <c r="DQ15">
        <v>0</v>
      </c>
      <c r="DR15">
        <v>0</v>
      </c>
      <c r="DS15">
        <v>0</v>
      </c>
      <c r="DT15">
        <v>0</v>
      </c>
      <c r="DU15">
        <v>0</v>
      </c>
      <c r="DV15" t="s">
        <v>187</v>
      </c>
    </row>
    <row r="16" spans="1:126" x14ac:dyDescent="0.35">
      <c r="A16" t="s">
        <v>188</v>
      </c>
      <c r="B16">
        <v>230110</v>
      </c>
      <c r="C16" s="1">
        <v>44936</v>
      </c>
      <c r="D16" t="s">
        <v>189</v>
      </c>
      <c r="E16" t="s">
        <v>184</v>
      </c>
      <c r="F16" t="s">
        <v>185</v>
      </c>
      <c r="G16" t="s">
        <v>186</v>
      </c>
      <c r="H16">
        <v>250731</v>
      </c>
      <c r="I16" s="17">
        <v>95670</v>
      </c>
      <c r="J16" s="17">
        <v>14138</v>
      </c>
      <c r="K16">
        <v>14882</v>
      </c>
      <c r="L16">
        <v>140158</v>
      </c>
      <c r="M16">
        <v>221711</v>
      </c>
      <c r="N16">
        <v>250710</v>
      </c>
      <c r="O16">
        <v>250731</v>
      </c>
      <c r="P16">
        <v>21</v>
      </c>
      <c r="Q16">
        <v>0</v>
      </c>
      <c r="R16">
        <v>250731</v>
      </c>
      <c r="S16">
        <v>95670</v>
      </c>
      <c r="T16">
        <v>14138</v>
      </c>
      <c r="U16">
        <v>14882</v>
      </c>
      <c r="V16">
        <v>140158</v>
      </c>
      <c r="W16">
        <v>221711</v>
      </c>
      <c r="X16">
        <v>250710</v>
      </c>
      <c r="Y16">
        <v>250731</v>
      </c>
      <c r="Z16">
        <v>21</v>
      </c>
      <c r="AA16">
        <v>0</v>
      </c>
      <c r="AB16">
        <v>0</v>
      </c>
      <c r="AC16">
        <v>0</v>
      </c>
      <c r="AD16">
        <v>0</v>
      </c>
      <c r="AE16">
        <v>0</v>
      </c>
      <c r="AF16">
        <v>0</v>
      </c>
      <c r="AG16">
        <v>0</v>
      </c>
      <c r="AH16">
        <v>0</v>
      </c>
      <c r="AI16">
        <v>0</v>
      </c>
      <c r="AJ16">
        <v>0</v>
      </c>
      <c r="AK16">
        <v>0</v>
      </c>
      <c r="AL16">
        <v>2719</v>
      </c>
      <c r="AM16">
        <v>1485</v>
      </c>
      <c r="AN16">
        <v>449</v>
      </c>
      <c r="AO16">
        <v>307</v>
      </c>
      <c r="AP16">
        <v>927</v>
      </c>
      <c r="AQ16">
        <v>1963</v>
      </c>
      <c r="AR16">
        <v>2719</v>
      </c>
      <c r="AS16">
        <v>2719</v>
      </c>
      <c r="AT16">
        <v>0</v>
      </c>
      <c r="AU16">
        <v>0</v>
      </c>
      <c r="AV16">
        <v>100</v>
      </c>
      <c r="AW16">
        <v>38.200000000000003</v>
      </c>
      <c r="AX16">
        <v>5.6</v>
      </c>
      <c r="AY16">
        <v>5.9</v>
      </c>
      <c r="AZ16">
        <v>55.9</v>
      </c>
      <c r="BA16">
        <v>88.4</v>
      </c>
      <c r="BB16">
        <v>100</v>
      </c>
      <c r="BC16">
        <v>100</v>
      </c>
      <c r="BD16">
        <v>0</v>
      </c>
      <c r="BE16">
        <v>0</v>
      </c>
      <c r="BF16">
        <v>100</v>
      </c>
      <c r="BG16">
        <v>38.200000000000003</v>
      </c>
      <c r="BH16">
        <v>5.6</v>
      </c>
      <c r="BI16">
        <v>5.9</v>
      </c>
      <c r="BJ16">
        <v>55.9</v>
      </c>
      <c r="BK16">
        <v>88.4</v>
      </c>
      <c r="BL16">
        <v>100</v>
      </c>
      <c r="BM16">
        <v>100</v>
      </c>
      <c r="BN16">
        <v>0</v>
      </c>
      <c r="BO16">
        <v>0</v>
      </c>
      <c r="BP16">
        <v>0</v>
      </c>
      <c r="BQ16">
        <v>0</v>
      </c>
      <c r="BR16">
        <v>0</v>
      </c>
      <c r="BS16">
        <v>0</v>
      </c>
      <c r="BT16">
        <v>0</v>
      </c>
      <c r="BU16">
        <v>0</v>
      </c>
      <c r="BV16">
        <v>0</v>
      </c>
      <c r="BW16">
        <v>0</v>
      </c>
      <c r="BX16">
        <v>0</v>
      </c>
      <c r="BY16">
        <v>0</v>
      </c>
      <c r="BZ16">
        <v>48</v>
      </c>
      <c r="CA16">
        <v>11</v>
      </c>
      <c r="CB16">
        <v>4</v>
      </c>
      <c r="CC16">
        <v>8</v>
      </c>
      <c r="CD16">
        <v>25</v>
      </c>
      <c r="CE16">
        <v>19</v>
      </c>
      <c r="CF16">
        <v>38</v>
      </c>
      <c r="CG16">
        <v>30</v>
      </c>
      <c r="CH16">
        <v>48</v>
      </c>
      <c r="CI16">
        <v>11</v>
      </c>
      <c r="CJ16">
        <v>4</v>
      </c>
      <c r="CK16">
        <v>8</v>
      </c>
      <c r="CL16">
        <v>25</v>
      </c>
      <c r="CM16">
        <v>19</v>
      </c>
      <c r="CN16">
        <v>38</v>
      </c>
      <c r="CO16">
        <v>30</v>
      </c>
      <c r="CP16">
        <v>0</v>
      </c>
      <c r="CQ16">
        <v>0</v>
      </c>
      <c r="CR16">
        <v>0</v>
      </c>
      <c r="CS16">
        <v>0</v>
      </c>
      <c r="CT16">
        <v>0</v>
      </c>
      <c r="CU16">
        <v>0</v>
      </c>
      <c r="CV16">
        <v>0</v>
      </c>
      <c r="CW16">
        <v>0</v>
      </c>
      <c r="CX16">
        <v>57.2</v>
      </c>
      <c r="CY16">
        <v>65.400000000000006</v>
      </c>
      <c r="CZ16">
        <v>77.2</v>
      </c>
      <c r="DA16">
        <v>85.1</v>
      </c>
      <c r="DB16">
        <v>55.3</v>
      </c>
      <c r="DC16">
        <v>59.9</v>
      </c>
      <c r="DD16">
        <v>67.7</v>
      </c>
      <c r="DE16">
        <v>74.599999999999994</v>
      </c>
      <c r="DF16">
        <v>57.2</v>
      </c>
      <c r="DG16">
        <v>65.400000000000006</v>
      </c>
      <c r="DH16">
        <v>77.2</v>
      </c>
      <c r="DI16">
        <v>85.1</v>
      </c>
      <c r="DJ16">
        <v>55.3</v>
      </c>
      <c r="DK16">
        <v>59.9</v>
      </c>
      <c r="DL16">
        <v>67.7</v>
      </c>
      <c r="DM16">
        <v>74.599999999999994</v>
      </c>
      <c r="DN16">
        <v>0</v>
      </c>
      <c r="DO16">
        <v>0</v>
      </c>
      <c r="DP16">
        <v>0</v>
      </c>
      <c r="DQ16">
        <v>0</v>
      </c>
      <c r="DR16">
        <v>0</v>
      </c>
      <c r="DS16">
        <v>0</v>
      </c>
      <c r="DT16">
        <v>0</v>
      </c>
      <c r="DU16">
        <v>0</v>
      </c>
      <c r="DV16" t="s">
        <v>190</v>
      </c>
    </row>
    <row r="17" spans="1:126" x14ac:dyDescent="0.35">
      <c r="A17" t="s">
        <v>188</v>
      </c>
      <c r="B17">
        <v>230103</v>
      </c>
      <c r="C17" s="1">
        <v>44929</v>
      </c>
      <c r="D17" t="s">
        <v>189</v>
      </c>
      <c r="E17" t="s">
        <v>184</v>
      </c>
      <c r="F17" t="s">
        <v>185</v>
      </c>
      <c r="G17" t="s">
        <v>186</v>
      </c>
      <c r="H17">
        <v>248012</v>
      </c>
      <c r="I17" s="17">
        <v>94185</v>
      </c>
      <c r="J17" s="17">
        <v>13689</v>
      </c>
      <c r="K17">
        <v>14575</v>
      </c>
      <c r="L17">
        <v>139231</v>
      </c>
      <c r="M17">
        <v>219748</v>
      </c>
      <c r="N17">
        <v>247991</v>
      </c>
      <c r="O17">
        <v>248012</v>
      </c>
      <c r="P17">
        <v>21</v>
      </c>
      <c r="Q17">
        <v>0</v>
      </c>
      <c r="R17">
        <v>248012</v>
      </c>
      <c r="S17">
        <v>94185</v>
      </c>
      <c r="T17">
        <v>13689</v>
      </c>
      <c r="U17">
        <v>14575</v>
      </c>
      <c r="V17">
        <v>139231</v>
      </c>
      <c r="W17">
        <v>219748</v>
      </c>
      <c r="X17">
        <v>247991</v>
      </c>
      <c r="Y17">
        <v>248012</v>
      </c>
      <c r="Z17">
        <v>21</v>
      </c>
      <c r="AA17">
        <v>0</v>
      </c>
      <c r="AB17">
        <v>0</v>
      </c>
      <c r="AC17">
        <v>0</v>
      </c>
      <c r="AD17">
        <v>0</v>
      </c>
      <c r="AE17">
        <v>0</v>
      </c>
      <c r="AF17">
        <v>0</v>
      </c>
      <c r="AG17">
        <v>0</v>
      </c>
      <c r="AH17">
        <v>0</v>
      </c>
      <c r="AI17">
        <v>0</v>
      </c>
      <c r="AJ17">
        <v>0</v>
      </c>
      <c r="AK17">
        <v>0</v>
      </c>
      <c r="AL17">
        <v>1729</v>
      </c>
      <c r="AM17">
        <v>2341</v>
      </c>
      <c r="AN17">
        <v>98</v>
      </c>
      <c r="AO17">
        <v>-82</v>
      </c>
      <c r="AP17">
        <v>-530</v>
      </c>
      <c r="AQ17">
        <v>1713</v>
      </c>
      <c r="AR17">
        <v>1729</v>
      </c>
      <c r="AS17">
        <v>1729</v>
      </c>
      <c r="AT17">
        <v>0</v>
      </c>
      <c r="AU17">
        <v>0</v>
      </c>
      <c r="AV17">
        <v>100</v>
      </c>
      <c r="AW17">
        <v>38</v>
      </c>
      <c r="AX17">
        <v>5.5</v>
      </c>
      <c r="AY17">
        <v>5.9</v>
      </c>
      <c r="AZ17">
        <v>56.1</v>
      </c>
      <c r="BA17">
        <v>88.6</v>
      </c>
      <c r="BB17">
        <v>100</v>
      </c>
      <c r="BC17">
        <v>100</v>
      </c>
      <c r="BD17">
        <v>0</v>
      </c>
      <c r="BE17">
        <v>0</v>
      </c>
      <c r="BF17">
        <v>100</v>
      </c>
      <c r="BG17">
        <v>38</v>
      </c>
      <c r="BH17">
        <v>5.5</v>
      </c>
      <c r="BI17">
        <v>5.9</v>
      </c>
      <c r="BJ17">
        <v>56.1</v>
      </c>
      <c r="BK17">
        <v>88.6</v>
      </c>
      <c r="BL17">
        <v>100</v>
      </c>
      <c r="BM17">
        <v>100</v>
      </c>
      <c r="BN17">
        <v>0</v>
      </c>
      <c r="BO17">
        <v>0</v>
      </c>
      <c r="BP17">
        <v>0</v>
      </c>
      <c r="BQ17">
        <v>0</v>
      </c>
      <c r="BR17">
        <v>0</v>
      </c>
      <c r="BS17">
        <v>0</v>
      </c>
      <c r="BT17">
        <v>0</v>
      </c>
      <c r="BU17">
        <v>0</v>
      </c>
      <c r="BV17">
        <v>0</v>
      </c>
      <c r="BW17">
        <v>0</v>
      </c>
      <c r="BX17">
        <v>0</v>
      </c>
      <c r="BY17">
        <v>0</v>
      </c>
      <c r="BZ17">
        <v>48</v>
      </c>
      <c r="CA17">
        <v>11</v>
      </c>
      <c r="CB17">
        <v>4</v>
      </c>
      <c r="CC17">
        <v>7</v>
      </c>
      <c r="CD17">
        <v>25</v>
      </c>
      <c r="CE17">
        <v>18</v>
      </c>
      <c r="CF17">
        <v>38</v>
      </c>
      <c r="CG17">
        <v>28</v>
      </c>
      <c r="CH17">
        <v>48</v>
      </c>
      <c r="CI17">
        <v>11</v>
      </c>
      <c r="CJ17">
        <v>4</v>
      </c>
      <c r="CK17">
        <v>7</v>
      </c>
      <c r="CL17">
        <v>25</v>
      </c>
      <c r="CM17">
        <v>18</v>
      </c>
      <c r="CN17">
        <v>38</v>
      </c>
      <c r="CO17">
        <v>28</v>
      </c>
      <c r="CP17">
        <v>0</v>
      </c>
      <c r="CQ17">
        <v>0</v>
      </c>
      <c r="CR17">
        <v>0</v>
      </c>
      <c r="CS17">
        <v>0</v>
      </c>
      <c r="CT17">
        <v>0</v>
      </c>
      <c r="CU17">
        <v>0</v>
      </c>
      <c r="CV17">
        <v>0</v>
      </c>
      <c r="CW17">
        <v>0</v>
      </c>
      <c r="CX17">
        <v>57.1</v>
      </c>
      <c r="CY17">
        <v>65.8</v>
      </c>
      <c r="CZ17">
        <v>76.900000000000006</v>
      </c>
      <c r="DA17">
        <v>85.4</v>
      </c>
      <c r="DB17">
        <v>55.1</v>
      </c>
      <c r="DC17">
        <v>60.4</v>
      </c>
      <c r="DD17">
        <v>67.900000000000006</v>
      </c>
      <c r="DE17">
        <v>74.8</v>
      </c>
      <c r="DF17">
        <v>57.1</v>
      </c>
      <c r="DG17">
        <v>65.8</v>
      </c>
      <c r="DH17">
        <v>76.900000000000006</v>
      </c>
      <c r="DI17">
        <v>85.4</v>
      </c>
      <c r="DJ17">
        <v>55.1</v>
      </c>
      <c r="DK17">
        <v>60.4</v>
      </c>
      <c r="DL17">
        <v>67.900000000000006</v>
      </c>
      <c r="DM17">
        <v>74.8</v>
      </c>
      <c r="DN17">
        <v>0</v>
      </c>
      <c r="DO17">
        <v>0</v>
      </c>
      <c r="DP17">
        <v>0</v>
      </c>
      <c r="DQ17">
        <v>0</v>
      </c>
      <c r="DR17">
        <v>0</v>
      </c>
      <c r="DS17">
        <v>0</v>
      </c>
      <c r="DT17">
        <v>0</v>
      </c>
      <c r="DU17">
        <v>0</v>
      </c>
      <c r="DV17" t="s">
        <v>190</v>
      </c>
    </row>
    <row r="18" spans="1:126" x14ac:dyDescent="0.35">
      <c r="A18" t="s">
        <v>191</v>
      </c>
      <c r="B18">
        <v>230110</v>
      </c>
      <c r="C18" s="1">
        <v>44936</v>
      </c>
      <c r="D18" t="s">
        <v>192</v>
      </c>
      <c r="E18" t="s">
        <v>184</v>
      </c>
      <c r="F18" t="s">
        <v>185</v>
      </c>
      <c r="G18" t="s">
        <v>186</v>
      </c>
      <c r="H18">
        <v>15678</v>
      </c>
      <c r="I18" s="17">
        <v>3779</v>
      </c>
      <c r="J18" s="17">
        <v>200</v>
      </c>
      <c r="K18">
        <v>1577</v>
      </c>
      <c r="L18">
        <v>10322</v>
      </c>
      <c r="M18">
        <v>13901</v>
      </c>
      <c r="N18">
        <v>15678</v>
      </c>
      <c r="O18">
        <v>15678</v>
      </c>
      <c r="P18">
        <v>0</v>
      </c>
      <c r="Q18">
        <v>0</v>
      </c>
      <c r="R18">
        <v>15678</v>
      </c>
      <c r="S18">
        <v>3779</v>
      </c>
      <c r="T18">
        <v>200</v>
      </c>
      <c r="U18">
        <v>1577</v>
      </c>
      <c r="V18">
        <v>10322</v>
      </c>
      <c r="W18">
        <v>13901</v>
      </c>
      <c r="X18">
        <v>15678</v>
      </c>
      <c r="Y18">
        <v>15678</v>
      </c>
      <c r="Z18">
        <v>0</v>
      </c>
      <c r="AA18">
        <v>0</v>
      </c>
      <c r="AB18">
        <v>0</v>
      </c>
      <c r="AC18">
        <v>0</v>
      </c>
      <c r="AD18">
        <v>0</v>
      </c>
      <c r="AE18">
        <v>0</v>
      </c>
      <c r="AF18">
        <v>0</v>
      </c>
      <c r="AG18">
        <v>0</v>
      </c>
      <c r="AH18">
        <v>0</v>
      </c>
      <c r="AI18">
        <v>0</v>
      </c>
      <c r="AJ18">
        <v>0</v>
      </c>
      <c r="AK18">
        <v>0</v>
      </c>
      <c r="AL18">
        <v>756</v>
      </c>
      <c r="AM18">
        <v>-324</v>
      </c>
      <c r="AN18">
        <v>100</v>
      </c>
      <c r="AO18">
        <v>200</v>
      </c>
      <c r="AP18">
        <v>880</v>
      </c>
      <c r="AQ18">
        <v>456</v>
      </c>
      <c r="AR18">
        <v>756</v>
      </c>
      <c r="AS18">
        <v>756</v>
      </c>
      <c r="AT18">
        <v>0</v>
      </c>
      <c r="AU18">
        <v>0</v>
      </c>
      <c r="AV18">
        <v>100</v>
      </c>
      <c r="AW18">
        <v>24.1</v>
      </c>
      <c r="AX18">
        <v>1.3</v>
      </c>
      <c r="AY18">
        <v>10.1</v>
      </c>
      <c r="AZ18">
        <v>65.8</v>
      </c>
      <c r="BA18">
        <v>88.7</v>
      </c>
      <c r="BB18">
        <v>100</v>
      </c>
      <c r="BC18">
        <v>100</v>
      </c>
      <c r="BD18">
        <v>0</v>
      </c>
      <c r="BE18">
        <v>0</v>
      </c>
      <c r="BF18">
        <v>100</v>
      </c>
      <c r="BG18">
        <v>24.1</v>
      </c>
      <c r="BH18">
        <v>1.3</v>
      </c>
      <c r="BI18">
        <v>10.1</v>
      </c>
      <c r="BJ18">
        <v>65.8</v>
      </c>
      <c r="BK18">
        <v>88.7</v>
      </c>
      <c r="BL18">
        <v>100</v>
      </c>
      <c r="BM18">
        <v>100</v>
      </c>
      <c r="BN18">
        <v>0</v>
      </c>
      <c r="BO18">
        <v>0</v>
      </c>
      <c r="BP18">
        <v>0</v>
      </c>
      <c r="BQ18">
        <v>0</v>
      </c>
      <c r="BR18">
        <v>0</v>
      </c>
      <c r="BS18">
        <v>0</v>
      </c>
      <c r="BT18">
        <v>0</v>
      </c>
      <c r="BU18">
        <v>0</v>
      </c>
      <c r="BV18">
        <v>0</v>
      </c>
      <c r="BW18">
        <v>0</v>
      </c>
      <c r="BX18">
        <v>0</v>
      </c>
      <c r="BY18">
        <v>0</v>
      </c>
      <c r="BZ18">
        <v>21</v>
      </c>
      <c r="CA18">
        <v>11</v>
      </c>
      <c r="CB18">
        <v>1</v>
      </c>
      <c r="CC18">
        <v>3</v>
      </c>
      <c r="CD18">
        <v>9</v>
      </c>
      <c r="CE18">
        <v>5</v>
      </c>
      <c r="CF18">
        <v>20</v>
      </c>
      <c r="CG18">
        <v>9</v>
      </c>
      <c r="CH18">
        <v>21</v>
      </c>
      <c r="CI18">
        <v>11</v>
      </c>
      <c r="CJ18">
        <v>1</v>
      </c>
      <c r="CK18">
        <v>3</v>
      </c>
      <c r="CL18">
        <v>9</v>
      </c>
      <c r="CM18">
        <v>5</v>
      </c>
      <c r="CN18">
        <v>20</v>
      </c>
      <c r="CO18">
        <v>9</v>
      </c>
      <c r="CP18">
        <v>0</v>
      </c>
      <c r="CQ18">
        <v>0</v>
      </c>
      <c r="CR18">
        <v>0</v>
      </c>
      <c r="CS18">
        <v>0</v>
      </c>
      <c r="CT18">
        <v>0</v>
      </c>
      <c r="CU18">
        <v>0</v>
      </c>
      <c r="CV18">
        <v>0</v>
      </c>
      <c r="CW18">
        <v>0</v>
      </c>
      <c r="CX18">
        <v>55.9</v>
      </c>
      <c r="CY18">
        <v>84.2</v>
      </c>
      <c r="CZ18">
        <v>79.900000000000006</v>
      </c>
      <c r="DA18">
        <v>99.4</v>
      </c>
      <c r="DB18">
        <v>37.799999999999997</v>
      </c>
      <c r="DC18">
        <v>55.1</v>
      </c>
      <c r="DD18">
        <v>48.7</v>
      </c>
      <c r="DE18">
        <v>56.4</v>
      </c>
      <c r="DF18">
        <v>55.9</v>
      </c>
      <c r="DG18">
        <v>84.2</v>
      </c>
      <c r="DH18">
        <v>79.900000000000006</v>
      </c>
      <c r="DI18">
        <v>99.4</v>
      </c>
      <c r="DJ18">
        <v>37.799999999999997</v>
      </c>
      <c r="DK18">
        <v>55.1</v>
      </c>
      <c r="DL18">
        <v>48.7</v>
      </c>
      <c r="DM18">
        <v>56.4</v>
      </c>
      <c r="DN18">
        <v>0</v>
      </c>
      <c r="DO18">
        <v>0</v>
      </c>
      <c r="DP18">
        <v>0</v>
      </c>
      <c r="DQ18">
        <v>0</v>
      </c>
      <c r="DR18">
        <v>0</v>
      </c>
      <c r="DS18">
        <v>0</v>
      </c>
      <c r="DT18">
        <v>0</v>
      </c>
      <c r="DU18">
        <v>0</v>
      </c>
      <c r="DV18" t="s">
        <v>193</v>
      </c>
    </row>
    <row r="19" spans="1:126" x14ac:dyDescent="0.35">
      <c r="A19" t="s">
        <v>191</v>
      </c>
      <c r="B19">
        <v>230103</v>
      </c>
      <c r="C19" s="1">
        <v>44929</v>
      </c>
      <c r="D19" t="s">
        <v>192</v>
      </c>
      <c r="E19" t="s">
        <v>184</v>
      </c>
      <c r="F19" t="s">
        <v>185</v>
      </c>
      <c r="G19" t="s">
        <v>186</v>
      </c>
      <c r="H19">
        <v>14922</v>
      </c>
      <c r="I19" s="17">
        <v>4103</v>
      </c>
      <c r="J19" s="17">
        <v>100</v>
      </c>
      <c r="K19">
        <v>1377</v>
      </c>
      <c r="L19">
        <v>9442</v>
      </c>
      <c r="M19">
        <v>13445</v>
      </c>
      <c r="N19">
        <v>14922</v>
      </c>
      <c r="O19">
        <v>14922</v>
      </c>
      <c r="P19">
        <v>0</v>
      </c>
      <c r="Q19">
        <v>0</v>
      </c>
      <c r="R19">
        <v>14922</v>
      </c>
      <c r="S19">
        <v>4103</v>
      </c>
      <c r="T19">
        <v>100</v>
      </c>
      <c r="U19">
        <v>1377</v>
      </c>
      <c r="V19">
        <v>9442</v>
      </c>
      <c r="W19">
        <v>13445</v>
      </c>
      <c r="X19">
        <v>14922</v>
      </c>
      <c r="Y19">
        <v>14922</v>
      </c>
      <c r="Z19">
        <v>0</v>
      </c>
      <c r="AA19">
        <v>0</v>
      </c>
      <c r="AB19">
        <v>0</v>
      </c>
      <c r="AC19">
        <v>0</v>
      </c>
      <c r="AD19">
        <v>0</v>
      </c>
      <c r="AE19">
        <v>0</v>
      </c>
      <c r="AF19">
        <v>0</v>
      </c>
      <c r="AG19">
        <v>0</v>
      </c>
      <c r="AH19">
        <v>0</v>
      </c>
      <c r="AI19">
        <v>0</v>
      </c>
      <c r="AJ19">
        <v>0</v>
      </c>
      <c r="AK19">
        <v>0</v>
      </c>
      <c r="AL19">
        <v>-2303</v>
      </c>
      <c r="AM19">
        <v>-70</v>
      </c>
      <c r="AN19">
        <v>-100</v>
      </c>
      <c r="AO19">
        <v>-540</v>
      </c>
      <c r="AP19">
        <v>-1682</v>
      </c>
      <c r="AQ19">
        <v>-1663</v>
      </c>
      <c r="AR19">
        <v>-2292</v>
      </c>
      <c r="AS19">
        <v>-2303</v>
      </c>
      <c r="AT19">
        <v>-11</v>
      </c>
      <c r="AU19">
        <v>0</v>
      </c>
      <c r="AV19">
        <v>100</v>
      </c>
      <c r="AW19">
        <v>27.5</v>
      </c>
      <c r="AX19">
        <v>0.7</v>
      </c>
      <c r="AY19">
        <v>9.1999999999999993</v>
      </c>
      <c r="AZ19">
        <v>63.3</v>
      </c>
      <c r="BA19">
        <v>90.1</v>
      </c>
      <c r="BB19">
        <v>100</v>
      </c>
      <c r="BC19">
        <v>100</v>
      </c>
      <c r="BD19">
        <v>0</v>
      </c>
      <c r="BE19">
        <v>0</v>
      </c>
      <c r="BF19">
        <v>100</v>
      </c>
      <c r="BG19">
        <v>27.5</v>
      </c>
      <c r="BH19">
        <v>0.7</v>
      </c>
      <c r="BI19">
        <v>9.1999999999999993</v>
      </c>
      <c r="BJ19">
        <v>63.3</v>
      </c>
      <c r="BK19">
        <v>90.1</v>
      </c>
      <c r="BL19">
        <v>100</v>
      </c>
      <c r="BM19">
        <v>100</v>
      </c>
      <c r="BN19">
        <v>0</v>
      </c>
      <c r="BO19">
        <v>0</v>
      </c>
      <c r="BP19">
        <v>0</v>
      </c>
      <c r="BQ19">
        <v>0</v>
      </c>
      <c r="BR19">
        <v>0</v>
      </c>
      <c r="BS19">
        <v>0</v>
      </c>
      <c r="BT19">
        <v>0</v>
      </c>
      <c r="BU19">
        <v>0</v>
      </c>
      <c r="BV19">
        <v>0</v>
      </c>
      <c r="BW19">
        <v>0</v>
      </c>
      <c r="BX19">
        <v>0</v>
      </c>
      <c r="BY19">
        <v>0</v>
      </c>
      <c r="BZ19">
        <v>20</v>
      </c>
      <c r="CA19">
        <v>11</v>
      </c>
      <c r="CB19">
        <v>1</v>
      </c>
      <c r="CC19">
        <v>3</v>
      </c>
      <c r="CD19">
        <v>8</v>
      </c>
      <c r="CE19">
        <v>5</v>
      </c>
      <c r="CF19">
        <v>19</v>
      </c>
      <c r="CG19">
        <v>9</v>
      </c>
      <c r="CH19">
        <v>20</v>
      </c>
      <c r="CI19">
        <v>11</v>
      </c>
      <c r="CJ19">
        <v>1</v>
      </c>
      <c r="CK19">
        <v>3</v>
      </c>
      <c r="CL19">
        <v>8</v>
      </c>
      <c r="CM19">
        <v>5</v>
      </c>
      <c r="CN19">
        <v>19</v>
      </c>
      <c r="CO19">
        <v>9</v>
      </c>
      <c r="CP19">
        <v>0</v>
      </c>
      <c r="CQ19">
        <v>0</v>
      </c>
      <c r="CR19">
        <v>0</v>
      </c>
      <c r="CS19">
        <v>0</v>
      </c>
      <c r="CT19">
        <v>0</v>
      </c>
      <c r="CU19">
        <v>0</v>
      </c>
      <c r="CV19">
        <v>0</v>
      </c>
      <c r="CW19">
        <v>0</v>
      </c>
      <c r="CX19">
        <v>56.7</v>
      </c>
      <c r="CY19">
        <v>88.8</v>
      </c>
      <c r="CZ19">
        <v>80.900000000000006</v>
      </c>
      <c r="DA19">
        <v>99.3</v>
      </c>
      <c r="DB19">
        <v>38.200000000000003</v>
      </c>
      <c r="DC19">
        <v>59.9</v>
      </c>
      <c r="DD19">
        <v>51.6</v>
      </c>
      <c r="DE19">
        <v>60.6</v>
      </c>
      <c r="DF19">
        <v>56.7</v>
      </c>
      <c r="DG19">
        <v>88.8</v>
      </c>
      <c r="DH19">
        <v>80.900000000000006</v>
      </c>
      <c r="DI19">
        <v>99.3</v>
      </c>
      <c r="DJ19">
        <v>38.200000000000003</v>
      </c>
      <c r="DK19">
        <v>59.9</v>
      </c>
      <c r="DL19">
        <v>51.6</v>
      </c>
      <c r="DM19">
        <v>60.6</v>
      </c>
      <c r="DN19">
        <v>0</v>
      </c>
      <c r="DO19">
        <v>0</v>
      </c>
      <c r="DP19">
        <v>0</v>
      </c>
      <c r="DQ19">
        <v>0</v>
      </c>
      <c r="DR19">
        <v>0</v>
      </c>
      <c r="DS19">
        <v>0</v>
      </c>
      <c r="DT19">
        <v>0</v>
      </c>
      <c r="DU19">
        <v>0</v>
      </c>
      <c r="DV19" t="s">
        <v>193</v>
      </c>
    </row>
    <row r="20" spans="1:126" x14ac:dyDescent="0.35">
      <c r="A20" t="s">
        <v>194</v>
      </c>
      <c r="B20">
        <v>230110</v>
      </c>
      <c r="C20" s="1">
        <v>44936</v>
      </c>
      <c r="D20" t="s">
        <v>195</v>
      </c>
      <c r="E20" t="s">
        <v>184</v>
      </c>
      <c r="F20" t="s">
        <v>185</v>
      </c>
      <c r="G20" t="s">
        <v>186</v>
      </c>
      <c r="H20">
        <v>3604</v>
      </c>
      <c r="I20" s="17">
        <v>993</v>
      </c>
      <c r="J20" s="17">
        <v>2277</v>
      </c>
      <c r="K20">
        <v>125</v>
      </c>
      <c r="L20">
        <v>2474</v>
      </c>
      <c r="M20">
        <v>1197</v>
      </c>
      <c r="N20">
        <v>3592</v>
      </c>
      <c r="O20">
        <v>3599</v>
      </c>
      <c r="P20">
        <v>12</v>
      </c>
      <c r="Q20">
        <v>5</v>
      </c>
      <c r="R20">
        <v>3604</v>
      </c>
      <c r="S20">
        <v>993</v>
      </c>
      <c r="T20">
        <v>2277</v>
      </c>
      <c r="U20">
        <v>125</v>
      </c>
      <c r="V20">
        <v>2474</v>
      </c>
      <c r="W20">
        <v>1197</v>
      </c>
      <c r="X20">
        <v>3592</v>
      </c>
      <c r="Y20">
        <v>3599</v>
      </c>
      <c r="Z20">
        <v>12</v>
      </c>
      <c r="AA20">
        <v>5</v>
      </c>
      <c r="AB20">
        <v>0</v>
      </c>
      <c r="AC20">
        <v>0</v>
      </c>
      <c r="AD20">
        <v>0</v>
      </c>
      <c r="AE20">
        <v>0</v>
      </c>
      <c r="AF20">
        <v>0</v>
      </c>
      <c r="AG20">
        <v>0</v>
      </c>
      <c r="AH20">
        <v>0</v>
      </c>
      <c r="AI20">
        <v>0</v>
      </c>
      <c r="AJ20">
        <v>0</v>
      </c>
      <c r="AK20">
        <v>0</v>
      </c>
      <c r="AL20">
        <v>-2071</v>
      </c>
      <c r="AM20">
        <v>487</v>
      </c>
      <c r="AN20">
        <v>190</v>
      </c>
      <c r="AO20">
        <v>-1074</v>
      </c>
      <c r="AP20">
        <v>-1488</v>
      </c>
      <c r="AQ20">
        <v>-1180</v>
      </c>
      <c r="AR20">
        <v>-2075</v>
      </c>
      <c r="AS20">
        <v>-2064</v>
      </c>
      <c r="AT20">
        <v>4</v>
      </c>
      <c r="AU20">
        <v>-7</v>
      </c>
      <c r="AV20">
        <v>100</v>
      </c>
      <c r="AW20">
        <v>27.6</v>
      </c>
      <c r="AX20">
        <v>63.2</v>
      </c>
      <c r="AY20">
        <v>3.5</v>
      </c>
      <c r="AZ20">
        <v>68.599999999999994</v>
      </c>
      <c r="BA20">
        <v>33.200000000000003</v>
      </c>
      <c r="BB20">
        <v>99.7</v>
      </c>
      <c r="BC20">
        <v>99.9</v>
      </c>
      <c r="BD20">
        <v>0.3</v>
      </c>
      <c r="BE20">
        <v>0.1</v>
      </c>
      <c r="BF20">
        <v>100</v>
      </c>
      <c r="BG20">
        <v>27.6</v>
      </c>
      <c r="BH20">
        <v>63.2</v>
      </c>
      <c r="BI20">
        <v>3.5</v>
      </c>
      <c r="BJ20">
        <v>68.599999999999994</v>
      </c>
      <c r="BK20">
        <v>33.200000000000003</v>
      </c>
      <c r="BL20">
        <v>99.7</v>
      </c>
      <c r="BM20">
        <v>99.9</v>
      </c>
      <c r="BN20">
        <v>0.3</v>
      </c>
      <c r="BO20">
        <v>0.1</v>
      </c>
      <c r="BP20">
        <v>0</v>
      </c>
      <c r="BQ20">
        <v>0</v>
      </c>
      <c r="BR20">
        <v>0</v>
      </c>
      <c r="BS20">
        <v>0</v>
      </c>
      <c r="BT20">
        <v>0</v>
      </c>
      <c r="BU20">
        <v>0</v>
      </c>
      <c r="BV20">
        <v>0</v>
      </c>
      <c r="BW20">
        <v>0</v>
      </c>
      <c r="BX20">
        <v>0</v>
      </c>
      <c r="BY20">
        <v>0</v>
      </c>
      <c r="BZ20">
        <v>25</v>
      </c>
      <c r="CA20">
        <v>6</v>
      </c>
      <c r="CB20">
        <v>9</v>
      </c>
      <c r="CC20">
        <v>3</v>
      </c>
      <c r="CD20">
        <v>6</v>
      </c>
      <c r="CE20">
        <v>4</v>
      </c>
      <c r="CF20">
        <v>13</v>
      </c>
      <c r="CG20">
        <v>15</v>
      </c>
      <c r="CH20">
        <v>25</v>
      </c>
      <c r="CI20">
        <v>6</v>
      </c>
      <c r="CJ20">
        <v>9</v>
      </c>
      <c r="CK20">
        <v>3</v>
      </c>
      <c r="CL20">
        <v>6</v>
      </c>
      <c r="CM20">
        <v>4</v>
      </c>
      <c r="CN20">
        <v>13</v>
      </c>
      <c r="CO20">
        <v>15</v>
      </c>
      <c r="CP20">
        <v>0</v>
      </c>
      <c r="CQ20">
        <v>0</v>
      </c>
      <c r="CR20">
        <v>0</v>
      </c>
      <c r="CS20">
        <v>0</v>
      </c>
      <c r="CT20">
        <v>0</v>
      </c>
      <c r="CU20">
        <v>0</v>
      </c>
      <c r="CV20">
        <v>0</v>
      </c>
      <c r="CW20">
        <v>0</v>
      </c>
      <c r="CX20">
        <v>76</v>
      </c>
      <c r="CY20">
        <v>72.7</v>
      </c>
      <c r="CZ20">
        <v>92</v>
      </c>
      <c r="DA20">
        <v>91</v>
      </c>
      <c r="DB20">
        <v>74.099999999999994</v>
      </c>
      <c r="DC20">
        <v>72.7</v>
      </c>
      <c r="DD20">
        <v>89.9</v>
      </c>
      <c r="DE20">
        <v>89.7</v>
      </c>
      <c r="DF20">
        <v>76</v>
      </c>
      <c r="DG20">
        <v>72.7</v>
      </c>
      <c r="DH20">
        <v>92</v>
      </c>
      <c r="DI20">
        <v>91</v>
      </c>
      <c r="DJ20">
        <v>74.099999999999994</v>
      </c>
      <c r="DK20">
        <v>72.7</v>
      </c>
      <c r="DL20">
        <v>89.9</v>
      </c>
      <c r="DM20">
        <v>89.7</v>
      </c>
      <c r="DN20">
        <v>0</v>
      </c>
      <c r="DO20">
        <v>0</v>
      </c>
      <c r="DP20">
        <v>0</v>
      </c>
      <c r="DQ20">
        <v>0</v>
      </c>
      <c r="DR20">
        <v>0</v>
      </c>
      <c r="DS20">
        <v>0</v>
      </c>
      <c r="DT20">
        <v>0</v>
      </c>
      <c r="DU20">
        <v>0</v>
      </c>
      <c r="DV20" t="s">
        <v>196</v>
      </c>
    </row>
    <row r="21" spans="1:126" x14ac:dyDescent="0.35">
      <c r="A21" t="s">
        <v>194</v>
      </c>
      <c r="B21">
        <v>230103</v>
      </c>
      <c r="C21" s="1">
        <v>44929</v>
      </c>
      <c r="D21" t="s">
        <v>195</v>
      </c>
      <c r="E21" t="s">
        <v>184</v>
      </c>
      <c r="F21" t="s">
        <v>185</v>
      </c>
      <c r="G21" t="s">
        <v>186</v>
      </c>
      <c r="H21">
        <v>5675</v>
      </c>
      <c r="I21" s="17">
        <v>506</v>
      </c>
      <c r="J21" s="17">
        <v>2087</v>
      </c>
      <c r="K21">
        <v>1199</v>
      </c>
      <c r="L21">
        <v>3962</v>
      </c>
      <c r="M21">
        <v>2377</v>
      </c>
      <c r="N21">
        <v>5667</v>
      </c>
      <c r="O21">
        <v>5663</v>
      </c>
      <c r="P21">
        <v>8</v>
      </c>
      <c r="Q21">
        <v>12</v>
      </c>
      <c r="R21">
        <v>5675</v>
      </c>
      <c r="S21">
        <v>506</v>
      </c>
      <c r="T21">
        <v>2087</v>
      </c>
      <c r="U21">
        <v>1199</v>
      </c>
      <c r="V21">
        <v>3962</v>
      </c>
      <c r="W21">
        <v>2377</v>
      </c>
      <c r="X21">
        <v>5667</v>
      </c>
      <c r="Y21">
        <v>5663</v>
      </c>
      <c r="Z21">
        <v>8</v>
      </c>
      <c r="AA21">
        <v>12</v>
      </c>
      <c r="AB21">
        <v>0</v>
      </c>
      <c r="AC21">
        <v>0</v>
      </c>
      <c r="AD21">
        <v>0</v>
      </c>
      <c r="AE21">
        <v>0</v>
      </c>
      <c r="AF21">
        <v>0</v>
      </c>
      <c r="AG21">
        <v>0</v>
      </c>
      <c r="AH21">
        <v>0</v>
      </c>
      <c r="AI21">
        <v>0</v>
      </c>
      <c r="AJ21">
        <v>0</v>
      </c>
      <c r="AK21">
        <v>0</v>
      </c>
      <c r="AL21">
        <v>30</v>
      </c>
      <c r="AM21">
        <v>-18</v>
      </c>
      <c r="AN21">
        <v>68</v>
      </c>
      <c r="AO21">
        <v>-18</v>
      </c>
      <c r="AP21">
        <v>58</v>
      </c>
      <c r="AQ21">
        <v>-20</v>
      </c>
      <c r="AR21">
        <v>22</v>
      </c>
      <c r="AS21">
        <v>30</v>
      </c>
      <c r="AT21">
        <v>8</v>
      </c>
      <c r="AU21">
        <v>0</v>
      </c>
      <c r="AV21">
        <v>100</v>
      </c>
      <c r="AW21">
        <v>8.9</v>
      </c>
      <c r="AX21">
        <v>36.799999999999997</v>
      </c>
      <c r="AY21">
        <v>21.1</v>
      </c>
      <c r="AZ21">
        <v>69.8</v>
      </c>
      <c r="BA21">
        <v>41.9</v>
      </c>
      <c r="BB21">
        <v>99.9</v>
      </c>
      <c r="BC21">
        <v>99.8</v>
      </c>
      <c r="BD21">
        <v>0.1</v>
      </c>
      <c r="BE21">
        <v>0.2</v>
      </c>
      <c r="BF21">
        <v>100</v>
      </c>
      <c r="BG21">
        <v>8.9</v>
      </c>
      <c r="BH21">
        <v>36.799999999999997</v>
      </c>
      <c r="BI21">
        <v>21.1</v>
      </c>
      <c r="BJ21">
        <v>69.8</v>
      </c>
      <c r="BK21">
        <v>41.9</v>
      </c>
      <c r="BL21">
        <v>99.9</v>
      </c>
      <c r="BM21">
        <v>99.8</v>
      </c>
      <c r="BN21">
        <v>0.1</v>
      </c>
      <c r="BO21">
        <v>0.2</v>
      </c>
      <c r="BP21">
        <v>0</v>
      </c>
      <c r="BQ21">
        <v>0</v>
      </c>
      <c r="BR21">
        <v>0</v>
      </c>
      <c r="BS21">
        <v>0</v>
      </c>
      <c r="BT21">
        <v>0</v>
      </c>
      <c r="BU21">
        <v>0</v>
      </c>
      <c r="BV21">
        <v>0</v>
      </c>
      <c r="BW21">
        <v>0</v>
      </c>
      <c r="BX21">
        <v>0</v>
      </c>
      <c r="BY21">
        <v>0</v>
      </c>
      <c r="BZ21">
        <v>24</v>
      </c>
      <c r="CA21">
        <v>6</v>
      </c>
      <c r="CB21">
        <v>8</v>
      </c>
      <c r="CC21">
        <v>7</v>
      </c>
      <c r="CD21">
        <v>6</v>
      </c>
      <c r="CE21">
        <v>5</v>
      </c>
      <c r="CF21">
        <v>15</v>
      </c>
      <c r="CG21">
        <v>17</v>
      </c>
      <c r="CH21">
        <v>24</v>
      </c>
      <c r="CI21">
        <v>6</v>
      </c>
      <c r="CJ21">
        <v>8</v>
      </c>
      <c r="CK21">
        <v>7</v>
      </c>
      <c r="CL21">
        <v>6</v>
      </c>
      <c r="CM21">
        <v>5</v>
      </c>
      <c r="CN21">
        <v>15</v>
      </c>
      <c r="CO21">
        <v>17</v>
      </c>
      <c r="CP21">
        <v>0</v>
      </c>
      <c r="CQ21">
        <v>0</v>
      </c>
      <c r="CR21">
        <v>0</v>
      </c>
      <c r="CS21">
        <v>0</v>
      </c>
      <c r="CT21">
        <v>0</v>
      </c>
      <c r="CU21">
        <v>0</v>
      </c>
      <c r="CV21">
        <v>0</v>
      </c>
      <c r="CW21">
        <v>0</v>
      </c>
      <c r="CX21">
        <v>78.5</v>
      </c>
      <c r="CY21">
        <v>73.099999999999994</v>
      </c>
      <c r="CZ21">
        <v>92.6</v>
      </c>
      <c r="DA21">
        <v>89.4</v>
      </c>
      <c r="DB21">
        <v>53.3</v>
      </c>
      <c r="DC21">
        <v>46.1</v>
      </c>
      <c r="DD21">
        <v>59.2</v>
      </c>
      <c r="DE21">
        <v>56.3</v>
      </c>
      <c r="DF21">
        <v>78.5</v>
      </c>
      <c r="DG21">
        <v>73.099999999999994</v>
      </c>
      <c r="DH21">
        <v>92.6</v>
      </c>
      <c r="DI21">
        <v>89.4</v>
      </c>
      <c r="DJ21">
        <v>53.3</v>
      </c>
      <c r="DK21">
        <v>46.1</v>
      </c>
      <c r="DL21">
        <v>59.2</v>
      </c>
      <c r="DM21">
        <v>56.3</v>
      </c>
      <c r="DN21">
        <v>0</v>
      </c>
      <c r="DO21">
        <v>0</v>
      </c>
      <c r="DP21">
        <v>0</v>
      </c>
      <c r="DQ21">
        <v>0</v>
      </c>
      <c r="DR21">
        <v>0</v>
      </c>
      <c r="DS21">
        <v>0</v>
      </c>
      <c r="DT21">
        <v>0</v>
      </c>
      <c r="DU21">
        <v>0</v>
      </c>
      <c r="DV21" t="s">
        <v>196</v>
      </c>
    </row>
    <row r="22" spans="1:126" x14ac:dyDescent="0.35">
      <c r="A22" t="s">
        <v>197</v>
      </c>
      <c r="B22">
        <v>230110</v>
      </c>
      <c r="C22" s="1">
        <v>44936</v>
      </c>
      <c r="D22" t="s">
        <v>198</v>
      </c>
      <c r="E22" t="s">
        <v>184</v>
      </c>
      <c r="F22" t="s">
        <v>185</v>
      </c>
      <c r="G22" t="s">
        <v>186</v>
      </c>
      <c r="H22">
        <v>27972</v>
      </c>
      <c r="I22" s="17">
        <v>3846</v>
      </c>
      <c r="J22" s="17">
        <v>6231</v>
      </c>
      <c r="K22">
        <v>4927</v>
      </c>
      <c r="L22">
        <v>19198</v>
      </c>
      <c r="M22">
        <v>16814</v>
      </c>
      <c r="N22">
        <v>27971</v>
      </c>
      <c r="O22">
        <v>27972</v>
      </c>
      <c r="P22">
        <v>1</v>
      </c>
      <c r="Q22">
        <v>0</v>
      </c>
      <c r="R22">
        <v>27972</v>
      </c>
      <c r="S22">
        <v>3846</v>
      </c>
      <c r="T22">
        <v>6231</v>
      </c>
      <c r="U22">
        <v>4927</v>
      </c>
      <c r="V22">
        <v>19198</v>
      </c>
      <c r="W22">
        <v>16814</v>
      </c>
      <c r="X22">
        <v>27971</v>
      </c>
      <c r="Y22">
        <v>27972</v>
      </c>
      <c r="Z22">
        <v>1</v>
      </c>
      <c r="AA22">
        <v>0</v>
      </c>
      <c r="AB22">
        <v>0</v>
      </c>
      <c r="AC22">
        <v>0</v>
      </c>
      <c r="AD22">
        <v>0</v>
      </c>
      <c r="AE22">
        <v>0</v>
      </c>
      <c r="AF22">
        <v>0</v>
      </c>
      <c r="AG22">
        <v>0</v>
      </c>
      <c r="AH22">
        <v>0</v>
      </c>
      <c r="AI22">
        <v>0</v>
      </c>
      <c r="AJ22">
        <v>0</v>
      </c>
      <c r="AK22">
        <v>0</v>
      </c>
      <c r="AL22">
        <v>0</v>
      </c>
      <c r="AM22">
        <v>0</v>
      </c>
      <c r="AN22">
        <v>0</v>
      </c>
      <c r="AO22">
        <v>0</v>
      </c>
      <c r="AP22">
        <v>0</v>
      </c>
      <c r="AQ22">
        <v>0</v>
      </c>
      <c r="AR22">
        <v>0</v>
      </c>
      <c r="AS22">
        <v>0</v>
      </c>
      <c r="AT22">
        <v>0</v>
      </c>
      <c r="AU22">
        <v>0</v>
      </c>
      <c r="AV22">
        <v>100</v>
      </c>
      <c r="AW22">
        <v>13.7</v>
      </c>
      <c r="AX22">
        <v>22.3</v>
      </c>
      <c r="AY22">
        <v>17.600000000000001</v>
      </c>
      <c r="AZ22">
        <v>68.599999999999994</v>
      </c>
      <c r="BA22">
        <v>60.1</v>
      </c>
      <c r="BB22">
        <v>100</v>
      </c>
      <c r="BC22">
        <v>100</v>
      </c>
      <c r="BD22">
        <v>0</v>
      </c>
      <c r="BE22">
        <v>0</v>
      </c>
      <c r="BF22">
        <v>100</v>
      </c>
      <c r="BG22">
        <v>13.7</v>
      </c>
      <c r="BH22">
        <v>22.3</v>
      </c>
      <c r="BI22">
        <v>17.600000000000001</v>
      </c>
      <c r="BJ22">
        <v>68.599999999999994</v>
      </c>
      <c r="BK22">
        <v>60.1</v>
      </c>
      <c r="BL22">
        <v>100</v>
      </c>
      <c r="BM22">
        <v>100</v>
      </c>
      <c r="BN22">
        <v>0</v>
      </c>
      <c r="BO22">
        <v>0</v>
      </c>
      <c r="BP22">
        <v>0</v>
      </c>
      <c r="BQ22">
        <v>0</v>
      </c>
      <c r="BR22">
        <v>0</v>
      </c>
      <c r="BS22">
        <v>0</v>
      </c>
      <c r="BT22">
        <v>0</v>
      </c>
      <c r="BU22">
        <v>0</v>
      </c>
      <c r="BV22">
        <v>0</v>
      </c>
      <c r="BW22">
        <v>0</v>
      </c>
      <c r="BX22">
        <v>0</v>
      </c>
      <c r="BY22">
        <v>0</v>
      </c>
      <c r="BZ22">
        <v>21</v>
      </c>
      <c r="CA22">
        <v>5</v>
      </c>
      <c r="CB22">
        <v>2</v>
      </c>
      <c r="CC22">
        <v>2</v>
      </c>
      <c r="CD22">
        <v>12</v>
      </c>
      <c r="CE22">
        <v>6</v>
      </c>
      <c r="CF22">
        <v>18</v>
      </c>
      <c r="CG22">
        <v>9</v>
      </c>
      <c r="CH22">
        <v>21</v>
      </c>
      <c r="CI22">
        <v>5</v>
      </c>
      <c r="CJ22">
        <v>2</v>
      </c>
      <c r="CK22">
        <v>2</v>
      </c>
      <c r="CL22">
        <v>12</v>
      </c>
      <c r="CM22">
        <v>6</v>
      </c>
      <c r="CN22">
        <v>18</v>
      </c>
      <c r="CO22">
        <v>9</v>
      </c>
      <c r="CP22">
        <v>0</v>
      </c>
      <c r="CQ22">
        <v>0</v>
      </c>
      <c r="CR22">
        <v>0</v>
      </c>
      <c r="CS22">
        <v>0</v>
      </c>
      <c r="CT22">
        <v>0</v>
      </c>
      <c r="CU22">
        <v>0</v>
      </c>
      <c r="CV22">
        <v>0</v>
      </c>
      <c r="CW22">
        <v>0</v>
      </c>
      <c r="CX22">
        <v>62.6</v>
      </c>
      <c r="CY22">
        <v>77.8</v>
      </c>
      <c r="CZ22">
        <v>84.9</v>
      </c>
      <c r="DA22">
        <v>99.3</v>
      </c>
      <c r="DB22">
        <v>47.5</v>
      </c>
      <c r="DC22">
        <v>51</v>
      </c>
      <c r="DD22">
        <v>58.5</v>
      </c>
      <c r="DE22">
        <v>62.8</v>
      </c>
      <c r="DF22">
        <v>62.6</v>
      </c>
      <c r="DG22">
        <v>77.8</v>
      </c>
      <c r="DH22">
        <v>84.9</v>
      </c>
      <c r="DI22">
        <v>99.3</v>
      </c>
      <c r="DJ22">
        <v>47.5</v>
      </c>
      <c r="DK22">
        <v>51</v>
      </c>
      <c r="DL22">
        <v>58.5</v>
      </c>
      <c r="DM22">
        <v>62.8</v>
      </c>
      <c r="DN22">
        <v>0</v>
      </c>
      <c r="DO22">
        <v>0</v>
      </c>
      <c r="DP22">
        <v>0</v>
      </c>
      <c r="DQ22">
        <v>0</v>
      </c>
      <c r="DR22">
        <v>0</v>
      </c>
      <c r="DS22">
        <v>0</v>
      </c>
      <c r="DT22">
        <v>0</v>
      </c>
      <c r="DU22">
        <v>0</v>
      </c>
      <c r="DV22" t="s">
        <v>199</v>
      </c>
    </row>
    <row r="23" spans="1:126" x14ac:dyDescent="0.35">
      <c r="A23" t="s">
        <v>197</v>
      </c>
      <c r="B23">
        <v>230103</v>
      </c>
      <c r="C23" s="1">
        <v>44929</v>
      </c>
      <c r="D23" t="s">
        <v>198</v>
      </c>
      <c r="E23" t="s">
        <v>184</v>
      </c>
      <c r="F23" t="s">
        <v>185</v>
      </c>
      <c r="G23" t="s">
        <v>186</v>
      </c>
      <c r="H23">
        <v>27972</v>
      </c>
      <c r="I23" s="17">
        <v>3846</v>
      </c>
      <c r="J23" s="17">
        <v>6231</v>
      </c>
      <c r="K23">
        <v>4927</v>
      </c>
      <c r="L23">
        <v>19198</v>
      </c>
      <c r="M23">
        <v>16814</v>
      </c>
      <c r="N23">
        <v>27971</v>
      </c>
      <c r="O23">
        <v>27972</v>
      </c>
      <c r="P23">
        <v>1</v>
      </c>
      <c r="Q23">
        <v>0</v>
      </c>
      <c r="R23">
        <v>27972</v>
      </c>
      <c r="S23">
        <v>3846</v>
      </c>
      <c r="T23">
        <v>6231</v>
      </c>
      <c r="U23">
        <v>4927</v>
      </c>
      <c r="V23">
        <v>19198</v>
      </c>
      <c r="W23">
        <v>16814</v>
      </c>
      <c r="X23">
        <v>27971</v>
      </c>
      <c r="Y23">
        <v>27972</v>
      </c>
      <c r="Z23">
        <v>1</v>
      </c>
      <c r="AA23">
        <v>0</v>
      </c>
      <c r="AB23">
        <v>0</v>
      </c>
      <c r="AC23">
        <v>0</v>
      </c>
      <c r="AD23">
        <v>0</v>
      </c>
      <c r="AE23">
        <v>0</v>
      </c>
      <c r="AF23">
        <v>0</v>
      </c>
      <c r="AG23">
        <v>0</v>
      </c>
      <c r="AH23">
        <v>0</v>
      </c>
      <c r="AI23">
        <v>0</v>
      </c>
      <c r="AJ23">
        <v>0</v>
      </c>
      <c r="AK23">
        <v>0</v>
      </c>
      <c r="AL23">
        <v>0</v>
      </c>
      <c r="AM23">
        <v>0</v>
      </c>
      <c r="AN23">
        <v>0</v>
      </c>
      <c r="AO23">
        <v>0</v>
      </c>
      <c r="AP23">
        <v>0</v>
      </c>
      <c r="AQ23">
        <v>0</v>
      </c>
      <c r="AR23">
        <v>0</v>
      </c>
      <c r="AS23">
        <v>0</v>
      </c>
      <c r="AT23">
        <v>0</v>
      </c>
      <c r="AU23">
        <v>0</v>
      </c>
      <c r="AV23">
        <v>100</v>
      </c>
      <c r="AW23">
        <v>13.7</v>
      </c>
      <c r="AX23">
        <v>22.3</v>
      </c>
      <c r="AY23">
        <v>17.600000000000001</v>
      </c>
      <c r="AZ23">
        <v>68.599999999999994</v>
      </c>
      <c r="BA23">
        <v>60.1</v>
      </c>
      <c r="BB23">
        <v>100</v>
      </c>
      <c r="BC23">
        <v>100</v>
      </c>
      <c r="BD23">
        <v>0</v>
      </c>
      <c r="BE23">
        <v>0</v>
      </c>
      <c r="BF23">
        <v>100</v>
      </c>
      <c r="BG23">
        <v>13.7</v>
      </c>
      <c r="BH23">
        <v>22.3</v>
      </c>
      <c r="BI23">
        <v>17.600000000000001</v>
      </c>
      <c r="BJ23">
        <v>68.599999999999994</v>
      </c>
      <c r="BK23">
        <v>60.1</v>
      </c>
      <c r="BL23">
        <v>100</v>
      </c>
      <c r="BM23">
        <v>100</v>
      </c>
      <c r="BN23">
        <v>0</v>
      </c>
      <c r="BO23">
        <v>0</v>
      </c>
      <c r="BP23">
        <v>0</v>
      </c>
      <c r="BQ23">
        <v>0</v>
      </c>
      <c r="BR23">
        <v>0</v>
      </c>
      <c r="BS23">
        <v>0</v>
      </c>
      <c r="BT23">
        <v>0</v>
      </c>
      <c r="BU23">
        <v>0</v>
      </c>
      <c r="BV23">
        <v>0</v>
      </c>
      <c r="BW23">
        <v>0</v>
      </c>
      <c r="BX23">
        <v>0</v>
      </c>
      <c r="BY23">
        <v>0</v>
      </c>
      <c r="BZ23">
        <v>21</v>
      </c>
      <c r="CA23">
        <v>5</v>
      </c>
      <c r="CB23">
        <v>2</v>
      </c>
      <c r="CC23">
        <v>2</v>
      </c>
      <c r="CD23">
        <v>12</v>
      </c>
      <c r="CE23">
        <v>6</v>
      </c>
      <c r="CF23">
        <v>18</v>
      </c>
      <c r="CG23">
        <v>9</v>
      </c>
      <c r="CH23">
        <v>21</v>
      </c>
      <c r="CI23">
        <v>5</v>
      </c>
      <c r="CJ23">
        <v>2</v>
      </c>
      <c r="CK23">
        <v>2</v>
      </c>
      <c r="CL23">
        <v>12</v>
      </c>
      <c r="CM23">
        <v>6</v>
      </c>
      <c r="CN23">
        <v>18</v>
      </c>
      <c r="CO23">
        <v>9</v>
      </c>
      <c r="CP23">
        <v>0</v>
      </c>
      <c r="CQ23">
        <v>0</v>
      </c>
      <c r="CR23">
        <v>0</v>
      </c>
      <c r="CS23">
        <v>0</v>
      </c>
      <c r="CT23">
        <v>0</v>
      </c>
      <c r="CU23">
        <v>0</v>
      </c>
      <c r="CV23">
        <v>0</v>
      </c>
      <c r="CW23">
        <v>0</v>
      </c>
      <c r="CX23">
        <v>62.6</v>
      </c>
      <c r="CY23">
        <v>77.8</v>
      </c>
      <c r="CZ23">
        <v>84.9</v>
      </c>
      <c r="DA23">
        <v>99.3</v>
      </c>
      <c r="DB23">
        <v>47.5</v>
      </c>
      <c r="DC23">
        <v>51</v>
      </c>
      <c r="DD23">
        <v>58.5</v>
      </c>
      <c r="DE23">
        <v>62.8</v>
      </c>
      <c r="DF23">
        <v>62.6</v>
      </c>
      <c r="DG23">
        <v>77.8</v>
      </c>
      <c r="DH23">
        <v>84.9</v>
      </c>
      <c r="DI23">
        <v>99.3</v>
      </c>
      <c r="DJ23">
        <v>47.5</v>
      </c>
      <c r="DK23">
        <v>51</v>
      </c>
      <c r="DL23">
        <v>58.5</v>
      </c>
      <c r="DM23">
        <v>62.8</v>
      </c>
      <c r="DN23">
        <v>0</v>
      </c>
      <c r="DO23">
        <v>0</v>
      </c>
      <c r="DP23">
        <v>0</v>
      </c>
      <c r="DQ23">
        <v>0</v>
      </c>
      <c r="DR23">
        <v>0</v>
      </c>
      <c r="DS23">
        <v>0</v>
      </c>
      <c r="DT23">
        <v>0</v>
      </c>
      <c r="DU23">
        <v>0</v>
      </c>
      <c r="DV23" t="s">
        <v>199</v>
      </c>
    </row>
    <row r="24" spans="1:126" x14ac:dyDescent="0.35">
      <c r="A24" t="s">
        <v>200</v>
      </c>
      <c r="B24">
        <v>230110</v>
      </c>
      <c r="C24" s="1">
        <v>44936</v>
      </c>
      <c r="D24" t="s">
        <v>201</v>
      </c>
      <c r="E24" t="s">
        <v>184</v>
      </c>
      <c r="F24" t="s">
        <v>185</v>
      </c>
      <c r="G24" t="s">
        <v>186</v>
      </c>
      <c r="H24">
        <v>13240</v>
      </c>
      <c r="I24" s="17">
        <v>2481</v>
      </c>
      <c r="J24" s="17">
        <v>1410</v>
      </c>
      <c r="K24">
        <v>119</v>
      </c>
      <c r="L24">
        <v>10640</v>
      </c>
      <c r="M24">
        <v>11711</v>
      </c>
      <c r="N24">
        <v>13240</v>
      </c>
      <c r="O24">
        <v>13240</v>
      </c>
      <c r="P24">
        <v>0</v>
      </c>
      <c r="Q24">
        <v>0</v>
      </c>
      <c r="R24">
        <v>13240</v>
      </c>
      <c r="S24">
        <v>2481</v>
      </c>
      <c r="T24">
        <v>1410</v>
      </c>
      <c r="U24">
        <v>119</v>
      </c>
      <c r="V24">
        <v>10640</v>
      </c>
      <c r="W24">
        <v>11711</v>
      </c>
      <c r="X24">
        <v>13240</v>
      </c>
      <c r="Y24">
        <v>13240</v>
      </c>
      <c r="Z24">
        <v>0</v>
      </c>
      <c r="AA24">
        <v>0</v>
      </c>
      <c r="AB24">
        <v>0</v>
      </c>
      <c r="AC24">
        <v>0</v>
      </c>
      <c r="AD24">
        <v>0</v>
      </c>
      <c r="AE24">
        <v>0</v>
      </c>
      <c r="AF24">
        <v>0</v>
      </c>
      <c r="AG24">
        <v>0</v>
      </c>
      <c r="AH24">
        <v>0</v>
      </c>
      <c r="AI24">
        <v>0</v>
      </c>
      <c r="AJ24">
        <v>0</v>
      </c>
      <c r="AK24">
        <v>0</v>
      </c>
      <c r="AL24">
        <v>0</v>
      </c>
      <c r="AM24">
        <v>0</v>
      </c>
      <c r="AN24">
        <v>0</v>
      </c>
      <c r="AO24">
        <v>0</v>
      </c>
      <c r="AP24">
        <v>0</v>
      </c>
      <c r="AQ24">
        <v>0</v>
      </c>
      <c r="AR24">
        <v>0</v>
      </c>
      <c r="AS24">
        <v>0</v>
      </c>
      <c r="AT24">
        <v>0</v>
      </c>
      <c r="AU24">
        <v>0</v>
      </c>
      <c r="AV24">
        <v>100</v>
      </c>
      <c r="AW24">
        <v>18.7</v>
      </c>
      <c r="AX24">
        <v>10.6</v>
      </c>
      <c r="AY24">
        <v>0.9</v>
      </c>
      <c r="AZ24">
        <v>80.400000000000006</v>
      </c>
      <c r="BA24">
        <v>88.5</v>
      </c>
      <c r="BB24">
        <v>100</v>
      </c>
      <c r="BC24">
        <v>100</v>
      </c>
      <c r="BD24">
        <v>0</v>
      </c>
      <c r="BE24">
        <v>0</v>
      </c>
      <c r="BF24">
        <v>100</v>
      </c>
      <c r="BG24">
        <v>18.7</v>
      </c>
      <c r="BH24">
        <v>10.6</v>
      </c>
      <c r="BI24">
        <v>0.9</v>
      </c>
      <c r="BJ24">
        <v>80.400000000000006</v>
      </c>
      <c r="BK24">
        <v>88.5</v>
      </c>
      <c r="BL24">
        <v>100</v>
      </c>
      <c r="BM24">
        <v>100</v>
      </c>
      <c r="BN24">
        <v>0</v>
      </c>
      <c r="BO24">
        <v>0</v>
      </c>
      <c r="BP24">
        <v>0</v>
      </c>
      <c r="BQ24">
        <v>0</v>
      </c>
      <c r="BR24">
        <v>0</v>
      </c>
      <c r="BS24">
        <v>0</v>
      </c>
      <c r="BT24">
        <v>0</v>
      </c>
      <c r="BU24">
        <v>0</v>
      </c>
      <c r="BV24">
        <v>0</v>
      </c>
      <c r="BW24">
        <v>0</v>
      </c>
      <c r="BX24">
        <v>0</v>
      </c>
      <c r="BY24">
        <v>0</v>
      </c>
      <c r="BZ24">
        <v>23</v>
      </c>
      <c r="CA24">
        <v>2</v>
      </c>
      <c r="CB24">
        <v>3</v>
      </c>
      <c r="CC24">
        <v>2</v>
      </c>
      <c r="CD24">
        <v>8</v>
      </c>
      <c r="CE24">
        <v>11</v>
      </c>
      <c r="CF24">
        <v>10</v>
      </c>
      <c r="CG24">
        <v>16</v>
      </c>
      <c r="CH24">
        <v>23</v>
      </c>
      <c r="CI24">
        <v>2</v>
      </c>
      <c r="CJ24">
        <v>3</v>
      </c>
      <c r="CK24">
        <v>2</v>
      </c>
      <c r="CL24">
        <v>8</v>
      </c>
      <c r="CM24">
        <v>11</v>
      </c>
      <c r="CN24">
        <v>10</v>
      </c>
      <c r="CO24">
        <v>16</v>
      </c>
      <c r="CP24">
        <v>0</v>
      </c>
      <c r="CQ24">
        <v>0</v>
      </c>
      <c r="CR24">
        <v>0</v>
      </c>
      <c r="CS24">
        <v>0</v>
      </c>
      <c r="CT24">
        <v>0</v>
      </c>
      <c r="CU24">
        <v>0</v>
      </c>
      <c r="CV24">
        <v>0</v>
      </c>
      <c r="CW24">
        <v>0</v>
      </c>
      <c r="CX24">
        <v>86.5</v>
      </c>
      <c r="CY24">
        <v>63.2</v>
      </c>
      <c r="CZ24">
        <v>99.2</v>
      </c>
      <c r="DA24">
        <v>86.8</v>
      </c>
      <c r="DB24">
        <v>86</v>
      </c>
      <c r="DC24">
        <v>61.8</v>
      </c>
      <c r="DD24">
        <v>97.1</v>
      </c>
      <c r="DE24">
        <v>85.2</v>
      </c>
      <c r="DF24">
        <v>86.5</v>
      </c>
      <c r="DG24">
        <v>63.2</v>
      </c>
      <c r="DH24">
        <v>99.2</v>
      </c>
      <c r="DI24">
        <v>86.8</v>
      </c>
      <c r="DJ24">
        <v>86</v>
      </c>
      <c r="DK24">
        <v>61.8</v>
      </c>
      <c r="DL24">
        <v>97.1</v>
      </c>
      <c r="DM24">
        <v>85.2</v>
      </c>
      <c r="DN24">
        <v>0</v>
      </c>
      <c r="DO24">
        <v>0</v>
      </c>
      <c r="DP24">
        <v>0</v>
      </c>
      <c r="DQ24">
        <v>0</v>
      </c>
      <c r="DR24">
        <v>0</v>
      </c>
      <c r="DS24">
        <v>0</v>
      </c>
      <c r="DT24">
        <v>0</v>
      </c>
      <c r="DU24">
        <v>0</v>
      </c>
      <c r="DV24" t="s">
        <v>202</v>
      </c>
    </row>
    <row r="25" spans="1:126" x14ac:dyDescent="0.35">
      <c r="A25" t="s">
        <v>200</v>
      </c>
      <c r="B25">
        <v>230103</v>
      </c>
      <c r="C25" s="1">
        <v>44929</v>
      </c>
      <c r="D25" t="s">
        <v>201</v>
      </c>
      <c r="E25" t="s">
        <v>184</v>
      </c>
      <c r="F25" t="s">
        <v>185</v>
      </c>
      <c r="G25" t="s">
        <v>186</v>
      </c>
      <c r="H25">
        <v>13240</v>
      </c>
      <c r="I25" s="17">
        <v>2481</v>
      </c>
      <c r="J25" s="17">
        <v>1410</v>
      </c>
      <c r="K25">
        <v>119</v>
      </c>
      <c r="L25">
        <v>10640</v>
      </c>
      <c r="M25">
        <v>11711</v>
      </c>
      <c r="N25">
        <v>13240</v>
      </c>
      <c r="O25">
        <v>13240</v>
      </c>
      <c r="P25">
        <v>0</v>
      </c>
      <c r="Q25">
        <v>0</v>
      </c>
      <c r="R25">
        <v>13240</v>
      </c>
      <c r="S25">
        <v>2481</v>
      </c>
      <c r="T25">
        <v>1410</v>
      </c>
      <c r="U25">
        <v>119</v>
      </c>
      <c r="V25">
        <v>10640</v>
      </c>
      <c r="W25">
        <v>11711</v>
      </c>
      <c r="X25">
        <v>13240</v>
      </c>
      <c r="Y25">
        <v>13240</v>
      </c>
      <c r="Z25">
        <v>0</v>
      </c>
      <c r="AA25">
        <v>0</v>
      </c>
      <c r="AB25">
        <v>0</v>
      </c>
      <c r="AC25">
        <v>0</v>
      </c>
      <c r="AD25">
        <v>0</v>
      </c>
      <c r="AE25">
        <v>0</v>
      </c>
      <c r="AF25">
        <v>0</v>
      </c>
      <c r="AG25">
        <v>0</v>
      </c>
      <c r="AH25">
        <v>0</v>
      </c>
      <c r="AI25">
        <v>0</v>
      </c>
      <c r="AJ25">
        <v>0</v>
      </c>
      <c r="AK25">
        <v>0</v>
      </c>
      <c r="AL25">
        <v>0</v>
      </c>
      <c r="AM25">
        <v>0</v>
      </c>
      <c r="AN25">
        <v>0</v>
      </c>
      <c r="AO25">
        <v>0</v>
      </c>
      <c r="AP25">
        <v>0</v>
      </c>
      <c r="AQ25">
        <v>0</v>
      </c>
      <c r="AR25">
        <v>0</v>
      </c>
      <c r="AS25">
        <v>0</v>
      </c>
      <c r="AT25">
        <v>0</v>
      </c>
      <c r="AU25">
        <v>0</v>
      </c>
      <c r="AV25">
        <v>100</v>
      </c>
      <c r="AW25">
        <v>18.7</v>
      </c>
      <c r="AX25">
        <v>10.6</v>
      </c>
      <c r="AY25">
        <v>0.9</v>
      </c>
      <c r="AZ25">
        <v>80.400000000000006</v>
      </c>
      <c r="BA25">
        <v>88.5</v>
      </c>
      <c r="BB25">
        <v>100</v>
      </c>
      <c r="BC25">
        <v>100</v>
      </c>
      <c r="BD25">
        <v>0</v>
      </c>
      <c r="BE25">
        <v>0</v>
      </c>
      <c r="BF25">
        <v>100</v>
      </c>
      <c r="BG25">
        <v>18.7</v>
      </c>
      <c r="BH25">
        <v>10.6</v>
      </c>
      <c r="BI25">
        <v>0.9</v>
      </c>
      <c r="BJ25">
        <v>80.400000000000006</v>
      </c>
      <c r="BK25">
        <v>88.5</v>
      </c>
      <c r="BL25">
        <v>100</v>
      </c>
      <c r="BM25">
        <v>100</v>
      </c>
      <c r="BN25">
        <v>0</v>
      </c>
      <c r="BO25">
        <v>0</v>
      </c>
      <c r="BP25">
        <v>0</v>
      </c>
      <c r="BQ25">
        <v>0</v>
      </c>
      <c r="BR25">
        <v>0</v>
      </c>
      <c r="BS25">
        <v>0</v>
      </c>
      <c r="BT25">
        <v>0</v>
      </c>
      <c r="BU25">
        <v>0</v>
      </c>
      <c r="BV25">
        <v>0</v>
      </c>
      <c r="BW25">
        <v>0</v>
      </c>
      <c r="BX25">
        <v>0</v>
      </c>
      <c r="BY25">
        <v>0</v>
      </c>
      <c r="BZ25">
        <v>23</v>
      </c>
      <c r="CA25">
        <v>2</v>
      </c>
      <c r="CB25">
        <v>3</v>
      </c>
      <c r="CC25">
        <v>2</v>
      </c>
      <c r="CD25">
        <v>8</v>
      </c>
      <c r="CE25">
        <v>11</v>
      </c>
      <c r="CF25">
        <v>10</v>
      </c>
      <c r="CG25">
        <v>16</v>
      </c>
      <c r="CH25">
        <v>23</v>
      </c>
      <c r="CI25">
        <v>2</v>
      </c>
      <c r="CJ25">
        <v>3</v>
      </c>
      <c r="CK25">
        <v>2</v>
      </c>
      <c r="CL25">
        <v>8</v>
      </c>
      <c r="CM25">
        <v>11</v>
      </c>
      <c r="CN25">
        <v>10</v>
      </c>
      <c r="CO25">
        <v>16</v>
      </c>
      <c r="CP25">
        <v>0</v>
      </c>
      <c r="CQ25">
        <v>0</v>
      </c>
      <c r="CR25">
        <v>0</v>
      </c>
      <c r="CS25">
        <v>0</v>
      </c>
      <c r="CT25">
        <v>0</v>
      </c>
      <c r="CU25">
        <v>0</v>
      </c>
      <c r="CV25">
        <v>0</v>
      </c>
      <c r="CW25">
        <v>0</v>
      </c>
      <c r="CX25">
        <v>86.5</v>
      </c>
      <c r="CY25">
        <v>63.2</v>
      </c>
      <c r="CZ25">
        <v>99.2</v>
      </c>
      <c r="DA25">
        <v>86.8</v>
      </c>
      <c r="DB25">
        <v>86</v>
      </c>
      <c r="DC25">
        <v>61.8</v>
      </c>
      <c r="DD25">
        <v>97.1</v>
      </c>
      <c r="DE25">
        <v>85.2</v>
      </c>
      <c r="DF25">
        <v>86.5</v>
      </c>
      <c r="DG25">
        <v>63.2</v>
      </c>
      <c r="DH25">
        <v>99.2</v>
      </c>
      <c r="DI25">
        <v>86.8</v>
      </c>
      <c r="DJ25">
        <v>86</v>
      </c>
      <c r="DK25">
        <v>61.8</v>
      </c>
      <c r="DL25">
        <v>97.1</v>
      </c>
      <c r="DM25">
        <v>85.2</v>
      </c>
      <c r="DN25">
        <v>0</v>
      </c>
      <c r="DO25">
        <v>0</v>
      </c>
      <c r="DP25">
        <v>0</v>
      </c>
      <c r="DQ25">
        <v>0</v>
      </c>
      <c r="DR25">
        <v>0</v>
      </c>
      <c r="DS25">
        <v>0</v>
      </c>
      <c r="DT25">
        <v>0</v>
      </c>
      <c r="DU25">
        <v>0</v>
      </c>
      <c r="DV25" t="s">
        <v>202</v>
      </c>
    </row>
    <row r="26" spans="1:126" x14ac:dyDescent="0.35">
      <c r="A26" t="s">
        <v>203</v>
      </c>
      <c r="B26">
        <v>230110</v>
      </c>
      <c r="C26" s="1">
        <v>44936</v>
      </c>
      <c r="D26" t="s">
        <v>204</v>
      </c>
      <c r="E26" t="s">
        <v>184</v>
      </c>
      <c r="F26" t="s">
        <v>185</v>
      </c>
      <c r="G26" t="s">
        <v>186</v>
      </c>
      <c r="H26">
        <v>12102</v>
      </c>
      <c r="I26" s="17">
        <v>510</v>
      </c>
      <c r="J26" s="17">
        <v>3050</v>
      </c>
      <c r="K26">
        <v>490</v>
      </c>
      <c r="L26">
        <v>11102</v>
      </c>
      <c r="M26">
        <v>8562</v>
      </c>
      <c r="N26">
        <v>12102</v>
      </c>
      <c r="O26">
        <v>12102</v>
      </c>
      <c r="P26">
        <v>0</v>
      </c>
      <c r="Q26">
        <v>0</v>
      </c>
      <c r="R26">
        <v>12102</v>
      </c>
      <c r="S26">
        <v>510</v>
      </c>
      <c r="T26">
        <v>3050</v>
      </c>
      <c r="U26">
        <v>490</v>
      </c>
      <c r="V26">
        <v>11102</v>
      </c>
      <c r="W26">
        <v>8562</v>
      </c>
      <c r="X26">
        <v>12102</v>
      </c>
      <c r="Y26">
        <v>12102</v>
      </c>
      <c r="Z26">
        <v>0</v>
      </c>
      <c r="AA26">
        <v>0</v>
      </c>
      <c r="AB26">
        <v>0</v>
      </c>
      <c r="AC26">
        <v>0</v>
      </c>
      <c r="AD26">
        <v>0</v>
      </c>
      <c r="AE26">
        <v>0</v>
      </c>
      <c r="AF26">
        <v>0</v>
      </c>
      <c r="AG26">
        <v>0</v>
      </c>
      <c r="AH26">
        <v>0</v>
      </c>
      <c r="AI26">
        <v>0</v>
      </c>
      <c r="AJ26">
        <v>0</v>
      </c>
      <c r="AK26">
        <v>0</v>
      </c>
      <c r="AL26">
        <v>100</v>
      </c>
      <c r="AM26">
        <v>0</v>
      </c>
      <c r="AN26">
        <v>0</v>
      </c>
      <c r="AO26">
        <v>0</v>
      </c>
      <c r="AP26">
        <v>100</v>
      </c>
      <c r="AQ26">
        <v>100</v>
      </c>
      <c r="AR26">
        <v>100</v>
      </c>
      <c r="AS26">
        <v>100</v>
      </c>
      <c r="AT26">
        <v>0</v>
      </c>
      <c r="AU26">
        <v>0</v>
      </c>
      <c r="AV26">
        <v>100</v>
      </c>
      <c r="AW26">
        <v>4.2</v>
      </c>
      <c r="AX26">
        <v>25.2</v>
      </c>
      <c r="AY26">
        <v>4</v>
      </c>
      <c r="AZ26">
        <v>91.7</v>
      </c>
      <c r="BA26">
        <v>70.7</v>
      </c>
      <c r="BB26">
        <v>100</v>
      </c>
      <c r="BC26">
        <v>100</v>
      </c>
      <c r="BD26">
        <v>0</v>
      </c>
      <c r="BE26">
        <v>0</v>
      </c>
      <c r="BF26">
        <v>100</v>
      </c>
      <c r="BG26">
        <v>4.2</v>
      </c>
      <c r="BH26">
        <v>25.2</v>
      </c>
      <c r="BI26">
        <v>4</v>
      </c>
      <c r="BJ26">
        <v>91.7</v>
      </c>
      <c r="BK26">
        <v>70.7</v>
      </c>
      <c r="BL26">
        <v>100</v>
      </c>
      <c r="BM26">
        <v>100</v>
      </c>
      <c r="BN26">
        <v>0</v>
      </c>
      <c r="BO26">
        <v>0</v>
      </c>
      <c r="BP26">
        <v>0</v>
      </c>
      <c r="BQ26">
        <v>0</v>
      </c>
      <c r="BR26">
        <v>0</v>
      </c>
      <c r="BS26">
        <v>0</v>
      </c>
      <c r="BT26">
        <v>0</v>
      </c>
      <c r="BU26">
        <v>0</v>
      </c>
      <c r="BV26">
        <v>0</v>
      </c>
      <c r="BW26">
        <v>0</v>
      </c>
      <c r="BX26">
        <v>0</v>
      </c>
      <c r="BY26">
        <v>0</v>
      </c>
      <c r="BZ26">
        <v>23</v>
      </c>
      <c r="CA26">
        <v>2</v>
      </c>
      <c r="CB26">
        <v>3</v>
      </c>
      <c r="CC26">
        <v>2</v>
      </c>
      <c r="CD26">
        <v>11</v>
      </c>
      <c r="CE26">
        <v>11</v>
      </c>
      <c r="CF26">
        <v>14</v>
      </c>
      <c r="CG26">
        <v>15</v>
      </c>
      <c r="CH26">
        <v>23</v>
      </c>
      <c r="CI26">
        <v>2</v>
      </c>
      <c r="CJ26">
        <v>3</v>
      </c>
      <c r="CK26">
        <v>2</v>
      </c>
      <c r="CL26">
        <v>11</v>
      </c>
      <c r="CM26">
        <v>11</v>
      </c>
      <c r="CN26">
        <v>14</v>
      </c>
      <c r="CO26">
        <v>15</v>
      </c>
      <c r="CP26">
        <v>0</v>
      </c>
      <c r="CQ26">
        <v>0</v>
      </c>
      <c r="CR26">
        <v>0</v>
      </c>
      <c r="CS26">
        <v>0</v>
      </c>
      <c r="CT26">
        <v>0</v>
      </c>
      <c r="CU26">
        <v>0</v>
      </c>
      <c r="CV26">
        <v>0</v>
      </c>
      <c r="CW26">
        <v>0</v>
      </c>
      <c r="CX26">
        <v>82.4</v>
      </c>
      <c r="CY26">
        <v>68.5</v>
      </c>
      <c r="CZ26">
        <v>93.9</v>
      </c>
      <c r="DA26">
        <v>91.8</v>
      </c>
      <c r="DB26">
        <v>82.4</v>
      </c>
      <c r="DC26">
        <v>67.2</v>
      </c>
      <c r="DD26">
        <v>91.1</v>
      </c>
      <c r="DE26">
        <v>88.5</v>
      </c>
      <c r="DF26">
        <v>82.4</v>
      </c>
      <c r="DG26">
        <v>68.5</v>
      </c>
      <c r="DH26">
        <v>93.9</v>
      </c>
      <c r="DI26">
        <v>91.8</v>
      </c>
      <c r="DJ26">
        <v>82.4</v>
      </c>
      <c r="DK26">
        <v>67.2</v>
      </c>
      <c r="DL26">
        <v>91.1</v>
      </c>
      <c r="DM26">
        <v>88.5</v>
      </c>
      <c r="DN26">
        <v>0</v>
      </c>
      <c r="DO26">
        <v>0</v>
      </c>
      <c r="DP26">
        <v>0</v>
      </c>
      <c r="DQ26">
        <v>0</v>
      </c>
      <c r="DR26">
        <v>0</v>
      </c>
      <c r="DS26">
        <v>0</v>
      </c>
      <c r="DT26">
        <v>0</v>
      </c>
      <c r="DU26">
        <v>0</v>
      </c>
      <c r="DV26" t="s">
        <v>202</v>
      </c>
    </row>
    <row r="27" spans="1:126" x14ac:dyDescent="0.35">
      <c r="A27" t="s">
        <v>203</v>
      </c>
      <c r="B27">
        <v>230103</v>
      </c>
      <c r="C27" s="1">
        <v>44929</v>
      </c>
      <c r="D27" t="s">
        <v>204</v>
      </c>
      <c r="E27" t="s">
        <v>184</v>
      </c>
      <c r="F27" t="s">
        <v>185</v>
      </c>
      <c r="G27" t="s">
        <v>186</v>
      </c>
      <c r="H27">
        <v>12002</v>
      </c>
      <c r="I27" s="17">
        <v>510</v>
      </c>
      <c r="J27" s="17">
        <v>3050</v>
      </c>
      <c r="K27">
        <v>490</v>
      </c>
      <c r="L27">
        <v>11002</v>
      </c>
      <c r="M27">
        <v>8462</v>
      </c>
      <c r="N27">
        <v>12002</v>
      </c>
      <c r="O27">
        <v>12002</v>
      </c>
      <c r="P27">
        <v>0</v>
      </c>
      <c r="Q27">
        <v>0</v>
      </c>
      <c r="R27">
        <v>12002</v>
      </c>
      <c r="S27">
        <v>510</v>
      </c>
      <c r="T27">
        <v>3050</v>
      </c>
      <c r="U27">
        <v>490</v>
      </c>
      <c r="V27">
        <v>11002</v>
      </c>
      <c r="W27">
        <v>8462</v>
      </c>
      <c r="X27">
        <v>12002</v>
      </c>
      <c r="Y27">
        <v>12002</v>
      </c>
      <c r="Z27">
        <v>0</v>
      </c>
      <c r="AA27">
        <v>0</v>
      </c>
      <c r="AB27">
        <v>0</v>
      </c>
      <c r="AC27">
        <v>0</v>
      </c>
      <c r="AD27">
        <v>0</v>
      </c>
      <c r="AE27">
        <v>0</v>
      </c>
      <c r="AF27">
        <v>0</v>
      </c>
      <c r="AG27">
        <v>0</v>
      </c>
      <c r="AH27">
        <v>0</v>
      </c>
      <c r="AI27">
        <v>0</v>
      </c>
      <c r="AJ27">
        <v>0</v>
      </c>
      <c r="AK27">
        <v>0</v>
      </c>
      <c r="AL27">
        <v>0</v>
      </c>
      <c r="AM27">
        <v>0</v>
      </c>
      <c r="AN27">
        <v>0</v>
      </c>
      <c r="AO27">
        <v>0</v>
      </c>
      <c r="AP27">
        <v>0</v>
      </c>
      <c r="AQ27">
        <v>0</v>
      </c>
      <c r="AR27">
        <v>0</v>
      </c>
      <c r="AS27">
        <v>0</v>
      </c>
      <c r="AT27">
        <v>0</v>
      </c>
      <c r="AU27">
        <v>0</v>
      </c>
      <c r="AV27">
        <v>100</v>
      </c>
      <c r="AW27">
        <v>4.2</v>
      </c>
      <c r="AX27">
        <v>25.4</v>
      </c>
      <c r="AY27">
        <v>4.0999999999999996</v>
      </c>
      <c r="AZ27">
        <v>91.7</v>
      </c>
      <c r="BA27">
        <v>70.5</v>
      </c>
      <c r="BB27">
        <v>100</v>
      </c>
      <c r="BC27">
        <v>100</v>
      </c>
      <c r="BD27">
        <v>0</v>
      </c>
      <c r="BE27">
        <v>0</v>
      </c>
      <c r="BF27">
        <v>100</v>
      </c>
      <c r="BG27">
        <v>4.2</v>
      </c>
      <c r="BH27">
        <v>25.4</v>
      </c>
      <c r="BI27">
        <v>4.0999999999999996</v>
      </c>
      <c r="BJ27">
        <v>91.7</v>
      </c>
      <c r="BK27">
        <v>70.5</v>
      </c>
      <c r="BL27">
        <v>100</v>
      </c>
      <c r="BM27">
        <v>100</v>
      </c>
      <c r="BN27">
        <v>0</v>
      </c>
      <c r="BO27">
        <v>0</v>
      </c>
      <c r="BP27">
        <v>0</v>
      </c>
      <c r="BQ27">
        <v>0</v>
      </c>
      <c r="BR27">
        <v>0</v>
      </c>
      <c r="BS27">
        <v>0</v>
      </c>
      <c r="BT27">
        <v>0</v>
      </c>
      <c r="BU27">
        <v>0</v>
      </c>
      <c r="BV27">
        <v>0</v>
      </c>
      <c r="BW27">
        <v>0</v>
      </c>
      <c r="BX27">
        <v>0</v>
      </c>
      <c r="BY27">
        <v>0</v>
      </c>
      <c r="BZ27">
        <v>23</v>
      </c>
      <c r="CA27">
        <v>2</v>
      </c>
      <c r="CB27">
        <v>3</v>
      </c>
      <c r="CC27">
        <v>2</v>
      </c>
      <c r="CD27">
        <v>11</v>
      </c>
      <c r="CE27">
        <v>11</v>
      </c>
      <c r="CF27">
        <v>14</v>
      </c>
      <c r="CG27">
        <v>15</v>
      </c>
      <c r="CH27">
        <v>23</v>
      </c>
      <c r="CI27">
        <v>2</v>
      </c>
      <c r="CJ27">
        <v>3</v>
      </c>
      <c r="CK27">
        <v>2</v>
      </c>
      <c r="CL27">
        <v>11</v>
      </c>
      <c r="CM27">
        <v>11</v>
      </c>
      <c r="CN27">
        <v>14</v>
      </c>
      <c r="CO27">
        <v>15</v>
      </c>
      <c r="CP27">
        <v>0</v>
      </c>
      <c r="CQ27">
        <v>0</v>
      </c>
      <c r="CR27">
        <v>0</v>
      </c>
      <c r="CS27">
        <v>0</v>
      </c>
      <c r="CT27">
        <v>0</v>
      </c>
      <c r="CU27">
        <v>0</v>
      </c>
      <c r="CV27">
        <v>0</v>
      </c>
      <c r="CW27">
        <v>0</v>
      </c>
      <c r="CX27">
        <v>82.2</v>
      </c>
      <c r="CY27">
        <v>68.2</v>
      </c>
      <c r="CZ27">
        <v>93.9</v>
      </c>
      <c r="DA27">
        <v>91.7</v>
      </c>
      <c r="DB27">
        <v>82.2</v>
      </c>
      <c r="DC27">
        <v>67</v>
      </c>
      <c r="DD27">
        <v>91</v>
      </c>
      <c r="DE27">
        <v>88.4</v>
      </c>
      <c r="DF27">
        <v>82.2</v>
      </c>
      <c r="DG27">
        <v>68.2</v>
      </c>
      <c r="DH27">
        <v>93.9</v>
      </c>
      <c r="DI27">
        <v>91.7</v>
      </c>
      <c r="DJ27">
        <v>82.2</v>
      </c>
      <c r="DK27">
        <v>67</v>
      </c>
      <c r="DL27">
        <v>91</v>
      </c>
      <c r="DM27">
        <v>88.4</v>
      </c>
      <c r="DN27">
        <v>0</v>
      </c>
      <c r="DO27">
        <v>0</v>
      </c>
      <c r="DP27">
        <v>0</v>
      </c>
      <c r="DQ27">
        <v>0</v>
      </c>
      <c r="DR27">
        <v>0</v>
      </c>
      <c r="DS27">
        <v>0</v>
      </c>
      <c r="DT27">
        <v>0</v>
      </c>
      <c r="DU27">
        <v>0</v>
      </c>
      <c r="DV27" t="s">
        <v>202</v>
      </c>
    </row>
    <row r="28" spans="1:126" x14ac:dyDescent="0.35">
      <c r="A28" t="s">
        <v>205</v>
      </c>
      <c r="B28">
        <v>230110</v>
      </c>
      <c r="C28" s="1">
        <v>44936</v>
      </c>
      <c r="D28" t="s">
        <v>206</v>
      </c>
      <c r="E28" t="s">
        <v>184</v>
      </c>
      <c r="F28" t="s">
        <v>185</v>
      </c>
      <c r="G28" t="s">
        <v>186</v>
      </c>
      <c r="H28">
        <v>43432</v>
      </c>
      <c r="I28" s="17">
        <v>8752</v>
      </c>
      <c r="J28" s="17">
        <v>27505</v>
      </c>
      <c r="K28">
        <v>0</v>
      </c>
      <c r="L28">
        <v>34680</v>
      </c>
      <c r="M28">
        <v>15927</v>
      </c>
      <c r="N28">
        <v>43432</v>
      </c>
      <c r="O28">
        <v>43432</v>
      </c>
      <c r="P28">
        <v>0</v>
      </c>
      <c r="Q28">
        <v>0</v>
      </c>
      <c r="R28">
        <v>43432</v>
      </c>
      <c r="S28">
        <v>8752</v>
      </c>
      <c r="T28">
        <v>27505</v>
      </c>
      <c r="U28">
        <v>0</v>
      </c>
      <c r="V28">
        <v>34680</v>
      </c>
      <c r="W28">
        <v>15927</v>
      </c>
      <c r="X28">
        <v>43432</v>
      </c>
      <c r="Y28">
        <v>43432</v>
      </c>
      <c r="Z28">
        <v>0</v>
      </c>
      <c r="AA28">
        <v>0</v>
      </c>
      <c r="AB28">
        <v>0</v>
      </c>
      <c r="AC28">
        <v>0</v>
      </c>
      <c r="AD28">
        <v>0</v>
      </c>
      <c r="AE28">
        <v>0</v>
      </c>
      <c r="AF28">
        <v>0</v>
      </c>
      <c r="AG28">
        <v>0</v>
      </c>
      <c r="AH28">
        <v>0</v>
      </c>
      <c r="AI28">
        <v>0</v>
      </c>
      <c r="AJ28">
        <v>0</v>
      </c>
      <c r="AK28">
        <v>0</v>
      </c>
      <c r="AL28">
        <v>578</v>
      </c>
      <c r="AM28">
        <v>0</v>
      </c>
      <c r="AN28">
        <v>-23</v>
      </c>
      <c r="AO28">
        <v>0</v>
      </c>
      <c r="AP28">
        <v>578</v>
      </c>
      <c r="AQ28">
        <v>601</v>
      </c>
      <c r="AR28">
        <v>578</v>
      </c>
      <c r="AS28">
        <v>578</v>
      </c>
      <c r="AT28">
        <v>0</v>
      </c>
      <c r="AU28">
        <v>0</v>
      </c>
      <c r="AV28">
        <v>100</v>
      </c>
      <c r="AW28">
        <v>20.2</v>
      </c>
      <c r="AX28">
        <v>63.3</v>
      </c>
      <c r="AY28">
        <v>0</v>
      </c>
      <c r="AZ28">
        <v>79.8</v>
      </c>
      <c r="BA28">
        <v>36.700000000000003</v>
      </c>
      <c r="BB28">
        <v>100</v>
      </c>
      <c r="BC28">
        <v>100</v>
      </c>
      <c r="BD28">
        <v>0</v>
      </c>
      <c r="BE28">
        <v>0</v>
      </c>
      <c r="BF28">
        <v>100</v>
      </c>
      <c r="BG28">
        <v>20.2</v>
      </c>
      <c r="BH28">
        <v>63.3</v>
      </c>
      <c r="BI28">
        <v>0</v>
      </c>
      <c r="BJ28">
        <v>79.8</v>
      </c>
      <c r="BK28">
        <v>36.700000000000003</v>
      </c>
      <c r="BL28">
        <v>100</v>
      </c>
      <c r="BM28">
        <v>100</v>
      </c>
      <c r="BN28">
        <v>0</v>
      </c>
      <c r="BO28">
        <v>0</v>
      </c>
      <c r="BP28">
        <v>0</v>
      </c>
      <c r="BQ28">
        <v>0</v>
      </c>
      <c r="BR28">
        <v>0</v>
      </c>
      <c r="BS28">
        <v>0</v>
      </c>
      <c r="BT28">
        <v>0</v>
      </c>
      <c r="BU28">
        <v>0</v>
      </c>
      <c r="BV28">
        <v>0</v>
      </c>
      <c r="BW28">
        <v>0</v>
      </c>
      <c r="BX28">
        <v>0</v>
      </c>
      <c r="BY28">
        <v>0</v>
      </c>
      <c r="BZ28">
        <v>33</v>
      </c>
      <c r="CA28">
        <v>5</v>
      </c>
      <c r="CB28">
        <v>5</v>
      </c>
      <c r="CC28">
        <v>0</v>
      </c>
      <c r="CD28">
        <v>17</v>
      </c>
      <c r="CE28">
        <v>14</v>
      </c>
      <c r="CF28">
        <v>22</v>
      </c>
      <c r="CG28">
        <v>19</v>
      </c>
      <c r="CH28">
        <v>33</v>
      </c>
      <c r="CI28">
        <v>5</v>
      </c>
      <c r="CJ28">
        <v>5</v>
      </c>
      <c r="CK28">
        <v>0</v>
      </c>
      <c r="CL28">
        <v>17</v>
      </c>
      <c r="CM28">
        <v>14</v>
      </c>
      <c r="CN28">
        <v>22</v>
      </c>
      <c r="CO28">
        <v>19</v>
      </c>
      <c r="CP28">
        <v>0</v>
      </c>
      <c r="CQ28">
        <v>0</v>
      </c>
      <c r="CR28">
        <v>0</v>
      </c>
      <c r="CS28">
        <v>0</v>
      </c>
      <c r="CT28">
        <v>0</v>
      </c>
      <c r="CU28">
        <v>0</v>
      </c>
      <c r="CV28">
        <v>0</v>
      </c>
      <c r="CW28">
        <v>0</v>
      </c>
      <c r="CX28">
        <v>54.3</v>
      </c>
      <c r="CY28">
        <v>74.900000000000006</v>
      </c>
      <c r="CZ28">
        <v>76.5</v>
      </c>
      <c r="DA28">
        <v>91.5</v>
      </c>
      <c r="DB28">
        <v>53.1</v>
      </c>
      <c r="DC28">
        <v>70</v>
      </c>
      <c r="DD28">
        <v>73.7</v>
      </c>
      <c r="DE28">
        <v>85.1</v>
      </c>
      <c r="DF28">
        <v>54.3</v>
      </c>
      <c r="DG28">
        <v>74.900000000000006</v>
      </c>
      <c r="DH28">
        <v>76.5</v>
      </c>
      <c r="DI28">
        <v>91.5</v>
      </c>
      <c r="DJ28">
        <v>53.1</v>
      </c>
      <c r="DK28">
        <v>70</v>
      </c>
      <c r="DL28">
        <v>73.7</v>
      </c>
      <c r="DM28">
        <v>85.1</v>
      </c>
      <c r="DN28">
        <v>0</v>
      </c>
      <c r="DO28">
        <v>0</v>
      </c>
      <c r="DP28">
        <v>0</v>
      </c>
      <c r="DQ28">
        <v>0</v>
      </c>
      <c r="DR28">
        <v>0</v>
      </c>
      <c r="DS28">
        <v>0</v>
      </c>
      <c r="DT28">
        <v>0</v>
      </c>
      <c r="DU28">
        <v>0</v>
      </c>
      <c r="DV28" t="s">
        <v>207</v>
      </c>
    </row>
    <row r="29" spans="1:126" x14ac:dyDescent="0.35">
      <c r="A29" t="s">
        <v>205</v>
      </c>
      <c r="B29">
        <v>230103</v>
      </c>
      <c r="C29" s="1">
        <v>44929</v>
      </c>
      <c r="D29" t="s">
        <v>206</v>
      </c>
      <c r="E29" t="s">
        <v>184</v>
      </c>
      <c r="F29" t="s">
        <v>185</v>
      </c>
      <c r="G29" t="s">
        <v>186</v>
      </c>
      <c r="H29">
        <v>42854</v>
      </c>
      <c r="I29" s="17">
        <v>8752</v>
      </c>
      <c r="J29" s="17">
        <v>27528</v>
      </c>
      <c r="K29">
        <v>0</v>
      </c>
      <c r="L29">
        <v>34102</v>
      </c>
      <c r="M29">
        <v>15326</v>
      </c>
      <c r="N29">
        <v>42854</v>
      </c>
      <c r="O29">
        <v>42854</v>
      </c>
      <c r="P29">
        <v>0</v>
      </c>
      <c r="Q29">
        <v>0</v>
      </c>
      <c r="R29">
        <v>42854</v>
      </c>
      <c r="S29">
        <v>8752</v>
      </c>
      <c r="T29">
        <v>27528</v>
      </c>
      <c r="U29">
        <v>0</v>
      </c>
      <c r="V29">
        <v>34102</v>
      </c>
      <c r="W29">
        <v>15326</v>
      </c>
      <c r="X29">
        <v>42854</v>
      </c>
      <c r="Y29">
        <v>42854</v>
      </c>
      <c r="Z29">
        <v>0</v>
      </c>
      <c r="AA29">
        <v>0</v>
      </c>
      <c r="AB29">
        <v>0</v>
      </c>
      <c r="AC29">
        <v>0</v>
      </c>
      <c r="AD29">
        <v>0</v>
      </c>
      <c r="AE29">
        <v>0</v>
      </c>
      <c r="AF29">
        <v>0</v>
      </c>
      <c r="AG29">
        <v>0</v>
      </c>
      <c r="AH29">
        <v>0</v>
      </c>
      <c r="AI29">
        <v>0</v>
      </c>
      <c r="AJ29">
        <v>0</v>
      </c>
      <c r="AK29">
        <v>0</v>
      </c>
      <c r="AL29">
        <v>818</v>
      </c>
      <c r="AM29">
        <v>0</v>
      </c>
      <c r="AN29">
        <v>357</v>
      </c>
      <c r="AO29">
        <v>0</v>
      </c>
      <c r="AP29">
        <v>818</v>
      </c>
      <c r="AQ29">
        <v>461</v>
      </c>
      <c r="AR29">
        <v>818</v>
      </c>
      <c r="AS29">
        <v>818</v>
      </c>
      <c r="AT29">
        <v>0</v>
      </c>
      <c r="AU29">
        <v>0</v>
      </c>
      <c r="AV29">
        <v>100</v>
      </c>
      <c r="AW29">
        <v>20.399999999999999</v>
      </c>
      <c r="AX29">
        <v>64.2</v>
      </c>
      <c r="AY29">
        <v>0</v>
      </c>
      <c r="AZ29">
        <v>79.599999999999994</v>
      </c>
      <c r="BA29">
        <v>35.799999999999997</v>
      </c>
      <c r="BB29">
        <v>100</v>
      </c>
      <c r="BC29">
        <v>100</v>
      </c>
      <c r="BD29">
        <v>0</v>
      </c>
      <c r="BE29">
        <v>0</v>
      </c>
      <c r="BF29">
        <v>100</v>
      </c>
      <c r="BG29">
        <v>20.399999999999999</v>
      </c>
      <c r="BH29">
        <v>64.2</v>
      </c>
      <c r="BI29">
        <v>0</v>
      </c>
      <c r="BJ29">
        <v>79.599999999999994</v>
      </c>
      <c r="BK29">
        <v>35.799999999999997</v>
      </c>
      <c r="BL29">
        <v>100</v>
      </c>
      <c r="BM29">
        <v>100</v>
      </c>
      <c r="BN29">
        <v>0</v>
      </c>
      <c r="BO29">
        <v>0</v>
      </c>
      <c r="BP29">
        <v>0</v>
      </c>
      <c r="BQ29">
        <v>0</v>
      </c>
      <c r="BR29">
        <v>0</v>
      </c>
      <c r="BS29">
        <v>0</v>
      </c>
      <c r="BT29">
        <v>0</v>
      </c>
      <c r="BU29">
        <v>0</v>
      </c>
      <c r="BV29">
        <v>0</v>
      </c>
      <c r="BW29">
        <v>0</v>
      </c>
      <c r="BX29">
        <v>0</v>
      </c>
      <c r="BY29">
        <v>0</v>
      </c>
      <c r="BZ29">
        <v>33</v>
      </c>
      <c r="CA29">
        <v>5</v>
      </c>
      <c r="CB29">
        <v>5</v>
      </c>
      <c r="CC29">
        <v>0</v>
      </c>
      <c r="CD29">
        <v>16</v>
      </c>
      <c r="CE29">
        <v>14</v>
      </c>
      <c r="CF29">
        <v>21</v>
      </c>
      <c r="CG29">
        <v>19</v>
      </c>
      <c r="CH29">
        <v>33</v>
      </c>
      <c r="CI29">
        <v>5</v>
      </c>
      <c r="CJ29">
        <v>5</v>
      </c>
      <c r="CK29">
        <v>0</v>
      </c>
      <c r="CL29">
        <v>16</v>
      </c>
      <c r="CM29">
        <v>14</v>
      </c>
      <c r="CN29">
        <v>21</v>
      </c>
      <c r="CO29">
        <v>19</v>
      </c>
      <c r="CP29">
        <v>0</v>
      </c>
      <c r="CQ29">
        <v>0</v>
      </c>
      <c r="CR29">
        <v>0</v>
      </c>
      <c r="CS29">
        <v>0</v>
      </c>
      <c r="CT29">
        <v>0</v>
      </c>
      <c r="CU29">
        <v>0</v>
      </c>
      <c r="CV29">
        <v>0</v>
      </c>
      <c r="CW29">
        <v>0</v>
      </c>
      <c r="CX29">
        <v>54.3</v>
      </c>
      <c r="CY29">
        <v>75.099999999999994</v>
      </c>
      <c r="CZ29">
        <v>76.7</v>
      </c>
      <c r="DA29">
        <v>91.4</v>
      </c>
      <c r="DB29">
        <v>53.1</v>
      </c>
      <c r="DC29">
        <v>69.7</v>
      </c>
      <c r="DD29">
        <v>73.900000000000006</v>
      </c>
      <c r="DE29">
        <v>84.9</v>
      </c>
      <c r="DF29">
        <v>54.3</v>
      </c>
      <c r="DG29">
        <v>75.099999999999994</v>
      </c>
      <c r="DH29">
        <v>76.7</v>
      </c>
      <c r="DI29">
        <v>91.4</v>
      </c>
      <c r="DJ29">
        <v>53.1</v>
      </c>
      <c r="DK29">
        <v>69.7</v>
      </c>
      <c r="DL29">
        <v>73.900000000000006</v>
      </c>
      <c r="DM29">
        <v>84.9</v>
      </c>
      <c r="DN29">
        <v>0</v>
      </c>
      <c r="DO29">
        <v>0</v>
      </c>
      <c r="DP29">
        <v>0</v>
      </c>
      <c r="DQ29">
        <v>0</v>
      </c>
      <c r="DR29">
        <v>0</v>
      </c>
      <c r="DS29">
        <v>0</v>
      </c>
      <c r="DT29">
        <v>0</v>
      </c>
      <c r="DU29">
        <v>0</v>
      </c>
      <c r="DV29" t="s">
        <v>207</v>
      </c>
    </row>
    <row r="30" spans="1:126" x14ac:dyDescent="0.35">
      <c r="A30" t="s">
        <v>208</v>
      </c>
      <c r="B30">
        <v>230110</v>
      </c>
      <c r="C30" s="1">
        <v>44936</v>
      </c>
      <c r="D30" t="s">
        <v>209</v>
      </c>
      <c r="E30" t="s">
        <v>184</v>
      </c>
      <c r="F30" t="s">
        <v>185</v>
      </c>
      <c r="G30" t="s">
        <v>186</v>
      </c>
      <c r="H30">
        <v>38181</v>
      </c>
      <c r="I30" s="17">
        <v>11360</v>
      </c>
      <c r="J30" s="17">
        <v>12507</v>
      </c>
      <c r="K30">
        <v>1550</v>
      </c>
      <c r="L30">
        <v>25271</v>
      </c>
      <c r="M30">
        <v>24124</v>
      </c>
      <c r="N30">
        <v>38181</v>
      </c>
      <c r="O30">
        <v>38181</v>
      </c>
      <c r="P30">
        <v>0</v>
      </c>
      <c r="Q30">
        <v>0</v>
      </c>
      <c r="R30">
        <v>38181</v>
      </c>
      <c r="S30">
        <v>11360</v>
      </c>
      <c r="T30">
        <v>12507</v>
      </c>
      <c r="U30">
        <v>1550</v>
      </c>
      <c r="V30">
        <v>25271</v>
      </c>
      <c r="W30">
        <v>24124</v>
      </c>
      <c r="X30">
        <v>38181</v>
      </c>
      <c r="Y30">
        <v>38181</v>
      </c>
      <c r="Z30">
        <v>0</v>
      </c>
      <c r="AA30">
        <v>0</v>
      </c>
      <c r="AB30">
        <v>0</v>
      </c>
      <c r="AC30">
        <v>0</v>
      </c>
      <c r="AD30">
        <v>0</v>
      </c>
      <c r="AE30">
        <v>0</v>
      </c>
      <c r="AF30">
        <v>0</v>
      </c>
      <c r="AG30">
        <v>0</v>
      </c>
      <c r="AH30">
        <v>0</v>
      </c>
      <c r="AI30">
        <v>0</v>
      </c>
      <c r="AJ30">
        <v>0</v>
      </c>
      <c r="AK30">
        <v>0</v>
      </c>
      <c r="AL30">
        <v>0</v>
      </c>
      <c r="AM30">
        <v>0</v>
      </c>
      <c r="AN30">
        <v>0</v>
      </c>
      <c r="AO30">
        <v>0</v>
      </c>
      <c r="AP30">
        <v>0</v>
      </c>
      <c r="AQ30">
        <v>0</v>
      </c>
      <c r="AR30">
        <v>0</v>
      </c>
      <c r="AS30">
        <v>0</v>
      </c>
      <c r="AT30">
        <v>0</v>
      </c>
      <c r="AU30">
        <v>0</v>
      </c>
      <c r="AV30">
        <v>100</v>
      </c>
      <c r="AW30">
        <v>29.8</v>
      </c>
      <c r="AX30">
        <v>32.799999999999997</v>
      </c>
      <c r="AY30">
        <v>4.0999999999999996</v>
      </c>
      <c r="AZ30">
        <v>66.2</v>
      </c>
      <c r="BA30">
        <v>63.2</v>
      </c>
      <c r="BB30">
        <v>100</v>
      </c>
      <c r="BC30">
        <v>100</v>
      </c>
      <c r="BD30">
        <v>0</v>
      </c>
      <c r="BE30">
        <v>0</v>
      </c>
      <c r="BF30">
        <v>100</v>
      </c>
      <c r="BG30">
        <v>29.8</v>
      </c>
      <c r="BH30">
        <v>32.799999999999997</v>
      </c>
      <c r="BI30">
        <v>4.0999999999999996</v>
      </c>
      <c r="BJ30">
        <v>66.2</v>
      </c>
      <c r="BK30">
        <v>63.2</v>
      </c>
      <c r="BL30">
        <v>100</v>
      </c>
      <c r="BM30">
        <v>100</v>
      </c>
      <c r="BN30">
        <v>0</v>
      </c>
      <c r="BO30">
        <v>0</v>
      </c>
      <c r="BP30">
        <v>0</v>
      </c>
      <c r="BQ30">
        <v>0</v>
      </c>
      <c r="BR30">
        <v>0</v>
      </c>
      <c r="BS30">
        <v>0</v>
      </c>
      <c r="BT30">
        <v>0</v>
      </c>
      <c r="BU30">
        <v>0</v>
      </c>
      <c r="BV30">
        <v>0</v>
      </c>
      <c r="BW30">
        <v>0</v>
      </c>
      <c r="BX30">
        <v>0</v>
      </c>
      <c r="BY30">
        <v>0</v>
      </c>
      <c r="BZ30">
        <v>25</v>
      </c>
      <c r="CA30">
        <v>6</v>
      </c>
      <c r="CB30">
        <v>2</v>
      </c>
      <c r="CC30">
        <v>1</v>
      </c>
      <c r="CD30">
        <v>14</v>
      </c>
      <c r="CE30">
        <v>7</v>
      </c>
      <c r="CF30">
        <v>20</v>
      </c>
      <c r="CG30">
        <v>10</v>
      </c>
      <c r="CH30">
        <v>25</v>
      </c>
      <c r="CI30">
        <v>6</v>
      </c>
      <c r="CJ30">
        <v>2</v>
      </c>
      <c r="CK30">
        <v>1</v>
      </c>
      <c r="CL30">
        <v>14</v>
      </c>
      <c r="CM30">
        <v>7</v>
      </c>
      <c r="CN30">
        <v>20</v>
      </c>
      <c r="CO30">
        <v>10</v>
      </c>
      <c r="CP30">
        <v>0</v>
      </c>
      <c r="CQ30">
        <v>0</v>
      </c>
      <c r="CR30">
        <v>0</v>
      </c>
      <c r="CS30">
        <v>0</v>
      </c>
      <c r="CT30">
        <v>0</v>
      </c>
      <c r="CU30">
        <v>0</v>
      </c>
      <c r="CV30">
        <v>0</v>
      </c>
      <c r="CW30">
        <v>0</v>
      </c>
      <c r="CX30">
        <v>39.200000000000003</v>
      </c>
      <c r="CY30">
        <v>75.5</v>
      </c>
      <c r="CZ30">
        <v>69.5</v>
      </c>
      <c r="DA30">
        <v>99.3</v>
      </c>
      <c r="DB30">
        <v>37.799999999999997</v>
      </c>
      <c r="DC30">
        <v>73.2</v>
      </c>
      <c r="DD30">
        <v>62.6</v>
      </c>
      <c r="DE30">
        <v>78.900000000000006</v>
      </c>
      <c r="DF30">
        <v>39.200000000000003</v>
      </c>
      <c r="DG30">
        <v>75.5</v>
      </c>
      <c r="DH30">
        <v>69.5</v>
      </c>
      <c r="DI30">
        <v>99.3</v>
      </c>
      <c r="DJ30">
        <v>37.799999999999997</v>
      </c>
      <c r="DK30">
        <v>73.2</v>
      </c>
      <c r="DL30">
        <v>62.6</v>
      </c>
      <c r="DM30">
        <v>78.900000000000006</v>
      </c>
      <c r="DN30">
        <v>0</v>
      </c>
      <c r="DO30">
        <v>0</v>
      </c>
      <c r="DP30">
        <v>0</v>
      </c>
      <c r="DQ30">
        <v>0</v>
      </c>
      <c r="DR30">
        <v>0</v>
      </c>
      <c r="DS30">
        <v>0</v>
      </c>
      <c r="DT30">
        <v>0</v>
      </c>
      <c r="DU30">
        <v>0</v>
      </c>
      <c r="DV30" t="s">
        <v>187</v>
      </c>
    </row>
    <row r="31" spans="1:126" x14ac:dyDescent="0.35">
      <c r="A31" t="s">
        <v>208</v>
      </c>
      <c r="B31">
        <v>230103</v>
      </c>
      <c r="C31" s="1">
        <v>44929</v>
      </c>
      <c r="D31" t="s">
        <v>209</v>
      </c>
      <c r="E31" t="s">
        <v>184</v>
      </c>
      <c r="F31" t="s">
        <v>185</v>
      </c>
      <c r="G31" t="s">
        <v>186</v>
      </c>
      <c r="H31">
        <v>38181</v>
      </c>
      <c r="I31" s="17">
        <v>11360</v>
      </c>
      <c r="J31" s="17">
        <v>12507</v>
      </c>
      <c r="K31">
        <v>1550</v>
      </c>
      <c r="L31">
        <v>25271</v>
      </c>
      <c r="M31">
        <v>24124</v>
      </c>
      <c r="N31">
        <v>38181</v>
      </c>
      <c r="O31">
        <v>38181</v>
      </c>
      <c r="P31">
        <v>0</v>
      </c>
      <c r="Q31">
        <v>0</v>
      </c>
      <c r="R31">
        <v>38181</v>
      </c>
      <c r="S31">
        <v>11360</v>
      </c>
      <c r="T31">
        <v>12507</v>
      </c>
      <c r="U31">
        <v>1550</v>
      </c>
      <c r="V31">
        <v>25271</v>
      </c>
      <c r="W31">
        <v>24124</v>
      </c>
      <c r="X31">
        <v>38181</v>
      </c>
      <c r="Y31">
        <v>38181</v>
      </c>
      <c r="Z31">
        <v>0</v>
      </c>
      <c r="AA31">
        <v>0</v>
      </c>
      <c r="AB31">
        <v>0</v>
      </c>
      <c r="AC31">
        <v>0</v>
      </c>
      <c r="AD31">
        <v>0</v>
      </c>
      <c r="AE31">
        <v>0</v>
      </c>
      <c r="AF31">
        <v>0</v>
      </c>
      <c r="AG31">
        <v>0</v>
      </c>
      <c r="AH31">
        <v>0</v>
      </c>
      <c r="AI31">
        <v>0</v>
      </c>
      <c r="AJ31">
        <v>0</v>
      </c>
      <c r="AK31">
        <v>0</v>
      </c>
      <c r="AL31">
        <v>0</v>
      </c>
      <c r="AM31">
        <v>0</v>
      </c>
      <c r="AN31">
        <v>-50</v>
      </c>
      <c r="AO31">
        <v>0</v>
      </c>
      <c r="AP31">
        <v>0</v>
      </c>
      <c r="AQ31">
        <v>50</v>
      </c>
      <c r="AR31">
        <v>0</v>
      </c>
      <c r="AS31">
        <v>0</v>
      </c>
      <c r="AT31">
        <v>0</v>
      </c>
      <c r="AU31">
        <v>0</v>
      </c>
      <c r="AV31">
        <v>100</v>
      </c>
      <c r="AW31">
        <v>29.8</v>
      </c>
      <c r="AX31">
        <v>32.799999999999997</v>
      </c>
      <c r="AY31">
        <v>4.0999999999999996</v>
      </c>
      <c r="AZ31">
        <v>66.2</v>
      </c>
      <c r="BA31">
        <v>63.2</v>
      </c>
      <c r="BB31">
        <v>100</v>
      </c>
      <c r="BC31">
        <v>100</v>
      </c>
      <c r="BD31">
        <v>0</v>
      </c>
      <c r="BE31">
        <v>0</v>
      </c>
      <c r="BF31">
        <v>100</v>
      </c>
      <c r="BG31">
        <v>29.8</v>
      </c>
      <c r="BH31">
        <v>32.799999999999997</v>
      </c>
      <c r="BI31">
        <v>4.0999999999999996</v>
      </c>
      <c r="BJ31">
        <v>66.2</v>
      </c>
      <c r="BK31">
        <v>63.2</v>
      </c>
      <c r="BL31">
        <v>100</v>
      </c>
      <c r="BM31">
        <v>100</v>
      </c>
      <c r="BN31">
        <v>0</v>
      </c>
      <c r="BO31">
        <v>0</v>
      </c>
      <c r="BP31">
        <v>0</v>
      </c>
      <c r="BQ31">
        <v>0</v>
      </c>
      <c r="BR31">
        <v>0</v>
      </c>
      <c r="BS31">
        <v>0</v>
      </c>
      <c r="BT31">
        <v>0</v>
      </c>
      <c r="BU31">
        <v>0</v>
      </c>
      <c r="BV31">
        <v>0</v>
      </c>
      <c r="BW31">
        <v>0</v>
      </c>
      <c r="BX31">
        <v>0</v>
      </c>
      <c r="BY31">
        <v>0</v>
      </c>
      <c r="BZ31">
        <v>25</v>
      </c>
      <c r="CA31">
        <v>6</v>
      </c>
      <c r="CB31">
        <v>2</v>
      </c>
      <c r="CC31">
        <v>1</v>
      </c>
      <c r="CD31">
        <v>14</v>
      </c>
      <c r="CE31">
        <v>7</v>
      </c>
      <c r="CF31">
        <v>20</v>
      </c>
      <c r="CG31">
        <v>10</v>
      </c>
      <c r="CH31">
        <v>25</v>
      </c>
      <c r="CI31">
        <v>6</v>
      </c>
      <c r="CJ31">
        <v>2</v>
      </c>
      <c r="CK31">
        <v>1</v>
      </c>
      <c r="CL31">
        <v>14</v>
      </c>
      <c r="CM31">
        <v>7</v>
      </c>
      <c r="CN31">
        <v>20</v>
      </c>
      <c r="CO31">
        <v>10</v>
      </c>
      <c r="CP31">
        <v>0</v>
      </c>
      <c r="CQ31">
        <v>0</v>
      </c>
      <c r="CR31">
        <v>0</v>
      </c>
      <c r="CS31">
        <v>0</v>
      </c>
      <c r="CT31">
        <v>0</v>
      </c>
      <c r="CU31">
        <v>0</v>
      </c>
      <c r="CV31">
        <v>0</v>
      </c>
      <c r="CW31">
        <v>0</v>
      </c>
      <c r="CX31">
        <v>39.200000000000003</v>
      </c>
      <c r="CY31">
        <v>75.5</v>
      </c>
      <c r="CZ31">
        <v>69.5</v>
      </c>
      <c r="DA31">
        <v>99.3</v>
      </c>
      <c r="DB31">
        <v>37.799999999999997</v>
      </c>
      <c r="DC31">
        <v>73.2</v>
      </c>
      <c r="DD31">
        <v>62.6</v>
      </c>
      <c r="DE31">
        <v>78.900000000000006</v>
      </c>
      <c r="DF31">
        <v>39.200000000000003</v>
      </c>
      <c r="DG31">
        <v>75.5</v>
      </c>
      <c r="DH31">
        <v>69.5</v>
      </c>
      <c r="DI31">
        <v>99.3</v>
      </c>
      <c r="DJ31">
        <v>37.799999999999997</v>
      </c>
      <c r="DK31">
        <v>73.2</v>
      </c>
      <c r="DL31">
        <v>62.6</v>
      </c>
      <c r="DM31">
        <v>78.900000000000006</v>
      </c>
      <c r="DN31">
        <v>0</v>
      </c>
      <c r="DO31">
        <v>0</v>
      </c>
      <c r="DP31">
        <v>0</v>
      </c>
      <c r="DQ31">
        <v>0</v>
      </c>
      <c r="DR31">
        <v>0</v>
      </c>
      <c r="DS31">
        <v>0</v>
      </c>
      <c r="DT31">
        <v>0</v>
      </c>
      <c r="DU31">
        <v>0</v>
      </c>
      <c r="DV31" t="s">
        <v>187</v>
      </c>
    </row>
    <row r="32" spans="1:126" x14ac:dyDescent="0.35">
      <c r="A32" t="s">
        <v>210</v>
      </c>
      <c r="B32">
        <v>230110</v>
      </c>
      <c r="C32" s="1">
        <v>44936</v>
      </c>
      <c r="D32" t="s">
        <v>211</v>
      </c>
      <c r="E32" t="s">
        <v>184</v>
      </c>
      <c r="F32" t="s">
        <v>185</v>
      </c>
      <c r="G32" t="s">
        <v>186</v>
      </c>
      <c r="H32">
        <v>25191</v>
      </c>
      <c r="I32" s="17">
        <v>1295</v>
      </c>
      <c r="J32" s="17">
        <v>6140</v>
      </c>
      <c r="K32">
        <v>1060</v>
      </c>
      <c r="L32">
        <v>22836</v>
      </c>
      <c r="M32">
        <v>17991</v>
      </c>
      <c r="N32">
        <v>25191</v>
      </c>
      <c r="O32">
        <v>25191</v>
      </c>
      <c r="P32">
        <v>0</v>
      </c>
      <c r="Q32">
        <v>0</v>
      </c>
      <c r="R32">
        <v>25191</v>
      </c>
      <c r="S32">
        <v>1295</v>
      </c>
      <c r="T32">
        <v>6140</v>
      </c>
      <c r="U32">
        <v>1060</v>
      </c>
      <c r="V32">
        <v>22836</v>
      </c>
      <c r="W32">
        <v>17991</v>
      </c>
      <c r="X32">
        <v>25191</v>
      </c>
      <c r="Y32">
        <v>25191</v>
      </c>
      <c r="Z32">
        <v>0</v>
      </c>
      <c r="AA32">
        <v>0</v>
      </c>
      <c r="AB32">
        <v>0</v>
      </c>
      <c r="AC32">
        <v>0</v>
      </c>
      <c r="AD32">
        <v>0</v>
      </c>
      <c r="AE32">
        <v>0</v>
      </c>
      <c r="AF32">
        <v>0</v>
      </c>
      <c r="AG32">
        <v>0</v>
      </c>
      <c r="AH32">
        <v>0</v>
      </c>
      <c r="AI32">
        <v>0</v>
      </c>
      <c r="AJ32">
        <v>0</v>
      </c>
      <c r="AK32">
        <v>0</v>
      </c>
      <c r="AL32">
        <v>100</v>
      </c>
      <c r="AM32">
        <v>0</v>
      </c>
      <c r="AN32">
        <v>100</v>
      </c>
      <c r="AO32">
        <v>0</v>
      </c>
      <c r="AP32">
        <v>100</v>
      </c>
      <c r="AQ32">
        <v>0</v>
      </c>
      <c r="AR32">
        <v>100</v>
      </c>
      <c r="AS32">
        <v>100</v>
      </c>
      <c r="AT32">
        <v>0</v>
      </c>
      <c r="AU32">
        <v>0</v>
      </c>
      <c r="AV32">
        <v>100</v>
      </c>
      <c r="AW32">
        <v>5.0999999999999996</v>
      </c>
      <c r="AX32">
        <v>24.4</v>
      </c>
      <c r="AY32">
        <v>4.2</v>
      </c>
      <c r="AZ32">
        <v>90.7</v>
      </c>
      <c r="BA32">
        <v>71.400000000000006</v>
      </c>
      <c r="BB32">
        <v>100</v>
      </c>
      <c r="BC32">
        <v>100</v>
      </c>
      <c r="BD32">
        <v>0</v>
      </c>
      <c r="BE32">
        <v>0</v>
      </c>
      <c r="BF32">
        <v>100</v>
      </c>
      <c r="BG32">
        <v>5.0999999999999996</v>
      </c>
      <c r="BH32">
        <v>24.4</v>
      </c>
      <c r="BI32">
        <v>4.2</v>
      </c>
      <c r="BJ32">
        <v>90.7</v>
      </c>
      <c r="BK32">
        <v>71.400000000000006</v>
      </c>
      <c r="BL32">
        <v>100</v>
      </c>
      <c r="BM32">
        <v>100</v>
      </c>
      <c r="BN32">
        <v>0</v>
      </c>
      <c r="BO32">
        <v>0</v>
      </c>
      <c r="BP32">
        <v>0</v>
      </c>
      <c r="BQ32">
        <v>0</v>
      </c>
      <c r="BR32">
        <v>0</v>
      </c>
      <c r="BS32">
        <v>0</v>
      </c>
      <c r="BT32">
        <v>0</v>
      </c>
      <c r="BU32">
        <v>0</v>
      </c>
      <c r="BV32">
        <v>0</v>
      </c>
      <c r="BW32">
        <v>0</v>
      </c>
      <c r="BX32">
        <v>0</v>
      </c>
      <c r="BY32">
        <v>0</v>
      </c>
      <c r="BZ32">
        <v>21</v>
      </c>
      <c r="CA32">
        <v>1</v>
      </c>
      <c r="CB32">
        <v>4</v>
      </c>
      <c r="CC32">
        <v>2</v>
      </c>
      <c r="CD32">
        <v>12</v>
      </c>
      <c r="CE32">
        <v>8</v>
      </c>
      <c r="CF32">
        <v>14</v>
      </c>
      <c r="CG32">
        <v>13</v>
      </c>
      <c r="CH32">
        <v>21</v>
      </c>
      <c r="CI32">
        <v>1</v>
      </c>
      <c r="CJ32">
        <v>4</v>
      </c>
      <c r="CK32">
        <v>2</v>
      </c>
      <c r="CL32">
        <v>12</v>
      </c>
      <c r="CM32">
        <v>8</v>
      </c>
      <c r="CN32">
        <v>14</v>
      </c>
      <c r="CO32">
        <v>13</v>
      </c>
      <c r="CP32">
        <v>0</v>
      </c>
      <c r="CQ32">
        <v>0</v>
      </c>
      <c r="CR32">
        <v>0</v>
      </c>
      <c r="CS32">
        <v>0</v>
      </c>
      <c r="CT32">
        <v>0</v>
      </c>
      <c r="CU32">
        <v>0</v>
      </c>
      <c r="CV32">
        <v>0</v>
      </c>
      <c r="CW32">
        <v>0</v>
      </c>
      <c r="CX32">
        <v>62.3</v>
      </c>
      <c r="CY32">
        <v>79.5</v>
      </c>
      <c r="CZ32">
        <v>88</v>
      </c>
      <c r="DA32">
        <v>95.9</v>
      </c>
      <c r="DB32">
        <v>62.3</v>
      </c>
      <c r="DC32">
        <v>76.8</v>
      </c>
      <c r="DD32">
        <v>81.7</v>
      </c>
      <c r="DE32">
        <v>86.8</v>
      </c>
      <c r="DF32">
        <v>62.3</v>
      </c>
      <c r="DG32">
        <v>79.5</v>
      </c>
      <c r="DH32">
        <v>88</v>
      </c>
      <c r="DI32">
        <v>95.9</v>
      </c>
      <c r="DJ32">
        <v>62.3</v>
      </c>
      <c r="DK32">
        <v>76.8</v>
      </c>
      <c r="DL32">
        <v>81.7</v>
      </c>
      <c r="DM32">
        <v>86.8</v>
      </c>
      <c r="DN32">
        <v>0</v>
      </c>
      <c r="DO32">
        <v>0</v>
      </c>
      <c r="DP32">
        <v>0</v>
      </c>
      <c r="DQ32">
        <v>0</v>
      </c>
      <c r="DR32">
        <v>0</v>
      </c>
      <c r="DS32">
        <v>0</v>
      </c>
      <c r="DT32">
        <v>0</v>
      </c>
      <c r="DU32">
        <v>0</v>
      </c>
      <c r="DV32" t="s">
        <v>202</v>
      </c>
    </row>
    <row r="33" spans="1:126" x14ac:dyDescent="0.35">
      <c r="A33" t="s">
        <v>210</v>
      </c>
      <c r="B33">
        <v>230103</v>
      </c>
      <c r="C33" s="1">
        <v>44929</v>
      </c>
      <c r="D33" t="s">
        <v>211</v>
      </c>
      <c r="E33" t="s">
        <v>184</v>
      </c>
      <c r="F33" t="s">
        <v>185</v>
      </c>
      <c r="G33" t="s">
        <v>186</v>
      </c>
      <c r="H33">
        <v>25091</v>
      </c>
      <c r="I33" s="17">
        <v>1295</v>
      </c>
      <c r="J33" s="17">
        <v>6040</v>
      </c>
      <c r="K33">
        <v>1060</v>
      </c>
      <c r="L33">
        <v>22736</v>
      </c>
      <c r="M33">
        <v>17991</v>
      </c>
      <c r="N33">
        <v>25091</v>
      </c>
      <c r="O33">
        <v>25091</v>
      </c>
      <c r="P33">
        <v>0</v>
      </c>
      <c r="Q33">
        <v>0</v>
      </c>
      <c r="R33">
        <v>25091</v>
      </c>
      <c r="S33">
        <v>1295</v>
      </c>
      <c r="T33">
        <v>6040</v>
      </c>
      <c r="U33">
        <v>1060</v>
      </c>
      <c r="V33">
        <v>22736</v>
      </c>
      <c r="W33">
        <v>17991</v>
      </c>
      <c r="X33">
        <v>25091</v>
      </c>
      <c r="Y33">
        <v>25091</v>
      </c>
      <c r="Z33">
        <v>0</v>
      </c>
      <c r="AA33">
        <v>0</v>
      </c>
      <c r="AB33">
        <v>0</v>
      </c>
      <c r="AC33">
        <v>0</v>
      </c>
      <c r="AD33">
        <v>0</v>
      </c>
      <c r="AE33">
        <v>0</v>
      </c>
      <c r="AF33">
        <v>0</v>
      </c>
      <c r="AG33">
        <v>0</v>
      </c>
      <c r="AH33">
        <v>0</v>
      </c>
      <c r="AI33">
        <v>0</v>
      </c>
      <c r="AJ33">
        <v>0</v>
      </c>
      <c r="AK33">
        <v>0</v>
      </c>
      <c r="AL33">
        <v>195</v>
      </c>
      <c r="AM33">
        <v>0</v>
      </c>
      <c r="AN33">
        <v>0</v>
      </c>
      <c r="AO33">
        <v>0</v>
      </c>
      <c r="AP33">
        <v>195</v>
      </c>
      <c r="AQ33">
        <v>195</v>
      </c>
      <c r="AR33">
        <v>195</v>
      </c>
      <c r="AS33">
        <v>195</v>
      </c>
      <c r="AT33">
        <v>0</v>
      </c>
      <c r="AU33">
        <v>0</v>
      </c>
      <c r="AV33">
        <v>100</v>
      </c>
      <c r="AW33">
        <v>5.2</v>
      </c>
      <c r="AX33">
        <v>24.1</v>
      </c>
      <c r="AY33">
        <v>4.2</v>
      </c>
      <c r="AZ33">
        <v>90.6</v>
      </c>
      <c r="BA33">
        <v>71.7</v>
      </c>
      <c r="BB33">
        <v>100</v>
      </c>
      <c r="BC33">
        <v>100</v>
      </c>
      <c r="BD33">
        <v>0</v>
      </c>
      <c r="BE33">
        <v>0</v>
      </c>
      <c r="BF33">
        <v>100</v>
      </c>
      <c r="BG33">
        <v>5.2</v>
      </c>
      <c r="BH33">
        <v>24.1</v>
      </c>
      <c r="BI33">
        <v>4.2</v>
      </c>
      <c r="BJ33">
        <v>90.6</v>
      </c>
      <c r="BK33">
        <v>71.7</v>
      </c>
      <c r="BL33">
        <v>100</v>
      </c>
      <c r="BM33">
        <v>100</v>
      </c>
      <c r="BN33">
        <v>0</v>
      </c>
      <c r="BO33">
        <v>0</v>
      </c>
      <c r="BP33">
        <v>0</v>
      </c>
      <c r="BQ33">
        <v>0</v>
      </c>
      <c r="BR33">
        <v>0</v>
      </c>
      <c r="BS33">
        <v>0</v>
      </c>
      <c r="BT33">
        <v>0</v>
      </c>
      <c r="BU33">
        <v>0</v>
      </c>
      <c r="BV33">
        <v>0</v>
      </c>
      <c r="BW33">
        <v>0</v>
      </c>
      <c r="BX33">
        <v>0</v>
      </c>
      <c r="BY33">
        <v>0</v>
      </c>
      <c r="BZ33">
        <v>21</v>
      </c>
      <c r="CA33">
        <v>1</v>
      </c>
      <c r="CB33">
        <v>4</v>
      </c>
      <c r="CC33">
        <v>2</v>
      </c>
      <c r="CD33">
        <v>12</v>
      </c>
      <c r="CE33">
        <v>8</v>
      </c>
      <c r="CF33">
        <v>14</v>
      </c>
      <c r="CG33">
        <v>13</v>
      </c>
      <c r="CH33">
        <v>21</v>
      </c>
      <c r="CI33">
        <v>1</v>
      </c>
      <c r="CJ33">
        <v>4</v>
      </c>
      <c r="CK33">
        <v>2</v>
      </c>
      <c r="CL33">
        <v>12</v>
      </c>
      <c r="CM33">
        <v>8</v>
      </c>
      <c r="CN33">
        <v>14</v>
      </c>
      <c r="CO33">
        <v>13</v>
      </c>
      <c r="CP33">
        <v>0</v>
      </c>
      <c r="CQ33">
        <v>0</v>
      </c>
      <c r="CR33">
        <v>0</v>
      </c>
      <c r="CS33">
        <v>0</v>
      </c>
      <c r="CT33">
        <v>0</v>
      </c>
      <c r="CU33">
        <v>0</v>
      </c>
      <c r="CV33">
        <v>0</v>
      </c>
      <c r="CW33">
        <v>0</v>
      </c>
      <c r="CX33">
        <v>62.6</v>
      </c>
      <c r="CY33">
        <v>79.8</v>
      </c>
      <c r="CZ33">
        <v>88.3</v>
      </c>
      <c r="DA33">
        <v>96.3</v>
      </c>
      <c r="DB33">
        <v>62.6</v>
      </c>
      <c r="DC33">
        <v>77.099999999999994</v>
      </c>
      <c r="DD33">
        <v>82</v>
      </c>
      <c r="DE33">
        <v>86.7</v>
      </c>
      <c r="DF33">
        <v>62.6</v>
      </c>
      <c r="DG33">
        <v>79.8</v>
      </c>
      <c r="DH33">
        <v>88.3</v>
      </c>
      <c r="DI33">
        <v>96.3</v>
      </c>
      <c r="DJ33">
        <v>62.6</v>
      </c>
      <c r="DK33">
        <v>77.099999999999994</v>
      </c>
      <c r="DL33">
        <v>82</v>
      </c>
      <c r="DM33">
        <v>86.7</v>
      </c>
      <c r="DN33">
        <v>0</v>
      </c>
      <c r="DO33">
        <v>0</v>
      </c>
      <c r="DP33">
        <v>0</v>
      </c>
      <c r="DQ33">
        <v>0</v>
      </c>
      <c r="DR33">
        <v>0</v>
      </c>
      <c r="DS33">
        <v>0</v>
      </c>
      <c r="DT33">
        <v>0</v>
      </c>
      <c r="DU33">
        <v>0</v>
      </c>
      <c r="DV33" t="s">
        <v>202</v>
      </c>
    </row>
    <row r="34" spans="1:126" x14ac:dyDescent="0.35">
      <c r="A34" t="s">
        <v>212</v>
      </c>
      <c r="B34">
        <v>230110</v>
      </c>
      <c r="C34" s="1">
        <v>44936</v>
      </c>
      <c r="D34" t="s">
        <v>213</v>
      </c>
      <c r="E34" t="s">
        <v>184</v>
      </c>
      <c r="F34" t="s">
        <v>185</v>
      </c>
      <c r="G34" t="s">
        <v>186</v>
      </c>
      <c r="H34">
        <v>20197</v>
      </c>
      <c r="I34" s="17">
        <v>3115</v>
      </c>
      <c r="J34" s="17">
        <v>6281</v>
      </c>
      <c r="K34">
        <v>781</v>
      </c>
      <c r="L34">
        <v>16301</v>
      </c>
      <c r="M34">
        <v>13135</v>
      </c>
      <c r="N34">
        <v>20197</v>
      </c>
      <c r="O34">
        <v>20197</v>
      </c>
      <c r="P34">
        <v>0</v>
      </c>
      <c r="Q34">
        <v>0</v>
      </c>
      <c r="R34">
        <v>20197</v>
      </c>
      <c r="S34">
        <v>3115</v>
      </c>
      <c r="T34">
        <v>6281</v>
      </c>
      <c r="U34">
        <v>781</v>
      </c>
      <c r="V34">
        <v>16301</v>
      </c>
      <c r="W34">
        <v>13135</v>
      </c>
      <c r="X34">
        <v>20197</v>
      </c>
      <c r="Y34">
        <v>20197</v>
      </c>
      <c r="Z34">
        <v>0</v>
      </c>
      <c r="AA34">
        <v>0</v>
      </c>
      <c r="AB34">
        <v>0</v>
      </c>
      <c r="AC34">
        <v>0</v>
      </c>
      <c r="AD34">
        <v>0</v>
      </c>
      <c r="AE34">
        <v>0</v>
      </c>
      <c r="AF34">
        <v>0</v>
      </c>
      <c r="AG34">
        <v>0</v>
      </c>
      <c r="AH34">
        <v>0</v>
      </c>
      <c r="AI34">
        <v>0</v>
      </c>
      <c r="AJ34">
        <v>0</v>
      </c>
      <c r="AK34">
        <v>0</v>
      </c>
      <c r="AL34">
        <v>0</v>
      </c>
      <c r="AM34">
        <v>0</v>
      </c>
      <c r="AN34">
        <v>0</v>
      </c>
      <c r="AO34">
        <v>0</v>
      </c>
      <c r="AP34">
        <v>0</v>
      </c>
      <c r="AQ34">
        <v>0</v>
      </c>
      <c r="AR34">
        <v>0</v>
      </c>
      <c r="AS34">
        <v>0</v>
      </c>
      <c r="AT34">
        <v>0</v>
      </c>
      <c r="AU34">
        <v>0</v>
      </c>
      <c r="AV34">
        <v>100</v>
      </c>
      <c r="AW34">
        <v>15.4</v>
      </c>
      <c r="AX34">
        <v>31.1</v>
      </c>
      <c r="AY34">
        <v>3.9</v>
      </c>
      <c r="AZ34">
        <v>80.7</v>
      </c>
      <c r="BA34">
        <v>65</v>
      </c>
      <c r="BB34">
        <v>100</v>
      </c>
      <c r="BC34">
        <v>100</v>
      </c>
      <c r="BD34">
        <v>0</v>
      </c>
      <c r="BE34">
        <v>0</v>
      </c>
      <c r="BF34">
        <v>100</v>
      </c>
      <c r="BG34">
        <v>15.4</v>
      </c>
      <c r="BH34">
        <v>31.1</v>
      </c>
      <c r="BI34">
        <v>3.9</v>
      </c>
      <c r="BJ34">
        <v>80.7</v>
      </c>
      <c r="BK34">
        <v>65</v>
      </c>
      <c r="BL34">
        <v>100</v>
      </c>
      <c r="BM34">
        <v>100</v>
      </c>
      <c r="BN34">
        <v>0</v>
      </c>
      <c r="BO34">
        <v>0</v>
      </c>
      <c r="BP34">
        <v>0</v>
      </c>
      <c r="BQ34">
        <v>0</v>
      </c>
      <c r="BR34">
        <v>0</v>
      </c>
      <c r="BS34">
        <v>0</v>
      </c>
      <c r="BT34">
        <v>0</v>
      </c>
      <c r="BU34">
        <v>0</v>
      </c>
      <c r="BV34">
        <v>0</v>
      </c>
      <c r="BW34">
        <v>0</v>
      </c>
      <c r="BX34">
        <v>0</v>
      </c>
      <c r="BY34">
        <v>0</v>
      </c>
      <c r="BZ34">
        <v>23</v>
      </c>
      <c r="CA34">
        <v>4</v>
      </c>
      <c r="CB34">
        <v>1</v>
      </c>
      <c r="CC34">
        <v>2</v>
      </c>
      <c r="CD34">
        <v>11</v>
      </c>
      <c r="CE34">
        <v>10</v>
      </c>
      <c r="CF34">
        <v>16</v>
      </c>
      <c r="CG34">
        <v>12</v>
      </c>
      <c r="CH34">
        <v>23</v>
      </c>
      <c r="CI34">
        <v>4</v>
      </c>
      <c r="CJ34">
        <v>1</v>
      </c>
      <c r="CK34">
        <v>2</v>
      </c>
      <c r="CL34">
        <v>11</v>
      </c>
      <c r="CM34">
        <v>10</v>
      </c>
      <c r="CN34">
        <v>16</v>
      </c>
      <c r="CO34">
        <v>12</v>
      </c>
      <c r="CP34">
        <v>0</v>
      </c>
      <c r="CQ34">
        <v>0</v>
      </c>
      <c r="CR34">
        <v>0</v>
      </c>
      <c r="CS34">
        <v>0</v>
      </c>
      <c r="CT34">
        <v>0</v>
      </c>
      <c r="CU34">
        <v>0</v>
      </c>
      <c r="CV34">
        <v>0</v>
      </c>
      <c r="CW34">
        <v>0</v>
      </c>
      <c r="CX34">
        <v>56.4</v>
      </c>
      <c r="CY34">
        <v>80.2</v>
      </c>
      <c r="CZ34">
        <v>79.8</v>
      </c>
      <c r="DA34">
        <v>94.7</v>
      </c>
      <c r="DB34">
        <v>56.2</v>
      </c>
      <c r="DC34">
        <v>77.099999999999994</v>
      </c>
      <c r="DD34">
        <v>77.099999999999994</v>
      </c>
      <c r="DE34">
        <v>90.9</v>
      </c>
      <c r="DF34">
        <v>56.4</v>
      </c>
      <c r="DG34">
        <v>80.2</v>
      </c>
      <c r="DH34">
        <v>79.8</v>
      </c>
      <c r="DI34">
        <v>94.7</v>
      </c>
      <c r="DJ34">
        <v>56.2</v>
      </c>
      <c r="DK34">
        <v>77.099999999999994</v>
      </c>
      <c r="DL34">
        <v>77.099999999999994</v>
      </c>
      <c r="DM34">
        <v>90.9</v>
      </c>
      <c r="DN34">
        <v>0</v>
      </c>
      <c r="DO34">
        <v>0</v>
      </c>
      <c r="DP34">
        <v>0</v>
      </c>
      <c r="DQ34">
        <v>0</v>
      </c>
      <c r="DR34">
        <v>0</v>
      </c>
      <c r="DS34">
        <v>0</v>
      </c>
      <c r="DT34">
        <v>0</v>
      </c>
      <c r="DU34">
        <v>0</v>
      </c>
      <c r="DV34" t="s">
        <v>214</v>
      </c>
    </row>
    <row r="35" spans="1:126" x14ac:dyDescent="0.35">
      <c r="A35" t="s">
        <v>212</v>
      </c>
      <c r="B35">
        <v>230103</v>
      </c>
      <c r="C35" s="1">
        <v>44929</v>
      </c>
      <c r="D35" t="s">
        <v>213</v>
      </c>
      <c r="E35" t="s">
        <v>184</v>
      </c>
      <c r="F35" t="s">
        <v>185</v>
      </c>
      <c r="G35" t="s">
        <v>186</v>
      </c>
      <c r="H35">
        <v>20197</v>
      </c>
      <c r="I35" s="17">
        <v>3115</v>
      </c>
      <c r="J35" s="17">
        <v>6281</v>
      </c>
      <c r="K35">
        <v>781</v>
      </c>
      <c r="L35">
        <v>16301</v>
      </c>
      <c r="M35">
        <v>13135</v>
      </c>
      <c r="N35">
        <v>20197</v>
      </c>
      <c r="O35">
        <v>20197</v>
      </c>
      <c r="P35">
        <v>0</v>
      </c>
      <c r="Q35">
        <v>0</v>
      </c>
      <c r="R35">
        <v>20197</v>
      </c>
      <c r="S35">
        <v>3115</v>
      </c>
      <c r="T35">
        <v>6281</v>
      </c>
      <c r="U35">
        <v>781</v>
      </c>
      <c r="V35">
        <v>16301</v>
      </c>
      <c r="W35">
        <v>13135</v>
      </c>
      <c r="X35">
        <v>20197</v>
      </c>
      <c r="Y35">
        <v>20197</v>
      </c>
      <c r="Z35">
        <v>0</v>
      </c>
      <c r="AA35">
        <v>0</v>
      </c>
      <c r="AB35">
        <v>0</v>
      </c>
      <c r="AC35">
        <v>0</v>
      </c>
      <c r="AD35">
        <v>0</v>
      </c>
      <c r="AE35">
        <v>0</v>
      </c>
      <c r="AF35">
        <v>0</v>
      </c>
      <c r="AG35">
        <v>0</v>
      </c>
      <c r="AH35">
        <v>0</v>
      </c>
      <c r="AI35">
        <v>0</v>
      </c>
      <c r="AJ35">
        <v>0</v>
      </c>
      <c r="AK35">
        <v>0</v>
      </c>
      <c r="AL35">
        <v>421</v>
      </c>
      <c r="AM35">
        <v>0</v>
      </c>
      <c r="AN35">
        <v>53</v>
      </c>
      <c r="AO35">
        <v>0</v>
      </c>
      <c r="AP35">
        <v>421</v>
      </c>
      <c r="AQ35">
        <v>368</v>
      </c>
      <c r="AR35">
        <v>421</v>
      </c>
      <c r="AS35">
        <v>421</v>
      </c>
      <c r="AT35">
        <v>0</v>
      </c>
      <c r="AU35">
        <v>0</v>
      </c>
      <c r="AV35">
        <v>100</v>
      </c>
      <c r="AW35">
        <v>15.4</v>
      </c>
      <c r="AX35">
        <v>31.1</v>
      </c>
      <c r="AY35">
        <v>3.9</v>
      </c>
      <c r="AZ35">
        <v>80.7</v>
      </c>
      <c r="BA35">
        <v>65</v>
      </c>
      <c r="BB35">
        <v>100</v>
      </c>
      <c r="BC35">
        <v>100</v>
      </c>
      <c r="BD35">
        <v>0</v>
      </c>
      <c r="BE35">
        <v>0</v>
      </c>
      <c r="BF35">
        <v>100</v>
      </c>
      <c r="BG35">
        <v>15.4</v>
      </c>
      <c r="BH35">
        <v>31.1</v>
      </c>
      <c r="BI35">
        <v>3.9</v>
      </c>
      <c r="BJ35">
        <v>80.7</v>
      </c>
      <c r="BK35">
        <v>65</v>
      </c>
      <c r="BL35">
        <v>100</v>
      </c>
      <c r="BM35">
        <v>100</v>
      </c>
      <c r="BN35">
        <v>0</v>
      </c>
      <c r="BO35">
        <v>0</v>
      </c>
      <c r="BP35">
        <v>0</v>
      </c>
      <c r="BQ35">
        <v>0</v>
      </c>
      <c r="BR35">
        <v>0</v>
      </c>
      <c r="BS35">
        <v>0</v>
      </c>
      <c r="BT35">
        <v>0</v>
      </c>
      <c r="BU35">
        <v>0</v>
      </c>
      <c r="BV35">
        <v>0</v>
      </c>
      <c r="BW35">
        <v>0</v>
      </c>
      <c r="BX35">
        <v>0</v>
      </c>
      <c r="BY35">
        <v>0</v>
      </c>
      <c r="BZ35">
        <v>23</v>
      </c>
      <c r="CA35">
        <v>4</v>
      </c>
      <c r="CB35">
        <v>1</v>
      </c>
      <c r="CC35">
        <v>2</v>
      </c>
      <c r="CD35">
        <v>11</v>
      </c>
      <c r="CE35">
        <v>10</v>
      </c>
      <c r="CF35">
        <v>16</v>
      </c>
      <c r="CG35">
        <v>12</v>
      </c>
      <c r="CH35">
        <v>23</v>
      </c>
      <c r="CI35">
        <v>4</v>
      </c>
      <c r="CJ35">
        <v>1</v>
      </c>
      <c r="CK35">
        <v>2</v>
      </c>
      <c r="CL35">
        <v>11</v>
      </c>
      <c r="CM35">
        <v>10</v>
      </c>
      <c r="CN35">
        <v>16</v>
      </c>
      <c r="CO35">
        <v>12</v>
      </c>
      <c r="CP35">
        <v>0</v>
      </c>
      <c r="CQ35">
        <v>0</v>
      </c>
      <c r="CR35">
        <v>0</v>
      </c>
      <c r="CS35">
        <v>0</v>
      </c>
      <c r="CT35">
        <v>0</v>
      </c>
      <c r="CU35">
        <v>0</v>
      </c>
      <c r="CV35">
        <v>0</v>
      </c>
      <c r="CW35">
        <v>0</v>
      </c>
      <c r="CX35">
        <v>56.4</v>
      </c>
      <c r="CY35">
        <v>80.2</v>
      </c>
      <c r="CZ35">
        <v>79.8</v>
      </c>
      <c r="DA35">
        <v>94.7</v>
      </c>
      <c r="DB35">
        <v>56.2</v>
      </c>
      <c r="DC35">
        <v>77.099999999999994</v>
      </c>
      <c r="DD35">
        <v>77.099999999999994</v>
      </c>
      <c r="DE35">
        <v>90.9</v>
      </c>
      <c r="DF35">
        <v>56.4</v>
      </c>
      <c r="DG35">
        <v>80.2</v>
      </c>
      <c r="DH35">
        <v>79.8</v>
      </c>
      <c r="DI35">
        <v>94.7</v>
      </c>
      <c r="DJ35">
        <v>56.2</v>
      </c>
      <c r="DK35">
        <v>77.099999999999994</v>
      </c>
      <c r="DL35">
        <v>77.099999999999994</v>
      </c>
      <c r="DM35">
        <v>90.9</v>
      </c>
      <c r="DN35">
        <v>0</v>
      </c>
      <c r="DO35">
        <v>0</v>
      </c>
      <c r="DP35">
        <v>0</v>
      </c>
      <c r="DQ35">
        <v>0</v>
      </c>
      <c r="DR35">
        <v>0</v>
      </c>
      <c r="DS35">
        <v>0</v>
      </c>
      <c r="DT35">
        <v>0</v>
      </c>
      <c r="DU35">
        <v>0</v>
      </c>
      <c r="DV35" t="s">
        <v>214</v>
      </c>
    </row>
    <row r="36" spans="1:126" x14ac:dyDescent="0.35">
      <c r="A36" t="s">
        <v>215</v>
      </c>
      <c r="B36">
        <v>230110</v>
      </c>
      <c r="C36" s="1">
        <v>44936</v>
      </c>
      <c r="D36" t="s">
        <v>216</v>
      </c>
      <c r="E36" t="s">
        <v>184</v>
      </c>
      <c r="F36" t="s">
        <v>185</v>
      </c>
      <c r="G36" t="s">
        <v>186</v>
      </c>
      <c r="H36">
        <v>192633</v>
      </c>
      <c r="I36" s="17">
        <v>122465</v>
      </c>
      <c r="J36" s="17">
        <v>72925</v>
      </c>
      <c r="K36">
        <v>23593</v>
      </c>
      <c r="L36">
        <v>46209</v>
      </c>
      <c r="M36">
        <v>91914</v>
      </c>
      <c r="N36">
        <v>192267</v>
      </c>
      <c r="O36">
        <v>188432</v>
      </c>
      <c r="P36">
        <v>366</v>
      </c>
      <c r="Q36">
        <v>4201</v>
      </c>
      <c r="R36">
        <v>192633</v>
      </c>
      <c r="S36">
        <v>122465</v>
      </c>
      <c r="T36">
        <v>72925</v>
      </c>
      <c r="U36">
        <v>23593</v>
      </c>
      <c r="V36">
        <v>46209</v>
      </c>
      <c r="W36">
        <v>91914</v>
      </c>
      <c r="X36">
        <v>192267</v>
      </c>
      <c r="Y36">
        <v>188432</v>
      </c>
      <c r="Z36">
        <v>366</v>
      </c>
      <c r="AA36">
        <v>4201</v>
      </c>
      <c r="AB36">
        <v>0</v>
      </c>
      <c r="AC36">
        <v>0</v>
      </c>
      <c r="AD36">
        <v>0</v>
      </c>
      <c r="AE36">
        <v>0</v>
      </c>
      <c r="AF36">
        <v>0</v>
      </c>
      <c r="AG36">
        <v>0</v>
      </c>
      <c r="AH36">
        <v>0</v>
      </c>
      <c r="AI36">
        <v>0</v>
      </c>
      <c r="AJ36">
        <v>0</v>
      </c>
      <c r="AK36">
        <v>0</v>
      </c>
      <c r="AL36">
        <v>-560</v>
      </c>
      <c r="AM36">
        <v>-317</v>
      </c>
      <c r="AN36">
        <v>467</v>
      </c>
      <c r="AO36">
        <v>297</v>
      </c>
      <c r="AP36">
        <v>-717</v>
      </c>
      <c r="AQ36">
        <v>-5467</v>
      </c>
      <c r="AR36">
        <v>-737</v>
      </c>
      <c r="AS36">
        <v>-4703</v>
      </c>
      <c r="AT36">
        <v>177</v>
      </c>
      <c r="AU36">
        <v>4143</v>
      </c>
      <c r="AV36">
        <v>100</v>
      </c>
      <c r="AW36">
        <v>63.6</v>
      </c>
      <c r="AX36">
        <v>37.9</v>
      </c>
      <c r="AY36">
        <v>12.2</v>
      </c>
      <c r="AZ36">
        <v>24</v>
      </c>
      <c r="BA36">
        <v>47.7</v>
      </c>
      <c r="BB36">
        <v>99.8</v>
      </c>
      <c r="BC36">
        <v>97.8</v>
      </c>
      <c r="BD36">
        <v>0.2</v>
      </c>
      <c r="BE36">
        <v>2.2000000000000002</v>
      </c>
      <c r="BF36">
        <v>100</v>
      </c>
      <c r="BG36">
        <v>63.6</v>
      </c>
      <c r="BH36">
        <v>37.9</v>
      </c>
      <c r="BI36">
        <v>12.2</v>
      </c>
      <c r="BJ36">
        <v>24</v>
      </c>
      <c r="BK36">
        <v>47.7</v>
      </c>
      <c r="BL36">
        <v>99.8</v>
      </c>
      <c r="BM36">
        <v>97.8</v>
      </c>
      <c r="BN36">
        <v>0.2</v>
      </c>
      <c r="BO36">
        <v>2.2000000000000002</v>
      </c>
      <c r="BP36">
        <v>0</v>
      </c>
      <c r="BQ36">
        <v>0</v>
      </c>
      <c r="BR36">
        <v>0</v>
      </c>
      <c r="BS36">
        <v>0</v>
      </c>
      <c r="BT36">
        <v>0</v>
      </c>
      <c r="BU36">
        <v>0</v>
      </c>
      <c r="BV36">
        <v>0</v>
      </c>
      <c r="BW36">
        <v>0</v>
      </c>
      <c r="BX36">
        <v>0</v>
      </c>
      <c r="BY36">
        <v>0</v>
      </c>
      <c r="BZ36">
        <v>116</v>
      </c>
      <c r="CA36">
        <v>61</v>
      </c>
      <c r="CB36">
        <v>23</v>
      </c>
      <c r="CC36">
        <v>14</v>
      </c>
      <c r="CD36">
        <v>22</v>
      </c>
      <c r="CE36">
        <v>18</v>
      </c>
      <c r="CF36">
        <v>87</v>
      </c>
      <c r="CG36">
        <v>51</v>
      </c>
      <c r="CH36">
        <v>116</v>
      </c>
      <c r="CI36">
        <v>61</v>
      </c>
      <c r="CJ36">
        <v>23</v>
      </c>
      <c r="CK36">
        <v>14</v>
      </c>
      <c r="CL36">
        <v>22</v>
      </c>
      <c r="CM36">
        <v>18</v>
      </c>
      <c r="CN36">
        <v>87</v>
      </c>
      <c r="CO36">
        <v>51</v>
      </c>
      <c r="CP36">
        <v>0</v>
      </c>
      <c r="CQ36">
        <v>0</v>
      </c>
      <c r="CR36">
        <v>0</v>
      </c>
      <c r="CS36">
        <v>0</v>
      </c>
      <c r="CT36">
        <v>0</v>
      </c>
      <c r="CU36">
        <v>0</v>
      </c>
      <c r="CV36">
        <v>0</v>
      </c>
      <c r="CW36">
        <v>0</v>
      </c>
      <c r="CX36">
        <v>35.9</v>
      </c>
      <c r="CY36">
        <v>30.1</v>
      </c>
      <c r="CZ36">
        <v>56.7</v>
      </c>
      <c r="DA36">
        <v>50.4</v>
      </c>
      <c r="DB36">
        <v>30.3</v>
      </c>
      <c r="DC36">
        <v>29.9</v>
      </c>
      <c r="DD36">
        <v>48</v>
      </c>
      <c r="DE36">
        <v>48.4</v>
      </c>
      <c r="DF36">
        <v>35.9</v>
      </c>
      <c r="DG36">
        <v>30.1</v>
      </c>
      <c r="DH36">
        <v>56.7</v>
      </c>
      <c r="DI36">
        <v>50.4</v>
      </c>
      <c r="DJ36">
        <v>30.3</v>
      </c>
      <c r="DK36">
        <v>29.9</v>
      </c>
      <c r="DL36">
        <v>48</v>
      </c>
      <c r="DM36">
        <v>48.4</v>
      </c>
      <c r="DN36">
        <v>0</v>
      </c>
      <c r="DO36">
        <v>0</v>
      </c>
      <c r="DP36">
        <v>0</v>
      </c>
      <c r="DQ36">
        <v>0</v>
      </c>
      <c r="DR36">
        <v>0</v>
      </c>
      <c r="DS36">
        <v>0</v>
      </c>
      <c r="DT36">
        <v>0</v>
      </c>
      <c r="DU36">
        <v>0</v>
      </c>
      <c r="DV36" t="s">
        <v>217</v>
      </c>
    </row>
    <row r="37" spans="1:126" x14ac:dyDescent="0.35">
      <c r="A37" t="s">
        <v>215</v>
      </c>
      <c r="B37">
        <v>230103</v>
      </c>
      <c r="C37" s="1">
        <v>44929</v>
      </c>
      <c r="D37" t="s">
        <v>216</v>
      </c>
      <c r="E37" t="s">
        <v>184</v>
      </c>
      <c r="F37" t="s">
        <v>185</v>
      </c>
      <c r="G37" t="s">
        <v>186</v>
      </c>
      <c r="H37">
        <v>193193</v>
      </c>
      <c r="I37" s="17">
        <v>122782</v>
      </c>
      <c r="J37" s="17">
        <v>72458</v>
      </c>
      <c r="K37">
        <v>23296</v>
      </c>
      <c r="L37">
        <v>46926</v>
      </c>
      <c r="M37">
        <v>97381</v>
      </c>
      <c r="N37">
        <v>193004</v>
      </c>
      <c r="O37">
        <v>193135</v>
      </c>
      <c r="P37">
        <v>189</v>
      </c>
      <c r="Q37">
        <v>58</v>
      </c>
      <c r="R37">
        <v>193193</v>
      </c>
      <c r="S37">
        <v>122782</v>
      </c>
      <c r="T37">
        <v>72458</v>
      </c>
      <c r="U37">
        <v>23296</v>
      </c>
      <c r="V37">
        <v>46926</v>
      </c>
      <c r="W37">
        <v>97381</v>
      </c>
      <c r="X37">
        <v>193004</v>
      </c>
      <c r="Y37">
        <v>193135</v>
      </c>
      <c r="Z37">
        <v>189</v>
      </c>
      <c r="AA37">
        <v>58</v>
      </c>
      <c r="AB37">
        <v>0</v>
      </c>
      <c r="AC37">
        <v>0</v>
      </c>
      <c r="AD37">
        <v>0</v>
      </c>
      <c r="AE37">
        <v>0</v>
      </c>
      <c r="AF37">
        <v>0</v>
      </c>
      <c r="AG37">
        <v>0</v>
      </c>
      <c r="AH37">
        <v>0</v>
      </c>
      <c r="AI37">
        <v>0</v>
      </c>
      <c r="AJ37">
        <v>0</v>
      </c>
      <c r="AK37">
        <v>0</v>
      </c>
      <c r="AL37">
        <v>580</v>
      </c>
      <c r="AM37">
        <v>1107</v>
      </c>
      <c r="AN37">
        <v>13</v>
      </c>
      <c r="AO37">
        <v>77</v>
      </c>
      <c r="AP37">
        <v>-632</v>
      </c>
      <c r="AQ37">
        <v>433</v>
      </c>
      <c r="AR37">
        <v>552</v>
      </c>
      <c r="AS37">
        <v>523</v>
      </c>
      <c r="AT37">
        <v>28</v>
      </c>
      <c r="AU37">
        <v>57</v>
      </c>
      <c r="AV37">
        <v>100</v>
      </c>
      <c r="AW37">
        <v>63.6</v>
      </c>
      <c r="AX37">
        <v>37.5</v>
      </c>
      <c r="AY37">
        <v>12.1</v>
      </c>
      <c r="AZ37">
        <v>24.3</v>
      </c>
      <c r="BA37">
        <v>50.4</v>
      </c>
      <c r="BB37">
        <v>99.9</v>
      </c>
      <c r="BC37">
        <v>100</v>
      </c>
      <c r="BD37">
        <v>0.1</v>
      </c>
      <c r="BE37">
        <v>0</v>
      </c>
      <c r="BF37">
        <v>100</v>
      </c>
      <c r="BG37">
        <v>63.6</v>
      </c>
      <c r="BH37">
        <v>37.5</v>
      </c>
      <c r="BI37">
        <v>12.1</v>
      </c>
      <c r="BJ37">
        <v>24.3</v>
      </c>
      <c r="BK37">
        <v>50.4</v>
      </c>
      <c r="BL37">
        <v>99.9</v>
      </c>
      <c r="BM37">
        <v>100</v>
      </c>
      <c r="BN37">
        <v>0.1</v>
      </c>
      <c r="BO37">
        <v>0</v>
      </c>
      <c r="BP37">
        <v>0</v>
      </c>
      <c r="BQ37">
        <v>0</v>
      </c>
      <c r="BR37">
        <v>0</v>
      </c>
      <c r="BS37">
        <v>0</v>
      </c>
      <c r="BT37">
        <v>0</v>
      </c>
      <c r="BU37">
        <v>0</v>
      </c>
      <c r="BV37">
        <v>0</v>
      </c>
      <c r="BW37">
        <v>0</v>
      </c>
      <c r="BX37">
        <v>0</v>
      </c>
      <c r="BY37">
        <v>0</v>
      </c>
      <c r="BZ37">
        <v>112</v>
      </c>
      <c r="CA37">
        <v>61</v>
      </c>
      <c r="CB37">
        <v>20</v>
      </c>
      <c r="CC37">
        <v>12</v>
      </c>
      <c r="CD37">
        <v>22</v>
      </c>
      <c r="CE37">
        <v>16</v>
      </c>
      <c r="CF37">
        <v>85</v>
      </c>
      <c r="CG37">
        <v>46</v>
      </c>
      <c r="CH37">
        <v>112</v>
      </c>
      <c r="CI37">
        <v>61</v>
      </c>
      <c r="CJ37">
        <v>20</v>
      </c>
      <c r="CK37">
        <v>12</v>
      </c>
      <c r="CL37">
        <v>22</v>
      </c>
      <c r="CM37">
        <v>16</v>
      </c>
      <c r="CN37">
        <v>85</v>
      </c>
      <c r="CO37">
        <v>46</v>
      </c>
      <c r="CP37">
        <v>0</v>
      </c>
      <c r="CQ37">
        <v>0</v>
      </c>
      <c r="CR37">
        <v>0</v>
      </c>
      <c r="CS37">
        <v>0</v>
      </c>
      <c r="CT37">
        <v>0</v>
      </c>
      <c r="CU37">
        <v>0</v>
      </c>
      <c r="CV37">
        <v>0</v>
      </c>
      <c r="CW37">
        <v>0</v>
      </c>
      <c r="CX37">
        <v>35.799999999999997</v>
      </c>
      <c r="CY37">
        <v>30.9</v>
      </c>
      <c r="CZ37">
        <v>56.6</v>
      </c>
      <c r="DA37">
        <v>51</v>
      </c>
      <c r="DB37">
        <v>30.2</v>
      </c>
      <c r="DC37">
        <v>29.9</v>
      </c>
      <c r="DD37">
        <v>47.9</v>
      </c>
      <c r="DE37">
        <v>48.3</v>
      </c>
      <c r="DF37">
        <v>35.799999999999997</v>
      </c>
      <c r="DG37">
        <v>30.9</v>
      </c>
      <c r="DH37">
        <v>56.6</v>
      </c>
      <c r="DI37">
        <v>51</v>
      </c>
      <c r="DJ37">
        <v>30.2</v>
      </c>
      <c r="DK37">
        <v>29.9</v>
      </c>
      <c r="DL37">
        <v>47.9</v>
      </c>
      <c r="DM37">
        <v>48.3</v>
      </c>
      <c r="DN37">
        <v>0</v>
      </c>
      <c r="DO37">
        <v>0</v>
      </c>
      <c r="DP37">
        <v>0</v>
      </c>
      <c r="DQ37">
        <v>0</v>
      </c>
      <c r="DR37">
        <v>0</v>
      </c>
      <c r="DS37">
        <v>0</v>
      </c>
      <c r="DT37">
        <v>0</v>
      </c>
      <c r="DU37">
        <v>0</v>
      </c>
      <c r="DV37" t="s">
        <v>217</v>
      </c>
    </row>
    <row r="38" spans="1:126" x14ac:dyDescent="0.35">
      <c r="A38" t="s">
        <v>218</v>
      </c>
      <c r="B38">
        <v>230110</v>
      </c>
      <c r="C38" s="1">
        <v>44936</v>
      </c>
      <c r="D38" t="s">
        <v>219</v>
      </c>
      <c r="E38" t="s">
        <v>184</v>
      </c>
      <c r="F38" t="s">
        <v>185</v>
      </c>
      <c r="G38" t="s">
        <v>186</v>
      </c>
      <c r="H38">
        <v>21723</v>
      </c>
      <c r="I38" s="17">
        <v>308</v>
      </c>
      <c r="J38" s="17">
        <v>4428</v>
      </c>
      <c r="K38">
        <v>0</v>
      </c>
      <c r="L38">
        <v>21390</v>
      </c>
      <c r="M38">
        <v>17287</v>
      </c>
      <c r="N38">
        <v>21698</v>
      </c>
      <c r="O38">
        <v>21715</v>
      </c>
      <c r="P38">
        <v>25</v>
      </c>
      <c r="Q38">
        <v>8</v>
      </c>
      <c r="R38">
        <v>21723</v>
      </c>
      <c r="S38">
        <v>308</v>
      </c>
      <c r="T38">
        <v>4428</v>
      </c>
      <c r="U38">
        <v>0</v>
      </c>
      <c r="V38">
        <v>21390</v>
      </c>
      <c r="W38">
        <v>17287</v>
      </c>
      <c r="X38">
        <v>21698</v>
      </c>
      <c r="Y38">
        <v>21715</v>
      </c>
      <c r="Z38">
        <v>25</v>
      </c>
      <c r="AA38">
        <v>8</v>
      </c>
      <c r="AB38">
        <v>0</v>
      </c>
      <c r="AC38">
        <v>0</v>
      </c>
      <c r="AD38">
        <v>0</v>
      </c>
      <c r="AE38">
        <v>0</v>
      </c>
      <c r="AF38">
        <v>0</v>
      </c>
      <c r="AG38">
        <v>0</v>
      </c>
      <c r="AH38">
        <v>0</v>
      </c>
      <c r="AI38">
        <v>0</v>
      </c>
      <c r="AJ38">
        <v>0</v>
      </c>
      <c r="AK38">
        <v>0</v>
      </c>
      <c r="AL38">
        <v>21</v>
      </c>
      <c r="AM38">
        <v>0</v>
      </c>
      <c r="AN38">
        <v>0</v>
      </c>
      <c r="AO38">
        <v>0</v>
      </c>
      <c r="AP38">
        <v>0</v>
      </c>
      <c r="AQ38">
        <v>21</v>
      </c>
      <c r="AR38">
        <v>0</v>
      </c>
      <c r="AS38">
        <v>21</v>
      </c>
      <c r="AT38">
        <v>21</v>
      </c>
      <c r="AU38">
        <v>0</v>
      </c>
      <c r="AV38">
        <v>100</v>
      </c>
      <c r="AW38">
        <v>1.4</v>
      </c>
      <c r="AX38">
        <v>20.399999999999999</v>
      </c>
      <c r="AY38">
        <v>0</v>
      </c>
      <c r="AZ38">
        <v>98.5</v>
      </c>
      <c r="BA38">
        <v>79.599999999999994</v>
      </c>
      <c r="BB38">
        <v>99.9</v>
      </c>
      <c r="BC38">
        <v>100</v>
      </c>
      <c r="BD38">
        <v>0.1</v>
      </c>
      <c r="BE38">
        <v>0</v>
      </c>
      <c r="BF38">
        <v>100</v>
      </c>
      <c r="BG38">
        <v>1.4</v>
      </c>
      <c r="BH38">
        <v>20.399999999999999</v>
      </c>
      <c r="BI38">
        <v>0</v>
      </c>
      <c r="BJ38">
        <v>98.5</v>
      </c>
      <c r="BK38">
        <v>79.599999999999994</v>
      </c>
      <c r="BL38">
        <v>99.9</v>
      </c>
      <c r="BM38">
        <v>100</v>
      </c>
      <c r="BN38">
        <v>0.1</v>
      </c>
      <c r="BO38">
        <v>0</v>
      </c>
      <c r="BP38">
        <v>0</v>
      </c>
      <c r="BQ38">
        <v>0</v>
      </c>
      <c r="BR38">
        <v>0</v>
      </c>
      <c r="BS38">
        <v>0</v>
      </c>
      <c r="BT38">
        <v>0</v>
      </c>
      <c r="BU38">
        <v>0</v>
      </c>
      <c r="BV38">
        <v>0</v>
      </c>
      <c r="BW38">
        <v>0</v>
      </c>
      <c r="BX38">
        <v>0</v>
      </c>
      <c r="BY38">
        <v>0</v>
      </c>
      <c r="BZ38">
        <v>21</v>
      </c>
      <c r="CA38">
        <v>2</v>
      </c>
      <c r="CB38">
        <v>3</v>
      </c>
      <c r="CC38">
        <v>0</v>
      </c>
      <c r="CD38">
        <v>7</v>
      </c>
      <c r="CE38">
        <v>9</v>
      </c>
      <c r="CF38">
        <v>9</v>
      </c>
      <c r="CG38">
        <v>12</v>
      </c>
      <c r="CH38">
        <v>21</v>
      </c>
      <c r="CI38">
        <v>2</v>
      </c>
      <c r="CJ38">
        <v>3</v>
      </c>
      <c r="CK38">
        <v>0</v>
      </c>
      <c r="CL38">
        <v>7</v>
      </c>
      <c r="CM38">
        <v>9</v>
      </c>
      <c r="CN38">
        <v>9</v>
      </c>
      <c r="CO38">
        <v>12</v>
      </c>
      <c r="CP38">
        <v>0</v>
      </c>
      <c r="CQ38">
        <v>0</v>
      </c>
      <c r="CR38">
        <v>0</v>
      </c>
      <c r="CS38">
        <v>0</v>
      </c>
      <c r="CT38">
        <v>0</v>
      </c>
      <c r="CU38">
        <v>0</v>
      </c>
      <c r="CV38">
        <v>0</v>
      </c>
      <c r="CW38">
        <v>0</v>
      </c>
      <c r="CX38">
        <v>86.4</v>
      </c>
      <c r="CY38">
        <v>92.7</v>
      </c>
      <c r="CZ38">
        <v>99.4</v>
      </c>
      <c r="DA38">
        <v>98.3</v>
      </c>
      <c r="DB38">
        <v>86.4</v>
      </c>
      <c r="DC38">
        <v>92.7</v>
      </c>
      <c r="DD38">
        <v>99.4</v>
      </c>
      <c r="DE38">
        <v>98.3</v>
      </c>
      <c r="DF38">
        <v>86.4</v>
      </c>
      <c r="DG38">
        <v>92.7</v>
      </c>
      <c r="DH38">
        <v>99.4</v>
      </c>
      <c r="DI38">
        <v>98.3</v>
      </c>
      <c r="DJ38">
        <v>86.4</v>
      </c>
      <c r="DK38">
        <v>92.7</v>
      </c>
      <c r="DL38">
        <v>99.4</v>
      </c>
      <c r="DM38">
        <v>98.3</v>
      </c>
      <c r="DN38">
        <v>0</v>
      </c>
      <c r="DO38">
        <v>0</v>
      </c>
      <c r="DP38">
        <v>0</v>
      </c>
      <c r="DQ38">
        <v>0</v>
      </c>
      <c r="DR38">
        <v>0</v>
      </c>
      <c r="DS38">
        <v>0</v>
      </c>
      <c r="DT38">
        <v>0</v>
      </c>
      <c r="DU38">
        <v>0</v>
      </c>
      <c r="DV38" t="s">
        <v>220</v>
      </c>
    </row>
    <row r="39" spans="1:126" x14ac:dyDescent="0.35">
      <c r="A39" t="s">
        <v>218</v>
      </c>
      <c r="B39">
        <v>230103</v>
      </c>
      <c r="C39" s="1">
        <v>44929</v>
      </c>
      <c r="D39" t="s">
        <v>219</v>
      </c>
      <c r="E39" t="s">
        <v>184</v>
      </c>
      <c r="F39" t="s">
        <v>185</v>
      </c>
      <c r="G39" t="s">
        <v>186</v>
      </c>
      <c r="H39">
        <v>21702</v>
      </c>
      <c r="I39" s="17">
        <v>308</v>
      </c>
      <c r="J39" s="17">
        <v>4428</v>
      </c>
      <c r="K39">
        <v>0</v>
      </c>
      <c r="L39">
        <v>21390</v>
      </c>
      <c r="M39">
        <v>17266</v>
      </c>
      <c r="N39">
        <v>21698</v>
      </c>
      <c r="O39">
        <v>21694</v>
      </c>
      <c r="P39">
        <v>4</v>
      </c>
      <c r="Q39">
        <v>8</v>
      </c>
      <c r="R39">
        <v>21702</v>
      </c>
      <c r="S39">
        <v>308</v>
      </c>
      <c r="T39">
        <v>4428</v>
      </c>
      <c r="U39">
        <v>0</v>
      </c>
      <c r="V39">
        <v>21390</v>
      </c>
      <c r="W39">
        <v>17266</v>
      </c>
      <c r="X39">
        <v>21698</v>
      </c>
      <c r="Y39">
        <v>21694</v>
      </c>
      <c r="Z39">
        <v>4</v>
      </c>
      <c r="AA39">
        <v>8</v>
      </c>
      <c r="AB39">
        <v>0</v>
      </c>
      <c r="AC39">
        <v>0</v>
      </c>
      <c r="AD39">
        <v>0</v>
      </c>
      <c r="AE39">
        <v>0</v>
      </c>
      <c r="AF39">
        <v>0</v>
      </c>
      <c r="AG39">
        <v>0</v>
      </c>
      <c r="AH39">
        <v>0</v>
      </c>
      <c r="AI39">
        <v>0</v>
      </c>
      <c r="AJ39">
        <v>0</v>
      </c>
      <c r="AK39">
        <v>0</v>
      </c>
      <c r="AL39">
        <v>0</v>
      </c>
      <c r="AM39">
        <v>0</v>
      </c>
      <c r="AN39">
        <v>0</v>
      </c>
      <c r="AO39">
        <v>0</v>
      </c>
      <c r="AP39">
        <v>0</v>
      </c>
      <c r="AQ39">
        <v>0</v>
      </c>
      <c r="AR39">
        <v>0</v>
      </c>
      <c r="AS39">
        <v>0</v>
      </c>
      <c r="AT39">
        <v>0</v>
      </c>
      <c r="AU39">
        <v>0</v>
      </c>
      <c r="AV39">
        <v>100</v>
      </c>
      <c r="AW39">
        <v>1.4</v>
      </c>
      <c r="AX39">
        <v>20.399999999999999</v>
      </c>
      <c r="AY39">
        <v>0</v>
      </c>
      <c r="AZ39">
        <v>98.6</v>
      </c>
      <c r="BA39">
        <v>79.599999999999994</v>
      </c>
      <c r="BB39">
        <v>100</v>
      </c>
      <c r="BC39">
        <v>100</v>
      </c>
      <c r="BD39">
        <v>0</v>
      </c>
      <c r="BE39">
        <v>0</v>
      </c>
      <c r="BF39">
        <v>100</v>
      </c>
      <c r="BG39">
        <v>1.4</v>
      </c>
      <c r="BH39">
        <v>20.399999999999999</v>
      </c>
      <c r="BI39">
        <v>0</v>
      </c>
      <c r="BJ39">
        <v>98.6</v>
      </c>
      <c r="BK39">
        <v>79.599999999999994</v>
      </c>
      <c r="BL39">
        <v>100</v>
      </c>
      <c r="BM39">
        <v>100</v>
      </c>
      <c r="BN39">
        <v>0</v>
      </c>
      <c r="BO39">
        <v>0</v>
      </c>
      <c r="BP39">
        <v>0</v>
      </c>
      <c r="BQ39">
        <v>0</v>
      </c>
      <c r="BR39">
        <v>0</v>
      </c>
      <c r="BS39">
        <v>0</v>
      </c>
      <c r="BT39">
        <v>0</v>
      </c>
      <c r="BU39">
        <v>0</v>
      </c>
      <c r="BV39">
        <v>0</v>
      </c>
      <c r="BW39">
        <v>0</v>
      </c>
      <c r="BX39">
        <v>0</v>
      </c>
      <c r="BY39">
        <v>0</v>
      </c>
      <c r="BZ39">
        <v>21</v>
      </c>
      <c r="CA39">
        <v>2</v>
      </c>
      <c r="CB39">
        <v>3</v>
      </c>
      <c r="CC39">
        <v>0</v>
      </c>
      <c r="CD39">
        <v>7</v>
      </c>
      <c r="CE39">
        <v>9</v>
      </c>
      <c r="CF39">
        <v>9</v>
      </c>
      <c r="CG39">
        <v>12</v>
      </c>
      <c r="CH39">
        <v>21</v>
      </c>
      <c r="CI39">
        <v>2</v>
      </c>
      <c r="CJ39">
        <v>3</v>
      </c>
      <c r="CK39">
        <v>0</v>
      </c>
      <c r="CL39">
        <v>7</v>
      </c>
      <c r="CM39">
        <v>9</v>
      </c>
      <c r="CN39">
        <v>9</v>
      </c>
      <c r="CO39">
        <v>12</v>
      </c>
      <c r="CP39">
        <v>0</v>
      </c>
      <c r="CQ39">
        <v>0</v>
      </c>
      <c r="CR39">
        <v>0</v>
      </c>
      <c r="CS39">
        <v>0</v>
      </c>
      <c r="CT39">
        <v>0</v>
      </c>
      <c r="CU39">
        <v>0</v>
      </c>
      <c r="CV39">
        <v>0</v>
      </c>
      <c r="CW39">
        <v>0</v>
      </c>
      <c r="CX39">
        <v>86.5</v>
      </c>
      <c r="CY39">
        <v>92.8</v>
      </c>
      <c r="CZ39">
        <v>99.5</v>
      </c>
      <c r="DA39">
        <v>98.4</v>
      </c>
      <c r="DB39">
        <v>86.5</v>
      </c>
      <c r="DC39">
        <v>92.8</v>
      </c>
      <c r="DD39">
        <v>99.5</v>
      </c>
      <c r="DE39">
        <v>98.4</v>
      </c>
      <c r="DF39">
        <v>86.5</v>
      </c>
      <c r="DG39">
        <v>92.8</v>
      </c>
      <c r="DH39">
        <v>99.5</v>
      </c>
      <c r="DI39">
        <v>98.4</v>
      </c>
      <c r="DJ39">
        <v>86.5</v>
      </c>
      <c r="DK39">
        <v>92.8</v>
      </c>
      <c r="DL39">
        <v>99.5</v>
      </c>
      <c r="DM39">
        <v>98.4</v>
      </c>
      <c r="DN39">
        <v>0</v>
      </c>
      <c r="DO39">
        <v>0</v>
      </c>
      <c r="DP39">
        <v>0</v>
      </c>
      <c r="DQ39">
        <v>0</v>
      </c>
      <c r="DR39">
        <v>0</v>
      </c>
      <c r="DS39">
        <v>0</v>
      </c>
      <c r="DT39">
        <v>0</v>
      </c>
      <c r="DU39">
        <v>0</v>
      </c>
      <c r="DV39" t="s">
        <v>220</v>
      </c>
    </row>
    <row r="40" spans="1:126" x14ac:dyDescent="0.35">
      <c r="A40" t="s">
        <v>221</v>
      </c>
      <c r="B40">
        <v>230110</v>
      </c>
      <c r="C40" s="1">
        <v>44936</v>
      </c>
      <c r="D40" t="s">
        <v>222</v>
      </c>
      <c r="E40" t="s">
        <v>184</v>
      </c>
      <c r="F40" t="s">
        <v>185</v>
      </c>
      <c r="G40" t="s">
        <v>186</v>
      </c>
      <c r="H40">
        <v>19840</v>
      </c>
      <c r="I40" s="17">
        <v>3806</v>
      </c>
      <c r="J40" s="17">
        <v>2837</v>
      </c>
      <c r="K40">
        <v>0</v>
      </c>
      <c r="L40">
        <v>15999</v>
      </c>
      <c r="M40">
        <v>16989</v>
      </c>
      <c r="N40">
        <v>19805</v>
      </c>
      <c r="O40">
        <v>19826</v>
      </c>
      <c r="P40">
        <v>35</v>
      </c>
      <c r="Q40">
        <v>14</v>
      </c>
      <c r="R40">
        <v>19840</v>
      </c>
      <c r="S40">
        <v>3806</v>
      </c>
      <c r="T40">
        <v>2837</v>
      </c>
      <c r="U40">
        <v>0</v>
      </c>
      <c r="V40">
        <v>15999</v>
      </c>
      <c r="W40">
        <v>16989</v>
      </c>
      <c r="X40">
        <v>19805</v>
      </c>
      <c r="Y40">
        <v>19826</v>
      </c>
      <c r="Z40">
        <v>35</v>
      </c>
      <c r="AA40">
        <v>14</v>
      </c>
      <c r="AB40">
        <v>0</v>
      </c>
      <c r="AC40">
        <v>0</v>
      </c>
      <c r="AD40">
        <v>0</v>
      </c>
      <c r="AE40">
        <v>0</v>
      </c>
      <c r="AF40">
        <v>0</v>
      </c>
      <c r="AG40">
        <v>0</v>
      </c>
      <c r="AH40">
        <v>0</v>
      </c>
      <c r="AI40">
        <v>0</v>
      </c>
      <c r="AJ40">
        <v>0</v>
      </c>
      <c r="AK40">
        <v>0</v>
      </c>
      <c r="AL40">
        <v>2</v>
      </c>
      <c r="AM40">
        <v>0</v>
      </c>
      <c r="AN40">
        <v>13</v>
      </c>
      <c r="AO40">
        <v>0</v>
      </c>
      <c r="AP40">
        <v>0</v>
      </c>
      <c r="AQ40">
        <v>1</v>
      </c>
      <c r="AR40">
        <v>0</v>
      </c>
      <c r="AS40">
        <v>14</v>
      </c>
      <c r="AT40">
        <v>2</v>
      </c>
      <c r="AU40">
        <v>-12</v>
      </c>
      <c r="AV40">
        <v>100</v>
      </c>
      <c r="AW40">
        <v>19.2</v>
      </c>
      <c r="AX40">
        <v>14.3</v>
      </c>
      <c r="AY40">
        <v>0</v>
      </c>
      <c r="AZ40">
        <v>80.599999999999994</v>
      </c>
      <c r="BA40">
        <v>85.6</v>
      </c>
      <c r="BB40">
        <v>99.8</v>
      </c>
      <c r="BC40">
        <v>99.9</v>
      </c>
      <c r="BD40">
        <v>0.2</v>
      </c>
      <c r="BE40">
        <v>0.1</v>
      </c>
      <c r="BF40">
        <v>100</v>
      </c>
      <c r="BG40">
        <v>19.2</v>
      </c>
      <c r="BH40">
        <v>14.3</v>
      </c>
      <c r="BI40">
        <v>0</v>
      </c>
      <c r="BJ40">
        <v>80.599999999999994</v>
      </c>
      <c r="BK40">
        <v>85.6</v>
      </c>
      <c r="BL40">
        <v>99.8</v>
      </c>
      <c r="BM40">
        <v>99.9</v>
      </c>
      <c r="BN40">
        <v>0.2</v>
      </c>
      <c r="BO40">
        <v>0.1</v>
      </c>
      <c r="BP40">
        <v>0</v>
      </c>
      <c r="BQ40">
        <v>0</v>
      </c>
      <c r="BR40">
        <v>0</v>
      </c>
      <c r="BS40">
        <v>0</v>
      </c>
      <c r="BT40">
        <v>0</v>
      </c>
      <c r="BU40">
        <v>0</v>
      </c>
      <c r="BV40">
        <v>0</v>
      </c>
      <c r="BW40">
        <v>0</v>
      </c>
      <c r="BX40">
        <v>0</v>
      </c>
      <c r="BY40">
        <v>0</v>
      </c>
      <c r="BZ40">
        <v>22</v>
      </c>
      <c r="CA40">
        <v>6</v>
      </c>
      <c r="CB40">
        <v>5</v>
      </c>
      <c r="CC40">
        <v>0</v>
      </c>
      <c r="CD40">
        <v>4</v>
      </c>
      <c r="CE40">
        <v>7</v>
      </c>
      <c r="CF40">
        <v>10</v>
      </c>
      <c r="CG40">
        <v>12</v>
      </c>
      <c r="CH40">
        <v>22</v>
      </c>
      <c r="CI40">
        <v>6</v>
      </c>
      <c r="CJ40">
        <v>5</v>
      </c>
      <c r="CK40">
        <v>0</v>
      </c>
      <c r="CL40">
        <v>4</v>
      </c>
      <c r="CM40">
        <v>7</v>
      </c>
      <c r="CN40">
        <v>10</v>
      </c>
      <c r="CO40">
        <v>12</v>
      </c>
      <c r="CP40">
        <v>0</v>
      </c>
      <c r="CQ40">
        <v>0</v>
      </c>
      <c r="CR40">
        <v>0</v>
      </c>
      <c r="CS40">
        <v>0</v>
      </c>
      <c r="CT40">
        <v>0</v>
      </c>
      <c r="CU40">
        <v>0</v>
      </c>
      <c r="CV40">
        <v>0</v>
      </c>
      <c r="CW40">
        <v>0</v>
      </c>
      <c r="CX40">
        <v>88.9</v>
      </c>
      <c r="CY40">
        <v>81.2</v>
      </c>
      <c r="CZ40">
        <v>98.7</v>
      </c>
      <c r="DA40">
        <v>95</v>
      </c>
      <c r="DB40">
        <v>88.9</v>
      </c>
      <c r="DC40">
        <v>81.2</v>
      </c>
      <c r="DD40">
        <v>98.7</v>
      </c>
      <c r="DE40">
        <v>95</v>
      </c>
      <c r="DF40">
        <v>88.9</v>
      </c>
      <c r="DG40">
        <v>81.2</v>
      </c>
      <c r="DH40">
        <v>98.7</v>
      </c>
      <c r="DI40">
        <v>95</v>
      </c>
      <c r="DJ40">
        <v>88.9</v>
      </c>
      <c r="DK40">
        <v>81.2</v>
      </c>
      <c r="DL40">
        <v>98.7</v>
      </c>
      <c r="DM40">
        <v>95</v>
      </c>
      <c r="DN40">
        <v>0</v>
      </c>
      <c r="DO40">
        <v>0</v>
      </c>
      <c r="DP40">
        <v>0</v>
      </c>
      <c r="DQ40">
        <v>0</v>
      </c>
      <c r="DR40">
        <v>0</v>
      </c>
      <c r="DS40">
        <v>0</v>
      </c>
      <c r="DT40">
        <v>0</v>
      </c>
      <c r="DU40">
        <v>0</v>
      </c>
      <c r="DV40" t="s">
        <v>217</v>
      </c>
    </row>
    <row r="41" spans="1:126" x14ac:dyDescent="0.35">
      <c r="A41" t="s">
        <v>221</v>
      </c>
      <c r="B41">
        <v>230103</v>
      </c>
      <c r="C41" s="1">
        <v>44929</v>
      </c>
      <c r="D41" t="s">
        <v>222</v>
      </c>
      <c r="E41" t="s">
        <v>184</v>
      </c>
      <c r="F41" t="s">
        <v>185</v>
      </c>
      <c r="G41" t="s">
        <v>186</v>
      </c>
      <c r="H41">
        <v>19838</v>
      </c>
      <c r="I41" s="17">
        <v>3806</v>
      </c>
      <c r="J41" s="17">
        <v>2824</v>
      </c>
      <c r="K41">
        <v>0</v>
      </c>
      <c r="L41">
        <v>15999</v>
      </c>
      <c r="M41">
        <v>16988</v>
      </c>
      <c r="N41">
        <v>19805</v>
      </c>
      <c r="O41">
        <v>19812</v>
      </c>
      <c r="P41">
        <v>33</v>
      </c>
      <c r="Q41">
        <v>26</v>
      </c>
      <c r="R41">
        <v>19838</v>
      </c>
      <c r="S41">
        <v>3806</v>
      </c>
      <c r="T41">
        <v>2824</v>
      </c>
      <c r="U41">
        <v>0</v>
      </c>
      <c r="V41">
        <v>15999</v>
      </c>
      <c r="W41">
        <v>16988</v>
      </c>
      <c r="X41">
        <v>19805</v>
      </c>
      <c r="Y41">
        <v>19812</v>
      </c>
      <c r="Z41">
        <v>33</v>
      </c>
      <c r="AA41">
        <v>26</v>
      </c>
      <c r="AB41">
        <v>0</v>
      </c>
      <c r="AC41">
        <v>0</v>
      </c>
      <c r="AD41">
        <v>0</v>
      </c>
      <c r="AE41">
        <v>0</v>
      </c>
      <c r="AF41">
        <v>0</v>
      </c>
      <c r="AG41">
        <v>0</v>
      </c>
      <c r="AH41">
        <v>0</v>
      </c>
      <c r="AI41">
        <v>0</v>
      </c>
      <c r="AJ41">
        <v>0</v>
      </c>
      <c r="AK41">
        <v>0</v>
      </c>
      <c r="AL41">
        <v>178</v>
      </c>
      <c r="AM41">
        <v>-13</v>
      </c>
      <c r="AN41">
        <v>25</v>
      </c>
      <c r="AO41">
        <v>0</v>
      </c>
      <c r="AP41">
        <v>191</v>
      </c>
      <c r="AQ41">
        <v>151</v>
      </c>
      <c r="AR41">
        <v>178</v>
      </c>
      <c r="AS41">
        <v>176</v>
      </c>
      <c r="AT41">
        <v>0</v>
      </c>
      <c r="AU41">
        <v>2</v>
      </c>
      <c r="AV41">
        <v>100</v>
      </c>
      <c r="AW41">
        <v>19.2</v>
      </c>
      <c r="AX41">
        <v>14.2</v>
      </c>
      <c r="AY41">
        <v>0</v>
      </c>
      <c r="AZ41">
        <v>80.599999999999994</v>
      </c>
      <c r="BA41">
        <v>85.6</v>
      </c>
      <c r="BB41">
        <v>99.8</v>
      </c>
      <c r="BC41">
        <v>99.9</v>
      </c>
      <c r="BD41">
        <v>0.2</v>
      </c>
      <c r="BE41">
        <v>0.1</v>
      </c>
      <c r="BF41">
        <v>100</v>
      </c>
      <c r="BG41">
        <v>19.2</v>
      </c>
      <c r="BH41">
        <v>14.2</v>
      </c>
      <c r="BI41">
        <v>0</v>
      </c>
      <c r="BJ41">
        <v>80.599999999999994</v>
      </c>
      <c r="BK41">
        <v>85.6</v>
      </c>
      <c r="BL41">
        <v>99.8</v>
      </c>
      <c r="BM41">
        <v>99.9</v>
      </c>
      <c r="BN41">
        <v>0.2</v>
      </c>
      <c r="BO41">
        <v>0.1</v>
      </c>
      <c r="BP41">
        <v>0</v>
      </c>
      <c r="BQ41">
        <v>0</v>
      </c>
      <c r="BR41">
        <v>0</v>
      </c>
      <c r="BS41">
        <v>0</v>
      </c>
      <c r="BT41">
        <v>0</v>
      </c>
      <c r="BU41">
        <v>0</v>
      </c>
      <c r="BV41">
        <v>0</v>
      </c>
      <c r="BW41">
        <v>0</v>
      </c>
      <c r="BX41">
        <v>0</v>
      </c>
      <c r="BY41">
        <v>0</v>
      </c>
      <c r="BZ41">
        <v>22</v>
      </c>
      <c r="CA41">
        <v>6</v>
      </c>
      <c r="CB41">
        <v>5</v>
      </c>
      <c r="CC41">
        <v>0</v>
      </c>
      <c r="CD41">
        <v>4</v>
      </c>
      <c r="CE41">
        <v>7</v>
      </c>
      <c r="CF41">
        <v>10</v>
      </c>
      <c r="CG41">
        <v>12</v>
      </c>
      <c r="CH41">
        <v>22</v>
      </c>
      <c r="CI41">
        <v>6</v>
      </c>
      <c r="CJ41">
        <v>5</v>
      </c>
      <c r="CK41">
        <v>0</v>
      </c>
      <c r="CL41">
        <v>4</v>
      </c>
      <c r="CM41">
        <v>7</v>
      </c>
      <c r="CN41">
        <v>10</v>
      </c>
      <c r="CO41">
        <v>12</v>
      </c>
      <c r="CP41">
        <v>0</v>
      </c>
      <c r="CQ41">
        <v>0</v>
      </c>
      <c r="CR41">
        <v>0</v>
      </c>
      <c r="CS41">
        <v>0</v>
      </c>
      <c r="CT41">
        <v>0</v>
      </c>
      <c r="CU41">
        <v>0</v>
      </c>
      <c r="CV41">
        <v>0</v>
      </c>
      <c r="CW41">
        <v>0</v>
      </c>
      <c r="CX41">
        <v>88.9</v>
      </c>
      <c r="CY41">
        <v>81.2</v>
      </c>
      <c r="CZ41">
        <v>98.7</v>
      </c>
      <c r="DA41">
        <v>94.9</v>
      </c>
      <c r="DB41">
        <v>88.9</v>
      </c>
      <c r="DC41">
        <v>81.2</v>
      </c>
      <c r="DD41">
        <v>98.7</v>
      </c>
      <c r="DE41">
        <v>94.9</v>
      </c>
      <c r="DF41">
        <v>88.9</v>
      </c>
      <c r="DG41">
        <v>81.2</v>
      </c>
      <c r="DH41">
        <v>98.7</v>
      </c>
      <c r="DI41">
        <v>94.9</v>
      </c>
      <c r="DJ41">
        <v>88.9</v>
      </c>
      <c r="DK41">
        <v>81.2</v>
      </c>
      <c r="DL41">
        <v>98.7</v>
      </c>
      <c r="DM41">
        <v>94.9</v>
      </c>
      <c r="DN41">
        <v>0</v>
      </c>
      <c r="DO41">
        <v>0</v>
      </c>
      <c r="DP41">
        <v>0</v>
      </c>
      <c r="DQ41">
        <v>0</v>
      </c>
      <c r="DR41">
        <v>0</v>
      </c>
      <c r="DS41">
        <v>0</v>
      </c>
      <c r="DT41">
        <v>0</v>
      </c>
      <c r="DU41">
        <v>0</v>
      </c>
      <c r="DV41" t="s">
        <v>217</v>
      </c>
    </row>
    <row r="42" spans="1:126" x14ac:dyDescent="0.35">
      <c r="A42" t="s">
        <v>223</v>
      </c>
      <c r="B42">
        <v>230110</v>
      </c>
      <c r="C42" s="1">
        <v>44936</v>
      </c>
      <c r="D42" t="s">
        <v>224</v>
      </c>
      <c r="E42" t="s">
        <v>184</v>
      </c>
      <c r="F42" t="s">
        <v>185</v>
      </c>
      <c r="G42" t="s">
        <v>186</v>
      </c>
      <c r="H42">
        <v>43910</v>
      </c>
      <c r="I42" s="17">
        <v>13483</v>
      </c>
      <c r="J42" s="17">
        <v>14540</v>
      </c>
      <c r="K42">
        <v>198</v>
      </c>
      <c r="L42">
        <v>30177</v>
      </c>
      <c r="M42">
        <v>29145</v>
      </c>
      <c r="N42">
        <v>43858</v>
      </c>
      <c r="O42">
        <v>43883</v>
      </c>
      <c r="P42">
        <v>52</v>
      </c>
      <c r="Q42">
        <v>27</v>
      </c>
      <c r="R42">
        <v>43910</v>
      </c>
      <c r="S42">
        <v>13483</v>
      </c>
      <c r="T42">
        <v>14540</v>
      </c>
      <c r="U42">
        <v>198</v>
      </c>
      <c r="V42">
        <v>30177</v>
      </c>
      <c r="W42">
        <v>29145</v>
      </c>
      <c r="X42">
        <v>43858</v>
      </c>
      <c r="Y42">
        <v>43883</v>
      </c>
      <c r="Z42">
        <v>52</v>
      </c>
      <c r="AA42">
        <v>27</v>
      </c>
      <c r="AB42">
        <v>0</v>
      </c>
      <c r="AC42">
        <v>0</v>
      </c>
      <c r="AD42">
        <v>0</v>
      </c>
      <c r="AE42">
        <v>0</v>
      </c>
      <c r="AF42">
        <v>0</v>
      </c>
      <c r="AG42">
        <v>0</v>
      </c>
      <c r="AH42">
        <v>0</v>
      </c>
      <c r="AI42">
        <v>0</v>
      </c>
      <c r="AJ42">
        <v>0</v>
      </c>
      <c r="AK42">
        <v>0</v>
      </c>
      <c r="AL42">
        <v>5152</v>
      </c>
      <c r="AM42">
        <v>14</v>
      </c>
      <c r="AN42">
        <v>268</v>
      </c>
      <c r="AO42">
        <v>0</v>
      </c>
      <c r="AP42">
        <v>5139</v>
      </c>
      <c r="AQ42">
        <v>4903</v>
      </c>
      <c r="AR42">
        <v>5153</v>
      </c>
      <c r="AS42">
        <v>5171</v>
      </c>
      <c r="AT42">
        <v>-1</v>
      </c>
      <c r="AU42">
        <v>-19</v>
      </c>
      <c r="AV42">
        <v>100</v>
      </c>
      <c r="AW42">
        <v>30.7</v>
      </c>
      <c r="AX42">
        <v>33.1</v>
      </c>
      <c r="AY42">
        <v>0.5</v>
      </c>
      <c r="AZ42">
        <v>68.7</v>
      </c>
      <c r="BA42">
        <v>66.400000000000006</v>
      </c>
      <c r="BB42">
        <v>99.9</v>
      </c>
      <c r="BC42">
        <v>99.9</v>
      </c>
      <c r="BD42">
        <v>0.1</v>
      </c>
      <c r="BE42">
        <v>0.1</v>
      </c>
      <c r="BF42">
        <v>100</v>
      </c>
      <c r="BG42">
        <v>30.7</v>
      </c>
      <c r="BH42">
        <v>33.1</v>
      </c>
      <c r="BI42">
        <v>0.5</v>
      </c>
      <c r="BJ42">
        <v>68.7</v>
      </c>
      <c r="BK42">
        <v>66.400000000000006</v>
      </c>
      <c r="BL42">
        <v>99.9</v>
      </c>
      <c r="BM42">
        <v>99.9</v>
      </c>
      <c r="BN42">
        <v>0.1</v>
      </c>
      <c r="BO42">
        <v>0.1</v>
      </c>
      <c r="BP42">
        <v>0</v>
      </c>
      <c r="BQ42">
        <v>0</v>
      </c>
      <c r="BR42">
        <v>0</v>
      </c>
      <c r="BS42">
        <v>0</v>
      </c>
      <c r="BT42">
        <v>0</v>
      </c>
      <c r="BU42">
        <v>0</v>
      </c>
      <c r="BV42">
        <v>0</v>
      </c>
      <c r="BW42">
        <v>0</v>
      </c>
      <c r="BX42">
        <v>0</v>
      </c>
      <c r="BY42">
        <v>0</v>
      </c>
      <c r="BZ42">
        <v>45</v>
      </c>
      <c r="CA42">
        <v>15</v>
      </c>
      <c r="CB42">
        <v>10</v>
      </c>
      <c r="CC42">
        <v>2</v>
      </c>
      <c r="CD42">
        <v>16</v>
      </c>
      <c r="CE42">
        <v>7</v>
      </c>
      <c r="CF42">
        <v>32</v>
      </c>
      <c r="CG42">
        <v>18</v>
      </c>
      <c r="CH42">
        <v>45</v>
      </c>
      <c r="CI42">
        <v>15</v>
      </c>
      <c r="CJ42">
        <v>10</v>
      </c>
      <c r="CK42">
        <v>2</v>
      </c>
      <c r="CL42">
        <v>16</v>
      </c>
      <c r="CM42">
        <v>7</v>
      </c>
      <c r="CN42">
        <v>32</v>
      </c>
      <c r="CO42">
        <v>18</v>
      </c>
      <c r="CP42">
        <v>0</v>
      </c>
      <c r="CQ42">
        <v>0</v>
      </c>
      <c r="CR42">
        <v>0</v>
      </c>
      <c r="CS42">
        <v>0</v>
      </c>
      <c r="CT42">
        <v>0</v>
      </c>
      <c r="CU42">
        <v>0</v>
      </c>
      <c r="CV42">
        <v>0</v>
      </c>
      <c r="CW42">
        <v>0</v>
      </c>
      <c r="CX42">
        <v>43.7</v>
      </c>
      <c r="CY42">
        <v>75.8</v>
      </c>
      <c r="CZ42">
        <v>67.099999999999994</v>
      </c>
      <c r="DA42">
        <v>94.9</v>
      </c>
      <c r="DB42">
        <v>40.299999999999997</v>
      </c>
      <c r="DC42">
        <v>73.8</v>
      </c>
      <c r="DD42">
        <v>61.8</v>
      </c>
      <c r="DE42">
        <v>85.5</v>
      </c>
      <c r="DF42">
        <v>43.7</v>
      </c>
      <c r="DG42">
        <v>75.8</v>
      </c>
      <c r="DH42">
        <v>67.099999999999994</v>
      </c>
      <c r="DI42">
        <v>94.9</v>
      </c>
      <c r="DJ42">
        <v>40.299999999999997</v>
      </c>
      <c r="DK42">
        <v>73.8</v>
      </c>
      <c r="DL42">
        <v>61.8</v>
      </c>
      <c r="DM42">
        <v>85.5</v>
      </c>
      <c r="DN42">
        <v>0</v>
      </c>
      <c r="DO42">
        <v>0</v>
      </c>
      <c r="DP42">
        <v>0</v>
      </c>
      <c r="DQ42">
        <v>0</v>
      </c>
      <c r="DR42">
        <v>0</v>
      </c>
      <c r="DS42">
        <v>0</v>
      </c>
      <c r="DT42">
        <v>0</v>
      </c>
      <c r="DU42">
        <v>0</v>
      </c>
      <c r="DV42" t="s">
        <v>220</v>
      </c>
    </row>
    <row r="43" spans="1:126" x14ac:dyDescent="0.35">
      <c r="A43" t="s">
        <v>223</v>
      </c>
      <c r="B43">
        <v>230103</v>
      </c>
      <c r="C43" s="1">
        <v>44929</v>
      </c>
      <c r="D43" t="s">
        <v>224</v>
      </c>
      <c r="E43" t="s">
        <v>184</v>
      </c>
      <c r="F43" t="s">
        <v>185</v>
      </c>
      <c r="G43" t="s">
        <v>186</v>
      </c>
      <c r="H43">
        <v>38758</v>
      </c>
      <c r="I43" s="17">
        <v>13469</v>
      </c>
      <c r="J43" s="17">
        <v>14272</v>
      </c>
      <c r="K43">
        <v>198</v>
      </c>
      <c r="L43">
        <v>25038</v>
      </c>
      <c r="M43">
        <v>24242</v>
      </c>
      <c r="N43">
        <v>38705</v>
      </c>
      <c r="O43">
        <v>38712</v>
      </c>
      <c r="P43">
        <v>53</v>
      </c>
      <c r="Q43">
        <v>46</v>
      </c>
      <c r="R43">
        <v>38758</v>
      </c>
      <c r="S43">
        <v>13469</v>
      </c>
      <c r="T43">
        <v>14272</v>
      </c>
      <c r="U43">
        <v>198</v>
      </c>
      <c r="V43">
        <v>25038</v>
      </c>
      <c r="W43">
        <v>24242</v>
      </c>
      <c r="X43">
        <v>38705</v>
      </c>
      <c r="Y43">
        <v>38712</v>
      </c>
      <c r="Z43">
        <v>53</v>
      </c>
      <c r="AA43">
        <v>46</v>
      </c>
      <c r="AB43">
        <v>0</v>
      </c>
      <c r="AC43">
        <v>0</v>
      </c>
      <c r="AD43">
        <v>0</v>
      </c>
      <c r="AE43">
        <v>0</v>
      </c>
      <c r="AF43">
        <v>0</v>
      </c>
      <c r="AG43">
        <v>0</v>
      </c>
      <c r="AH43">
        <v>0</v>
      </c>
      <c r="AI43">
        <v>0</v>
      </c>
      <c r="AJ43">
        <v>0</v>
      </c>
      <c r="AK43">
        <v>0</v>
      </c>
      <c r="AL43">
        <v>-403</v>
      </c>
      <c r="AM43">
        <v>-176</v>
      </c>
      <c r="AN43">
        <v>-429</v>
      </c>
      <c r="AO43">
        <v>0</v>
      </c>
      <c r="AP43">
        <v>-218</v>
      </c>
      <c r="AQ43">
        <v>-9</v>
      </c>
      <c r="AR43">
        <v>-394</v>
      </c>
      <c r="AS43">
        <v>-438</v>
      </c>
      <c r="AT43">
        <v>-9</v>
      </c>
      <c r="AU43">
        <v>35</v>
      </c>
      <c r="AV43">
        <v>100</v>
      </c>
      <c r="AW43">
        <v>34.799999999999997</v>
      </c>
      <c r="AX43">
        <v>36.799999999999997</v>
      </c>
      <c r="AY43">
        <v>0.5</v>
      </c>
      <c r="AZ43">
        <v>64.599999999999994</v>
      </c>
      <c r="BA43">
        <v>62.5</v>
      </c>
      <c r="BB43">
        <v>99.9</v>
      </c>
      <c r="BC43">
        <v>99.9</v>
      </c>
      <c r="BD43">
        <v>0.1</v>
      </c>
      <c r="BE43">
        <v>0.1</v>
      </c>
      <c r="BF43">
        <v>100</v>
      </c>
      <c r="BG43">
        <v>34.799999999999997</v>
      </c>
      <c r="BH43">
        <v>36.799999999999997</v>
      </c>
      <c r="BI43">
        <v>0.5</v>
      </c>
      <c r="BJ43">
        <v>64.599999999999994</v>
      </c>
      <c r="BK43">
        <v>62.5</v>
      </c>
      <c r="BL43">
        <v>99.9</v>
      </c>
      <c r="BM43">
        <v>99.9</v>
      </c>
      <c r="BN43">
        <v>0.1</v>
      </c>
      <c r="BO43">
        <v>0.1</v>
      </c>
      <c r="BP43">
        <v>0</v>
      </c>
      <c r="BQ43">
        <v>0</v>
      </c>
      <c r="BR43">
        <v>0</v>
      </c>
      <c r="BS43">
        <v>0</v>
      </c>
      <c r="BT43">
        <v>0</v>
      </c>
      <c r="BU43">
        <v>0</v>
      </c>
      <c r="BV43">
        <v>0</v>
      </c>
      <c r="BW43">
        <v>0</v>
      </c>
      <c r="BX43">
        <v>0</v>
      </c>
      <c r="BY43">
        <v>0</v>
      </c>
      <c r="BZ43">
        <v>41</v>
      </c>
      <c r="CA43">
        <v>15</v>
      </c>
      <c r="CB43">
        <v>8</v>
      </c>
      <c r="CC43">
        <v>2</v>
      </c>
      <c r="CD43">
        <v>15</v>
      </c>
      <c r="CE43">
        <v>4</v>
      </c>
      <c r="CF43">
        <v>31</v>
      </c>
      <c r="CG43">
        <v>13</v>
      </c>
      <c r="CH43">
        <v>41</v>
      </c>
      <c r="CI43">
        <v>15</v>
      </c>
      <c r="CJ43">
        <v>8</v>
      </c>
      <c r="CK43">
        <v>2</v>
      </c>
      <c r="CL43">
        <v>15</v>
      </c>
      <c r="CM43">
        <v>4</v>
      </c>
      <c r="CN43">
        <v>31</v>
      </c>
      <c r="CO43">
        <v>13</v>
      </c>
      <c r="CP43">
        <v>0</v>
      </c>
      <c r="CQ43">
        <v>0</v>
      </c>
      <c r="CR43">
        <v>0</v>
      </c>
      <c r="CS43">
        <v>0</v>
      </c>
      <c r="CT43">
        <v>0</v>
      </c>
      <c r="CU43">
        <v>0</v>
      </c>
      <c r="CV43">
        <v>0</v>
      </c>
      <c r="CW43">
        <v>0</v>
      </c>
      <c r="CX43">
        <v>46.3</v>
      </c>
      <c r="CY43">
        <v>83.5</v>
      </c>
      <c r="CZ43">
        <v>73.099999999999994</v>
      </c>
      <c r="DA43">
        <v>97.6</v>
      </c>
      <c r="DB43">
        <v>45.9</v>
      </c>
      <c r="DC43">
        <v>83.5</v>
      </c>
      <c r="DD43">
        <v>72.400000000000006</v>
      </c>
      <c r="DE43">
        <v>97.6</v>
      </c>
      <c r="DF43">
        <v>46.3</v>
      </c>
      <c r="DG43">
        <v>83.5</v>
      </c>
      <c r="DH43">
        <v>73.099999999999994</v>
      </c>
      <c r="DI43">
        <v>97.6</v>
      </c>
      <c r="DJ43">
        <v>45.9</v>
      </c>
      <c r="DK43">
        <v>83.5</v>
      </c>
      <c r="DL43">
        <v>72.400000000000006</v>
      </c>
      <c r="DM43">
        <v>97.6</v>
      </c>
      <c r="DN43">
        <v>0</v>
      </c>
      <c r="DO43">
        <v>0</v>
      </c>
      <c r="DP43">
        <v>0</v>
      </c>
      <c r="DQ43">
        <v>0</v>
      </c>
      <c r="DR43">
        <v>0</v>
      </c>
      <c r="DS43">
        <v>0</v>
      </c>
      <c r="DT43">
        <v>0</v>
      </c>
      <c r="DU43">
        <v>0</v>
      </c>
      <c r="DV43" t="s">
        <v>220</v>
      </c>
    </row>
    <row r="44" spans="1:126" x14ac:dyDescent="0.35">
      <c r="A44" t="s">
        <v>225</v>
      </c>
      <c r="B44">
        <v>230110</v>
      </c>
      <c r="C44" s="1">
        <v>44936</v>
      </c>
      <c r="D44" t="s">
        <v>226</v>
      </c>
      <c r="E44" t="s">
        <v>227</v>
      </c>
      <c r="F44" t="s">
        <v>185</v>
      </c>
      <c r="G44" t="s">
        <v>186</v>
      </c>
      <c r="H44">
        <v>13672</v>
      </c>
      <c r="I44" s="17">
        <v>6702</v>
      </c>
      <c r="J44" s="17">
        <v>2944</v>
      </c>
      <c r="K44">
        <v>1627</v>
      </c>
      <c r="L44">
        <v>5185</v>
      </c>
      <c r="M44">
        <v>9010</v>
      </c>
      <c r="N44">
        <v>13514</v>
      </c>
      <c r="O44">
        <v>13581</v>
      </c>
      <c r="P44">
        <v>158</v>
      </c>
      <c r="Q44">
        <v>91</v>
      </c>
      <c r="R44">
        <v>13672</v>
      </c>
      <c r="S44">
        <v>6702</v>
      </c>
      <c r="T44">
        <v>2944</v>
      </c>
      <c r="U44">
        <v>1627</v>
      </c>
      <c r="V44">
        <v>5185</v>
      </c>
      <c r="W44">
        <v>9010</v>
      </c>
      <c r="X44">
        <v>13514</v>
      </c>
      <c r="Y44">
        <v>13581</v>
      </c>
      <c r="Z44">
        <v>158</v>
      </c>
      <c r="AA44">
        <v>91</v>
      </c>
      <c r="AB44">
        <v>0</v>
      </c>
      <c r="AC44">
        <v>0</v>
      </c>
      <c r="AD44">
        <v>0</v>
      </c>
      <c r="AE44">
        <v>0</v>
      </c>
      <c r="AF44">
        <v>0</v>
      </c>
      <c r="AG44">
        <v>0</v>
      </c>
      <c r="AH44">
        <v>0</v>
      </c>
      <c r="AI44">
        <v>0</v>
      </c>
      <c r="AJ44">
        <v>0</v>
      </c>
      <c r="AK44">
        <v>0</v>
      </c>
      <c r="AL44">
        <v>528</v>
      </c>
      <c r="AM44">
        <v>431</v>
      </c>
      <c r="AN44">
        <v>437</v>
      </c>
      <c r="AO44">
        <v>-64</v>
      </c>
      <c r="AP44">
        <v>136</v>
      </c>
      <c r="AQ44">
        <v>138</v>
      </c>
      <c r="AR44">
        <v>503</v>
      </c>
      <c r="AS44">
        <v>511</v>
      </c>
      <c r="AT44">
        <v>25</v>
      </c>
      <c r="AU44">
        <v>17</v>
      </c>
      <c r="AV44">
        <v>100</v>
      </c>
      <c r="AW44">
        <v>49</v>
      </c>
      <c r="AX44">
        <v>21.5</v>
      </c>
      <c r="AY44">
        <v>11.9</v>
      </c>
      <c r="AZ44">
        <v>37.9</v>
      </c>
      <c r="BA44">
        <v>65.900000000000006</v>
      </c>
      <c r="BB44">
        <v>98.8</v>
      </c>
      <c r="BC44">
        <v>99.3</v>
      </c>
      <c r="BD44">
        <v>1.2</v>
      </c>
      <c r="BE44">
        <v>0.7</v>
      </c>
      <c r="BF44">
        <v>100</v>
      </c>
      <c r="BG44">
        <v>49</v>
      </c>
      <c r="BH44">
        <v>21.5</v>
      </c>
      <c r="BI44">
        <v>11.9</v>
      </c>
      <c r="BJ44">
        <v>37.9</v>
      </c>
      <c r="BK44">
        <v>65.900000000000006</v>
      </c>
      <c r="BL44">
        <v>98.8</v>
      </c>
      <c r="BM44">
        <v>99.3</v>
      </c>
      <c r="BN44">
        <v>1.2</v>
      </c>
      <c r="BO44">
        <v>0.7</v>
      </c>
      <c r="BP44">
        <v>0</v>
      </c>
      <c r="BQ44">
        <v>0</v>
      </c>
      <c r="BR44">
        <v>0</v>
      </c>
      <c r="BS44">
        <v>0</v>
      </c>
      <c r="BT44">
        <v>0</v>
      </c>
      <c r="BU44">
        <v>0</v>
      </c>
      <c r="BV44">
        <v>0</v>
      </c>
      <c r="BW44">
        <v>0</v>
      </c>
      <c r="BX44">
        <v>0</v>
      </c>
      <c r="BY44">
        <v>0</v>
      </c>
      <c r="BZ44">
        <v>56</v>
      </c>
      <c r="CA44">
        <v>21</v>
      </c>
      <c r="CB44">
        <v>12</v>
      </c>
      <c r="CC44">
        <v>10</v>
      </c>
      <c r="CD44">
        <v>17</v>
      </c>
      <c r="CE44">
        <v>16</v>
      </c>
      <c r="CF44">
        <v>44</v>
      </c>
      <c r="CG44">
        <v>33</v>
      </c>
      <c r="CH44">
        <v>56</v>
      </c>
      <c r="CI44">
        <v>21</v>
      </c>
      <c r="CJ44">
        <v>12</v>
      </c>
      <c r="CK44">
        <v>10</v>
      </c>
      <c r="CL44">
        <v>17</v>
      </c>
      <c r="CM44">
        <v>16</v>
      </c>
      <c r="CN44">
        <v>44</v>
      </c>
      <c r="CO44">
        <v>33</v>
      </c>
      <c r="CP44">
        <v>0</v>
      </c>
      <c r="CQ44">
        <v>0</v>
      </c>
      <c r="CR44">
        <v>0</v>
      </c>
      <c r="CS44">
        <v>0</v>
      </c>
      <c r="CT44">
        <v>0</v>
      </c>
      <c r="CU44">
        <v>0</v>
      </c>
      <c r="CV44">
        <v>0</v>
      </c>
      <c r="CW44">
        <v>0</v>
      </c>
      <c r="CX44">
        <v>32.299999999999997</v>
      </c>
      <c r="CY44">
        <v>38.799999999999997</v>
      </c>
      <c r="CZ44">
        <v>51.7</v>
      </c>
      <c r="DA44">
        <v>59.9</v>
      </c>
      <c r="DB44">
        <v>32.299999999999997</v>
      </c>
      <c r="DC44">
        <v>32.200000000000003</v>
      </c>
      <c r="DD44">
        <v>47.3</v>
      </c>
      <c r="DE44">
        <v>48.9</v>
      </c>
      <c r="DF44">
        <v>32.299999999999997</v>
      </c>
      <c r="DG44">
        <v>38.799999999999997</v>
      </c>
      <c r="DH44">
        <v>51.7</v>
      </c>
      <c r="DI44">
        <v>59.9</v>
      </c>
      <c r="DJ44">
        <v>32.299999999999997</v>
      </c>
      <c r="DK44">
        <v>32.200000000000003</v>
      </c>
      <c r="DL44">
        <v>47.3</v>
      </c>
      <c r="DM44">
        <v>48.9</v>
      </c>
      <c r="DN44">
        <v>0</v>
      </c>
      <c r="DO44">
        <v>0</v>
      </c>
      <c r="DP44">
        <v>0</v>
      </c>
      <c r="DQ44">
        <v>0</v>
      </c>
      <c r="DR44">
        <v>0</v>
      </c>
      <c r="DS44">
        <v>0</v>
      </c>
      <c r="DT44">
        <v>0</v>
      </c>
      <c r="DU44">
        <v>0</v>
      </c>
      <c r="DV44" t="s">
        <v>228</v>
      </c>
    </row>
    <row r="45" spans="1:126" x14ac:dyDescent="0.35">
      <c r="A45" t="s">
        <v>225</v>
      </c>
      <c r="B45">
        <v>230103</v>
      </c>
      <c r="C45" s="1">
        <v>44929</v>
      </c>
      <c r="D45" t="s">
        <v>226</v>
      </c>
      <c r="E45" t="s">
        <v>227</v>
      </c>
      <c r="F45" t="s">
        <v>185</v>
      </c>
      <c r="G45" t="s">
        <v>186</v>
      </c>
      <c r="H45">
        <v>13144</v>
      </c>
      <c r="I45" s="17">
        <v>6271</v>
      </c>
      <c r="J45" s="17">
        <v>2507</v>
      </c>
      <c r="K45">
        <v>1691</v>
      </c>
      <c r="L45">
        <v>5049</v>
      </c>
      <c r="M45">
        <v>8872</v>
      </c>
      <c r="N45">
        <v>13011</v>
      </c>
      <c r="O45">
        <v>13070</v>
      </c>
      <c r="P45">
        <v>133</v>
      </c>
      <c r="Q45">
        <v>74</v>
      </c>
      <c r="R45">
        <v>13144</v>
      </c>
      <c r="S45">
        <v>6271</v>
      </c>
      <c r="T45">
        <v>2507</v>
      </c>
      <c r="U45">
        <v>1691</v>
      </c>
      <c r="V45">
        <v>5049</v>
      </c>
      <c r="W45">
        <v>8872</v>
      </c>
      <c r="X45">
        <v>13011</v>
      </c>
      <c r="Y45">
        <v>13070</v>
      </c>
      <c r="Z45">
        <v>133</v>
      </c>
      <c r="AA45">
        <v>74</v>
      </c>
      <c r="AB45">
        <v>0</v>
      </c>
      <c r="AC45">
        <v>0</v>
      </c>
      <c r="AD45">
        <v>0</v>
      </c>
      <c r="AE45">
        <v>0</v>
      </c>
      <c r="AF45">
        <v>0</v>
      </c>
      <c r="AG45">
        <v>0</v>
      </c>
      <c r="AH45">
        <v>0</v>
      </c>
      <c r="AI45">
        <v>0</v>
      </c>
      <c r="AJ45">
        <v>0</v>
      </c>
      <c r="AK45">
        <v>0</v>
      </c>
      <c r="AL45">
        <v>-2987</v>
      </c>
      <c r="AM45">
        <v>-928</v>
      </c>
      <c r="AN45">
        <v>265</v>
      </c>
      <c r="AO45">
        <v>-1098</v>
      </c>
      <c r="AP45">
        <v>-944</v>
      </c>
      <c r="AQ45">
        <v>-2169</v>
      </c>
      <c r="AR45">
        <v>-2970</v>
      </c>
      <c r="AS45">
        <v>-3002</v>
      </c>
      <c r="AT45">
        <v>-17</v>
      </c>
      <c r="AU45">
        <v>15</v>
      </c>
      <c r="AV45">
        <v>100</v>
      </c>
      <c r="AW45">
        <v>47.7</v>
      </c>
      <c r="AX45">
        <v>19.100000000000001</v>
      </c>
      <c r="AY45">
        <v>12.9</v>
      </c>
      <c r="AZ45">
        <v>38.4</v>
      </c>
      <c r="BA45">
        <v>67.5</v>
      </c>
      <c r="BB45">
        <v>99</v>
      </c>
      <c r="BC45">
        <v>99.4</v>
      </c>
      <c r="BD45">
        <v>1</v>
      </c>
      <c r="BE45">
        <v>0.6</v>
      </c>
      <c r="BF45">
        <v>100</v>
      </c>
      <c r="BG45">
        <v>47.7</v>
      </c>
      <c r="BH45">
        <v>19.100000000000001</v>
      </c>
      <c r="BI45">
        <v>12.9</v>
      </c>
      <c r="BJ45">
        <v>38.4</v>
      </c>
      <c r="BK45">
        <v>67.5</v>
      </c>
      <c r="BL45">
        <v>99</v>
      </c>
      <c r="BM45">
        <v>99.4</v>
      </c>
      <c r="BN45">
        <v>1</v>
      </c>
      <c r="BO45">
        <v>0.6</v>
      </c>
      <c r="BP45">
        <v>0</v>
      </c>
      <c r="BQ45">
        <v>0</v>
      </c>
      <c r="BR45">
        <v>0</v>
      </c>
      <c r="BS45">
        <v>0</v>
      </c>
      <c r="BT45">
        <v>0</v>
      </c>
      <c r="BU45">
        <v>0</v>
      </c>
      <c r="BV45">
        <v>0</v>
      </c>
      <c r="BW45">
        <v>0</v>
      </c>
      <c r="BX45">
        <v>0</v>
      </c>
      <c r="BY45">
        <v>0</v>
      </c>
      <c r="BZ45">
        <v>55</v>
      </c>
      <c r="CA45">
        <v>21</v>
      </c>
      <c r="CB45">
        <v>12</v>
      </c>
      <c r="CC45">
        <v>7</v>
      </c>
      <c r="CD45">
        <v>16</v>
      </c>
      <c r="CE45">
        <v>17</v>
      </c>
      <c r="CF45">
        <v>41</v>
      </c>
      <c r="CG45">
        <v>32</v>
      </c>
      <c r="CH45">
        <v>55</v>
      </c>
      <c r="CI45">
        <v>21</v>
      </c>
      <c r="CJ45">
        <v>12</v>
      </c>
      <c r="CK45">
        <v>7</v>
      </c>
      <c r="CL45">
        <v>16</v>
      </c>
      <c r="CM45">
        <v>17</v>
      </c>
      <c r="CN45">
        <v>41</v>
      </c>
      <c r="CO45">
        <v>32</v>
      </c>
      <c r="CP45">
        <v>0</v>
      </c>
      <c r="CQ45">
        <v>0</v>
      </c>
      <c r="CR45">
        <v>0</v>
      </c>
      <c r="CS45">
        <v>0</v>
      </c>
      <c r="CT45">
        <v>0</v>
      </c>
      <c r="CU45">
        <v>0</v>
      </c>
      <c r="CV45">
        <v>0</v>
      </c>
      <c r="CW45">
        <v>0</v>
      </c>
      <c r="CX45">
        <v>33.9</v>
      </c>
      <c r="CY45">
        <v>37.6</v>
      </c>
      <c r="CZ45">
        <v>52.6</v>
      </c>
      <c r="DA45">
        <v>61</v>
      </c>
      <c r="DB45">
        <v>33.6</v>
      </c>
      <c r="DC45">
        <v>30.7</v>
      </c>
      <c r="DD45">
        <v>46.6</v>
      </c>
      <c r="DE45">
        <v>48.6</v>
      </c>
      <c r="DF45">
        <v>33.9</v>
      </c>
      <c r="DG45">
        <v>37.6</v>
      </c>
      <c r="DH45">
        <v>52.6</v>
      </c>
      <c r="DI45">
        <v>61</v>
      </c>
      <c r="DJ45">
        <v>33.6</v>
      </c>
      <c r="DK45">
        <v>30.7</v>
      </c>
      <c r="DL45">
        <v>46.6</v>
      </c>
      <c r="DM45">
        <v>48.6</v>
      </c>
      <c r="DN45">
        <v>0</v>
      </c>
      <c r="DO45">
        <v>0</v>
      </c>
      <c r="DP45">
        <v>0</v>
      </c>
      <c r="DQ45">
        <v>0</v>
      </c>
      <c r="DR45">
        <v>0</v>
      </c>
      <c r="DS45">
        <v>0</v>
      </c>
      <c r="DT45">
        <v>0</v>
      </c>
      <c r="DU45">
        <v>0</v>
      </c>
      <c r="DV45" t="s">
        <v>228</v>
      </c>
    </row>
    <row r="46" spans="1:126" x14ac:dyDescent="0.35">
      <c r="A46" t="s">
        <v>229</v>
      </c>
      <c r="B46">
        <v>230110</v>
      </c>
      <c r="C46" s="1">
        <v>44936</v>
      </c>
      <c r="D46" t="s">
        <v>230</v>
      </c>
      <c r="E46" t="s">
        <v>231</v>
      </c>
      <c r="F46" t="s">
        <v>185</v>
      </c>
      <c r="G46" t="s">
        <v>186</v>
      </c>
      <c r="H46">
        <v>5671</v>
      </c>
      <c r="I46" s="17">
        <v>686</v>
      </c>
      <c r="J46" s="17">
        <v>1541</v>
      </c>
      <c r="K46">
        <v>0</v>
      </c>
      <c r="L46">
        <v>4968</v>
      </c>
      <c r="M46">
        <v>4118</v>
      </c>
      <c r="N46">
        <v>5654</v>
      </c>
      <c r="O46">
        <v>5659</v>
      </c>
      <c r="P46">
        <v>17</v>
      </c>
      <c r="Q46">
        <v>12</v>
      </c>
      <c r="R46">
        <v>5671</v>
      </c>
      <c r="S46">
        <v>686</v>
      </c>
      <c r="T46">
        <v>1541</v>
      </c>
      <c r="U46">
        <v>0</v>
      </c>
      <c r="V46">
        <v>4968</v>
      </c>
      <c r="W46">
        <v>4118</v>
      </c>
      <c r="X46">
        <v>5654</v>
      </c>
      <c r="Y46">
        <v>5659</v>
      </c>
      <c r="Z46">
        <v>17</v>
      </c>
      <c r="AA46">
        <v>12</v>
      </c>
      <c r="AB46">
        <v>0</v>
      </c>
      <c r="AC46">
        <v>0</v>
      </c>
      <c r="AD46">
        <v>0</v>
      </c>
      <c r="AE46">
        <v>0</v>
      </c>
      <c r="AF46">
        <v>0</v>
      </c>
      <c r="AG46">
        <v>0</v>
      </c>
      <c r="AH46">
        <v>0</v>
      </c>
      <c r="AI46">
        <v>0</v>
      </c>
      <c r="AJ46">
        <v>0</v>
      </c>
      <c r="AK46">
        <v>0</v>
      </c>
      <c r="AL46">
        <v>50</v>
      </c>
      <c r="AM46">
        <v>50</v>
      </c>
      <c r="AN46">
        <v>0</v>
      </c>
      <c r="AO46">
        <v>0</v>
      </c>
      <c r="AP46">
        <v>0</v>
      </c>
      <c r="AQ46">
        <v>50</v>
      </c>
      <c r="AR46">
        <v>50</v>
      </c>
      <c r="AS46">
        <v>50</v>
      </c>
      <c r="AT46">
        <v>0</v>
      </c>
      <c r="AU46">
        <v>0</v>
      </c>
      <c r="AV46">
        <v>100</v>
      </c>
      <c r="AW46">
        <v>12.1</v>
      </c>
      <c r="AX46">
        <v>27.2</v>
      </c>
      <c r="AY46">
        <v>0</v>
      </c>
      <c r="AZ46">
        <v>87.6</v>
      </c>
      <c r="BA46">
        <v>72.599999999999994</v>
      </c>
      <c r="BB46">
        <v>99.7</v>
      </c>
      <c r="BC46">
        <v>99.8</v>
      </c>
      <c r="BD46">
        <v>0.3</v>
      </c>
      <c r="BE46">
        <v>0.2</v>
      </c>
      <c r="BF46">
        <v>100</v>
      </c>
      <c r="BG46">
        <v>12.1</v>
      </c>
      <c r="BH46">
        <v>27.2</v>
      </c>
      <c r="BI46">
        <v>0</v>
      </c>
      <c r="BJ46">
        <v>87.6</v>
      </c>
      <c r="BK46">
        <v>72.599999999999994</v>
      </c>
      <c r="BL46">
        <v>99.7</v>
      </c>
      <c r="BM46">
        <v>99.8</v>
      </c>
      <c r="BN46">
        <v>0.3</v>
      </c>
      <c r="BO46">
        <v>0.2</v>
      </c>
      <c r="BP46">
        <v>0</v>
      </c>
      <c r="BQ46">
        <v>0</v>
      </c>
      <c r="BR46">
        <v>0</v>
      </c>
      <c r="BS46">
        <v>0</v>
      </c>
      <c r="BT46">
        <v>0</v>
      </c>
      <c r="BU46">
        <v>0</v>
      </c>
      <c r="BV46">
        <v>0</v>
      </c>
      <c r="BW46">
        <v>0</v>
      </c>
      <c r="BX46">
        <v>0</v>
      </c>
      <c r="BY46">
        <v>0</v>
      </c>
      <c r="BZ46">
        <v>28</v>
      </c>
      <c r="CA46">
        <v>5</v>
      </c>
      <c r="CB46">
        <v>6</v>
      </c>
      <c r="CC46">
        <v>0</v>
      </c>
      <c r="CD46">
        <v>10</v>
      </c>
      <c r="CE46">
        <v>9</v>
      </c>
      <c r="CF46">
        <v>15</v>
      </c>
      <c r="CG46">
        <v>15</v>
      </c>
      <c r="CH46">
        <v>28</v>
      </c>
      <c r="CI46">
        <v>5</v>
      </c>
      <c r="CJ46">
        <v>6</v>
      </c>
      <c r="CK46">
        <v>0</v>
      </c>
      <c r="CL46">
        <v>10</v>
      </c>
      <c r="CM46">
        <v>9</v>
      </c>
      <c r="CN46">
        <v>15</v>
      </c>
      <c r="CO46">
        <v>15</v>
      </c>
      <c r="CP46">
        <v>0</v>
      </c>
      <c r="CQ46">
        <v>0</v>
      </c>
      <c r="CR46">
        <v>0</v>
      </c>
      <c r="CS46">
        <v>0</v>
      </c>
      <c r="CT46">
        <v>0</v>
      </c>
      <c r="CU46">
        <v>0</v>
      </c>
      <c r="CV46">
        <v>0</v>
      </c>
      <c r="CW46">
        <v>0</v>
      </c>
      <c r="CX46">
        <v>58.3</v>
      </c>
      <c r="CY46">
        <v>68.400000000000006</v>
      </c>
      <c r="CZ46">
        <v>86.2</v>
      </c>
      <c r="DA46">
        <v>86.3</v>
      </c>
      <c r="DB46">
        <v>55.6</v>
      </c>
      <c r="DC46">
        <v>68.400000000000006</v>
      </c>
      <c r="DD46">
        <v>83.4</v>
      </c>
      <c r="DE46">
        <v>86.3</v>
      </c>
      <c r="DF46">
        <v>58.3</v>
      </c>
      <c r="DG46">
        <v>68.400000000000006</v>
      </c>
      <c r="DH46">
        <v>86.2</v>
      </c>
      <c r="DI46">
        <v>86.3</v>
      </c>
      <c r="DJ46">
        <v>55.6</v>
      </c>
      <c r="DK46">
        <v>68.400000000000006</v>
      </c>
      <c r="DL46">
        <v>83.4</v>
      </c>
      <c r="DM46">
        <v>86.3</v>
      </c>
      <c r="DN46">
        <v>0</v>
      </c>
      <c r="DO46">
        <v>0</v>
      </c>
      <c r="DP46">
        <v>0</v>
      </c>
      <c r="DQ46">
        <v>0</v>
      </c>
      <c r="DR46">
        <v>0</v>
      </c>
      <c r="DS46">
        <v>0</v>
      </c>
      <c r="DT46">
        <v>0</v>
      </c>
      <c r="DU46">
        <v>0</v>
      </c>
      <c r="DV46" t="s">
        <v>232</v>
      </c>
    </row>
    <row r="47" spans="1:126" x14ac:dyDescent="0.35">
      <c r="A47" t="s">
        <v>229</v>
      </c>
      <c r="B47">
        <v>230103</v>
      </c>
      <c r="C47" s="1">
        <v>44929</v>
      </c>
      <c r="D47" t="s">
        <v>230</v>
      </c>
      <c r="E47" t="s">
        <v>231</v>
      </c>
      <c r="F47" t="s">
        <v>185</v>
      </c>
      <c r="G47" t="s">
        <v>186</v>
      </c>
      <c r="H47">
        <v>5621</v>
      </c>
      <c r="I47" s="17">
        <v>636</v>
      </c>
      <c r="J47" s="17">
        <v>1541</v>
      </c>
      <c r="K47">
        <v>0</v>
      </c>
      <c r="L47">
        <v>4968</v>
      </c>
      <c r="M47">
        <v>4068</v>
      </c>
      <c r="N47">
        <v>5604</v>
      </c>
      <c r="O47">
        <v>5609</v>
      </c>
      <c r="P47">
        <v>17</v>
      </c>
      <c r="Q47">
        <v>12</v>
      </c>
      <c r="R47">
        <v>5621</v>
      </c>
      <c r="S47">
        <v>636</v>
      </c>
      <c r="T47">
        <v>1541</v>
      </c>
      <c r="U47">
        <v>0</v>
      </c>
      <c r="V47">
        <v>4968</v>
      </c>
      <c r="W47">
        <v>4068</v>
      </c>
      <c r="X47">
        <v>5604</v>
      </c>
      <c r="Y47">
        <v>5609</v>
      </c>
      <c r="Z47">
        <v>17</v>
      </c>
      <c r="AA47">
        <v>12</v>
      </c>
      <c r="AB47">
        <v>0</v>
      </c>
      <c r="AC47">
        <v>0</v>
      </c>
      <c r="AD47">
        <v>0</v>
      </c>
      <c r="AE47">
        <v>0</v>
      </c>
      <c r="AF47">
        <v>0</v>
      </c>
      <c r="AG47">
        <v>0</v>
      </c>
      <c r="AH47">
        <v>0</v>
      </c>
      <c r="AI47">
        <v>0</v>
      </c>
      <c r="AJ47">
        <v>0</v>
      </c>
      <c r="AK47">
        <v>0</v>
      </c>
      <c r="AL47">
        <v>71</v>
      </c>
      <c r="AM47">
        <v>0</v>
      </c>
      <c r="AN47">
        <v>0</v>
      </c>
      <c r="AO47">
        <v>0</v>
      </c>
      <c r="AP47">
        <v>71</v>
      </c>
      <c r="AQ47">
        <v>71</v>
      </c>
      <c r="AR47">
        <v>71</v>
      </c>
      <c r="AS47">
        <v>71</v>
      </c>
      <c r="AT47">
        <v>0</v>
      </c>
      <c r="AU47">
        <v>0</v>
      </c>
      <c r="AV47">
        <v>100</v>
      </c>
      <c r="AW47">
        <v>11.3</v>
      </c>
      <c r="AX47">
        <v>27.4</v>
      </c>
      <c r="AY47">
        <v>0</v>
      </c>
      <c r="AZ47">
        <v>88.4</v>
      </c>
      <c r="BA47">
        <v>72.400000000000006</v>
      </c>
      <c r="BB47">
        <v>99.7</v>
      </c>
      <c r="BC47">
        <v>99.8</v>
      </c>
      <c r="BD47">
        <v>0.3</v>
      </c>
      <c r="BE47">
        <v>0.2</v>
      </c>
      <c r="BF47">
        <v>100</v>
      </c>
      <c r="BG47">
        <v>11.3</v>
      </c>
      <c r="BH47">
        <v>27.4</v>
      </c>
      <c r="BI47">
        <v>0</v>
      </c>
      <c r="BJ47">
        <v>88.4</v>
      </c>
      <c r="BK47">
        <v>72.400000000000006</v>
      </c>
      <c r="BL47">
        <v>99.7</v>
      </c>
      <c r="BM47">
        <v>99.8</v>
      </c>
      <c r="BN47">
        <v>0.3</v>
      </c>
      <c r="BO47">
        <v>0.2</v>
      </c>
      <c r="BP47">
        <v>0</v>
      </c>
      <c r="BQ47">
        <v>0</v>
      </c>
      <c r="BR47">
        <v>0</v>
      </c>
      <c r="BS47">
        <v>0</v>
      </c>
      <c r="BT47">
        <v>0</v>
      </c>
      <c r="BU47">
        <v>0</v>
      </c>
      <c r="BV47">
        <v>0</v>
      </c>
      <c r="BW47">
        <v>0</v>
      </c>
      <c r="BX47">
        <v>0</v>
      </c>
      <c r="BY47">
        <v>0</v>
      </c>
      <c r="BZ47">
        <v>29</v>
      </c>
      <c r="CA47">
        <v>5</v>
      </c>
      <c r="CB47">
        <v>6</v>
      </c>
      <c r="CC47">
        <v>0</v>
      </c>
      <c r="CD47">
        <v>10</v>
      </c>
      <c r="CE47">
        <v>10</v>
      </c>
      <c r="CF47">
        <v>15</v>
      </c>
      <c r="CG47">
        <v>16</v>
      </c>
      <c r="CH47">
        <v>29</v>
      </c>
      <c r="CI47">
        <v>5</v>
      </c>
      <c r="CJ47">
        <v>6</v>
      </c>
      <c r="CK47">
        <v>0</v>
      </c>
      <c r="CL47">
        <v>10</v>
      </c>
      <c r="CM47">
        <v>10</v>
      </c>
      <c r="CN47">
        <v>15</v>
      </c>
      <c r="CO47">
        <v>16</v>
      </c>
      <c r="CP47">
        <v>0</v>
      </c>
      <c r="CQ47">
        <v>0</v>
      </c>
      <c r="CR47">
        <v>0</v>
      </c>
      <c r="CS47">
        <v>0</v>
      </c>
      <c r="CT47">
        <v>0</v>
      </c>
      <c r="CU47">
        <v>0</v>
      </c>
      <c r="CV47">
        <v>0</v>
      </c>
      <c r="CW47">
        <v>0</v>
      </c>
      <c r="CX47">
        <v>58.8</v>
      </c>
      <c r="CY47">
        <v>69</v>
      </c>
      <c r="CZ47">
        <v>87</v>
      </c>
      <c r="DA47">
        <v>86.6</v>
      </c>
      <c r="DB47">
        <v>56.1</v>
      </c>
      <c r="DC47">
        <v>69</v>
      </c>
      <c r="DD47">
        <v>84.1</v>
      </c>
      <c r="DE47">
        <v>86.6</v>
      </c>
      <c r="DF47">
        <v>58.8</v>
      </c>
      <c r="DG47">
        <v>69</v>
      </c>
      <c r="DH47">
        <v>87</v>
      </c>
      <c r="DI47">
        <v>86.6</v>
      </c>
      <c r="DJ47">
        <v>56.1</v>
      </c>
      <c r="DK47">
        <v>69</v>
      </c>
      <c r="DL47">
        <v>84.1</v>
      </c>
      <c r="DM47">
        <v>86.6</v>
      </c>
      <c r="DN47">
        <v>0</v>
      </c>
      <c r="DO47">
        <v>0</v>
      </c>
      <c r="DP47">
        <v>0</v>
      </c>
      <c r="DQ47">
        <v>0</v>
      </c>
      <c r="DR47">
        <v>0</v>
      </c>
      <c r="DS47">
        <v>0</v>
      </c>
      <c r="DT47">
        <v>0</v>
      </c>
      <c r="DU47">
        <v>0</v>
      </c>
      <c r="DV47" t="s">
        <v>232</v>
      </c>
    </row>
    <row r="48" spans="1:126" x14ac:dyDescent="0.35">
      <c r="A48" t="s">
        <v>233</v>
      </c>
      <c r="B48">
        <v>230110</v>
      </c>
      <c r="C48" s="1">
        <v>44936</v>
      </c>
      <c r="D48" t="s">
        <v>234</v>
      </c>
      <c r="E48" t="s">
        <v>231</v>
      </c>
      <c r="F48" t="s">
        <v>185</v>
      </c>
      <c r="G48" t="s">
        <v>186</v>
      </c>
      <c r="H48">
        <v>5822</v>
      </c>
      <c r="I48" s="17">
        <v>595</v>
      </c>
      <c r="J48" s="17">
        <v>1028</v>
      </c>
      <c r="K48">
        <v>0</v>
      </c>
      <c r="L48">
        <v>4958</v>
      </c>
      <c r="M48">
        <v>4562</v>
      </c>
      <c r="N48">
        <v>5553</v>
      </c>
      <c r="O48">
        <v>5590</v>
      </c>
      <c r="P48">
        <v>269</v>
      </c>
      <c r="Q48">
        <v>232</v>
      </c>
      <c r="R48">
        <v>5822</v>
      </c>
      <c r="S48">
        <v>595</v>
      </c>
      <c r="T48">
        <v>1028</v>
      </c>
      <c r="U48">
        <v>0</v>
      </c>
      <c r="V48">
        <v>4958</v>
      </c>
      <c r="W48">
        <v>4562</v>
      </c>
      <c r="X48">
        <v>5553</v>
      </c>
      <c r="Y48">
        <v>5590</v>
      </c>
      <c r="Z48">
        <v>269</v>
      </c>
      <c r="AA48">
        <v>232</v>
      </c>
      <c r="AB48">
        <v>0</v>
      </c>
      <c r="AC48">
        <v>0</v>
      </c>
      <c r="AD48">
        <v>0</v>
      </c>
      <c r="AE48">
        <v>0</v>
      </c>
      <c r="AF48">
        <v>0</v>
      </c>
      <c r="AG48">
        <v>0</v>
      </c>
      <c r="AH48">
        <v>0</v>
      </c>
      <c r="AI48">
        <v>0</v>
      </c>
      <c r="AJ48">
        <v>0</v>
      </c>
      <c r="AK48">
        <v>0</v>
      </c>
      <c r="AL48">
        <v>57</v>
      </c>
      <c r="AM48">
        <v>50</v>
      </c>
      <c r="AN48">
        <v>0</v>
      </c>
      <c r="AO48">
        <v>0</v>
      </c>
      <c r="AP48">
        <v>-13</v>
      </c>
      <c r="AQ48">
        <v>58</v>
      </c>
      <c r="AR48">
        <v>37</v>
      </c>
      <c r="AS48">
        <v>58</v>
      </c>
      <c r="AT48">
        <v>20</v>
      </c>
      <c r="AU48">
        <v>-1</v>
      </c>
      <c r="AV48">
        <v>100</v>
      </c>
      <c r="AW48">
        <v>10.199999999999999</v>
      </c>
      <c r="AX48">
        <v>17.7</v>
      </c>
      <c r="AY48">
        <v>0</v>
      </c>
      <c r="AZ48">
        <v>85.2</v>
      </c>
      <c r="BA48">
        <v>78.400000000000006</v>
      </c>
      <c r="BB48">
        <v>95.4</v>
      </c>
      <c r="BC48">
        <v>96</v>
      </c>
      <c r="BD48">
        <v>4.5999999999999996</v>
      </c>
      <c r="BE48">
        <v>4</v>
      </c>
      <c r="BF48">
        <v>100</v>
      </c>
      <c r="BG48">
        <v>10.199999999999999</v>
      </c>
      <c r="BH48">
        <v>17.7</v>
      </c>
      <c r="BI48">
        <v>0</v>
      </c>
      <c r="BJ48">
        <v>85.2</v>
      </c>
      <c r="BK48">
        <v>78.400000000000006</v>
      </c>
      <c r="BL48">
        <v>95.4</v>
      </c>
      <c r="BM48">
        <v>96</v>
      </c>
      <c r="BN48">
        <v>4.5999999999999996</v>
      </c>
      <c r="BO48">
        <v>4</v>
      </c>
      <c r="BP48">
        <v>0</v>
      </c>
      <c r="BQ48">
        <v>0</v>
      </c>
      <c r="BR48">
        <v>0</v>
      </c>
      <c r="BS48">
        <v>0</v>
      </c>
      <c r="BT48">
        <v>0</v>
      </c>
      <c r="BU48">
        <v>0</v>
      </c>
      <c r="BV48">
        <v>0</v>
      </c>
      <c r="BW48">
        <v>0</v>
      </c>
      <c r="BX48">
        <v>0</v>
      </c>
      <c r="BY48">
        <v>0</v>
      </c>
      <c r="BZ48">
        <v>31</v>
      </c>
      <c r="CA48">
        <v>5</v>
      </c>
      <c r="CB48">
        <v>7</v>
      </c>
      <c r="CC48">
        <v>0</v>
      </c>
      <c r="CD48">
        <v>10</v>
      </c>
      <c r="CE48">
        <v>11</v>
      </c>
      <c r="CF48">
        <v>15</v>
      </c>
      <c r="CG48">
        <v>18</v>
      </c>
      <c r="CH48">
        <v>31</v>
      </c>
      <c r="CI48">
        <v>5</v>
      </c>
      <c r="CJ48">
        <v>7</v>
      </c>
      <c r="CK48">
        <v>0</v>
      </c>
      <c r="CL48">
        <v>10</v>
      </c>
      <c r="CM48">
        <v>11</v>
      </c>
      <c r="CN48">
        <v>15</v>
      </c>
      <c r="CO48">
        <v>18</v>
      </c>
      <c r="CP48">
        <v>0</v>
      </c>
      <c r="CQ48">
        <v>0</v>
      </c>
      <c r="CR48">
        <v>0</v>
      </c>
      <c r="CS48">
        <v>0</v>
      </c>
      <c r="CT48">
        <v>0</v>
      </c>
      <c r="CU48">
        <v>0</v>
      </c>
      <c r="CV48">
        <v>0</v>
      </c>
      <c r="CW48">
        <v>0</v>
      </c>
      <c r="CX48">
        <v>72</v>
      </c>
      <c r="CY48">
        <v>63.2</v>
      </c>
      <c r="CZ48">
        <v>86.8</v>
      </c>
      <c r="DA48">
        <v>79.5</v>
      </c>
      <c r="DB48">
        <v>69.400000000000006</v>
      </c>
      <c r="DC48">
        <v>63.2</v>
      </c>
      <c r="DD48">
        <v>83.5</v>
      </c>
      <c r="DE48">
        <v>79.5</v>
      </c>
      <c r="DF48">
        <v>72</v>
      </c>
      <c r="DG48">
        <v>63.2</v>
      </c>
      <c r="DH48">
        <v>86.8</v>
      </c>
      <c r="DI48">
        <v>79.5</v>
      </c>
      <c r="DJ48">
        <v>69.400000000000006</v>
      </c>
      <c r="DK48">
        <v>63.2</v>
      </c>
      <c r="DL48">
        <v>83.5</v>
      </c>
      <c r="DM48">
        <v>79.5</v>
      </c>
      <c r="DN48">
        <v>0</v>
      </c>
      <c r="DO48">
        <v>0</v>
      </c>
      <c r="DP48">
        <v>0</v>
      </c>
      <c r="DQ48">
        <v>0</v>
      </c>
      <c r="DR48">
        <v>0</v>
      </c>
      <c r="DS48">
        <v>0</v>
      </c>
      <c r="DT48">
        <v>0</v>
      </c>
      <c r="DU48">
        <v>0</v>
      </c>
      <c r="DV48" t="s">
        <v>232</v>
      </c>
    </row>
    <row r="49" spans="1:126" x14ac:dyDescent="0.35">
      <c r="A49" t="s">
        <v>233</v>
      </c>
      <c r="B49">
        <v>230103</v>
      </c>
      <c r="C49" s="1">
        <v>44929</v>
      </c>
      <c r="D49" t="s">
        <v>234</v>
      </c>
      <c r="E49" t="s">
        <v>231</v>
      </c>
      <c r="F49" t="s">
        <v>185</v>
      </c>
      <c r="G49" t="s">
        <v>186</v>
      </c>
      <c r="H49">
        <v>5765</v>
      </c>
      <c r="I49" s="17">
        <v>545</v>
      </c>
      <c r="J49" s="17">
        <v>1028</v>
      </c>
      <c r="K49">
        <v>0</v>
      </c>
      <c r="L49">
        <v>4971</v>
      </c>
      <c r="M49">
        <v>4504</v>
      </c>
      <c r="N49">
        <v>5516</v>
      </c>
      <c r="O49">
        <v>5532</v>
      </c>
      <c r="P49">
        <v>249</v>
      </c>
      <c r="Q49">
        <v>233</v>
      </c>
      <c r="R49">
        <v>5765</v>
      </c>
      <c r="S49">
        <v>545</v>
      </c>
      <c r="T49">
        <v>1028</v>
      </c>
      <c r="U49">
        <v>0</v>
      </c>
      <c r="V49">
        <v>4971</v>
      </c>
      <c r="W49">
        <v>4504</v>
      </c>
      <c r="X49">
        <v>5516</v>
      </c>
      <c r="Y49">
        <v>5532</v>
      </c>
      <c r="Z49">
        <v>249</v>
      </c>
      <c r="AA49">
        <v>233</v>
      </c>
      <c r="AB49">
        <v>0</v>
      </c>
      <c r="AC49">
        <v>0</v>
      </c>
      <c r="AD49">
        <v>0</v>
      </c>
      <c r="AE49">
        <v>0</v>
      </c>
      <c r="AF49">
        <v>0</v>
      </c>
      <c r="AG49">
        <v>0</v>
      </c>
      <c r="AH49">
        <v>0</v>
      </c>
      <c r="AI49">
        <v>0</v>
      </c>
      <c r="AJ49">
        <v>0</v>
      </c>
      <c r="AK49">
        <v>0</v>
      </c>
      <c r="AL49">
        <v>10</v>
      </c>
      <c r="AM49">
        <v>0</v>
      </c>
      <c r="AN49">
        <v>0</v>
      </c>
      <c r="AO49">
        <v>0</v>
      </c>
      <c r="AP49">
        <v>10</v>
      </c>
      <c r="AQ49">
        <v>10</v>
      </c>
      <c r="AR49">
        <v>10</v>
      </c>
      <c r="AS49">
        <v>10</v>
      </c>
      <c r="AT49">
        <v>0</v>
      </c>
      <c r="AU49">
        <v>0</v>
      </c>
      <c r="AV49">
        <v>100</v>
      </c>
      <c r="AW49">
        <v>9.5</v>
      </c>
      <c r="AX49">
        <v>17.8</v>
      </c>
      <c r="AY49">
        <v>0</v>
      </c>
      <c r="AZ49">
        <v>86.2</v>
      </c>
      <c r="BA49">
        <v>78.099999999999994</v>
      </c>
      <c r="BB49">
        <v>95.7</v>
      </c>
      <c r="BC49">
        <v>96</v>
      </c>
      <c r="BD49">
        <v>4.3</v>
      </c>
      <c r="BE49">
        <v>4</v>
      </c>
      <c r="BF49">
        <v>100</v>
      </c>
      <c r="BG49">
        <v>9.5</v>
      </c>
      <c r="BH49">
        <v>17.8</v>
      </c>
      <c r="BI49">
        <v>0</v>
      </c>
      <c r="BJ49">
        <v>86.2</v>
      </c>
      <c r="BK49">
        <v>78.099999999999994</v>
      </c>
      <c r="BL49">
        <v>95.7</v>
      </c>
      <c r="BM49">
        <v>96</v>
      </c>
      <c r="BN49">
        <v>4.3</v>
      </c>
      <c r="BO49">
        <v>4</v>
      </c>
      <c r="BP49">
        <v>0</v>
      </c>
      <c r="BQ49">
        <v>0</v>
      </c>
      <c r="BR49">
        <v>0</v>
      </c>
      <c r="BS49">
        <v>0</v>
      </c>
      <c r="BT49">
        <v>0</v>
      </c>
      <c r="BU49">
        <v>0</v>
      </c>
      <c r="BV49">
        <v>0</v>
      </c>
      <c r="BW49">
        <v>0</v>
      </c>
      <c r="BX49">
        <v>0</v>
      </c>
      <c r="BY49">
        <v>0</v>
      </c>
      <c r="BZ49">
        <v>30</v>
      </c>
      <c r="CA49">
        <v>5</v>
      </c>
      <c r="CB49">
        <v>7</v>
      </c>
      <c r="CC49">
        <v>0</v>
      </c>
      <c r="CD49">
        <v>10</v>
      </c>
      <c r="CE49">
        <v>10</v>
      </c>
      <c r="CF49">
        <v>15</v>
      </c>
      <c r="CG49">
        <v>17</v>
      </c>
      <c r="CH49">
        <v>30</v>
      </c>
      <c r="CI49">
        <v>5</v>
      </c>
      <c r="CJ49">
        <v>7</v>
      </c>
      <c r="CK49">
        <v>0</v>
      </c>
      <c r="CL49">
        <v>10</v>
      </c>
      <c r="CM49">
        <v>10</v>
      </c>
      <c r="CN49">
        <v>15</v>
      </c>
      <c r="CO49">
        <v>17</v>
      </c>
      <c r="CP49">
        <v>0</v>
      </c>
      <c r="CQ49">
        <v>0</v>
      </c>
      <c r="CR49">
        <v>0</v>
      </c>
      <c r="CS49">
        <v>0</v>
      </c>
      <c r="CT49">
        <v>0</v>
      </c>
      <c r="CU49">
        <v>0</v>
      </c>
      <c r="CV49">
        <v>0</v>
      </c>
      <c r="CW49">
        <v>0</v>
      </c>
      <c r="CX49">
        <v>72.7</v>
      </c>
      <c r="CY49">
        <v>68</v>
      </c>
      <c r="CZ49">
        <v>87</v>
      </c>
      <c r="DA49">
        <v>81.900000000000006</v>
      </c>
      <c r="DB49">
        <v>70.099999999999994</v>
      </c>
      <c r="DC49">
        <v>68</v>
      </c>
      <c r="DD49">
        <v>84.4</v>
      </c>
      <c r="DE49">
        <v>81.900000000000006</v>
      </c>
      <c r="DF49">
        <v>72.7</v>
      </c>
      <c r="DG49">
        <v>68</v>
      </c>
      <c r="DH49">
        <v>87</v>
      </c>
      <c r="DI49">
        <v>81.900000000000006</v>
      </c>
      <c r="DJ49">
        <v>70.099999999999994</v>
      </c>
      <c r="DK49">
        <v>68</v>
      </c>
      <c r="DL49">
        <v>84.4</v>
      </c>
      <c r="DM49">
        <v>81.900000000000006</v>
      </c>
      <c r="DN49">
        <v>0</v>
      </c>
      <c r="DO49">
        <v>0</v>
      </c>
      <c r="DP49">
        <v>0</v>
      </c>
      <c r="DQ49">
        <v>0</v>
      </c>
      <c r="DR49">
        <v>0</v>
      </c>
      <c r="DS49">
        <v>0</v>
      </c>
      <c r="DT49">
        <v>0</v>
      </c>
      <c r="DU49">
        <v>0</v>
      </c>
      <c r="DV49" t="s">
        <v>232</v>
      </c>
    </row>
    <row r="50" spans="1:126" x14ac:dyDescent="0.35">
      <c r="A50" t="s">
        <v>235</v>
      </c>
      <c r="B50">
        <v>230110</v>
      </c>
      <c r="C50" s="1">
        <v>44936</v>
      </c>
      <c r="D50" t="s">
        <v>236</v>
      </c>
      <c r="E50" t="s">
        <v>231</v>
      </c>
      <c r="F50" t="s">
        <v>185</v>
      </c>
      <c r="G50" t="s">
        <v>186</v>
      </c>
      <c r="H50">
        <v>3787</v>
      </c>
      <c r="I50" s="17">
        <v>472</v>
      </c>
      <c r="J50" s="17">
        <v>1045</v>
      </c>
      <c r="K50">
        <v>75</v>
      </c>
      <c r="L50">
        <v>3173</v>
      </c>
      <c r="M50">
        <v>2647</v>
      </c>
      <c r="N50">
        <v>3720</v>
      </c>
      <c r="O50">
        <v>3767</v>
      </c>
      <c r="P50">
        <v>67</v>
      </c>
      <c r="Q50">
        <v>20</v>
      </c>
      <c r="R50">
        <v>3787</v>
      </c>
      <c r="S50">
        <v>472</v>
      </c>
      <c r="T50">
        <v>1045</v>
      </c>
      <c r="U50">
        <v>75</v>
      </c>
      <c r="V50">
        <v>3173</v>
      </c>
      <c r="W50">
        <v>2647</v>
      </c>
      <c r="X50">
        <v>3720</v>
      </c>
      <c r="Y50">
        <v>3767</v>
      </c>
      <c r="Z50">
        <v>67</v>
      </c>
      <c r="AA50">
        <v>20</v>
      </c>
      <c r="AB50">
        <v>0</v>
      </c>
      <c r="AC50">
        <v>0</v>
      </c>
      <c r="AD50">
        <v>0</v>
      </c>
      <c r="AE50">
        <v>0</v>
      </c>
      <c r="AF50">
        <v>0</v>
      </c>
      <c r="AG50">
        <v>0</v>
      </c>
      <c r="AH50">
        <v>0</v>
      </c>
      <c r="AI50">
        <v>0</v>
      </c>
      <c r="AJ50">
        <v>0</v>
      </c>
      <c r="AK50">
        <v>0</v>
      </c>
      <c r="AL50">
        <v>5</v>
      </c>
      <c r="AM50">
        <v>0</v>
      </c>
      <c r="AN50">
        <v>0</v>
      </c>
      <c r="AO50">
        <v>0</v>
      </c>
      <c r="AP50">
        <v>-25</v>
      </c>
      <c r="AQ50">
        <v>5</v>
      </c>
      <c r="AR50">
        <v>-25</v>
      </c>
      <c r="AS50">
        <v>5</v>
      </c>
      <c r="AT50">
        <v>30</v>
      </c>
      <c r="AU50">
        <v>0</v>
      </c>
      <c r="AV50">
        <v>100</v>
      </c>
      <c r="AW50">
        <v>12.5</v>
      </c>
      <c r="AX50">
        <v>27.6</v>
      </c>
      <c r="AY50">
        <v>2</v>
      </c>
      <c r="AZ50">
        <v>83.8</v>
      </c>
      <c r="BA50">
        <v>69.900000000000006</v>
      </c>
      <c r="BB50">
        <v>98.2</v>
      </c>
      <c r="BC50">
        <v>99.5</v>
      </c>
      <c r="BD50">
        <v>1.8</v>
      </c>
      <c r="BE50">
        <v>0.5</v>
      </c>
      <c r="BF50">
        <v>100</v>
      </c>
      <c r="BG50">
        <v>12.5</v>
      </c>
      <c r="BH50">
        <v>27.6</v>
      </c>
      <c r="BI50">
        <v>2</v>
      </c>
      <c r="BJ50">
        <v>83.8</v>
      </c>
      <c r="BK50">
        <v>69.900000000000006</v>
      </c>
      <c r="BL50">
        <v>98.2</v>
      </c>
      <c r="BM50">
        <v>99.5</v>
      </c>
      <c r="BN50">
        <v>1.8</v>
      </c>
      <c r="BO50">
        <v>0.5</v>
      </c>
      <c r="BP50">
        <v>0</v>
      </c>
      <c r="BQ50">
        <v>0</v>
      </c>
      <c r="BR50">
        <v>0</v>
      </c>
      <c r="BS50">
        <v>0</v>
      </c>
      <c r="BT50">
        <v>0</v>
      </c>
      <c r="BU50">
        <v>0</v>
      </c>
      <c r="BV50">
        <v>0</v>
      </c>
      <c r="BW50">
        <v>0</v>
      </c>
      <c r="BX50">
        <v>0</v>
      </c>
      <c r="BY50">
        <v>0</v>
      </c>
      <c r="BZ50">
        <v>30</v>
      </c>
      <c r="CA50">
        <v>6</v>
      </c>
      <c r="CB50">
        <v>7</v>
      </c>
      <c r="CC50">
        <v>1</v>
      </c>
      <c r="CD50">
        <v>10</v>
      </c>
      <c r="CE50">
        <v>8</v>
      </c>
      <c r="CF50">
        <v>16</v>
      </c>
      <c r="CG50">
        <v>16</v>
      </c>
      <c r="CH50">
        <v>30</v>
      </c>
      <c r="CI50">
        <v>6</v>
      </c>
      <c r="CJ50">
        <v>7</v>
      </c>
      <c r="CK50">
        <v>1</v>
      </c>
      <c r="CL50">
        <v>10</v>
      </c>
      <c r="CM50">
        <v>8</v>
      </c>
      <c r="CN50">
        <v>16</v>
      </c>
      <c r="CO50">
        <v>16</v>
      </c>
      <c r="CP50">
        <v>0</v>
      </c>
      <c r="CQ50">
        <v>0</v>
      </c>
      <c r="CR50">
        <v>0</v>
      </c>
      <c r="CS50">
        <v>0</v>
      </c>
      <c r="CT50">
        <v>0</v>
      </c>
      <c r="CU50">
        <v>0</v>
      </c>
      <c r="CV50">
        <v>0</v>
      </c>
      <c r="CW50">
        <v>0</v>
      </c>
      <c r="CX50">
        <v>72.2</v>
      </c>
      <c r="CY50">
        <v>56.1</v>
      </c>
      <c r="CZ50">
        <v>86.7</v>
      </c>
      <c r="DA50">
        <v>83.2</v>
      </c>
      <c r="DB50">
        <v>72.2</v>
      </c>
      <c r="DC50">
        <v>56.1</v>
      </c>
      <c r="DD50">
        <v>85.8</v>
      </c>
      <c r="DE50">
        <v>83.2</v>
      </c>
      <c r="DF50">
        <v>72.2</v>
      </c>
      <c r="DG50">
        <v>56.1</v>
      </c>
      <c r="DH50">
        <v>86.7</v>
      </c>
      <c r="DI50">
        <v>83.2</v>
      </c>
      <c r="DJ50">
        <v>72.2</v>
      </c>
      <c r="DK50">
        <v>56.1</v>
      </c>
      <c r="DL50">
        <v>85.8</v>
      </c>
      <c r="DM50">
        <v>83.2</v>
      </c>
      <c r="DN50">
        <v>0</v>
      </c>
      <c r="DO50">
        <v>0</v>
      </c>
      <c r="DP50">
        <v>0</v>
      </c>
      <c r="DQ50">
        <v>0</v>
      </c>
      <c r="DR50">
        <v>0</v>
      </c>
      <c r="DS50">
        <v>0</v>
      </c>
      <c r="DT50">
        <v>0</v>
      </c>
      <c r="DU50">
        <v>0</v>
      </c>
      <c r="DV50" t="s">
        <v>232</v>
      </c>
    </row>
    <row r="51" spans="1:126" x14ac:dyDescent="0.35">
      <c r="A51" t="s">
        <v>235</v>
      </c>
      <c r="B51">
        <v>230103</v>
      </c>
      <c r="C51" s="1">
        <v>44929</v>
      </c>
      <c r="D51" t="s">
        <v>236</v>
      </c>
      <c r="E51" t="s">
        <v>231</v>
      </c>
      <c r="F51" t="s">
        <v>185</v>
      </c>
      <c r="G51" t="s">
        <v>186</v>
      </c>
      <c r="H51">
        <v>3782</v>
      </c>
      <c r="I51" s="17">
        <v>472</v>
      </c>
      <c r="J51" s="17">
        <v>1045</v>
      </c>
      <c r="K51">
        <v>75</v>
      </c>
      <c r="L51">
        <v>3198</v>
      </c>
      <c r="M51">
        <v>2642</v>
      </c>
      <c r="N51">
        <v>3745</v>
      </c>
      <c r="O51">
        <v>3762</v>
      </c>
      <c r="P51">
        <v>37</v>
      </c>
      <c r="Q51">
        <v>20</v>
      </c>
      <c r="R51">
        <v>3782</v>
      </c>
      <c r="S51">
        <v>472</v>
      </c>
      <c r="T51">
        <v>1045</v>
      </c>
      <c r="U51">
        <v>75</v>
      </c>
      <c r="V51">
        <v>3198</v>
      </c>
      <c r="W51">
        <v>2642</v>
      </c>
      <c r="X51">
        <v>3745</v>
      </c>
      <c r="Y51">
        <v>3762</v>
      </c>
      <c r="Z51">
        <v>37</v>
      </c>
      <c r="AA51">
        <v>20</v>
      </c>
      <c r="AB51">
        <v>0</v>
      </c>
      <c r="AC51">
        <v>0</v>
      </c>
      <c r="AD51">
        <v>0</v>
      </c>
      <c r="AE51">
        <v>0</v>
      </c>
      <c r="AF51">
        <v>0</v>
      </c>
      <c r="AG51">
        <v>0</v>
      </c>
      <c r="AH51">
        <v>0</v>
      </c>
      <c r="AI51">
        <v>0</v>
      </c>
      <c r="AJ51">
        <v>0</v>
      </c>
      <c r="AK51">
        <v>0</v>
      </c>
      <c r="AL51">
        <v>-25</v>
      </c>
      <c r="AM51">
        <v>0</v>
      </c>
      <c r="AN51">
        <v>0</v>
      </c>
      <c r="AO51">
        <v>0</v>
      </c>
      <c r="AP51">
        <v>-25</v>
      </c>
      <c r="AQ51">
        <v>-25</v>
      </c>
      <c r="AR51">
        <v>-25</v>
      </c>
      <c r="AS51">
        <v>-25</v>
      </c>
      <c r="AT51">
        <v>0</v>
      </c>
      <c r="AU51">
        <v>0</v>
      </c>
      <c r="AV51">
        <v>100</v>
      </c>
      <c r="AW51">
        <v>12.5</v>
      </c>
      <c r="AX51">
        <v>27.6</v>
      </c>
      <c r="AY51">
        <v>2</v>
      </c>
      <c r="AZ51">
        <v>84.6</v>
      </c>
      <c r="BA51">
        <v>69.900000000000006</v>
      </c>
      <c r="BB51">
        <v>99</v>
      </c>
      <c r="BC51">
        <v>99.5</v>
      </c>
      <c r="BD51">
        <v>1</v>
      </c>
      <c r="BE51">
        <v>0.5</v>
      </c>
      <c r="BF51">
        <v>100</v>
      </c>
      <c r="BG51">
        <v>12.5</v>
      </c>
      <c r="BH51">
        <v>27.6</v>
      </c>
      <c r="BI51">
        <v>2</v>
      </c>
      <c r="BJ51">
        <v>84.6</v>
      </c>
      <c r="BK51">
        <v>69.900000000000006</v>
      </c>
      <c r="BL51">
        <v>99</v>
      </c>
      <c r="BM51">
        <v>99.5</v>
      </c>
      <c r="BN51">
        <v>1</v>
      </c>
      <c r="BO51">
        <v>0.5</v>
      </c>
      <c r="BP51">
        <v>0</v>
      </c>
      <c r="BQ51">
        <v>0</v>
      </c>
      <c r="BR51">
        <v>0</v>
      </c>
      <c r="BS51">
        <v>0</v>
      </c>
      <c r="BT51">
        <v>0</v>
      </c>
      <c r="BU51">
        <v>0</v>
      </c>
      <c r="BV51">
        <v>0</v>
      </c>
      <c r="BW51">
        <v>0</v>
      </c>
      <c r="BX51">
        <v>0</v>
      </c>
      <c r="BY51">
        <v>0</v>
      </c>
      <c r="BZ51">
        <v>30</v>
      </c>
      <c r="CA51">
        <v>6</v>
      </c>
      <c r="CB51">
        <v>7</v>
      </c>
      <c r="CC51">
        <v>1</v>
      </c>
      <c r="CD51">
        <v>11</v>
      </c>
      <c r="CE51">
        <v>7</v>
      </c>
      <c r="CF51">
        <v>17</v>
      </c>
      <c r="CG51">
        <v>15</v>
      </c>
      <c r="CH51">
        <v>30</v>
      </c>
      <c r="CI51">
        <v>6</v>
      </c>
      <c r="CJ51">
        <v>7</v>
      </c>
      <c r="CK51">
        <v>1</v>
      </c>
      <c r="CL51">
        <v>11</v>
      </c>
      <c r="CM51">
        <v>7</v>
      </c>
      <c r="CN51">
        <v>17</v>
      </c>
      <c r="CO51">
        <v>15</v>
      </c>
      <c r="CP51">
        <v>0</v>
      </c>
      <c r="CQ51">
        <v>0</v>
      </c>
      <c r="CR51">
        <v>0</v>
      </c>
      <c r="CS51">
        <v>0</v>
      </c>
      <c r="CT51">
        <v>0</v>
      </c>
      <c r="CU51">
        <v>0</v>
      </c>
      <c r="CV51">
        <v>0</v>
      </c>
      <c r="CW51">
        <v>0</v>
      </c>
      <c r="CX51">
        <v>72.2</v>
      </c>
      <c r="CY51">
        <v>56.9</v>
      </c>
      <c r="CZ51">
        <v>86.7</v>
      </c>
      <c r="DA51">
        <v>84.5</v>
      </c>
      <c r="DB51">
        <v>72.2</v>
      </c>
      <c r="DC51">
        <v>56.9</v>
      </c>
      <c r="DD51">
        <v>85.7</v>
      </c>
      <c r="DE51">
        <v>84.5</v>
      </c>
      <c r="DF51">
        <v>72.2</v>
      </c>
      <c r="DG51">
        <v>56.9</v>
      </c>
      <c r="DH51">
        <v>86.7</v>
      </c>
      <c r="DI51">
        <v>84.5</v>
      </c>
      <c r="DJ51">
        <v>72.2</v>
      </c>
      <c r="DK51">
        <v>56.9</v>
      </c>
      <c r="DL51">
        <v>85.7</v>
      </c>
      <c r="DM51">
        <v>84.5</v>
      </c>
      <c r="DN51">
        <v>0</v>
      </c>
      <c r="DO51">
        <v>0</v>
      </c>
      <c r="DP51">
        <v>0</v>
      </c>
      <c r="DQ51">
        <v>0</v>
      </c>
      <c r="DR51">
        <v>0</v>
      </c>
      <c r="DS51">
        <v>0</v>
      </c>
      <c r="DT51">
        <v>0</v>
      </c>
      <c r="DU51">
        <v>0</v>
      </c>
      <c r="DV51" t="s">
        <v>232</v>
      </c>
    </row>
    <row r="52" spans="1:126" x14ac:dyDescent="0.35">
      <c r="A52" t="s">
        <v>237</v>
      </c>
      <c r="B52">
        <v>230110</v>
      </c>
      <c r="C52" s="1">
        <v>44936</v>
      </c>
      <c r="D52" t="s">
        <v>238</v>
      </c>
      <c r="E52" t="s">
        <v>231</v>
      </c>
      <c r="F52" t="s">
        <v>185</v>
      </c>
      <c r="G52" t="s">
        <v>186</v>
      </c>
      <c r="H52">
        <v>3947</v>
      </c>
      <c r="I52" s="17">
        <v>297</v>
      </c>
      <c r="J52" s="17">
        <v>2099</v>
      </c>
      <c r="K52">
        <v>35</v>
      </c>
      <c r="L52">
        <v>3580</v>
      </c>
      <c r="M52">
        <v>1782</v>
      </c>
      <c r="N52">
        <v>3912</v>
      </c>
      <c r="O52">
        <v>3916</v>
      </c>
      <c r="P52">
        <v>35</v>
      </c>
      <c r="Q52">
        <v>31</v>
      </c>
      <c r="R52">
        <v>3947</v>
      </c>
      <c r="S52">
        <v>297</v>
      </c>
      <c r="T52">
        <v>2099</v>
      </c>
      <c r="U52">
        <v>35</v>
      </c>
      <c r="V52">
        <v>3580</v>
      </c>
      <c r="W52">
        <v>1782</v>
      </c>
      <c r="X52">
        <v>3912</v>
      </c>
      <c r="Y52">
        <v>3916</v>
      </c>
      <c r="Z52">
        <v>35</v>
      </c>
      <c r="AA52">
        <v>31</v>
      </c>
      <c r="AB52">
        <v>0</v>
      </c>
      <c r="AC52">
        <v>0</v>
      </c>
      <c r="AD52">
        <v>0</v>
      </c>
      <c r="AE52">
        <v>0</v>
      </c>
      <c r="AF52">
        <v>0</v>
      </c>
      <c r="AG52">
        <v>0</v>
      </c>
      <c r="AH52">
        <v>0</v>
      </c>
      <c r="AI52">
        <v>0</v>
      </c>
      <c r="AJ52">
        <v>0</v>
      </c>
      <c r="AK52">
        <v>0</v>
      </c>
      <c r="AL52">
        <v>0</v>
      </c>
      <c r="AM52">
        <v>0</v>
      </c>
      <c r="AN52">
        <v>0</v>
      </c>
      <c r="AO52">
        <v>0</v>
      </c>
      <c r="AP52">
        <v>0</v>
      </c>
      <c r="AQ52">
        <v>0</v>
      </c>
      <c r="AR52">
        <v>0</v>
      </c>
      <c r="AS52">
        <v>0</v>
      </c>
      <c r="AT52">
        <v>0</v>
      </c>
      <c r="AU52">
        <v>0</v>
      </c>
      <c r="AV52">
        <v>100</v>
      </c>
      <c r="AW52">
        <v>7.5</v>
      </c>
      <c r="AX52">
        <v>53.2</v>
      </c>
      <c r="AY52">
        <v>0.9</v>
      </c>
      <c r="AZ52">
        <v>90.7</v>
      </c>
      <c r="BA52">
        <v>45.1</v>
      </c>
      <c r="BB52">
        <v>99.1</v>
      </c>
      <c r="BC52">
        <v>99.2</v>
      </c>
      <c r="BD52">
        <v>0.9</v>
      </c>
      <c r="BE52">
        <v>0.8</v>
      </c>
      <c r="BF52">
        <v>100</v>
      </c>
      <c r="BG52">
        <v>7.5</v>
      </c>
      <c r="BH52">
        <v>53.2</v>
      </c>
      <c r="BI52">
        <v>0.9</v>
      </c>
      <c r="BJ52">
        <v>90.7</v>
      </c>
      <c r="BK52">
        <v>45.1</v>
      </c>
      <c r="BL52">
        <v>99.1</v>
      </c>
      <c r="BM52">
        <v>99.2</v>
      </c>
      <c r="BN52">
        <v>0.9</v>
      </c>
      <c r="BO52">
        <v>0.8</v>
      </c>
      <c r="BP52">
        <v>0</v>
      </c>
      <c r="BQ52">
        <v>0</v>
      </c>
      <c r="BR52">
        <v>0</v>
      </c>
      <c r="BS52">
        <v>0</v>
      </c>
      <c r="BT52">
        <v>0</v>
      </c>
      <c r="BU52">
        <v>0</v>
      </c>
      <c r="BV52">
        <v>0</v>
      </c>
      <c r="BW52">
        <v>0</v>
      </c>
      <c r="BX52">
        <v>0</v>
      </c>
      <c r="BY52">
        <v>0</v>
      </c>
      <c r="BZ52">
        <v>23</v>
      </c>
      <c r="CA52">
        <v>4</v>
      </c>
      <c r="CB52">
        <v>5</v>
      </c>
      <c r="CC52">
        <v>2</v>
      </c>
      <c r="CD52">
        <v>11</v>
      </c>
      <c r="CE52">
        <v>7</v>
      </c>
      <c r="CF52">
        <v>16</v>
      </c>
      <c r="CG52">
        <v>13</v>
      </c>
      <c r="CH52">
        <v>23</v>
      </c>
      <c r="CI52">
        <v>4</v>
      </c>
      <c r="CJ52">
        <v>5</v>
      </c>
      <c r="CK52">
        <v>2</v>
      </c>
      <c r="CL52">
        <v>11</v>
      </c>
      <c r="CM52">
        <v>7</v>
      </c>
      <c r="CN52">
        <v>16</v>
      </c>
      <c r="CO52">
        <v>13</v>
      </c>
      <c r="CP52">
        <v>0</v>
      </c>
      <c r="CQ52">
        <v>0</v>
      </c>
      <c r="CR52">
        <v>0</v>
      </c>
      <c r="CS52">
        <v>0</v>
      </c>
      <c r="CT52">
        <v>0</v>
      </c>
      <c r="CU52">
        <v>0</v>
      </c>
      <c r="CV52">
        <v>0</v>
      </c>
      <c r="CW52">
        <v>0</v>
      </c>
      <c r="CX52">
        <v>63.2</v>
      </c>
      <c r="CY52">
        <v>68.900000000000006</v>
      </c>
      <c r="CZ52">
        <v>86.9</v>
      </c>
      <c r="DA52">
        <v>90.5</v>
      </c>
      <c r="DB52">
        <v>59.4</v>
      </c>
      <c r="DC52">
        <v>68.7</v>
      </c>
      <c r="DD52">
        <v>83.1</v>
      </c>
      <c r="DE52">
        <v>88.3</v>
      </c>
      <c r="DF52">
        <v>63.2</v>
      </c>
      <c r="DG52">
        <v>68.900000000000006</v>
      </c>
      <c r="DH52">
        <v>86.9</v>
      </c>
      <c r="DI52">
        <v>90.5</v>
      </c>
      <c r="DJ52">
        <v>59.4</v>
      </c>
      <c r="DK52">
        <v>68.7</v>
      </c>
      <c r="DL52">
        <v>83.1</v>
      </c>
      <c r="DM52">
        <v>88.3</v>
      </c>
      <c r="DN52">
        <v>0</v>
      </c>
      <c r="DO52">
        <v>0</v>
      </c>
      <c r="DP52">
        <v>0</v>
      </c>
      <c r="DQ52">
        <v>0</v>
      </c>
      <c r="DR52">
        <v>0</v>
      </c>
      <c r="DS52">
        <v>0</v>
      </c>
      <c r="DT52">
        <v>0</v>
      </c>
      <c r="DU52">
        <v>0</v>
      </c>
      <c r="DV52" t="s">
        <v>232</v>
      </c>
    </row>
    <row r="53" spans="1:126" x14ac:dyDescent="0.35">
      <c r="A53" t="s">
        <v>237</v>
      </c>
      <c r="B53">
        <v>230103</v>
      </c>
      <c r="C53" s="1">
        <v>44929</v>
      </c>
      <c r="D53" t="s">
        <v>238</v>
      </c>
      <c r="E53" t="s">
        <v>231</v>
      </c>
      <c r="F53" t="s">
        <v>185</v>
      </c>
      <c r="G53" t="s">
        <v>186</v>
      </c>
      <c r="H53">
        <v>3947</v>
      </c>
      <c r="I53" s="17">
        <v>297</v>
      </c>
      <c r="J53" s="17">
        <v>2099</v>
      </c>
      <c r="K53">
        <v>35</v>
      </c>
      <c r="L53">
        <v>3580</v>
      </c>
      <c r="M53">
        <v>1782</v>
      </c>
      <c r="N53">
        <v>3912</v>
      </c>
      <c r="O53">
        <v>3916</v>
      </c>
      <c r="P53">
        <v>35</v>
      </c>
      <c r="Q53">
        <v>31</v>
      </c>
      <c r="R53">
        <v>3947</v>
      </c>
      <c r="S53">
        <v>297</v>
      </c>
      <c r="T53">
        <v>2099</v>
      </c>
      <c r="U53">
        <v>35</v>
      </c>
      <c r="V53">
        <v>3580</v>
      </c>
      <c r="W53">
        <v>1782</v>
      </c>
      <c r="X53">
        <v>3912</v>
      </c>
      <c r="Y53">
        <v>3916</v>
      </c>
      <c r="Z53">
        <v>35</v>
      </c>
      <c r="AA53">
        <v>31</v>
      </c>
      <c r="AB53">
        <v>0</v>
      </c>
      <c r="AC53">
        <v>0</v>
      </c>
      <c r="AD53">
        <v>0</v>
      </c>
      <c r="AE53">
        <v>0</v>
      </c>
      <c r="AF53">
        <v>0</v>
      </c>
      <c r="AG53">
        <v>0</v>
      </c>
      <c r="AH53">
        <v>0</v>
      </c>
      <c r="AI53">
        <v>0</v>
      </c>
      <c r="AJ53">
        <v>0</v>
      </c>
      <c r="AK53">
        <v>0</v>
      </c>
      <c r="AL53">
        <v>0</v>
      </c>
      <c r="AM53">
        <v>0</v>
      </c>
      <c r="AN53">
        <v>0</v>
      </c>
      <c r="AO53">
        <v>0</v>
      </c>
      <c r="AP53">
        <v>0</v>
      </c>
      <c r="AQ53">
        <v>0</v>
      </c>
      <c r="AR53">
        <v>0</v>
      </c>
      <c r="AS53">
        <v>0</v>
      </c>
      <c r="AT53">
        <v>0</v>
      </c>
      <c r="AU53">
        <v>0</v>
      </c>
      <c r="AV53">
        <v>100</v>
      </c>
      <c r="AW53">
        <v>7.5</v>
      </c>
      <c r="AX53">
        <v>53.2</v>
      </c>
      <c r="AY53">
        <v>0.9</v>
      </c>
      <c r="AZ53">
        <v>90.7</v>
      </c>
      <c r="BA53">
        <v>45.1</v>
      </c>
      <c r="BB53">
        <v>99.1</v>
      </c>
      <c r="BC53">
        <v>99.2</v>
      </c>
      <c r="BD53">
        <v>0.9</v>
      </c>
      <c r="BE53">
        <v>0.8</v>
      </c>
      <c r="BF53">
        <v>100</v>
      </c>
      <c r="BG53">
        <v>7.5</v>
      </c>
      <c r="BH53">
        <v>53.2</v>
      </c>
      <c r="BI53">
        <v>0.9</v>
      </c>
      <c r="BJ53">
        <v>90.7</v>
      </c>
      <c r="BK53">
        <v>45.1</v>
      </c>
      <c r="BL53">
        <v>99.1</v>
      </c>
      <c r="BM53">
        <v>99.2</v>
      </c>
      <c r="BN53">
        <v>0.9</v>
      </c>
      <c r="BO53">
        <v>0.8</v>
      </c>
      <c r="BP53">
        <v>0</v>
      </c>
      <c r="BQ53">
        <v>0</v>
      </c>
      <c r="BR53">
        <v>0</v>
      </c>
      <c r="BS53">
        <v>0</v>
      </c>
      <c r="BT53">
        <v>0</v>
      </c>
      <c r="BU53">
        <v>0</v>
      </c>
      <c r="BV53">
        <v>0</v>
      </c>
      <c r="BW53">
        <v>0</v>
      </c>
      <c r="BX53">
        <v>0</v>
      </c>
      <c r="BY53">
        <v>0</v>
      </c>
      <c r="BZ53">
        <v>23</v>
      </c>
      <c r="CA53">
        <v>4</v>
      </c>
      <c r="CB53">
        <v>5</v>
      </c>
      <c r="CC53">
        <v>2</v>
      </c>
      <c r="CD53">
        <v>11</v>
      </c>
      <c r="CE53">
        <v>7</v>
      </c>
      <c r="CF53">
        <v>16</v>
      </c>
      <c r="CG53">
        <v>13</v>
      </c>
      <c r="CH53">
        <v>23</v>
      </c>
      <c r="CI53">
        <v>4</v>
      </c>
      <c r="CJ53">
        <v>5</v>
      </c>
      <c r="CK53">
        <v>2</v>
      </c>
      <c r="CL53">
        <v>11</v>
      </c>
      <c r="CM53">
        <v>7</v>
      </c>
      <c r="CN53">
        <v>16</v>
      </c>
      <c r="CO53">
        <v>13</v>
      </c>
      <c r="CP53">
        <v>0</v>
      </c>
      <c r="CQ53">
        <v>0</v>
      </c>
      <c r="CR53">
        <v>0</v>
      </c>
      <c r="CS53">
        <v>0</v>
      </c>
      <c r="CT53">
        <v>0</v>
      </c>
      <c r="CU53">
        <v>0</v>
      </c>
      <c r="CV53">
        <v>0</v>
      </c>
      <c r="CW53">
        <v>0</v>
      </c>
      <c r="CX53">
        <v>63.2</v>
      </c>
      <c r="CY53">
        <v>71.7</v>
      </c>
      <c r="CZ53">
        <v>86.9</v>
      </c>
      <c r="DA53">
        <v>90.5</v>
      </c>
      <c r="DB53">
        <v>59.4</v>
      </c>
      <c r="DC53">
        <v>69.599999999999994</v>
      </c>
      <c r="DD53">
        <v>83.1</v>
      </c>
      <c r="DE53">
        <v>88.3</v>
      </c>
      <c r="DF53">
        <v>63.2</v>
      </c>
      <c r="DG53">
        <v>71.7</v>
      </c>
      <c r="DH53">
        <v>86.9</v>
      </c>
      <c r="DI53">
        <v>90.5</v>
      </c>
      <c r="DJ53">
        <v>59.4</v>
      </c>
      <c r="DK53">
        <v>69.599999999999994</v>
      </c>
      <c r="DL53">
        <v>83.1</v>
      </c>
      <c r="DM53">
        <v>88.3</v>
      </c>
      <c r="DN53">
        <v>0</v>
      </c>
      <c r="DO53">
        <v>0</v>
      </c>
      <c r="DP53">
        <v>0</v>
      </c>
      <c r="DQ53">
        <v>0</v>
      </c>
      <c r="DR53">
        <v>0</v>
      </c>
      <c r="DS53">
        <v>0</v>
      </c>
      <c r="DT53">
        <v>0</v>
      </c>
      <c r="DU53">
        <v>0</v>
      </c>
      <c r="DV53" t="s">
        <v>232</v>
      </c>
    </row>
    <row r="54" spans="1:126" x14ac:dyDescent="0.35">
      <c r="A54" t="s">
        <v>239</v>
      </c>
      <c r="B54">
        <v>230110</v>
      </c>
      <c r="C54" s="1">
        <v>44936</v>
      </c>
      <c r="D54" t="s">
        <v>240</v>
      </c>
      <c r="E54" t="s">
        <v>231</v>
      </c>
      <c r="F54" t="s">
        <v>185</v>
      </c>
      <c r="G54" t="s">
        <v>186</v>
      </c>
      <c r="H54">
        <v>4626</v>
      </c>
      <c r="I54" s="17">
        <v>87</v>
      </c>
      <c r="J54" s="17">
        <v>1720</v>
      </c>
      <c r="K54">
        <v>0</v>
      </c>
      <c r="L54">
        <v>4502</v>
      </c>
      <c r="M54">
        <v>2856</v>
      </c>
      <c r="N54">
        <v>4589</v>
      </c>
      <c r="O54">
        <v>4576</v>
      </c>
      <c r="P54">
        <v>37</v>
      </c>
      <c r="Q54">
        <v>50</v>
      </c>
      <c r="R54">
        <v>4626</v>
      </c>
      <c r="S54">
        <v>87</v>
      </c>
      <c r="T54">
        <v>1720</v>
      </c>
      <c r="U54">
        <v>0</v>
      </c>
      <c r="V54">
        <v>4502</v>
      </c>
      <c r="W54">
        <v>2856</v>
      </c>
      <c r="X54">
        <v>4589</v>
      </c>
      <c r="Y54">
        <v>4576</v>
      </c>
      <c r="Z54">
        <v>37</v>
      </c>
      <c r="AA54">
        <v>50</v>
      </c>
      <c r="AB54">
        <v>0</v>
      </c>
      <c r="AC54">
        <v>0</v>
      </c>
      <c r="AD54">
        <v>0</v>
      </c>
      <c r="AE54">
        <v>0</v>
      </c>
      <c r="AF54">
        <v>0</v>
      </c>
      <c r="AG54">
        <v>0</v>
      </c>
      <c r="AH54">
        <v>0</v>
      </c>
      <c r="AI54">
        <v>0</v>
      </c>
      <c r="AJ54">
        <v>0</v>
      </c>
      <c r="AK54">
        <v>0</v>
      </c>
      <c r="AL54">
        <v>50</v>
      </c>
      <c r="AM54">
        <v>0</v>
      </c>
      <c r="AN54">
        <v>55</v>
      </c>
      <c r="AO54">
        <v>0</v>
      </c>
      <c r="AP54">
        <v>50</v>
      </c>
      <c r="AQ54">
        <v>-5</v>
      </c>
      <c r="AR54">
        <v>50</v>
      </c>
      <c r="AS54">
        <v>50</v>
      </c>
      <c r="AT54">
        <v>0</v>
      </c>
      <c r="AU54">
        <v>0</v>
      </c>
      <c r="AV54">
        <v>100</v>
      </c>
      <c r="AW54">
        <v>1.9</v>
      </c>
      <c r="AX54">
        <v>37.200000000000003</v>
      </c>
      <c r="AY54">
        <v>0</v>
      </c>
      <c r="AZ54">
        <v>97.3</v>
      </c>
      <c r="BA54">
        <v>61.7</v>
      </c>
      <c r="BB54">
        <v>99.2</v>
      </c>
      <c r="BC54">
        <v>98.9</v>
      </c>
      <c r="BD54">
        <v>0.8</v>
      </c>
      <c r="BE54">
        <v>1.1000000000000001</v>
      </c>
      <c r="BF54">
        <v>100</v>
      </c>
      <c r="BG54">
        <v>1.9</v>
      </c>
      <c r="BH54">
        <v>37.200000000000003</v>
      </c>
      <c r="BI54">
        <v>0</v>
      </c>
      <c r="BJ54">
        <v>97.3</v>
      </c>
      <c r="BK54">
        <v>61.7</v>
      </c>
      <c r="BL54">
        <v>99.2</v>
      </c>
      <c r="BM54">
        <v>98.9</v>
      </c>
      <c r="BN54">
        <v>0.8</v>
      </c>
      <c r="BO54">
        <v>1.1000000000000001</v>
      </c>
      <c r="BP54">
        <v>0</v>
      </c>
      <c r="BQ54">
        <v>0</v>
      </c>
      <c r="BR54">
        <v>0</v>
      </c>
      <c r="BS54">
        <v>0</v>
      </c>
      <c r="BT54">
        <v>0</v>
      </c>
      <c r="BU54">
        <v>0</v>
      </c>
      <c r="BV54">
        <v>0</v>
      </c>
      <c r="BW54">
        <v>0</v>
      </c>
      <c r="BX54">
        <v>0</v>
      </c>
      <c r="BY54">
        <v>0</v>
      </c>
      <c r="BZ54">
        <v>27</v>
      </c>
      <c r="CA54">
        <v>2</v>
      </c>
      <c r="CB54">
        <v>6</v>
      </c>
      <c r="CC54">
        <v>0</v>
      </c>
      <c r="CD54">
        <v>12</v>
      </c>
      <c r="CE54">
        <v>12</v>
      </c>
      <c r="CF54">
        <v>14</v>
      </c>
      <c r="CG54">
        <v>18</v>
      </c>
      <c r="CH54">
        <v>27</v>
      </c>
      <c r="CI54">
        <v>2</v>
      </c>
      <c r="CJ54">
        <v>6</v>
      </c>
      <c r="CK54">
        <v>0</v>
      </c>
      <c r="CL54">
        <v>12</v>
      </c>
      <c r="CM54">
        <v>12</v>
      </c>
      <c r="CN54">
        <v>14</v>
      </c>
      <c r="CO54">
        <v>18</v>
      </c>
      <c r="CP54">
        <v>0</v>
      </c>
      <c r="CQ54">
        <v>0</v>
      </c>
      <c r="CR54">
        <v>0</v>
      </c>
      <c r="CS54">
        <v>0</v>
      </c>
      <c r="CT54">
        <v>0</v>
      </c>
      <c r="CU54">
        <v>0</v>
      </c>
      <c r="CV54">
        <v>0</v>
      </c>
      <c r="CW54">
        <v>0</v>
      </c>
      <c r="CX54">
        <v>78.400000000000006</v>
      </c>
      <c r="CY54">
        <v>58.4</v>
      </c>
      <c r="CZ54">
        <v>93.6</v>
      </c>
      <c r="DA54">
        <v>82.1</v>
      </c>
      <c r="DB54">
        <v>77.3</v>
      </c>
      <c r="DC54">
        <v>57.9</v>
      </c>
      <c r="DD54">
        <v>87.7</v>
      </c>
      <c r="DE54">
        <v>78.900000000000006</v>
      </c>
      <c r="DF54">
        <v>78.400000000000006</v>
      </c>
      <c r="DG54">
        <v>58.4</v>
      </c>
      <c r="DH54">
        <v>93.6</v>
      </c>
      <c r="DI54">
        <v>82.1</v>
      </c>
      <c r="DJ54">
        <v>77.3</v>
      </c>
      <c r="DK54">
        <v>57.9</v>
      </c>
      <c r="DL54">
        <v>87.7</v>
      </c>
      <c r="DM54">
        <v>78.900000000000006</v>
      </c>
      <c r="DN54">
        <v>0</v>
      </c>
      <c r="DO54">
        <v>0</v>
      </c>
      <c r="DP54">
        <v>0</v>
      </c>
      <c r="DQ54">
        <v>0</v>
      </c>
      <c r="DR54">
        <v>0</v>
      </c>
      <c r="DS54">
        <v>0</v>
      </c>
      <c r="DT54">
        <v>0</v>
      </c>
      <c r="DU54">
        <v>0</v>
      </c>
      <c r="DV54" t="s">
        <v>232</v>
      </c>
    </row>
    <row r="55" spans="1:126" x14ac:dyDescent="0.35">
      <c r="A55" t="s">
        <v>239</v>
      </c>
      <c r="B55">
        <v>230103</v>
      </c>
      <c r="C55" s="1">
        <v>44929</v>
      </c>
      <c r="D55" t="s">
        <v>240</v>
      </c>
      <c r="E55" t="s">
        <v>231</v>
      </c>
      <c r="F55" t="s">
        <v>185</v>
      </c>
      <c r="G55" t="s">
        <v>186</v>
      </c>
      <c r="H55">
        <v>4576</v>
      </c>
      <c r="I55" s="17">
        <v>87</v>
      </c>
      <c r="J55" s="17">
        <v>1665</v>
      </c>
      <c r="K55">
        <v>0</v>
      </c>
      <c r="L55">
        <v>4452</v>
      </c>
      <c r="M55">
        <v>2861</v>
      </c>
      <c r="N55">
        <v>4539</v>
      </c>
      <c r="O55">
        <v>4526</v>
      </c>
      <c r="P55">
        <v>37</v>
      </c>
      <c r="Q55">
        <v>50</v>
      </c>
      <c r="R55">
        <v>4576</v>
      </c>
      <c r="S55">
        <v>87</v>
      </c>
      <c r="T55">
        <v>1665</v>
      </c>
      <c r="U55">
        <v>0</v>
      </c>
      <c r="V55">
        <v>4452</v>
      </c>
      <c r="W55">
        <v>2861</v>
      </c>
      <c r="X55">
        <v>4539</v>
      </c>
      <c r="Y55">
        <v>4526</v>
      </c>
      <c r="Z55">
        <v>37</v>
      </c>
      <c r="AA55">
        <v>50</v>
      </c>
      <c r="AB55">
        <v>0</v>
      </c>
      <c r="AC55">
        <v>0</v>
      </c>
      <c r="AD55">
        <v>0</v>
      </c>
      <c r="AE55">
        <v>0</v>
      </c>
      <c r="AF55">
        <v>0</v>
      </c>
      <c r="AG55">
        <v>0</v>
      </c>
      <c r="AH55">
        <v>0</v>
      </c>
      <c r="AI55">
        <v>0</v>
      </c>
      <c r="AJ55">
        <v>0</v>
      </c>
      <c r="AK55">
        <v>0</v>
      </c>
      <c r="AL55">
        <v>160</v>
      </c>
      <c r="AM55">
        <v>0</v>
      </c>
      <c r="AN55">
        <v>0</v>
      </c>
      <c r="AO55">
        <v>0</v>
      </c>
      <c r="AP55">
        <v>160</v>
      </c>
      <c r="AQ55">
        <v>160</v>
      </c>
      <c r="AR55">
        <v>160</v>
      </c>
      <c r="AS55">
        <v>160</v>
      </c>
      <c r="AT55">
        <v>0</v>
      </c>
      <c r="AU55">
        <v>0</v>
      </c>
      <c r="AV55">
        <v>100</v>
      </c>
      <c r="AW55">
        <v>1.9</v>
      </c>
      <c r="AX55">
        <v>36.4</v>
      </c>
      <c r="AY55">
        <v>0</v>
      </c>
      <c r="AZ55">
        <v>97.3</v>
      </c>
      <c r="BA55">
        <v>62.5</v>
      </c>
      <c r="BB55">
        <v>99.2</v>
      </c>
      <c r="BC55">
        <v>98.9</v>
      </c>
      <c r="BD55">
        <v>0.8</v>
      </c>
      <c r="BE55">
        <v>1.1000000000000001</v>
      </c>
      <c r="BF55">
        <v>100</v>
      </c>
      <c r="BG55">
        <v>1.9</v>
      </c>
      <c r="BH55">
        <v>36.4</v>
      </c>
      <c r="BI55">
        <v>0</v>
      </c>
      <c r="BJ55">
        <v>97.3</v>
      </c>
      <c r="BK55">
        <v>62.5</v>
      </c>
      <c r="BL55">
        <v>99.2</v>
      </c>
      <c r="BM55">
        <v>98.9</v>
      </c>
      <c r="BN55">
        <v>0.8</v>
      </c>
      <c r="BO55">
        <v>1.1000000000000001</v>
      </c>
      <c r="BP55">
        <v>0</v>
      </c>
      <c r="BQ55">
        <v>0</v>
      </c>
      <c r="BR55">
        <v>0</v>
      </c>
      <c r="BS55">
        <v>0</v>
      </c>
      <c r="BT55">
        <v>0</v>
      </c>
      <c r="BU55">
        <v>0</v>
      </c>
      <c r="BV55">
        <v>0</v>
      </c>
      <c r="BW55">
        <v>0</v>
      </c>
      <c r="BX55">
        <v>0</v>
      </c>
      <c r="BY55">
        <v>0</v>
      </c>
      <c r="BZ55">
        <v>27</v>
      </c>
      <c r="CA55">
        <v>2</v>
      </c>
      <c r="CB55">
        <v>6</v>
      </c>
      <c r="CC55">
        <v>0</v>
      </c>
      <c r="CD55">
        <v>12</v>
      </c>
      <c r="CE55">
        <v>12</v>
      </c>
      <c r="CF55">
        <v>14</v>
      </c>
      <c r="CG55">
        <v>18</v>
      </c>
      <c r="CH55">
        <v>27</v>
      </c>
      <c r="CI55">
        <v>2</v>
      </c>
      <c r="CJ55">
        <v>6</v>
      </c>
      <c r="CK55">
        <v>0</v>
      </c>
      <c r="CL55">
        <v>12</v>
      </c>
      <c r="CM55">
        <v>12</v>
      </c>
      <c r="CN55">
        <v>14</v>
      </c>
      <c r="CO55">
        <v>18</v>
      </c>
      <c r="CP55">
        <v>0</v>
      </c>
      <c r="CQ55">
        <v>0</v>
      </c>
      <c r="CR55">
        <v>0</v>
      </c>
      <c r="CS55">
        <v>0</v>
      </c>
      <c r="CT55">
        <v>0</v>
      </c>
      <c r="CU55">
        <v>0</v>
      </c>
      <c r="CV55">
        <v>0</v>
      </c>
      <c r="CW55">
        <v>0</v>
      </c>
      <c r="CX55">
        <v>78.099999999999994</v>
      </c>
      <c r="CY55">
        <v>58</v>
      </c>
      <c r="CZ55">
        <v>93.6</v>
      </c>
      <c r="DA55">
        <v>81.400000000000006</v>
      </c>
      <c r="DB55">
        <v>77.099999999999994</v>
      </c>
      <c r="DC55">
        <v>58</v>
      </c>
      <c r="DD55">
        <v>87.1</v>
      </c>
      <c r="DE55">
        <v>78.099999999999994</v>
      </c>
      <c r="DF55">
        <v>78.099999999999994</v>
      </c>
      <c r="DG55">
        <v>58</v>
      </c>
      <c r="DH55">
        <v>93.6</v>
      </c>
      <c r="DI55">
        <v>81.400000000000006</v>
      </c>
      <c r="DJ55">
        <v>77.099999999999994</v>
      </c>
      <c r="DK55">
        <v>58</v>
      </c>
      <c r="DL55">
        <v>87.1</v>
      </c>
      <c r="DM55">
        <v>78.099999999999994</v>
      </c>
      <c r="DN55">
        <v>0</v>
      </c>
      <c r="DO55">
        <v>0</v>
      </c>
      <c r="DP55">
        <v>0</v>
      </c>
      <c r="DQ55">
        <v>0</v>
      </c>
      <c r="DR55">
        <v>0</v>
      </c>
      <c r="DS55">
        <v>0</v>
      </c>
      <c r="DT55">
        <v>0</v>
      </c>
      <c r="DU55">
        <v>0</v>
      </c>
      <c r="DV55" t="s">
        <v>232</v>
      </c>
    </row>
    <row r="56" spans="1:126" x14ac:dyDescent="0.35">
      <c r="A56" t="s">
        <v>241</v>
      </c>
      <c r="B56">
        <v>230110</v>
      </c>
      <c r="C56" s="1">
        <v>44936</v>
      </c>
      <c r="D56" t="s">
        <v>242</v>
      </c>
      <c r="E56" t="s">
        <v>231</v>
      </c>
      <c r="F56" t="s">
        <v>185</v>
      </c>
      <c r="G56" t="s">
        <v>186</v>
      </c>
      <c r="H56">
        <v>4177</v>
      </c>
      <c r="I56" s="17">
        <v>565</v>
      </c>
      <c r="J56" s="17">
        <v>1104</v>
      </c>
      <c r="K56">
        <v>0</v>
      </c>
      <c r="L56">
        <v>3345</v>
      </c>
      <c r="M56">
        <v>2818</v>
      </c>
      <c r="N56">
        <v>3910</v>
      </c>
      <c r="O56">
        <v>3922</v>
      </c>
      <c r="P56">
        <v>267</v>
      </c>
      <c r="Q56">
        <v>255</v>
      </c>
      <c r="R56">
        <v>4177</v>
      </c>
      <c r="S56">
        <v>565</v>
      </c>
      <c r="T56">
        <v>1104</v>
      </c>
      <c r="U56">
        <v>0</v>
      </c>
      <c r="V56">
        <v>3345</v>
      </c>
      <c r="W56">
        <v>2818</v>
      </c>
      <c r="X56">
        <v>3910</v>
      </c>
      <c r="Y56">
        <v>3922</v>
      </c>
      <c r="Z56">
        <v>267</v>
      </c>
      <c r="AA56">
        <v>255</v>
      </c>
      <c r="AB56">
        <v>0</v>
      </c>
      <c r="AC56">
        <v>0</v>
      </c>
      <c r="AD56">
        <v>0</v>
      </c>
      <c r="AE56">
        <v>0</v>
      </c>
      <c r="AF56">
        <v>0</v>
      </c>
      <c r="AG56">
        <v>0</v>
      </c>
      <c r="AH56">
        <v>0</v>
      </c>
      <c r="AI56">
        <v>0</v>
      </c>
      <c r="AJ56">
        <v>0</v>
      </c>
      <c r="AK56">
        <v>0</v>
      </c>
      <c r="AL56">
        <v>0</v>
      </c>
      <c r="AM56">
        <v>0</v>
      </c>
      <c r="AN56">
        <v>0</v>
      </c>
      <c r="AO56">
        <v>0</v>
      </c>
      <c r="AP56">
        <v>0</v>
      </c>
      <c r="AQ56">
        <v>0</v>
      </c>
      <c r="AR56">
        <v>0</v>
      </c>
      <c r="AS56">
        <v>0</v>
      </c>
      <c r="AT56">
        <v>0</v>
      </c>
      <c r="AU56">
        <v>0</v>
      </c>
      <c r="AV56">
        <v>100</v>
      </c>
      <c r="AW56">
        <v>13.5</v>
      </c>
      <c r="AX56">
        <v>26.4</v>
      </c>
      <c r="AY56">
        <v>0</v>
      </c>
      <c r="AZ56">
        <v>80.099999999999994</v>
      </c>
      <c r="BA56">
        <v>67.5</v>
      </c>
      <c r="BB56">
        <v>93.6</v>
      </c>
      <c r="BC56">
        <v>93.9</v>
      </c>
      <c r="BD56">
        <v>6.4</v>
      </c>
      <c r="BE56">
        <v>6.1</v>
      </c>
      <c r="BF56">
        <v>100</v>
      </c>
      <c r="BG56">
        <v>13.5</v>
      </c>
      <c r="BH56">
        <v>26.4</v>
      </c>
      <c r="BI56">
        <v>0</v>
      </c>
      <c r="BJ56">
        <v>80.099999999999994</v>
      </c>
      <c r="BK56">
        <v>67.5</v>
      </c>
      <c r="BL56">
        <v>93.6</v>
      </c>
      <c r="BM56">
        <v>93.9</v>
      </c>
      <c r="BN56">
        <v>6.4</v>
      </c>
      <c r="BO56">
        <v>6.1</v>
      </c>
      <c r="BP56">
        <v>0</v>
      </c>
      <c r="BQ56">
        <v>0</v>
      </c>
      <c r="BR56">
        <v>0</v>
      </c>
      <c r="BS56">
        <v>0</v>
      </c>
      <c r="BT56">
        <v>0</v>
      </c>
      <c r="BU56">
        <v>0</v>
      </c>
      <c r="BV56">
        <v>0</v>
      </c>
      <c r="BW56">
        <v>0</v>
      </c>
      <c r="BX56">
        <v>0</v>
      </c>
      <c r="BY56">
        <v>0</v>
      </c>
      <c r="BZ56">
        <v>26</v>
      </c>
      <c r="CA56">
        <v>3</v>
      </c>
      <c r="CB56">
        <v>8</v>
      </c>
      <c r="CC56">
        <v>0</v>
      </c>
      <c r="CD56">
        <v>8</v>
      </c>
      <c r="CE56">
        <v>9</v>
      </c>
      <c r="CF56">
        <v>11</v>
      </c>
      <c r="CG56">
        <v>17</v>
      </c>
      <c r="CH56">
        <v>26</v>
      </c>
      <c r="CI56">
        <v>3</v>
      </c>
      <c r="CJ56">
        <v>8</v>
      </c>
      <c r="CK56">
        <v>0</v>
      </c>
      <c r="CL56">
        <v>8</v>
      </c>
      <c r="CM56">
        <v>9</v>
      </c>
      <c r="CN56">
        <v>11</v>
      </c>
      <c r="CO56">
        <v>17</v>
      </c>
      <c r="CP56">
        <v>0</v>
      </c>
      <c r="CQ56">
        <v>0</v>
      </c>
      <c r="CR56">
        <v>0</v>
      </c>
      <c r="CS56">
        <v>0</v>
      </c>
      <c r="CT56">
        <v>0</v>
      </c>
      <c r="CU56">
        <v>0</v>
      </c>
      <c r="CV56">
        <v>0</v>
      </c>
      <c r="CW56">
        <v>0</v>
      </c>
      <c r="CX56">
        <v>67</v>
      </c>
      <c r="CY56">
        <v>55.9</v>
      </c>
      <c r="CZ56">
        <v>87.3</v>
      </c>
      <c r="DA56">
        <v>77.599999999999994</v>
      </c>
      <c r="DB56">
        <v>65.8</v>
      </c>
      <c r="DC56">
        <v>55.9</v>
      </c>
      <c r="DD56">
        <v>85.6</v>
      </c>
      <c r="DE56">
        <v>76.8</v>
      </c>
      <c r="DF56">
        <v>67</v>
      </c>
      <c r="DG56">
        <v>55.9</v>
      </c>
      <c r="DH56">
        <v>87.3</v>
      </c>
      <c r="DI56">
        <v>77.599999999999994</v>
      </c>
      <c r="DJ56">
        <v>65.8</v>
      </c>
      <c r="DK56">
        <v>55.9</v>
      </c>
      <c r="DL56">
        <v>85.6</v>
      </c>
      <c r="DM56">
        <v>76.8</v>
      </c>
      <c r="DN56">
        <v>0</v>
      </c>
      <c r="DO56">
        <v>0</v>
      </c>
      <c r="DP56">
        <v>0</v>
      </c>
      <c r="DQ56">
        <v>0</v>
      </c>
      <c r="DR56">
        <v>0</v>
      </c>
      <c r="DS56">
        <v>0</v>
      </c>
      <c r="DT56">
        <v>0</v>
      </c>
      <c r="DU56">
        <v>0</v>
      </c>
      <c r="DV56" t="s">
        <v>232</v>
      </c>
    </row>
    <row r="57" spans="1:126" x14ac:dyDescent="0.35">
      <c r="A57" t="s">
        <v>241</v>
      </c>
      <c r="B57">
        <v>230103</v>
      </c>
      <c r="C57" s="1">
        <v>44929</v>
      </c>
      <c r="D57" t="s">
        <v>242</v>
      </c>
      <c r="E57" t="s">
        <v>231</v>
      </c>
      <c r="F57" t="s">
        <v>185</v>
      </c>
      <c r="G57" t="s">
        <v>186</v>
      </c>
      <c r="H57">
        <v>4177</v>
      </c>
      <c r="I57" s="17">
        <v>565</v>
      </c>
      <c r="J57" s="17">
        <v>1104</v>
      </c>
      <c r="K57">
        <v>0</v>
      </c>
      <c r="L57">
        <v>3345</v>
      </c>
      <c r="M57">
        <v>2818</v>
      </c>
      <c r="N57">
        <v>3910</v>
      </c>
      <c r="O57">
        <v>3922</v>
      </c>
      <c r="P57">
        <v>267</v>
      </c>
      <c r="Q57">
        <v>255</v>
      </c>
      <c r="R57">
        <v>4177</v>
      </c>
      <c r="S57">
        <v>565</v>
      </c>
      <c r="T57">
        <v>1104</v>
      </c>
      <c r="U57">
        <v>0</v>
      </c>
      <c r="V57">
        <v>3345</v>
      </c>
      <c r="W57">
        <v>2818</v>
      </c>
      <c r="X57">
        <v>3910</v>
      </c>
      <c r="Y57">
        <v>3922</v>
      </c>
      <c r="Z57">
        <v>267</v>
      </c>
      <c r="AA57">
        <v>255</v>
      </c>
      <c r="AB57">
        <v>0</v>
      </c>
      <c r="AC57">
        <v>0</v>
      </c>
      <c r="AD57">
        <v>0</v>
      </c>
      <c r="AE57">
        <v>0</v>
      </c>
      <c r="AF57">
        <v>0</v>
      </c>
      <c r="AG57">
        <v>0</v>
      </c>
      <c r="AH57">
        <v>0</v>
      </c>
      <c r="AI57">
        <v>0</v>
      </c>
      <c r="AJ57">
        <v>0</v>
      </c>
      <c r="AK57">
        <v>0</v>
      </c>
      <c r="AL57">
        <v>5</v>
      </c>
      <c r="AM57">
        <v>0</v>
      </c>
      <c r="AN57">
        <v>0</v>
      </c>
      <c r="AO57">
        <v>0</v>
      </c>
      <c r="AP57">
        <v>5</v>
      </c>
      <c r="AQ57">
        <v>0</v>
      </c>
      <c r="AR57">
        <v>5</v>
      </c>
      <c r="AS57">
        <v>0</v>
      </c>
      <c r="AT57">
        <v>0</v>
      </c>
      <c r="AU57">
        <v>5</v>
      </c>
      <c r="AV57">
        <v>100</v>
      </c>
      <c r="AW57">
        <v>13.5</v>
      </c>
      <c r="AX57">
        <v>26.4</v>
      </c>
      <c r="AY57">
        <v>0</v>
      </c>
      <c r="AZ57">
        <v>80.099999999999994</v>
      </c>
      <c r="BA57">
        <v>67.5</v>
      </c>
      <c r="BB57">
        <v>93.6</v>
      </c>
      <c r="BC57">
        <v>93.9</v>
      </c>
      <c r="BD57">
        <v>6.4</v>
      </c>
      <c r="BE57">
        <v>6.1</v>
      </c>
      <c r="BF57">
        <v>100</v>
      </c>
      <c r="BG57">
        <v>13.5</v>
      </c>
      <c r="BH57">
        <v>26.4</v>
      </c>
      <c r="BI57">
        <v>0</v>
      </c>
      <c r="BJ57">
        <v>80.099999999999994</v>
      </c>
      <c r="BK57">
        <v>67.5</v>
      </c>
      <c r="BL57">
        <v>93.6</v>
      </c>
      <c r="BM57">
        <v>93.9</v>
      </c>
      <c r="BN57">
        <v>6.4</v>
      </c>
      <c r="BO57">
        <v>6.1</v>
      </c>
      <c r="BP57">
        <v>0</v>
      </c>
      <c r="BQ57">
        <v>0</v>
      </c>
      <c r="BR57">
        <v>0</v>
      </c>
      <c r="BS57">
        <v>0</v>
      </c>
      <c r="BT57">
        <v>0</v>
      </c>
      <c r="BU57">
        <v>0</v>
      </c>
      <c r="BV57">
        <v>0</v>
      </c>
      <c r="BW57">
        <v>0</v>
      </c>
      <c r="BX57">
        <v>0</v>
      </c>
      <c r="BY57">
        <v>0</v>
      </c>
      <c r="BZ57">
        <v>26</v>
      </c>
      <c r="CA57">
        <v>3</v>
      </c>
      <c r="CB57">
        <v>8</v>
      </c>
      <c r="CC57">
        <v>0</v>
      </c>
      <c r="CD57">
        <v>8</v>
      </c>
      <c r="CE57">
        <v>9</v>
      </c>
      <c r="CF57">
        <v>11</v>
      </c>
      <c r="CG57">
        <v>17</v>
      </c>
      <c r="CH57">
        <v>26</v>
      </c>
      <c r="CI57">
        <v>3</v>
      </c>
      <c r="CJ57">
        <v>8</v>
      </c>
      <c r="CK57">
        <v>0</v>
      </c>
      <c r="CL57">
        <v>8</v>
      </c>
      <c r="CM57">
        <v>9</v>
      </c>
      <c r="CN57">
        <v>11</v>
      </c>
      <c r="CO57">
        <v>17</v>
      </c>
      <c r="CP57">
        <v>0</v>
      </c>
      <c r="CQ57">
        <v>0</v>
      </c>
      <c r="CR57">
        <v>0</v>
      </c>
      <c r="CS57">
        <v>0</v>
      </c>
      <c r="CT57">
        <v>0</v>
      </c>
      <c r="CU57">
        <v>0</v>
      </c>
      <c r="CV57">
        <v>0</v>
      </c>
      <c r="CW57">
        <v>0</v>
      </c>
      <c r="CX57">
        <v>67</v>
      </c>
      <c r="CY57">
        <v>55.3</v>
      </c>
      <c r="CZ57">
        <v>87.3</v>
      </c>
      <c r="DA57">
        <v>77.599999999999994</v>
      </c>
      <c r="DB57">
        <v>65.8</v>
      </c>
      <c r="DC57">
        <v>55.3</v>
      </c>
      <c r="DD57">
        <v>85.6</v>
      </c>
      <c r="DE57">
        <v>76.2</v>
      </c>
      <c r="DF57">
        <v>67</v>
      </c>
      <c r="DG57">
        <v>55.3</v>
      </c>
      <c r="DH57">
        <v>87.3</v>
      </c>
      <c r="DI57">
        <v>77.599999999999994</v>
      </c>
      <c r="DJ57">
        <v>65.8</v>
      </c>
      <c r="DK57">
        <v>55.3</v>
      </c>
      <c r="DL57">
        <v>85.6</v>
      </c>
      <c r="DM57">
        <v>76.2</v>
      </c>
      <c r="DN57">
        <v>0</v>
      </c>
      <c r="DO57">
        <v>0</v>
      </c>
      <c r="DP57">
        <v>0</v>
      </c>
      <c r="DQ57">
        <v>0</v>
      </c>
      <c r="DR57">
        <v>0</v>
      </c>
      <c r="DS57">
        <v>0</v>
      </c>
      <c r="DT57">
        <v>0</v>
      </c>
      <c r="DU57">
        <v>0</v>
      </c>
      <c r="DV57" t="s">
        <v>232</v>
      </c>
    </row>
    <row r="58" spans="1:126" x14ac:dyDescent="0.35">
      <c r="A58" t="s">
        <v>243</v>
      </c>
      <c r="B58">
        <v>230110</v>
      </c>
      <c r="C58" s="1">
        <v>44936</v>
      </c>
      <c r="D58" t="s">
        <v>244</v>
      </c>
      <c r="E58" t="s">
        <v>231</v>
      </c>
      <c r="F58" t="s">
        <v>185</v>
      </c>
      <c r="G58" t="s">
        <v>186</v>
      </c>
      <c r="H58">
        <v>3693</v>
      </c>
      <c r="I58" s="17">
        <v>543</v>
      </c>
      <c r="J58" s="17">
        <v>1020</v>
      </c>
      <c r="K58">
        <v>75</v>
      </c>
      <c r="L58">
        <v>2998</v>
      </c>
      <c r="M58">
        <v>2528</v>
      </c>
      <c r="N58">
        <v>3616</v>
      </c>
      <c r="O58">
        <v>3623</v>
      </c>
      <c r="P58">
        <v>77</v>
      </c>
      <c r="Q58">
        <v>70</v>
      </c>
      <c r="R58">
        <v>3693</v>
      </c>
      <c r="S58">
        <v>543</v>
      </c>
      <c r="T58">
        <v>1020</v>
      </c>
      <c r="U58">
        <v>75</v>
      </c>
      <c r="V58">
        <v>2998</v>
      </c>
      <c r="W58">
        <v>2528</v>
      </c>
      <c r="X58">
        <v>3616</v>
      </c>
      <c r="Y58">
        <v>3623</v>
      </c>
      <c r="Z58">
        <v>77</v>
      </c>
      <c r="AA58">
        <v>70</v>
      </c>
      <c r="AB58">
        <v>0</v>
      </c>
      <c r="AC58">
        <v>0</v>
      </c>
      <c r="AD58">
        <v>0</v>
      </c>
      <c r="AE58">
        <v>0</v>
      </c>
      <c r="AF58">
        <v>0</v>
      </c>
      <c r="AG58">
        <v>0</v>
      </c>
      <c r="AH58">
        <v>0</v>
      </c>
      <c r="AI58">
        <v>0</v>
      </c>
      <c r="AJ58">
        <v>0</v>
      </c>
      <c r="AK58">
        <v>0</v>
      </c>
      <c r="AL58">
        <v>5</v>
      </c>
      <c r="AM58">
        <v>0</v>
      </c>
      <c r="AN58">
        <v>0</v>
      </c>
      <c r="AO58">
        <v>0</v>
      </c>
      <c r="AP58">
        <v>5</v>
      </c>
      <c r="AQ58">
        <v>5</v>
      </c>
      <c r="AR58">
        <v>5</v>
      </c>
      <c r="AS58">
        <v>5</v>
      </c>
      <c r="AT58">
        <v>0</v>
      </c>
      <c r="AU58">
        <v>0</v>
      </c>
      <c r="AV58">
        <v>100</v>
      </c>
      <c r="AW58">
        <v>14.7</v>
      </c>
      <c r="AX58">
        <v>27.6</v>
      </c>
      <c r="AY58">
        <v>2</v>
      </c>
      <c r="AZ58">
        <v>81.2</v>
      </c>
      <c r="BA58">
        <v>68.5</v>
      </c>
      <c r="BB58">
        <v>97.9</v>
      </c>
      <c r="BC58">
        <v>98.1</v>
      </c>
      <c r="BD58">
        <v>2.1</v>
      </c>
      <c r="BE58">
        <v>1.9</v>
      </c>
      <c r="BF58">
        <v>100</v>
      </c>
      <c r="BG58">
        <v>14.7</v>
      </c>
      <c r="BH58">
        <v>27.6</v>
      </c>
      <c r="BI58">
        <v>2</v>
      </c>
      <c r="BJ58">
        <v>81.2</v>
      </c>
      <c r="BK58">
        <v>68.5</v>
      </c>
      <c r="BL58">
        <v>97.9</v>
      </c>
      <c r="BM58">
        <v>98.1</v>
      </c>
      <c r="BN58">
        <v>2.1</v>
      </c>
      <c r="BO58">
        <v>1.9</v>
      </c>
      <c r="BP58">
        <v>0</v>
      </c>
      <c r="BQ58">
        <v>0</v>
      </c>
      <c r="BR58">
        <v>0</v>
      </c>
      <c r="BS58">
        <v>0</v>
      </c>
      <c r="BT58">
        <v>0</v>
      </c>
      <c r="BU58">
        <v>0</v>
      </c>
      <c r="BV58">
        <v>0</v>
      </c>
      <c r="BW58">
        <v>0</v>
      </c>
      <c r="BX58">
        <v>0</v>
      </c>
      <c r="BY58">
        <v>0</v>
      </c>
      <c r="BZ58">
        <v>31</v>
      </c>
      <c r="CA58">
        <v>6</v>
      </c>
      <c r="CB58">
        <v>7</v>
      </c>
      <c r="CC58">
        <v>1</v>
      </c>
      <c r="CD58">
        <v>11</v>
      </c>
      <c r="CE58">
        <v>9</v>
      </c>
      <c r="CF58">
        <v>17</v>
      </c>
      <c r="CG58">
        <v>17</v>
      </c>
      <c r="CH58">
        <v>31</v>
      </c>
      <c r="CI58">
        <v>6</v>
      </c>
      <c r="CJ58">
        <v>7</v>
      </c>
      <c r="CK58">
        <v>1</v>
      </c>
      <c r="CL58">
        <v>11</v>
      </c>
      <c r="CM58">
        <v>9</v>
      </c>
      <c r="CN58">
        <v>17</v>
      </c>
      <c r="CO58">
        <v>17</v>
      </c>
      <c r="CP58">
        <v>0</v>
      </c>
      <c r="CQ58">
        <v>0</v>
      </c>
      <c r="CR58">
        <v>0</v>
      </c>
      <c r="CS58">
        <v>0</v>
      </c>
      <c r="CT58">
        <v>0</v>
      </c>
      <c r="CU58">
        <v>0</v>
      </c>
      <c r="CV58">
        <v>0</v>
      </c>
      <c r="CW58">
        <v>0</v>
      </c>
      <c r="CX58">
        <v>68.2</v>
      </c>
      <c r="CY58">
        <v>57.1</v>
      </c>
      <c r="CZ58">
        <v>83.6</v>
      </c>
      <c r="DA58">
        <v>80.7</v>
      </c>
      <c r="DB58">
        <v>66.599999999999994</v>
      </c>
      <c r="DC58">
        <v>57.1</v>
      </c>
      <c r="DD58">
        <v>81.7</v>
      </c>
      <c r="DE58">
        <v>80.7</v>
      </c>
      <c r="DF58">
        <v>68.2</v>
      </c>
      <c r="DG58">
        <v>57.1</v>
      </c>
      <c r="DH58">
        <v>83.6</v>
      </c>
      <c r="DI58">
        <v>80.7</v>
      </c>
      <c r="DJ58">
        <v>66.599999999999994</v>
      </c>
      <c r="DK58">
        <v>57.1</v>
      </c>
      <c r="DL58">
        <v>81.7</v>
      </c>
      <c r="DM58">
        <v>80.7</v>
      </c>
      <c r="DN58">
        <v>0</v>
      </c>
      <c r="DO58">
        <v>0</v>
      </c>
      <c r="DP58">
        <v>0</v>
      </c>
      <c r="DQ58">
        <v>0</v>
      </c>
      <c r="DR58">
        <v>0</v>
      </c>
      <c r="DS58">
        <v>0</v>
      </c>
      <c r="DT58">
        <v>0</v>
      </c>
      <c r="DU58">
        <v>0</v>
      </c>
      <c r="DV58" t="s">
        <v>232</v>
      </c>
    </row>
    <row r="59" spans="1:126" x14ac:dyDescent="0.35">
      <c r="A59" t="s">
        <v>243</v>
      </c>
      <c r="B59">
        <v>230103</v>
      </c>
      <c r="C59" s="1">
        <v>44929</v>
      </c>
      <c r="D59" t="s">
        <v>244</v>
      </c>
      <c r="E59" t="s">
        <v>231</v>
      </c>
      <c r="F59" t="s">
        <v>185</v>
      </c>
      <c r="G59" t="s">
        <v>186</v>
      </c>
      <c r="H59">
        <v>3688</v>
      </c>
      <c r="I59" s="17">
        <v>543</v>
      </c>
      <c r="J59" s="17">
        <v>1020</v>
      </c>
      <c r="K59">
        <v>75</v>
      </c>
      <c r="L59">
        <v>2993</v>
      </c>
      <c r="M59">
        <v>2523</v>
      </c>
      <c r="N59">
        <v>3611</v>
      </c>
      <c r="O59">
        <v>3618</v>
      </c>
      <c r="P59">
        <v>77</v>
      </c>
      <c r="Q59">
        <v>70</v>
      </c>
      <c r="R59">
        <v>3688</v>
      </c>
      <c r="S59">
        <v>543</v>
      </c>
      <c r="T59">
        <v>1020</v>
      </c>
      <c r="U59">
        <v>75</v>
      </c>
      <c r="V59">
        <v>2993</v>
      </c>
      <c r="W59">
        <v>2523</v>
      </c>
      <c r="X59">
        <v>3611</v>
      </c>
      <c r="Y59">
        <v>3618</v>
      </c>
      <c r="Z59">
        <v>77</v>
      </c>
      <c r="AA59">
        <v>70</v>
      </c>
      <c r="AB59">
        <v>0</v>
      </c>
      <c r="AC59">
        <v>0</v>
      </c>
      <c r="AD59">
        <v>0</v>
      </c>
      <c r="AE59">
        <v>0</v>
      </c>
      <c r="AF59">
        <v>0</v>
      </c>
      <c r="AG59">
        <v>0</v>
      </c>
      <c r="AH59">
        <v>0</v>
      </c>
      <c r="AI59">
        <v>0</v>
      </c>
      <c r="AJ59">
        <v>0</v>
      </c>
      <c r="AK59">
        <v>0</v>
      </c>
      <c r="AL59">
        <v>0</v>
      </c>
      <c r="AM59">
        <v>0</v>
      </c>
      <c r="AN59">
        <v>0</v>
      </c>
      <c r="AO59">
        <v>0</v>
      </c>
      <c r="AP59">
        <v>0</v>
      </c>
      <c r="AQ59">
        <v>0</v>
      </c>
      <c r="AR59">
        <v>0</v>
      </c>
      <c r="AS59">
        <v>0</v>
      </c>
      <c r="AT59">
        <v>0</v>
      </c>
      <c r="AU59">
        <v>0</v>
      </c>
      <c r="AV59">
        <v>100</v>
      </c>
      <c r="AW59">
        <v>14.7</v>
      </c>
      <c r="AX59">
        <v>27.7</v>
      </c>
      <c r="AY59">
        <v>2</v>
      </c>
      <c r="AZ59">
        <v>81.2</v>
      </c>
      <c r="BA59">
        <v>68.400000000000006</v>
      </c>
      <c r="BB59">
        <v>97.9</v>
      </c>
      <c r="BC59">
        <v>98.1</v>
      </c>
      <c r="BD59">
        <v>2.1</v>
      </c>
      <c r="BE59">
        <v>1.9</v>
      </c>
      <c r="BF59">
        <v>100</v>
      </c>
      <c r="BG59">
        <v>14.7</v>
      </c>
      <c r="BH59">
        <v>27.7</v>
      </c>
      <c r="BI59">
        <v>2</v>
      </c>
      <c r="BJ59">
        <v>81.2</v>
      </c>
      <c r="BK59">
        <v>68.400000000000006</v>
      </c>
      <c r="BL59">
        <v>97.9</v>
      </c>
      <c r="BM59">
        <v>98.1</v>
      </c>
      <c r="BN59">
        <v>2.1</v>
      </c>
      <c r="BO59">
        <v>1.9</v>
      </c>
      <c r="BP59">
        <v>0</v>
      </c>
      <c r="BQ59">
        <v>0</v>
      </c>
      <c r="BR59">
        <v>0</v>
      </c>
      <c r="BS59">
        <v>0</v>
      </c>
      <c r="BT59">
        <v>0</v>
      </c>
      <c r="BU59">
        <v>0</v>
      </c>
      <c r="BV59">
        <v>0</v>
      </c>
      <c r="BW59">
        <v>0</v>
      </c>
      <c r="BX59">
        <v>0</v>
      </c>
      <c r="BY59">
        <v>0</v>
      </c>
      <c r="BZ59">
        <v>30</v>
      </c>
      <c r="CA59">
        <v>6</v>
      </c>
      <c r="CB59">
        <v>7</v>
      </c>
      <c r="CC59">
        <v>1</v>
      </c>
      <c r="CD59">
        <v>11</v>
      </c>
      <c r="CE59">
        <v>8</v>
      </c>
      <c r="CF59">
        <v>17</v>
      </c>
      <c r="CG59">
        <v>16</v>
      </c>
      <c r="CH59">
        <v>30</v>
      </c>
      <c r="CI59">
        <v>6</v>
      </c>
      <c r="CJ59">
        <v>7</v>
      </c>
      <c r="CK59">
        <v>1</v>
      </c>
      <c r="CL59">
        <v>11</v>
      </c>
      <c r="CM59">
        <v>8</v>
      </c>
      <c r="CN59">
        <v>17</v>
      </c>
      <c r="CO59">
        <v>16</v>
      </c>
      <c r="CP59">
        <v>0</v>
      </c>
      <c r="CQ59">
        <v>0</v>
      </c>
      <c r="CR59">
        <v>0</v>
      </c>
      <c r="CS59">
        <v>0</v>
      </c>
      <c r="CT59">
        <v>0</v>
      </c>
      <c r="CU59">
        <v>0</v>
      </c>
      <c r="CV59">
        <v>0</v>
      </c>
      <c r="CW59">
        <v>0</v>
      </c>
      <c r="CX59">
        <v>68.099999999999994</v>
      </c>
      <c r="CY59">
        <v>57.2</v>
      </c>
      <c r="CZ59">
        <v>83.5</v>
      </c>
      <c r="DA59">
        <v>82</v>
      </c>
      <c r="DB59">
        <v>66.5</v>
      </c>
      <c r="DC59">
        <v>57.2</v>
      </c>
      <c r="DD59">
        <v>81.599999999999994</v>
      </c>
      <c r="DE59">
        <v>82</v>
      </c>
      <c r="DF59">
        <v>68.099999999999994</v>
      </c>
      <c r="DG59">
        <v>57.2</v>
      </c>
      <c r="DH59">
        <v>83.5</v>
      </c>
      <c r="DI59">
        <v>82</v>
      </c>
      <c r="DJ59">
        <v>66.5</v>
      </c>
      <c r="DK59">
        <v>57.2</v>
      </c>
      <c r="DL59">
        <v>81.599999999999994</v>
      </c>
      <c r="DM59">
        <v>82</v>
      </c>
      <c r="DN59">
        <v>0</v>
      </c>
      <c r="DO59">
        <v>0</v>
      </c>
      <c r="DP59">
        <v>0</v>
      </c>
      <c r="DQ59">
        <v>0</v>
      </c>
      <c r="DR59">
        <v>0</v>
      </c>
      <c r="DS59">
        <v>0</v>
      </c>
      <c r="DT59">
        <v>0</v>
      </c>
      <c r="DU59">
        <v>0</v>
      </c>
      <c r="DV59" t="s">
        <v>232</v>
      </c>
    </row>
    <row r="60" spans="1:126" x14ac:dyDescent="0.35">
      <c r="A60" t="s">
        <v>245</v>
      </c>
      <c r="B60">
        <v>230110</v>
      </c>
      <c r="C60" s="1">
        <v>44936</v>
      </c>
      <c r="D60" t="s">
        <v>246</v>
      </c>
      <c r="E60" t="s">
        <v>231</v>
      </c>
      <c r="F60" t="s">
        <v>185</v>
      </c>
      <c r="G60" t="s">
        <v>186</v>
      </c>
      <c r="H60">
        <v>1895</v>
      </c>
      <c r="I60" s="17">
        <v>803</v>
      </c>
      <c r="J60" s="17">
        <v>500</v>
      </c>
      <c r="K60">
        <v>0</v>
      </c>
      <c r="L60">
        <v>867</v>
      </c>
      <c r="M60">
        <v>1160</v>
      </c>
      <c r="N60">
        <v>1670</v>
      </c>
      <c r="O60">
        <v>1660</v>
      </c>
      <c r="P60">
        <v>225</v>
      </c>
      <c r="Q60">
        <v>235</v>
      </c>
      <c r="R60">
        <v>1895</v>
      </c>
      <c r="S60">
        <v>803</v>
      </c>
      <c r="T60">
        <v>500</v>
      </c>
      <c r="U60">
        <v>0</v>
      </c>
      <c r="V60">
        <v>867</v>
      </c>
      <c r="W60">
        <v>1160</v>
      </c>
      <c r="X60">
        <v>1670</v>
      </c>
      <c r="Y60">
        <v>1660</v>
      </c>
      <c r="Z60">
        <v>225</v>
      </c>
      <c r="AA60">
        <v>235</v>
      </c>
      <c r="AB60">
        <v>0</v>
      </c>
      <c r="AC60">
        <v>0</v>
      </c>
      <c r="AD60">
        <v>0</v>
      </c>
      <c r="AE60">
        <v>0</v>
      </c>
      <c r="AF60">
        <v>0</v>
      </c>
      <c r="AG60">
        <v>0</v>
      </c>
      <c r="AH60">
        <v>0</v>
      </c>
      <c r="AI60">
        <v>0</v>
      </c>
      <c r="AJ60">
        <v>0</v>
      </c>
      <c r="AK60">
        <v>0</v>
      </c>
      <c r="AL60">
        <v>0</v>
      </c>
      <c r="AM60">
        <v>-50</v>
      </c>
      <c r="AN60">
        <v>0</v>
      </c>
      <c r="AO60">
        <v>0</v>
      </c>
      <c r="AP60">
        <v>50</v>
      </c>
      <c r="AQ60">
        <v>0</v>
      </c>
      <c r="AR60">
        <v>0</v>
      </c>
      <c r="AS60">
        <v>0</v>
      </c>
      <c r="AT60">
        <v>0</v>
      </c>
      <c r="AU60">
        <v>0</v>
      </c>
      <c r="AV60">
        <v>100</v>
      </c>
      <c r="AW60">
        <v>42.4</v>
      </c>
      <c r="AX60">
        <v>26.4</v>
      </c>
      <c r="AY60">
        <v>0</v>
      </c>
      <c r="AZ60">
        <v>45.8</v>
      </c>
      <c r="BA60">
        <v>61.2</v>
      </c>
      <c r="BB60">
        <v>88.1</v>
      </c>
      <c r="BC60">
        <v>87.6</v>
      </c>
      <c r="BD60">
        <v>11.9</v>
      </c>
      <c r="BE60">
        <v>12.4</v>
      </c>
      <c r="BF60">
        <v>100</v>
      </c>
      <c r="BG60">
        <v>42.4</v>
      </c>
      <c r="BH60">
        <v>26.4</v>
      </c>
      <c r="BI60">
        <v>0</v>
      </c>
      <c r="BJ60">
        <v>45.8</v>
      </c>
      <c r="BK60">
        <v>61.2</v>
      </c>
      <c r="BL60">
        <v>88.1</v>
      </c>
      <c r="BM60">
        <v>87.6</v>
      </c>
      <c r="BN60">
        <v>11.9</v>
      </c>
      <c r="BO60">
        <v>12.4</v>
      </c>
      <c r="BP60">
        <v>0</v>
      </c>
      <c r="BQ60">
        <v>0</v>
      </c>
      <c r="BR60">
        <v>0</v>
      </c>
      <c r="BS60">
        <v>0</v>
      </c>
      <c r="BT60">
        <v>0</v>
      </c>
      <c r="BU60">
        <v>0</v>
      </c>
      <c r="BV60">
        <v>0</v>
      </c>
      <c r="BW60">
        <v>0</v>
      </c>
      <c r="BX60">
        <v>0</v>
      </c>
      <c r="BY60">
        <v>0</v>
      </c>
      <c r="BZ60">
        <v>22</v>
      </c>
      <c r="CA60">
        <v>3</v>
      </c>
      <c r="CB60">
        <v>5</v>
      </c>
      <c r="CC60">
        <v>0</v>
      </c>
      <c r="CD60">
        <v>6</v>
      </c>
      <c r="CE60">
        <v>8</v>
      </c>
      <c r="CF60">
        <v>9</v>
      </c>
      <c r="CG60">
        <v>13</v>
      </c>
      <c r="CH60">
        <v>22</v>
      </c>
      <c r="CI60">
        <v>3</v>
      </c>
      <c r="CJ60">
        <v>5</v>
      </c>
      <c r="CK60">
        <v>0</v>
      </c>
      <c r="CL60">
        <v>6</v>
      </c>
      <c r="CM60">
        <v>8</v>
      </c>
      <c r="CN60">
        <v>9</v>
      </c>
      <c r="CO60">
        <v>13</v>
      </c>
      <c r="CP60">
        <v>0</v>
      </c>
      <c r="CQ60">
        <v>0</v>
      </c>
      <c r="CR60">
        <v>0</v>
      </c>
      <c r="CS60">
        <v>0</v>
      </c>
      <c r="CT60">
        <v>0</v>
      </c>
      <c r="CU60">
        <v>0</v>
      </c>
      <c r="CV60">
        <v>0</v>
      </c>
      <c r="CW60">
        <v>0</v>
      </c>
      <c r="CX60">
        <v>72.3</v>
      </c>
      <c r="CY60">
        <v>48.4</v>
      </c>
      <c r="CZ60">
        <v>86.8</v>
      </c>
      <c r="DA60">
        <v>72.2</v>
      </c>
      <c r="DB60">
        <v>72.3</v>
      </c>
      <c r="DC60">
        <v>48.4</v>
      </c>
      <c r="DD60">
        <v>86.8</v>
      </c>
      <c r="DE60">
        <v>72.2</v>
      </c>
      <c r="DF60">
        <v>72.3</v>
      </c>
      <c r="DG60">
        <v>48.4</v>
      </c>
      <c r="DH60">
        <v>86.8</v>
      </c>
      <c r="DI60">
        <v>72.2</v>
      </c>
      <c r="DJ60">
        <v>72.3</v>
      </c>
      <c r="DK60">
        <v>48.4</v>
      </c>
      <c r="DL60">
        <v>86.8</v>
      </c>
      <c r="DM60">
        <v>72.2</v>
      </c>
      <c r="DN60">
        <v>0</v>
      </c>
      <c r="DO60">
        <v>0</v>
      </c>
      <c r="DP60">
        <v>0</v>
      </c>
      <c r="DQ60">
        <v>0</v>
      </c>
      <c r="DR60">
        <v>0</v>
      </c>
      <c r="DS60">
        <v>0</v>
      </c>
      <c r="DT60">
        <v>0</v>
      </c>
      <c r="DU60">
        <v>0</v>
      </c>
      <c r="DV60" t="s">
        <v>247</v>
      </c>
    </row>
    <row r="61" spans="1:126" x14ac:dyDescent="0.35">
      <c r="A61" t="s">
        <v>245</v>
      </c>
      <c r="B61">
        <v>230103</v>
      </c>
      <c r="C61" s="1">
        <v>44929</v>
      </c>
      <c r="D61" t="s">
        <v>246</v>
      </c>
      <c r="E61" t="s">
        <v>231</v>
      </c>
      <c r="F61" t="s">
        <v>185</v>
      </c>
      <c r="G61" t="s">
        <v>186</v>
      </c>
      <c r="H61">
        <v>1895</v>
      </c>
      <c r="I61" s="17">
        <v>853</v>
      </c>
      <c r="J61" s="17">
        <v>500</v>
      </c>
      <c r="K61">
        <v>0</v>
      </c>
      <c r="L61">
        <v>817</v>
      </c>
      <c r="M61">
        <v>1160</v>
      </c>
      <c r="N61">
        <v>1670</v>
      </c>
      <c r="O61">
        <v>1660</v>
      </c>
      <c r="P61">
        <v>225</v>
      </c>
      <c r="Q61">
        <v>235</v>
      </c>
      <c r="R61">
        <v>1895</v>
      </c>
      <c r="S61">
        <v>853</v>
      </c>
      <c r="T61">
        <v>500</v>
      </c>
      <c r="U61">
        <v>0</v>
      </c>
      <c r="V61">
        <v>817</v>
      </c>
      <c r="W61">
        <v>1160</v>
      </c>
      <c r="X61">
        <v>1670</v>
      </c>
      <c r="Y61">
        <v>1660</v>
      </c>
      <c r="Z61">
        <v>225</v>
      </c>
      <c r="AA61">
        <v>235</v>
      </c>
      <c r="AB61">
        <v>0</v>
      </c>
      <c r="AC61">
        <v>0</v>
      </c>
      <c r="AD61">
        <v>0</v>
      </c>
      <c r="AE61">
        <v>0</v>
      </c>
      <c r="AF61">
        <v>0</v>
      </c>
      <c r="AG61">
        <v>0</v>
      </c>
      <c r="AH61">
        <v>0</v>
      </c>
      <c r="AI61">
        <v>0</v>
      </c>
      <c r="AJ61">
        <v>0</v>
      </c>
      <c r="AK61">
        <v>0</v>
      </c>
      <c r="AL61">
        <v>20</v>
      </c>
      <c r="AM61">
        <v>0</v>
      </c>
      <c r="AN61">
        <v>0</v>
      </c>
      <c r="AO61">
        <v>0</v>
      </c>
      <c r="AP61">
        <v>20</v>
      </c>
      <c r="AQ61">
        <v>20</v>
      </c>
      <c r="AR61">
        <v>20</v>
      </c>
      <c r="AS61">
        <v>20</v>
      </c>
      <c r="AT61">
        <v>0</v>
      </c>
      <c r="AU61">
        <v>0</v>
      </c>
      <c r="AV61">
        <v>100</v>
      </c>
      <c r="AW61">
        <v>45</v>
      </c>
      <c r="AX61">
        <v>26.4</v>
      </c>
      <c r="AY61">
        <v>0</v>
      </c>
      <c r="AZ61">
        <v>43.1</v>
      </c>
      <c r="BA61">
        <v>61.2</v>
      </c>
      <c r="BB61">
        <v>88.1</v>
      </c>
      <c r="BC61">
        <v>87.6</v>
      </c>
      <c r="BD61">
        <v>11.9</v>
      </c>
      <c r="BE61">
        <v>12.4</v>
      </c>
      <c r="BF61">
        <v>100</v>
      </c>
      <c r="BG61">
        <v>45</v>
      </c>
      <c r="BH61">
        <v>26.4</v>
      </c>
      <c r="BI61">
        <v>0</v>
      </c>
      <c r="BJ61">
        <v>43.1</v>
      </c>
      <c r="BK61">
        <v>61.2</v>
      </c>
      <c r="BL61">
        <v>88.1</v>
      </c>
      <c r="BM61">
        <v>87.6</v>
      </c>
      <c r="BN61">
        <v>11.9</v>
      </c>
      <c r="BO61">
        <v>12.4</v>
      </c>
      <c r="BP61">
        <v>0</v>
      </c>
      <c r="BQ61">
        <v>0</v>
      </c>
      <c r="BR61">
        <v>0</v>
      </c>
      <c r="BS61">
        <v>0</v>
      </c>
      <c r="BT61">
        <v>0</v>
      </c>
      <c r="BU61">
        <v>0</v>
      </c>
      <c r="BV61">
        <v>0</v>
      </c>
      <c r="BW61">
        <v>0</v>
      </c>
      <c r="BX61">
        <v>0</v>
      </c>
      <c r="BY61">
        <v>0</v>
      </c>
      <c r="BZ61">
        <v>22</v>
      </c>
      <c r="CA61">
        <v>3</v>
      </c>
      <c r="CB61">
        <v>5</v>
      </c>
      <c r="CC61">
        <v>0</v>
      </c>
      <c r="CD61">
        <v>6</v>
      </c>
      <c r="CE61">
        <v>8</v>
      </c>
      <c r="CF61">
        <v>9</v>
      </c>
      <c r="CG61">
        <v>13</v>
      </c>
      <c r="CH61">
        <v>22</v>
      </c>
      <c r="CI61">
        <v>3</v>
      </c>
      <c r="CJ61">
        <v>5</v>
      </c>
      <c r="CK61">
        <v>0</v>
      </c>
      <c r="CL61">
        <v>6</v>
      </c>
      <c r="CM61">
        <v>8</v>
      </c>
      <c r="CN61">
        <v>9</v>
      </c>
      <c r="CO61">
        <v>13</v>
      </c>
      <c r="CP61">
        <v>0</v>
      </c>
      <c r="CQ61">
        <v>0</v>
      </c>
      <c r="CR61">
        <v>0</v>
      </c>
      <c r="CS61">
        <v>0</v>
      </c>
      <c r="CT61">
        <v>0</v>
      </c>
      <c r="CU61">
        <v>0</v>
      </c>
      <c r="CV61">
        <v>0</v>
      </c>
      <c r="CW61">
        <v>0</v>
      </c>
      <c r="CX61">
        <v>74.900000000000006</v>
      </c>
      <c r="CY61">
        <v>48.4</v>
      </c>
      <c r="CZ61">
        <v>86.8</v>
      </c>
      <c r="DA61">
        <v>72.2</v>
      </c>
      <c r="DB61">
        <v>74.900000000000006</v>
      </c>
      <c r="DC61">
        <v>48.4</v>
      </c>
      <c r="DD61">
        <v>86.8</v>
      </c>
      <c r="DE61">
        <v>72.2</v>
      </c>
      <c r="DF61">
        <v>74.900000000000006</v>
      </c>
      <c r="DG61">
        <v>48.4</v>
      </c>
      <c r="DH61">
        <v>86.8</v>
      </c>
      <c r="DI61">
        <v>72.2</v>
      </c>
      <c r="DJ61">
        <v>74.900000000000006</v>
      </c>
      <c r="DK61">
        <v>48.4</v>
      </c>
      <c r="DL61">
        <v>86.8</v>
      </c>
      <c r="DM61">
        <v>72.2</v>
      </c>
      <c r="DN61">
        <v>0</v>
      </c>
      <c r="DO61">
        <v>0</v>
      </c>
      <c r="DP61">
        <v>0</v>
      </c>
      <c r="DQ61">
        <v>0</v>
      </c>
      <c r="DR61">
        <v>0</v>
      </c>
      <c r="DS61">
        <v>0</v>
      </c>
      <c r="DT61">
        <v>0</v>
      </c>
      <c r="DU61">
        <v>0</v>
      </c>
      <c r="DV61" t="s">
        <v>247</v>
      </c>
    </row>
    <row r="62" spans="1:126" x14ac:dyDescent="0.35">
      <c r="A62" t="s">
        <v>248</v>
      </c>
      <c r="B62">
        <v>230110</v>
      </c>
      <c r="C62" s="1">
        <v>44936</v>
      </c>
      <c r="D62" t="s">
        <v>249</v>
      </c>
      <c r="E62" t="s">
        <v>231</v>
      </c>
      <c r="F62" t="s">
        <v>185</v>
      </c>
      <c r="G62" t="s">
        <v>186</v>
      </c>
      <c r="H62">
        <v>2312</v>
      </c>
      <c r="I62" s="17">
        <v>732</v>
      </c>
      <c r="J62" s="17">
        <v>487</v>
      </c>
      <c r="K62">
        <v>0</v>
      </c>
      <c r="L62">
        <v>1355</v>
      </c>
      <c r="M62">
        <v>1590</v>
      </c>
      <c r="N62">
        <v>2087</v>
      </c>
      <c r="O62">
        <v>2077</v>
      </c>
      <c r="P62">
        <v>225</v>
      </c>
      <c r="Q62">
        <v>235</v>
      </c>
      <c r="R62">
        <v>2312</v>
      </c>
      <c r="S62">
        <v>732</v>
      </c>
      <c r="T62">
        <v>487</v>
      </c>
      <c r="U62">
        <v>0</v>
      </c>
      <c r="V62">
        <v>1355</v>
      </c>
      <c r="W62">
        <v>1590</v>
      </c>
      <c r="X62">
        <v>2087</v>
      </c>
      <c r="Y62">
        <v>2077</v>
      </c>
      <c r="Z62">
        <v>225</v>
      </c>
      <c r="AA62">
        <v>235</v>
      </c>
      <c r="AB62">
        <v>0</v>
      </c>
      <c r="AC62">
        <v>0</v>
      </c>
      <c r="AD62">
        <v>0</v>
      </c>
      <c r="AE62">
        <v>0</v>
      </c>
      <c r="AF62">
        <v>0</v>
      </c>
      <c r="AG62">
        <v>0</v>
      </c>
      <c r="AH62">
        <v>0</v>
      </c>
      <c r="AI62">
        <v>0</v>
      </c>
      <c r="AJ62">
        <v>0</v>
      </c>
      <c r="AK62">
        <v>0</v>
      </c>
      <c r="AL62">
        <v>-343</v>
      </c>
      <c r="AM62">
        <v>-50</v>
      </c>
      <c r="AN62">
        <v>0</v>
      </c>
      <c r="AO62">
        <v>0</v>
      </c>
      <c r="AP62">
        <v>-293</v>
      </c>
      <c r="AQ62">
        <v>-343</v>
      </c>
      <c r="AR62">
        <v>-343</v>
      </c>
      <c r="AS62">
        <v>-343</v>
      </c>
      <c r="AT62">
        <v>0</v>
      </c>
      <c r="AU62">
        <v>0</v>
      </c>
      <c r="AV62">
        <v>100</v>
      </c>
      <c r="AW62">
        <v>31.7</v>
      </c>
      <c r="AX62">
        <v>21.1</v>
      </c>
      <c r="AY62">
        <v>0</v>
      </c>
      <c r="AZ62">
        <v>58.6</v>
      </c>
      <c r="BA62">
        <v>68.8</v>
      </c>
      <c r="BB62">
        <v>90.3</v>
      </c>
      <c r="BC62">
        <v>89.8</v>
      </c>
      <c r="BD62">
        <v>9.6999999999999993</v>
      </c>
      <c r="BE62">
        <v>10.199999999999999</v>
      </c>
      <c r="BF62">
        <v>100</v>
      </c>
      <c r="BG62">
        <v>31.7</v>
      </c>
      <c r="BH62">
        <v>21.1</v>
      </c>
      <c r="BI62">
        <v>0</v>
      </c>
      <c r="BJ62">
        <v>58.6</v>
      </c>
      <c r="BK62">
        <v>68.8</v>
      </c>
      <c r="BL62">
        <v>90.3</v>
      </c>
      <c r="BM62">
        <v>89.8</v>
      </c>
      <c r="BN62">
        <v>9.6999999999999993</v>
      </c>
      <c r="BO62">
        <v>10.199999999999999</v>
      </c>
      <c r="BP62">
        <v>0</v>
      </c>
      <c r="BQ62">
        <v>0</v>
      </c>
      <c r="BR62">
        <v>0</v>
      </c>
      <c r="BS62">
        <v>0</v>
      </c>
      <c r="BT62">
        <v>0</v>
      </c>
      <c r="BU62">
        <v>0</v>
      </c>
      <c r="BV62">
        <v>0</v>
      </c>
      <c r="BW62">
        <v>0</v>
      </c>
      <c r="BX62">
        <v>0</v>
      </c>
      <c r="BY62">
        <v>0</v>
      </c>
      <c r="BZ62">
        <v>24</v>
      </c>
      <c r="CA62">
        <v>3</v>
      </c>
      <c r="CB62">
        <v>5</v>
      </c>
      <c r="CC62">
        <v>0</v>
      </c>
      <c r="CD62">
        <v>10</v>
      </c>
      <c r="CE62">
        <v>7</v>
      </c>
      <c r="CF62">
        <v>13</v>
      </c>
      <c r="CG62">
        <v>12</v>
      </c>
      <c r="CH62">
        <v>24</v>
      </c>
      <c r="CI62">
        <v>3</v>
      </c>
      <c r="CJ62">
        <v>5</v>
      </c>
      <c r="CK62">
        <v>0</v>
      </c>
      <c r="CL62">
        <v>10</v>
      </c>
      <c r="CM62">
        <v>7</v>
      </c>
      <c r="CN62">
        <v>13</v>
      </c>
      <c r="CO62">
        <v>12</v>
      </c>
      <c r="CP62">
        <v>0</v>
      </c>
      <c r="CQ62">
        <v>0</v>
      </c>
      <c r="CR62">
        <v>0</v>
      </c>
      <c r="CS62">
        <v>0</v>
      </c>
      <c r="CT62">
        <v>0</v>
      </c>
      <c r="CU62">
        <v>0</v>
      </c>
      <c r="CV62">
        <v>0</v>
      </c>
      <c r="CW62">
        <v>0</v>
      </c>
      <c r="CX62">
        <v>58.4</v>
      </c>
      <c r="CY62">
        <v>58.6</v>
      </c>
      <c r="CZ62">
        <v>80.400000000000006</v>
      </c>
      <c r="DA62">
        <v>77.900000000000006</v>
      </c>
      <c r="DB62">
        <v>58.4</v>
      </c>
      <c r="DC62">
        <v>58.6</v>
      </c>
      <c r="DD62">
        <v>78.900000000000006</v>
      </c>
      <c r="DE62">
        <v>77.900000000000006</v>
      </c>
      <c r="DF62">
        <v>58.4</v>
      </c>
      <c r="DG62">
        <v>58.6</v>
      </c>
      <c r="DH62">
        <v>80.400000000000006</v>
      </c>
      <c r="DI62">
        <v>77.900000000000006</v>
      </c>
      <c r="DJ62">
        <v>58.4</v>
      </c>
      <c r="DK62">
        <v>58.6</v>
      </c>
      <c r="DL62">
        <v>78.900000000000006</v>
      </c>
      <c r="DM62">
        <v>77.900000000000006</v>
      </c>
      <c r="DN62">
        <v>0</v>
      </c>
      <c r="DO62">
        <v>0</v>
      </c>
      <c r="DP62">
        <v>0</v>
      </c>
      <c r="DQ62">
        <v>0</v>
      </c>
      <c r="DR62">
        <v>0</v>
      </c>
      <c r="DS62">
        <v>0</v>
      </c>
      <c r="DT62">
        <v>0</v>
      </c>
      <c r="DU62">
        <v>0</v>
      </c>
      <c r="DV62" t="s">
        <v>247</v>
      </c>
    </row>
    <row r="63" spans="1:126" x14ac:dyDescent="0.35">
      <c r="A63" t="s">
        <v>248</v>
      </c>
      <c r="B63">
        <v>230103</v>
      </c>
      <c r="C63" s="1">
        <v>44929</v>
      </c>
      <c r="D63" t="s">
        <v>249</v>
      </c>
      <c r="E63" t="s">
        <v>231</v>
      </c>
      <c r="F63" t="s">
        <v>185</v>
      </c>
      <c r="G63" t="s">
        <v>186</v>
      </c>
      <c r="H63">
        <v>2655</v>
      </c>
      <c r="I63" s="17">
        <v>782</v>
      </c>
      <c r="J63" s="17">
        <v>487</v>
      </c>
      <c r="K63">
        <v>0</v>
      </c>
      <c r="L63">
        <v>1648</v>
      </c>
      <c r="M63">
        <v>1933</v>
      </c>
      <c r="N63">
        <v>2430</v>
      </c>
      <c r="O63">
        <v>2420</v>
      </c>
      <c r="P63">
        <v>225</v>
      </c>
      <c r="Q63">
        <v>235</v>
      </c>
      <c r="R63">
        <v>2655</v>
      </c>
      <c r="S63">
        <v>782</v>
      </c>
      <c r="T63">
        <v>487</v>
      </c>
      <c r="U63">
        <v>0</v>
      </c>
      <c r="V63">
        <v>1648</v>
      </c>
      <c r="W63">
        <v>1933</v>
      </c>
      <c r="X63">
        <v>2430</v>
      </c>
      <c r="Y63">
        <v>2420</v>
      </c>
      <c r="Z63">
        <v>225</v>
      </c>
      <c r="AA63">
        <v>235</v>
      </c>
      <c r="AB63">
        <v>0</v>
      </c>
      <c r="AC63">
        <v>0</v>
      </c>
      <c r="AD63">
        <v>0</v>
      </c>
      <c r="AE63">
        <v>0</v>
      </c>
      <c r="AF63">
        <v>0</v>
      </c>
      <c r="AG63">
        <v>0</v>
      </c>
      <c r="AH63">
        <v>0</v>
      </c>
      <c r="AI63">
        <v>0</v>
      </c>
      <c r="AJ63">
        <v>0</v>
      </c>
      <c r="AK63">
        <v>0</v>
      </c>
      <c r="AL63">
        <v>0</v>
      </c>
      <c r="AM63">
        <v>0</v>
      </c>
      <c r="AN63">
        <v>0</v>
      </c>
      <c r="AO63">
        <v>0</v>
      </c>
      <c r="AP63">
        <v>0</v>
      </c>
      <c r="AQ63">
        <v>0</v>
      </c>
      <c r="AR63">
        <v>0</v>
      </c>
      <c r="AS63">
        <v>0</v>
      </c>
      <c r="AT63">
        <v>0</v>
      </c>
      <c r="AU63">
        <v>0</v>
      </c>
      <c r="AV63">
        <v>100</v>
      </c>
      <c r="AW63">
        <v>29.5</v>
      </c>
      <c r="AX63">
        <v>18.3</v>
      </c>
      <c r="AY63">
        <v>0</v>
      </c>
      <c r="AZ63">
        <v>62.1</v>
      </c>
      <c r="BA63">
        <v>72.8</v>
      </c>
      <c r="BB63">
        <v>91.5</v>
      </c>
      <c r="BC63">
        <v>91.1</v>
      </c>
      <c r="BD63">
        <v>8.5</v>
      </c>
      <c r="BE63">
        <v>8.9</v>
      </c>
      <c r="BF63">
        <v>100</v>
      </c>
      <c r="BG63">
        <v>29.5</v>
      </c>
      <c r="BH63">
        <v>18.3</v>
      </c>
      <c r="BI63">
        <v>0</v>
      </c>
      <c r="BJ63">
        <v>62.1</v>
      </c>
      <c r="BK63">
        <v>72.8</v>
      </c>
      <c r="BL63">
        <v>91.5</v>
      </c>
      <c r="BM63">
        <v>91.1</v>
      </c>
      <c r="BN63">
        <v>8.5</v>
      </c>
      <c r="BO63">
        <v>8.9</v>
      </c>
      <c r="BP63">
        <v>0</v>
      </c>
      <c r="BQ63">
        <v>0</v>
      </c>
      <c r="BR63">
        <v>0</v>
      </c>
      <c r="BS63">
        <v>0</v>
      </c>
      <c r="BT63">
        <v>0</v>
      </c>
      <c r="BU63">
        <v>0</v>
      </c>
      <c r="BV63">
        <v>0</v>
      </c>
      <c r="BW63">
        <v>0</v>
      </c>
      <c r="BX63">
        <v>0</v>
      </c>
      <c r="BY63">
        <v>0</v>
      </c>
      <c r="BZ63">
        <v>24</v>
      </c>
      <c r="CA63">
        <v>3</v>
      </c>
      <c r="CB63">
        <v>5</v>
      </c>
      <c r="CC63">
        <v>0</v>
      </c>
      <c r="CD63">
        <v>9</v>
      </c>
      <c r="CE63">
        <v>8</v>
      </c>
      <c r="CF63">
        <v>12</v>
      </c>
      <c r="CG63">
        <v>13</v>
      </c>
      <c r="CH63">
        <v>24</v>
      </c>
      <c r="CI63">
        <v>3</v>
      </c>
      <c r="CJ63">
        <v>5</v>
      </c>
      <c r="CK63">
        <v>0</v>
      </c>
      <c r="CL63">
        <v>9</v>
      </c>
      <c r="CM63">
        <v>8</v>
      </c>
      <c r="CN63">
        <v>12</v>
      </c>
      <c r="CO63">
        <v>13</v>
      </c>
      <c r="CP63">
        <v>0</v>
      </c>
      <c r="CQ63">
        <v>0</v>
      </c>
      <c r="CR63">
        <v>0</v>
      </c>
      <c r="CS63">
        <v>0</v>
      </c>
      <c r="CT63">
        <v>0</v>
      </c>
      <c r="CU63">
        <v>0</v>
      </c>
      <c r="CV63">
        <v>0</v>
      </c>
      <c r="CW63">
        <v>0</v>
      </c>
      <c r="CX63">
        <v>66.7</v>
      </c>
      <c r="CY63">
        <v>61.2</v>
      </c>
      <c r="CZ63">
        <v>85.9</v>
      </c>
      <c r="DA63">
        <v>78</v>
      </c>
      <c r="DB63">
        <v>66.7</v>
      </c>
      <c r="DC63">
        <v>61.2</v>
      </c>
      <c r="DD63">
        <v>83.6</v>
      </c>
      <c r="DE63">
        <v>78</v>
      </c>
      <c r="DF63">
        <v>66.7</v>
      </c>
      <c r="DG63">
        <v>61.2</v>
      </c>
      <c r="DH63">
        <v>85.9</v>
      </c>
      <c r="DI63">
        <v>78</v>
      </c>
      <c r="DJ63">
        <v>66.7</v>
      </c>
      <c r="DK63">
        <v>61.2</v>
      </c>
      <c r="DL63">
        <v>83.6</v>
      </c>
      <c r="DM63">
        <v>78</v>
      </c>
      <c r="DN63">
        <v>0</v>
      </c>
      <c r="DO63">
        <v>0</v>
      </c>
      <c r="DP63">
        <v>0</v>
      </c>
      <c r="DQ63">
        <v>0</v>
      </c>
      <c r="DR63">
        <v>0</v>
      </c>
      <c r="DS63">
        <v>0</v>
      </c>
      <c r="DT63">
        <v>0</v>
      </c>
      <c r="DU63">
        <v>0</v>
      </c>
      <c r="DV63" t="s">
        <v>247</v>
      </c>
    </row>
    <row r="64" spans="1:126" x14ac:dyDescent="0.35">
      <c r="A64" t="s">
        <v>250</v>
      </c>
      <c r="B64">
        <v>230110</v>
      </c>
      <c r="C64" s="1">
        <v>44936</v>
      </c>
      <c r="D64" t="s">
        <v>251</v>
      </c>
      <c r="E64" t="s">
        <v>227</v>
      </c>
      <c r="F64" t="s">
        <v>185</v>
      </c>
      <c r="G64" t="s">
        <v>186</v>
      </c>
      <c r="H64">
        <v>11797</v>
      </c>
      <c r="I64" s="17">
        <v>1304</v>
      </c>
      <c r="J64" s="17">
        <v>305</v>
      </c>
      <c r="K64">
        <v>5154</v>
      </c>
      <c r="L64">
        <v>5198</v>
      </c>
      <c r="M64">
        <v>6270</v>
      </c>
      <c r="N64">
        <v>11656</v>
      </c>
      <c r="O64">
        <v>11729</v>
      </c>
      <c r="P64">
        <v>141</v>
      </c>
      <c r="Q64">
        <v>68</v>
      </c>
      <c r="R64">
        <v>11797</v>
      </c>
      <c r="S64">
        <v>1304</v>
      </c>
      <c r="T64">
        <v>305</v>
      </c>
      <c r="U64">
        <v>5154</v>
      </c>
      <c r="V64">
        <v>5198</v>
      </c>
      <c r="W64">
        <v>6270</v>
      </c>
      <c r="X64">
        <v>11656</v>
      </c>
      <c r="Y64">
        <v>11729</v>
      </c>
      <c r="Z64">
        <v>141</v>
      </c>
      <c r="AA64">
        <v>68</v>
      </c>
      <c r="AB64">
        <v>0</v>
      </c>
      <c r="AC64">
        <v>0</v>
      </c>
      <c r="AD64">
        <v>0</v>
      </c>
      <c r="AE64">
        <v>0</v>
      </c>
      <c r="AF64">
        <v>0</v>
      </c>
      <c r="AG64">
        <v>0</v>
      </c>
      <c r="AH64">
        <v>0</v>
      </c>
      <c r="AI64">
        <v>0</v>
      </c>
      <c r="AJ64">
        <v>0</v>
      </c>
      <c r="AK64">
        <v>0</v>
      </c>
      <c r="AL64">
        <v>28</v>
      </c>
      <c r="AM64">
        <v>26</v>
      </c>
      <c r="AN64">
        <v>15</v>
      </c>
      <c r="AO64">
        <v>-7</v>
      </c>
      <c r="AP64">
        <v>28</v>
      </c>
      <c r="AQ64">
        <v>-7</v>
      </c>
      <c r="AR64">
        <v>47</v>
      </c>
      <c r="AS64">
        <v>1</v>
      </c>
      <c r="AT64">
        <v>-19</v>
      </c>
      <c r="AU64">
        <v>27</v>
      </c>
      <c r="AV64">
        <v>100</v>
      </c>
      <c r="AW64">
        <v>11.1</v>
      </c>
      <c r="AX64">
        <v>2.6</v>
      </c>
      <c r="AY64">
        <v>43.7</v>
      </c>
      <c r="AZ64">
        <v>44.1</v>
      </c>
      <c r="BA64">
        <v>53.1</v>
      </c>
      <c r="BB64">
        <v>98.8</v>
      </c>
      <c r="BC64">
        <v>99.4</v>
      </c>
      <c r="BD64">
        <v>1.2</v>
      </c>
      <c r="BE64">
        <v>0.6</v>
      </c>
      <c r="BF64">
        <v>100</v>
      </c>
      <c r="BG64">
        <v>11.1</v>
      </c>
      <c r="BH64">
        <v>2.6</v>
      </c>
      <c r="BI64">
        <v>43.7</v>
      </c>
      <c r="BJ64">
        <v>44.1</v>
      </c>
      <c r="BK64">
        <v>53.1</v>
      </c>
      <c r="BL64">
        <v>98.8</v>
      </c>
      <c r="BM64">
        <v>99.4</v>
      </c>
      <c r="BN64">
        <v>1.2</v>
      </c>
      <c r="BO64">
        <v>0.6</v>
      </c>
      <c r="BP64">
        <v>0</v>
      </c>
      <c r="BQ64">
        <v>0</v>
      </c>
      <c r="BR64">
        <v>0</v>
      </c>
      <c r="BS64">
        <v>0</v>
      </c>
      <c r="BT64">
        <v>0</v>
      </c>
      <c r="BU64">
        <v>0</v>
      </c>
      <c r="BV64">
        <v>0</v>
      </c>
      <c r="BW64">
        <v>0</v>
      </c>
      <c r="BX64">
        <v>0</v>
      </c>
      <c r="BY64">
        <v>0</v>
      </c>
      <c r="BZ64">
        <v>32</v>
      </c>
      <c r="CA64">
        <v>13</v>
      </c>
      <c r="CB64">
        <v>4</v>
      </c>
      <c r="CC64">
        <v>4</v>
      </c>
      <c r="CD64">
        <v>8</v>
      </c>
      <c r="CE64">
        <v>12</v>
      </c>
      <c r="CF64">
        <v>22</v>
      </c>
      <c r="CG64">
        <v>20</v>
      </c>
      <c r="CH64">
        <v>32</v>
      </c>
      <c r="CI64">
        <v>13</v>
      </c>
      <c r="CJ64">
        <v>4</v>
      </c>
      <c r="CK64">
        <v>4</v>
      </c>
      <c r="CL64">
        <v>8</v>
      </c>
      <c r="CM64">
        <v>12</v>
      </c>
      <c r="CN64">
        <v>22</v>
      </c>
      <c r="CO64">
        <v>20</v>
      </c>
      <c r="CP64">
        <v>0</v>
      </c>
      <c r="CQ64">
        <v>0</v>
      </c>
      <c r="CR64">
        <v>0</v>
      </c>
      <c r="CS64">
        <v>0</v>
      </c>
      <c r="CT64">
        <v>0</v>
      </c>
      <c r="CU64">
        <v>0</v>
      </c>
      <c r="CV64">
        <v>0</v>
      </c>
      <c r="CW64">
        <v>0</v>
      </c>
      <c r="CX64">
        <v>78.2</v>
      </c>
      <c r="CY64">
        <v>78.2</v>
      </c>
      <c r="CZ64">
        <v>88.2</v>
      </c>
      <c r="DA64">
        <v>92</v>
      </c>
      <c r="DB64">
        <v>7.1</v>
      </c>
      <c r="DC64">
        <v>11.1</v>
      </c>
      <c r="DD64">
        <v>11.6</v>
      </c>
      <c r="DE64">
        <v>13.9</v>
      </c>
      <c r="DF64">
        <v>78.2</v>
      </c>
      <c r="DG64">
        <v>78.2</v>
      </c>
      <c r="DH64">
        <v>88.2</v>
      </c>
      <c r="DI64">
        <v>92</v>
      </c>
      <c r="DJ64">
        <v>7.1</v>
      </c>
      <c r="DK64">
        <v>11.1</v>
      </c>
      <c r="DL64">
        <v>11.6</v>
      </c>
      <c r="DM64">
        <v>13.9</v>
      </c>
      <c r="DN64">
        <v>0</v>
      </c>
      <c r="DO64">
        <v>0</v>
      </c>
      <c r="DP64">
        <v>0</v>
      </c>
      <c r="DQ64">
        <v>0</v>
      </c>
      <c r="DR64">
        <v>0</v>
      </c>
      <c r="DS64">
        <v>0</v>
      </c>
      <c r="DT64">
        <v>0</v>
      </c>
      <c r="DU64">
        <v>0</v>
      </c>
      <c r="DV64" t="s">
        <v>228</v>
      </c>
    </row>
    <row r="65" spans="1:126" x14ac:dyDescent="0.35">
      <c r="A65" t="s">
        <v>250</v>
      </c>
      <c r="B65">
        <v>230103</v>
      </c>
      <c r="C65" s="1">
        <v>44929</v>
      </c>
      <c r="D65" t="s">
        <v>251</v>
      </c>
      <c r="E65" t="s">
        <v>227</v>
      </c>
      <c r="F65" t="s">
        <v>185</v>
      </c>
      <c r="G65" t="s">
        <v>186</v>
      </c>
      <c r="H65">
        <v>11769</v>
      </c>
      <c r="I65" s="17">
        <v>1278</v>
      </c>
      <c r="J65" s="17">
        <v>290</v>
      </c>
      <c r="K65">
        <v>5161</v>
      </c>
      <c r="L65">
        <v>5170</v>
      </c>
      <c r="M65">
        <v>6277</v>
      </c>
      <c r="N65">
        <v>11609</v>
      </c>
      <c r="O65">
        <v>11728</v>
      </c>
      <c r="P65">
        <v>160</v>
      </c>
      <c r="Q65">
        <v>41</v>
      </c>
      <c r="R65">
        <v>11769</v>
      </c>
      <c r="S65">
        <v>1278</v>
      </c>
      <c r="T65">
        <v>290</v>
      </c>
      <c r="U65">
        <v>5161</v>
      </c>
      <c r="V65">
        <v>5170</v>
      </c>
      <c r="W65">
        <v>6277</v>
      </c>
      <c r="X65">
        <v>11609</v>
      </c>
      <c r="Y65">
        <v>11728</v>
      </c>
      <c r="Z65">
        <v>160</v>
      </c>
      <c r="AA65">
        <v>41</v>
      </c>
      <c r="AB65">
        <v>0</v>
      </c>
      <c r="AC65">
        <v>0</v>
      </c>
      <c r="AD65">
        <v>0</v>
      </c>
      <c r="AE65">
        <v>0</v>
      </c>
      <c r="AF65">
        <v>0</v>
      </c>
      <c r="AG65">
        <v>0</v>
      </c>
      <c r="AH65">
        <v>0</v>
      </c>
      <c r="AI65">
        <v>0</v>
      </c>
      <c r="AJ65">
        <v>0</v>
      </c>
      <c r="AK65">
        <v>0</v>
      </c>
      <c r="AL65">
        <v>-1170</v>
      </c>
      <c r="AM65">
        <v>-351</v>
      </c>
      <c r="AN65">
        <v>-212</v>
      </c>
      <c r="AO65">
        <v>36</v>
      </c>
      <c r="AP65">
        <v>-883</v>
      </c>
      <c r="AQ65">
        <v>-1003</v>
      </c>
      <c r="AR65">
        <v>-1198</v>
      </c>
      <c r="AS65">
        <v>-1179</v>
      </c>
      <c r="AT65">
        <v>28</v>
      </c>
      <c r="AU65">
        <v>9</v>
      </c>
      <c r="AV65">
        <v>100</v>
      </c>
      <c r="AW65">
        <v>10.9</v>
      </c>
      <c r="AX65">
        <v>2.5</v>
      </c>
      <c r="AY65">
        <v>43.9</v>
      </c>
      <c r="AZ65">
        <v>43.9</v>
      </c>
      <c r="BA65">
        <v>53.3</v>
      </c>
      <c r="BB65">
        <v>98.6</v>
      </c>
      <c r="BC65">
        <v>99.7</v>
      </c>
      <c r="BD65">
        <v>1.4</v>
      </c>
      <c r="BE65">
        <v>0.3</v>
      </c>
      <c r="BF65">
        <v>100</v>
      </c>
      <c r="BG65">
        <v>10.9</v>
      </c>
      <c r="BH65">
        <v>2.5</v>
      </c>
      <c r="BI65">
        <v>43.9</v>
      </c>
      <c r="BJ65">
        <v>43.9</v>
      </c>
      <c r="BK65">
        <v>53.3</v>
      </c>
      <c r="BL65">
        <v>98.6</v>
      </c>
      <c r="BM65">
        <v>99.7</v>
      </c>
      <c r="BN65">
        <v>1.4</v>
      </c>
      <c r="BO65">
        <v>0.3</v>
      </c>
      <c r="BP65">
        <v>0</v>
      </c>
      <c r="BQ65">
        <v>0</v>
      </c>
      <c r="BR65">
        <v>0</v>
      </c>
      <c r="BS65">
        <v>0</v>
      </c>
      <c r="BT65">
        <v>0</v>
      </c>
      <c r="BU65">
        <v>0</v>
      </c>
      <c r="BV65">
        <v>0</v>
      </c>
      <c r="BW65">
        <v>0</v>
      </c>
      <c r="BX65">
        <v>0</v>
      </c>
      <c r="BY65">
        <v>0</v>
      </c>
      <c r="BZ65">
        <v>29</v>
      </c>
      <c r="CA65">
        <v>13</v>
      </c>
      <c r="CB65">
        <v>4</v>
      </c>
      <c r="CC65">
        <v>4</v>
      </c>
      <c r="CD65">
        <v>7</v>
      </c>
      <c r="CE65">
        <v>10</v>
      </c>
      <c r="CF65">
        <v>21</v>
      </c>
      <c r="CG65">
        <v>18</v>
      </c>
      <c r="CH65">
        <v>29</v>
      </c>
      <c r="CI65">
        <v>13</v>
      </c>
      <c r="CJ65">
        <v>4</v>
      </c>
      <c r="CK65">
        <v>4</v>
      </c>
      <c r="CL65">
        <v>7</v>
      </c>
      <c r="CM65">
        <v>10</v>
      </c>
      <c r="CN65">
        <v>21</v>
      </c>
      <c r="CO65">
        <v>18</v>
      </c>
      <c r="CP65">
        <v>0</v>
      </c>
      <c r="CQ65">
        <v>0</v>
      </c>
      <c r="CR65">
        <v>0</v>
      </c>
      <c r="CS65">
        <v>0</v>
      </c>
      <c r="CT65">
        <v>0</v>
      </c>
      <c r="CU65">
        <v>0</v>
      </c>
      <c r="CV65">
        <v>0</v>
      </c>
      <c r="CW65">
        <v>0</v>
      </c>
      <c r="CX65">
        <v>78.400000000000006</v>
      </c>
      <c r="CY65">
        <v>78.400000000000006</v>
      </c>
      <c r="CZ65">
        <v>88.3</v>
      </c>
      <c r="DA65">
        <v>92.2</v>
      </c>
      <c r="DB65">
        <v>7</v>
      </c>
      <c r="DC65">
        <v>11.2</v>
      </c>
      <c r="DD65">
        <v>11.4</v>
      </c>
      <c r="DE65">
        <v>14.3</v>
      </c>
      <c r="DF65">
        <v>78.400000000000006</v>
      </c>
      <c r="DG65">
        <v>78.400000000000006</v>
      </c>
      <c r="DH65">
        <v>88.3</v>
      </c>
      <c r="DI65">
        <v>92.2</v>
      </c>
      <c r="DJ65">
        <v>7</v>
      </c>
      <c r="DK65">
        <v>11.2</v>
      </c>
      <c r="DL65">
        <v>11.4</v>
      </c>
      <c r="DM65">
        <v>14.3</v>
      </c>
      <c r="DN65">
        <v>0</v>
      </c>
      <c r="DO65">
        <v>0</v>
      </c>
      <c r="DP65">
        <v>0</v>
      </c>
      <c r="DQ65">
        <v>0</v>
      </c>
      <c r="DR65">
        <v>0</v>
      </c>
      <c r="DS65">
        <v>0</v>
      </c>
      <c r="DT65">
        <v>0</v>
      </c>
      <c r="DU65">
        <v>0</v>
      </c>
      <c r="DV65" t="s">
        <v>228</v>
      </c>
    </row>
    <row r="66" spans="1:126" x14ac:dyDescent="0.35">
      <c r="A66" t="s">
        <v>252</v>
      </c>
      <c r="B66">
        <v>230110</v>
      </c>
      <c r="C66" s="1">
        <v>44936</v>
      </c>
      <c r="D66" t="s">
        <v>253</v>
      </c>
      <c r="E66" t="s">
        <v>164</v>
      </c>
      <c r="F66" t="s">
        <v>165</v>
      </c>
      <c r="G66" t="s">
        <v>254</v>
      </c>
      <c r="H66">
        <v>373118</v>
      </c>
      <c r="I66" s="17">
        <v>91252</v>
      </c>
      <c r="J66" s="17">
        <v>29153</v>
      </c>
      <c r="K66">
        <v>65500</v>
      </c>
      <c r="L66">
        <v>183263</v>
      </c>
      <c r="M66">
        <v>254619</v>
      </c>
      <c r="N66">
        <v>340015</v>
      </c>
      <c r="O66">
        <v>349272</v>
      </c>
      <c r="P66">
        <v>33103</v>
      </c>
      <c r="Q66">
        <v>23846</v>
      </c>
      <c r="R66">
        <v>326946</v>
      </c>
      <c r="S66">
        <v>96940</v>
      </c>
      <c r="T66">
        <v>30277</v>
      </c>
      <c r="U66">
        <v>47034</v>
      </c>
      <c r="V66">
        <v>154745</v>
      </c>
      <c r="W66">
        <v>227909</v>
      </c>
      <c r="X66">
        <v>298719</v>
      </c>
      <c r="Y66">
        <v>305220</v>
      </c>
      <c r="Z66">
        <v>28227</v>
      </c>
      <c r="AA66">
        <v>21726</v>
      </c>
      <c r="AB66">
        <v>46172</v>
      </c>
      <c r="AC66">
        <v>4853</v>
      </c>
      <c r="AD66">
        <v>9417</v>
      </c>
      <c r="AE66">
        <v>7925</v>
      </c>
      <c r="AF66">
        <v>28518</v>
      </c>
      <c r="AG66">
        <v>26710</v>
      </c>
      <c r="AH66">
        <v>41296</v>
      </c>
      <c r="AI66">
        <v>44052</v>
      </c>
      <c r="AJ66">
        <v>4876</v>
      </c>
      <c r="AK66">
        <v>2120</v>
      </c>
      <c r="AL66">
        <v>-1785</v>
      </c>
      <c r="AM66">
        <v>-7766</v>
      </c>
      <c r="AN66">
        <v>825</v>
      </c>
      <c r="AO66">
        <v>843</v>
      </c>
      <c r="AP66">
        <v>4610</v>
      </c>
      <c r="AQ66">
        <v>-4731</v>
      </c>
      <c r="AR66">
        <v>-2313</v>
      </c>
      <c r="AS66">
        <v>-3063</v>
      </c>
      <c r="AT66">
        <v>528</v>
      </c>
      <c r="AU66">
        <v>1278</v>
      </c>
      <c r="AV66">
        <v>100</v>
      </c>
      <c r="AW66">
        <v>24.5</v>
      </c>
      <c r="AX66">
        <v>7.8</v>
      </c>
      <c r="AY66">
        <v>17.600000000000001</v>
      </c>
      <c r="AZ66">
        <v>49.1</v>
      </c>
      <c r="BA66">
        <v>68.2</v>
      </c>
      <c r="BB66">
        <v>91.1</v>
      </c>
      <c r="BC66">
        <v>93.6</v>
      </c>
      <c r="BD66">
        <v>8.9</v>
      </c>
      <c r="BE66">
        <v>6.4</v>
      </c>
      <c r="BF66">
        <v>100</v>
      </c>
      <c r="BG66">
        <v>29.7</v>
      </c>
      <c r="BH66">
        <v>9.3000000000000007</v>
      </c>
      <c r="BI66">
        <v>14.4</v>
      </c>
      <c r="BJ66">
        <v>47.3</v>
      </c>
      <c r="BK66">
        <v>69.7</v>
      </c>
      <c r="BL66">
        <v>91.4</v>
      </c>
      <c r="BM66">
        <v>93.4</v>
      </c>
      <c r="BN66">
        <v>8.6</v>
      </c>
      <c r="BO66">
        <v>6.6</v>
      </c>
      <c r="BP66">
        <v>100</v>
      </c>
      <c r="BQ66">
        <v>10.5</v>
      </c>
      <c r="BR66">
        <v>20.399999999999999</v>
      </c>
      <c r="BS66">
        <v>17.2</v>
      </c>
      <c r="BT66">
        <v>61.8</v>
      </c>
      <c r="BU66">
        <v>57.8</v>
      </c>
      <c r="BV66">
        <v>89.4</v>
      </c>
      <c r="BW66">
        <v>95.4</v>
      </c>
      <c r="BX66">
        <v>10.6</v>
      </c>
      <c r="BY66">
        <v>4.5999999999999996</v>
      </c>
      <c r="BZ66">
        <v>270</v>
      </c>
      <c r="CA66">
        <v>91</v>
      </c>
      <c r="CB66">
        <v>43</v>
      </c>
      <c r="CC66">
        <v>67</v>
      </c>
      <c r="CD66">
        <v>94</v>
      </c>
      <c r="CE66">
        <v>93</v>
      </c>
      <c r="CF66">
        <v>208</v>
      </c>
      <c r="CG66">
        <v>188</v>
      </c>
      <c r="CH66">
        <v>269</v>
      </c>
      <c r="CI66">
        <v>91</v>
      </c>
      <c r="CJ66">
        <v>44</v>
      </c>
      <c r="CK66">
        <v>62</v>
      </c>
      <c r="CL66">
        <v>90</v>
      </c>
      <c r="CM66">
        <v>88</v>
      </c>
      <c r="CN66">
        <v>203</v>
      </c>
      <c r="CO66">
        <v>178</v>
      </c>
      <c r="CP66">
        <v>113</v>
      </c>
      <c r="CQ66">
        <v>21</v>
      </c>
      <c r="CR66">
        <v>23</v>
      </c>
      <c r="CS66">
        <v>13</v>
      </c>
      <c r="CT66">
        <v>51</v>
      </c>
      <c r="CU66">
        <v>34</v>
      </c>
      <c r="CV66">
        <v>80</v>
      </c>
      <c r="CW66">
        <v>62</v>
      </c>
      <c r="CX66">
        <v>12.2</v>
      </c>
      <c r="CY66">
        <v>30.1</v>
      </c>
      <c r="CZ66">
        <v>19.899999999999999</v>
      </c>
      <c r="DA66">
        <v>40.1</v>
      </c>
      <c r="DB66">
        <v>11.3</v>
      </c>
      <c r="DC66">
        <v>28</v>
      </c>
      <c r="DD66">
        <v>18.3</v>
      </c>
      <c r="DE66">
        <v>36.700000000000003</v>
      </c>
      <c r="DF66">
        <v>12</v>
      </c>
      <c r="DG66">
        <v>31</v>
      </c>
      <c r="DH66">
        <v>20.3</v>
      </c>
      <c r="DI66">
        <v>41.1</v>
      </c>
      <c r="DJ66">
        <v>11.1</v>
      </c>
      <c r="DK66">
        <v>29.3</v>
      </c>
      <c r="DL66">
        <v>18.7</v>
      </c>
      <c r="DM66">
        <v>38.200000000000003</v>
      </c>
      <c r="DN66">
        <v>32.4</v>
      </c>
      <c r="DO66">
        <v>40.1</v>
      </c>
      <c r="DP66">
        <v>47.3</v>
      </c>
      <c r="DQ66">
        <v>58</v>
      </c>
      <c r="DR66">
        <v>23.9</v>
      </c>
      <c r="DS66">
        <v>31.8</v>
      </c>
      <c r="DT66">
        <v>37</v>
      </c>
      <c r="DU66">
        <v>44.6</v>
      </c>
      <c r="DV66" t="s">
        <v>255</v>
      </c>
    </row>
    <row r="67" spans="1:126" x14ac:dyDescent="0.35">
      <c r="A67" t="s">
        <v>252</v>
      </c>
      <c r="B67">
        <v>230103</v>
      </c>
      <c r="C67" s="1">
        <v>44929</v>
      </c>
      <c r="D67" t="s">
        <v>253</v>
      </c>
      <c r="E67" t="s">
        <v>164</v>
      </c>
      <c r="F67" t="s">
        <v>165</v>
      </c>
      <c r="G67" t="s">
        <v>254</v>
      </c>
      <c r="H67">
        <v>374903</v>
      </c>
      <c r="I67" s="17">
        <v>99018</v>
      </c>
      <c r="J67" s="17">
        <v>28328</v>
      </c>
      <c r="K67">
        <v>64657</v>
      </c>
      <c r="L67">
        <v>178653</v>
      </c>
      <c r="M67">
        <v>259350</v>
      </c>
      <c r="N67">
        <v>342328</v>
      </c>
      <c r="O67">
        <v>352335</v>
      </c>
      <c r="P67">
        <v>32575</v>
      </c>
      <c r="Q67">
        <v>22568</v>
      </c>
      <c r="R67">
        <v>331704</v>
      </c>
      <c r="S67">
        <v>103684</v>
      </c>
      <c r="T67">
        <v>29130</v>
      </c>
      <c r="U67">
        <v>47635</v>
      </c>
      <c r="V67">
        <v>152568</v>
      </c>
      <c r="W67">
        <v>234620</v>
      </c>
      <c r="X67">
        <v>303887</v>
      </c>
      <c r="Y67">
        <v>311385</v>
      </c>
      <c r="Z67">
        <v>27817</v>
      </c>
      <c r="AA67">
        <v>20319</v>
      </c>
      <c r="AB67">
        <v>43199</v>
      </c>
      <c r="AC67">
        <v>5065</v>
      </c>
      <c r="AD67">
        <v>8929</v>
      </c>
      <c r="AE67">
        <v>7291</v>
      </c>
      <c r="AF67">
        <v>26085</v>
      </c>
      <c r="AG67">
        <v>24730</v>
      </c>
      <c r="AH67">
        <v>38441</v>
      </c>
      <c r="AI67">
        <v>40950</v>
      </c>
      <c r="AJ67">
        <v>4758</v>
      </c>
      <c r="AK67">
        <v>2249</v>
      </c>
      <c r="AL67">
        <v>2496</v>
      </c>
      <c r="AM67">
        <v>1545</v>
      </c>
      <c r="AN67">
        <v>169</v>
      </c>
      <c r="AO67">
        <v>37</v>
      </c>
      <c r="AP67">
        <v>2371</v>
      </c>
      <c r="AQ67">
        <v>754</v>
      </c>
      <c r="AR67">
        <v>3953</v>
      </c>
      <c r="AS67">
        <v>960</v>
      </c>
      <c r="AT67">
        <v>-1457</v>
      </c>
      <c r="AU67">
        <v>1536</v>
      </c>
      <c r="AV67">
        <v>100</v>
      </c>
      <c r="AW67">
        <v>26.4</v>
      </c>
      <c r="AX67">
        <v>7.6</v>
      </c>
      <c r="AY67">
        <v>17.2</v>
      </c>
      <c r="AZ67">
        <v>47.7</v>
      </c>
      <c r="BA67">
        <v>69.2</v>
      </c>
      <c r="BB67">
        <v>91.3</v>
      </c>
      <c r="BC67">
        <v>94</v>
      </c>
      <c r="BD67">
        <v>8.6999999999999993</v>
      </c>
      <c r="BE67">
        <v>6</v>
      </c>
      <c r="BF67">
        <v>100</v>
      </c>
      <c r="BG67">
        <v>31.3</v>
      </c>
      <c r="BH67">
        <v>8.8000000000000007</v>
      </c>
      <c r="BI67">
        <v>14.4</v>
      </c>
      <c r="BJ67">
        <v>46</v>
      </c>
      <c r="BK67">
        <v>70.7</v>
      </c>
      <c r="BL67">
        <v>91.6</v>
      </c>
      <c r="BM67">
        <v>93.9</v>
      </c>
      <c r="BN67">
        <v>8.4</v>
      </c>
      <c r="BO67">
        <v>6.1</v>
      </c>
      <c r="BP67">
        <v>100</v>
      </c>
      <c r="BQ67">
        <v>11.7</v>
      </c>
      <c r="BR67">
        <v>20.7</v>
      </c>
      <c r="BS67">
        <v>16.899999999999999</v>
      </c>
      <c r="BT67">
        <v>60.4</v>
      </c>
      <c r="BU67">
        <v>57.2</v>
      </c>
      <c r="BV67">
        <v>89</v>
      </c>
      <c r="BW67">
        <v>94.8</v>
      </c>
      <c r="BX67">
        <v>11</v>
      </c>
      <c r="BY67">
        <v>5.2</v>
      </c>
      <c r="BZ67">
        <v>261</v>
      </c>
      <c r="CA67">
        <v>80</v>
      </c>
      <c r="CB67">
        <v>50</v>
      </c>
      <c r="CC67">
        <v>66</v>
      </c>
      <c r="CD67">
        <v>89</v>
      </c>
      <c r="CE67">
        <v>91</v>
      </c>
      <c r="CF67">
        <v>201</v>
      </c>
      <c r="CG67">
        <v>184</v>
      </c>
      <c r="CH67">
        <v>260</v>
      </c>
      <c r="CI67">
        <v>82</v>
      </c>
      <c r="CJ67">
        <v>49</v>
      </c>
      <c r="CK67">
        <v>63</v>
      </c>
      <c r="CL67">
        <v>88</v>
      </c>
      <c r="CM67">
        <v>85</v>
      </c>
      <c r="CN67">
        <v>199</v>
      </c>
      <c r="CO67">
        <v>175</v>
      </c>
      <c r="CP67">
        <v>105</v>
      </c>
      <c r="CQ67">
        <v>21</v>
      </c>
      <c r="CR67">
        <v>20</v>
      </c>
      <c r="CS67">
        <v>15</v>
      </c>
      <c r="CT67">
        <v>47</v>
      </c>
      <c r="CU67">
        <v>33</v>
      </c>
      <c r="CV67">
        <v>77</v>
      </c>
      <c r="CW67">
        <v>59</v>
      </c>
      <c r="CX67">
        <v>11.7</v>
      </c>
      <c r="CY67">
        <v>30.9</v>
      </c>
      <c r="CZ67">
        <v>19.8</v>
      </c>
      <c r="DA67">
        <v>41.8</v>
      </c>
      <c r="DB67">
        <v>10.8</v>
      </c>
      <c r="DC67">
        <v>28.6</v>
      </c>
      <c r="DD67">
        <v>17.600000000000001</v>
      </c>
      <c r="DE67">
        <v>37.6</v>
      </c>
      <c r="DF67">
        <v>11.9</v>
      </c>
      <c r="DG67">
        <v>31.6</v>
      </c>
      <c r="DH67">
        <v>20.399999999999999</v>
      </c>
      <c r="DI67">
        <v>41.7</v>
      </c>
      <c r="DJ67">
        <v>10.7</v>
      </c>
      <c r="DK67">
        <v>29.8</v>
      </c>
      <c r="DL67">
        <v>18.2</v>
      </c>
      <c r="DM67">
        <v>38.5</v>
      </c>
      <c r="DN67">
        <v>32.299999999999997</v>
      </c>
      <c r="DO67">
        <v>42.1</v>
      </c>
      <c r="DP67">
        <v>48.2</v>
      </c>
      <c r="DQ67">
        <v>61.3</v>
      </c>
      <c r="DR67">
        <v>24.1</v>
      </c>
      <c r="DS67">
        <v>33.799999999999997</v>
      </c>
      <c r="DT67">
        <v>38.200000000000003</v>
      </c>
      <c r="DU67">
        <v>47.4</v>
      </c>
      <c r="DV67" t="s">
        <v>255</v>
      </c>
    </row>
    <row r="68" spans="1:126" x14ac:dyDescent="0.35">
      <c r="A68" t="s">
        <v>256</v>
      </c>
      <c r="B68">
        <v>230110</v>
      </c>
      <c r="C68" s="1">
        <v>44936</v>
      </c>
      <c r="D68" t="s">
        <v>257</v>
      </c>
      <c r="E68" t="s">
        <v>164</v>
      </c>
      <c r="F68" t="s">
        <v>165</v>
      </c>
      <c r="G68" t="s">
        <v>258</v>
      </c>
      <c r="H68">
        <v>1184966</v>
      </c>
      <c r="I68" s="17">
        <v>66962</v>
      </c>
      <c r="J68" s="17">
        <v>224347</v>
      </c>
      <c r="K68">
        <v>8870</v>
      </c>
      <c r="L68">
        <v>935742</v>
      </c>
      <c r="M68">
        <v>806008</v>
      </c>
      <c r="N68">
        <v>1011574</v>
      </c>
      <c r="O68">
        <v>1039225</v>
      </c>
      <c r="P68">
        <v>173392</v>
      </c>
      <c r="Q68">
        <v>145741</v>
      </c>
      <c r="R68">
        <v>1184966</v>
      </c>
      <c r="S68">
        <v>66962</v>
      </c>
      <c r="T68">
        <v>224347</v>
      </c>
      <c r="U68">
        <v>8870</v>
      </c>
      <c r="V68">
        <v>935742</v>
      </c>
      <c r="W68">
        <v>806008</v>
      </c>
      <c r="X68">
        <v>1011574</v>
      </c>
      <c r="Y68">
        <v>1039225</v>
      </c>
      <c r="Z68">
        <v>173392</v>
      </c>
      <c r="AA68">
        <v>145741</v>
      </c>
      <c r="AB68">
        <v>0</v>
      </c>
      <c r="AC68">
        <v>0</v>
      </c>
      <c r="AD68">
        <v>0</v>
      </c>
      <c r="AE68">
        <v>0</v>
      </c>
      <c r="AF68">
        <v>0</v>
      </c>
      <c r="AG68">
        <v>0</v>
      </c>
      <c r="AH68">
        <v>0</v>
      </c>
      <c r="AI68">
        <v>0</v>
      </c>
      <c r="AJ68">
        <v>0</v>
      </c>
      <c r="AK68">
        <v>0</v>
      </c>
      <c r="AL68">
        <v>-13459</v>
      </c>
      <c r="AM68">
        <v>12648</v>
      </c>
      <c r="AN68">
        <v>775</v>
      </c>
      <c r="AO68">
        <v>-2598</v>
      </c>
      <c r="AP68">
        <v>-26762</v>
      </c>
      <c r="AQ68">
        <v>-13820</v>
      </c>
      <c r="AR68">
        <v>-16712</v>
      </c>
      <c r="AS68">
        <v>-15643</v>
      </c>
      <c r="AT68">
        <v>3253</v>
      </c>
      <c r="AU68">
        <v>2184</v>
      </c>
      <c r="AV68">
        <v>100</v>
      </c>
      <c r="AW68">
        <v>5.7</v>
      </c>
      <c r="AX68">
        <v>18.899999999999999</v>
      </c>
      <c r="AY68">
        <v>0.7</v>
      </c>
      <c r="AZ68">
        <v>79</v>
      </c>
      <c r="BA68">
        <v>68</v>
      </c>
      <c r="BB68">
        <v>85.4</v>
      </c>
      <c r="BC68">
        <v>87.7</v>
      </c>
      <c r="BD68">
        <v>14.6</v>
      </c>
      <c r="BE68">
        <v>12.3</v>
      </c>
      <c r="BF68">
        <v>100</v>
      </c>
      <c r="BG68">
        <v>5.7</v>
      </c>
      <c r="BH68">
        <v>18.899999999999999</v>
      </c>
      <c r="BI68">
        <v>0.7</v>
      </c>
      <c r="BJ68">
        <v>79</v>
      </c>
      <c r="BK68">
        <v>68</v>
      </c>
      <c r="BL68">
        <v>85.4</v>
      </c>
      <c r="BM68">
        <v>87.7</v>
      </c>
      <c r="BN68">
        <v>14.6</v>
      </c>
      <c r="BO68">
        <v>12.3</v>
      </c>
      <c r="BP68">
        <v>0</v>
      </c>
      <c r="BQ68">
        <v>0</v>
      </c>
      <c r="BR68">
        <v>0</v>
      </c>
      <c r="BS68">
        <v>0</v>
      </c>
      <c r="BT68">
        <v>0</v>
      </c>
      <c r="BU68">
        <v>0</v>
      </c>
      <c r="BV68">
        <v>0</v>
      </c>
      <c r="BW68">
        <v>0</v>
      </c>
      <c r="BX68">
        <v>0</v>
      </c>
      <c r="BY68">
        <v>0</v>
      </c>
      <c r="BZ68">
        <v>190</v>
      </c>
      <c r="CA68">
        <v>21</v>
      </c>
      <c r="CB68">
        <v>29</v>
      </c>
      <c r="CC68">
        <v>17</v>
      </c>
      <c r="CD68">
        <v>109</v>
      </c>
      <c r="CE68">
        <v>101</v>
      </c>
      <c r="CF68">
        <v>140</v>
      </c>
      <c r="CG68">
        <v>137</v>
      </c>
      <c r="CH68">
        <v>190</v>
      </c>
      <c r="CI68">
        <v>21</v>
      </c>
      <c r="CJ68">
        <v>29</v>
      </c>
      <c r="CK68">
        <v>17</v>
      </c>
      <c r="CL68">
        <v>109</v>
      </c>
      <c r="CM68">
        <v>101</v>
      </c>
      <c r="CN68">
        <v>140</v>
      </c>
      <c r="CO68">
        <v>137</v>
      </c>
      <c r="CP68">
        <v>0</v>
      </c>
      <c r="CQ68">
        <v>0</v>
      </c>
      <c r="CR68">
        <v>0</v>
      </c>
      <c r="CS68">
        <v>0</v>
      </c>
      <c r="CT68">
        <v>0</v>
      </c>
      <c r="CU68">
        <v>0</v>
      </c>
      <c r="CV68">
        <v>0</v>
      </c>
      <c r="CW68">
        <v>0</v>
      </c>
      <c r="CX68">
        <v>22.7</v>
      </c>
      <c r="CY68">
        <v>30.1</v>
      </c>
      <c r="CZ68">
        <v>36.5</v>
      </c>
      <c r="DA68">
        <v>43.1</v>
      </c>
      <c r="DB68">
        <v>20.399999999999999</v>
      </c>
      <c r="DC68">
        <v>28.3</v>
      </c>
      <c r="DD68">
        <v>32.4</v>
      </c>
      <c r="DE68">
        <v>38.799999999999997</v>
      </c>
      <c r="DF68">
        <v>22.7</v>
      </c>
      <c r="DG68">
        <v>30.1</v>
      </c>
      <c r="DH68">
        <v>36.5</v>
      </c>
      <c r="DI68">
        <v>43.1</v>
      </c>
      <c r="DJ68">
        <v>20.399999999999999</v>
      </c>
      <c r="DK68">
        <v>28.3</v>
      </c>
      <c r="DL68">
        <v>32.4</v>
      </c>
      <c r="DM68">
        <v>38.799999999999997</v>
      </c>
      <c r="DN68">
        <v>0</v>
      </c>
      <c r="DO68">
        <v>0</v>
      </c>
      <c r="DP68">
        <v>0</v>
      </c>
      <c r="DQ68">
        <v>0</v>
      </c>
      <c r="DR68">
        <v>0</v>
      </c>
      <c r="DS68">
        <v>0</v>
      </c>
      <c r="DT68">
        <v>0</v>
      </c>
      <c r="DU68">
        <v>0</v>
      </c>
      <c r="DV68" t="s">
        <v>259</v>
      </c>
    </row>
    <row r="69" spans="1:126" x14ac:dyDescent="0.35">
      <c r="A69" t="s">
        <v>256</v>
      </c>
      <c r="B69">
        <v>230103</v>
      </c>
      <c r="C69" s="1">
        <v>44929</v>
      </c>
      <c r="D69" t="s">
        <v>257</v>
      </c>
      <c r="E69" t="s">
        <v>164</v>
      </c>
      <c r="F69" t="s">
        <v>165</v>
      </c>
      <c r="G69" t="s">
        <v>258</v>
      </c>
      <c r="H69">
        <v>1198425</v>
      </c>
      <c r="I69" s="17">
        <v>54314</v>
      </c>
      <c r="J69" s="17">
        <v>223572</v>
      </c>
      <c r="K69">
        <v>11468</v>
      </c>
      <c r="L69">
        <v>962504</v>
      </c>
      <c r="M69">
        <v>819828</v>
      </c>
      <c r="N69">
        <v>1028286</v>
      </c>
      <c r="O69">
        <v>1054868</v>
      </c>
      <c r="P69">
        <v>170139</v>
      </c>
      <c r="Q69">
        <v>143557</v>
      </c>
      <c r="R69">
        <v>1198425</v>
      </c>
      <c r="S69">
        <v>54314</v>
      </c>
      <c r="T69">
        <v>223572</v>
      </c>
      <c r="U69">
        <v>11468</v>
      </c>
      <c r="V69">
        <v>962504</v>
      </c>
      <c r="W69">
        <v>819828</v>
      </c>
      <c r="X69">
        <v>1028286</v>
      </c>
      <c r="Y69">
        <v>1054868</v>
      </c>
      <c r="Z69">
        <v>170139</v>
      </c>
      <c r="AA69">
        <v>143557</v>
      </c>
      <c r="AB69">
        <v>0</v>
      </c>
      <c r="AC69">
        <v>0</v>
      </c>
      <c r="AD69">
        <v>0</v>
      </c>
      <c r="AE69">
        <v>0</v>
      </c>
      <c r="AF69">
        <v>0</v>
      </c>
      <c r="AG69">
        <v>0</v>
      </c>
      <c r="AH69">
        <v>0</v>
      </c>
      <c r="AI69">
        <v>0</v>
      </c>
      <c r="AJ69">
        <v>0</v>
      </c>
      <c r="AK69">
        <v>0</v>
      </c>
      <c r="AL69">
        <v>-312</v>
      </c>
      <c r="AM69">
        <v>-9956</v>
      </c>
      <c r="AN69">
        <v>8238</v>
      </c>
      <c r="AO69">
        <v>116</v>
      </c>
      <c r="AP69">
        <v>11259</v>
      </c>
      <c r="AQ69">
        <v>-16623</v>
      </c>
      <c r="AR69">
        <v>1419</v>
      </c>
      <c r="AS69">
        <v>-8269</v>
      </c>
      <c r="AT69">
        <v>-1731</v>
      </c>
      <c r="AU69">
        <v>7957</v>
      </c>
      <c r="AV69">
        <v>100</v>
      </c>
      <c r="AW69">
        <v>4.5</v>
      </c>
      <c r="AX69">
        <v>18.7</v>
      </c>
      <c r="AY69">
        <v>1</v>
      </c>
      <c r="AZ69">
        <v>80.3</v>
      </c>
      <c r="BA69">
        <v>68.400000000000006</v>
      </c>
      <c r="BB69">
        <v>85.8</v>
      </c>
      <c r="BC69">
        <v>88</v>
      </c>
      <c r="BD69">
        <v>14.2</v>
      </c>
      <c r="BE69">
        <v>12</v>
      </c>
      <c r="BF69">
        <v>100</v>
      </c>
      <c r="BG69">
        <v>4.5</v>
      </c>
      <c r="BH69">
        <v>18.7</v>
      </c>
      <c r="BI69">
        <v>1</v>
      </c>
      <c r="BJ69">
        <v>80.3</v>
      </c>
      <c r="BK69">
        <v>68.400000000000006</v>
      </c>
      <c r="BL69">
        <v>85.8</v>
      </c>
      <c r="BM69">
        <v>88</v>
      </c>
      <c r="BN69">
        <v>14.2</v>
      </c>
      <c r="BO69">
        <v>12</v>
      </c>
      <c r="BP69">
        <v>0</v>
      </c>
      <c r="BQ69">
        <v>0</v>
      </c>
      <c r="BR69">
        <v>0</v>
      </c>
      <c r="BS69">
        <v>0</v>
      </c>
      <c r="BT69">
        <v>0</v>
      </c>
      <c r="BU69">
        <v>0</v>
      </c>
      <c r="BV69">
        <v>0</v>
      </c>
      <c r="BW69">
        <v>0</v>
      </c>
      <c r="BX69">
        <v>0</v>
      </c>
      <c r="BY69">
        <v>0</v>
      </c>
      <c r="BZ69">
        <v>186</v>
      </c>
      <c r="CA69">
        <v>18</v>
      </c>
      <c r="CB69">
        <v>32</v>
      </c>
      <c r="CC69">
        <v>15</v>
      </c>
      <c r="CD69">
        <v>103</v>
      </c>
      <c r="CE69">
        <v>99</v>
      </c>
      <c r="CF69">
        <v>130</v>
      </c>
      <c r="CG69">
        <v>137</v>
      </c>
      <c r="CH69">
        <v>186</v>
      </c>
      <c r="CI69">
        <v>18</v>
      </c>
      <c r="CJ69">
        <v>32</v>
      </c>
      <c r="CK69">
        <v>15</v>
      </c>
      <c r="CL69">
        <v>103</v>
      </c>
      <c r="CM69">
        <v>99</v>
      </c>
      <c r="CN69">
        <v>130</v>
      </c>
      <c r="CO69">
        <v>137</v>
      </c>
      <c r="CP69">
        <v>0</v>
      </c>
      <c r="CQ69">
        <v>0</v>
      </c>
      <c r="CR69">
        <v>0</v>
      </c>
      <c r="CS69">
        <v>0</v>
      </c>
      <c r="CT69">
        <v>0</v>
      </c>
      <c r="CU69">
        <v>0</v>
      </c>
      <c r="CV69">
        <v>0</v>
      </c>
      <c r="CW69">
        <v>0</v>
      </c>
      <c r="CX69">
        <v>22.8</v>
      </c>
      <c r="CY69">
        <v>29.3</v>
      </c>
      <c r="CZ69">
        <v>38</v>
      </c>
      <c r="DA69">
        <v>41.6</v>
      </c>
      <c r="DB69">
        <v>20.9</v>
      </c>
      <c r="DC69">
        <v>26.8</v>
      </c>
      <c r="DD69">
        <v>34.200000000000003</v>
      </c>
      <c r="DE69">
        <v>37.5</v>
      </c>
      <c r="DF69">
        <v>22.8</v>
      </c>
      <c r="DG69">
        <v>29.3</v>
      </c>
      <c r="DH69">
        <v>38</v>
      </c>
      <c r="DI69">
        <v>41.6</v>
      </c>
      <c r="DJ69">
        <v>20.9</v>
      </c>
      <c r="DK69">
        <v>26.8</v>
      </c>
      <c r="DL69">
        <v>34.200000000000003</v>
      </c>
      <c r="DM69">
        <v>37.5</v>
      </c>
      <c r="DN69">
        <v>0</v>
      </c>
      <c r="DO69">
        <v>0</v>
      </c>
      <c r="DP69">
        <v>0</v>
      </c>
      <c r="DQ69">
        <v>0</v>
      </c>
      <c r="DR69">
        <v>0</v>
      </c>
      <c r="DS69">
        <v>0</v>
      </c>
      <c r="DT69">
        <v>0</v>
      </c>
      <c r="DU69">
        <v>0</v>
      </c>
      <c r="DV69" t="s">
        <v>259</v>
      </c>
    </row>
    <row r="70" spans="1:126" x14ac:dyDescent="0.35">
      <c r="A70" t="s">
        <v>260</v>
      </c>
      <c r="B70">
        <v>230110</v>
      </c>
      <c r="C70" s="1">
        <v>44936</v>
      </c>
      <c r="D70" t="s">
        <v>261</v>
      </c>
      <c r="E70" t="s">
        <v>164</v>
      </c>
      <c r="F70" t="s">
        <v>165</v>
      </c>
      <c r="G70" t="s">
        <v>258</v>
      </c>
      <c r="H70">
        <v>1405366</v>
      </c>
      <c r="I70" s="17">
        <v>63917</v>
      </c>
      <c r="J70" s="17">
        <v>435323</v>
      </c>
      <c r="K70">
        <v>3757</v>
      </c>
      <c r="L70">
        <v>1176415</v>
      </c>
      <c r="M70">
        <v>838006</v>
      </c>
      <c r="N70">
        <v>1244089</v>
      </c>
      <c r="O70">
        <v>1277086</v>
      </c>
      <c r="P70">
        <v>161277</v>
      </c>
      <c r="Q70">
        <v>128280</v>
      </c>
      <c r="R70">
        <v>1405366</v>
      </c>
      <c r="S70">
        <v>63917</v>
      </c>
      <c r="T70">
        <v>435323</v>
      </c>
      <c r="U70">
        <v>3757</v>
      </c>
      <c r="V70">
        <v>1176415</v>
      </c>
      <c r="W70">
        <v>838006</v>
      </c>
      <c r="X70">
        <v>1244089</v>
      </c>
      <c r="Y70">
        <v>1277086</v>
      </c>
      <c r="Z70">
        <v>161277</v>
      </c>
      <c r="AA70">
        <v>128280</v>
      </c>
      <c r="AB70">
        <v>0</v>
      </c>
      <c r="AC70">
        <v>0</v>
      </c>
      <c r="AD70">
        <v>0</v>
      </c>
      <c r="AE70">
        <v>0</v>
      </c>
      <c r="AF70">
        <v>0</v>
      </c>
      <c r="AG70">
        <v>0</v>
      </c>
      <c r="AH70">
        <v>0</v>
      </c>
      <c r="AI70">
        <v>0</v>
      </c>
      <c r="AJ70">
        <v>0</v>
      </c>
      <c r="AK70">
        <v>0</v>
      </c>
      <c r="AL70">
        <v>-11255</v>
      </c>
      <c r="AM70">
        <v>-1345</v>
      </c>
      <c r="AN70">
        <v>5167</v>
      </c>
      <c r="AO70">
        <v>-284</v>
      </c>
      <c r="AP70">
        <v>-4382</v>
      </c>
      <c r="AQ70">
        <v>-23616</v>
      </c>
      <c r="AR70">
        <v>-6011</v>
      </c>
      <c r="AS70">
        <v>-18733</v>
      </c>
      <c r="AT70">
        <v>-5244</v>
      </c>
      <c r="AU70">
        <v>7478</v>
      </c>
      <c r="AV70">
        <v>100</v>
      </c>
      <c r="AW70">
        <v>4.5</v>
      </c>
      <c r="AX70">
        <v>31</v>
      </c>
      <c r="AY70">
        <v>0.3</v>
      </c>
      <c r="AZ70">
        <v>83.7</v>
      </c>
      <c r="BA70">
        <v>59.6</v>
      </c>
      <c r="BB70">
        <v>88.5</v>
      </c>
      <c r="BC70">
        <v>90.9</v>
      </c>
      <c r="BD70">
        <v>11.5</v>
      </c>
      <c r="BE70">
        <v>9.1</v>
      </c>
      <c r="BF70">
        <v>100</v>
      </c>
      <c r="BG70">
        <v>4.5</v>
      </c>
      <c r="BH70">
        <v>31</v>
      </c>
      <c r="BI70">
        <v>0.3</v>
      </c>
      <c r="BJ70">
        <v>83.7</v>
      </c>
      <c r="BK70">
        <v>59.6</v>
      </c>
      <c r="BL70">
        <v>88.5</v>
      </c>
      <c r="BM70">
        <v>90.9</v>
      </c>
      <c r="BN70">
        <v>11.5</v>
      </c>
      <c r="BO70">
        <v>9.1</v>
      </c>
      <c r="BP70">
        <v>0</v>
      </c>
      <c r="BQ70">
        <v>0</v>
      </c>
      <c r="BR70">
        <v>0</v>
      </c>
      <c r="BS70">
        <v>0</v>
      </c>
      <c r="BT70">
        <v>0</v>
      </c>
      <c r="BU70">
        <v>0</v>
      </c>
      <c r="BV70">
        <v>0</v>
      </c>
      <c r="BW70">
        <v>0</v>
      </c>
      <c r="BX70">
        <v>0</v>
      </c>
      <c r="BY70">
        <v>0</v>
      </c>
      <c r="BZ70">
        <v>153</v>
      </c>
      <c r="CA70">
        <v>14</v>
      </c>
      <c r="CB70">
        <v>14</v>
      </c>
      <c r="CC70">
        <v>9</v>
      </c>
      <c r="CD70">
        <v>101</v>
      </c>
      <c r="CE70">
        <v>85</v>
      </c>
      <c r="CF70">
        <v>120</v>
      </c>
      <c r="CG70">
        <v>103</v>
      </c>
      <c r="CH70">
        <v>153</v>
      </c>
      <c r="CI70">
        <v>14</v>
      </c>
      <c r="CJ70">
        <v>14</v>
      </c>
      <c r="CK70">
        <v>9</v>
      </c>
      <c r="CL70">
        <v>101</v>
      </c>
      <c r="CM70">
        <v>85</v>
      </c>
      <c r="CN70">
        <v>120</v>
      </c>
      <c r="CO70">
        <v>103</v>
      </c>
      <c r="CP70">
        <v>0</v>
      </c>
      <c r="CQ70">
        <v>0</v>
      </c>
      <c r="CR70">
        <v>0</v>
      </c>
      <c r="CS70">
        <v>0</v>
      </c>
      <c r="CT70">
        <v>0</v>
      </c>
      <c r="CU70">
        <v>0</v>
      </c>
      <c r="CV70">
        <v>0</v>
      </c>
      <c r="CW70">
        <v>0</v>
      </c>
      <c r="CX70">
        <v>23.3</v>
      </c>
      <c r="CY70">
        <v>34.5</v>
      </c>
      <c r="CZ70">
        <v>36.5</v>
      </c>
      <c r="DA70">
        <v>55.6</v>
      </c>
      <c r="DB70">
        <v>20.9</v>
      </c>
      <c r="DC70">
        <v>34.5</v>
      </c>
      <c r="DD70">
        <v>32.4</v>
      </c>
      <c r="DE70">
        <v>51.5</v>
      </c>
      <c r="DF70">
        <v>23.3</v>
      </c>
      <c r="DG70">
        <v>34.5</v>
      </c>
      <c r="DH70">
        <v>36.5</v>
      </c>
      <c r="DI70">
        <v>55.6</v>
      </c>
      <c r="DJ70">
        <v>20.9</v>
      </c>
      <c r="DK70">
        <v>34.5</v>
      </c>
      <c r="DL70">
        <v>32.4</v>
      </c>
      <c r="DM70">
        <v>51.5</v>
      </c>
      <c r="DN70">
        <v>0</v>
      </c>
      <c r="DO70">
        <v>0</v>
      </c>
      <c r="DP70">
        <v>0</v>
      </c>
      <c r="DQ70">
        <v>0</v>
      </c>
      <c r="DR70">
        <v>0</v>
      </c>
      <c r="DS70">
        <v>0</v>
      </c>
      <c r="DT70">
        <v>0</v>
      </c>
      <c r="DU70">
        <v>0</v>
      </c>
      <c r="DV70" t="s">
        <v>259</v>
      </c>
    </row>
    <row r="71" spans="1:126" x14ac:dyDescent="0.35">
      <c r="A71" t="s">
        <v>260</v>
      </c>
      <c r="B71">
        <v>230103</v>
      </c>
      <c r="C71" s="1">
        <v>44929</v>
      </c>
      <c r="D71" t="s">
        <v>261</v>
      </c>
      <c r="E71" t="s">
        <v>164</v>
      </c>
      <c r="F71" t="s">
        <v>165</v>
      </c>
      <c r="G71" t="s">
        <v>258</v>
      </c>
      <c r="H71">
        <v>1416621</v>
      </c>
      <c r="I71" s="17">
        <v>65262</v>
      </c>
      <c r="J71" s="17">
        <v>430156</v>
      </c>
      <c r="K71">
        <v>4041</v>
      </c>
      <c r="L71">
        <v>1180797</v>
      </c>
      <c r="M71">
        <v>861622</v>
      </c>
      <c r="N71">
        <v>1250100</v>
      </c>
      <c r="O71">
        <v>1295819</v>
      </c>
      <c r="P71">
        <v>166521</v>
      </c>
      <c r="Q71">
        <v>120802</v>
      </c>
      <c r="R71">
        <v>1416621</v>
      </c>
      <c r="S71">
        <v>65262</v>
      </c>
      <c r="T71">
        <v>430156</v>
      </c>
      <c r="U71">
        <v>4041</v>
      </c>
      <c r="V71">
        <v>1180797</v>
      </c>
      <c r="W71">
        <v>861622</v>
      </c>
      <c r="X71">
        <v>1250100</v>
      </c>
      <c r="Y71">
        <v>1295819</v>
      </c>
      <c r="Z71">
        <v>166521</v>
      </c>
      <c r="AA71">
        <v>120802</v>
      </c>
      <c r="AB71">
        <v>0</v>
      </c>
      <c r="AC71">
        <v>0</v>
      </c>
      <c r="AD71">
        <v>0</v>
      </c>
      <c r="AE71">
        <v>0</v>
      </c>
      <c r="AF71">
        <v>0</v>
      </c>
      <c r="AG71">
        <v>0</v>
      </c>
      <c r="AH71">
        <v>0</v>
      </c>
      <c r="AI71">
        <v>0</v>
      </c>
      <c r="AJ71">
        <v>0</v>
      </c>
      <c r="AK71">
        <v>0</v>
      </c>
      <c r="AL71">
        <v>4139</v>
      </c>
      <c r="AM71">
        <v>3117</v>
      </c>
      <c r="AN71">
        <v>-892</v>
      </c>
      <c r="AO71">
        <v>1105</v>
      </c>
      <c r="AP71">
        <v>-1213</v>
      </c>
      <c r="AQ71">
        <v>-2195</v>
      </c>
      <c r="AR71">
        <v>3009</v>
      </c>
      <c r="AS71">
        <v>-1982</v>
      </c>
      <c r="AT71">
        <v>1130</v>
      </c>
      <c r="AU71">
        <v>6121</v>
      </c>
      <c r="AV71">
        <v>100</v>
      </c>
      <c r="AW71">
        <v>4.5999999999999996</v>
      </c>
      <c r="AX71">
        <v>30.4</v>
      </c>
      <c r="AY71">
        <v>0.3</v>
      </c>
      <c r="AZ71">
        <v>83.4</v>
      </c>
      <c r="BA71">
        <v>60.8</v>
      </c>
      <c r="BB71">
        <v>88.2</v>
      </c>
      <c r="BC71">
        <v>91.5</v>
      </c>
      <c r="BD71">
        <v>11.8</v>
      </c>
      <c r="BE71">
        <v>8.5</v>
      </c>
      <c r="BF71">
        <v>100</v>
      </c>
      <c r="BG71">
        <v>4.5999999999999996</v>
      </c>
      <c r="BH71">
        <v>30.4</v>
      </c>
      <c r="BI71">
        <v>0.3</v>
      </c>
      <c r="BJ71">
        <v>83.4</v>
      </c>
      <c r="BK71">
        <v>60.8</v>
      </c>
      <c r="BL71">
        <v>88.2</v>
      </c>
      <c r="BM71">
        <v>91.5</v>
      </c>
      <c r="BN71">
        <v>11.8</v>
      </c>
      <c r="BO71">
        <v>8.5</v>
      </c>
      <c r="BP71">
        <v>0</v>
      </c>
      <c r="BQ71">
        <v>0</v>
      </c>
      <c r="BR71">
        <v>0</v>
      </c>
      <c r="BS71">
        <v>0</v>
      </c>
      <c r="BT71">
        <v>0</v>
      </c>
      <c r="BU71">
        <v>0</v>
      </c>
      <c r="BV71">
        <v>0</v>
      </c>
      <c r="BW71">
        <v>0</v>
      </c>
      <c r="BX71">
        <v>0</v>
      </c>
      <c r="BY71">
        <v>0</v>
      </c>
      <c r="BZ71">
        <v>155</v>
      </c>
      <c r="CA71">
        <v>14</v>
      </c>
      <c r="CB71">
        <v>15</v>
      </c>
      <c r="CC71">
        <v>10</v>
      </c>
      <c r="CD71">
        <v>101</v>
      </c>
      <c r="CE71">
        <v>85</v>
      </c>
      <c r="CF71">
        <v>120</v>
      </c>
      <c r="CG71">
        <v>105</v>
      </c>
      <c r="CH71">
        <v>155</v>
      </c>
      <c r="CI71">
        <v>14</v>
      </c>
      <c r="CJ71">
        <v>15</v>
      </c>
      <c r="CK71">
        <v>10</v>
      </c>
      <c r="CL71">
        <v>101</v>
      </c>
      <c r="CM71">
        <v>85</v>
      </c>
      <c r="CN71">
        <v>120</v>
      </c>
      <c r="CO71">
        <v>105</v>
      </c>
      <c r="CP71">
        <v>0</v>
      </c>
      <c r="CQ71">
        <v>0</v>
      </c>
      <c r="CR71">
        <v>0</v>
      </c>
      <c r="CS71">
        <v>0</v>
      </c>
      <c r="CT71">
        <v>0</v>
      </c>
      <c r="CU71">
        <v>0</v>
      </c>
      <c r="CV71">
        <v>0</v>
      </c>
      <c r="CW71">
        <v>0</v>
      </c>
      <c r="CX71">
        <v>23</v>
      </c>
      <c r="CY71">
        <v>34</v>
      </c>
      <c r="CZ71">
        <v>36.6</v>
      </c>
      <c r="DA71">
        <v>55</v>
      </c>
      <c r="DB71">
        <v>20.5</v>
      </c>
      <c r="DC71">
        <v>34</v>
      </c>
      <c r="DD71">
        <v>32.5</v>
      </c>
      <c r="DE71">
        <v>50.8</v>
      </c>
      <c r="DF71">
        <v>23</v>
      </c>
      <c r="DG71">
        <v>34</v>
      </c>
      <c r="DH71">
        <v>36.6</v>
      </c>
      <c r="DI71">
        <v>55</v>
      </c>
      <c r="DJ71">
        <v>20.5</v>
      </c>
      <c r="DK71">
        <v>34</v>
      </c>
      <c r="DL71">
        <v>32.5</v>
      </c>
      <c r="DM71">
        <v>50.8</v>
      </c>
      <c r="DN71">
        <v>0</v>
      </c>
      <c r="DO71">
        <v>0</v>
      </c>
      <c r="DP71">
        <v>0</v>
      </c>
      <c r="DQ71">
        <v>0</v>
      </c>
      <c r="DR71">
        <v>0</v>
      </c>
      <c r="DS71">
        <v>0</v>
      </c>
      <c r="DT71">
        <v>0</v>
      </c>
      <c r="DU71">
        <v>0</v>
      </c>
      <c r="DV71" t="s">
        <v>259</v>
      </c>
    </row>
    <row r="72" spans="1:126" x14ac:dyDescent="0.35">
      <c r="A72" t="s">
        <v>262</v>
      </c>
      <c r="B72">
        <v>230110</v>
      </c>
      <c r="C72" s="1">
        <v>44936</v>
      </c>
      <c r="D72" t="s">
        <v>263</v>
      </c>
      <c r="E72" t="s">
        <v>184</v>
      </c>
      <c r="F72" t="s">
        <v>185</v>
      </c>
      <c r="G72" t="s">
        <v>264</v>
      </c>
      <c r="H72">
        <v>5645</v>
      </c>
      <c r="I72" s="17">
        <v>529</v>
      </c>
      <c r="J72" s="17">
        <v>185</v>
      </c>
      <c r="K72">
        <v>149</v>
      </c>
      <c r="L72">
        <v>4789</v>
      </c>
      <c r="M72">
        <v>5305</v>
      </c>
      <c r="N72">
        <v>5467</v>
      </c>
      <c r="O72">
        <v>5639</v>
      </c>
      <c r="P72">
        <v>178</v>
      </c>
      <c r="Q72">
        <v>6</v>
      </c>
      <c r="R72">
        <v>5645</v>
      </c>
      <c r="S72">
        <v>529</v>
      </c>
      <c r="T72">
        <v>185</v>
      </c>
      <c r="U72">
        <v>149</v>
      </c>
      <c r="V72">
        <v>4789</v>
      </c>
      <c r="W72">
        <v>5305</v>
      </c>
      <c r="X72">
        <v>5467</v>
      </c>
      <c r="Y72">
        <v>5639</v>
      </c>
      <c r="Z72">
        <v>178</v>
      </c>
      <c r="AA72">
        <v>6</v>
      </c>
      <c r="AB72">
        <v>0</v>
      </c>
      <c r="AC72">
        <v>0</v>
      </c>
      <c r="AD72">
        <v>0</v>
      </c>
      <c r="AE72">
        <v>0</v>
      </c>
      <c r="AF72">
        <v>0</v>
      </c>
      <c r="AG72">
        <v>0</v>
      </c>
      <c r="AH72">
        <v>0</v>
      </c>
      <c r="AI72">
        <v>0</v>
      </c>
      <c r="AJ72">
        <v>0</v>
      </c>
      <c r="AK72">
        <v>0</v>
      </c>
      <c r="AL72">
        <v>-741</v>
      </c>
      <c r="AM72">
        <v>-520</v>
      </c>
      <c r="AN72">
        <v>27</v>
      </c>
      <c r="AO72">
        <v>-55</v>
      </c>
      <c r="AP72">
        <v>-131</v>
      </c>
      <c r="AQ72">
        <v>-667</v>
      </c>
      <c r="AR72">
        <v>-706</v>
      </c>
      <c r="AS72">
        <v>-695</v>
      </c>
      <c r="AT72">
        <v>-35</v>
      </c>
      <c r="AU72">
        <v>-46</v>
      </c>
      <c r="AV72">
        <v>100</v>
      </c>
      <c r="AW72">
        <v>9.4</v>
      </c>
      <c r="AX72">
        <v>3.3</v>
      </c>
      <c r="AY72">
        <v>2.6</v>
      </c>
      <c r="AZ72">
        <v>84.8</v>
      </c>
      <c r="BA72">
        <v>94</v>
      </c>
      <c r="BB72">
        <v>96.8</v>
      </c>
      <c r="BC72">
        <v>99.9</v>
      </c>
      <c r="BD72">
        <v>3.2</v>
      </c>
      <c r="BE72">
        <v>0.1</v>
      </c>
      <c r="BF72">
        <v>100</v>
      </c>
      <c r="BG72">
        <v>9.4</v>
      </c>
      <c r="BH72">
        <v>3.3</v>
      </c>
      <c r="BI72">
        <v>2.6</v>
      </c>
      <c r="BJ72">
        <v>84.8</v>
      </c>
      <c r="BK72">
        <v>94</v>
      </c>
      <c r="BL72">
        <v>96.8</v>
      </c>
      <c r="BM72">
        <v>99.9</v>
      </c>
      <c r="BN72">
        <v>3.2</v>
      </c>
      <c r="BO72">
        <v>0.1</v>
      </c>
      <c r="BP72">
        <v>0</v>
      </c>
      <c r="BQ72">
        <v>0</v>
      </c>
      <c r="BR72">
        <v>0</v>
      </c>
      <c r="BS72">
        <v>0</v>
      </c>
      <c r="BT72">
        <v>0</v>
      </c>
      <c r="BU72">
        <v>0</v>
      </c>
      <c r="BV72">
        <v>0</v>
      </c>
      <c r="BW72">
        <v>0</v>
      </c>
      <c r="BX72">
        <v>0</v>
      </c>
      <c r="BY72">
        <v>0</v>
      </c>
      <c r="BZ72">
        <v>22</v>
      </c>
      <c r="CA72">
        <v>2</v>
      </c>
      <c r="CB72">
        <v>1</v>
      </c>
      <c r="CC72">
        <v>2</v>
      </c>
      <c r="CD72">
        <v>16</v>
      </c>
      <c r="CE72">
        <v>15</v>
      </c>
      <c r="CF72">
        <v>19</v>
      </c>
      <c r="CG72">
        <v>17</v>
      </c>
      <c r="CH72">
        <v>22</v>
      </c>
      <c r="CI72">
        <v>2</v>
      </c>
      <c r="CJ72">
        <v>1</v>
      </c>
      <c r="CK72">
        <v>2</v>
      </c>
      <c r="CL72">
        <v>16</v>
      </c>
      <c r="CM72">
        <v>15</v>
      </c>
      <c r="CN72">
        <v>19</v>
      </c>
      <c r="CO72">
        <v>17</v>
      </c>
      <c r="CP72">
        <v>0</v>
      </c>
      <c r="CQ72">
        <v>0</v>
      </c>
      <c r="CR72">
        <v>0</v>
      </c>
      <c r="CS72">
        <v>0</v>
      </c>
      <c r="CT72">
        <v>0</v>
      </c>
      <c r="CU72">
        <v>0</v>
      </c>
      <c r="CV72">
        <v>0</v>
      </c>
      <c r="CW72">
        <v>0</v>
      </c>
      <c r="CX72">
        <v>53.4</v>
      </c>
      <c r="CY72">
        <v>57.5</v>
      </c>
      <c r="CZ72">
        <v>79.3</v>
      </c>
      <c r="DA72">
        <v>82.9</v>
      </c>
      <c r="DB72">
        <v>34</v>
      </c>
      <c r="DC72">
        <v>43.8</v>
      </c>
      <c r="DD72">
        <v>46.4</v>
      </c>
      <c r="DE72">
        <v>52.9</v>
      </c>
      <c r="DF72">
        <v>53.4</v>
      </c>
      <c r="DG72">
        <v>57.5</v>
      </c>
      <c r="DH72">
        <v>79.3</v>
      </c>
      <c r="DI72">
        <v>82.9</v>
      </c>
      <c r="DJ72">
        <v>34</v>
      </c>
      <c r="DK72">
        <v>43.8</v>
      </c>
      <c r="DL72">
        <v>46.4</v>
      </c>
      <c r="DM72">
        <v>52.9</v>
      </c>
      <c r="DN72">
        <v>0</v>
      </c>
      <c r="DO72">
        <v>0</v>
      </c>
      <c r="DP72">
        <v>0</v>
      </c>
      <c r="DQ72">
        <v>0</v>
      </c>
      <c r="DR72">
        <v>0</v>
      </c>
      <c r="DS72">
        <v>0</v>
      </c>
      <c r="DT72">
        <v>0</v>
      </c>
      <c r="DU72">
        <v>0</v>
      </c>
      <c r="DV72" t="s">
        <v>265</v>
      </c>
    </row>
    <row r="73" spans="1:126" x14ac:dyDescent="0.35">
      <c r="A73" t="s">
        <v>262</v>
      </c>
      <c r="B73">
        <v>230103</v>
      </c>
      <c r="C73" s="1">
        <v>44929</v>
      </c>
      <c r="D73" t="s">
        <v>263</v>
      </c>
      <c r="E73" t="s">
        <v>184</v>
      </c>
      <c r="F73" t="s">
        <v>185</v>
      </c>
      <c r="G73" t="s">
        <v>264</v>
      </c>
      <c r="H73">
        <v>6386</v>
      </c>
      <c r="I73" s="17">
        <v>1049</v>
      </c>
      <c r="J73" s="17">
        <v>158</v>
      </c>
      <c r="K73">
        <v>204</v>
      </c>
      <c r="L73">
        <v>4920</v>
      </c>
      <c r="M73">
        <v>5972</v>
      </c>
      <c r="N73">
        <v>6173</v>
      </c>
      <c r="O73">
        <v>6334</v>
      </c>
      <c r="P73">
        <v>213</v>
      </c>
      <c r="Q73">
        <v>52</v>
      </c>
      <c r="R73">
        <v>6386</v>
      </c>
      <c r="S73">
        <v>1049</v>
      </c>
      <c r="T73">
        <v>158</v>
      </c>
      <c r="U73">
        <v>204</v>
      </c>
      <c r="V73">
        <v>4920</v>
      </c>
      <c r="W73">
        <v>5972</v>
      </c>
      <c r="X73">
        <v>6173</v>
      </c>
      <c r="Y73">
        <v>6334</v>
      </c>
      <c r="Z73">
        <v>213</v>
      </c>
      <c r="AA73">
        <v>52</v>
      </c>
      <c r="AB73">
        <v>0</v>
      </c>
      <c r="AC73">
        <v>0</v>
      </c>
      <c r="AD73">
        <v>0</v>
      </c>
      <c r="AE73">
        <v>0</v>
      </c>
      <c r="AF73">
        <v>0</v>
      </c>
      <c r="AG73">
        <v>0</v>
      </c>
      <c r="AH73">
        <v>0</v>
      </c>
      <c r="AI73">
        <v>0</v>
      </c>
      <c r="AJ73">
        <v>0</v>
      </c>
      <c r="AK73">
        <v>0</v>
      </c>
      <c r="AL73">
        <v>28</v>
      </c>
      <c r="AM73">
        <v>-80</v>
      </c>
      <c r="AN73">
        <v>0</v>
      </c>
      <c r="AO73">
        <v>49</v>
      </c>
      <c r="AP73">
        <v>39</v>
      </c>
      <c r="AQ73">
        <v>-21</v>
      </c>
      <c r="AR73">
        <v>8</v>
      </c>
      <c r="AS73">
        <v>28</v>
      </c>
      <c r="AT73">
        <v>20</v>
      </c>
      <c r="AU73">
        <v>0</v>
      </c>
      <c r="AV73">
        <v>100</v>
      </c>
      <c r="AW73">
        <v>16.399999999999999</v>
      </c>
      <c r="AX73">
        <v>2.5</v>
      </c>
      <c r="AY73">
        <v>3.2</v>
      </c>
      <c r="AZ73">
        <v>77</v>
      </c>
      <c r="BA73">
        <v>93.5</v>
      </c>
      <c r="BB73">
        <v>96.7</v>
      </c>
      <c r="BC73">
        <v>99.2</v>
      </c>
      <c r="BD73">
        <v>3.3</v>
      </c>
      <c r="BE73">
        <v>0.8</v>
      </c>
      <c r="BF73">
        <v>100</v>
      </c>
      <c r="BG73">
        <v>16.399999999999999</v>
      </c>
      <c r="BH73">
        <v>2.5</v>
      </c>
      <c r="BI73">
        <v>3.2</v>
      </c>
      <c r="BJ73">
        <v>77</v>
      </c>
      <c r="BK73">
        <v>93.5</v>
      </c>
      <c r="BL73">
        <v>96.7</v>
      </c>
      <c r="BM73">
        <v>99.2</v>
      </c>
      <c r="BN73">
        <v>3.3</v>
      </c>
      <c r="BO73">
        <v>0.8</v>
      </c>
      <c r="BP73">
        <v>0</v>
      </c>
      <c r="BQ73">
        <v>0</v>
      </c>
      <c r="BR73">
        <v>0</v>
      </c>
      <c r="BS73">
        <v>0</v>
      </c>
      <c r="BT73">
        <v>0</v>
      </c>
      <c r="BU73">
        <v>0</v>
      </c>
      <c r="BV73">
        <v>0</v>
      </c>
      <c r="BW73">
        <v>0</v>
      </c>
      <c r="BX73">
        <v>0</v>
      </c>
      <c r="BY73">
        <v>0</v>
      </c>
      <c r="BZ73">
        <v>23</v>
      </c>
      <c r="CA73">
        <v>2</v>
      </c>
      <c r="CB73">
        <v>1</v>
      </c>
      <c r="CC73">
        <v>2</v>
      </c>
      <c r="CD73">
        <v>18</v>
      </c>
      <c r="CE73">
        <v>17</v>
      </c>
      <c r="CF73">
        <v>21</v>
      </c>
      <c r="CG73">
        <v>19</v>
      </c>
      <c r="CH73">
        <v>23</v>
      </c>
      <c r="CI73">
        <v>2</v>
      </c>
      <c r="CJ73">
        <v>1</v>
      </c>
      <c r="CK73">
        <v>2</v>
      </c>
      <c r="CL73">
        <v>18</v>
      </c>
      <c r="CM73">
        <v>17</v>
      </c>
      <c r="CN73">
        <v>21</v>
      </c>
      <c r="CO73">
        <v>19</v>
      </c>
      <c r="CP73">
        <v>0</v>
      </c>
      <c r="CQ73">
        <v>0</v>
      </c>
      <c r="CR73">
        <v>0</v>
      </c>
      <c r="CS73">
        <v>0</v>
      </c>
      <c r="CT73">
        <v>0</v>
      </c>
      <c r="CU73">
        <v>0</v>
      </c>
      <c r="CV73">
        <v>0</v>
      </c>
      <c r="CW73">
        <v>0</v>
      </c>
      <c r="CX73">
        <v>51.9</v>
      </c>
      <c r="CY73">
        <v>53.4</v>
      </c>
      <c r="CZ73">
        <v>73.099999999999994</v>
      </c>
      <c r="DA73">
        <v>76</v>
      </c>
      <c r="DB73">
        <v>38.5</v>
      </c>
      <c r="DC73">
        <v>41.6</v>
      </c>
      <c r="DD73">
        <v>49.4</v>
      </c>
      <c r="DE73">
        <v>50.4</v>
      </c>
      <c r="DF73">
        <v>51.9</v>
      </c>
      <c r="DG73">
        <v>53.4</v>
      </c>
      <c r="DH73">
        <v>73.099999999999994</v>
      </c>
      <c r="DI73">
        <v>76</v>
      </c>
      <c r="DJ73">
        <v>38.5</v>
      </c>
      <c r="DK73">
        <v>41.6</v>
      </c>
      <c r="DL73">
        <v>49.4</v>
      </c>
      <c r="DM73">
        <v>50.4</v>
      </c>
      <c r="DN73">
        <v>0</v>
      </c>
      <c r="DO73">
        <v>0</v>
      </c>
      <c r="DP73">
        <v>0</v>
      </c>
      <c r="DQ73">
        <v>0</v>
      </c>
      <c r="DR73">
        <v>0</v>
      </c>
      <c r="DS73">
        <v>0</v>
      </c>
      <c r="DT73">
        <v>0</v>
      </c>
      <c r="DU73">
        <v>0</v>
      </c>
      <c r="DV73" t="s">
        <v>265</v>
      </c>
    </row>
    <row r="74" spans="1:126" x14ac:dyDescent="0.35">
      <c r="A74" t="s">
        <v>266</v>
      </c>
      <c r="B74">
        <v>230110</v>
      </c>
      <c r="C74" s="1">
        <v>44936</v>
      </c>
      <c r="D74" t="s">
        <v>267</v>
      </c>
      <c r="E74" t="s">
        <v>184</v>
      </c>
      <c r="F74" t="s">
        <v>185</v>
      </c>
      <c r="G74" t="s">
        <v>264</v>
      </c>
      <c r="H74">
        <v>28673</v>
      </c>
      <c r="I74" s="17">
        <v>11074</v>
      </c>
      <c r="J74" s="17">
        <v>1644</v>
      </c>
      <c r="K74">
        <v>3179</v>
      </c>
      <c r="L74">
        <v>14183</v>
      </c>
      <c r="M74">
        <v>23767</v>
      </c>
      <c r="N74">
        <v>28436</v>
      </c>
      <c r="O74">
        <v>28590</v>
      </c>
      <c r="P74">
        <v>237</v>
      </c>
      <c r="Q74">
        <v>83</v>
      </c>
      <c r="R74">
        <v>28673</v>
      </c>
      <c r="S74">
        <v>11074</v>
      </c>
      <c r="T74">
        <v>1644</v>
      </c>
      <c r="U74">
        <v>3179</v>
      </c>
      <c r="V74">
        <v>14183</v>
      </c>
      <c r="W74">
        <v>23767</v>
      </c>
      <c r="X74">
        <v>28436</v>
      </c>
      <c r="Y74">
        <v>28590</v>
      </c>
      <c r="Z74">
        <v>237</v>
      </c>
      <c r="AA74">
        <v>83</v>
      </c>
      <c r="AB74">
        <v>0</v>
      </c>
      <c r="AC74">
        <v>0</v>
      </c>
      <c r="AD74">
        <v>0</v>
      </c>
      <c r="AE74">
        <v>0</v>
      </c>
      <c r="AF74">
        <v>0</v>
      </c>
      <c r="AG74">
        <v>0</v>
      </c>
      <c r="AH74">
        <v>0</v>
      </c>
      <c r="AI74">
        <v>0</v>
      </c>
      <c r="AJ74">
        <v>0</v>
      </c>
      <c r="AK74">
        <v>0</v>
      </c>
      <c r="AL74">
        <v>-5085</v>
      </c>
      <c r="AM74">
        <v>-803</v>
      </c>
      <c r="AN74">
        <v>857</v>
      </c>
      <c r="AO74">
        <v>-2204</v>
      </c>
      <c r="AP74">
        <v>-2075</v>
      </c>
      <c r="AQ74">
        <v>-3604</v>
      </c>
      <c r="AR74">
        <v>-5082</v>
      </c>
      <c r="AS74">
        <v>-4951</v>
      </c>
      <c r="AT74">
        <v>-3</v>
      </c>
      <c r="AU74">
        <v>-134</v>
      </c>
      <c r="AV74">
        <v>100</v>
      </c>
      <c r="AW74">
        <v>38.6</v>
      </c>
      <c r="AX74">
        <v>5.7</v>
      </c>
      <c r="AY74">
        <v>11.1</v>
      </c>
      <c r="AZ74">
        <v>49.5</v>
      </c>
      <c r="BA74">
        <v>82.9</v>
      </c>
      <c r="BB74">
        <v>99.2</v>
      </c>
      <c r="BC74">
        <v>99.7</v>
      </c>
      <c r="BD74">
        <v>0.8</v>
      </c>
      <c r="BE74">
        <v>0.3</v>
      </c>
      <c r="BF74">
        <v>100</v>
      </c>
      <c r="BG74">
        <v>38.6</v>
      </c>
      <c r="BH74">
        <v>5.7</v>
      </c>
      <c r="BI74">
        <v>11.1</v>
      </c>
      <c r="BJ74">
        <v>49.5</v>
      </c>
      <c r="BK74">
        <v>82.9</v>
      </c>
      <c r="BL74">
        <v>99.2</v>
      </c>
      <c r="BM74">
        <v>99.7</v>
      </c>
      <c r="BN74">
        <v>0.8</v>
      </c>
      <c r="BO74">
        <v>0.3</v>
      </c>
      <c r="BP74">
        <v>0</v>
      </c>
      <c r="BQ74">
        <v>0</v>
      </c>
      <c r="BR74">
        <v>0</v>
      </c>
      <c r="BS74">
        <v>0</v>
      </c>
      <c r="BT74">
        <v>0</v>
      </c>
      <c r="BU74">
        <v>0</v>
      </c>
      <c r="BV74">
        <v>0</v>
      </c>
      <c r="BW74">
        <v>0</v>
      </c>
      <c r="BX74">
        <v>0</v>
      </c>
      <c r="BY74">
        <v>0</v>
      </c>
      <c r="BZ74">
        <v>47</v>
      </c>
      <c r="CA74">
        <v>4</v>
      </c>
      <c r="CB74">
        <v>2</v>
      </c>
      <c r="CC74">
        <v>6</v>
      </c>
      <c r="CD74">
        <v>30</v>
      </c>
      <c r="CE74">
        <v>37</v>
      </c>
      <c r="CF74">
        <v>37</v>
      </c>
      <c r="CG74">
        <v>43</v>
      </c>
      <c r="CH74">
        <v>47</v>
      </c>
      <c r="CI74">
        <v>4</v>
      </c>
      <c r="CJ74">
        <v>2</v>
      </c>
      <c r="CK74">
        <v>6</v>
      </c>
      <c r="CL74">
        <v>30</v>
      </c>
      <c r="CM74">
        <v>37</v>
      </c>
      <c r="CN74">
        <v>37</v>
      </c>
      <c r="CO74">
        <v>43</v>
      </c>
      <c r="CP74">
        <v>0</v>
      </c>
      <c r="CQ74">
        <v>0</v>
      </c>
      <c r="CR74">
        <v>0</v>
      </c>
      <c r="CS74">
        <v>0</v>
      </c>
      <c r="CT74">
        <v>0</v>
      </c>
      <c r="CU74">
        <v>0</v>
      </c>
      <c r="CV74">
        <v>0</v>
      </c>
      <c r="CW74">
        <v>0</v>
      </c>
      <c r="CX74">
        <v>51.1</v>
      </c>
      <c r="CY74">
        <v>35.6</v>
      </c>
      <c r="CZ74">
        <v>66.2</v>
      </c>
      <c r="DA74">
        <v>54</v>
      </c>
      <c r="DB74">
        <v>46.6</v>
      </c>
      <c r="DC74">
        <v>27</v>
      </c>
      <c r="DD74">
        <v>55</v>
      </c>
      <c r="DE74">
        <v>41.6</v>
      </c>
      <c r="DF74">
        <v>51.1</v>
      </c>
      <c r="DG74">
        <v>35.6</v>
      </c>
      <c r="DH74">
        <v>66.2</v>
      </c>
      <c r="DI74">
        <v>54</v>
      </c>
      <c r="DJ74">
        <v>46.6</v>
      </c>
      <c r="DK74">
        <v>27</v>
      </c>
      <c r="DL74">
        <v>55</v>
      </c>
      <c r="DM74">
        <v>41.6</v>
      </c>
      <c r="DN74">
        <v>0</v>
      </c>
      <c r="DO74">
        <v>0</v>
      </c>
      <c r="DP74">
        <v>0</v>
      </c>
      <c r="DQ74">
        <v>0</v>
      </c>
      <c r="DR74">
        <v>0</v>
      </c>
      <c r="DS74">
        <v>0</v>
      </c>
      <c r="DT74">
        <v>0</v>
      </c>
      <c r="DU74">
        <v>0</v>
      </c>
      <c r="DV74" t="s">
        <v>265</v>
      </c>
    </row>
    <row r="75" spans="1:126" x14ac:dyDescent="0.35">
      <c r="A75" t="s">
        <v>266</v>
      </c>
      <c r="B75">
        <v>230103</v>
      </c>
      <c r="C75" s="1">
        <v>44929</v>
      </c>
      <c r="D75" t="s">
        <v>267</v>
      </c>
      <c r="E75" t="s">
        <v>184</v>
      </c>
      <c r="F75" t="s">
        <v>185</v>
      </c>
      <c r="G75" t="s">
        <v>264</v>
      </c>
      <c r="H75">
        <v>33758</v>
      </c>
      <c r="I75" s="17">
        <v>11877</v>
      </c>
      <c r="J75" s="17">
        <v>787</v>
      </c>
      <c r="K75">
        <v>5383</v>
      </c>
      <c r="L75">
        <v>16258</v>
      </c>
      <c r="M75">
        <v>27371</v>
      </c>
      <c r="N75">
        <v>33518</v>
      </c>
      <c r="O75">
        <v>33541</v>
      </c>
      <c r="P75">
        <v>240</v>
      </c>
      <c r="Q75">
        <v>217</v>
      </c>
      <c r="R75">
        <v>33758</v>
      </c>
      <c r="S75">
        <v>11877</v>
      </c>
      <c r="T75">
        <v>787</v>
      </c>
      <c r="U75">
        <v>5383</v>
      </c>
      <c r="V75">
        <v>16258</v>
      </c>
      <c r="W75">
        <v>27371</v>
      </c>
      <c r="X75">
        <v>33518</v>
      </c>
      <c r="Y75">
        <v>33541</v>
      </c>
      <c r="Z75">
        <v>240</v>
      </c>
      <c r="AA75">
        <v>217</v>
      </c>
      <c r="AB75">
        <v>0</v>
      </c>
      <c r="AC75">
        <v>0</v>
      </c>
      <c r="AD75">
        <v>0</v>
      </c>
      <c r="AE75">
        <v>0</v>
      </c>
      <c r="AF75">
        <v>0</v>
      </c>
      <c r="AG75">
        <v>0</v>
      </c>
      <c r="AH75">
        <v>0</v>
      </c>
      <c r="AI75">
        <v>0</v>
      </c>
      <c r="AJ75">
        <v>0</v>
      </c>
      <c r="AK75">
        <v>0</v>
      </c>
      <c r="AL75">
        <v>506</v>
      </c>
      <c r="AM75">
        <v>398</v>
      </c>
      <c r="AN75">
        <v>0</v>
      </c>
      <c r="AO75">
        <v>-15</v>
      </c>
      <c r="AP75">
        <v>147</v>
      </c>
      <c r="AQ75">
        <v>355</v>
      </c>
      <c r="AR75">
        <v>530</v>
      </c>
      <c r="AS75">
        <v>340</v>
      </c>
      <c r="AT75">
        <v>-24</v>
      </c>
      <c r="AU75">
        <v>166</v>
      </c>
      <c r="AV75">
        <v>100</v>
      </c>
      <c r="AW75">
        <v>35.200000000000003</v>
      </c>
      <c r="AX75">
        <v>2.2999999999999998</v>
      </c>
      <c r="AY75">
        <v>15.9</v>
      </c>
      <c r="AZ75">
        <v>48.2</v>
      </c>
      <c r="BA75">
        <v>81.099999999999994</v>
      </c>
      <c r="BB75">
        <v>99.3</v>
      </c>
      <c r="BC75">
        <v>99.4</v>
      </c>
      <c r="BD75">
        <v>0.7</v>
      </c>
      <c r="BE75">
        <v>0.6</v>
      </c>
      <c r="BF75">
        <v>100</v>
      </c>
      <c r="BG75">
        <v>35.200000000000003</v>
      </c>
      <c r="BH75">
        <v>2.2999999999999998</v>
      </c>
      <c r="BI75">
        <v>15.9</v>
      </c>
      <c r="BJ75">
        <v>48.2</v>
      </c>
      <c r="BK75">
        <v>81.099999999999994</v>
      </c>
      <c r="BL75">
        <v>99.3</v>
      </c>
      <c r="BM75">
        <v>99.4</v>
      </c>
      <c r="BN75">
        <v>0.7</v>
      </c>
      <c r="BO75">
        <v>0.6</v>
      </c>
      <c r="BP75">
        <v>0</v>
      </c>
      <c r="BQ75">
        <v>0</v>
      </c>
      <c r="BR75">
        <v>0</v>
      </c>
      <c r="BS75">
        <v>0</v>
      </c>
      <c r="BT75">
        <v>0</v>
      </c>
      <c r="BU75">
        <v>0</v>
      </c>
      <c r="BV75">
        <v>0</v>
      </c>
      <c r="BW75">
        <v>0</v>
      </c>
      <c r="BX75">
        <v>0</v>
      </c>
      <c r="BY75">
        <v>0</v>
      </c>
      <c r="BZ75">
        <v>51</v>
      </c>
      <c r="CA75">
        <v>5</v>
      </c>
      <c r="CB75">
        <v>2</v>
      </c>
      <c r="CC75">
        <v>8</v>
      </c>
      <c r="CD75">
        <v>30</v>
      </c>
      <c r="CE75">
        <v>42</v>
      </c>
      <c r="CF75">
        <v>38</v>
      </c>
      <c r="CG75">
        <v>50</v>
      </c>
      <c r="CH75">
        <v>51</v>
      </c>
      <c r="CI75">
        <v>5</v>
      </c>
      <c r="CJ75">
        <v>2</v>
      </c>
      <c r="CK75">
        <v>8</v>
      </c>
      <c r="CL75">
        <v>30</v>
      </c>
      <c r="CM75">
        <v>42</v>
      </c>
      <c r="CN75">
        <v>38</v>
      </c>
      <c r="CO75">
        <v>50</v>
      </c>
      <c r="CP75">
        <v>0</v>
      </c>
      <c r="CQ75">
        <v>0</v>
      </c>
      <c r="CR75">
        <v>0</v>
      </c>
      <c r="CS75">
        <v>0</v>
      </c>
      <c r="CT75">
        <v>0</v>
      </c>
      <c r="CU75">
        <v>0</v>
      </c>
      <c r="CV75">
        <v>0</v>
      </c>
      <c r="CW75">
        <v>0</v>
      </c>
      <c r="CX75">
        <v>46.7</v>
      </c>
      <c r="CY75">
        <v>33.200000000000003</v>
      </c>
      <c r="CZ75">
        <v>69</v>
      </c>
      <c r="DA75">
        <v>52.3</v>
      </c>
      <c r="DB75">
        <v>40.6</v>
      </c>
      <c r="DC75">
        <v>25</v>
      </c>
      <c r="DD75">
        <v>48.5</v>
      </c>
      <c r="DE75">
        <v>37</v>
      </c>
      <c r="DF75">
        <v>46.7</v>
      </c>
      <c r="DG75">
        <v>33.200000000000003</v>
      </c>
      <c r="DH75">
        <v>69</v>
      </c>
      <c r="DI75">
        <v>52.3</v>
      </c>
      <c r="DJ75">
        <v>40.6</v>
      </c>
      <c r="DK75">
        <v>25</v>
      </c>
      <c r="DL75">
        <v>48.5</v>
      </c>
      <c r="DM75">
        <v>37</v>
      </c>
      <c r="DN75">
        <v>0</v>
      </c>
      <c r="DO75">
        <v>0</v>
      </c>
      <c r="DP75">
        <v>0</v>
      </c>
      <c r="DQ75">
        <v>0</v>
      </c>
      <c r="DR75">
        <v>0</v>
      </c>
      <c r="DS75">
        <v>0</v>
      </c>
      <c r="DT75">
        <v>0</v>
      </c>
      <c r="DU75">
        <v>0</v>
      </c>
      <c r="DV75" t="s">
        <v>265</v>
      </c>
    </row>
    <row r="76" spans="1:126" x14ac:dyDescent="0.35">
      <c r="A76" t="s">
        <v>268</v>
      </c>
      <c r="B76">
        <v>230110</v>
      </c>
      <c r="C76" s="1">
        <v>44936</v>
      </c>
      <c r="D76" t="s">
        <v>269</v>
      </c>
      <c r="E76" t="s">
        <v>184</v>
      </c>
      <c r="F76" t="s">
        <v>185</v>
      </c>
      <c r="G76" t="s">
        <v>264</v>
      </c>
      <c r="H76">
        <v>13457</v>
      </c>
      <c r="I76" s="17">
        <v>266</v>
      </c>
      <c r="J76" s="17">
        <v>8167</v>
      </c>
      <c r="K76">
        <v>1179</v>
      </c>
      <c r="L76">
        <v>11879</v>
      </c>
      <c r="M76">
        <v>4077</v>
      </c>
      <c r="N76">
        <v>13324</v>
      </c>
      <c r="O76">
        <v>13423</v>
      </c>
      <c r="P76">
        <v>133</v>
      </c>
      <c r="Q76">
        <v>34</v>
      </c>
      <c r="R76">
        <v>13457</v>
      </c>
      <c r="S76">
        <v>266</v>
      </c>
      <c r="T76">
        <v>8167</v>
      </c>
      <c r="U76">
        <v>1179</v>
      </c>
      <c r="V76">
        <v>11879</v>
      </c>
      <c r="W76">
        <v>4077</v>
      </c>
      <c r="X76">
        <v>13324</v>
      </c>
      <c r="Y76">
        <v>13423</v>
      </c>
      <c r="Z76">
        <v>133</v>
      </c>
      <c r="AA76">
        <v>34</v>
      </c>
      <c r="AB76">
        <v>0</v>
      </c>
      <c r="AC76">
        <v>0</v>
      </c>
      <c r="AD76">
        <v>0</v>
      </c>
      <c r="AE76">
        <v>0</v>
      </c>
      <c r="AF76">
        <v>0</v>
      </c>
      <c r="AG76">
        <v>0</v>
      </c>
      <c r="AH76">
        <v>0</v>
      </c>
      <c r="AI76">
        <v>0</v>
      </c>
      <c r="AJ76">
        <v>0</v>
      </c>
      <c r="AK76">
        <v>0</v>
      </c>
      <c r="AL76">
        <v>-2434</v>
      </c>
      <c r="AM76">
        <v>-478</v>
      </c>
      <c r="AN76">
        <v>-940</v>
      </c>
      <c r="AO76">
        <v>-440</v>
      </c>
      <c r="AP76">
        <v>-1570</v>
      </c>
      <c r="AQ76">
        <v>-1063</v>
      </c>
      <c r="AR76">
        <v>-2488</v>
      </c>
      <c r="AS76">
        <v>-2443</v>
      </c>
      <c r="AT76">
        <v>54</v>
      </c>
      <c r="AU76">
        <v>9</v>
      </c>
      <c r="AV76">
        <v>100</v>
      </c>
      <c r="AW76">
        <v>2</v>
      </c>
      <c r="AX76">
        <v>60.7</v>
      </c>
      <c r="AY76">
        <v>8.8000000000000007</v>
      </c>
      <c r="AZ76">
        <v>88.3</v>
      </c>
      <c r="BA76">
        <v>30.3</v>
      </c>
      <c r="BB76">
        <v>99</v>
      </c>
      <c r="BC76">
        <v>99.7</v>
      </c>
      <c r="BD76">
        <v>1</v>
      </c>
      <c r="BE76">
        <v>0.3</v>
      </c>
      <c r="BF76">
        <v>100</v>
      </c>
      <c r="BG76">
        <v>2</v>
      </c>
      <c r="BH76">
        <v>60.7</v>
      </c>
      <c r="BI76">
        <v>8.8000000000000007</v>
      </c>
      <c r="BJ76">
        <v>88.3</v>
      </c>
      <c r="BK76">
        <v>30.3</v>
      </c>
      <c r="BL76">
        <v>99</v>
      </c>
      <c r="BM76">
        <v>99.7</v>
      </c>
      <c r="BN76">
        <v>1</v>
      </c>
      <c r="BO76">
        <v>0.3</v>
      </c>
      <c r="BP76">
        <v>0</v>
      </c>
      <c r="BQ76">
        <v>0</v>
      </c>
      <c r="BR76">
        <v>0</v>
      </c>
      <c r="BS76">
        <v>0</v>
      </c>
      <c r="BT76">
        <v>0</v>
      </c>
      <c r="BU76">
        <v>0</v>
      </c>
      <c r="BV76">
        <v>0</v>
      </c>
      <c r="BW76">
        <v>0</v>
      </c>
      <c r="BX76">
        <v>0</v>
      </c>
      <c r="BY76">
        <v>0</v>
      </c>
      <c r="BZ76">
        <v>32</v>
      </c>
      <c r="CA76">
        <v>2</v>
      </c>
      <c r="CB76">
        <v>5</v>
      </c>
      <c r="CC76">
        <v>4</v>
      </c>
      <c r="CD76">
        <v>24</v>
      </c>
      <c r="CE76">
        <v>10</v>
      </c>
      <c r="CF76">
        <v>29</v>
      </c>
      <c r="CG76">
        <v>16</v>
      </c>
      <c r="CH76">
        <v>32</v>
      </c>
      <c r="CI76">
        <v>2</v>
      </c>
      <c r="CJ76">
        <v>5</v>
      </c>
      <c r="CK76">
        <v>4</v>
      </c>
      <c r="CL76">
        <v>24</v>
      </c>
      <c r="CM76">
        <v>10</v>
      </c>
      <c r="CN76">
        <v>29</v>
      </c>
      <c r="CO76">
        <v>16</v>
      </c>
      <c r="CP76">
        <v>0</v>
      </c>
      <c r="CQ76">
        <v>0</v>
      </c>
      <c r="CR76">
        <v>0</v>
      </c>
      <c r="CS76">
        <v>0</v>
      </c>
      <c r="CT76">
        <v>0</v>
      </c>
      <c r="CU76">
        <v>0</v>
      </c>
      <c r="CV76">
        <v>0</v>
      </c>
      <c r="CW76">
        <v>0</v>
      </c>
      <c r="CX76">
        <v>39.4</v>
      </c>
      <c r="CY76">
        <v>69.900000000000006</v>
      </c>
      <c r="CZ76">
        <v>58.3</v>
      </c>
      <c r="DA76">
        <v>87.8</v>
      </c>
      <c r="DB76">
        <v>38.5</v>
      </c>
      <c r="DC76">
        <v>62</v>
      </c>
      <c r="DD76">
        <v>56.3</v>
      </c>
      <c r="DE76">
        <v>74.7</v>
      </c>
      <c r="DF76">
        <v>39.4</v>
      </c>
      <c r="DG76">
        <v>69.900000000000006</v>
      </c>
      <c r="DH76">
        <v>58.3</v>
      </c>
      <c r="DI76">
        <v>87.8</v>
      </c>
      <c r="DJ76">
        <v>38.5</v>
      </c>
      <c r="DK76">
        <v>62</v>
      </c>
      <c r="DL76">
        <v>56.3</v>
      </c>
      <c r="DM76">
        <v>74.7</v>
      </c>
      <c r="DN76">
        <v>0</v>
      </c>
      <c r="DO76">
        <v>0</v>
      </c>
      <c r="DP76">
        <v>0</v>
      </c>
      <c r="DQ76">
        <v>0</v>
      </c>
      <c r="DR76">
        <v>0</v>
      </c>
      <c r="DS76">
        <v>0</v>
      </c>
      <c r="DT76">
        <v>0</v>
      </c>
      <c r="DU76">
        <v>0</v>
      </c>
      <c r="DV76" t="s">
        <v>265</v>
      </c>
    </row>
    <row r="77" spans="1:126" x14ac:dyDescent="0.35">
      <c r="A77" t="s">
        <v>268</v>
      </c>
      <c r="B77">
        <v>230103</v>
      </c>
      <c r="C77" s="1">
        <v>44929</v>
      </c>
      <c r="D77" t="s">
        <v>269</v>
      </c>
      <c r="E77" t="s">
        <v>184</v>
      </c>
      <c r="F77" t="s">
        <v>185</v>
      </c>
      <c r="G77" t="s">
        <v>264</v>
      </c>
      <c r="H77">
        <v>15891</v>
      </c>
      <c r="I77" s="17">
        <v>744</v>
      </c>
      <c r="J77" s="17">
        <v>9107</v>
      </c>
      <c r="K77">
        <v>1619</v>
      </c>
      <c r="L77">
        <v>13449</v>
      </c>
      <c r="M77">
        <v>5140</v>
      </c>
      <c r="N77">
        <v>15812</v>
      </c>
      <c r="O77">
        <v>15866</v>
      </c>
      <c r="P77">
        <v>79</v>
      </c>
      <c r="Q77">
        <v>25</v>
      </c>
      <c r="R77">
        <v>15891</v>
      </c>
      <c r="S77">
        <v>744</v>
      </c>
      <c r="T77">
        <v>9107</v>
      </c>
      <c r="U77">
        <v>1619</v>
      </c>
      <c r="V77">
        <v>13449</v>
      </c>
      <c r="W77">
        <v>5140</v>
      </c>
      <c r="X77">
        <v>15812</v>
      </c>
      <c r="Y77">
        <v>15866</v>
      </c>
      <c r="Z77">
        <v>79</v>
      </c>
      <c r="AA77">
        <v>25</v>
      </c>
      <c r="AB77">
        <v>0</v>
      </c>
      <c r="AC77">
        <v>0</v>
      </c>
      <c r="AD77">
        <v>0</v>
      </c>
      <c r="AE77">
        <v>0</v>
      </c>
      <c r="AF77">
        <v>0</v>
      </c>
      <c r="AG77">
        <v>0</v>
      </c>
      <c r="AH77">
        <v>0</v>
      </c>
      <c r="AI77">
        <v>0</v>
      </c>
      <c r="AJ77">
        <v>0</v>
      </c>
      <c r="AK77">
        <v>0</v>
      </c>
      <c r="AL77">
        <v>-70</v>
      </c>
      <c r="AM77">
        <v>-96</v>
      </c>
      <c r="AN77">
        <v>80</v>
      </c>
      <c r="AO77">
        <v>-223</v>
      </c>
      <c r="AP77">
        <v>249</v>
      </c>
      <c r="AQ77">
        <v>73</v>
      </c>
      <c r="AR77">
        <v>-70</v>
      </c>
      <c r="AS77">
        <v>-70</v>
      </c>
      <c r="AT77">
        <v>0</v>
      </c>
      <c r="AU77">
        <v>0</v>
      </c>
      <c r="AV77">
        <v>100</v>
      </c>
      <c r="AW77">
        <v>4.7</v>
      </c>
      <c r="AX77">
        <v>57.3</v>
      </c>
      <c r="AY77">
        <v>10.199999999999999</v>
      </c>
      <c r="AZ77">
        <v>84.6</v>
      </c>
      <c r="BA77">
        <v>32.299999999999997</v>
      </c>
      <c r="BB77">
        <v>99.5</v>
      </c>
      <c r="BC77">
        <v>99.8</v>
      </c>
      <c r="BD77">
        <v>0.5</v>
      </c>
      <c r="BE77">
        <v>0.2</v>
      </c>
      <c r="BF77">
        <v>100</v>
      </c>
      <c r="BG77">
        <v>4.7</v>
      </c>
      <c r="BH77">
        <v>57.3</v>
      </c>
      <c r="BI77">
        <v>10.199999999999999</v>
      </c>
      <c r="BJ77">
        <v>84.6</v>
      </c>
      <c r="BK77">
        <v>32.299999999999997</v>
      </c>
      <c r="BL77">
        <v>99.5</v>
      </c>
      <c r="BM77">
        <v>99.8</v>
      </c>
      <c r="BN77">
        <v>0.5</v>
      </c>
      <c r="BO77">
        <v>0.2</v>
      </c>
      <c r="BP77">
        <v>0</v>
      </c>
      <c r="BQ77">
        <v>0</v>
      </c>
      <c r="BR77">
        <v>0</v>
      </c>
      <c r="BS77">
        <v>0</v>
      </c>
      <c r="BT77">
        <v>0</v>
      </c>
      <c r="BU77">
        <v>0</v>
      </c>
      <c r="BV77">
        <v>0</v>
      </c>
      <c r="BW77">
        <v>0</v>
      </c>
      <c r="BX77">
        <v>0</v>
      </c>
      <c r="BY77">
        <v>0</v>
      </c>
      <c r="BZ77">
        <v>34</v>
      </c>
      <c r="CA77">
        <v>2</v>
      </c>
      <c r="CB77">
        <v>5</v>
      </c>
      <c r="CC77">
        <v>5</v>
      </c>
      <c r="CD77">
        <v>26</v>
      </c>
      <c r="CE77">
        <v>17</v>
      </c>
      <c r="CF77">
        <v>32</v>
      </c>
      <c r="CG77">
        <v>23</v>
      </c>
      <c r="CH77">
        <v>34</v>
      </c>
      <c r="CI77">
        <v>2</v>
      </c>
      <c r="CJ77">
        <v>5</v>
      </c>
      <c r="CK77">
        <v>5</v>
      </c>
      <c r="CL77">
        <v>26</v>
      </c>
      <c r="CM77">
        <v>17</v>
      </c>
      <c r="CN77">
        <v>32</v>
      </c>
      <c r="CO77">
        <v>23</v>
      </c>
      <c r="CP77">
        <v>0</v>
      </c>
      <c r="CQ77">
        <v>0</v>
      </c>
      <c r="CR77">
        <v>0</v>
      </c>
      <c r="CS77">
        <v>0</v>
      </c>
      <c r="CT77">
        <v>0</v>
      </c>
      <c r="CU77">
        <v>0</v>
      </c>
      <c r="CV77">
        <v>0</v>
      </c>
      <c r="CW77">
        <v>0</v>
      </c>
      <c r="CX77">
        <v>36.6</v>
      </c>
      <c r="CY77">
        <v>64.900000000000006</v>
      </c>
      <c r="CZ77">
        <v>56.6</v>
      </c>
      <c r="DA77">
        <v>84</v>
      </c>
      <c r="DB77">
        <v>34.5</v>
      </c>
      <c r="DC77">
        <v>55.4</v>
      </c>
      <c r="DD77">
        <v>52.6</v>
      </c>
      <c r="DE77">
        <v>69.599999999999994</v>
      </c>
      <c r="DF77">
        <v>36.6</v>
      </c>
      <c r="DG77">
        <v>64.900000000000006</v>
      </c>
      <c r="DH77">
        <v>56.6</v>
      </c>
      <c r="DI77">
        <v>84</v>
      </c>
      <c r="DJ77">
        <v>34.5</v>
      </c>
      <c r="DK77">
        <v>55.4</v>
      </c>
      <c r="DL77">
        <v>52.6</v>
      </c>
      <c r="DM77">
        <v>69.599999999999994</v>
      </c>
      <c r="DN77">
        <v>0</v>
      </c>
      <c r="DO77">
        <v>0</v>
      </c>
      <c r="DP77">
        <v>0</v>
      </c>
      <c r="DQ77">
        <v>0</v>
      </c>
      <c r="DR77">
        <v>0</v>
      </c>
      <c r="DS77">
        <v>0</v>
      </c>
      <c r="DT77">
        <v>0</v>
      </c>
      <c r="DU77">
        <v>0</v>
      </c>
      <c r="DV77" t="s">
        <v>265</v>
      </c>
    </row>
    <row r="78" spans="1:126" x14ac:dyDescent="0.35">
      <c r="A78" t="s">
        <v>270</v>
      </c>
      <c r="B78">
        <v>230110</v>
      </c>
      <c r="C78" s="1">
        <v>44936</v>
      </c>
      <c r="D78" t="s">
        <v>271</v>
      </c>
      <c r="E78" t="s">
        <v>184</v>
      </c>
      <c r="F78" t="s">
        <v>185</v>
      </c>
      <c r="G78" t="s">
        <v>264</v>
      </c>
      <c r="H78">
        <v>3619</v>
      </c>
      <c r="I78" s="17">
        <v>250</v>
      </c>
      <c r="J78" s="17">
        <v>1068</v>
      </c>
      <c r="K78">
        <v>306</v>
      </c>
      <c r="L78">
        <v>2854</v>
      </c>
      <c r="M78">
        <v>2245</v>
      </c>
      <c r="N78">
        <v>3410</v>
      </c>
      <c r="O78">
        <v>3619</v>
      </c>
      <c r="P78">
        <v>209</v>
      </c>
      <c r="Q78">
        <v>0</v>
      </c>
      <c r="R78">
        <v>3619</v>
      </c>
      <c r="S78">
        <v>250</v>
      </c>
      <c r="T78">
        <v>1068</v>
      </c>
      <c r="U78">
        <v>306</v>
      </c>
      <c r="V78">
        <v>2854</v>
      </c>
      <c r="W78">
        <v>2245</v>
      </c>
      <c r="X78">
        <v>3410</v>
      </c>
      <c r="Y78">
        <v>3619</v>
      </c>
      <c r="Z78">
        <v>209</v>
      </c>
      <c r="AA78">
        <v>0</v>
      </c>
      <c r="AB78">
        <v>0</v>
      </c>
      <c r="AC78">
        <v>0</v>
      </c>
      <c r="AD78">
        <v>0</v>
      </c>
      <c r="AE78">
        <v>0</v>
      </c>
      <c r="AF78">
        <v>0</v>
      </c>
      <c r="AG78">
        <v>0</v>
      </c>
      <c r="AH78">
        <v>0</v>
      </c>
      <c r="AI78">
        <v>0</v>
      </c>
      <c r="AJ78">
        <v>0</v>
      </c>
      <c r="AK78">
        <v>0</v>
      </c>
      <c r="AL78">
        <v>-1734</v>
      </c>
      <c r="AM78">
        <v>-538</v>
      </c>
      <c r="AN78">
        <v>-923</v>
      </c>
      <c r="AO78">
        <v>-123</v>
      </c>
      <c r="AP78">
        <v>-1187</v>
      </c>
      <c r="AQ78">
        <v>-678</v>
      </c>
      <c r="AR78">
        <v>-1848</v>
      </c>
      <c r="AS78">
        <v>-1724</v>
      </c>
      <c r="AT78">
        <v>114</v>
      </c>
      <c r="AU78">
        <v>-10</v>
      </c>
      <c r="AV78">
        <v>100</v>
      </c>
      <c r="AW78">
        <v>6.9</v>
      </c>
      <c r="AX78">
        <v>29.5</v>
      </c>
      <c r="AY78">
        <v>8.5</v>
      </c>
      <c r="AZ78">
        <v>78.900000000000006</v>
      </c>
      <c r="BA78">
        <v>62</v>
      </c>
      <c r="BB78">
        <v>94.2</v>
      </c>
      <c r="BC78">
        <v>100</v>
      </c>
      <c r="BD78">
        <v>5.8</v>
      </c>
      <c r="BE78">
        <v>0</v>
      </c>
      <c r="BF78">
        <v>100</v>
      </c>
      <c r="BG78">
        <v>6.9</v>
      </c>
      <c r="BH78">
        <v>29.5</v>
      </c>
      <c r="BI78">
        <v>8.5</v>
      </c>
      <c r="BJ78">
        <v>78.900000000000006</v>
      </c>
      <c r="BK78">
        <v>62</v>
      </c>
      <c r="BL78">
        <v>94.2</v>
      </c>
      <c r="BM78">
        <v>100</v>
      </c>
      <c r="BN78">
        <v>5.8</v>
      </c>
      <c r="BO78">
        <v>0</v>
      </c>
      <c r="BP78">
        <v>0</v>
      </c>
      <c r="BQ78">
        <v>0</v>
      </c>
      <c r="BR78">
        <v>0</v>
      </c>
      <c r="BS78">
        <v>0</v>
      </c>
      <c r="BT78">
        <v>0</v>
      </c>
      <c r="BU78">
        <v>0</v>
      </c>
      <c r="BV78">
        <v>0</v>
      </c>
      <c r="BW78">
        <v>0</v>
      </c>
      <c r="BX78">
        <v>0</v>
      </c>
      <c r="BY78">
        <v>0</v>
      </c>
      <c r="BZ78">
        <v>27</v>
      </c>
      <c r="CA78">
        <v>2</v>
      </c>
      <c r="CB78">
        <v>4</v>
      </c>
      <c r="CC78">
        <v>4</v>
      </c>
      <c r="CD78">
        <v>15</v>
      </c>
      <c r="CE78">
        <v>14</v>
      </c>
      <c r="CF78">
        <v>19</v>
      </c>
      <c r="CG78">
        <v>20</v>
      </c>
      <c r="CH78">
        <v>27</v>
      </c>
      <c r="CI78">
        <v>2</v>
      </c>
      <c r="CJ78">
        <v>4</v>
      </c>
      <c r="CK78">
        <v>4</v>
      </c>
      <c r="CL78">
        <v>15</v>
      </c>
      <c r="CM78">
        <v>14</v>
      </c>
      <c r="CN78">
        <v>19</v>
      </c>
      <c r="CO78">
        <v>20</v>
      </c>
      <c r="CP78">
        <v>0</v>
      </c>
      <c r="CQ78">
        <v>0</v>
      </c>
      <c r="CR78">
        <v>0</v>
      </c>
      <c r="CS78">
        <v>0</v>
      </c>
      <c r="CT78">
        <v>0</v>
      </c>
      <c r="CU78">
        <v>0</v>
      </c>
      <c r="CV78">
        <v>0</v>
      </c>
      <c r="CW78">
        <v>0</v>
      </c>
      <c r="CX78">
        <v>50.3</v>
      </c>
      <c r="CY78">
        <v>54.2</v>
      </c>
      <c r="CZ78">
        <v>72.3</v>
      </c>
      <c r="DA78">
        <v>76.400000000000006</v>
      </c>
      <c r="DB78">
        <v>48</v>
      </c>
      <c r="DC78">
        <v>49.7</v>
      </c>
      <c r="DD78">
        <v>62.6</v>
      </c>
      <c r="DE78">
        <v>66.3</v>
      </c>
      <c r="DF78">
        <v>50.3</v>
      </c>
      <c r="DG78">
        <v>54.2</v>
      </c>
      <c r="DH78">
        <v>72.3</v>
      </c>
      <c r="DI78">
        <v>76.400000000000006</v>
      </c>
      <c r="DJ78">
        <v>48</v>
      </c>
      <c r="DK78">
        <v>49.7</v>
      </c>
      <c r="DL78">
        <v>62.6</v>
      </c>
      <c r="DM78">
        <v>66.3</v>
      </c>
      <c r="DN78">
        <v>0</v>
      </c>
      <c r="DO78">
        <v>0</v>
      </c>
      <c r="DP78">
        <v>0</v>
      </c>
      <c r="DQ78">
        <v>0</v>
      </c>
      <c r="DR78">
        <v>0</v>
      </c>
      <c r="DS78">
        <v>0</v>
      </c>
      <c r="DT78">
        <v>0</v>
      </c>
      <c r="DU78">
        <v>0</v>
      </c>
      <c r="DV78" t="s">
        <v>272</v>
      </c>
    </row>
    <row r="79" spans="1:126" x14ac:dyDescent="0.35">
      <c r="A79" t="s">
        <v>270</v>
      </c>
      <c r="B79">
        <v>230103</v>
      </c>
      <c r="C79" s="1">
        <v>44929</v>
      </c>
      <c r="D79" t="s">
        <v>271</v>
      </c>
      <c r="E79" t="s">
        <v>184</v>
      </c>
      <c r="F79" t="s">
        <v>185</v>
      </c>
      <c r="G79" t="s">
        <v>264</v>
      </c>
      <c r="H79">
        <v>5353</v>
      </c>
      <c r="I79" s="17">
        <v>788</v>
      </c>
      <c r="J79" s="17">
        <v>1991</v>
      </c>
      <c r="K79">
        <v>429</v>
      </c>
      <c r="L79">
        <v>4041</v>
      </c>
      <c r="M79">
        <v>2923</v>
      </c>
      <c r="N79">
        <v>5258</v>
      </c>
      <c r="O79">
        <v>5343</v>
      </c>
      <c r="P79">
        <v>95</v>
      </c>
      <c r="Q79">
        <v>10</v>
      </c>
      <c r="R79">
        <v>5353</v>
      </c>
      <c r="S79">
        <v>788</v>
      </c>
      <c r="T79">
        <v>1991</v>
      </c>
      <c r="U79">
        <v>429</v>
      </c>
      <c r="V79">
        <v>4041</v>
      </c>
      <c r="W79">
        <v>2923</v>
      </c>
      <c r="X79">
        <v>5258</v>
      </c>
      <c r="Y79">
        <v>5343</v>
      </c>
      <c r="Z79">
        <v>95</v>
      </c>
      <c r="AA79">
        <v>10</v>
      </c>
      <c r="AB79">
        <v>0</v>
      </c>
      <c r="AC79">
        <v>0</v>
      </c>
      <c r="AD79">
        <v>0</v>
      </c>
      <c r="AE79">
        <v>0</v>
      </c>
      <c r="AF79">
        <v>0</v>
      </c>
      <c r="AG79">
        <v>0</v>
      </c>
      <c r="AH79">
        <v>0</v>
      </c>
      <c r="AI79">
        <v>0</v>
      </c>
      <c r="AJ79">
        <v>0</v>
      </c>
      <c r="AK79">
        <v>0</v>
      </c>
      <c r="AL79">
        <v>19</v>
      </c>
      <c r="AM79">
        <v>30</v>
      </c>
      <c r="AN79">
        <v>1</v>
      </c>
      <c r="AO79">
        <v>-8</v>
      </c>
      <c r="AP79">
        <v>-13</v>
      </c>
      <c r="AQ79">
        <v>26</v>
      </c>
      <c r="AR79">
        <v>9</v>
      </c>
      <c r="AS79">
        <v>19</v>
      </c>
      <c r="AT79">
        <v>10</v>
      </c>
      <c r="AU79">
        <v>0</v>
      </c>
      <c r="AV79">
        <v>100</v>
      </c>
      <c r="AW79">
        <v>14.7</v>
      </c>
      <c r="AX79">
        <v>37.200000000000003</v>
      </c>
      <c r="AY79">
        <v>8</v>
      </c>
      <c r="AZ79">
        <v>75.5</v>
      </c>
      <c r="BA79">
        <v>54.6</v>
      </c>
      <c r="BB79">
        <v>98.2</v>
      </c>
      <c r="BC79">
        <v>99.8</v>
      </c>
      <c r="BD79">
        <v>1.8</v>
      </c>
      <c r="BE79">
        <v>0.2</v>
      </c>
      <c r="BF79">
        <v>100</v>
      </c>
      <c r="BG79">
        <v>14.7</v>
      </c>
      <c r="BH79">
        <v>37.200000000000003</v>
      </c>
      <c r="BI79">
        <v>8</v>
      </c>
      <c r="BJ79">
        <v>75.5</v>
      </c>
      <c r="BK79">
        <v>54.6</v>
      </c>
      <c r="BL79">
        <v>98.2</v>
      </c>
      <c r="BM79">
        <v>99.8</v>
      </c>
      <c r="BN79">
        <v>1.8</v>
      </c>
      <c r="BO79">
        <v>0.2</v>
      </c>
      <c r="BP79">
        <v>0</v>
      </c>
      <c r="BQ79">
        <v>0</v>
      </c>
      <c r="BR79">
        <v>0</v>
      </c>
      <c r="BS79">
        <v>0</v>
      </c>
      <c r="BT79">
        <v>0</v>
      </c>
      <c r="BU79">
        <v>0</v>
      </c>
      <c r="BV79">
        <v>0</v>
      </c>
      <c r="BW79">
        <v>0</v>
      </c>
      <c r="BX79">
        <v>0</v>
      </c>
      <c r="BY79">
        <v>0</v>
      </c>
      <c r="BZ79">
        <v>29</v>
      </c>
      <c r="CA79">
        <v>3</v>
      </c>
      <c r="CB79">
        <v>3</v>
      </c>
      <c r="CC79">
        <v>5</v>
      </c>
      <c r="CD79">
        <v>20</v>
      </c>
      <c r="CE79">
        <v>14</v>
      </c>
      <c r="CF79">
        <v>25</v>
      </c>
      <c r="CG79">
        <v>20</v>
      </c>
      <c r="CH79">
        <v>29</v>
      </c>
      <c r="CI79">
        <v>3</v>
      </c>
      <c r="CJ79">
        <v>3</v>
      </c>
      <c r="CK79">
        <v>5</v>
      </c>
      <c r="CL79">
        <v>20</v>
      </c>
      <c r="CM79">
        <v>14</v>
      </c>
      <c r="CN79">
        <v>25</v>
      </c>
      <c r="CO79">
        <v>20</v>
      </c>
      <c r="CP79">
        <v>0</v>
      </c>
      <c r="CQ79">
        <v>0</v>
      </c>
      <c r="CR79">
        <v>0</v>
      </c>
      <c r="CS79">
        <v>0</v>
      </c>
      <c r="CT79">
        <v>0</v>
      </c>
      <c r="CU79">
        <v>0</v>
      </c>
      <c r="CV79">
        <v>0</v>
      </c>
      <c r="CW79">
        <v>0</v>
      </c>
      <c r="CX79">
        <v>48.1</v>
      </c>
      <c r="CY79">
        <v>62.7</v>
      </c>
      <c r="CZ79">
        <v>71.8</v>
      </c>
      <c r="DA79">
        <v>81.099999999999994</v>
      </c>
      <c r="DB79">
        <v>43.2</v>
      </c>
      <c r="DC79">
        <v>56.8</v>
      </c>
      <c r="DD79">
        <v>64.8</v>
      </c>
      <c r="DE79">
        <v>70.8</v>
      </c>
      <c r="DF79">
        <v>48.1</v>
      </c>
      <c r="DG79">
        <v>62.7</v>
      </c>
      <c r="DH79">
        <v>71.8</v>
      </c>
      <c r="DI79">
        <v>81.099999999999994</v>
      </c>
      <c r="DJ79">
        <v>43.2</v>
      </c>
      <c r="DK79">
        <v>56.8</v>
      </c>
      <c r="DL79">
        <v>64.8</v>
      </c>
      <c r="DM79">
        <v>70.8</v>
      </c>
      <c r="DN79">
        <v>0</v>
      </c>
      <c r="DO79">
        <v>0</v>
      </c>
      <c r="DP79">
        <v>0</v>
      </c>
      <c r="DQ79">
        <v>0</v>
      </c>
      <c r="DR79">
        <v>0</v>
      </c>
      <c r="DS79">
        <v>0</v>
      </c>
      <c r="DT79">
        <v>0</v>
      </c>
      <c r="DU79">
        <v>0</v>
      </c>
      <c r="DV79" t="s">
        <v>272</v>
      </c>
    </row>
    <row r="80" spans="1:126" x14ac:dyDescent="0.35">
      <c r="A80" t="s">
        <v>273</v>
      </c>
      <c r="B80">
        <v>230110</v>
      </c>
      <c r="C80" s="1">
        <v>44936</v>
      </c>
      <c r="D80" t="s">
        <v>274</v>
      </c>
      <c r="E80" t="s">
        <v>227</v>
      </c>
      <c r="F80" t="s">
        <v>185</v>
      </c>
      <c r="G80" t="s">
        <v>275</v>
      </c>
      <c r="H80">
        <v>260845</v>
      </c>
      <c r="I80" s="17">
        <v>38662</v>
      </c>
      <c r="J80" s="17">
        <v>21893</v>
      </c>
      <c r="K80">
        <v>45073</v>
      </c>
      <c r="L80">
        <v>131465</v>
      </c>
      <c r="M80">
        <v>166500</v>
      </c>
      <c r="N80">
        <v>215200</v>
      </c>
      <c r="O80">
        <v>233466</v>
      </c>
      <c r="P80">
        <v>45645</v>
      </c>
      <c r="Q80">
        <v>27379</v>
      </c>
      <c r="R80">
        <v>260845</v>
      </c>
      <c r="S80">
        <v>38662</v>
      </c>
      <c r="T80">
        <v>21893</v>
      </c>
      <c r="U80">
        <v>45073</v>
      </c>
      <c r="V80">
        <v>131465</v>
      </c>
      <c r="W80">
        <v>166500</v>
      </c>
      <c r="X80">
        <v>215200</v>
      </c>
      <c r="Y80">
        <v>233466</v>
      </c>
      <c r="Z80">
        <v>45645</v>
      </c>
      <c r="AA80">
        <v>27379</v>
      </c>
      <c r="AB80">
        <v>0</v>
      </c>
      <c r="AC80">
        <v>0</v>
      </c>
      <c r="AD80">
        <v>0</v>
      </c>
      <c r="AE80">
        <v>0</v>
      </c>
      <c r="AF80">
        <v>0</v>
      </c>
      <c r="AG80">
        <v>0</v>
      </c>
      <c r="AH80">
        <v>0</v>
      </c>
      <c r="AI80">
        <v>0</v>
      </c>
      <c r="AJ80">
        <v>0</v>
      </c>
      <c r="AK80">
        <v>0</v>
      </c>
      <c r="AL80">
        <v>8640</v>
      </c>
      <c r="AM80">
        <v>-648</v>
      </c>
      <c r="AN80">
        <v>-804</v>
      </c>
      <c r="AO80">
        <v>5471</v>
      </c>
      <c r="AP80">
        <v>3031</v>
      </c>
      <c r="AQ80">
        <v>4035</v>
      </c>
      <c r="AR80">
        <v>7854</v>
      </c>
      <c r="AS80">
        <v>8702</v>
      </c>
      <c r="AT80">
        <v>786</v>
      </c>
      <c r="AU80">
        <v>-62</v>
      </c>
      <c r="AV80">
        <v>100</v>
      </c>
      <c r="AW80">
        <v>14.8</v>
      </c>
      <c r="AX80">
        <v>8.4</v>
      </c>
      <c r="AY80">
        <v>17.3</v>
      </c>
      <c r="AZ80">
        <v>50.4</v>
      </c>
      <c r="BA80">
        <v>63.8</v>
      </c>
      <c r="BB80">
        <v>82.5</v>
      </c>
      <c r="BC80">
        <v>89.5</v>
      </c>
      <c r="BD80">
        <v>17.5</v>
      </c>
      <c r="BE80">
        <v>10.5</v>
      </c>
      <c r="BF80">
        <v>100</v>
      </c>
      <c r="BG80">
        <v>14.8</v>
      </c>
      <c r="BH80">
        <v>8.4</v>
      </c>
      <c r="BI80">
        <v>17.3</v>
      </c>
      <c r="BJ80">
        <v>50.4</v>
      </c>
      <c r="BK80">
        <v>63.8</v>
      </c>
      <c r="BL80">
        <v>82.5</v>
      </c>
      <c r="BM80">
        <v>89.5</v>
      </c>
      <c r="BN80">
        <v>17.5</v>
      </c>
      <c r="BO80">
        <v>10.5</v>
      </c>
      <c r="BP80">
        <v>0</v>
      </c>
      <c r="BQ80">
        <v>0</v>
      </c>
      <c r="BR80">
        <v>0</v>
      </c>
      <c r="BS80">
        <v>0</v>
      </c>
      <c r="BT80">
        <v>0</v>
      </c>
      <c r="BU80">
        <v>0</v>
      </c>
      <c r="BV80">
        <v>0</v>
      </c>
      <c r="BW80">
        <v>0</v>
      </c>
      <c r="BX80">
        <v>0</v>
      </c>
      <c r="BY80">
        <v>0</v>
      </c>
      <c r="BZ80">
        <v>158</v>
      </c>
      <c r="CA80">
        <v>47</v>
      </c>
      <c r="CB80">
        <v>26</v>
      </c>
      <c r="CC80">
        <v>44</v>
      </c>
      <c r="CD80">
        <v>63</v>
      </c>
      <c r="CE80">
        <v>76</v>
      </c>
      <c r="CF80">
        <v>127</v>
      </c>
      <c r="CG80">
        <v>130</v>
      </c>
      <c r="CH80">
        <v>158</v>
      </c>
      <c r="CI80">
        <v>47</v>
      </c>
      <c r="CJ80">
        <v>26</v>
      </c>
      <c r="CK80">
        <v>44</v>
      </c>
      <c r="CL80">
        <v>63</v>
      </c>
      <c r="CM80">
        <v>76</v>
      </c>
      <c r="CN80">
        <v>127</v>
      </c>
      <c r="CO80">
        <v>130</v>
      </c>
      <c r="CP80">
        <v>0</v>
      </c>
      <c r="CQ80">
        <v>0</v>
      </c>
      <c r="CR80">
        <v>0</v>
      </c>
      <c r="CS80">
        <v>0</v>
      </c>
      <c r="CT80">
        <v>0</v>
      </c>
      <c r="CU80">
        <v>0</v>
      </c>
      <c r="CV80">
        <v>0</v>
      </c>
      <c r="CW80">
        <v>0</v>
      </c>
      <c r="CX80">
        <v>12.6</v>
      </c>
      <c r="CY80">
        <v>18.3</v>
      </c>
      <c r="CZ80">
        <v>20.8</v>
      </c>
      <c r="DA80">
        <v>30.6</v>
      </c>
      <c r="DB80">
        <v>7.4</v>
      </c>
      <c r="DC80">
        <v>14.6</v>
      </c>
      <c r="DD80">
        <v>13.2</v>
      </c>
      <c r="DE80">
        <v>22.4</v>
      </c>
      <c r="DF80">
        <v>12.6</v>
      </c>
      <c r="DG80">
        <v>18.3</v>
      </c>
      <c r="DH80">
        <v>20.8</v>
      </c>
      <c r="DI80">
        <v>30.6</v>
      </c>
      <c r="DJ80">
        <v>7.4</v>
      </c>
      <c r="DK80">
        <v>14.6</v>
      </c>
      <c r="DL80">
        <v>13.2</v>
      </c>
      <c r="DM80">
        <v>22.4</v>
      </c>
      <c r="DN80">
        <v>0</v>
      </c>
      <c r="DO80">
        <v>0</v>
      </c>
      <c r="DP80">
        <v>0</v>
      </c>
      <c r="DQ80">
        <v>0</v>
      </c>
      <c r="DR80">
        <v>0</v>
      </c>
      <c r="DS80">
        <v>0</v>
      </c>
      <c r="DT80">
        <v>0</v>
      </c>
      <c r="DU80">
        <v>0</v>
      </c>
      <c r="DV80" t="s">
        <v>276</v>
      </c>
    </row>
    <row r="81" spans="1:126" x14ac:dyDescent="0.35">
      <c r="A81" t="s">
        <v>273</v>
      </c>
      <c r="B81">
        <v>230103</v>
      </c>
      <c r="C81" s="1">
        <v>44929</v>
      </c>
      <c r="D81" t="s">
        <v>274</v>
      </c>
      <c r="E81" t="s">
        <v>227</v>
      </c>
      <c r="F81" t="s">
        <v>185</v>
      </c>
      <c r="G81" t="s">
        <v>275</v>
      </c>
      <c r="H81">
        <v>252205</v>
      </c>
      <c r="I81" s="17">
        <v>39310</v>
      </c>
      <c r="J81" s="17">
        <v>22697</v>
      </c>
      <c r="K81">
        <v>39602</v>
      </c>
      <c r="L81">
        <v>128434</v>
      </c>
      <c r="M81">
        <v>162465</v>
      </c>
      <c r="N81">
        <v>207346</v>
      </c>
      <c r="O81">
        <v>224764</v>
      </c>
      <c r="P81">
        <v>44859</v>
      </c>
      <c r="Q81">
        <v>27441</v>
      </c>
      <c r="R81">
        <v>252205</v>
      </c>
      <c r="S81">
        <v>39310</v>
      </c>
      <c r="T81">
        <v>22697</v>
      </c>
      <c r="U81">
        <v>39602</v>
      </c>
      <c r="V81">
        <v>128434</v>
      </c>
      <c r="W81">
        <v>162465</v>
      </c>
      <c r="X81">
        <v>207346</v>
      </c>
      <c r="Y81">
        <v>224764</v>
      </c>
      <c r="Z81">
        <v>44859</v>
      </c>
      <c r="AA81">
        <v>27441</v>
      </c>
      <c r="AB81">
        <v>0</v>
      </c>
      <c r="AC81">
        <v>0</v>
      </c>
      <c r="AD81">
        <v>0</v>
      </c>
      <c r="AE81">
        <v>0</v>
      </c>
      <c r="AF81">
        <v>0</v>
      </c>
      <c r="AG81">
        <v>0</v>
      </c>
      <c r="AH81">
        <v>0</v>
      </c>
      <c r="AI81">
        <v>0</v>
      </c>
      <c r="AJ81">
        <v>0</v>
      </c>
      <c r="AK81">
        <v>0</v>
      </c>
      <c r="AL81">
        <v>-5199</v>
      </c>
      <c r="AM81">
        <v>-759</v>
      </c>
      <c r="AN81">
        <v>3035</v>
      </c>
      <c r="AO81">
        <v>167</v>
      </c>
      <c r="AP81">
        <v>-4501</v>
      </c>
      <c r="AQ81">
        <v>-9476</v>
      </c>
      <c r="AR81">
        <v>-5093</v>
      </c>
      <c r="AS81">
        <v>-6274</v>
      </c>
      <c r="AT81">
        <v>-106</v>
      </c>
      <c r="AU81">
        <v>1075</v>
      </c>
      <c r="AV81">
        <v>100</v>
      </c>
      <c r="AW81">
        <v>15.6</v>
      </c>
      <c r="AX81">
        <v>9</v>
      </c>
      <c r="AY81">
        <v>15.7</v>
      </c>
      <c r="AZ81">
        <v>50.9</v>
      </c>
      <c r="BA81">
        <v>64.400000000000006</v>
      </c>
      <c r="BB81">
        <v>82.2</v>
      </c>
      <c r="BC81">
        <v>89.1</v>
      </c>
      <c r="BD81">
        <v>17.8</v>
      </c>
      <c r="BE81">
        <v>10.9</v>
      </c>
      <c r="BF81">
        <v>100</v>
      </c>
      <c r="BG81">
        <v>15.6</v>
      </c>
      <c r="BH81">
        <v>9</v>
      </c>
      <c r="BI81">
        <v>15.7</v>
      </c>
      <c r="BJ81">
        <v>50.9</v>
      </c>
      <c r="BK81">
        <v>64.400000000000006</v>
      </c>
      <c r="BL81">
        <v>82.2</v>
      </c>
      <c r="BM81">
        <v>89.1</v>
      </c>
      <c r="BN81">
        <v>17.8</v>
      </c>
      <c r="BO81">
        <v>10.9</v>
      </c>
      <c r="BP81">
        <v>0</v>
      </c>
      <c r="BQ81">
        <v>0</v>
      </c>
      <c r="BR81">
        <v>0</v>
      </c>
      <c r="BS81">
        <v>0</v>
      </c>
      <c r="BT81">
        <v>0</v>
      </c>
      <c r="BU81">
        <v>0</v>
      </c>
      <c r="BV81">
        <v>0</v>
      </c>
      <c r="BW81">
        <v>0</v>
      </c>
      <c r="BX81">
        <v>0</v>
      </c>
      <c r="BY81">
        <v>0</v>
      </c>
      <c r="BZ81">
        <v>148</v>
      </c>
      <c r="CA81">
        <v>38</v>
      </c>
      <c r="CB81">
        <v>26</v>
      </c>
      <c r="CC81">
        <v>40</v>
      </c>
      <c r="CD81">
        <v>64</v>
      </c>
      <c r="CE81">
        <v>76</v>
      </c>
      <c r="CF81">
        <v>122</v>
      </c>
      <c r="CG81">
        <v>123</v>
      </c>
      <c r="CH81">
        <v>148</v>
      </c>
      <c r="CI81">
        <v>38</v>
      </c>
      <c r="CJ81">
        <v>26</v>
      </c>
      <c r="CK81">
        <v>40</v>
      </c>
      <c r="CL81">
        <v>64</v>
      </c>
      <c r="CM81">
        <v>76</v>
      </c>
      <c r="CN81">
        <v>122</v>
      </c>
      <c r="CO81">
        <v>123</v>
      </c>
      <c r="CP81">
        <v>0</v>
      </c>
      <c r="CQ81">
        <v>0</v>
      </c>
      <c r="CR81">
        <v>0</v>
      </c>
      <c r="CS81">
        <v>0</v>
      </c>
      <c r="CT81">
        <v>0</v>
      </c>
      <c r="CU81">
        <v>0</v>
      </c>
      <c r="CV81">
        <v>0</v>
      </c>
      <c r="CW81">
        <v>0</v>
      </c>
      <c r="CX81">
        <v>14.2</v>
      </c>
      <c r="CY81">
        <v>20.8</v>
      </c>
      <c r="CZ81">
        <v>22.5</v>
      </c>
      <c r="DA81">
        <v>33.700000000000003</v>
      </c>
      <c r="DB81">
        <v>8</v>
      </c>
      <c r="DC81">
        <v>15.2</v>
      </c>
      <c r="DD81">
        <v>14.2</v>
      </c>
      <c r="DE81">
        <v>23.1</v>
      </c>
      <c r="DF81">
        <v>14.2</v>
      </c>
      <c r="DG81">
        <v>20.8</v>
      </c>
      <c r="DH81">
        <v>22.5</v>
      </c>
      <c r="DI81">
        <v>33.700000000000003</v>
      </c>
      <c r="DJ81">
        <v>8</v>
      </c>
      <c r="DK81">
        <v>15.2</v>
      </c>
      <c r="DL81">
        <v>14.2</v>
      </c>
      <c r="DM81">
        <v>23.1</v>
      </c>
      <c r="DN81">
        <v>0</v>
      </c>
      <c r="DO81">
        <v>0</v>
      </c>
      <c r="DP81">
        <v>0</v>
      </c>
      <c r="DQ81">
        <v>0</v>
      </c>
      <c r="DR81">
        <v>0</v>
      </c>
      <c r="DS81">
        <v>0</v>
      </c>
      <c r="DT81">
        <v>0</v>
      </c>
      <c r="DU81">
        <v>0</v>
      </c>
      <c r="DV81" t="s">
        <v>276</v>
      </c>
    </row>
    <row r="82" spans="1:126" x14ac:dyDescent="0.35">
      <c r="A82" t="s">
        <v>277</v>
      </c>
      <c r="B82">
        <v>230110</v>
      </c>
      <c r="C82" s="1">
        <v>44936</v>
      </c>
      <c r="D82" t="s">
        <v>278</v>
      </c>
      <c r="E82" t="s">
        <v>227</v>
      </c>
      <c r="F82" t="s">
        <v>185</v>
      </c>
      <c r="G82" t="s">
        <v>275</v>
      </c>
      <c r="H82">
        <v>22901</v>
      </c>
      <c r="I82" s="17">
        <v>1625</v>
      </c>
      <c r="J82" s="17">
        <v>0</v>
      </c>
      <c r="K82">
        <v>170</v>
      </c>
      <c r="L82">
        <v>10729</v>
      </c>
      <c r="M82">
        <v>17779</v>
      </c>
      <c r="N82">
        <v>12524</v>
      </c>
      <c r="O82">
        <v>17949</v>
      </c>
      <c r="P82">
        <v>10377</v>
      </c>
      <c r="Q82">
        <v>4952</v>
      </c>
      <c r="R82">
        <v>22901</v>
      </c>
      <c r="S82">
        <v>1625</v>
      </c>
      <c r="T82">
        <v>0</v>
      </c>
      <c r="U82">
        <v>170</v>
      </c>
      <c r="V82">
        <v>10729</v>
      </c>
      <c r="W82">
        <v>17779</v>
      </c>
      <c r="X82">
        <v>12524</v>
      </c>
      <c r="Y82">
        <v>17949</v>
      </c>
      <c r="Z82">
        <v>10377</v>
      </c>
      <c r="AA82">
        <v>4952</v>
      </c>
      <c r="AB82">
        <v>0</v>
      </c>
      <c r="AC82">
        <v>0</v>
      </c>
      <c r="AD82">
        <v>0</v>
      </c>
      <c r="AE82">
        <v>0</v>
      </c>
      <c r="AF82">
        <v>0</v>
      </c>
      <c r="AG82">
        <v>0</v>
      </c>
      <c r="AH82">
        <v>0</v>
      </c>
      <c r="AI82">
        <v>0</v>
      </c>
      <c r="AJ82">
        <v>0</v>
      </c>
      <c r="AK82">
        <v>0</v>
      </c>
      <c r="AL82">
        <v>-1900</v>
      </c>
      <c r="AM82">
        <v>110</v>
      </c>
      <c r="AN82">
        <v>0</v>
      </c>
      <c r="AO82">
        <v>-375</v>
      </c>
      <c r="AP82">
        <v>-2537</v>
      </c>
      <c r="AQ82">
        <v>-3315</v>
      </c>
      <c r="AR82">
        <v>-2802</v>
      </c>
      <c r="AS82">
        <v>-3690</v>
      </c>
      <c r="AT82">
        <v>902</v>
      </c>
      <c r="AU82">
        <v>1790</v>
      </c>
      <c r="AV82">
        <v>100</v>
      </c>
      <c r="AW82">
        <v>7.1</v>
      </c>
      <c r="AX82">
        <v>0</v>
      </c>
      <c r="AY82">
        <v>0.7</v>
      </c>
      <c r="AZ82">
        <v>46.8</v>
      </c>
      <c r="BA82">
        <v>77.599999999999994</v>
      </c>
      <c r="BB82">
        <v>54.7</v>
      </c>
      <c r="BC82">
        <v>78.400000000000006</v>
      </c>
      <c r="BD82">
        <v>45.3</v>
      </c>
      <c r="BE82">
        <v>21.6</v>
      </c>
      <c r="BF82">
        <v>100</v>
      </c>
      <c r="BG82">
        <v>7.1</v>
      </c>
      <c r="BH82">
        <v>0</v>
      </c>
      <c r="BI82">
        <v>0.7</v>
      </c>
      <c r="BJ82">
        <v>46.8</v>
      </c>
      <c r="BK82">
        <v>77.599999999999994</v>
      </c>
      <c r="BL82">
        <v>54.7</v>
      </c>
      <c r="BM82">
        <v>78.400000000000006</v>
      </c>
      <c r="BN82">
        <v>45.3</v>
      </c>
      <c r="BO82">
        <v>21.6</v>
      </c>
      <c r="BP82">
        <v>0</v>
      </c>
      <c r="BQ82">
        <v>0</v>
      </c>
      <c r="BR82">
        <v>0</v>
      </c>
      <c r="BS82">
        <v>0</v>
      </c>
      <c r="BT82">
        <v>0</v>
      </c>
      <c r="BU82">
        <v>0</v>
      </c>
      <c r="BV82">
        <v>0</v>
      </c>
      <c r="BW82">
        <v>0</v>
      </c>
      <c r="BX82">
        <v>0</v>
      </c>
      <c r="BY82">
        <v>0</v>
      </c>
      <c r="BZ82">
        <v>20</v>
      </c>
      <c r="CA82">
        <v>2</v>
      </c>
      <c r="CB82">
        <v>0</v>
      </c>
      <c r="CC82">
        <v>1</v>
      </c>
      <c r="CD82">
        <v>14</v>
      </c>
      <c r="CE82">
        <v>14</v>
      </c>
      <c r="CF82">
        <v>16</v>
      </c>
      <c r="CG82">
        <v>15</v>
      </c>
      <c r="CH82">
        <v>20</v>
      </c>
      <c r="CI82">
        <v>2</v>
      </c>
      <c r="CJ82">
        <v>0</v>
      </c>
      <c r="CK82">
        <v>1</v>
      </c>
      <c r="CL82">
        <v>14</v>
      </c>
      <c r="CM82">
        <v>14</v>
      </c>
      <c r="CN82">
        <v>16</v>
      </c>
      <c r="CO82">
        <v>15</v>
      </c>
      <c r="CP82">
        <v>0</v>
      </c>
      <c r="CQ82">
        <v>0</v>
      </c>
      <c r="CR82">
        <v>0</v>
      </c>
      <c r="CS82">
        <v>0</v>
      </c>
      <c r="CT82">
        <v>0</v>
      </c>
      <c r="CU82">
        <v>0</v>
      </c>
      <c r="CV82">
        <v>0</v>
      </c>
      <c r="CW82">
        <v>0</v>
      </c>
      <c r="CX82">
        <v>31.1</v>
      </c>
      <c r="CY82">
        <v>59.5</v>
      </c>
      <c r="CZ82">
        <v>44.7</v>
      </c>
      <c r="DA82">
        <v>73</v>
      </c>
      <c r="DB82">
        <v>21.8</v>
      </c>
      <c r="DC82">
        <v>55.4</v>
      </c>
      <c r="DD82">
        <v>31.5</v>
      </c>
      <c r="DE82">
        <v>61.2</v>
      </c>
      <c r="DF82">
        <v>31.1</v>
      </c>
      <c r="DG82">
        <v>59.5</v>
      </c>
      <c r="DH82">
        <v>44.7</v>
      </c>
      <c r="DI82">
        <v>73</v>
      </c>
      <c r="DJ82">
        <v>21.8</v>
      </c>
      <c r="DK82">
        <v>55.4</v>
      </c>
      <c r="DL82">
        <v>31.5</v>
      </c>
      <c r="DM82">
        <v>61.2</v>
      </c>
      <c r="DN82">
        <v>0</v>
      </c>
      <c r="DO82">
        <v>0</v>
      </c>
      <c r="DP82">
        <v>0</v>
      </c>
      <c r="DQ82">
        <v>0</v>
      </c>
      <c r="DR82">
        <v>0</v>
      </c>
      <c r="DS82">
        <v>0</v>
      </c>
      <c r="DT82">
        <v>0</v>
      </c>
      <c r="DU82">
        <v>0</v>
      </c>
      <c r="DV82" t="s">
        <v>279</v>
      </c>
    </row>
    <row r="83" spans="1:126" x14ac:dyDescent="0.35">
      <c r="A83" t="s">
        <v>277</v>
      </c>
      <c r="B83">
        <v>230103</v>
      </c>
      <c r="C83" s="1">
        <v>44929</v>
      </c>
      <c r="D83" t="s">
        <v>278</v>
      </c>
      <c r="E83" t="s">
        <v>227</v>
      </c>
      <c r="F83" t="s">
        <v>185</v>
      </c>
      <c r="G83" t="s">
        <v>275</v>
      </c>
      <c r="H83">
        <v>24801</v>
      </c>
      <c r="I83" s="17">
        <v>1515</v>
      </c>
      <c r="J83" s="17">
        <v>0</v>
      </c>
      <c r="K83">
        <v>545</v>
      </c>
      <c r="L83">
        <v>13266</v>
      </c>
      <c r="M83">
        <v>21094</v>
      </c>
      <c r="N83">
        <v>15326</v>
      </c>
      <c r="O83">
        <v>21639</v>
      </c>
      <c r="P83">
        <v>9475</v>
      </c>
      <c r="Q83">
        <v>3162</v>
      </c>
      <c r="R83">
        <v>24801</v>
      </c>
      <c r="S83">
        <v>1515</v>
      </c>
      <c r="T83">
        <v>0</v>
      </c>
      <c r="U83">
        <v>545</v>
      </c>
      <c r="V83">
        <v>13266</v>
      </c>
      <c r="W83">
        <v>21094</v>
      </c>
      <c r="X83">
        <v>15326</v>
      </c>
      <c r="Y83">
        <v>21639</v>
      </c>
      <c r="Z83">
        <v>9475</v>
      </c>
      <c r="AA83">
        <v>3162</v>
      </c>
      <c r="AB83">
        <v>0</v>
      </c>
      <c r="AC83">
        <v>0</v>
      </c>
      <c r="AD83">
        <v>0</v>
      </c>
      <c r="AE83">
        <v>0</v>
      </c>
      <c r="AF83">
        <v>0</v>
      </c>
      <c r="AG83">
        <v>0</v>
      </c>
      <c r="AH83">
        <v>0</v>
      </c>
      <c r="AI83">
        <v>0</v>
      </c>
      <c r="AJ83">
        <v>0</v>
      </c>
      <c r="AK83">
        <v>0</v>
      </c>
      <c r="AL83">
        <v>256</v>
      </c>
      <c r="AM83">
        <v>390</v>
      </c>
      <c r="AN83">
        <v>-945</v>
      </c>
      <c r="AO83">
        <v>505</v>
      </c>
      <c r="AP83">
        <v>-591</v>
      </c>
      <c r="AQ83">
        <v>1023</v>
      </c>
      <c r="AR83">
        <v>304</v>
      </c>
      <c r="AS83">
        <v>583</v>
      </c>
      <c r="AT83">
        <v>-48</v>
      </c>
      <c r="AU83">
        <v>-327</v>
      </c>
      <c r="AV83">
        <v>100</v>
      </c>
      <c r="AW83">
        <v>6.1</v>
      </c>
      <c r="AX83">
        <v>0</v>
      </c>
      <c r="AY83">
        <v>2.2000000000000002</v>
      </c>
      <c r="AZ83">
        <v>53.5</v>
      </c>
      <c r="BA83">
        <v>85.1</v>
      </c>
      <c r="BB83">
        <v>61.8</v>
      </c>
      <c r="BC83">
        <v>87.3</v>
      </c>
      <c r="BD83">
        <v>38.200000000000003</v>
      </c>
      <c r="BE83">
        <v>12.7</v>
      </c>
      <c r="BF83">
        <v>100</v>
      </c>
      <c r="BG83">
        <v>6.1</v>
      </c>
      <c r="BH83">
        <v>0</v>
      </c>
      <c r="BI83">
        <v>2.2000000000000002</v>
      </c>
      <c r="BJ83">
        <v>53.5</v>
      </c>
      <c r="BK83">
        <v>85.1</v>
      </c>
      <c r="BL83">
        <v>61.8</v>
      </c>
      <c r="BM83">
        <v>87.3</v>
      </c>
      <c r="BN83">
        <v>38.200000000000003</v>
      </c>
      <c r="BO83">
        <v>12.7</v>
      </c>
      <c r="BP83">
        <v>0</v>
      </c>
      <c r="BQ83">
        <v>0</v>
      </c>
      <c r="BR83">
        <v>0</v>
      </c>
      <c r="BS83">
        <v>0</v>
      </c>
      <c r="BT83">
        <v>0</v>
      </c>
      <c r="BU83">
        <v>0</v>
      </c>
      <c r="BV83">
        <v>0</v>
      </c>
      <c r="BW83">
        <v>0</v>
      </c>
      <c r="BX83">
        <v>0</v>
      </c>
      <c r="BY83">
        <v>0</v>
      </c>
      <c r="BZ83">
        <v>22</v>
      </c>
      <c r="CA83">
        <v>2</v>
      </c>
      <c r="CB83">
        <v>0</v>
      </c>
      <c r="CC83">
        <v>1</v>
      </c>
      <c r="CD83">
        <v>13</v>
      </c>
      <c r="CE83">
        <v>18</v>
      </c>
      <c r="CF83">
        <v>15</v>
      </c>
      <c r="CG83">
        <v>19</v>
      </c>
      <c r="CH83">
        <v>22</v>
      </c>
      <c r="CI83">
        <v>2</v>
      </c>
      <c r="CJ83">
        <v>0</v>
      </c>
      <c r="CK83">
        <v>1</v>
      </c>
      <c r="CL83">
        <v>13</v>
      </c>
      <c r="CM83">
        <v>18</v>
      </c>
      <c r="CN83">
        <v>15</v>
      </c>
      <c r="CO83">
        <v>19</v>
      </c>
      <c r="CP83">
        <v>0</v>
      </c>
      <c r="CQ83">
        <v>0</v>
      </c>
      <c r="CR83">
        <v>0</v>
      </c>
      <c r="CS83">
        <v>0</v>
      </c>
      <c r="CT83">
        <v>0</v>
      </c>
      <c r="CU83">
        <v>0</v>
      </c>
      <c r="CV83">
        <v>0</v>
      </c>
      <c r="CW83">
        <v>0</v>
      </c>
      <c r="CX83">
        <v>35.700000000000003</v>
      </c>
      <c r="CY83">
        <v>52.8</v>
      </c>
      <c r="CZ83">
        <v>52.1</v>
      </c>
      <c r="DA83">
        <v>73.099999999999994</v>
      </c>
      <c r="DB83">
        <v>30.8</v>
      </c>
      <c r="DC83">
        <v>51.2</v>
      </c>
      <c r="DD83">
        <v>39.9</v>
      </c>
      <c r="DE83">
        <v>63.5</v>
      </c>
      <c r="DF83">
        <v>35.700000000000003</v>
      </c>
      <c r="DG83">
        <v>52.8</v>
      </c>
      <c r="DH83">
        <v>52.1</v>
      </c>
      <c r="DI83">
        <v>73.099999999999994</v>
      </c>
      <c r="DJ83">
        <v>30.8</v>
      </c>
      <c r="DK83">
        <v>51.2</v>
      </c>
      <c r="DL83">
        <v>39.9</v>
      </c>
      <c r="DM83">
        <v>63.5</v>
      </c>
      <c r="DN83">
        <v>0</v>
      </c>
      <c r="DO83">
        <v>0</v>
      </c>
      <c r="DP83">
        <v>0</v>
      </c>
      <c r="DQ83">
        <v>0</v>
      </c>
      <c r="DR83">
        <v>0</v>
      </c>
      <c r="DS83">
        <v>0</v>
      </c>
      <c r="DT83">
        <v>0</v>
      </c>
      <c r="DU83">
        <v>0</v>
      </c>
      <c r="DV83" t="s">
        <v>279</v>
      </c>
    </row>
    <row r="84" spans="1:126" x14ac:dyDescent="0.35">
      <c r="A84" t="s">
        <v>280</v>
      </c>
      <c r="B84">
        <v>230110</v>
      </c>
      <c r="C84" s="1">
        <v>44936</v>
      </c>
      <c r="D84" t="s">
        <v>281</v>
      </c>
      <c r="E84" t="s">
        <v>184</v>
      </c>
      <c r="F84" t="s">
        <v>185</v>
      </c>
      <c r="G84" t="s">
        <v>282</v>
      </c>
      <c r="H84">
        <v>6097734</v>
      </c>
      <c r="I84" s="17">
        <v>363203</v>
      </c>
      <c r="J84" s="17">
        <v>498339</v>
      </c>
      <c r="K84">
        <v>866163</v>
      </c>
      <c r="L84">
        <v>4821221</v>
      </c>
      <c r="M84">
        <v>4708027</v>
      </c>
      <c r="N84">
        <v>6050587</v>
      </c>
      <c r="O84">
        <v>6072529</v>
      </c>
      <c r="P84">
        <v>47147</v>
      </c>
      <c r="Q84">
        <v>25205</v>
      </c>
      <c r="R84">
        <v>6097734</v>
      </c>
      <c r="S84">
        <v>363203</v>
      </c>
      <c r="T84">
        <v>498339</v>
      </c>
      <c r="U84">
        <v>866163</v>
      </c>
      <c r="V84">
        <v>4821221</v>
      </c>
      <c r="W84">
        <v>4708027</v>
      </c>
      <c r="X84">
        <v>6050587</v>
      </c>
      <c r="Y84">
        <v>6072529</v>
      </c>
      <c r="Z84">
        <v>47147</v>
      </c>
      <c r="AA84">
        <v>25205</v>
      </c>
      <c r="AB84">
        <v>0</v>
      </c>
      <c r="AC84">
        <v>0</v>
      </c>
      <c r="AD84">
        <v>0</v>
      </c>
      <c r="AE84">
        <v>0</v>
      </c>
      <c r="AF84">
        <v>0</v>
      </c>
      <c r="AG84">
        <v>0</v>
      </c>
      <c r="AH84">
        <v>0</v>
      </c>
      <c r="AI84">
        <v>0</v>
      </c>
      <c r="AJ84">
        <v>0</v>
      </c>
      <c r="AK84">
        <v>0</v>
      </c>
      <c r="AL84">
        <v>86128</v>
      </c>
      <c r="AM84">
        <v>-11434</v>
      </c>
      <c r="AN84">
        <v>98229</v>
      </c>
      <c r="AO84">
        <v>-38364</v>
      </c>
      <c r="AP84">
        <v>121395</v>
      </c>
      <c r="AQ84">
        <v>12159</v>
      </c>
      <c r="AR84">
        <v>71597</v>
      </c>
      <c r="AS84">
        <v>72024</v>
      </c>
      <c r="AT84">
        <v>14531</v>
      </c>
      <c r="AU84">
        <v>14104</v>
      </c>
      <c r="AV84">
        <v>100</v>
      </c>
      <c r="AW84">
        <v>6</v>
      </c>
      <c r="AX84">
        <v>8.1999999999999993</v>
      </c>
      <c r="AY84">
        <v>14.2</v>
      </c>
      <c r="AZ84">
        <v>79.099999999999994</v>
      </c>
      <c r="BA84">
        <v>77.2</v>
      </c>
      <c r="BB84">
        <v>99.2</v>
      </c>
      <c r="BC84">
        <v>99.6</v>
      </c>
      <c r="BD84">
        <v>0.8</v>
      </c>
      <c r="BE84">
        <v>0.4</v>
      </c>
      <c r="BF84">
        <v>100</v>
      </c>
      <c r="BG84">
        <v>6</v>
      </c>
      <c r="BH84">
        <v>8.1999999999999993</v>
      </c>
      <c r="BI84">
        <v>14.2</v>
      </c>
      <c r="BJ84">
        <v>79.099999999999994</v>
      </c>
      <c r="BK84">
        <v>77.2</v>
      </c>
      <c r="BL84">
        <v>99.2</v>
      </c>
      <c r="BM84">
        <v>99.6</v>
      </c>
      <c r="BN84">
        <v>0.8</v>
      </c>
      <c r="BO84">
        <v>0.4</v>
      </c>
      <c r="BP84">
        <v>0</v>
      </c>
      <c r="BQ84">
        <v>0</v>
      </c>
      <c r="BR84">
        <v>0</v>
      </c>
      <c r="BS84">
        <v>0</v>
      </c>
      <c r="BT84">
        <v>0</v>
      </c>
      <c r="BU84">
        <v>0</v>
      </c>
      <c r="BV84">
        <v>0</v>
      </c>
      <c r="BW84">
        <v>0</v>
      </c>
      <c r="BX84">
        <v>0</v>
      </c>
      <c r="BY84">
        <v>0</v>
      </c>
      <c r="BZ84">
        <v>245</v>
      </c>
      <c r="CA84">
        <v>29</v>
      </c>
      <c r="CB84">
        <v>37</v>
      </c>
      <c r="CC84">
        <v>51</v>
      </c>
      <c r="CD84">
        <v>163</v>
      </c>
      <c r="CE84">
        <v>130</v>
      </c>
      <c r="CF84">
        <v>224</v>
      </c>
      <c r="CG84">
        <v>187</v>
      </c>
      <c r="CH84">
        <v>245</v>
      </c>
      <c r="CI84">
        <v>29</v>
      </c>
      <c r="CJ84">
        <v>37</v>
      </c>
      <c r="CK84">
        <v>51</v>
      </c>
      <c r="CL84">
        <v>163</v>
      </c>
      <c r="CM84">
        <v>130</v>
      </c>
      <c r="CN84">
        <v>224</v>
      </c>
      <c r="CO84">
        <v>187</v>
      </c>
      <c r="CP84">
        <v>0</v>
      </c>
      <c r="CQ84">
        <v>0</v>
      </c>
      <c r="CR84">
        <v>0</v>
      </c>
      <c r="CS84">
        <v>0</v>
      </c>
      <c r="CT84">
        <v>0</v>
      </c>
      <c r="CU84">
        <v>0</v>
      </c>
      <c r="CV84">
        <v>0</v>
      </c>
      <c r="CW84">
        <v>0</v>
      </c>
      <c r="CX84">
        <v>27</v>
      </c>
      <c r="CY84">
        <v>37</v>
      </c>
      <c r="CZ84">
        <v>39</v>
      </c>
      <c r="DA84">
        <v>57.3</v>
      </c>
      <c r="DB84">
        <v>24.6</v>
      </c>
      <c r="DC84">
        <v>36.9</v>
      </c>
      <c r="DD84">
        <v>34.9</v>
      </c>
      <c r="DE84">
        <v>51.9</v>
      </c>
      <c r="DF84">
        <v>27</v>
      </c>
      <c r="DG84">
        <v>37</v>
      </c>
      <c r="DH84">
        <v>39</v>
      </c>
      <c r="DI84">
        <v>57.3</v>
      </c>
      <c r="DJ84">
        <v>24.6</v>
      </c>
      <c r="DK84">
        <v>36.9</v>
      </c>
      <c r="DL84">
        <v>34.9</v>
      </c>
      <c r="DM84">
        <v>51.9</v>
      </c>
      <c r="DN84">
        <v>0</v>
      </c>
      <c r="DO84">
        <v>0</v>
      </c>
      <c r="DP84">
        <v>0</v>
      </c>
      <c r="DQ84">
        <v>0</v>
      </c>
      <c r="DR84">
        <v>0</v>
      </c>
      <c r="DS84">
        <v>0</v>
      </c>
      <c r="DT84">
        <v>0</v>
      </c>
      <c r="DU84">
        <v>0</v>
      </c>
      <c r="DV84" t="s">
        <v>283</v>
      </c>
    </row>
    <row r="85" spans="1:126" x14ac:dyDescent="0.35">
      <c r="A85" t="s">
        <v>280</v>
      </c>
      <c r="B85">
        <v>230103</v>
      </c>
      <c r="C85" s="1">
        <v>44929</v>
      </c>
      <c r="D85" t="s">
        <v>281</v>
      </c>
      <c r="E85" t="s">
        <v>184</v>
      </c>
      <c r="F85" t="s">
        <v>185</v>
      </c>
      <c r="G85" t="s">
        <v>282</v>
      </c>
      <c r="H85">
        <v>6011606</v>
      </c>
      <c r="I85" s="17">
        <v>374637</v>
      </c>
      <c r="J85" s="17">
        <v>400110</v>
      </c>
      <c r="K85">
        <v>904527</v>
      </c>
      <c r="L85">
        <v>4699826</v>
      </c>
      <c r="M85">
        <v>4695868</v>
      </c>
      <c r="N85">
        <v>5978990</v>
      </c>
      <c r="O85">
        <v>6000505</v>
      </c>
      <c r="P85">
        <v>32616</v>
      </c>
      <c r="Q85">
        <v>11101</v>
      </c>
      <c r="R85">
        <v>6011606</v>
      </c>
      <c r="S85">
        <v>374637</v>
      </c>
      <c r="T85">
        <v>400110</v>
      </c>
      <c r="U85">
        <v>904527</v>
      </c>
      <c r="V85">
        <v>4699826</v>
      </c>
      <c r="W85">
        <v>4695868</v>
      </c>
      <c r="X85">
        <v>5978990</v>
      </c>
      <c r="Y85">
        <v>6000505</v>
      </c>
      <c r="Z85">
        <v>32616</v>
      </c>
      <c r="AA85">
        <v>11101</v>
      </c>
      <c r="AB85">
        <v>0</v>
      </c>
      <c r="AC85">
        <v>0</v>
      </c>
      <c r="AD85">
        <v>0</v>
      </c>
      <c r="AE85">
        <v>0</v>
      </c>
      <c r="AF85">
        <v>0</v>
      </c>
      <c r="AG85">
        <v>0</v>
      </c>
      <c r="AH85">
        <v>0</v>
      </c>
      <c r="AI85">
        <v>0</v>
      </c>
      <c r="AJ85">
        <v>0</v>
      </c>
      <c r="AK85">
        <v>0</v>
      </c>
      <c r="AL85">
        <v>-251732</v>
      </c>
      <c r="AM85">
        <v>-50022</v>
      </c>
      <c r="AN85">
        <v>14133</v>
      </c>
      <c r="AO85">
        <v>-33467</v>
      </c>
      <c r="AP85">
        <v>-165336</v>
      </c>
      <c r="AQ85">
        <v>-223835</v>
      </c>
      <c r="AR85">
        <v>-248825</v>
      </c>
      <c r="AS85">
        <v>-243169</v>
      </c>
      <c r="AT85">
        <v>-2907</v>
      </c>
      <c r="AU85">
        <v>-8563</v>
      </c>
      <c r="AV85">
        <v>100</v>
      </c>
      <c r="AW85">
        <v>6.2</v>
      </c>
      <c r="AX85">
        <v>6.7</v>
      </c>
      <c r="AY85">
        <v>15</v>
      </c>
      <c r="AZ85">
        <v>78.2</v>
      </c>
      <c r="BA85">
        <v>78.099999999999994</v>
      </c>
      <c r="BB85">
        <v>99.5</v>
      </c>
      <c r="BC85">
        <v>99.8</v>
      </c>
      <c r="BD85">
        <v>0.5</v>
      </c>
      <c r="BE85">
        <v>0.2</v>
      </c>
      <c r="BF85">
        <v>100</v>
      </c>
      <c r="BG85">
        <v>6.2</v>
      </c>
      <c r="BH85">
        <v>6.7</v>
      </c>
      <c r="BI85">
        <v>15</v>
      </c>
      <c r="BJ85">
        <v>78.2</v>
      </c>
      <c r="BK85">
        <v>78.099999999999994</v>
      </c>
      <c r="BL85">
        <v>99.5</v>
      </c>
      <c r="BM85">
        <v>99.8</v>
      </c>
      <c r="BN85">
        <v>0.5</v>
      </c>
      <c r="BO85">
        <v>0.2</v>
      </c>
      <c r="BP85">
        <v>0</v>
      </c>
      <c r="BQ85">
        <v>0</v>
      </c>
      <c r="BR85">
        <v>0</v>
      </c>
      <c r="BS85">
        <v>0</v>
      </c>
      <c r="BT85">
        <v>0</v>
      </c>
      <c r="BU85">
        <v>0</v>
      </c>
      <c r="BV85">
        <v>0</v>
      </c>
      <c r="BW85">
        <v>0</v>
      </c>
      <c r="BX85">
        <v>0</v>
      </c>
      <c r="BY85">
        <v>0</v>
      </c>
      <c r="BZ85">
        <v>245</v>
      </c>
      <c r="CA85">
        <v>28</v>
      </c>
      <c r="CB85">
        <v>36</v>
      </c>
      <c r="CC85">
        <v>51</v>
      </c>
      <c r="CD85">
        <v>163</v>
      </c>
      <c r="CE85">
        <v>130</v>
      </c>
      <c r="CF85">
        <v>224</v>
      </c>
      <c r="CG85">
        <v>187</v>
      </c>
      <c r="CH85">
        <v>245</v>
      </c>
      <c r="CI85">
        <v>28</v>
      </c>
      <c r="CJ85">
        <v>36</v>
      </c>
      <c r="CK85">
        <v>51</v>
      </c>
      <c r="CL85">
        <v>163</v>
      </c>
      <c r="CM85">
        <v>130</v>
      </c>
      <c r="CN85">
        <v>224</v>
      </c>
      <c r="CO85">
        <v>187</v>
      </c>
      <c r="CP85">
        <v>0</v>
      </c>
      <c r="CQ85">
        <v>0</v>
      </c>
      <c r="CR85">
        <v>0</v>
      </c>
      <c r="CS85">
        <v>0</v>
      </c>
      <c r="CT85">
        <v>0</v>
      </c>
      <c r="CU85">
        <v>0</v>
      </c>
      <c r="CV85">
        <v>0</v>
      </c>
      <c r="CW85">
        <v>0</v>
      </c>
      <c r="CX85">
        <v>26.8</v>
      </c>
      <c r="CY85">
        <v>37.4</v>
      </c>
      <c r="CZ85">
        <v>38.6</v>
      </c>
      <c r="DA85">
        <v>57.7</v>
      </c>
      <c r="DB85">
        <v>24.4</v>
      </c>
      <c r="DC85">
        <v>37.299999999999997</v>
      </c>
      <c r="DD85">
        <v>34.5</v>
      </c>
      <c r="DE85">
        <v>52.2</v>
      </c>
      <c r="DF85">
        <v>26.8</v>
      </c>
      <c r="DG85">
        <v>37.4</v>
      </c>
      <c r="DH85">
        <v>38.6</v>
      </c>
      <c r="DI85">
        <v>57.7</v>
      </c>
      <c r="DJ85">
        <v>24.4</v>
      </c>
      <c r="DK85">
        <v>37.299999999999997</v>
      </c>
      <c r="DL85">
        <v>34.5</v>
      </c>
      <c r="DM85">
        <v>52.2</v>
      </c>
      <c r="DN85">
        <v>0</v>
      </c>
      <c r="DO85">
        <v>0</v>
      </c>
      <c r="DP85">
        <v>0</v>
      </c>
      <c r="DQ85">
        <v>0</v>
      </c>
      <c r="DR85">
        <v>0</v>
      </c>
      <c r="DS85">
        <v>0</v>
      </c>
      <c r="DT85">
        <v>0</v>
      </c>
      <c r="DU85">
        <v>0</v>
      </c>
      <c r="DV85" t="s">
        <v>283</v>
      </c>
    </row>
    <row r="86" spans="1:126" x14ac:dyDescent="0.35">
      <c r="A86" t="s">
        <v>284</v>
      </c>
      <c r="B86">
        <v>230110</v>
      </c>
      <c r="C86" s="1">
        <v>44936</v>
      </c>
      <c r="D86" t="s">
        <v>285</v>
      </c>
      <c r="E86" t="s">
        <v>184</v>
      </c>
      <c r="F86" t="s">
        <v>185</v>
      </c>
      <c r="G86" t="s">
        <v>282</v>
      </c>
      <c r="H86">
        <v>500001</v>
      </c>
      <c r="I86" s="17">
        <v>145267</v>
      </c>
      <c r="J86" s="17">
        <v>169515</v>
      </c>
      <c r="K86">
        <v>48032</v>
      </c>
      <c r="L86">
        <v>305426</v>
      </c>
      <c r="M86">
        <v>282252</v>
      </c>
      <c r="N86">
        <v>498725</v>
      </c>
      <c r="O86">
        <v>499799</v>
      </c>
      <c r="P86">
        <v>1276</v>
      </c>
      <c r="Q86">
        <v>202</v>
      </c>
      <c r="R86">
        <v>500001</v>
      </c>
      <c r="S86">
        <v>145267</v>
      </c>
      <c r="T86">
        <v>169515</v>
      </c>
      <c r="U86">
        <v>48032</v>
      </c>
      <c r="V86">
        <v>305426</v>
      </c>
      <c r="W86">
        <v>282252</v>
      </c>
      <c r="X86">
        <v>498725</v>
      </c>
      <c r="Y86">
        <v>499799</v>
      </c>
      <c r="Z86">
        <v>1276</v>
      </c>
      <c r="AA86">
        <v>202</v>
      </c>
      <c r="AB86">
        <v>0</v>
      </c>
      <c r="AC86">
        <v>0</v>
      </c>
      <c r="AD86">
        <v>0</v>
      </c>
      <c r="AE86">
        <v>0</v>
      </c>
      <c r="AF86">
        <v>0</v>
      </c>
      <c r="AG86">
        <v>0</v>
      </c>
      <c r="AH86">
        <v>0</v>
      </c>
      <c r="AI86">
        <v>0</v>
      </c>
      <c r="AJ86">
        <v>0</v>
      </c>
      <c r="AK86">
        <v>0</v>
      </c>
      <c r="AL86">
        <v>20231</v>
      </c>
      <c r="AM86">
        <v>3275</v>
      </c>
      <c r="AN86">
        <v>1338</v>
      </c>
      <c r="AO86">
        <v>9559</v>
      </c>
      <c r="AP86">
        <v>6663</v>
      </c>
      <c r="AQ86">
        <v>9204</v>
      </c>
      <c r="AR86">
        <v>19497</v>
      </c>
      <c r="AS86">
        <v>20101</v>
      </c>
      <c r="AT86">
        <v>734</v>
      </c>
      <c r="AU86">
        <v>130</v>
      </c>
      <c r="AV86">
        <v>100</v>
      </c>
      <c r="AW86">
        <v>29.1</v>
      </c>
      <c r="AX86">
        <v>33.9</v>
      </c>
      <c r="AY86">
        <v>9.6</v>
      </c>
      <c r="AZ86">
        <v>61.1</v>
      </c>
      <c r="BA86">
        <v>56.5</v>
      </c>
      <c r="BB86">
        <v>99.7</v>
      </c>
      <c r="BC86">
        <v>100</v>
      </c>
      <c r="BD86">
        <v>0.3</v>
      </c>
      <c r="BE86">
        <v>0</v>
      </c>
      <c r="BF86">
        <v>100</v>
      </c>
      <c r="BG86">
        <v>29.1</v>
      </c>
      <c r="BH86">
        <v>33.9</v>
      </c>
      <c r="BI86">
        <v>9.6</v>
      </c>
      <c r="BJ86">
        <v>61.1</v>
      </c>
      <c r="BK86">
        <v>56.5</v>
      </c>
      <c r="BL86">
        <v>99.7</v>
      </c>
      <c r="BM86">
        <v>100</v>
      </c>
      <c r="BN86">
        <v>0.3</v>
      </c>
      <c r="BO86">
        <v>0</v>
      </c>
      <c r="BP86">
        <v>0</v>
      </c>
      <c r="BQ86">
        <v>0</v>
      </c>
      <c r="BR86">
        <v>0</v>
      </c>
      <c r="BS86">
        <v>0</v>
      </c>
      <c r="BT86">
        <v>0</v>
      </c>
      <c r="BU86">
        <v>0</v>
      </c>
      <c r="BV86">
        <v>0</v>
      </c>
      <c r="BW86">
        <v>0</v>
      </c>
      <c r="BX86">
        <v>0</v>
      </c>
      <c r="BY86">
        <v>0</v>
      </c>
      <c r="BZ86">
        <v>68</v>
      </c>
      <c r="CA86">
        <v>17</v>
      </c>
      <c r="CB86">
        <v>14</v>
      </c>
      <c r="CC86">
        <v>22</v>
      </c>
      <c r="CD86">
        <v>29</v>
      </c>
      <c r="CE86">
        <v>33</v>
      </c>
      <c r="CF86">
        <v>54</v>
      </c>
      <c r="CG86">
        <v>61</v>
      </c>
      <c r="CH86">
        <v>68</v>
      </c>
      <c r="CI86">
        <v>17</v>
      </c>
      <c r="CJ86">
        <v>14</v>
      </c>
      <c r="CK86">
        <v>22</v>
      </c>
      <c r="CL86">
        <v>29</v>
      </c>
      <c r="CM86">
        <v>33</v>
      </c>
      <c r="CN86">
        <v>54</v>
      </c>
      <c r="CO86">
        <v>61</v>
      </c>
      <c r="CP86">
        <v>0</v>
      </c>
      <c r="CQ86">
        <v>0</v>
      </c>
      <c r="CR86">
        <v>0</v>
      </c>
      <c r="CS86">
        <v>0</v>
      </c>
      <c r="CT86">
        <v>0</v>
      </c>
      <c r="CU86">
        <v>0</v>
      </c>
      <c r="CV86">
        <v>0</v>
      </c>
      <c r="CW86">
        <v>0</v>
      </c>
      <c r="CX86">
        <v>40.799999999999997</v>
      </c>
      <c r="CY86">
        <v>58.6</v>
      </c>
      <c r="CZ86">
        <v>61.8</v>
      </c>
      <c r="DA86">
        <v>71.400000000000006</v>
      </c>
      <c r="DB86">
        <v>37</v>
      </c>
      <c r="DC86">
        <v>47.6</v>
      </c>
      <c r="DD86">
        <v>52.1</v>
      </c>
      <c r="DE86">
        <v>59.3</v>
      </c>
      <c r="DF86">
        <v>40.799999999999997</v>
      </c>
      <c r="DG86">
        <v>58.6</v>
      </c>
      <c r="DH86">
        <v>61.8</v>
      </c>
      <c r="DI86">
        <v>71.400000000000006</v>
      </c>
      <c r="DJ86">
        <v>37</v>
      </c>
      <c r="DK86">
        <v>47.6</v>
      </c>
      <c r="DL86">
        <v>52.1</v>
      </c>
      <c r="DM86">
        <v>59.3</v>
      </c>
      <c r="DN86">
        <v>0</v>
      </c>
      <c r="DO86">
        <v>0</v>
      </c>
      <c r="DP86">
        <v>0</v>
      </c>
      <c r="DQ86">
        <v>0</v>
      </c>
      <c r="DR86">
        <v>0</v>
      </c>
      <c r="DS86">
        <v>0</v>
      </c>
      <c r="DT86">
        <v>0</v>
      </c>
      <c r="DU86">
        <v>0</v>
      </c>
      <c r="DV86" t="s">
        <v>286</v>
      </c>
    </row>
    <row r="87" spans="1:126" x14ac:dyDescent="0.35">
      <c r="A87" t="s">
        <v>284</v>
      </c>
      <c r="B87">
        <v>230103</v>
      </c>
      <c r="C87" s="1">
        <v>44929</v>
      </c>
      <c r="D87" t="s">
        <v>285</v>
      </c>
      <c r="E87" t="s">
        <v>184</v>
      </c>
      <c r="F87" t="s">
        <v>185</v>
      </c>
      <c r="G87" t="s">
        <v>282</v>
      </c>
      <c r="H87">
        <v>479770</v>
      </c>
      <c r="I87" s="17">
        <v>141992</v>
      </c>
      <c r="J87" s="17">
        <v>168177</v>
      </c>
      <c r="K87">
        <v>38473</v>
      </c>
      <c r="L87">
        <v>298763</v>
      </c>
      <c r="M87">
        <v>273048</v>
      </c>
      <c r="N87">
        <v>479228</v>
      </c>
      <c r="O87">
        <v>479698</v>
      </c>
      <c r="P87">
        <v>542</v>
      </c>
      <c r="Q87">
        <v>72</v>
      </c>
      <c r="R87">
        <v>479770</v>
      </c>
      <c r="S87">
        <v>141992</v>
      </c>
      <c r="T87">
        <v>168177</v>
      </c>
      <c r="U87">
        <v>38473</v>
      </c>
      <c r="V87">
        <v>298763</v>
      </c>
      <c r="W87">
        <v>273048</v>
      </c>
      <c r="X87">
        <v>479228</v>
      </c>
      <c r="Y87">
        <v>479698</v>
      </c>
      <c r="Z87">
        <v>542</v>
      </c>
      <c r="AA87">
        <v>72</v>
      </c>
      <c r="AB87">
        <v>0</v>
      </c>
      <c r="AC87">
        <v>0</v>
      </c>
      <c r="AD87">
        <v>0</v>
      </c>
      <c r="AE87">
        <v>0</v>
      </c>
      <c r="AF87">
        <v>0</v>
      </c>
      <c r="AG87">
        <v>0</v>
      </c>
      <c r="AH87">
        <v>0</v>
      </c>
      <c r="AI87">
        <v>0</v>
      </c>
      <c r="AJ87">
        <v>0</v>
      </c>
      <c r="AK87">
        <v>0</v>
      </c>
      <c r="AL87">
        <v>-41889</v>
      </c>
      <c r="AM87">
        <v>-12338</v>
      </c>
      <c r="AN87">
        <v>-31042</v>
      </c>
      <c r="AO87">
        <v>-6511</v>
      </c>
      <c r="AP87">
        <v>-22039</v>
      </c>
      <c r="AQ87">
        <v>-2404</v>
      </c>
      <c r="AR87">
        <v>-40888</v>
      </c>
      <c r="AS87">
        <v>-39957</v>
      </c>
      <c r="AT87">
        <v>-1001</v>
      </c>
      <c r="AU87">
        <v>-1932</v>
      </c>
      <c r="AV87">
        <v>100</v>
      </c>
      <c r="AW87">
        <v>29.6</v>
      </c>
      <c r="AX87">
        <v>35.1</v>
      </c>
      <c r="AY87">
        <v>8</v>
      </c>
      <c r="AZ87">
        <v>62.3</v>
      </c>
      <c r="BA87">
        <v>56.9</v>
      </c>
      <c r="BB87">
        <v>99.9</v>
      </c>
      <c r="BC87">
        <v>100</v>
      </c>
      <c r="BD87">
        <v>0.1</v>
      </c>
      <c r="BE87">
        <v>0</v>
      </c>
      <c r="BF87">
        <v>100</v>
      </c>
      <c r="BG87">
        <v>29.6</v>
      </c>
      <c r="BH87">
        <v>35.1</v>
      </c>
      <c r="BI87">
        <v>8</v>
      </c>
      <c r="BJ87">
        <v>62.3</v>
      </c>
      <c r="BK87">
        <v>56.9</v>
      </c>
      <c r="BL87">
        <v>99.9</v>
      </c>
      <c r="BM87">
        <v>100</v>
      </c>
      <c r="BN87">
        <v>0.1</v>
      </c>
      <c r="BO87">
        <v>0</v>
      </c>
      <c r="BP87">
        <v>0</v>
      </c>
      <c r="BQ87">
        <v>0</v>
      </c>
      <c r="BR87">
        <v>0</v>
      </c>
      <c r="BS87">
        <v>0</v>
      </c>
      <c r="BT87">
        <v>0</v>
      </c>
      <c r="BU87">
        <v>0</v>
      </c>
      <c r="BV87">
        <v>0</v>
      </c>
      <c r="BW87">
        <v>0</v>
      </c>
      <c r="BX87">
        <v>0</v>
      </c>
      <c r="BY87">
        <v>0</v>
      </c>
      <c r="BZ87">
        <v>67</v>
      </c>
      <c r="CA87">
        <v>16</v>
      </c>
      <c r="CB87">
        <v>14</v>
      </c>
      <c r="CC87">
        <v>21</v>
      </c>
      <c r="CD87">
        <v>29</v>
      </c>
      <c r="CE87">
        <v>33</v>
      </c>
      <c r="CF87">
        <v>53</v>
      </c>
      <c r="CG87">
        <v>60</v>
      </c>
      <c r="CH87">
        <v>67</v>
      </c>
      <c r="CI87">
        <v>16</v>
      </c>
      <c r="CJ87">
        <v>14</v>
      </c>
      <c r="CK87">
        <v>21</v>
      </c>
      <c r="CL87">
        <v>29</v>
      </c>
      <c r="CM87">
        <v>33</v>
      </c>
      <c r="CN87">
        <v>53</v>
      </c>
      <c r="CO87">
        <v>60</v>
      </c>
      <c r="CP87">
        <v>0</v>
      </c>
      <c r="CQ87">
        <v>0</v>
      </c>
      <c r="CR87">
        <v>0</v>
      </c>
      <c r="CS87">
        <v>0</v>
      </c>
      <c r="CT87">
        <v>0</v>
      </c>
      <c r="CU87">
        <v>0</v>
      </c>
      <c r="CV87">
        <v>0</v>
      </c>
      <c r="CW87">
        <v>0</v>
      </c>
      <c r="CX87">
        <v>40.4</v>
      </c>
      <c r="CY87">
        <v>60.6</v>
      </c>
      <c r="CZ87">
        <v>61.5</v>
      </c>
      <c r="DA87">
        <v>73.400000000000006</v>
      </c>
      <c r="DB87">
        <v>37.9</v>
      </c>
      <c r="DC87">
        <v>50.6</v>
      </c>
      <c r="DD87">
        <v>52</v>
      </c>
      <c r="DE87">
        <v>62.2</v>
      </c>
      <c r="DF87">
        <v>40.4</v>
      </c>
      <c r="DG87">
        <v>60.6</v>
      </c>
      <c r="DH87">
        <v>61.5</v>
      </c>
      <c r="DI87">
        <v>73.400000000000006</v>
      </c>
      <c r="DJ87">
        <v>37.9</v>
      </c>
      <c r="DK87">
        <v>50.6</v>
      </c>
      <c r="DL87">
        <v>52</v>
      </c>
      <c r="DM87">
        <v>62.2</v>
      </c>
      <c r="DN87">
        <v>0</v>
      </c>
      <c r="DO87">
        <v>0</v>
      </c>
      <c r="DP87">
        <v>0</v>
      </c>
      <c r="DQ87">
        <v>0</v>
      </c>
      <c r="DR87">
        <v>0</v>
      </c>
      <c r="DS87">
        <v>0</v>
      </c>
      <c r="DT87">
        <v>0</v>
      </c>
      <c r="DU87">
        <v>0</v>
      </c>
      <c r="DV87" t="s">
        <v>286</v>
      </c>
    </row>
    <row r="88" spans="1:126" x14ac:dyDescent="0.35">
      <c r="A88" t="s">
        <v>287</v>
      </c>
      <c r="B88">
        <v>230110</v>
      </c>
      <c r="C88" s="1">
        <v>44936</v>
      </c>
      <c r="D88" t="s">
        <v>288</v>
      </c>
      <c r="E88" t="s">
        <v>184</v>
      </c>
      <c r="F88" t="s">
        <v>185</v>
      </c>
      <c r="G88" t="s">
        <v>282</v>
      </c>
      <c r="H88">
        <v>168670</v>
      </c>
      <c r="I88" s="17">
        <v>1550</v>
      </c>
      <c r="J88" s="17">
        <v>0</v>
      </c>
      <c r="K88">
        <v>725</v>
      </c>
      <c r="L88">
        <v>148716</v>
      </c>
      <c r="M88">
        <v>161030</v>
      </c>
      <c r="N88">
        <v>150991</v>
      </c>
      <c r="O88">
        <v>161755</v>
      </c>
      <c r="P88">
        <v>17679</v>
      </c>
      <c r="Q88">
        <v>6915</v>
      </c>
      <c r="R88">
        <v>168670</v>
      </c>
      <c r="S88">
        <v>1550</v>
      </c>
      <c r="T88">
        <v>0</v>
      </c>
      <c r="U88">
        <v>725</v>
      </c>
      <c r="V88">
        <v>148716</v>
      </c>
      <c r="W88">
        <v>161030</v>
      </c>
      <c r="X88">
        <v>150991</v>
      </c>
      <c r="Y88">
        <v>161755</v>
      </c>
      <c r="Z88">
        <v>17679</v>
      </c>
      <c r="AA88">
        <v>6915</v>
      </c>
      <c r="AB88">
        <v>0</v>
      </c>
      <c r="AC88">
        <v>0</v>
      </c>
      <c r="AD88">
        <v>0</v>
      </c>
      <c r="AE88">
        <v>0</v>
      </c>
      <c r="AF88">
        <v>0</v>
      </c>
      <c r="AG88">
        <v>0</v>
      </c>
      <c r="AH88">
        <v>0</v>
      </c>
      <c r="AI88">
        <v>0</v>
      </c>
      <c r="AJ88">
        <v>0</v>
      </c>
      <c r="AK88">
        <v>0</v>
      </c>
      <c r="AL88">
        <v>-6422</v>
      </c>
      <c r="AM88">
        <v>336</v>
      </c>
      <c r="AN88">
        <v>-281</v>
      </c>
      <c r="AO88">
        <v>573</v>
      </c>
      <c r="AP88">
        <v>-11950</v>
      </c>
      <c r="AQ88">
        <v>-7551</v>
      </c>
      <c r="AR88">
        <v>-11041</v>
      </c>
      <c r="AS88">
        <v>-7259</v>
      </c>
      <c r="AT88">
        <v>4619</v>
      </c>
      <c r="AU88">
        <v>837</v>
      </c>
      <c r="AV88">
        <v>100</v>
      </c>
      <c r="AW88">
        <v>0.9</v>
      </c>
      <c r="AX88">
        <v>0</v>
      </c>
      <c r="AY88">
        <v>0.4</v>
      </c>
      <c r="AZ88">
        <v>88.2</v>
      </c>
      <c r="BA88">
        <v>95.5</v>
      </c>
      <c r="BB88">
        <v>89.5</v>
      </c>
      <c r="BC88">
        <v>95.9</v>
      </c>
      <c r="BD88">
        <v>10.5</v>
      </c>
      <c r="BE88">
        <v>4.0999999999999996</v>
      </c>
      <c r="BF88">
        <v>100</v>
      </c>
      <c r="BG88">
        <v>0.9</v>
      </c>
      <c r="BH88">
        <v>0</v>
      </c>
      <c r="BI88">
        <v>0.4</v>
      </c>
      <c r="BJ88">
        <v>88.2</v>
      </c>
      <c r="BK88">
        <v>95.5</v>
      </c>
      <c r="BL88">
        <v>89.5</v>
      </c>
      <c r="BM88">
        <v>95.9</v>
      </c>
      <c r="BN88">
        <v>10.5</v>
      </c>
      <c r="BO88">
        <v>4.0999999999999996</v>
      </c>
      <c r="BP88">
        <v>0</v>
      </c>
      <c r="BQ88">
        <v>0</v>
      </c>
      <c r="BR88">
        <v>0</v>
      </c>
      <c r="BS88">
        <v>0</v>
      </c>
      <c r="BT88">
        <v>0</v>
      </c>
      <c r="BU88">
        <v>0</v>
      </c>
      <c r="BV88">
        <v>0</v>
      </c>
      <c r="BW88">
        <v>0</v>
      </c>
      <c r="BX88">
        <v>0</v>
      </c>
      <c r="BY88">
        <v>0</v>
      </c>
      <c r="BZ88">
        <v>28</v>
      </c>
      <c r="CA88">
        <v>2</v>
      </c>
      <c r="CB88">
        <v>0</v>
      </c>
      <c r="CC88">
        <v>1</v>
      </c>
      <c r="CD88">
        <v>22</v>
      </c>
      <c r="CE88">
        <v>17</v>
      </c>
      <c r="CF88">
        <v>24</v>
      </c>
      <c r="CG88">
        <v>18</v>
      </c>
      <c r="CH88">
        <v>28</v>
      </c>
      <c r="CI88">
        <v>2</v>
      </c>
      <c r="CJ88">
        <v>0</v>
      </c>
      <c r="CK88">
        <v>1</v>
      </c>
      <c r="CL88">
        <v>22</v>
      </c>
      <c r="CM88">
        <v>17</v>
      </c>
      <c r="CN88">
        <v>24</v>
      </c>
      <c r="CO88">
        <v>18</v>
      </c>
      <c r="CP88">
        <v>0</v>
      </c>
      <c r="CQ88">
        <v>0</v>
      </c>
      <c r="CR88">
        <v>0</v>
      </c>
      <c r="CS88">
        <v>0</v>
      </c>
      <c r="CT88">
        <v>0</v>
      </c>
      <c r="CU88">
        <v>0</v>
      </c>
      <c r="CV88">
        <v>0</v>
      </c>
      <c r="CW88">
        <v>0</v>
      </c>
      <c r="CX88">
        <v>56.6</v>
      </c>
      <c r="CY88">
        <v>69.5</v>
      </c>
      <c r="CZ88">
        <v>71.2</v>
      </c>
      <c r="DA88">
        <v>83</v>
      </c>
      <c r="DB88">
        <v>40.5</v>
      </c>
      <c r="DC88">
        <v>50.8</v>
      </c>
      <c r="DD88">
        <v>47</v>
      </c>
      <c r="DE88">
        <v>58.8</v>
      </c>
      <c r="DF88">
        <v>56.6</v>
      </c>
      <c r="DG88">
        <v>69.5</v>
      </c>
      <c r="DH88">
        <v>71.2</v>
      </c>
      <c r="DI88">
        <v>83</v>
      </c>
      <c r="DJ88">
        <v>40.5</v>
      </c>
      <c r="DK88">
        <v>50.8</v>
      </c>
      <c r="DL88">
        <v>47</v>
      </c>
      <c r="DM88">
        <v>58.8</v>
      </c>
      <c r="DN88">
        <v>0</v>
      </c>
      <c r="DO88">
        <v>0</v>
      </c>
      <c r="DP88">
        <v>0</v>
      </c>
      <c r="DQ88">
        <v>0</v>
      </c>
      <c r="DR88">
        <v>0</v>
      </c>
      <c r="DS88">
        <v>0</v>
      </c>
      <c r="DT88">
        <v>0</v>
      </c>
      <c r="DU88">
        <v>0</v>
      </c>
      <c r="DV88" t="s">
        <v>289</v>
      </c>
    </row>
    <row r="89" spans="1:126" x14ac:dyDescent="0.35">
      <c r="A89" t="s">
        <v>287</v>
      </c>
      <c r="B89">
        <v>230103</v>
      </c>
      <c r="C89" s="1">
        <v>44929</v>
      </c>
      <c r="D89" t="s">
        <v>288</v>
      </c>
      <c r="E89" t="s">
        <v>184</v>
      </c>
      <c r="F89" t="s">
        <v>185</v>
      </c>
      <c r="G89" t="s">
        <v>282</v>
      </c>
      <c r="H89">
        <v>175092</v>
      </c>
      <c r="I89" s="17">
        <v>1214</v>
      </c>
      <c r="J89" s="17">
        <v>281</v>
      </c>
      <c r="K89">
        <v>152</v>
      </c>
      <c r="L89">
        <v>160666</v>
      </c>
      <c r="M89">
        <v>168581</v>
      </c>
      <c r="N89">
        <v>162032</v>
      </c>
      <c r="O89">
        <v>169014</v>
      </c>
      <c r="P89">
        <v>13060</v>
      </c>
      <c r="Q89">
        <v>6078</v>
      </c>
      <c r="R89">
        <v>175092</v>
      </c>
      <c r="S89">
        <v>1214</v>
      </c>
      <c r="T89">
        <v>281</v>
      </c>
      <c r="U89">
        <v>152</v>
      </c>
      <c r="V89">
        <v>160666</v>
      </c>
      <c r="W89">
        <v>168581</v>
      </c>
      <c r="X89">
        <v>162032</v>
      </c>
      <c r="Y89">
        <v>169014</v>
      </c>
      <c r="Z89">
        <v>13060</v>
      </c>
      <c r="AA89">
        <v>6078</v>
      </c>
      <c r="AB89">
        <v>0</v>
      </c>
      <c r="AC89">
        <v>0</v>
      </c>
      <c r="AD89">
        <v>0</v>
      </c>
      <c r="AE89">
        <v>0</v>
      </c>
      <c r="AF89">
        <v>0</v>
      </c>
      <c r="AG89">
        <v>0</v>
      </c>
      <c r="AH89">
        <v>0</v>
      </c>
      <c r="AI89">
        <v>0</v>
      </c>
      <c r="AJ89">
        <v>0</v>
      </c>
      <c r="AK89">
        <v>0</v>
      </c>
      <c r="AL89">
        <v>1979</v>
      </c>
      <c r="AM89">
        <v>1214</v>
      </c>
      <c r="AN89">
        <v>31</v>
      </c>
      <c r="AO89">
        <v>0</v>
      </c>
      <c r="AP89">
        <v>1651</v>
      </c>
      <c r="AQ89">
        <v>1917</v>
      </c>
      <c r="AR89">
        <v>2865</v>
      </c>
      <c r="AS89">
        <v>1948</v>
      </c>
      <c r="AT89">
        <v>-886</v>
      </c>
      <c r="AU89">
        <v>31</v>
      </c>
      <c r="AV89">
        <v>100</v>
      </c>
      <c r="AW89">
        <v>0.7</v>
      </c>
      <c r="AX89">
        <v>0.2</v>
      </c>
      <c r="AY89">
        <v>0.1</v>
      </c>
      <c r="AZ89">
        <v>91.8</v>
      </c>
      <c r="BA89">
        <v>96.3</v>
      </c>
      <c r="BB89">
        <v>92.5</v>
      </c>
      <c r="BC89">
        <v>96.5</v>
      </c>
      <c r="BD89">
        <v>7.5</v>
      </c>
      <c r="BE89">
        <v>3.5</v>
      </c>
      <c r="BF89">
        <v>100</v>
      </c>
      <c r="BG89">
        <v>0.7</v>
      </c>
      <c r="BH89">
        <v>0.2</v>
      </c>
      <c r="BI89">
        <v>0.1</v>
      </c>
      <c r="BJ89">
        <v>91.8</v>
      </c>
      <c r="BK89">
        <v>96.3</v>
      </c>
      <c r="BL89">
        <v>92.5</v>
      </c>
      <c r="BM89">
        <v>96.5</v>
      </c>
      <c r="BN89">
        <v>7.5</v>
      </c>
      <c r="BO89">
        <v>3.5</v>
      </c>
      <c r="BP89">
        <v>0</v>
      </c>
      <c r="BQ89">
        <v>0</v>
      </c>
      <c r="BR89">
        <v>0</v>
      </c>
      <c r="BS89">
        <v>0</v>
      </c>
      <c r="BT89">
        <v>0</v>
      </c>
      <c r="BU89">
        <v>0</v>
      </c>
      <c r="BV89">
        <v>0</v>
      </c>
      <c r="BW89">
        <v>0</v>
      </c>
      <c r="BX89">
        <v>0</v>
      </c>
      <c r="BY89">
        <v>0</v>
      </c>
      <c r="BZ89">
        <v>30</v>
      </c>
      <c r="CA89">
        <v>1</v>
      </c>
      <c r="CB89">
        <v>1</v>
      </c>
      <c r="CC89">
        <v>1</v>
      </c>
      <c r="CD89">
        <v>23</v>
      </c>
      <c r="CE89">
        <v>19</v>
      </c>
      <c r="CF89">
        <v>25</v>
      </c>
      <c r="CG89">
        <v>20</v>
      </c>
      <c r="CH89">
        <v>30</v>
      </c>
      <c r="CI89">
        <v>1</v>
      </c>
      <c r="CJ89">
        <v>1</v>
      </c>
      <c r="CK89">
        <v>1</v>
      </c>
      <c r="CL89">
        <v>23</v>
      </c>
      <c r="CM89">
        <v>19</v>
      </c>
      <c r="CN89">
        <v>25</v>
      </c>
      <c r="CO89">
        <v>20</v>
      </c>
      <c r="CP89">
        <v>0</v>
      </c>
      <c r="CQ89">
        <v>0</v>
      </c>
      <c r="CR89">
        <v>0</v>
      </c>
      <c r="CS89">
        <v>0</v>
      </c>
      <c r="CT89">
        <v>0</v>
      </c>
      <c r="CU89">
        <v>0</v>
      </c>
      <c r="CV89">
        <v>0</v>
      </c>
      <c r="CW89">
        <v>0</v>
      </c>
      <c r="CX89">
        <v>55.4</v>
      </c>
      <c r="CY89">
        <v>69.8</v>
      </c>
      <c r="CZ89">
        <v>72.5</v>
      </c>
      <c r="DA89">
        <v>84</v>
      </c>
      <c r="DB89">
        <v>41.7</v>
      </c>
      <c r="DC89">
        <v>51.4</v>
      </c>
      <c r="DD89">
        <v>50.5</v>
      </c>
      <c r="DE89">
        <v>59.3</v>
      </c>
      <c r="DF89">
        <v>55.4</v>
      </c>
      <c r="DG89">
        <v>69.8</v>
      </c>
      <c r="DH89">
        <v>72.5</v>
      </c>
      <c r="DI89">
        <v>84</v>
      </c>
      <c r="DJ89">
        <v>41.7</v>
      </c>
      <c r="DK89">
        <v>51.4</v>
      </c>
      <c r="DL89">
        <v>50.5</v>
      </c>
      <c r="DM89">
        <v>59.3</v>
      </c>
      <c r="DN89">
        <v>0</v>
      </c>
      <c r="DO89">
        <v>0</v>
      </c>
      <c r="DP89">
        <v>0</v>
      </c>
      <c r="DQ89">
        <v>0</v>
      </c>
      <c r="DR89">
        <v>0</v>
      </c>
      <c r="DS89">
        <v>0</v>
      </c>
      <c r="DT89">
        <v>0</v>
      </c>
      <c r="DU89">
        <v>0</v>
      </c>
      <c r="DV89" t="s">
        <v>289</v>
      </c>
    </row>
    <row r="90" spans="1:126" x14ac:dyDescent="0.35">
      <c r="A90" t="s">
        <v>290</v>
      </c>
      <c r="B90">
        <v>230110</v>
      </c>
      <c r="C90" s="1">
        <v>44936</v>
      </c>
      <c r="D90" t="s">
        <v>291</v>
      </c>
      <c r="E90" t="s">
        <v>184</v>
      </c>
      <c r="F90" t="s">
        <v>185</v>
      </c>
      <c r="G90" t="s">
        <v>282</v>
      </c>
      <c r="H90">
        <v>149306</v>
      </c>
      <c r="I90" s="17">
        <v>980</v>
      </c>
      <c r="J90" s="17">
        <v>17</v>
      </c>
      <c r="K90">
        <v>1393</v>
      </c>
      <c r="L90">
        <v>127903</v>
      </c>
      <c r="M90">
        <v>138724</v>
      </c>
      <c r="N90">
        <v>130276</v>
      </c>
      <c r="O90">
        <v>140134</v>
      </c>
      <c r="P90">
        <v>19030</v>
      </c>
      <c r="Q90">
        <v>9172</v>
      </c>
      <c r="R90">
        <v>149306</v>
      </c>
      <c r="S90">
        <v>980</v>
      </c>
      <c r="T90">
        <v>17</v>
      </c>
      <c r="U90">
        <v>1393</v>
      </c>
      <c r="V90">
        <v>127903</v>
      </c>
      <c r="W90">
        <v>138724</v>
      </c>
      <c r="X90">
        <v>130276</v>
      </c>
      <c r="Y90">
        <v>140134</v>
      </c>
      <c r="Z90">
        <v>19030</v>
      </c>
      <c r="AA90">
        <v>9172</v>
      </c>
      <c r="AB90">
        <v>0</v>
      </c>
      <c r="AC90">
        <v>0</v>
      </c>
      <c r="AD90">
        <v>0</v>
      </c>
      <c r="AE90">
        <v>0</v>
      </c>
      <c r="AF90">
        <v>0</v>
      </c>
      <c r="AG90">
        <v>0</v>
      </c>
      <c r="AH90">
        <v>0</v>
      </c>
      <c r="AI90">
        <v>0</v>
      </c>
      <c r="AJ90">
        <v>0</v>
      </c>
      <c r="AK90">
        <v>0</v>
      </c>
      <c r="AL90">
        <v>-6485</v>
      </c>
      <c r="AM90">
        <v>-1034</v>
      </c>
      <c r="AN90">
        <v>0</v>
      </c>
      <c r="AO90">
        <v>-113</v>
      </c>
      <c r="AP90">
        <v>-6051</v>
      </c>
      <c r="AQ90">
        <v>-9123</v>
      </c>
      <c r="AR90">
        <v>-7198</v>
      </c>
      <c r="AS90">
        <v>-9236</v>
      </c>
      <c r="AT90">
        <v>713</v>
      </c>
      <c r="AU90">
        <v>2751</v>
      </c>
      <c r="AV90">
        <v>100</v>
      </c>
      <c r="AW90">
        <v>0.7</v>
      </c>
      <c r="AX90">
        <v>0</v>
      </c>
      <c r="AY90">
        <v>0.9</v>
      </c>
      <c r="AZ90">
        <v>85.7</v>
      </c>
      <c r="BA90">
        <v>92.9</v>
      </c>
      <c r="BB90">
        <v>87.3</v>
      </c>
      <c r="BC90">
        <v>93.9</v>
      </c>
      <c r="BD90">
        <v>12.7</v>
      </c>
      <c r="BE90">
        <v>6.1</v>
      </c>
      <c r="BF90">
        <v>100</v>
      </c>
      <c r="BG90">
        <v>0.7</v>
      </c>
      <c r="BH90">
        <v>0</v>
      </c>
      <c r="BI90">
        <v>0.9</v>
      </c>
      <c r="BJ90">
        <v>85.7</v>
      </c>
      <c r="BK90">
        <v>92.9</v>
      </c>
      <c r="BL90">
        <v>87.3</v>
      </c>
      <c r="BM90">
        <v>93.9</v>
      </c>
      <c r="BN90">
        <v>12.7</v>
      </c>
      <c r="BO90">
        <v>6.1</v>
      </c>
      <c r="BP90">
        <v>0</v>
      </c>
      <c r="BQ90">
        <v>0</v>
      </c>
      <c r="BR90">
        <v>0</v>
      </c>
      <c r="BS90">
        <v>0</v>
      </c>
      <c r="BT90">
        <v>0</v>
      </c>
      <c r="BU90">
        <v>0</v>
      </c>
      <c r="BV90">
        <v>0</v>
      </c>
      <c r="BW90">
        <v>0</v>
      </c>
      <c r="BX90">
        <v>0</v>
      </c>
      <c r="BY90">
        <v>0</v>
      </c>
      <c r="BZ90">
        <v>27</v>
      </c>
      <c r="CA90">
        <v>2</v>
      </c>
      <c r="CB90">
        <v>1</v>
      </c>
      <c r="CC90">
        <v>1</v>
      </c>
      <c r="CD90">
        <v>21</v>
      </c>
      <c r="CE90">
        <v>17</v>
      </c>
      <c r="CF90">
        <v>24</v>
      </c>
      <c r="CG90">
        <v>18</v>
      </c>
      <c r="CH90">
        <v>27</v>
      </c>
      <c r="CI90">
        <v>2</v>
      </c>
      <c r="CJ90">
        <v>1</v>
      </c>
      <c r="CK90">
        <v>1</v>
      </c>
      <c r="CL90">
        <v>21</v>
      </c>
      <c r="CM90">
        <v>17</v>
      </c>
      <c r="CN90">
        <v>24</v>
      </c>
      <c r="CO90">
        <v>18</v>
      </c>
      <c r="CP90">
        <v>0</v>
      </c>
      <c r="CQ90">
        <v>0</v>
      </c>
      <c r="CR90">
        <v>0</v>
      </c>
      <c r="CS90">
        <v>0</v>
      </c>
      <c r="CT90">
        <v>0</v>
      </c>
      <c r="CU90">
        <v>0</v>
      </c>
      <c r="CV90">
        <v>0</v>
      </c>
      <c r="CW90">
        <v>0</v>
      </c>
      <c r="CX90">
        <v>68.2</v>
      </c>
      <c r="CY90">
        <v>73.599999999999994</v>
      </c>
      <c r="CZ90">
        <v>79.099999999999994</v>
      </c>
      <c r="DA90">
        <v>89</v>
      </c>
      <c r="DB90">
        <v>68</v>
      </c>
      <c r="DC90">
        <v>66.599999999999994</v>
      </c>
      <c r="DD90">
        <v>74.2</v>
      </c>
      <c r="DE90">
        <v>80.2</v>
      </c>
      <c r="DF90">
        <v>68.2</v>
      </c>
      <c r="DG90">
        <v>73.599999999999994</v>
      </c>
      <c r="DH90">
        <v>79.099999999999994</v>
      </c>
      <c r="DI90">
        <v>89</v>
      </c>
      <c r="DJ90">
        <v>68</v>
      </c>
      <c r="DK90">
        <v>66.599999999999994</v>
      </c>
      <c r="DL90">
        <v>74.2</v>
      </c>
      <c r="DM90">
        <v>80.2</v>
      </c>
      <c r="DN90">
        <v>0</v>
      </c>
      <c r="DO90">
        <v>0</v>
      </c>
      <c r="DP90">
        <v>0</v>
      </c>
      <c r="DQ90">
        <v>0</v>
      </c>
      <c r="DR90">
        <v>0</v>
      </c>
      <c r="DS90">
        <v>0</v>
      </c>
      <c r="DT90">
        <v>0</v>
      </c>
      <c r="DU90">
        <v>0</v>
      </c>
      <c r="DV90" t="s">
        <v>289</v>
      </c>
    </row>
    <row r="91" spans="1:126" x14ac:dyDescent="0.35">
      <c r="A91" t="s">
        <v>290</v>
      </c>
      <c r="B91">
        <v>230103</v>
      </c>
      <c r="C91" s="1">
        <v>44929</v>
      </c>
      <c r="D91" t="s">
        <v>291</v>
      </c>
      <c r="E91" t="s">
        <v>184</v>
      </c>
      <c r="F91" t="s">
        <v>185</v>
      </c>
      <c r="G91" t="s">
        <v>282</v>
      </c>
      <c r="H91">
        <v>155791</v>
      </c>
      <c r="I91" s="17">
        <v>2014</v>
      </c>
      <c r="J91" s="17">
        <v>17</v>
      </c>
      <c r="K91">
        <v>1506</v>
      </c>
      <c r="L91">
        <v>133954</v>
      </c>
      <c r="M91">
        <v>147847</v>
      </c>
      <c r="N91">
        <v>137474</v>
      </c>
      <c r="O91">
        <v>149370</v>
      </c>
      <c r="P91">
        <v>18317</v>
      </c>
      <c r="Q91">
        <v>6421</v>
      </c>
      <c r="R91">
        <v>155791</v>
      </c>
      <c r="S91">
        <v>2014</v>
      </c>
      <c r="T91">
        <v>17</v>
      </c>
      <c r="U91">
        <v>1506</v>
      </c>
      <c r="V91">
        <v>133954</v>
      </c>
      <c r="W91">
        <v>147847</v>
      </c>
      <c r="X91">
        <v>137474</v>
      </c>
      <c r="Y91">
        <v>149370</v>
      </c>
      <c r="Z91">
        <v>18317</v>
      </c>
      <c r="AA91">
        <v>6421</v>
      </c>
      <c r="AB91">
        <v>0</v>
      </c>
      <c r="AC91">
        <v>0</v>
      </c>
      <c r="AD91">
        <v>0</v>
      </c>
      <c r="AE91">
        <v>0</v>
      </c>
      <c r="AF91">
        <v>0</v>
      </c>
      <c r="AG91">
        <v>0</v>
      </c>
      <c r="AH91">
        <v>0</v>
      </c>
      <c r="AI91">
        <v>0</v>
      </c>
      <c r="AJ91">
        <v>0</v>
      </c>
      <c r="AK91">
        <v>0</v>
      </c>
      <c r="AL91">
        <v>1680</v>
      </c>
      <c r="AM91">
        <v>-1089</v>
      </c>
      <c r="AN91">
        <v>17</v>
      </c>
      <c r="AO91">
        <v>451</v>
      </c>
      <c r="AP91">
        <v>1492</v>
      </c>
      <c r="AQ91">
        <v>1046</v>
      </c>
      <c r="AR91">
        <v>854</v>
      </c>
      <c r="AS91">
        <v>1514</v>
      </c>
      <c r="AT91">
        <v>826</v>
      </c>
      <c r="AU91">
        <v>166</v>
      </c>
      <c r="AV91">
        <v>100</v>
      </c>
      <c r="AW91">
        <v>1.3</v>
      </c>
      <c r="AX91">
        <v>0</v>
      </c>
      <c r="AY91">
        <v>1</v>
      </c>
      <c r="AZ91">
        <v>86</v>
      </c>
      <c r="BA91">
        <v>94.9</v>
      </c>
      <c r="BB91">
        <v>88.2</v>
      </c>
      <c r="BC91">
        <v>95.9</v>
      </c>
      <c r="BD91">
        <v>11.8</v>
      </c>
      <c r="BE91">
        <v>4.0999999999999996</v>
      </c>
      <c r="BF91">
        <v>100</v>
      </c>
      <c r="BG91">
        <v>1.3</v>
      </c>
      <c r="BH91">
        <v>0</v>
      </c>
      <c r="BI91">
        <v>1</v>
      </c>
      <c r="BJ91">
        <v>86</v>
      </c>
      <c r="BK91">
        <v>94.9</v>
      </c>
      <c r="BL91">
        <v>88.2</v>
      </c>
      <c r="BM91">
        <v>95.9</v>
      </c>
      <c r="BN91">
        <v>11.8</v>
      </c>
      <c r="BO91">
        <v>4.0999999999999996</v>
      </c>
      <c r="BP91">
        <v>0</v>
      </c>
      <c r="BQ91">
        <v>0</v>
      </c>
      <c r="BR91">
        <v>0</v>
      </c>
      <c r="BS91">
        <v>0</v>
      </c>
      <c r="BT91">
        <v>0</v>
      </c>
      <c r="BU91">
        <v>0</v>
      </c>
      <c r="BV91">
        <v>0</v>
      </c>
      <c r="BW91">
        <v>0</v>
      </c>
      <c r="BX91">
        <v>0</v>
      </c>
      <c r="BY91">
        <v>0</v>
      </c>
      <c r="BZ91">
        <v>31</v>
      </c>
      <c r="CA91">
        <v>3</v>
      </c>
      <c r="CB91">
        <v>1</v>
      </c>
      <c r="CC91">
        <v>2</v>
      </c>
      <c r="CD91">
        <v>24</v>
      </c>
      <c r="CE91">
        <v>22</v>
      </c>
      <c r="CF91">
        <v>28</v>
      </c>
      <c r="CG91">
        <v>24</v>
      </c>
      <c r="CH91">
        <v>31</v>
      </c>
      <c r="CI91">
        <v>3</v>
      </c>
      <c r="CJ91">
        <v>1</v>
      </c>
      <c r="CK91">
        <v>2</v>
      </c>
      <c r="CL91">
        <v>24</v>
      </c>
      <c r="CM91">
        <v>22</v>
      </c>
      <c r="CN91">
        <v>28</v>
      </c>
      <c r="CO91">
        <v>24</v>
      </c>
      <c r="CP91">
        <v>0</v>
      </c>
      <c r="CQ91">
        <v>0</v>
      </c>
      <c r="CR91">
        <v>0</v>
      </c>
      <c r="CS91">
        <v>0</v>
      </c>
      <c r="CT91">
        <v>0</v>
      </c>
      <c r="CU91">
        <v>0</v>
      </c>
      <c r="CV91">
        <v>0</v>
      </c>
      <c r="CW91">
        <v>0</v>
      </c>
      <c r="CX91">
        <v>66.5</v>
      </c>
      <c r="CY91">
        <v>73.5</v>
      </c>
      <c r="CZ91">
        <v>77.2</v>
      </c>
      <c r="DA91">
        <v>88.4</v>
      </c>
      <c r="DB91">
        <v>66.2</v>
      </c>
      <c r="DC91">
        <v>67.099999999999994</v>
      </c>
      <c r="DD91">
        <v>73.5</v>
      </c>
      <c r="DE91">
        <v>79.900000000000006</v>
      </c>
      <c r="DF91">
        <v>66.5</v>
      </c>
      <c r="DG91">
        <v>73.5</v>
      </c>
      <c r="DH91">
        <v>77.2</v>
      </c>
      <c r="DI91">
        <v>88.4</v>
      </c>
      <c r="DJ91">
        <v>66.2</v>
      </c>
      <c r="DK91">
        <v>67.099999999999994</v>
      </c>
      <c r="DL91">
        <v>73.5</v>
      </c>
      <c r="DM91">
        <v>79.900000000000006</v>
      </c>
      <c r="DN91">
        <v>0</v>
      </c>
      <c r="DO91">
        <v>0</v>
      </c>
      <c r="DP91">
        <v>0</v>
      </c>
      <c r="DQ91">
        <v>0</v>
      </c>
      <c r="DR91">
        <v>0</v>
      </c>
      <c r="DS91">
        <v>0</v>
      </c>
      <c r="DT91">
        <v>0</v>
      </c>
      <c r="DU91">
        <v>0</v>
      </c>
      <c r="DV91" t="s">
        <v>289</v>
      </c>
    </row>
    <row r="92" spans="1:126" x14ac:dyDescent="0.35">
      <c r="A92" t="s">
        <v>292</v>
      </c>
      <c r="B92">
        <v>230110</v>
      </c>
      <c r="C92" s="1">
        <v>44936</v>
      </c>
      <c r="D92" t="s">
        <v>293</v>
      </c>
      <c r="E92" t="s">
        <v>184</v>
      </c>
      <c r="F92" t="s">
        <v>185</v>
      </c>
      <c r="G92" t="s">
        <v>282</v>
      </c>
      <c r="H92">
        <v>299221</v>
      </c>
      <c r="I92" s="17">
        <v>6805</v>
      </c>
      <c r="J92" s="17">
        <v>2405</v>
      </c>
      <c r="K92">
        <v>279</v>
      </c>
      <c r="L92">
        <v>267643</v>
      </c>
      <c r="M92">
        <v>289495</v>
      </c>
      <c r="N92">
        <v>274727</v>
      </c>
      <c r="O92">
        <v>292179</v>
      </c>
      <c r="P92">
        <v>24494</v>
      </c>
      <c r="Q92">
        <v>7042</v>
      </c>
      <c r="R92">
        <v>299221</v>
      </c>
      <c r="S92">
        <v>6805</v>
      </c>
      <c r="T92">
        <v>2405</v>
      </c>
      <c r="U92">
        <v>279</v>
      </c>
      <c r="V92">
        <v>267643</v>
      </c>
      <c r="W92">
        <v>289495</v>
      </c>
      <c r="X92">
        <v>274727</v>
      </c>
      <c r="Y92">
        <v>292179</v>
      </c>
      <c r="Z92">
        <v>24494</v>
      </c>
      <c r="AA92">
        <v>7042</v>
      </c>
      <c r="AB92">
        <v>0</v>
      </c>
      <c r="AC92">
        <v>0</v>
      </c>
      <c r="AD92">
        <v>0</v>
      </c>
      <c r="AE92">
        <v>0</v>
      </c>
      <c r="AF92">
        <v>0</v>
      </c>
      <c r="AG92">
        <v>0</v>
      </c>
      <c r="AH92">
        <v>0</v>
      </c>
      <c r="AI92">
        <v>0</v>
      </c>
      <c r="AJ92">
        <v>0</v>
      </c>
      <c r="AK92">
        <v>0</v>
      </c>
      <c r="AL92">
        <v>-4251</v>
      </c>
      <c r="AM92">
        <v>915</v>
      </c>
      <c r="AN92">
        <v>1890</v>
      </c>
      <c r="AO92">
        <v>-172</v>
      </c>
      <c r="AP92">
        <v>-10289</v>
      </c>
      <c r="AQ92">
        <v>-5803</v>
      </c>
      <c r="AR92">
        <v>-9546</v>
      </c>
      <c r="AS92">
        <v>-4085</v>
      </c>
      <c r="AT92">
        <v>5295</v>
      </c>
      <c r="AU92">
        <v>-166</v>
      </c>
      <c r="AV92">
        <v>100</v>
      </c>
      <c r="AW92">
        <v>2.2999999999999998</v>
      </c>
      <c r="AX92">
        <v>0.8</v>
      </c>
      <c r="AY92">
        <v>0.1</v>
      </c>
      <c r="AZ92">
        <v>89.4</v>
      </c>
      <c r="BA92">
        <v>96.7</v>
      </c>
      <c r="BB92">
        <v>91.8</v>
      </c>
      <c r="BC92">
        <v>97.6</v>
      </c>
      <c r="BD92">
        <v>8.1999999999999993</v>
      </c>
      <c r="BE92">
        <v>2.4</v>
      </c>
      <c r="BF92">
        <v>100</v>
      </c>
      <c r="BG92">
        <v>2.2999999999999998</v>
      </c>
      <c r="BH92">
        <v>0.8</v>
      </c>
      <c r="BI92">
        <v>0.1</v>
      </c>
      <c r="BJ92">
        <v>89.4</v>
      </c>
      <c r="BK92">
        <v>96.7</v>
      </c>
      <c r="BL92">
        <v>91.8</v>
      </c>
      <c r="BM92">
        <v>97.6</v>
      </c>
      <c r="BN92">
        <v>8.1999999999999993</v>
      </c>
      <c r="BO92">
        <v>2.4</v>
      </c>
      <c r="BP92">
        <v>0</v>
      </c>
      <c r="BQ92">
        <v>0</v>
      </c>
      <c r="BR92">
        <v>0</v>
      </c>
      <c r="BS92">
        <v>0</v>
      </c>
      <c r="BT92">
        <v>0</v>
      </c>
      <c r="BU92">
        <v>0</v>
      </c>
      <c r="BV92">
        <v>0</v>
      </c>
      <c r="BW92">
        <v>0</v>
      </c>
      <c r="BX92">
        <v>0</v>
      </c>
      <c r="BY92">
        <v>0</v>
      </c>
      <c r="BZ92">
        <v>38</v>
      </c>
      <c r="CA92">
        <v>3</v>
      </c>
      <c r="CB92">
        <v>1</v>
      </c>
      <c r="CC92">
        <v>2</v>
      </c>
      <c r="CD92">
        <v>25</v>
      </c>
      <c r="CE92">
        <v>28</v>
      </c>
      <c r="CF92">
        <v>29</v>
      </c>
      <c r="CG92">
        <v>30</v>
      </c>
      <c r="CH92">
        <v>38</v>
      </c>
      <c r="CI92">
        <v>3</v>
      </c>
      <c r="CJ92">
        <v>1</v>
      </c>
      <c r="CK92">
        <v>2</v>
      </c>
      <c r="CL92">
        <v>25</v>
      </c>
      <c r="CM92">
        <v>28</v>
      </c>
      <c r="CN92">
        <v>29</v>
      </c>
      <c r="CO92">
        <v>30</v>
      </c>
      <c r="CP92">
        <v>0</v>
      </c>
      <c r="CQ92">
        <v>0</v>
      </c>
      <c r="CR92">
        <v>0</v>
      </c>
      <c r="CS92">
        <v>0</v>
      </c>
      <c r="CT92">
        <v>0</v>
      </c>
      <c r="CU92">
        <v>0</v>
      </c>
      <c r="CV92">
        <v>0</v>
      </c>
      <c r="CW92">
        <v>0</v>
      </c>
      <c r="CX92">
        <v>59.5</v>
      </c>
      <c r="CY92">
        <v>66.3</v>
      </c>
      <c r="CZ92">
        <v>73.5</v>
      </c>
      <c r="DA92">
        <v>80.400000000000006</v>
      </c>
      <c r="DB92">
        <v>52.2</v>
      </c>
      <c r="DC92">
        <v>57.7</v>
      </c>
      <c r="DD92">
        <v>62.3</v>
      </c>
      <c r="DE92">
        <v>67.3</v>
      </c>
      <c r="DF92">
        <v>59.5</v>
      </c>
      <c r="DG92">
        <v>66.3</v>
      </c>
      <c r="DH92">
        <v>73.5</v>
      </c>
      <c r="DI92">
        <v>80.400000000000006</v>
      </c>
      <c r="DJ92">
        <v>52.2</v>
      </c>
      <c r="DK92">
        <v>57.7</v>
      </c>
      <c r="DL92">
        <v>62.3</v>
      </c>
      <c r="DM92">
        <v>67.3</v>
      </c>
      <c r="DN92">
        <v>0</v>
      </c>
      <c r="DO92">
        <v>0</v>
      </c>
      <c r="DP92">
        <v>0</v>
      </c>
      <c r="DQ92">
        <v>0</v>
      </c>
      <c r="DR92">
        <v>0</v>
      </c>
      <c r="DS92">
        <v>0</v>
      </c>
      <c r="DT92">
        <v>0</v>
      </c>
      <c r="DU92">
        <v>0</v>
      </c>
      <c r="DV92" t="s">
        <v>289</v>
      </c>
    </row>
    <row r="93" spans="1:126" x14ac:dyDescent="0.35">
      <c r="A93" t="s">
        <v>292</v>
      </c>
      <c r="B93">
        <v>230103</v>
      </c>
      <c r="C93" s="1">
        <v>44929</v>
      </c>
      <c r="D93" t="s">
        <v>293</v>
      </c>
      <c r="E93" t="s">
        <v>184</v>
      </c>
      <c r="F93" t="s">
        <v>185</v>
      </c>
      <c r="G93" t="s">
        <v>282</v>
      </c>
      <c r="H93">
        <v>303472</v>
      </c>
      <c r="I93" s="17">
        <v>5890</v>
      </c>
      <c r="J93" s="17">
        <v>515</v>
      </c>
      <c r="K93">
        <v>451</v>
      </c>
      <c r="L93">
        <v>277932</v>
      </c>
      <c r="M93">
        <v>295298</v>
      </c>
      <c r="N93">
        <v>284273</v>
      </c>
      <c r="O93">
        <v>296264</v>
      </c>
      <c r="P93">
        <v>19199</v>
      </c>
      <c r="Q93">
        <v>7208</v>
      </c>
      <c r="R93">
        <v>303472</v>
      </c>
      <c r="S93">
        <v>5890</v>
      </c>
      <c r="T93">
        <v>515</v>
      </c>
      <c r="U93">
        <v>451</v>
      </c>
      <c r="V93">
        <v>277932</v>
      </c>
      <c r="W93">
        <v>295298</v>
      </c>
      <c r="X93">
        <v>284273</v>
      </c>
      <c r="Y93">
        <v>296264</v>
      </c>
      <c r="Z93">
        <v>19199</v>
      </c>
      <c r="AA93">
        <v>7208</v>
      </c>
      <c r="AB93">
        <v>0</v>
      </c>
      <c r="AC93">
        <v>0</v>
      </c>
      <c r="AD93">
        <v>0</v>
      </c>
      <c r="AE93">
        <v>0</v>
      </c>
      <c r="AF93">
        <v>0</v>
      </c>
      <c r="AG93">
        <v>0</v>
      </c>
      <c r="AH93">
        <v>0</v>
      </c>
      <c r="AI93">
        <v>0</v>
      </c>
      <c r="AJ93">
        <v>0</v>
      </c>
      <c r="AK93">
        <v>0</v>
      </c>
      <c r="AL93">
        <v>1059</v>
      </c>
      <c r="AM93">
        <v>1093</v>
      </c>
      <c r="AN93">
        <v>492</v>
      </c>
      <c r="AO93">
        <v>-233</v>
      </c>
      <c r="AP93">
        <v>-136</v>
      </c>
      <c r="AQ93">
        <v>579</v>
      </c>
      <c r="AR93">
        <v>724</v>
      </c>
      <c r="AS93">
        <v>838</v>
      </c>
      <c r="AT93">
        <v>335</v>
      </c>
      <c r="AU93">
        <v>221</v>
      </c>
      <c r="AV93">
        <v>100</v>
      </c>
      <c r="AW93">
        <v>1.9</v>
      </c>
      <c r="AX93">
        <v>0.2</v>
      </c>
      <c r="AY93">
        <v>0.1</v>
      </c>
      <c r="AZ93">
        <v>91.6</v>
      </c>
      <c r="BA93">
        <v>97.3</v>
      </c>
      <c r="BB93">
        <v>93.7</v>
      </c>
      <c r="BC93">
        <v>97.6</v>
      </c>
      <c r="BD93">
        <v>6.3</v>
      </c>
      <c r="BE93">
        <v>2.4</v>
      </c>
      <c r="BF93">
        <v>100</v>
      </c>
      <c r="BG93">
        <v>1.9</v>
      </c>
      <c r="BH93">
        <v>0.2</v>
      </c>
      <c r="BI93">
        <v>0.1</v>
      </c>
      <c r="BJ93">
        <v>91.6</v>
      </c>
      <c r="BK93">
        <v>97.3</v>
      </c>
      <c r="BL93">
        <v>93.7</v>
      </c>
      <c r="BM93">
        <v>97.6</v>
      </c>
      <c r="BN93">
        <v>6.3</v>
      </c>
      <c r="BO93">
        <v>2.4</v>
      </c>
      <c r="BP93">
        <v>0</v>
      </c>
      <c r="BQ93">
        <v>0</v>
      </c>
      <c r="BR93">
        <v>0</v>
      </c>
      <c r="BS93">
        <v>0</v>
      </c>
      <c r="BT93">
        <v>0</v>
      </c>
      <c r="BU93">
        <v>0</v>
      </c>
      <c r="BV93">
        <v>0</v>
      </c>
      <c r="BW93">
        <v>0</v>
      </c>
      <c r="BX93">
        <v>0</v>
      </c>
      <c r="BY93">
        <v>0</v>
      </c>
      <c r="BZ93">
        <v>41</v>
      </c>
      <c r="CA93">
        <v>2</v>
      </c>
      <c r="CB93">
        <v>1</v>
      </c>
      <c r="CC93">
        <v>2</v>
      </c>
      <c r="CD93">
        <v>30</v>
      </c>
      <c r="CE93">
        <v>31</v>
      </c>
      <c r="CF93">
        <v>33</v>
      </c>
      <c r="CG93">
        <v>33</v>
      </c>
      <c r="CH93">
        <v>41</v>
      </c>
      <c r="CI93">
        <v>2</v>
      </c>
      <c r="CJ93">
        <v>1</v>
      </c>
      <c r="CK93">
        <v>2</v>
      </c>
      <c r="CL93">
        <v>30</v>
      </c>
      <c r="CM93">
        <v>31</v>
      </c>
      <c r="CN93">
        <v>33</v>
      </c>
      <c r="CO93">
        <v>33</v>
      </c>
      <c r="CP93">
        <v>0</v>
      </c>
      <c r="CQ93">
        <v>0</v>
      </c>
      <c r="CR93">
        <v>0</v>
      </c>
      <c r="CS93">
        <v>0</v>
      </c>
      <c r="CT93">
        <v>0</v>
      </c>
      <c r="CU93">
        <v>0</v>
      </c>
      <c r="CV93">
        <v>0</v>
      </c>
      <c r="CW93">
        <v>0</v>
      </c>
      <c r="CX93">
        <v>57.5</v>
      </c>
      <c r="CY93">
        <v>63.4</v>
      </c>
      <c r="CZ93">
        <v>70.900000000000006</v>
      </c>
      <c r="DA93">
        <v>77.5</v>
      </c>
      <c r="DB93">
        <v>51</v>
      </c>
      <c r="DC93">
        <v>54.3</v>
      </c>
      <c r="DD93">
        <v>61.3</v>
      </c>
      <c r="DE93">
        <v>64.400000000000006</v>
      </c>
      <c r="DF93">
        <v>57.5</v>
      </c>
      <c r="DG93">
        <v>63.4</v>
      </c>
      <c r="DH93">
        <v>70.900000000000006</v>
      </c>
      <c r="DI93">
        <v>77.5</v>
      </c>
      <c r="DJ93">
        <v>51</v>
      </c>
      <c r="DK93">
        <v>54.3</v>
      </c>
      <c r="DL93">
        <v>61.3</v>
      </c>
      <c r="DM93">
        <v>64.400000000000006</v>
      </c>
      <c r="DN93">
        <v>0</v>
      </c>
      <c r="DO93">
        <v>0</v>
      </c>
      <c r="DP93">
        <v>0</v>
      </c>
      <c r="DQ93">
        <v>0</v>
      </c>
      <c r="DR93">
        <v>0</v>
      </c>
      <c r="DS93">
        <v>0</v>
      </c>
      <c r="DT93">
        <v>0</v>
      </c>
      <c r="DU93">
        <v>0</v>
      </c>
      <c r="DV93" t="s">
        <v>289</v>
      </c>
    </row>
    <row r="94" spans="1:126" x14ac:dyDescent="0.35">
      <c r="A94" t="s">
        <v>294</v>
      </c>
      <c r="B94">
        <v>230110</v>
      </c>
      <c r="C94" s="1">
        <v>44936</v>
      </c>
      <c r="D94" t="s">
        <v>295</v>
      </c>
      <c r="E94" t="s">
        <v>184</v>
      </c>
      <c r="F94" t="s">
        <v>185</v>
      </c>
      <c r="G94" t="s">
        <v>282</v>
      </c>
      <c r="H94">
        <v>769316</v>
      </c>
      <c r="I94" s="17">
        <v>5642</v>
      </c>
      <c r="J94" s="17">
        <v>2016</v>
      </c>
      <c r="K94">
        <v>2797</v>
      </c>
      <c r="L94">
        <v>748832</v>
      </c>
      <c r="M94">
        <v>760426</v>
      </c>
      <c r="N94">
        <v>757271</v>
      </c>
      <c r="O94">
        <v>765239</v>
      </c>
      <c r="P94">
        <v>12045</v>
      </c>
      <c r="Q94">
        <v>4077</v>
      </c>
      <c r="R94">
        <v>769316</v>
      </c>
      <c r="S94">
        <v>5642</v>
      </c>
      <c r="T94">
        <v>2016</v>
      </c>
      <c r="U94">
        <v>2797</v>
      </c>
      <c r="V94">
        <v>748832</v>
      </c>
      <c r="W94">
        <v>760426</v>
      </c>
      <c r="X94">
        <v>757271</v>
      </c>
      <c r="Y94">
        <v>765239</v>
      </c>
      <c r="Z94">
        <v>12045</v>
      </c>
      <c r="AA94">
        <v>4077</v>
      </c>
      <c r="AB94">
        <v>0</v>
      </c>
      <c r="AC94">
        <v>0</v>
      </c>
      <c r="AD94">
        <v>0</v>
      </c>
      <c r="AE94">
        <v>0</v>
      </c>
      <c r="AF94">
        <v>0</v>
      </c>
      <c r="AG94">
        <v>0</v>
      </c>
      <c r="AH94">
        <v>0</v>
      </c>
      <c r="AI94">
        <v>0</v>
      </c>
      <c r="AJ94">
        <v>0</v>
      </c>
      <c r="AK94">
        <v>0</v>
      </c>
      <c r="AL94">
        <v>-33270</v>
      </c>
      <c r="AM94">
        <v>-2624</v>
      </c>
      <c r="AN94">
        <v>1994</v>
      </c>
      <c r="AO94">
        <v>-372</v>
      </c>
      <c r="AP94">
        <v>-27836</v>
      </c>
      <c r="AQ94">
        <v>-34049</v>
      </c>
      <c r="AR94">
        <v>-30832</v>
      </c>
      <c r="AS94">
        <v>-32427</v>
      </c>
      <c r="AT94">
        <v>-2438</v>
      </c>
      <c r="AU94">
        <v>-843</v>
      </c>
      <c r="AV94">
        <v>100</v>
      </c>
      <c r="AW94">
        <v>0.7</v>
      </c>
      <c r="AX94">
        <v>0.3</v>
      </c>
      <c r="AY94">
        <v>0.4</v>
      </c>
      <c r="AZ94">
        <v>97.3</v>
      </c>
      <c r="BA94">
        <v>98.8</v>
      </c>
      <c r="BB94">
        <v>98.4</v>
      </c>
      <c r="BC94">
        <v>99.5</v>
      </c>
      <c r="BD94">
        <v>1.6</v>
      </c>
      <c r="BE94">
        <v>0.5</v>
      </c>
      <c r="BF94">
        <v>100</v>
      </c>
      <c r="BG94">
        <v>0.7</v>
      </c>
      <c r="BH94">
        <v>0.3</v>
      </c>
      <c r="BI94">
        <v>0.4</v>
      </c>
      <c r="BJ94">
        <v>97.3</v>
      </c>
      <c r="BK94">
        <v>98.8</v>
      </c>
      <c r="BL94">
        <v>98.4</v>
      </c>
      <c r="BM94">
        <v>99.5</v>
      </c>
      <c r="BN94">
        <v>1.6</v>
      </c>
      <c r="BO94">
        <v>0.5</v>
      </c>
      <c r="BP94">
        <v>0</v>
      </c>
      <c r="BQ94">
        <v>0</v>
      </c>
      <c r="BR94">
        <v>0</v>
      </c>
      <c r="BS94">
        <v>0</v>
      </c>
      <c r="BT94">
        <v>0</v>
      </c>
      <c r="BU94">
        <v>0</v>
      </c>
      <c r="BV94">
        <v>0</v>
      </c>
      <c r="BW94">
        <v>0</v>
      </c>
      <c r="BX94">
        <v>0</v>
      </c>
      <c r="BY94">
        <v>0</v>
      </c>
      <c r="BZ94">
        <v>49</v>
      </c>
      <c r="CA94">
        <v>4</v>
      </c>
      <c r="CB94">
        <v>1</v>
      </c>
      <c r="CC94">
        <v>2</v>
      </c>
      <c r="CD94">
        <v>41</v>
      </c>
      <c r="CE94">
        <v>26</v>
      </c>
      <c r="CF94">
        <v>45</v>
      </c>
      <c r="CG94">
        <v>29</v>
      </c>
      <c r="CH94">
        <v>49</v>
      </c>
      <c r="CI94">
        <v>4</v>
      </c>
      <c r="CJ94">
        <v>1</v>
      </c>
      <c r="CK94">
        <v>2</v>
      </c>
      <c r="CL94">
        <v>41</v>
      </c>
      <c r="CM94">
        <v>26</v>
      </c>
      <c r="CN94">
        <v>45</v>
      </c>
      <c r="CO94">
        <v>29</v>
      </c>
      <c r="CP94">
        <v>0</v>
      </c>
      <c r="CQ94">
        <v>0</v>
      </c>
      <c r="CR94">
        <v>0</v>
      </c>
      <c r="CS94">
        <v>0</v>
      </c>
      <c r="CT94">
        <v>0</v>
      </c>
      <c r="CU94">
        <v>0</v>
      </c>
      <c r="CV94">
        <v>0</v>
      </c>
      <c r="CW94">
        <v>0</v>
      </c>
      <c r="CX94">
        <v>42.6</v>
      </c>
      <c r="CY94">
        <v>55.7</v>
      </c>
      <c r="CZ94">
        <v>59.9</v>
      </c>
      <c r="DA94">
        <v>79.7</v>
      </c>
      <c r="DB94">
        <v>42.6</v>
      </c>
      <c r="DC94">
        <v>54.2</v>
      </c>
      <c r="DD94">
        <v>59</v>
      </c>
      <c r="DE94">
        <v>75.3</v>
      </c>
      <c r="DF94">
        <v>42.6</v>
      </c>
      <c r="DG94">
        <v>55.7</v>
      </c>
      <c r="DH94">
        <v>59.9</v>
      </c>
      <c r="DI94">
        <v>79.7</v>
      </c>
      <c r="DJ94">
        <v>42.6</v>
      </c>
      <c r="DK94">
        <v>54.2</v>
      </c>
      <c r="DL94">
        <v>59</v>
      </c>
      <c r="DM94">
        <v>75.3</v>
      </c>
      <c r="DN94">
        <v>0</v>
      </c>
      <c r="DO94">
        <v>0</v>
      </c>
      <c r="DP94">
        <v>0</v>
      </c>
      <c r="DQ94">
        <v>0</v>
      </c>
      <c r="DR94">
        <v>0</v>
      </c>
      <c r="DS94">
        <v>0</v>
      </c>
      <c r="DT94">
        <v>0</v>
      </c>
      <c r="DU94">
        <v>0</v>
      </c>
      <c r="DV94" t="s">
        <v>289</v>
      </c>
    </row>
    <row r="95" spans="1:126" x14ac:dyDescent="0.35">
      <c r="A95" t="s">
        <v>294</v>
      </c>
      <c r="B95">
        <v>230103</v>
      </c>
      <c r="C95" s="1">
        <v>44929</v>
      </c>
      <c r="D95" t="s">
        <v>295</v>
      </c>
      <c r="E95" t="s">
        <v>184</v>
      </c>
      <c r="F95" t="s">
        <v>185</v>
      </c>
      <c r="G95" t="s">
        <v>282</v>
      </c>
      <c r="H95">
        <v>802586</v>
      </c>
      <c r="I95" s="17">
        <v>8266</v>
      </c>
      <c r="J95" s="17">
        <v>22</v>
      </c>
      <c r="K95">
        <v>3169</v>
      </c>
      <c r="L95">
        <v>776668</v>
      </c>
      <c r="M95">
        <v>794475</v>
      </c>
      <c r="N95">
        <v>788103</v>
      </c>
      <c r="O95">
        <v>797666</v>
      </c>
      <c r="P95">
        <v>14483</v>
      </c>
      <c r="Q95">
        <v>4920</v>
      </c>
      <c r="R95">
        <v>802586</v>
      </c>
      <c r="S95">
        <v>8266</v>
      </c>
      <c r="T95">
        <v>22</v>
      </c>
      <c r="U95">
        <v>3169</v>
      </c>
      <c r="V95">
        <v>776668</v>
      </c>
      <c r="W95">
        <v>794475</v>
      </c>
      <c r="X95">
        <v>788103</v>
      </c>
      <c r="Y95">
        <v>797666</v>
      </c>
      <c r="Z95">
        <v>14483</v>
      </c>
      <c r="AA95">
        <v>4920</v>
      </c>
      <c r="AB95">
        <v>0</v>
      </c>
      <c r="AC95">
        <v>0</v>
      </c>
      <c r="AD95">
        <v>0</v>
      </c>
      <c r="AE95">
        <v>0</v>
      </c>
      <c r="AF95">
        <v>0</v>
      </c>
      <c r="AG95">
        <v>0</v>
      </c>
      <c r="AH95">
        <v>0</v>
      </c>
      <c r="AI95">
        <v>0</v>
      </c>
      <c r="AJ95">
        <v>0</v>
      </c>
      <c r="AK95">
        <v>0</v>
      </c>
      <c r="AL95">
        <v>4014</v>
      </c>
      <c r="AM95">
        <v>-84</v>
      </c>
      <c r="AN95">
        <v>-246</v>
      </c>
      <c r="AO95">
        <v>-745</v>
      </c>
      <c r="AP95">
        <v>2613</v>
      </c>
      <c r="AQ95">
        <v>3638</v>
      </c>
      <c r="AR95">
        <v>1784</v>
      </c>
      <c r="AS95">
        <v>2647</v>
      </c>
      <c r="AT95">
        <v>2230</v>
      </c>
      <c r="AU95">
        <v>1367</v>
      </c>
      <c r="AV95">
        <v>100</v>
      </c>
      <c r="AW95">
        <v>1</v>
      </c>
      <c r="AX95">
        <v>0</v>
      </c>
      <c r="AY95">
        <v>0.4</v>
      </c>
      <c r="AZ95">
        <v>96.8</v>
      </c>
      <c r="BA95">
        <v>99</v>
      </c>
      <c r="BB95">
        <v>98.2</v>
      </c>
      <c r="BC95">
        <v>99.4</v>
      </c>
      <c r="BD95">
        <v>1.8</v>
      </c>
      <c r="BE95">
        <v>0.6</v>
      </c>
      <c r="BF95">
        <v>100</v>
      </c>
      <c r="BG95">
        <v>1</v>
      </c>
      <c r="BH95">
        <v>0</v>
      </c>
      <c r="BI95">
        <v>0.4</v>
      </c>
      <c r="BJ95">
        <v>96.8</v>
      </c>
      <c r="BK95">
        <v>99</v>
      </c>
      <c r="BL95">
        <v>98.2</v>
      </c>
      <c r="BM95">
        <v>99.4</v>
      </c>
      <c r="BN95">
        <v>1.8</v>
      </c>
      <c r="BO95">
        <v>0.6</v>
      </c>
      <c r="BP95">
        <v>0</v>
      </c>
      <c r="BQ95">
        <v>0</v>
      </c>
      <c r="BR95">
        <v>0</v>
      </c>
      <c r="BS95">
        <v>0</v>
      </c>
      <c r="BT95">
        <v>0</v>
      </c>
      <c r="BU95">
        <v>0</v>
      </c>
      <c r="BV95">
        <v>0</v>
      </c>
      <c r="BW95">
        <v>0</v>
      </c>
      <c r="BX95">
        <v>0</v>
      </c>
      <c r="BY95">
        <v>0</v>
      </c>
      <c r="BZ95">
        <v>49</v>
      </c>
      <c r="CA95">
        <v>4</v>
      </c>
      <c r="CB95">
        <v>1</v>
      </c>
      <c r="CC95">
        <v>3</v>
      </c>
      <c r="CD95">
        <v>41</v>
      </c>
      <c r="CE95">
        <v>28</v>
      </c>
      <c r="CF95">
        <v>46</v>
      </c>
      <c r="CG95">
        <v>31</v>
      </c>
      <c r="CH95">
        <v>49</v>
      </c>
      <c r="CI95">
        <v>4</v>
      </c>
      <c r="CJ95">
        <v>1</v>
      </c>
      <c r="CK95">
        <v>3</v>
      </c>
      <c r="CL95">
        <v>41</v>
      </c>
      <c r="CM95">
        <v>28</v>
      </c>
      <c r="CN95">
        <v>46</v>
      </c>
      <c r="CO95">
        <v>31</v>
      </c>
      <c r="CP95">
        <v>0</v>
      </c>
      <c r="CQ95">
        <v>0</v>
      </c>
      <c r="CR95">
        <v>0</v>
      </c>
      <c r="CS95">
        <v>0</v>
      </c>
      <c r="CT95">
        <v>0</v>
      </c>
      <c r="CU95">
        <v>0</v>
      </c>
      <c r="CV95">
        <v>0</v>
      </c>
      <c r="CW95">
        <v>0</v>
      </c>
      <c r="CX95">
        <v>42.5</v>
      </c>
      <c r="CY95">
        <v>56.9</v>
      </c>
      <c r="CZ95">
        <v>59</v>
      </c>
      <c r="DA95">
        <v>81.2</v>
      </c>
      <c r="DB95">
        <v>42.5</v>
      </c>
      <c r="DC95">
        <v>55.4</v>
      </c>
      <c r="DD95">
        <v>58.7</v>
      </c>
      <c r="DE95">
        <v>77.599999999999994</v>
      </c>
      <c r="DF95">
        <v>42.5</v>
      </c>
      <c r="DG95">
        <v>56.9</v>
      </c>
      <c r="DH95">
        <v>59</v>
      </c>
      <c r="DI95">
        <v>81.2</v>
      </c>
      <c r="DJ95">
        <v>42.5</v>
      </c>
      <c r="DK95">
        <v>55.4</v>
      </c>
      <c r="DL95">
        <v>58.7</v>
      </c>
      <c r="DM95">
        <v>77.599999999999994</v>
      </c>
      <c r="DN95">
        <v>0</v>
      </c>
      <c r="DO95">
        <v>0</v>
      </c>
      <c r="DP95">
        <v>0</v>
      </c>
      <c r="DQ95">
        <v>0</v>
      </c>
      <c r="DR95">
        <v>0</v>
      </c>
      <c r="DS95">
        <v>0</v>
      </c>
      <c r="DT95">
        <v>0</v>
      </c>
      <c r="DU95">
        <v>0</v>
      </c>
      <c r="DV95" t="s">
        <v>289</v>
      </c>
    </row>
    <row r="96" spans="1:126" x14ac:dyDescent="0.35">
      <c r="A96" t="s">
        <v>296</v>
      </c>
      <c r="B96">
        <v>230110</v>
      </c>
      <c r="C96" s="1">
        <v>44936</v>
      </c>
      <c r="D96" t="s">
        <v>297</v>
      </c>
      <c r="E96" t="s">
        <v>184</v>
      </c>
      <c r="F96" t="s">
        <v>185</v>
      </c>
      <c r="G96" t="s">
        <v>282</v>
      </c>
      <c r="H96">
        <v>318593</v>
      </c>
      <c r="I96" s="17">
        <v>21660</v>
      </c>
      <c r="J96" s="17">
        <v>4956</v>
      </c>
      <c r="K96">
        <v>912</v>
      </c>
      <c r="L96">
        <v>289480</v>
      </c>
      <c r="M96">
        <v>305570</v>
      </c>
      <c r="N96">
        <v>312052</v>
      </c>
      <c r="O96">
        <v>311438</v>
      </c>
      <c r="P96">
        <v>6541</v>
      </c>
      <c r="Q96">
        <v>7155</v>
      </c>
      <c r="R96">
        <v>318593</v>
      </c>
      <c r="S96">
        <v>21660</v>
      </c>
      <c r="T96">
        <v>4956</v>
      </c>
      <c r="U96">
        <v>912</v>
      </c>
      <c r="V96">
        <v>289480</v>
      </c>
      <c r="W96">
        <v>305570</v>
      </c>
      <c r="X96">
        <v>312052</v>
      </c>
      <c r="Y96">
        <v>311438</v>
      </c>
      <c r="Z96">
        <v>6541</v>
      </c>
      <c r="AA96">
        <v>7155</v>
      </c>
      <c r="AB96">
        <v>0</v>
      </c>
      <c r="AC96">
        <v>0</v>
      </c>
      <c r="AD96">
        <v>0</v>
      </c>
      <c r="AE96">
        <v>0</v>
      </c>
      <c r="AF96">
        <v>0</v>
      </c>
      <c r="AG96">
        <v>0</v>
      </c>
      <c r="AH96">
        <v>0</v>
      </c>
      <c r="AI96">
        <v>0</v>
      </c>
      <c r="AJ96">
        <v>0</v>
      </c>
      <c r="AK96">
        <v>0</v>
      </c>
      <c r="AL96">
        <v>-21123</v>
      </c>
      <c r="AM96">
        <v>80</v>
      </c>
      <c r="AN96">
        <v>-1907</v>
      </c>
      <c r="AO96">
        <v>304</v>
      </c>
      <c r="AP96">
        <v>-22128</v>
      </c>
      <c r="AQ96">
        <v>-19142</v>
      </c>
      <c r="AR96">
        <v>-21744</v>
      </c>
      <c r="AS96">
        <v>-20745</v>
      </c>
      <c r="AT96">
        <v>621</v>
      </c>
      <c r="AU96">
        <v>-378</v>
      </c>
      <c r="AV96">
        <v>100</v>
      </c>
      <c r="AW96">
        <v>6.8</v>
      </c>
      <c r="AX96">
        <v>1.6</v>
      </c>
      <c r="AY96">
        <v>0.3</v>
      </c>
      <c r="AZ96">
        <v>90.9</v>
      </c>
      <c r="BA96">
        <v>95.9</v>
      </c>
      <c r="BB96">
        <v>97.9</v>
      </c>
      <c r="BC96">
        <v>97.8</v>
      </c>
      <c r="BD96">
        <v>2.1</v>
      </c>
      <c r="BE96">
        <v>2.2000000000000002</v>
      </c>
      <c r="BF96">
        <v>100</v>
      </c>
      <c r="BG96">
        <v>6.8</v>
      </c>
      <c r="BH96">
        <v>1.6</v>
      </c>
      <c r="BI96">
        <v>0.3</v>
      </c>
      <c r="BJ96">
        <v>90.9</v>
      </c>
      <c r="BK96">
        <v>95.9</v>
      </c>
      <c r="BL96">
        <v>97.9</v>
      </c>
      <c r="BM96">
        <v>97.8</v>
      </c>
      <c r="BN96">
        <v>2.1</v>
      </c>
      <c r="BO96">
        <v>2.2000000000000002</v>
      </c>
      <c r="BP96">
        <v>0</v>
      </c>
      <c r="BQ96">
        <v>0</v>
      </c>
      <c r="BR96">
        <v>0</v>
      </c>
      <c r="BS96">
        <v>0</v>
      </c>
      <c r="BT96">
        <v>0</v>
      </c>
      <c r="BU96">
        <v>0</v>
      </c>
      <c r="BV96">
        <v>0</v>
      </c>
      <c r="BW96">
        <v>0</v>
      </c>
      <c r="BX96">
        <v>0</v>
      </c>
      <c r="BY96">
        <v>0</v>
      </c>
      <c r="BZ96">
        <v>55</v>
      </c>
      <c r="CA96">
        <v>3</v>
      </c>
      <c r="CB96">
        <v>1</v>
      </c>
      <c r="CC96">
        <v>2</v>
      </c>
      <c r="CD96">
        <v>36</v>
      </c>
      <c r="CE96">
        <v>36</v>
      </c>
      <c r="CF96">
        <v>40</v>
      </c>
      <c r="CG96">
        <v>38</v>
      </c>
      <c r="CH96">
        <v>55</v>
      </c>
      <c r="CI96">
        <v>3</v>
      </c>
      <c r="CJ96">
        <v>1</v>
      </c>
      <c r="CK96">
        <v>2</v>
      </c>
      <c r="CL96">
        <v>36</v>
      </c>
      <c r="CM96">
        <v>36</v>
      </c>
      <c r="CN96">
        <v>40</v>
      </c>
      <c r="CO96">
        <v>38</v>
      </c>
      <c r="CP96">
        <v>0</v>
      </c>
      <c r="CQ96">
        <v>0</v>
      </c>
      <c r="CR96">
        <v>0</v>
      </c>
      <c r="CS96">
        <v>0</v>
      </c>
      <c r="CT96">
        <v>0</v>
      </c>
      <c r="CU96">
        <v>0</v>
      </c>
      <c r="CV96">
        <v>0</v>
      </c>
      <c r="CW96">
        <v>0</v>
      </c>
      <c r="CX96">
        <v>46.9</v>
      </c>
      <c r="CY96">
        <v>48.6</v>
      </c>
      <c r="CZ96">
        <v>64.3</v>
      </c>
      <c r="DA96">
        <v>69.5</v>
      </c>
      <c r="DB96">
        <v>44.9</v>
      </c>
      <c r="DC96">
        <v>46.9</v>
      </c>
      <c r="DD96">
        <v>61.2</v>
      </c>
      <c r="DE96">
        <v>65.599999999999994</v>
      </c>
      <c r="DF96">
        <v>46.9</v>
      </c>
      <c r="DG96">
        <v>48.6</v>
      </c>
      <c r="DH96">
        <v>64.3</v>
      </c>
      <c r="DI96">
        <v>69.5</v>
      </c>
      <c r="DJ96">
        <v>44.9</v>
      </c>
      <c r="DK96">
        <v>46.9</v>
      </c>
      <c r="DL96">
        <v>61.2</v>
      </c>
      <c r="DM96">
        <v>65.599999999999994</v>
      </c>
      <c r="DN96">
        <v>0</v>
      </c>
      <c r="DO96">
        <v>0</v>
      </c>
      <c r="DP96">
        <v>0</v>
      </c>
      <c r="DQ96">
        <v>0</v>
      </c>
      <c r="DR96">
        <v>0</v>
      </c>
      <c r="DS96">
        <v>0</v>
      </c>
      <c r="DT96">
        <v>0</v>
      </c>
      <c r="DU96">
        <v>0</v>
      </c>
      <c r="DV96" t="s">
        <v>289</v>
      </c>
    </row>
    <row r="97" spans="1:126" x14ac:dyDescent="0.35">
      <c r="A97" t="s">
        <v>296</v>
      </c>
      <c r="B97">
        <v>230103</v>
      </c>
      <c r="C97" s="1">
        <v>44929</v>
      </c>
      <c r="D97" t="s">
        <v>297</v>
      </c>
      <c r="E97" t="s">
        <v>184</v>
      </c>
      <c r="F97" t="s">
        <v>185</v>
      </c>
      <c r="G97" t="s">
        <v>282</v>
      </c>
      <c r="H97">
        <v>339716</v>
      </c>
      <c r="I97" s="17">
        <v>21580</v>
      </c>
      <c r="J97" s="17">
        <v>6863</v>
      </c>
      <c r="K97">
        <v>608</v>
      </c>
      <c r="L97">
        <v>311608</v>
      </c>
      <c r="M97">
        <v>324712</v>
      </c>
      <c r="N97">
        <v>333796</v>
      </c>
      <c r="O97">
        <v>332183</v>
      </c>
      <c r="P97">
        <v>5920</v>
      </c>
      <c r="Q97">
        <v>7533</v>
      </c>
      <c r="R97">
        <v>339716</v>
      </c>
      <c r="S97">
        <v>21580</v>
      </c>
      <c r="T97">
        <v>6863</v>
      </c>
      <c r="U97">
        <v>608</v>
      </c>
      <c r="V97">
        <v>311608</v>
      </c>
      <c r="W97">
        <v>324712</v>
      </c>
      <c r="X97">
        <v>333796</v>
      </c>
      <c r="Y97">
        <v>332183</v>
      </c>
      <c r="Z97">
        <v>5920</v>
      </c>
      <c r="AA97">
        <v>7533</v>
      </c>
      <c r="AB97">
        <v>0</v>
      </c>
      <c r="AC97">
        <v>0</v>
      </c>
      <c r="AD97">
        <v>0</v>
      </c>
      <c r="AE97">
        <v>0</v>
      </c>
      <c r="AF97">
        <v>0</v>
      </c>
      <c r="AG97">
        <v>0</v>
      </c>
      <c r="AH97">
        <v>0</v>
      </c>
      <c r="AI97">
        <v>0</v>
      </c>
      <c r="AJ97">
        <v>0</v>
      </c>
      <c r="AK97">
        <v>0</v>
      </c>
      <c r="AL97">
        <v>770</v>
      </c>
      <c r="AM97">
        <v>927</v>
      </c>
      <c r="AN97">
        <v>-1216</v>
      </c>
      <c r="AO97">
        <v>608</v>
      </c>
      <c r="AP97">
        <v>-705</v>
      </c>
      <c r="AQ97">
        <v>1194</v>
      </c>
      <c r="AR97">
        <v>830</v>
      </c>
      <c r="AS97">
        <v>586</v>
      </c>
      <c r="AT97">
        <v>-60</v>
      </c>
      <c r="AU97">
        <v>184</v>
      </c>
      <c r="AV97">
        <v>100</v>
      </c>
      <c r="AW97">
        <v>6.4</v>
      </c>
      <c r="AX97">
        <v>2</v>
      </c>
      <c r="AY97">
        <v>0.2</v>
      </c>
      <c r="AZ97">
        <v>91.7</v>
      </c>
      <c r="BA97">
        <v>95.6</v>
      </c>
      <c r="BB97">
        <v>98.3</v>
      </c>
      <c r="BC97">
        <v>97.8</v>
      </c>
      <c r="BD97">
        <v>1.7</v>
      </c>
      <c r="BE97">
        <v>2.2000000000000002</v>
      </c>
      <c r="BF97">
        <v>100</v>
      </c>
      <c r="BG97">
        <v>6.4</v>
      </c>
      <c r="BH97">
        <v>2</v>
      </c>
      <c r="BI97">
        <v>0.2</v>
      </c>
      <c r="BJ97">
        <v>91.7</v>
      </c>
      <c r="BK97">
        <v>95.6</v>
      </c>
      <c r="BL97">
        <v>98.3</v>
      </c>
      <c r="BM97">
        <v>97.8</v>
      </c>
      <c r="BN97">
        <v>1.7</v>
      </c>
      <c r="BO97">
        <v>2.2000000000000002</v>
      </c>
      <c r="BP97">
        <v>0</v>
      </c>
      <c r="BQ97">
        <v>0</v>
      </c>
      <c r="BR97">
        <v>0</v>
      </c>
      <c r="BS97">
        <v>0</v>
      </c>
      <c r="BT97">
        <v>0</v>
      </c>
      <c r="BU97">
        <v>0</v>
      </c>
      <c r="BV97">
        <v>0</v>
      </c>
      <c r="BW97">
        <v>0</v>
      </c>
      <c r="BX97">
        <v>0</v>
      </c>
      <c r="BY97">
        <v>0</v>
      </c>
      <c r="BZ97">
        <v>59</v>
      </c>
      <c r="CA97">
        <v>5</v>
      </c>
      <c r="CB97">
        <v>2</v>
      </c>
      <c r="CC97">
        <v>1</v>
      </c>
      <c r="CD97">
        <v>36</v>
      </c>
      <c r="CE97">
        <v>35</v>
      </c>
      <c r="CF97">
        <v>42</v>
      </c>
      <c r="CG97">
        <v>37</v>
      </c>
      <c r="CH97">
        <v>59</v>
      </c>
      <c r="CI97">
        <v>5</v>
      </c>
      <c r="CJ97">
        <v>2</v>
      </c>
      <c r="CK97">
        <v>1</v>
      </c>
      <c r="CL97">
        <v>36</v>
      </c>
      <c r="CM97">
        <v>35</v>
      </c>
      <c r="CN97">
        <v>42</v>
      </c>
      <c r="CO97">
        <v>37</v>
      </c>
      <c r="CP97">
        <v>0</v>
      </c>
      <c r="CQ97">
        <v>0</v>
      </c>
      <c r="CR97">
        <v>0</v>
      </c>
      <c r="CS97">
        <v>0</v>
      </c>
      <c r="CT97">
        <v>0</v>
      </c>
      <c r="CU97">
        <v>0</v>
      </c>
      <c r="CV97">
        <v>0</v>
      </c>
      <c r="CW97">
        <v>0</v>
      </c>
      <c r="CX97">
        <v>47.1</v>
      </c>
      <c r="CY97">
        <v>46.2</v>
      </c>
      <c r="CZ97">
        <v>63.7</v>
      </c>
      <c r="DA97">
        <v>68.5</v>
      </c>
      <c r="DB97">
        <v>45.2</v>
      </c>
      <c r="DC97">
        <v>44.2</v>
      </c>
      <c r="DD97">
        <v>60.6</v>
      </c>
      <c r="DE97">
        <v>63.1</v>
      </c>
      <c r="DF97">
        <v>47.1</v>
      </c>
      <c r="DG97">
        <v>46.2</v>
      </c>
      <c r="DH97">
        <v>63.7</v>
      </c>
      <c r="DI97">
        <v>68.5</v>
      </c>
      <c r="DJ97">
        <v>45.2</v>
      </c>
      <c r="DK97">
        <v>44.2</v>
      </c>
      <c r="DL97">
        <v>60.6</v>
      </c>
      <c r="DM97">
        <v>63.1</v>
      </c>
      <c r="DN97">
        <v>0</v>
      </c>
      <c r="DO97">
        <v>0</v>
      </c>
      <c r="DP97">
        <v>0</v>
      </c>
      <c r="DQ97">
        <v>0</v>
      </c>
      <c r="DR97">
        <v>0</v>
      </c>
      <c r="DS97">
        <v>0</v>
      </c>
      <c r="DT97">
        <v>0</v>
      </c>
      <c r="DU97">
        <v>0</v>
      </c>
      <c r="DV97" t="s">
        <v>289</v>
      </c>
    </row>
    <row r="98" spans="1:126" x14ac:dyDescent="0.35">
      <c r="A98" t="s">
        <v>298</v>
      </c>
      <c r="B98">
        <v>230110</v>
      </c>
      <c r="C98" s="1">
        <v>44936</v>
      </c>
      <c r="D98" t="s">
        <v>299</v>
      </c>
      <c r="E98" t="s">
        <v>184</v>
      </c>
      <c r="F98" t="s">
        <v>185</v>
      </c>
      <c r="G98" t="s">
        <v>282</v>
      </c>
      <c r="H98">
        <v>502682</v>
      </c>
      <c r="I98" s="17">
        <v>1440</v>
      </c>
      <c r="J98" s="17">
        <v>26723</v>
      </c>
      <c r="K98">
        <v>6132</v>
      </c>
      <c r="L98">
        <v>491031</v>
      </c>
      <c r="M98">
        <v>459245</v>
      </c>
      <c r="N98">
        <v>498603</v>
      </c>
      <c r="O98">
        <v>492100</v>
      </c>
      <c r="P98">
        <v>4079</v>
      </c>
      <c r="Q98">
        <v>10582</v>
      </c>
      <c r="R98">
        <v>502682</v>
      </c>
      <c r="S98">
        <v>1440</v>
      </c>
      <c r="T98">
        <v>26723</v>
      </c>
      <c r="U98">
        <v>6132</v>
      </c>
      <c r="V98">
        <v>491031</v>
      </c>
      <c r="W98">
        <v>459245</v>
      </c>
      <c r="X98">
        <v>498603</v>
      </c>
      <c r="Y98">
        <v>492100</v>
      </c>
      <c r="Z98">
        <v>4079</v>
      </c>
      <c r="AA98">
        <v>10582</v>
      </c>
      <c r="AB98">
        <v>0</v>
      </c>
      <c r="AC98">
        <v>0</v>
      </c>
      <c r="AD98">
        <v>0</v>
      </c>
      <c r="AE98">
        <v>0</v>
      </c>
      <c r="AF98">
        <v>0</v>
      </c>
      <c r="AG98">
        <v>0</v>
      </c>
      <c r="AH98">
        <v>0</v>
      </c>
      <c r="AI98">
        <v>0</v>
      </c>
      <c r="AJ98">
        <v>0</v>
      </c>
      <c r="AK98">
        <v>0</v>
      </c>
      <c r="AL98">
        <v>-40856</v>
      </c>
      <c r="AM98">
        <v>-62</v>
      </c>
      <c r="AN98">
        <v>1543</v>
      </c>
      <c r="AO98">
        <v>1527</v>
      </c>
      <c r="AP98">
        <v>-41993</v>
      </c>
      <c r="AQ98">
        <v>-44482</v>
      </c>
      <c r="AR98">
        <v>-40528</v>
      </c>
      <c r="AS98">
        <v>-41412</v>
      </c>
      <c r="AT98">
        <v>-328</v>
      </c>
      <c r="AU98">
        <v>556</v>
      </c>
      <c r="AV98">
        <v>100</v>
      </c>
      <c r="AW98">
        <v>0.3</v>
      </c>
      <c r="AX98">
        <v>5.3</v>
      </c>
      <c r="AY98">
        <v>1.2</v>
      </c>
      <c r="AZ98">
        <v>97.7</v>
      </c>
      <c r="BA98">
        <v>91.4</v>
      </c>
      <c r="BB98">
        <v>99.2</v>
      </c>
      <c r="BC98">
        <v>97.9</v>
      </c>
      <c r="BD98">
        <v>0.8</v>
      </c>
      <c r="BE98">
        <v>2.1</v>
      </c>
      <c r="BF98">
        <v>100</v>
      </c>
      <c r="BG98">
        <v>0.3</v>
      </c>
      <c r="BH98">
        <v>5.3</v>
      </c>
      <c r="BI98">
        <v>1.2</v>
      </c>
      <c r="BJ98">
        <v>97.7</v>
      </c>
      <c r="BK98">
        <v>91.4</v>
      </c>
      <c r="BL98">
        <v>99.2</v>
      </c>
      <c r="BM98">
        <v>97.9</v>
      </c>
      <c r="BN98">
        <v>0.8</v>
      </c>
      <c r="BO98">
        <v>2.1</v>
      </c>
      <c r="BP98">
        <v>0</v>
      </c>
      <c r="BQ98">
        <v>0</v>
      </c>
      <c r="BR98">
        <v>0</v>
      </c>
      <c r="BS98">
        <v>0</v>
      </c>
      <c r="BT98">
        <v>0</v>
      </c>
      <c r="BU98">
        <v>0</v>
      </c>
      <c r="BV98">
        <v>0</v>
      </c>
      <c r="BW98">
        <v>0</v>
      </c>
      <c r="BX98">
        <v>0</v>
      </c>
      <c r="BY98">
        <v>0</v>
      </c>
      <c r="BZ98">
        <v>67</v>
      </c>
      <c r="CA98">
        <v>2</v>
      </c>
      <c r="CB98">
        <v>6</v>
      </c>
      <c r="CC98">
        <v>5</v>
      </c>
      <c r="CD98">
        <v>46</v>
      </c>
      <c r="CE98">
        <v>45</v>
      </c>
      <c r="CF98">
        <v>52</v>
      </c>
      <c r="CG98">
        <v>52</v>
      </c>
      <c r="CH98">
        <v>67</v>
      </c>
      <c r="CI98">
        <v>2</v>
      </c>
      <c r="CJ98">
        <v>6</v>
      </c>
      <c r="CK98">
        <v>5</v>
      </c>
      <c r="CL98">
        <v>46</v>
      </c>
      <c r="CM98">
        <v>45</v>
      </c>
      <c r="CN98">
        <v>52</v>
      </c>
      <c r="CO98">
        <v>52</v>
      </c>
      <c r="CP98">
        <v>0</v>
      </c>
      <c r="CQ98">
        <v>0</v>
      </c>
      <c r="CR98">
        <v>0</v>
      </c>
      <c r="CS98">
        <v>0</v>
      </c>
      <c r="CT98">
        <v>0</v>
      </c>
      <c r="CU98">
        <v>0</v>
      </c>
      <c r="CV98">
        <v>0</v>
      </c>
      <c r="CW98">
        <v>0</v>
      </c>
      <c r="CX98">
        <v>35.299999999999997</v>
      </c>
      <c r="CY98">
        <v>39.200000000000003</v>
      </c>
      <c r="CZ98">
        <v>62.3</v>
      </c>
      <c r="DA98">
        <v>59.2</v>
      </c>
      <c r="DB98">
        <v>33</v>
      </c>
      <c r="DC98">
        <v>38.5</v>
      </c>
      <c r="DD98">
        <v>58.4</v>
      </c>
      <c r="DE98">
        <v>56.4</v>
      </c>
      <c r="DF98">
        <v>35.299999999999997</v>
      </c>
      <c r="DG98">
        <v>39.200000000000003</v>
      </c>
      <c r="DH98">
        <v>62.3</v>
      </c>
      <c r="DI98">
        <v>59.2</v>
      </c>
      <c r="DJ98">
        <v>33</v>
      </c>
      <c r="DK98">
        <v>38.5</v>
      </c>
      <c r="DL98">
        <v>58.4</v>
      </c>
      <c r="DM98">
        <v>56.4</v>
      </c>
      <c r="DN98">
        <v>0</v>
      </c>
      <c r="DO98">
        <v>0</v>
      </c>
      <c r="DP98">
        <v>0</v>
      </c>
      <c r="DQ98">
        <v>0</v>
      </c>
      <c r="DR98">
        <v>0</v>
      </c>
      <c r="DS98">
        <v>0</v>
      </c>
      <c r="DT98">
        <v>0</v>
      </c>
      <c r="DU98">
        <v>0</v>
      </c>
      <c r="DV98" t="s">
        <v>289</v>
      </c>
    </row>
    <row r="99" spans="1:126" x14ac:dyDescent="0.35">
      <c r="A99" t="s">
        <v>298</v>
      </c>
      <c r="B99">
        <v>230103</v>
      </c>
      <c r="C99" s="1">
        <v>44929</v>
      </c>
      <c r="D99" t="s">
        <v>299</v>
      </c>
      <c r="E99" t="s">
        <v>184</v>
      </c>
      <c r="F99" t="s">
        <v>185</v>
      </c>
      <c r="G99" t="s">
        <v>282</v>
      </c>
      <c r="H99">
        <v>543538</v>
      </c>
      <c r="I99" s="17">
        <v>1502</v>
      </c>
      <c r="J99" s="17">
        <v>25180</v>
      </c>
      <c r="K99">
        <v>4605</v>
      </c>
      <c r="L99">
        <v>533024</v>
      </c>
      <c r="M99">
        <v>503727</v>
      </c>
      <c r="N99">
        <v>539131</v>
      </c>
      <c r="O99">
        <v>533512</v>
      </c>
      <c r="P99">
        <v>4407</v>
      </c>
      <c r="Q99">
        <v>10026</v>
      </c>
      <c r="R99">
        <v>543538</v>
      </c>
      <c r="S99">
        <v>1502</v>
      </c>
      <c r="T99">
        <v>25180</v>
      </c>
      <c r="U99">
        <v>4605</v>
      </c>
      <c r="V99">
        <v>533024</v>
      </c>
      <c r="W99">
        <v>503727</v>
      </c>
      <c r="X99">
        <v>539131</v>
      </c>
      <c r="Y99">
        <v>533512</v>
      </c>
      <c r="Z99">
        <v>4407</v>
      </c>
      <c r="AA99">
        <v>10026</v>
      </c>
      <c r="AB99">
        <v>0</v>
      </c>
      <c r="AC99">
        <v>0</v>
      </c>
      <c r="AD99">
        <v>0</v>
      </c>
      <c r="AE99">
        <v>0</v>
      </c>
      <c r="AF99">
        <v>0</v>
      </c>
      <c r="AG99">
        <v>0</v>
      </c>
      <c r="AH99">
        <v>0</v>
      </c>
      <c r="AI99">
        <v>0</v>
      </c>
      <c r="AJ99">
        <v>0</v>
      </c>
      <c r="AK99">
        <v>0</v>
      </c>
      <c r="AL99">
        <v>2263</v>
      </c>
      <c r="AM99">
        <v>589</v>
      </c>
      <c r="AN99">
        <v>-689</v>
      </c>
      <c r="AO99">
        <v>-1304</v>
      </c>
      <c r="AP99">
        <v>2862</v>
      </c>
      <c r="AQ99">
        <v>2575</v>
      </c>
      <c r="AR99">
        <v>2147</v>
      </c>
      <c r="AS99">
        <v>582</v>
      </c>
      <c r="AT99">
        <v>116</v>
      </c>
      <c r="AU99">
        <v>1681</v>
      </c>
      <c r="AV99">
        <v>100</v>
      </c>
      <c r="AW99">
        <v>0.3</v>
      </c>
      <c r="AX99">
        <v>4.5999999999999996</v>
      </c>
      <c r="AY99">
        <v>0.8</v>
      </c>
      <c r="AZ99">
        <v>98.1</v>
      </c>
      <c r="BA99">
        <v>92.7</v>
      </c>
      <c r="BB99">
        <v>99.2</v>
      </c>
      <c r="BC99">
        <v>98.2</v>
      </c>
      <c r="BD99">
        <v>0.8</v>
      </c>
      <c r="BE99">
        <v>1.8</v>
      </c>
      <c r="BF99">
        <v>100</v>
      </c>
      <c r="BG99">
        <v>0.3</v>
      </c>
      <c r="BH99">
        <v>4.5999999999999996</v>
      </c>
      <c r="BI99">
        <v>0.8</v>
      </c>
      <c r="BJ99">
        <v>98.1</v>
      </c>
      <c r="BK99">
        <v>92.7</v>
      </c>
      <c r="BL99">
        <v>99.2</v>
      </c>
      <c r="BM99">
        <v>98.2</v>
      </c>
      <c r="BN99">
        <v>0.8</v>
      </c>
      <c r="BO99">
        <v>1.8</v>
      </c>
      <c r="BP99">
        <v>0</v>
      </c>
      <c r="BQ99">
        <v>0</v>
      </c>
      <c r="BR99">
        <v>0</v>
      </c>
      <c r="BS99">
        <v>0</v>
      </c>
      <c r="BT99">
        <v>0</v>
      </c>
      <c r="BU99">
        <v>0</v>
      </c>
      <c r="BV99">
        <v>0</v>
      </c>
      <c r="BW99">
        <v>0</v>
      </c>
      <c r="BX99">
        <v>0</v>
      </c>
      <c r="BY99">
        <v>0</v>
      </c>
      <c r="BZ99">
        <v>66</v>
      </c>
      <c r="CA99">
        <v>2</v>
      </c>
      <c r="CB99">
        <v>5</v>
      </c>
      <c r="CC99">
        <v>5</v>
      </c>
      <c r="CD99">
        <v>46</v>
      </c>
      <c r="CE99">
        <v>47</v>
      </c>
      <c r="CF99">
        <v>52</v>
      </c>
      <c r="CG99">
        <v>53</v>
      </c>
      <c r="CH99">
        <v>66</v>
      </c>
      <c r="CI99">
        <v>2</v>
      </c>
      <c r="CJ99">
        <v>5</v>
      </c>
      <c r="CK99">
        <v>5</v>
      </c>
      <c r="CL99">
        <v>46</v>
      </c>
      <c r="CM99">
        <v>47</v>
      </c>
      <c r="CN99">
        <v>52</v>
      </c>
      <c r="CO99">
        <v>53</v>
      </c>
      <c r="CP99">
        <v>0</v>
      </c>
      <c r="CQ99">
        <v>0</v>
      </c>
      <c r="CR99">
        <v>0</v>
      </c>
      <c r="CS99">
        <v>0</v>
      </c>
      <c r="CT99">
        <v>0</v>
      </c>
      <c r="CU99">
        <v>0</v>
      </c>
      <c r="CV99">
        <v>0</v>
      </c>
      <c r="CW99">
        <v>0</v>
      </c>
      <c r="CX99">
        <v>36.5</v>
      </c>
      <c r="CY99">
        <v>35.799999999999997</v>
      </c>
      <c r="CZ99">
        <v>64.099999999999994</v>
      </c>
      <c r="DA99">
        <v>54</v>
      </c>
      <c r="DB99">
        <v>35.1</v>
      </c>
      <c r="DC99">
        <v>35.1</v>
      </c>
      <c r="DD99">
        <v>60.7</v>
      </c>
      <c r="DE99">
        <v>52.2</v>
      </c>
      <c r="DF99">
        <v>36.5</v>
      </c>
      <c r="DG99">
        <v>35.799999999999997</v>
      </c>
      <c r="DH99">
        <v>64.099999999999994</v>
      </c>
      <c r="DI99">
        <v>54</v>
      </c>
      <c r="DJ99">
        <v>35.1</v>
      </c>
      <c r="DK99">
        <v>35.1</v>
      </c>
      <c r="DL99">
        <v>60.7</v>
      </c>
      <c r="DM99">
        <v>52.2</v>
      </c>
      <c r="DN99">
        <v>0</v>
      </c>
      <c r="DO99">
        <v>0</v>
      </c>
      <c r="DP99">
        <v>0</v>
      </c>
      <c r="DQ99">
        <v>0</v>
      </c>
      <c r="DR99">
        <v>0</v>
      </c>
      <c r="DS99">
        <v>0</v>
      </c>
      <c r="DT99">
        <v>0</v>
      </c>
      <c r="DU99">
        <v>0</v>
      </c>
      <c r="DV99" t="s">
        <v>289</v>
      </c>
    </row>
    <row r="100" spans="1:126" x14ac:dyDescent="0.35">
      <c r="A100" t="s">
        <v>300</v>
      </c>
      <c r="B100">
        <v>230110</v>
      </c>
      <c r="C100" s="1">
        <v>44936</v>
      </c>
      <c r="D100" t="s">
        <v>301</v>
      </c>
      <c r="E100" t="s">
        <v>184</v>
      </c>
      <c r="F100" t="s">
        <v>185</v>
      </c>
      <c r="G100" t="s">
        <v>282</v>
      </c>
      <c r="H100">
        <v>534743</v>
      </c>
      <c r="I100" s="17">
        <v>3326</v>
      </c>
      <c r="J100" s="17">
        <v>10279</v>
      </c>
      <c r="K100">
        <v>8390</v>
      </c>
      <c r="L100">
        <v>512997</v>
      </c>
      <c r="M100">
        <v>505445</v>
      </c>
      <c r="N100">
        <v>524713</v>
      </c>
      <c r="O100">
        <v>524114</v>
      </c>
      <c r="P100">
        <v>10030</v>
      </c>
      <c r="Q100">
        <v>10629</v>
      </c>
      <c r="R100">
        <v>534743</v>
      </c>
      <c r="S100">
        <v>3326</v>
      </c>
      <c r="T100">
        <v>10279</v>
      </c>
      <c r="U100">
        <v>8390</v>
      </c>
      <c r="V100">
        <v>512997</v>
      </c>
      <c r="W100">
        <v>505445</v>
      </c>
      <c r="X100">
        <v>524713</v>
      </c>
      <c r="Y100">
        <v>524114</v>
      </c>
      <c r="Z100">
        <v>10030</v>
      </c>
      <c r="AA100">
        <v>10629</v>
      </c>
      <c r="AB100">
        <v>0</v>
      </c>
      <c r="AC100">
        <v>0</v>
      </c>
      <c r="AD100">
        <v>0</v>
      </c>
      <c r="AE100">
        <v>0</v>
      </c>
      <c r="AF100">
        <v>0</v>
      </c>
      <c r="AG100">
        <v>0</v>
      </c>
      <c r="AH100">
        <v>0</v>
      </c>
      <c r="AI100">
        <v>0</v>
      </c>
      <c r="AJ100">
        <v>0</v>
      </c>
      <c r="AK100">
        <v>0</v>
      </c>
      <c r="AL100">
        <v>-11916</v>
      </c>
      <c r="AM100">
        <v>1149</v>
      </c>
      <c r="AN100">
        <v>-4345</v>
      </c>
      <c r="AO100">
        <v>-1321</v>
      </c>
      <c r="AP100">
        <v>-12702</v>
      </c>
      <c r="AQ100">
        <v>-9975</v>
      </c>
      <c r="AR100">
        <v>-12874</v>
      </c>
      <c r="AS100">
        <v>-15641</v>
      </c>
      <c r="AT100">
        <v>958</v>
      </c>
      <c r="AU100">
        <v>3725</v>
      </c>
      <c r="AV100">
        <v>100</v>
      </c>
      <c r="AW100">
        <v>0.6</v>
      </c>
      <c r="AX100">
        <v>1.9</v>
      </c>
      <c r="AY100">
        <v>1.6</v>
      </c>
      <c r="AZ100">
        <v>95.9</v>
      </c>
      <c r="BA100">
        <v>94.5</v>
      </c>
      <c r="BB100">
        <v>98.1</v>
      </c>
      <c r="BC100">
        <v>98</v>
      </c>
      <c r="BD100">
        <v>1.9</v>
      </c>
      <c r="BE100">
        <v>2</v>
      </c>
      <c r="BF100">
        <v>100</v>
      </c>
      <c r="BG100">
        <v>0.6</v>
      </c>
      <c r="BH100">
        <v>1.9</v>
      </c>
      <c r="BI100">
        <v>1.6</v>
      </c>
      <c r="BJ100">
        <v>95.9</v>
      </c>
      <c r="BK100">
        <v>94.5</v>
      </c>
      <c r="BL100">
        <v>98.1</v>
      </c>
      <c r="BM100">
        <v>98</v>
      </c>
      <c r="BN100">
        <v>1.9</v>
      </c>
      <c r="BO100">
        <v>2</v>
      </c>
      <c r="BP100">
        <v>0</v>
      </c>
      <c r="BQ100">
        <v>0</v>
      </c>
      <c r="BR100">
        <v>0</v>
      </c>
      <c r="BS100">
        <v>0</v>
      </c>
      <c r="BT100">
        <v>0</v>
      </c>
      <c r="BU100">
        <v>0</v>
      </c>
      <c r="BV100">
        <v>0</v>
      </c>
      <c r="BW100">
        <v>0</v>
      </c>
      <c r="BX100">
        <v>0</v>
      </c>
      <c r="BY100">
        <v>0</v>
      </c>
      <c r="BZ100">
        <v>55</v>
      </c>
      <c r="CA100">
        <v>1</v>
      </c>
      <c r="CB100">
        <v>3</v>
      </c>
      <c r="CC100">
        <v>3</v>
      </c>
      <c r="CD100">
        <v>43</v>
      </c>
      <c r="CE100">
        <v>36</v>
      </c>
      <c r="CF100">
        <v>46</v>
      </c>
      <c r="CG100">
        <v>40</v>
      </c>
      <c r="CH100">
        <v>55</v>
      </c>
      <c r="CI100">
        <v>1</v>
      </c>
      <c r="CJ100">
        <v>3</v>
      </c>
      <c r="CK100">
        <v>3</v>
      </c>
      <c r="CL100">
        <v>43</v>
      </c>
      <c r="CM100">
        <v>36</v>
      </c>
      <c r="CN100">
        <v>46</v>
      </c>
      <c r="CO100">
        <v>40</v>
      </c>
      <c r="CP100">
        <v>0</v>
      </c>
      <c r="CQ100">
        <v>0</v>
      </c>
      <c r="CR100">
        <v>0</v>
      </c>
      <c r="CS100">
        <v>0</v>
      </c>
      <c r="CT100">
        <v>0</v>
      </c>
      <c r="CU100">
        <v>0</v>
      </c>
      <c r="CV100">
        <v>0</v>
      </c>
      <c r="CW100">
        <v>0</v>
      </c>
      <c r="CX100">
        <v>38.1</v>
      </c>
      <c r="CY100">
        <v>48.5</v>
      </c>
      <c r="CZ100">
        <v>64.400000000000006</v>
      </c>
      <c r="DA100">
        <v>69.599999999999994</v>
      </c>
      <c r="DB100">
        <v>35.799999999999997</v>
      </c>
      <c r="DC100">
        <v>47</v>
      </c>
      <c r="DD100">
        <v>56.9</v>
      </c>
      <c r="DE100">
        <v>59.5</v>
      </c>
      <c r="DF100">
        <v>38.1</v>
      </c>
      <c r="DG100">
        <v>48.5</v>
      </c>
      <c r="DH100">
        <v>64.400000000000006</v>
      </c>
      <c r="DI100">
        <v>69.599999999999994</v>
      </c>
      <c r="DJ100">
        <v>35.799999999999997</v>
      </c>
      <c r="DK100">
        <v>47</v>
      </c>
      <c r="DL100">
        <v>56.9</v>
      </c>
      <c r="DM100">
        <v>59.5</v>
      </c>
      <c r="DN100">
        <v>0</v>
      </c>
      <c r="DO100">
        <v>0</v>
      </c>
      <c r="DP100">
        <v>0</v>
      </c>
      <c r="DQ100">
        <v>0</v>
      </c>
      <c r="DR100">
        <v>0</v>
      </c>
      <c r="DS100">
        <v>0</v>
      </c>
      <c r="DT100">
        <v>0</v>
      </c>
      <c r="DU100">
        <v>0</v>
      </c>
      <c r="DV100" t="s">
        <v>289</v>
      </c>
    </row>
    <row r="101" spans="1:126" x14ac:dyDescent="0.35">
      <c r="A101" t="s">
        <v>300</v>
      </c>
      <c r="B101">
        <v>230103</v>
      </c>
      <c r="C101" s="1">
        <v>44929</v>
      </c>
      <c r="D101" t="s">
        <v>301</v>
      </c>
      <c r="E101" t="s">
        <v>184</v>
      </c>
      <c r="F101" t="s">
        <v>185</v>
      </c>
      <c r="G101" t="s">
        <v>282</v>
      </c>
      <c r="H101">
        <v>546659</v>
      </c>
      <c r="I101" s="17">
        <v>2177</v>
      </c>
      <c r="J101" s="17">
        <v>14624</v>
      </c>
      <c r="K101">
        <v>9711</v>
      </c>
      <c r="L101">
        <v>525699</v>
      </c>
      <c r="M101">
        <v>515420</v>
      </c>
      <c r="N101">
        <v>537587</v>
      </c>
      <c r="O101">
        <v>539755</v>
      </c>
      <c r="P101">
        <v>9072</v>
      </c>
      <c r="Q101">
        <v>6904</v>
      </c>
      <c r="R101">
        <v>546659</v>
      </c>
      <c r="S101">
        <v>2177</v>
      </c>
      <c r="T101">
        <v>14624</v>
      </c>
      <c r="U101">
        <v>9711</v>
      </c>
      <c r="V101">
        <v>525699</v>
      </c>
      <c r="W101">
        <v>515420</v>
      </c>
      <c r="X101">
        <v>537587</v>
      </c>
      <c r="Y101">
        <v>539755</v>
      </c>
      <c r="Z101">
        <v>9072</v>
      </c>
      <c r="AA101">
        <v>6904</v>
      </c>
      <c r="AB101">
        <v>0</v>
      </c>
      <c r="AC101">
        <v>0</v>
      </c>
      <c r="AD101">
        <v>0</v>
      </c>
      <c r="AE101">
        <v>0</v>
      </c>
      <c r="AF101">
        <v>0</v>
      </c>
      <c r="AG101">
        <v>0</v>
      </c>
      <c r="AH101">
        <v>0</v>
      </c>
      <c r="AI101">
        <v>0</v>
      </c>
      <c r="AJ101">
        <v>0</v>
      </c>
      <c r="AK101">
        <v>0</v>
      </c>
      <c r="AL101">
        <v>2466</v>
      </c>
      <c r="AM101">
        <v>1389</v>
      </c>
      <c r="AN101">
        <v>-720</v>
      </c>
      <c r="AO101">
        <v>497</v>
      </c>
      <c r="AP101">
        <v>321</v>
      </c>
      <c r="AQ101">
        <v>2664</v>
      </c>
      <c r="AR101">
        <v>2207</v>
      </c>
      <c r="AS101">
        <v>2441</v>
      </c>
      <c r="AT101">
        <v>259</v>
      </c>
      <c r="AU101">
        <v>25</v>
      </c>
      <c r="AV101">
        <v>100</v>
      </c>
      <c r="AW101">
        <v>0.4</v>
      </c>
      <c r="AX101">
        <v>2.7</v>
      </c>
      <c r="AY101">
        <v>1.8</v>
      </c>
      <c r="AZ101">
        <v>96.2</v>
      </c>
      <c r="BA101">
        <v>94.3</v>
      </c>
      <c r="BB101">
        <v>98.3</v>
      </c>
      <c r="BC101">
        <v>98.7</v>
      </c>
      <c r="BD101">
        <v>1.7</v>
      </c>
      <c r="BE101">
        <v>1.3</v>
      </c>
      <c r="BF101">
        <v>100</v>
      </c>
      <c r="BG101">
        <v>0.4</v>
      </c>
      <c r="BH101">
        <v>2.7</v>
      </c>
      <c r="BI101">
        <v>1.8</v>
      </c>
      <c r="BJ101">
        <v>96.2</v>
      </c>
      <c r="BK101">
        <v>94.3</v>
      </c>
      <c r="BL101">
        <v>98.3</v>
      </c>
      <c r="BM101">
        <v>98.7</v>
      </c>
      <c r="BN101">
        <v>1.7</v>
      </c>
      <c r="BO101">
        <v>1.3</v>
      </c>
      <c r="BP101">
        <v>0</v>
      </c>
      <c r="BQ101">
        <v>0</v>
      </c>
      <c r="BR101">
        <v>0</v>
      </c>
      <c r="BS101">
        <v>0</v>
      </c>
      <c r="BT101">
        <v>0</v>
      </c>
      <c r="BU101">
        <v>0</v>
      </c>
      <c r="BV101">
        <v>0</v>
      </c>
      <c r="BW101">
        <v>0</v>
      </c>
      <c r="BX101">
        <v>0</v>
      </c>
      <c r="BY101">
        <v>0</v>
      </c>
      <c r="BZ101">
        <v>64</v>
      </c>
      <c r="CA101">
        <v>1</v>
      </c>
      <c r="CB101">
        <v>9</v>
      </c>
      <c r="CC101">
        <v>5</v>
      </c>
      <c r="CD101">
        <v>44</v>
      </c>
      <c r="CE101">
        <v>39</v>
      </c>
      <c r="CF101">
        <v>49</v>
      </c>
      <c r="CG101">
        <v>49</v>
      </c>
      <c r="CH101">
        <v>64</v>
      </c>
      <c r="CI101">
        <v>1</v>
      </c>
      <c r="CJ101">
        <v>9</v>
      </c>
      <c r="CK101">
        <v>5</v>
      </c>
      <c r="CL101">
        <v>44</v>
      </c>
      <c r="CM101">
        <v>39</v>
      </c>
      <c r="CN101">
        <v>49</v>
      </c>
      <c r="CO101">
        <v>49</v>
      </c>
      <c r="CP101">
        <v>0</v>
      </c>
      <c r="CQ101">
        <v>0</v>
      </c>
      <c r="CR101">
        <v>0</v>
      </c>
      <c r="CS101">
        <v>0</v>
      </c>
      <c r="CT101">
        <v>0</v>
      </c>
      <c r="CU101">
        <v>0</v>
      </c>
      <c r="CV101">
        <v>0</v>
      </c>
      <c r="CW101">
        <v>0</v>
      </c>
      <c r="CX101">
        <v>36.799999999999997</v>
      </c>
      <c r="CY101">
        <v>46.7</v>
      </c>
      <c r="CZ101">
        <v>62.9</v>
      </c>
      <c r="DA101">
        <v>67</v>
      </c>
      <c r="DB101">
        <v>36.5</v>
      </c>
      <c r="DC101">
        <v>44.8</v>
      </c>
      <c r="DD101">
        <v>55.8</v>
      </c>
      <c r="DE101">
        <v>57.4</v>
      </c>
      <c r="DF101">
        <v>36.799999999999997</v>
      </c>
      <c r="DG101">
        <v>46.7</v>
      </c>
      <c r="DH101">
        <v>62.9</v>
      </c>
      <c r="DI101">
        <v>67</v>
      </c>
      <c r="DJ101">
        <v>36.5</v>
      </c>
      <c r="DK101">
        <v>44.8</v>
      </c>
      <c r="DL101">
        <v>55.8</v>
      </c>
      <c r="DM101">
        <v>57.4</v>
      </c>
      <c r="DN101">
        <v>0</v>
      </c>
      <c r="DO101">
        <v>0</v>
      </c>
      <c r="DP101">
        <v>0</v>
      </c>
      <c r="DQ101">
        <v>0</v>
      </c>
      <c r="DR101">
        <v>0</v>
      </c>
      <c r="DS101">
        <v>0</v>
      </c>
      <c r="DT101">
        <v>0</v>
      </c>
      <c r="DU101">
        <v>0</v>
      </c>
      <c r="DV101" t="s">
        <v>289</v>
      </c>
    </row>
    <row r="102" spans="1:126" x14ac:dyDescent="0.35">
      <c r="A102" t="s">
        <v>302</v>
      </c>
      <c r="B102">
        <v>230110</v>
      </c>
      <c r="C102" s="1">
        <v>44936</v>
      </c>
      <c r="D102" t="s">
        <v>303</v>
      </c>
      <c r="E102" t="s">
        <v>184</v>
      </c>
      <c r="F102" t="s">
        <v>185</v>
      </c>
      <c r="G102" t="s">
        <v>282</v>
      </c>
      <c r="H102">
        <v>52589</v>
      </c>
      <c r="I102" s="17">
        <v>2454</v>
      </c>
      <c r="J102" s="17">
        <v>775</v>
      </c>
      <c r="K102">
        <v>0</v>
      </c>
      <c r="L102">
        <v>48143</v>
      </c>
      <c r="M102">
        <v>50598</v>
      </c>
      <c r="N102">
        <v>50597</v>
      </c>
      <c r="O102">
        <v>51373</v>
      </c>
      <c r="P102">
        <v>1992</v>
      </c>
      <c r="Q102">
        <v>1216</v>
      </c>
      <c r="R102">
        <v>52589</v>
      </c>
      <c r="S102">
        <v>2454</v>
      </c>
      <c r="T102">
        <v>775</v>
      </c>
      <c r="U102">
        <v>0</v>
      </c>
      <c r="V102">
        <v>48143</v>
      </c>
      <c r="W102">
        <v>50598</v>
      </c>
      <c r="X102">
        <v>50597</v>
      </c>
      <c r="Y102">
        <v>51373</v>
      </c>
      <c r="Z102">
        <v>1992</v>
      </c>
      <c r="AA102">
        <v>1216</v>
      </c>
      <c r="AB102">
        <v>0</v>
      </c>
      <c r="AC102">
        <v>0</v>
      </c>
      <c r="AD102">
        <v>0</v>
      </c>
      <c r="AE102">
        <v>0</v>
      </c>
      <c r="AF102">
        <v>0</v>
      </c>
      <c r="AG102">
        <v>0</v>
      </c>
      <c r="AH102">
        <v>0</v>
      </c>
      <c r="AI102">
        <v>0</v>
      </c>
      <c r="AJ102">
        <v>0</v>
      </c>
      <c r="AK102">
        <v>0</v>
      </c>
      <c r="AL102">
        <v>-12158</v>
      </c>
      <c r="AM102">
        <v>-818</v>
      </c>
      <c r="AN102">
        <v>0</v>
      </c>
      <c r="AO102">
        <v>-236</v>
      </c>
      <c r="AP102">
        <v>-11212</v>
      </c>
      <c r="AQ102">
        <v>-12087</v>
      </c>
      <c r="AR102">
        <v>-12266</v>
      </c>
      <c r="AS102">
        <v>-12323</v>
      </c>
      <c r="AT102">
        <v>108</v>
      </c>
      <c r="AU102">
        <v>165</v>
      </c>
      <c r="AV102">
        <v>100</v>
      </c>
      <c r="AW102">
        <v>4.7</v>
      </c>
      <c r="AX102">
        <v>1.5</v>
      </c>
      <c r="AY102">
        <v>0</v>
      </c>
      <c r="AZ102">
        <v>91.5</v>
      </c>
      <c r="BA102">
        <v>96.2</v>
      </c>
      <c r="BB102">
        <v>96.2</v>
      </c>
      <c r="BC102">
        <v>97.7</v>
      </c>
      <c r="BD102">
        <v>3.8</v>
      </c>
      <c r="BE102">
        <v>2.2999999999999998</v>
      </c>
      <c r="BF102">
        <v>100</v>
      </c>
      <c r="BG102">
        <v>4.7</v>
      </c>
      <c r="BH102">
        <v>1.5</v>
      </c>
      <c r="BI102">
        <v>0</v>
      </c>
      <c r="BJ102">
        <v>91.5</v>
      </c>
      <c r="BK102">
        <v>96.2</v>
      </c>
      <c r="BL102">
        <v>96.2</v>
      </c>
      <c r="BM102">
        <v>97.7</v>
      </c>
      <c r="BN102">
        <v>3.8</v>
      </c>
      <c r="BO102">
        <v>2.2999999999999998</v>
      </c>
      <c r="BP102">
        <v>0</v>
      </c>
      <c r="BQ102">
        <v>0</v>
      </c>
      <c r="BR102">
        <v>0</v>
      </c>
      <c r="BS102">
        <v>0</v>
      </c>
      <c r="BT102">
        <v>0</v>
      </c>
      <c r="BU102">
        <v>0</v>
      </c>
      <c r="BV102">
        <v>0</v>
      </c>
      <c r="BW102">
        <v>0</v>
      </c>
      <c r="BX102">
        <v>0</v>
      </c>
      <c r="BY102">
        <v>0</v>
      </c>
      <c r="BZ102">
        <v>36</v>
      </c>
      <c r="CA102">
        <v>1</v>
      </c>
      <c r="CB102">
        <v>1</v>
      </c>
      <c r="CC102">
        <v>0</v>
      </c>
      <c r="CD102">
        <v>24</v>
      </c>
      <c r="CE102">
        <v>16</v>
      </c>
      <c r="CF102">
        <v>25</v>
      </c>
      <c r="CG102">
        <v>17</v>
      </c>
      <c r="CH102">
        <v>36</v>
      </c>
      <c r="CI102">
        <v>1</v>
      </c>
      <c r="CJ102">
        <v>1</v>
      </c>
      <c r="CK102">
        <v>0</v>
      </c>
      <c r="CL102">
        <v>24</v>
      </c>
      <c r="CM102">
        <v>16</v>
      </c>
      <c r="CN102">
        <v>25</v>
      </c>
      <c r="CO102">
        <v>17</v>
      </c>
      <c r="CP102">
        <v>0</v>
      </c>
      <c r="CQ102">
        <v>0</v>
      </c>
      <c r="CR102">
        <v>0</v>
      </c>
      <c r="CS102">
        <v>0</v>
      </c>
      <c r="CT102">
        <v>0</v>
      </c>
      <c r="CU102">
        <v>0</v>
      </c>
      <c r="CV102">
        <v>0</v>
      </c>
      <c r="CW102">
        <v>0</v>
      </c>
      <c r="CX102">
        <v>52</v>
      </c>
      <c r="CY102">
        <v>67.2</v>
      </c>
      <c r="CZ102">
        <v>70.3</v>
      </c>
      <c r="DA102">
        <v>84.7</v>
      </c>
      <c r="DB102">
        <v>48.9</v>
      </c>
      <c r="DC102">
        <v>67.2</v>
      </c>
      <c r="DD102">
        <v>64.900000000000006</v>
      </c>
      <c r="DE102">
        <v>82.7</v>
      </c>
      <c r="DF102">
        <v>52</v>
      </c>
      <c r="DG102">
        <v>67.2</v>
      </c>
      <c r="DH102">
        <v>70.3</v>
      </c>
      <c r="DI102">
        <v>84.7</v>
      </c>
      <c r="DJ102">
        <v>48.9</v>
      </c>
      <c r="DK102">
        <v>67.2</v>
      </c>
      <c r="DL102">
        <v>64.900000000000006</v>
      </c>
      <c r="DM102">
        <v>82.7</v>
      </c>
      <c r="DN102">
        <v>0</v>
      </c>
      <c r="DO102">
        <v>0</v>
      </c>
      <c r="DP102">
        <v>0</v>
      </c>
      <c r="DQ102">
        <v>0</v>
      </c>
      <c r="DR102">
        <v>0</v>
      </c>
      <c r="DS102">
        <v>0</v>
      </c>
      <c r="DT102">
        <v>0</v>
      </c>
      <c r="DU102">
        <v>0</v>
      </c>
      <c r="DV102" t="s">
        <v>286</v>
      </c>
    </row>
    <row r="103" spans="1:126" x14ac:dyDescent="0.35">
      <c r="A103" t="s">
        <v>302</v>
      </c>
      <c r="B103">
        <v>230103</v>
      </c>
      <c r="C103" s="1">
        <v>44929</v>
      </c>
      <c r="D103" t="s">
        <v>303</v>
      </c>
      <c r="E103" t="s">
        <v>184</v>
      </c>
      <c r="F103" t="s">
        <v>185</v>
      </c>
      <c r="G103" t="s">
        <v>282</v>
      </c>
      <c r="H103">
        <v>64747</v>
      </c>
      <c r="I103" s="17">
        <v>3272</v>
      </c>
      <c r="J103" s="17">
        <v>775</v>
      </c>
      <c r="K103">
        <v>236</v>
      </c>
      <c r="L103">
        <v>59355</v>
      </c>
      <c r="M103">
        <v>62685</v>
      </c>
      <c r="N103">
        <v>62863</v>
      </c>
      <c r="O103">
        <v>63696</v>
      </c>
      <c r="P103">
        <v>1884</v>
      </c>
      <c r="Q103">
        <v>1051</v>
      </c>
      <c r="R103">
        <v>64747</v>
      </c>
      <c r="S103">
        <v>3272</v>
      </c>
      <c r="T103">
        <v>775</v>
      </c>
      <c r="U103">
        <v>236</v>
      </c>
      <c r="V103">
        <v>59355</v>
      </c>
      <c r="W103">
        <v>62685</v>
      </c>
      <c r="X103">
        <v>62863</v>
      </c>
      <c r="Y103">
        <v>63696</v>
      </c>
      <c r="Z103">
        <v>1884</v>
      </c>
      <c r="AA103">
        <v>1051</v>
      </c>
      <c r="AB103">
        <v>0</v>
      </c>
      <c r="AC103">
        <v>0</v>
      </c>
      <c r="AD103">
        <v>0</v>
      </c>
      <c r="AE103">
        <v>0</v>
      </c>
      <c r="AF103">
        <v>0</v>
      </c>
      <c r="AG103">
        <v>0</v>
      </c>
      <c r="AH103">
        <v>0</v>
      </c>
      <c r="AI103">
        <v>0</v>
      </c>
      <c r="AJ103">
        <v>0</v>
      </c>
      <c r="AK103">
        <v>0</v>
      </c>
      <c r="AL103">
        <v>62</v>
      </c>
      <c r="AM103">
        <v>341</v>
      </c>
      <c r="AN103">
        <v>124</v>
      </c>
      <c r="AO103">
        <v>-279</v>
      </c>
      <c r="AP103">
        <v>31</v>
      </c>
      <c r="AQ103">
        <v>93</v>
      </c>
      <c r="AR103">
        <v>93</v>
      </c>
      <c r="AS103">
        <v>-62</v>
      </c>
      <c r="AT103">
        <v>-31</v>
      </c>
      <c r="AU103">
        <v>124</v>
      </c>
      <c r="AV103">
        <v>100</v>
      </c>
      <c r="AW103">
        <v>5.0999999999999996</v>
      </c>
      <c r="AX103">
        <v>1.2</v>
      </c>
      <c r="AY103">
        <v>0.4</v>
      </c>
      <c r="AZ103">
        <v>91.7</v>
      </c>
      <c r="BA103">
        <v>96.8</v>
      </c>
      <c r="BB103">
        <v>97.1</v>
      </c>
      <c r="BC103">
        <v>98.4</v>
      </c>
      <c r="BD103">
        <v>2.9</v>
      </c>
      <c r="BE103">
        <v>1.6</v>
      </c>
      <c r="BF103">
        <v>100</v>
      </c>
      <c r="BG103">
        <v>5.0999999999999996</v>
      </c>
      <c r="BH103">
        <v>1.2</v>
      </c>
      <c r="BI103">
        <v>0.4</v>
      </c>
      <c r="BJ103">
        <v>91.7</v>
      </c>
      <c r="BK103">
        <v>96.8</v>
      </c>
      <c r="BL103">
        <v>97.1</v>
      </c>
      <c r="BM103">
        <v>98.4</v>
      </c>
      <c r="BN103">
        <v>2.9</v>
      </c>
      <c r="BO103">
        <v>1.6</v>
      </c>
      <c r="BP103">
        <v>0</v>
      </c>
      <c r="BQ103">
        <v>0</v>
      </c>
      <c r="BR103">
        <v>0</v>
      </c>
      <c r="BS103">
        <v>0</v>
      </c>
      <c r="BT103">
        <v>0</v>
      </c>
      <c r="BU103">
        <v>0</v>
      </c>
      <c r="BV103">
        <v>0</v>
      </c>
      <c r="BW103">
        <v>0</v>
      </c>
      <c r="BX103">
        <v>0</v>
      </c>
      <c r="BY103">
        <v>0</v>
      </c>
      <c r="BZ103">
        <v>39</v>
      </c>
      <c r="CA103">
        <v>2</v>
      </c>
      <c r="CB103">
        <v>1</v>
      </c>
      <c r="CC103">
        <v>1</v>
      </c>
      <c r="CD103">
        <v>28</v>
      </c>
      <c r="CE103">
        <v>16</v>
      </c>
      <c r="CF103">
        <v>30</v>
      </c>
      <c r="CG103">
        <v>18</v>
      </c>
      <c r="CH103">
        <v>39</v>
      </c>
      <c r="CI103">
        <v>2</v>
      </c>
      <c r="CJ103">
        <v>1</v>
      </c>
      <c r="CK103">
        <v>1</v>
      </c>
      <c r="CL103">
        <v>28</v>
      </c>
      <c r="CM103">
        <v>16</v>
      </c>
      <c r="CN103">
        <v>30</v>
      </c>
      <c r="CO103">
        <v>18</v>
      </c>
      <c r="CP103">
        <v>0</v>
      </c>
      <c r="CQ103">
        <v>0</v>
      </c>
      <c r="CR103">
        <v>0</v>
      </c>
      <c r="CS103">
        <v>0</v>
      </c>
      <c r="CT103">
        <v>0</v>
      </c>
      <c r="CU103">
        <v>0</v>
      </c>
      <c r="CV103">
        <v>0</v>
      </c>
      <c r="CW103">
        <v>0</v>
      </c>
      <c r="CX103">
        <v>49.2</v>
      </c>
      <c r="CY103">
        <v>69.400000000000006</v>
      </c>
      <c r="CZ103">
        <v>66.5</v>
      </c>
      <c r="DA103">
        <v>87.2</v>
      </c>
      <c r="DB103">
        <v>47.4</v>
      </c>
      <c r="DC103">
        <v>69.400000000000006</v>
      </c>
      <c r="DD103">
        <v>63.9</v>
      </c>
      <c r="DE103">
        <v>83.5</v>
      </c>
      <c r="DF103">
        <v>49.2</v>
      </c>
      <c r="DG103">
        <v>69.400000000000006</v>
      </c>
      <c r="DH103">
        <v>66.5</v>
      </c>
      <c r="DI103">
        <v>87.2</v>
      </c>
      <c r="DJ103">
        <v>47.4</v>
      </c>
      <c r="DK103">
        <v>69.400000000000006</v>
      </c>
      <c r="DL103">
        <v>63.9</v>
      </c>
      <c r="DM103">
        <v>83.5</v>
      </c>
      <c r="DN103">
        <v>0</v>
      </c>
      <c r="DO103">
        <v>0</v>
      </c>
      <c r="DP103">
        <v>0</v>
      </c>
      <c r="DQ103">
        <v>0</v>
      </c>
      <c r="DR103">
        <v>0</v>
      </c>
      <c r="DS103">
        <v>0</v>
      </c>
      <c r="DT103">
        <v>0</v>
      </c>
      <c r="DU103">
        <v>0</v>
      </c>
      <c r="DV103" t="s">
        <v>286</v>
      </c>
    </row>
    <row r="104" spans="1:126" x14ac:dyDescent="0.35">
      <c r="A104" t="s">
        <v>304</v>
      </c>
      <c r="B104">
        <v>230110</v>
      </c>
      <c r="C104" s="1">
        <v>44936</v>
      </c>
      <c r="D104" t="s">
        <v>305</v>
      </c>
      <c r="E104" t="s">
        <v>184</v>
      </c>
      <c r="F104" t="s">
        <v>185</v>
      </c>
      <c r="G104" t="s">
        <v>282</v>
      </c>
      <c r="H104">
        <v>361629</v>
      </c>
      <c r="I104" s="17">
        <v>0</v>
      </c>
      <c r="J104" s="17">
        <v>20866</v>
      </c>
      <c r="K104">
        <v>4196</v>
      </c>
      <c r="L104">
        <v>351526</v>
      </c>
      <c r="M104">
        <v>328699</v>
      </c>
      <c r="N104">
        <v>355722</v>
      </c>
      <c r="O104">
        <v>353761</v>
      </c>
      <c r="P104">
        <v>5907</v>
      </c>
      <c r="Q104">
        <v>7868</v>
      </c>
      <c r="R104">
        <v>361629</v>
      </c>
      <c r="S104">
        <v>0</v>
      </c>
      <c r="T104">
        <v>20866</v>
      </c>
      <c r="U104">
        <v>4196</v>
      </c>
      <c r="V104">
        <v>351526</v>
      </c>
      <c r="W104">
        <v>328699</v>
      </c>
      <c r="X104">
        <v>355722</v>
      </c>
      <c r="Y104">
        <v>353761</v>
      </c>
      <c r="Z104">
        <v>5907</v>
      </c>
      <c r="AA104">
        <v>7868</v>
      </c>
      <c r="AB104">
        <v>0</v>
      </c>
      <c r="AC104">
        <v>0</v>
      </c>
      <c r="AD104">
        <v>0</v>
      </c>
      <c r="AE104">
        <v>0</v>
      </c>
      <c r="AF104">
        <v>0</v>
      </c>
      <c r="AG104">
        <v>0</v>
      </c>
      <c r="AH104">
        <v>0</v>
      </c>
      <c r="AI104">
        <v>0</v>
      </c>
      <c r="AJ104">
        <v>0</v>
      </c>
      <c r="AK104">
        <v>0</v>
      </c>
      <c r="AL104">
        <v>4978</v>
      </c>
      <c r="AM104">
        <v>-1134</v>
      </c>
      <c r="AN104">
        <v>-2497</v>
      </c>
      <c r="AO104">
        <v>-975</v>
      </c>
      <c r="AP104">
        <v>6610</v>
      </c>
      <c r="AQ104">
        <v>7030</v>
      </c>
      <c r="AR104">
        <v>4501</v>
      </c>
      <c r="AS104">
        <v>3558</v>
      </c>
      <c r="AT104">
        <v>477</v>
      </c>
      <c r="AU104">
        <v>1420</v>
      </c>
      <c r="AV104">
        <v>100</v>
      </c>
      <c r="AW104">
        <v>0</v>
      </c>
      <c r="AX104">
        <v>5.8</v>
      </c>
      <c r="AY104">
        <v>1.2</v>
      </c>
      <c r="AZ104">
        <v>97.2</v>
      </c>
      <c r="BA104">
        <v>90.9</v>
      </c>
      <c r="BB104">
        <v>98.4</v>
      </c>
      <c r="BC104">
        <v>97.8</v>
      </c>
      <c r="BD104">
        <v>1.6</v>
      </c>
      <c r="BE104">
        <v>2.2000000000000002</v>
      </c>
      <c r="BF104">
        <v>100</v>
      </c>
      <c r="BG104">
        <v>0</v>
      </c>
      <c r="BH104">
        <v>5.8</v>
      </c>
      <c r="BI104">
        <v>1.2</v>
      </c>
      <c r="BJ104">
        <v>97.2</v>
      </c>
      <c r="BK104">
        <v>90.9</v>
      </c>
      <c r="BL104">
        <v>98.4</v>
      </c>
      <c r="BM104">
        <v>97.8</v>
      </c>
      <c r="BN104">
        <v>1.6</v>
      </c>
      <c r="BO104">
        <v>2.2000000000000002</v>
      </c>
      <c r="BP104">
        <v>0</v>
      </c>
      <c r="BQ104">
        <v>0</v>
      </c>
      <c r="BR104">
        <v>0</v>
      </c>
      <c r="BS104">
        <v>0</v>
      </c>
      <c r="BT104">
        <v>0</v>
      </c>
      <c r="BU104">
        <v>0</v>
      </c>
      <c r="BV104">
        <v>0</v>
      </c>
      <c r="BW104">
        <v>0</v>
      </c>
      <c r="BX104">
        <v>0</v>
      </c>
      <c r="BY104">
        <v>0</v>
      </c>
      <c r="BZ104">
        <v>40</v>
      </c>
      <c r="CA104">
        <v>0</v>
      </c>
      <c r="CB104">
        <v>1</v>
      </c>
      <c r="CC104">
        <v>1</v>
      </c>
      <c r="CD104">
        <v>27</v>
      </c>
      <c r="CE104">
        <v>27</v>
      </c>
      <c r="CF104">
        <v>28</v>
      </c>
      <c r="CG104">
        <v>28</v>
      </c>
      <c r="CH104">
        <v>40</v>
      </c>
      <c r="CI104">
        <v>0</v>
      </c>
      <c r="CJ104">
        <v>1</v>
      </c>
      <c r="CK104">
        <v>1</v>
      </c>
      <c r="CL104">
        <v>27</v>
      </c>
      <c r="CM104">
        <v>27</v>
      </c>
      <c r="CN104">
        <v>28</v>
      </c>
      <c r="CO104">
        <v>28</v>
      </c>
      <c r="CP104">
        <v>0</v>
      </c>
      <c r="CQ104">
        <v>0</v>
      </c>
      <c r="CR104">
        <v>0</v>
      </c>
      <c r="CS104">
        <v>0</v>
      </c>
      <c r="CT104">
        <v>0</v>
      </c>
      <c r="CU104">
        <v>0</v>
      </c>
      <c r="CV104">
        <v>0</v>
      </c>
      <c r="CW104">
        <v>0</v>
      </c>
      <c r="CX104">
        <v>63.4</v>
      </c>
      <c r="CY104">
        <v>66.7</v>
      </c>
      <c r="CZ104">
        <v>78.599999999999994</v>
      </c>
      <c r="DA104">
        <v>83.2</v>
      </c>
      <c r="DB104">
        <v>59.4</v>
      </c>
      <c r="DC104">
        <v>64.599999999999994</v>
      </c>
      <c r="DD104">
        <v>73.900000000000006</v>
      </c>
      <c r="DE104">
        <v>81.099999999999994</v>
      </c>
      <c r="DF104">
        <v>63.4</v>
      </c>
      <c r="DG104">
        <v>66.7</v>
      </c>
      <c r="DH104">
        <v>78.599999999999994</v>
      </c>
      <c r="DI104">
        <v>83.2</v>
      </c>
      <c r="DJ104">
        <v>59.4</v>
      </c>
      <c r="DK104">
        <v>64.599999999999994</v>
      </c>
      <c r="DL104">
        <v>73.900000000000006</v>
      </c>
      <c r="DM104">
        <v>81.099999999999994</v>
      </c>
      <c r="DN104">
        <v>0</v>
      </c>
      <c r="DO104">
        <v>0</v>
      </c>
      <c r="DP104">
        <v>0</v>
      </c>
      <c r="DQ104">
        <v>0</v>
      </c>
      <c r="DR104">
        <v>0</v>
      </c>
      <c r="DS104">
        <v>0</v>
      </c>
      <c r="DT104">
        <v>0</v>
      </c>
      <c r="DU104">
        <v>0</v>
      </c>
      <c r="DV104" t="s">
        <v>286</v>
      </c>
    </row>
    <row r="105" spans="1:126" x14ac:dyDescent="0.35">
      <c r="A105" t="s">
        <v>304</v>
      </c>
      <c r="B105">
        <v>230103</v>
      </c>
      <c r="C105" s="1">
        <v>44929</v>
      </c>
      <c r="D105" t="s">
        <v>305</v>
      </c>
      <c r="E105" t="s">
        <v>184</v>
      </c>
      <c r="F105" t="s">
        <v>185</v>
      </c>
      <c r="G105" t="s">
        <v>282</v>
      </c>
      <c r="H105">
        <v>356651</v>
      </c>
      <c r="I105" s="17">
        <v>1134</v>
      </c>
      <c r="J105" s="17">
        <v>23363</v>
      </c>
      <c r="K105">
        <v>5171</v>
      </c>
      <c r="L105">
        <v>344916</v>
      </c>
      <c r="M105">
        <v>321669</v>
      </c>
      <c r="N105">
        <v>351221</v>
      </c>
      <c r="O105">
        <v>350203</v>
      </c>
      <c r="P105">
        <v>5430</v>
      </c>
      <c r="Q105">
        <v>6448</v>
      </c>
      <c r="R105">
        <v>356651</v>
      </c>
      <c r="S105">
        <v>1134</v>
      </c>
      <c r="T105">
        <v>23363</v>
      </c>
      <c r="U105">
        <v>5171</v>
      </c>
      <c r="V105">
        <v>344916</v>
      </c>
      <c r="W105">
        <v>321669</v>
      </c>
      <c r="X105">
        <v>351221</v>
      </c>
      <c r="Y105">
        <v>350203</v>
      </c>
      <c r="Z105">
        <v>5430</v>
      </c>
      <c r="AA105">
        <v>6448</v>
      </c>
      <c r="AB105">
        <v>0</v>
      </c>
      <c r="AC105">
        <v>0</v>
      </c>
      <c r="AD105">
        <v>0</v>
      </c>
      <c r="AE105">
        <v>0</v>
      </c>
      <c r="AF105">
        <v>0</v>
      </c>
      <c r="AG105">
        <v>0</v>
      </c>
      <c r="AH105">
        <v>0</v>
      </c>
      <c r="AI105">
        <v>0</v>
      </c>
      <c r="AJ105">
        <v>0</v>
      </c>
      <c r="AK105">
        <v>0</v>
      </c>
      <c r="AL105">
        <v>3368</v>
      </c>
      <c r="AM105">
        <v>62</v>
      </c>
      <c r="AN105">
        <v>-1288</v>
      </c>
      <c r="AO105">
        <v>2808</v>
      </c>
      <c r="AP105">
        <v>245</v>
      </c>
      <c r="AQ105">
        <v>2163</v>
      </c>
      <c r="AR105">
        <v>3115</v>
      </c>
      <c r="AS105">
        <v>3683</v>
      </c>
      <c r="AT105">
        <v>253</v>
      </c>
      <c r="AU105">
        <v>-315</v>
      </c>
      <c r="AV105">
        <v>100</v>
      </c>
      <c r="AW105">
        <v>0.3</v>
      </c>
      <c r="AX105">
        <v>6.6</v>
      </c>
      <c r="AY105">
        <v>1.4</v>
      </c>
      <c r="AZ105">
        <v>96.7</v>
      </c>
      <c r="BA105">
        <v>90.2</v>
      </c>
      <c r="BB105">
        <v>98.5</v>
      </c>
      <c r="BC105">
        <v>98.2</v>
      </c>
      <c r="BD105">
        <v>1.5</v>
      </c>
      <c r="BE105">
        <v>1.8</v>
      </c>
      <c r="BF105">
        <v>100</v>
      </c>
      <c r="BG105">
        <v>0.3</v>
      </c>
      <c r="BH105">
        <v>6.6</v>
      </c>
      <c r="BI105">
        <v>1.4</v>
      </c>
      <c r="BJ105">
        <v>96.7</v>
      </c>
      <c r="BK105">
        <v>90.2</v>
      </c>
      <c r="BL105">
        <v>98.5</v>
      </c>
      <c r="BM105">
        <v>98.2</v>
      </c>
      <c r="BN105">
        <v>1.5</v>
      </c>
      <c r="BO105">
        <v>1.8</v>
      </c>
      <c r="BP105">
        <v>0</v>
      </c>
      <c r="BQ105">
        <v>0</v>
      </c>
      <c r="BR105">
        <v>0</v>
      </c>
      <c r="BS105">
        <v>0</v>
      </c>
      <c r="BT105">
        <v>0</v>
      </c>
      <c r="BU105">
        <v>0</v>
      </c>
      <c r="BV105">
        <v>0</v>
      </c>
      <c r="BW105">
        <v>0</v>
      </c>
      <c r="BX105">
        <v>0</v>
      </c>
      <c r="BY105">
        <v>0</v>
      </c>
      <c r="BZ105">
        <v>47</v>
      </c>
      <c r="CA105">
        <v>3</v>
      </c>
      <c r="CB105">
        <v>2</v>
      </c>
      <c r="CC105">
        <v>3</v>
      </c>
      <c r="CD105">
        <v>28</v>
      </c>
      <c r="CE105">
        <v>31</v>
      </c>
      <c r="CF105">
        <v>33</v>
      </c>
      <c r="CG105">
        <v>34</v>
      </c>
      <c r="CH105">
        <v>47</v>
      </c>
      <c r="CI105">
        <v>3</v>
      </c>
      <c r="CJ105">
        <v>2</v>
      </c>
      <c r="CK105">
        <v>3</v>
      </c>
      <c r="CL105">
        <v>28</v>
      </c>
      <c r="CM105">
        <v>31</v>
      </c>
      <c r="CN105">
        <v>33</v>
      </c>
      <c r="CO105">
        <v>34</v>
      </c>
      <c r="CP105">
        <v>0</v>
      </c>
      <c r="CQ105">
        <v>0</v>
      </c>
      <c r="CR105">
        <v>0</v>
      </c>
      <c r="CS105">
        <v>0</v>
      </c>
      <c r="CT105">
        <v>0</v>
      </c>
      <c r="CU105">
        <v>0</v>
      </c>
      <c r="CV105">
        <v>0</v>
      </c>
      <c r="CW105">
        <v>0</v>
      </c>
      <c r="CX105">
        <v>63</v>
      </c>
      <c r="CY105">
        <v>65.7</v>
      </c>
      <c r="CZ105">
        <v>78.7</v>
      </c>
      <c r="DA105">
        <v>82.5</v>
      </c>
      <c r="DB105">
        <v>59</v>
      </c>
      <c r="DC105">
        <v>63.6</v>
      </c>
      <c r="DD105">
        <v>74.5</v>
      </c>
      <c r="DE105">
        <v>80.3</v>
      </c>
      <c r="DF105">
        <v>63</v>
      </c>
      <c r="DG105">
        <v>65.7</v>
      </c>
      <c r="DH105">
        <v>78.7</v>
      </c>
      <c r="DI105">
        <v>82.5</v>
      </c>
      <c r="DJ105">
        <v>59</v>
      </c>
      <c r="DK105">
        <v>63.6</v>
      </c>
      <c r="DL105">
        <v>74.5</v>
      </c>
      <c r="DM105">
        <v>80.3</v>
      </c>
      <c r="DN105">
        <v>0</v>
      </c>
      <c r="DO105">
        <v>0</v>
      </c>
      <c r="DP105">
        <v>0</v>
      </c>
      <c r="DQ105">
        <v>0</v>
      </c>
      <c r="DR105">
        <v>0</v>
      </c>
      <c r="DS105">
        <v>0</v>
      </c>
      <c r="DT105">
        <v>0</v>
      </c>
      <c r="DU105">
        <v>0</v>
      </c>
      <c r="DV105" t="s">
        <v>286</v>
      </c>
    </row>
    <row r="106" spans="1:126" x14ac:dyDescent="0.35">
      <c r="A106" t="s">
        <v>306</v>
      </c>
      <c r="B106">
        <v>230110</v>
      </c>
      <c r="C106" s="1">
        <v>44936</v>
      </c>
      <c r="D106" t="s">
        <v>307</v>
      </c>
      <c r="E106" t="s">
        <v>184</v>
      </c>
      <c r="F106" t="s">
        <v>185</v>
      </c>
      <c r="G106" t="s">
        <v>282</v>
      </c>
      <c r="H106">
        <v>187908</v>
      </c>
      <c r="I106" s="17">
        <v>0</v>
      </c>
      <c r="J106" s="17">
        <v>2835</v>
      </c>
      <c r="K106">
        <v>0</v>
      </c>
      <c r="L106">
        <v>180246</v>
      </c>
      <c r="M106">
        <v>181855</v>
      </c>
      <c r="N106">
        <v>180246</v>
      </c>
      <c r="O106">
        <v>184690</v>
      </c>
      <c r="P106">
        <v>7662</v>
      </c>
      <c r="Q106">
        <v>3218</v>
      </c>
      <c r="R106">
        <v>187908</v>
      </c>
      <c r="S106">
        <v>0</v>
      </c>
      <c r="T106">
        <v>2835</v>
      </c>
      <c r="U106">
        <v>0</v>
      </c>
      <c r="V106">
        <v>180246</v>
      </c>
      <c r="W106">
        <v>181855</v>
      </c>
      <c r="X106">
        <v>180246</v>
      </c>
      <c r="Y106">
        <v>184690</v>
      </c>
      <c r="Z106">
        <v>7662</v>
      </c>
      <c r="AA106">
        <v>3218</v>
      </c>
      <c r="AB106">
        <v>0</v>
      </c>
      <c r="AC106">
        <v>0</v>
      </c>
      <c r="AD106">
        <v>0</v>
      </c>
      <c r="AE106">
        <v>0</v>
      </c>
      <c r="AF106">
        <v>0</v>
      </c>
      <c r="AG106">
        <v>0</v>
      </c>
      <c r="AH106">
        <v>0</v>
      </c>
      <c r="AI106">
        <v>0</v>
      </c>
      <c r="AJ106">
        <v>0</v>
      </c>
      <c r="AK106">
        <v>0</v>
      </c>
      <c r="AL106">
        <v>-9304</v>
      </c>
      <c r="AM106">
        <v>0</v>
      </c>
      <c r="AN106">
        <v>-497</v>
      </c>
      <c r="AO106">
        <v>0</v>
      </c>
      <c r="AP106">
        <v>-9074</v>
      </c>
      <c r="AQ106">
        <v>-10168</v>
      </c>
      <c r="AR106">
        <v>-9074</v>
      </c>
      <c r="AS106">
        <v>-10665</v>
      </c>
      <c r="AT106">
        <v>-230</v>
      </c>
      <c r="AU106">
        <v>1361</v>
      </c>
      <c r="AV106">
        <v>100</v>
      </c>
      <c r="AW106">
        <v>0</v>
      </c>
      <c r="AX106">
        <v>1.5</v>
      </c>
      <c r="AY106">
        <v>0</v>
      </c>
      <c r="AZ106">
        <v>95.9</v>
      </c>
      <c r="BA106">
        <v>96.8</v>
      </c>
      <c r="BB106">
        <v>95.9</v>
      </c>
      <c r="BC106">
        <v>98.3</v>
      </c>
      <c r="BD106">
        <v>4.0999999999999996</v>
      </c>
      <c r="BE106">
        <v>1.7</v>
      </c>
      <c r="BF106">
        <v>100</v>
      </c>
      <c r="BG106">
        <v>0</v>
      </c>
      <c r="BH106">
        <v>1.5</v>
      </c>
      <c r="BI106">
        <v>0</v>
      </c>
      <c r="BJ106">
        <v>95.9</v>
      </c>
      <c r="BK106">
        <v>96.8</v>
      </c>
      <c r="BL106">
        <v>95.9</v>
      </c>
      <c r="BM106">
        <v>98.3</v>
      </c>
      <c r="BN106">
        <v>4.0999999999999996</v>
      </c>
      <c r="BO106">
        <v>1.7</v>
      </c>
      <c r="BP106">
        <v>0</v>
      </c>
      <c r="BQ106">
        <v>0</v>
      </c>
      <c r="BR106">
        <v>0</v>
      </c>
      <c r="BS106">
        <v>0</v>
      </c>
      <c r="BT106">
        <v>0</v>
      </c>
      <c r="BU106">
        <v>0</v>
      </c>
      <c r="BV106">
        <v>0</v>
      </c>
      <c r="BW106">
        <v>0</v>
      </c>
      <c r="BX106">
        <v>0</v>
      </c>
      <c r="BY106">
        <v>0</v>
      </c>
      <c r="BZ106">
        <v>33</v>
      </c>
      <c r="CA106">
        <v>0</v>
      </c>
      <c r="CB106">
        <v>1</v>
      </c>
      <c r="CC106">
        <v>0</v>
      </c>
      <c r="CD106">
        <v>22</v>
      </c>
      <c r="CE106">
        <v>18</v>
      </c>
      <c r="CF106">
        <v>22</v>
      </c>
      <c r="CG106">
        <v>19</v>
      </c>
      <c r="CH106">
        <v>33</v>
      </c>
      <c r="CI106">
        <v>0</v>
      </c>
      <c r="CJ106">
        <v>1</v>
      </c>
      <c r="CK106">
        <v>0</v>
      </c>
      <c r="CL106">
        <v>22</v>
      </c>
      <c r="CM106">
        <v>18</v>
      </c>
      <c r="CN106">
        <v>22</v>
      </c>
      <c r="CO106">
        <v>19</v>
      </c>
      <c r="CP106">
        <v>0</v>
      </c>
      <c r="CQ106">
        <v>0</v>
      </c>
      <c r="CR106">
        <v>0</v>
      </c>
      <c r="CS106">
        <v>0</v>
      </c>
      <c r="CT106">
        <v>0</v>
      </c>
      <c r="CU106">
        <v>0</v>
      </c>
      <c r="CV106">
        <v>0</v>
      </c>
      <c r="CW106">
        <v>0</v>
      </c>
      <c r="CX106">
        <v>58.3</v>
      </c>
      <c r="CY106">
        <v>62</v>
      </c>
      <c r="CZ106">
        <v>76.400000000000006</v>
      </c>
      <c r="DA106">
        <v>86.5</v>
      </c>
      <c r="DB106">
        <v>57.6</v>
      </c>
      <c r="DC106">
        <v>62</v>
      </c>
      <c r="DD106">
        <v>71.900000000000006</v>
      </c>
      <c r="DE106">
        <v>85.6</v>
      </c>
      <c r="DF106">
        <v>58.3</v>
      </c>
      <c r="DG106">
        <v>62</v>
      </c>
      <c r="DH106">
        <v>76.400000000000006</v>
      </c>
      <c r="DI106">
        <v>86.5</v>
      </c>
      <c r="DJ106">
        <v>57.6</v>
      </c>
      <c r="DK106">
        <v>62</v>
      </c>
      <c r="DL106">
        <v>71.900000000000006</v>
      </c>
      <c r="DM106">
        <v>85.6</v>
      </c>
      <c r="DN106">
        <v>0</v>
      </c>
      <c r="DO106">
        <v>0</v>
      </c>
      <c r="DP106">
        <v>0</v>
      </c>
      <c r="DQ106">
        <v>0</v>
      </c>
      <c r="DR106">
        <v>0</v>
      </c>
      <c r="DS106">
        <v>0</v>
      </c>
      <c r="DT106">
        <v>0</v>
      </c>
      <c r="DU106">
        <v>0</v>
      </c>
      <c r="DV106" t="s">
        <v>308</v>
      </c>
    </row>
    <row r="107" spans="1:126" x14ac:dyDescent="0.35">
      <c r="A107" t="s">
        <v>306</v>
      </c>
      <c r="B107">
        <v>230103</v>
      </c>
      <c r="C107" s="1">
        <v>44929</v>
      </c>
      <c r="D107" t="s">
        <v>307</v>
      </c>
      <c r="E107" t="s">
        <v>184</v>
      </c>
      <c r="F107" t="s">
        <v>185</v>
      </c>
      <c r="G107" t="s">
        <v>282</v>
      </c>
      <c r="H107">
        <v>197212</v>
      </c>
      <c r="I107" s="17">
        <v>0</v>
      </c>
      <c r="J107" s="17">
        <v>3332</v>
      </c>
      <c r="K107">
        <v>0</v>
      </c>
      <c r="L107">
        <v>189320</v>
      </c>
      <c r="M107">
        <v>192023</v>
      </c>
      <c r="N107">
        <v>189320</v>
      </c>
      <c r="O107">
        <v>195355</v>
      </c>
      <c r="P107">
        <v>7892</v>
      </c>
      <c r="Q107">
        <v>1857</v>
      </c>
      <c r="R107">
        <v>197212</v>
      </c>
      <c r="S107">
        <v>0</v>
      </c>
      <c r="T107">
        <v>3332</v>
      </c>
      <c r="U107">
        <v>0</v>
      </c>
      <c r="V107">
        <v>189320</v>
      </c>
      <c r="W107">
        <v>192023</v>
      </c>
      <c r="X107">
        <v>189320</v>
      </c>
      <c r="Y107">
        <v>195355</v>
      </c>
      <c r="Z107">
        <v>7892</v>
      </c>
      <c r="AA107">
        <v>1857</v>
      </c>
      <c r="AB107">
        <v>0</v>
      </c>
      <c r="AC107">
        <v>0</v>
      </c>
      <c r="AD107">
        <v>0</v>
      </c>
      <c r="AE107">
        <v>0</v>
      </c>
      <c r="AF107">
        <v>0</v>
      </c>
      <c r="AG107">
        <v>0</v>
      </c>
      <c r="AH107">
        <v>0</v>
      </c>
      <c r="AI107">
        <v>0</v>
      </c>
      <c r="AJ107">
        <v>0</v>
      </c>
      <c r="AK107">
        <v>0</v>
      </c>
      <c r="AL107">
        <v>1251</v>
      </c>
      <c r="AM107">
        <v>0</v>
      </c>
      <c r="AN107">
        <v>-90</v>
      </c>
      <c r="AO107">
        <v>0</v>
      </c>
      <c r="AP107">
        <v>1141</v>
      </c>
      <c r="AQ107">
        <v>1257</v>
      </c>
      <c r="AR107">
        <v>1141</v>
      </c>
      <c r="AS107">
        <v>1167</v>
      </c>
      <c r="AT107">
        <v>110</v>
      </c>
      <c r="AU107">
        <v>84</v>
      </c>
      <c r="AV107">
        <v>100</v>
      </c>
      <c r="AW107">
        <v>0</v>
      </c>
      <c r="AX107">
        <v>1.7</v>
      </c>
      <c r="AY107">
        <v>0</v>
      </c>
      <c r="AZ107">
        <v>96</v>
      </c>
      <c r="BA107">
        <v>97.4</v>
      </c>
      <c r="BB107">
        <v>96</v>
      </c>
      <c r="BC107">
        <v>99.1</v>
      </c>
      <c r="BD107">
        <v>4</v>
      </c>
      <c r="BE107">
        <v>0.9</v>
      </c>
      <c r="BF107">
        <v>100</v>
      </c>
      <c r="BG107">
        <v>0</v>
      </c>
      <c r="BH107">
        <v>1.7</v>
      </c>
      <c r="BI107">
        <v>0</v>
      </c>
      <c r="BJ107">
        <v>96</v>
      </c>
      <c r="BK107">
        <v>97.4</v>
      </c>
      <c r="BL107">
        <v>96</v>
      </c>
      <c r="BM107">
        <v>99.1</v>
      </c>
      <c r="BN107">
        <v>4</v>
      </c>
      <c r="BO107">
        <v>0.9</v>
      </c>
      <c r="BP107">
        <v>0</v>
      </c>
      <c r="BQ107">
        <v>0</v>
      </c>
      <c r="BR107">
        <v>0</v>
      </c>
      <c r="BS107">
        <v>0</v>
      </c>
      <c r="BT107">
        <v>0</v>
      </c>
      <c r="BU107">
        <v>0</v>
      </c>
      <c r="BV107">
        <v>0</v>
      </c>
      <c r="BW107">
        <v>0</v>
      </c>
      <c r="BX107">
        <v>0</v>
      </c>
      <c r="BY107">
        <v>0</v>
      </c>
      <c r="BZ107">
        <v>36</v>
      </c>
      <c r="CA107">
        <v>0</v>
      </c>
      <c r="CB107">
        <v>2</v>
      </c>
      <c r="CC107">
        <v>0</v>
      </c>
      <c r="CD107">
        <v>22</v>
      </c>
      <c r="CE107">
        <v>20</v>
      </c>
      <c r="CF107">
        <v>22</v>
      </c>
      <c r="CG107">
        <v>22</v>
      </c>
      <c r="CH107">
        <v>36</v>
      </c>
      <c r="CI107">
        <v>0</v>
      </c>
      <c r="CJ107">
        <v>2</v>
      </c>
      <c r="CK107">
        <v>0</v>
      </c>
      <c r="CL107">
        <v>22</v>
      </c>
      <c r="CM107">
        <v>20</v>
      </c>
      <c r="CN107">
        <v>22</v>
      </c>
      <c r="CO107">
        <v>22</v>
      </c>
      <c r="CP107">
        <v>0</v>
      </c>
      <c r="CQ107">
        <v>0</v>
      </c>
      <c r="CR107">
        <v>0</v>
      </c>
      <c r="CS107">
        <v>0</v>
      </c>
      <c r="CT107">
        <v>0</v>
      </c>
      <c r="CU107">
        <v>0</v>
      </c>
      <c r="CV107">
        <v>0</v>
      </c>
      <c r="CW107">
        <v>0</v>
      </c>
      <c r="CX107">
        <v>58.4</v>
      </c>
      <c r="CY107">
        <v>60.2</v>
      </c>
      <c r="CZ107">
        <v>76.900000000000006</v>
      </c>
      <c r="DA107">
        <v>84.8</v>
      </c>
      <c r="DB107">
        <v>58.3</v>
      </c>
      <c r="DC107">
        <v>60.2</v>
      </c>
      <c r="DD107">
        <v>73</v>
      </c>
      <c r="DE107">
        <v>84.5</v>
      </c>
      <c r="DF107">
        <v>58.4</v>
      </c>
      <c r="DG107">
        <v>60.2</v>
      </c>
      <c r="DH107">
        <v>76.900000000000006</v>
      </c>
      <c r="DI107">
        <v>84.8</v>
      </c>
      <c r="DJ107">
        <v>58.3</v>
      </c>
      <c r="DK107">
        <v>60.2</v>
      </c>
      <c r="DL107">
        <v>73</v>
      </c>
      <c r="DM107">
        <v>84.5</v>
      </c>
      <c r="DN107">
        <v>0</v>
      </c>
      <c r="DO107">
        <v>0</v>
      </c>
      <c r="DP107">
        <v>0</v>
      </c>
      <c r="DQ107">
        <v>0</v>
      </c>
      <c r="DR107">
        <v>0</v>
      </c>
      <c r="DS107">
        <v>0</v>
      </c>
      <c r="DT107">
        <v>0</v>
      </c>
      <c r="DU107">
        <v>0</v>
      </c>
      <c r="DV107" t="s">
        <v>308</v>
      </c>
    </row>
    <row r="108" spans="1:126" x14ac:dyDescent="0.35">
      <c r="A108" t="s">
        <v>309</v>
      </c>
      <c r="B108">
        <v>230110</v>
      </c>
      <c r="C108" s="1">
        <v>44936</v>
      </c>
      <c r="D108" t="s">
        <v>310</v>
      </c>
      <c r="E108" t="s">
        <v>184</v>
      </c>
      <c r="F108" t="s">
        <v>185</v>
      </c>
      <c r="G108" t="s">
        <v>282</v>
      </c>
      <c r="H108">
        <v>310140</v>
      </c>
      <c r="I108" s="17">
        <v>0</v>
      </c>
      <c r="J108" s="17">
        <v>15558</v>
      </c>
      <c r="K108">
        <v>3846</v>
      </c>
      <c r="L108">
        <v>298896</v>
      </c>
      <c r="M108">
        <v>285004</v>
      </c>
      <c r="N108">
        <v>302742</v>
      </c>
      <c r="O108">
        <v>304408</v>
      </c>
      <c r="P108">
        <v>7398</v>
      </c>
      <c r="Q108">
        <v>5732</v>
      </c>
      <c r="R108">
        <v>310140</v>
      </c>
      <c r="S108">
        <v>0</v>
      </c>
      <c r="T108">
        <v>15558</v>
      </c>
      <c r="U108">
        <v>3846</v>
      </c>
      <c r="V108">
        <v>298896</v>
      </c>
      <c r="W108">
        <v>285004</v>
      </c>
      <c r="X108">
        <v>302742</v>
      </c>
      <c r="Y108">
        <v>304408</v>
      </c>
      <c r="Z108">
        <v>7398</v>
      </c>
      <c r="AA108">
        <v>5732</v>
      </c>
      <c r="AB108">
        <v>0</v>
      </c>
      <c r="AC108">
        <v>0</v>
      </c>
      <c r="AD108">
        <v>0</v>
      </c>
      <c r="AE108">
        <v>0</v>
      </c>
      <c r="AF108">
        <v>0</v>
      </c>
      <c r="AG108">
        <v>0</v>
      </c>
      <c r="AH108">
        <v>0</v>
      </c>
      <c r="AI108">
        <v>0</v>
      </c>
      <c r="AJ108">
        <v>0</v>
      </c>
      <c r="AK108">
        <v>0</v>
      </c>
      <c r="AL108">
        <v>-9399</v>
      </c>
      <c r="AM108">
        <v>0</v>
      </c>
      <c r="AN108">
        <v>-3478</v>
      </c>
      <c r="AO108">
        <v>-31</v>
      </c>
      <c r="AP108">
        <v>-9129</v>
      </c>
      <c r="AQ108">
        <v>-5668</v>
      </c>
      <c r="AR108">
        <v>-9160</v>
      </c>
      <c r="AS108">
        <v>-9177</v>
      </c>
      <c r="AT108">
        <v>-239</v>
      </c>
      <c r="AU108">
        <v>-222</v>
      </c>
      <c r="AV108">
        <v>100</v>
      </c>
      <c r="AW108">
        <v>0</v>
      </c>
      <c r="AX108">
        <v>5</v>
      </c>
      <c r="AY108">
        <v>1.2</v>
      </c>
      <c r="AZ108">
        <v>96.4</v>
      </c>
      <c r="BA108">
        <v>91.9</v>
      </c>
      <c r="BB108">
        <v>97.6</v>
      </c>
      <c r="BC108">
        <v>98.2</v>
      </c>
      <c r="BD108">
        <v>2.4</v>
      </c>
      <c r="BE108">
        <v>1.8</v>
      </c>
      <c r="BF108">
        <v>100</v>
      </c>
      <c r="BG108">
        <v>0</v>
      </c>
      <c r="BH108">
        <v>5</v>
      </c>
      <c r="BI108">
        <v>1.2</v>
      </c>
      <c r="BJ108">
        <v>96.4</v>
      </c>
      <c r="BK108">
        <v>91.9</v>
      </c>
      <c r="BL108">
        <v>97.6</v>
      </c>
      <c r="BM108">
        <v>98.2</v>
      </c>
      <c r="BN108">
        <v>2.4</v>
      </c>
      <c r="BO108">
        <v>1.8</v>
      </c>
      <c r="BP108">
        <v>0</v>
      </c>
      <c r="BQ108">
        <v>0</v>
      </c>
      <c r="BR108">
        <v>0</v>
      </c>
      <c r="BS108">
        <v>0</v>
      </c>
      <c r="BT108">
        <v>0</v>
      </c>
      <c r="BU108">
        <v>0</v>
      </c>
      <c r="BV108">
        <v>0</v>
      </c>
      <c r="BW108">
        <v>0</v>
      </c>
      <c r="BX108">
        <v>0</v>
      </c>
      <c r="BY108">
        <v>0</v>
      </c>
      <c r="BZ108">
        <v>34</v>
      </c>
      <c r="CA108">
        <v>0</v>
      </c>
      <c r="CB108">
        <v>4</v>
      </c>
      <c r="CC108">
        <v>2</v>
      </c>
      <c r="CD108">
        <v>19</v>
      </c>
      <c r="CE108">
        <v>21</v>
      </c>
      <c r="CF108">
        <v>21</v>
      </c>
      <c r="CG108">
        <v>25</v>
      </c>
      <c r="CH108">
        <v>34</v>
      </c>
      <c r="CI108">
        <v>0</v>
      </c>
      <c r="CJ108">
        <v>4</v>
      </c>
      <c r="CK108">
        <v>2</v>
      </c>
      <c r="CL108">
        <v>19</v>
      </c>
      <c r="CM108">
        <v>21</v>
      </c>
      <c r="CN108">
        <v>21</v>
      </c>
      <c r="CO108">
        <v>25</v>
      </c>
      <c r="CP108">
        <v>0</v>
      </c>
      <c r="CQ108">
        <v>0</v>
      </c>
      <c r="CR108">
        <v>0</v>
      </c>
      <c r="CS108">
        <v>0</v>
      </c>
      <c r="CT108">
        <v>0</v>
      </c>
      <c r="CU108">
        <v>0</v>
      </c>
      <c r="CV108">
        <v>0</v>
      </c>
      <c r="CW108">
        <v>0</v>
      </c>
      <c r="CX108">
        <v>84.7</v>
      </c>
      <c r="CY108">
        <v>51.1</v>
      </c>
      <c r="CZ108">
        <v>93.3</v>
      </c>
      <c r="DA108">
        <v>78.599999999999994</v>
      </c>
      <c r="DB108">
        <v>84.7</v>
      </c>
      <c r="DC108">
        <v>50.4</v>
      </c>
      <c r="DD108">
        <v>91.6</v>
      </c>
      <c r="DE108">
        <v>77.599999999999994</v>
      </c>
      <c r="DF108">
        <v>84.7</v>
      </c>
      <c r="DG108">
        <v>51.1</v>
      </c>
      <c r="DH108">
        <v>93.3</v>
      </c>
      <c r="DI108">
        <v>78.599999999999994</v>
      </c>
      <c r="DJ108">
        <v>84.7</v>
      </c>
      <c r="DK108">
        <v>50.4</v>
      </c>
      <c r="DL108">
        <v>91.6</v>
      </c>
      <c r="DM108">
        <v>77.599999999999994</v>
      </c>
      <c r="DN108">
        <v>0</v>
      </c>
      <c r="DO108">
        <v>0</v>
      </c>
      <c r="DP108">
        <v>0</v>
      </c>
      <c r="DQ108">
        <v>0</v>
      </c>
      <c r="DR108">
        <v>0</v>
      </c>
      <c r="DS108">
        <v>0</v>
      </c>
      <c r="DT108">
        <v>0</v>
      </c>
      <c r="DU108">
        <v>0</v>
      </c>
      <c r="DV108" t="s">
        <v>286</v>
      </c>
    </row>
    <row r="109" spans="1:126" x14ac:dyDescent="0.35">
      <c r="A109" t="s">
        <v>309</v>
      </c>
      <c r="B109">
        <v>230103</v>
      </c>
      <c r="C109" s="1">
        <v>44929</v>
      </c>
      <c r="D109" t="s">
        <v>310</v>
      </c>
      <c r="E109" t="s">
        <v>184</v>
      </c>
      <c r="F109" t="s">
        <v>185</v>
      </c>
      <c r="G109" t="s">
        <v>282</v>
      </c>
      <c r="H109">
        <v>319539</v>
      </c>
      <c r="I109" s="17">
        <v>0</v>
      </c>
      <c r="J109" s="17">
        <v>19036</v>
      </c>
      <c r="K109">
        <v>3877</v>
      </c>
      <c r="L109">
        <v>308025</v>
      </c>
      <c r="M109">
        <v>290672</v>
      </c>
      <c r="N109">
        <v>311902</v>
      </c>
      <c r="O109">
        <v>313585</v>
      </c>
      <c r="P109">
        <v>7637</v>
      </c>
      <c r="Q109">
        <v>5954</v>
      </c>
      <c r="R109">
        <v>319539</v>
      </c>
      <c r="S109">
        <v>0</v>
      </c>
      <c r="T109">
        <v>19036</v>
      </c>
      <c r="U109">
        <v>3877</v>
      </c>
      <c r="V109">
        <v>308025</v>
      </c>
      <c r="W109">
        <v>290672</v>
      </c>
      <c r="X109">
        <v>311902</v>
      </c>
      <c r="Y109">
        <v>313585</v>
      </c>
      <c r="Z109">
        <v>7637</v>
      </c>
      <c r="AA109">
        <v>5954</v>
      </c>
      <c r="AB109">
        <v>0</v>
      </c>
      <c r="AC109">
        <v>0</v>
      </c>
      <c r="AD109">
        <v>0</v>
      </c>
      <c r="AE109">
        <v>0</v>
      </c>
      <c r="AF109">
        <v>0</v>
      </c>
      <c r="AG109">
        <v>0</v>
      </c>
      <c r="AH109">
        <v>0</v>
      </c>
      <c r="AI109">
        <v>0</v>
      </c>
      <c r="AJ109">
        <v>0</v>
      </c>
      <c r="AK109">
        <v>0</v>
      </c>
      <c r="AL109">
        <v>28815</v>
      </c>
      <c r="AM109">
        <v>0</v>
      </c>
      <c r="AN109">
        <v>32</v>
      </c>
      <c r="AO109">
        <v>0</v>
      </c>
      <c r="AP109">
        <v>28677</v>
      </c>
      <c r="AQ109">
        <v>30288</v>
      </c>
      <c r="AR109">
        <v>28677</v>
      </c>
      <c r="AS109">
        <v>30320</v>
      </c>
      <c r="AT109">
        <v>138</v>
      </c>
      <c r="AU109">
        <v>-1505</v>
      </c>
      <c r="AV109">
        <v>100</v>
      </c>
      <c r="AW109">
        <v>0</v>
      </c>
      <c r="AX109">
        <v>6</v>
      </c>
      <c r="AY109">
        <v>1.2</v>
      </c>
      <c r="AZ109">
        <v>96.4</v>
      </c>
      <c r="BA109">
        <v>91</v>
      </c>
      <c r="BB109">
        <v>97.6</v>
      </c>
      <c r="BC109">
        <v>98.1</v>
      </c>
      <c r="BD109">
        <v>2.4</v>
      </c>
      <c r="BE109">
        <v>1.9</v>
      </c>
      <c r="BF109">
        <v>100</v>
      </c>
      <c r="BG109">
        <v>0</v>
      </c>
      <c r="BH109">
        <v>6</v>
      </c>
      <c r="BI109">
        <v>1.2</v>
      </c>
      <c r="BJ109">
        <v>96.4</v>
      </c>
      <c r="BK109">
        <v>91</v>
      </c>
      <c r="BL109">
        <v>97.6</v>
      </c>
      <c r="BM109">
        <v>98.1</v>
      </c>
      <c r="BN109">
        <v>2.4</v>
      </c>
      <c r="BO109">
        <v>1.9</v>
      </c>
      <c r="BP109">
        <v>0</v>
      </c>
      <c r="BQ109">
        <v>0</v>
      </c>
      <c r="BR109">
        <v>0</v>
      </c>
      <c r="BS109">
        <v>0</v>
      </c>
      <c r="BT109">
        <v>0</v>
      </c>
      <c r="BU109">
        <v>0</v>
      </c>
      <c r="BV109">
        <v>0</v>
      </c>
      <c r="BW109">
        <v>0</v>
      </c>
      <c r="BX109">
        <v>0</v>
      </c>
      <c r="BY109">
        <v>0</v>
      </c>
      <c r="BZ109">
        <v>33</v>
      </c>
      <c r="CA109">
        <v>0</v>
      </c>
      <c r="CB109">
        <v>4</v>
      </c>
      <c r="CC109">
        <v>2</v>
      </c>
      <c r="CD109">
        <v>17</v>
      </c>
      <c r="CE109">
        <v>21</v>
      </c>
      <c r="CF109">
        <v>19</v>
      </c>
      <c r="CG109">
        <v>25</v>
      </c>
      <c r="CH109">
        <v>33</v>
      </c>
      <c r="CI109">
        <v>0</v>
      </c>
      <c r="CJ109">
        <v>4</v>
      </c>
      <c r="CK109">
        <v>2</v>
      </c>
      <c r="CL109">
        <v>17</v>
      </c>
      <c r="CM109">
        <v>21</v>
      </c>
      <c r="CN109">
        <v>19</v>
      </c>
      <c r="CO109">
        <v>25</v>
      </c>
      <c r="CP109">
        <v>0</v>
      </c>
      <c r="CQ109">
        <v>0</v>
      </c>
      <c r="CR109">
        <v>0</v>
      </c>
      <c r="CS109">
        <v>0</v>
      </c>
      <c r="CT109">
        <v>0</v>
      </c>
      <c r="CU109">
        <v>0</v>
      </c>
      <c r="CV109">
        <v>0</v>
      </c>
      <c r="CW109">
        <v>0</v>
      </c>
      <c r="CX109">
        <v>86.3</v>
      </c>
      <c r="CY109">
        <v>48.7</v>
      </c>
      <c r="CZ109">
        <v>93.6</v>
      </c>
      <c r="DA109">
        <v>74.5</v>
      </c>
      <c r="DB109">
        <v>86.3</v>
      </c>
      <c r="DC109">
        <v>48.2</v>
      </c>
      <c r="DD109">
        <v>91.4</v>
      </c>
      <c r="DE109">
        <v>73.3</v>
      </c>
      <c r="DF109">
        <v>86.3</v>
      </c>
      <c r="DG109">
        <v>48.7</v>
      </c>
      <c r="DH109">
        <v>93.6</v>
      </c>
      <c r="DI109">
        <v>74.5</v>
      </c>
      <c r="DJ109">
        <v>86.3</v>
      </c>
      <c r="DK109">
        <v>48.2</v>
      </c>
      <c r="DL109">
        <v>91.4</v>
      </c>
      <c r="DM109">
        <v>73.3</v>
      </c>
      <c r="DN109">
        <v>0</v>
      </c>
      <c r="DO109">
        <v>0</v>
      </c>
      <c r="DP109">
        <v>0</v>
      </c>
      <c r="DQ109">
        <v>0</v>
      </c>
      <c r="DR109">
        <v>0</v>
      </c>
      <c r="DS109">
        <v>0</v>
      </c>
      <c r="DT109">
        <v>0</v>
      </c>
      <c r="DU109">
        <v>0</v>
      </c>
      <c r="DV109" t="s">
        <v>286</v>
      </c>
    </row>
    <row r="110" spans="1:126" x14ac:dyDescent="0.35">
      <c r="A110" t="s">
        <v>311</v>
      </c>
      <c r="B110">
        <v>230110</v>
      </c>
      <c r="C110" s="1">
        <v>44936</v>
      </c>
      <c r="D110" t="s">
        <v>312</v>
      </c>
      <c r="E110" t="s">
        <v>184</v>
      </c>
      <c r="F110" t="s">
        <v>185</v>
      </c>
      <c r="G110" t="s">
        <v>282</v>
      </c>
      <c r="H110">
        <v>42316</v>
      </c>
      <c r="I110" s="17">
        <v>2899</v>
      </c>
      <c r="J110" s="17">
        <v>0</v>
      </c>
      <c r="K110">
        <v>236</v>
      </c>
      <c r="L110">
        <v>37597</v>
      </c>
      <c r="M110">
        <v>40608</v>
      </c>
      <c r="N110">
        <v>40732</v>
      </c>
      <c r="O110">
        <v>40844</v>
      </c>
      <c r="P110">
        <v>1584</v>
      </c>
      <c r="Q110">
        <v>1472</v>
      </c>
      <c r="R110">
        <v>42316</v>
      </c>
      <c r="S110">
        <v>2899</v>
      </c>
      <c r="T110">
        <v>0</v>
      </c>
      <c r="U110">
        <v>236</v>
      </c>
      <c r="V110">
        <v>37597</v>
      </c>
      <c r="W110">
        <v>40608</v>
      </c>
      <c r="X110">
        <v>40732</v>
      </c>
      <c r="Y110">
        <v>40844</v>
      </c>
      <c r="Z110">
        <v>1584</v>
      </c>
      <c r="AA110">
        <v>1472</v>
      </c>
      <c r="AB110">
        <v>0</v>
      </c>
      <c r="AC110">
        <v>0</v>
      </c>
      <c r="AD110">
        <v>0</v>
      </c>
      <c r="AE110">
        <v>0</v>
      </c>
      <c r="AF110">
        <v>0</v>
      </c>
      <c r="AG110">
        <v>0</v>
      </c>
      <c r="AH110">
        <v>0</v>
      </c>
      <c r="AI110">
        <v>0</v>
      </c>
      <c r="AJ110">
        <v>0</v>
      </c>
      <c r="AK110">
        <v>0</v>
      </c>
      <c r="AL110">
        <v>-9723</v>
      </c>
      <c r="AM110">
        <v>-10431</v>
      </c>
      <c r="AN110">
        <v>0</v>
      </c>
      <c r="AO110">
        <v>0</v>
      </c>
      <c r="AP110">
        <v>701</v>
      </c>
      <c r="AQ110">
        <v>-9537</v>
      </c>
      <c r="AR110">
        <v>-9730</v>
      </c>
      <c r="AS110">
        <v>-9537</v>
      </c>
      <c r="AT110">
        <v>7</v>
      </c>
      <c r="AU110">
        <v>-186</v>
      </c>
      <c r="AV110">
        <v>100</v>
      </c>
      <c r="AW110">
        <v>6.9</v>
      </c>
      <c r="AX110">
        <v>0</v>
      </c>
      <c r="AY110">
        <v>0.6</v>
      </c>
      <c r="AZ110">
        <v>88.8</v>
      </c>
      <c r="BA110">
        <v>96</v>
      </c>
      <c r="BB110">
        <v>96.3</v>
      </c>
      <c r="BC110">
        <v>96.5</v>
      </c>
      <c r="BD110">
        <v>3.7</v>
      </c>
      <c r="BE110">
        <v>3.5</v>
      </c>
      <c r="BF110">
        <v>100</v>
      </c>
      <c r="BG110">
        <v>6.9</v>
      </c>
      <c r="BH110">
        <v>0</v>
      </c>
      <c r="BI110">
        <v>0.6</v>
      </c>
      <c r="BJ110">
        <v>88.8</v>
      </c>
      <c r="BK110">
        <v>96</v>
      </c>
      <c r="BL110">
        <v>96.3</v>
      </c>
      <c r="BM110">
        <v>96.5</v>
      </c>
      <c r="BN110">
        <v>3.7</v>
      </c>
      <c r="BO110">
        <v>3.5</v>
      </c>
      <c r="BP110">
        <v>0</v>
      </c>
      <c r="BQ110">
        <v>0</v>
      </c>
      <c r="BR110">
        <v>0</v>
      </c>
      <c r="BS110">
        <v>0</v>
      </c>
      <c r="BT110">
        <v>0</v>
      </c>
      <c r="BU110">
        <v>0</v>
      </c>
      <c r="BV110">
        <v>0</v>
      </c>
      <c r="BW110">
        <v>0</v>
      </c>
      <c r="BX110">
        <v>0</v>
      </c>
      <c r="BY110">
        <v>0</v>
      </c>
      <c r="BZ110">
        <v>30</v>
      </c>
      <c r="CA110">
        <v>3</v>
      </c>
      <c r="CB110">
        <v>0</v>
      </c>
      <c r="CC110">
        <v>1</v>
      </c>
      <c r="CD110">
        <v>16</v>
      </c>
      <c r="CE110">
        <v>15</v>
      </c>
      <c r="CF110">
        <v>19</v>
      </c>
      <c r="CG110">
        <v>16</v>
      </c>
      <c r="CH110">
        <v>30</v>
      </c>
      <c r="CI110">
        <v>3</v>
      </c>
      <c r="CJ110">
        <v>0</v>
      </c>
      <c r="CK110">
        <v>1</v>
      </c>
      <c r="CL110">
        <v>16</v>
      </c>
      <c r="CM110">
        <v>15</v>
      </c>
      <c r="CN110">
        <v>19</v>
      </c>
      <c r="CO110">
        <v>16</v>
      </c>
      <c r="CP110">
        <v>0</v>
      </c>
      <c r="CQ110">
        <v>0</v>
      </c>
      <c r="CR110">
        <v>0</v>
      </c>
      <c r="CS110">
        <v>0</v>
      </c>
      <c r="CT110">
        <v>0</v>
      </c>
      <c r="CU110">
        <v>0</v>
      </c>
      <c r="CV110">
        <v>0</v>
      </c>
      <c r="CW110">
        <v>0</v>
      </c>
      <c r="CX110">
        <v>64.2</v>
      </c>
      <c r="CY110">
        <v>72.7</v>
      </c>
      <c r="CZ110">
        <v>82.2</v>
      </c>
      <c r="DA110">
        <v>86</v>
      </c>
      <c r="DB110">
        <v>64.2</v>
      </c>
      <c r="DC110">
        <v>70.3</v>
      </c>
      <c r="DD110">
        <v>82.2</v>
      </c>
      <c r="DE110">
        <v>83.6</v>
      </c>
      <c r="DF110">
        <v>64.2</v>
      </c>
      <c r="DG110">
        <v>72.7</v>
      </c>
      <c r="DH110">
        <v>82.2</v>
      </c>
      <c r="DI110">
        <v>86</v>
      </c>
      <c r="DJ110">
        <v>64.2</v>
      </c>
      <c r="DK110">
        <v>70.3</v>
      </c>
      <c r="DL110">
        <v>82.2</v>
      </c>
      <c r="DM110">
        <v>83.6</v>
      </c>
      <c r="DN110">
        <v>0</v>
      </c>
      <c r="DO110">
        <v>0</v>
      </c>
      <c r="DP110">
        <v>0</v>
      </c>
      <c r="DQ110">
        <v>0</v>
      </c>
      <c r="DR110">
        <v>0</v>
      </c>
      <c r="DS110">
        <v>0</v>
      </c>
      <c r="DT110">
        <v>0</v>
      </c>
      <c r="DU110">
        <v>0</v>
      </c>
      <c r="DV110" t="s">
        <v>286</v>
      </c>
    </row>
    <row r="111" spans="1:126" x14ac:dyDescent="0.35">
      <c r="A111" t="s">
        <v>311</v>
      </c>
      <c r="B111">
        <v>230103</v>
      </c>
      <c r="C111" s="1">
        <v>44929</v>
      </c>
      <c r="D111" t="s">
        <v>312</v>
      </c>
      <c r="E111" t="s">
        <v>184</v>
      </c>
      <c r="F111" t="s">
        <v>185</v>
      </c>
      <c r="G111" t="s">
        <v>282</v>
      </c>
      <c r="H111">
        <v>52039</v>
      </c>
      <c r="I111" s="17">
        <v>13330</v>
      </c>
      <c r="J111" s="17">
        <v>0</v>
      </c>
      <c r="K111">
        <v>236</v>
      </c>
      <c r="L111">
        <v>36896</v>
      </c>
      <c r="M111">
        <v>50145</v>
      </c>
      <c r="N111">
        <v>50462</v>
      </c>
      <c r="O111">
        <v>50381</v>
      </c>
      <c r="P111">
        <v>1577</v>
      </c>
      <c r="Q111">
        <v>1658</v>
      </c>
      <c r="R111">
        <v>52039</v>
      </c>
      <c r="S111">
        <v>13330</v>
      </c>
      <c r="T111">
        <v>0</v>
      </c>
      <c r="U111">
        <v>236</v>
      </c>
      <c r="V111">
        <v>36896</v>
      </c>
      <c r="W111">
        <v>50145</v>
      </c>
      <c r="X111">
        <v>50462</v>
      </c>
      <c r="Y111">
        <v>50381</v>
      </c>
      <c r="Z111">
        <v>1577</v>
      </c>
      <c r="AA111">
        <v>1658</v>
      </c>
      <c r="AB111">
        <v>0</v>
      </c>
      <c r="AC111">
        <v>0</v>
      </c>
      <c r="AD111">
        <v>0</v>
      </c>
      <c r="AE111">
        <v>0</v>
      </c>
      <c r="AF111">
        <v>0</v>
      </c>
      <c r="AG111">
        <v>0</v>
      </c>
      <c r="AH111">
        <v>0</v>
      </c>
      <c r="AI111">
        <v>0</v>
      </c>
      <c r="AJ111">
        <v>0</v>
      </c>
      <c r="AK111">
        <v>0</v>
      </c>
      <c r="AL111">
        <v>496</v>
      </c>
      <c r="AM111">
        <v>310</v>
      </c>
      <c r="AN111">
        <v>0</v>
      </c>
      <c r="AO111">
        <v>0</v>
      </c>
      <c r="AP111">
        <v>295</v>
      </c>
      <c r="AQ111">
        <v>496</v>
      </c>
      <c r="AR111">
        <v>605</v>
      </c>
      <c r="AS111">
        <v>496</v>
      </c>
      <c r="AT111">
        <v>-109</v>
      </c>
      <c r="AU111">
        <v>0</v>
      </c>
      <c r="AV111">
        <v>100</v>
      </c>
      <c r="AW111">
        <v>25.6</v>
      </c>
      <c r="AX111">
        <v>0</v>
      </c>
      <c r="AY111">
        <v>0.5</v>
      </c>
      <c r="AZ111">
        <v>70.900000000000006</v>
      </c>
      <c r="BA111">
        <v>96.4</v>
      </c>
      <c r="BB111">
        <v>97</v>
      </c>
      <c r="BC111">
        <v>96.8</v>
      </c>
      <c r="BD111">
        <v>3</v>
      </c>
      <c r="BE111">
        <v>3.2</v>
      </c>
      <c r="BF111">
        <v>100</v>
      </c>
      <c r="BG111">
        <v>25.6</v>
      </c>
      <c r="BH111">
        <v>0</v>
      </c>
      <c r="BI111">
        <v>0.5</v>
      </c>
      <c r="BJ111">
        <v>70.900000000000006</v>
      </c>
      <c r="BK111">
        <v>96.4</v>
      </c>
      <c r="BL111">
        <v>97</v>
      </c>
      <c r="BM111">
        <v>96.8</v>
      </c>
      <c r="BN111">
        <v>3</v>
      </c>
      <c r="BO111">
        <v>3.2</v>
      </c>
      <c r="BP111">
        <v>0</v>
      </c>
      <c r="BQ111">
        <v>0</v>
      </c>
      <c r="BR111">
        <v>0</v>
      </c>
      <c r="BS111">
        <v>0</v>
      </c>
      <c r="BT111">
        <v>0</v>
      </c>
      <c r="BU111">
        <v>0</v>
      </c>
      <c r="BV111">
        <v>0</v>
      </c>
      <c r="BW111">
        <v>0</v>
      </c>
      <c r="BX111">
        <v>0</v>
      </c>
      <c r="BY111">
        <v>0</v>
      </c>
      <c r="BZ111">
        <v>37</v>
      </c>
      <c r="CA111">
        <v>5</v>
      </c>
      <c r="CB111">
        <v>0</v>
      </c>
      <c r="CC111">
        <v>1</v>
      </c>
      <c r="CD111">
        <v>22</v>
      </c>
      <c r="CE111">
        <v>21</v>
      </c>
      <c r="CF111">
        <v>27</v>
      </c>
      <c r="CG111">
        <v>22</v>
      </c>
      <c r="CH111">
        <v>37</v>
      </c>
      <c r="CI111">
        <v>5</v>
      </c>
      <c r="CJ111">
        <v>0</v>
      </c>
      <c r="CK111">
        <v>1</v>
      </c>
      <c r="CL111">
        <v>22</v>
      </c>
      <c r="CM111">
        <v>21</v>
      </c>
      <c r="CN111">
        <v>27</v>
      </c>
      <c r="CO111">
        <v>22</v>
      </c>
      <c r="CP111">
        <v>0</v>
      </c>
      <c r="CQ111">
        <v>0</v>
      </c>
      <c r="CR111">
        <v>0</v>
      </c>
      <c r="CS111">
        <v>0</v>
      </c>
      <c r="CT111">
        <v>0</v>
      </c>
      <c r="CU111">
        <v>0</v>
      </c>
      <c r="CV111">
        <v>0</v>
      </c>
      <c r="CW111">
        <v>0</v>
      </c>
      <c r="CX111">
        <v>50.1</v>
      </c>
      <c r="CY111">
        <v>63</v>
      </c>
      <c r="CZ111">
        <v>73.5</v>
      </c>
      <c r="DA111">
        <v>78.900000000000006</v>
      </c>
      <c r="DB111">
        <v>48.7</v>
      </c>
      <c r="DC111">
        <v>61.1</v>
      </c>
      <c r="DD111">
        <v>72.099999999999994</v>
      </c>
      <c r="DE111">
        <v>77</v>
      </c>
      <c r="DF111">
        <v>50.1</v>
      </c>
      <c r="DG111">
        <v>63</v>
      </c>
      <c r="DH111">
        <v>73.5</v>
      </c>
      <c r="DI111">
        <v>78.900000000000006</v>
      </c>
      <c r="DJ111">
        <v>48.7</v>
      </c>
      <c r="DK111">
        <v>61.1</v>
      </c>
      <c r="DL111">
        <v>72.099999999999994</v>
      </c>
      <c r="DM111">
        <v>77</v>
      </c>
      <c r="DN111">
        <v>0</v>
      </c>
      <c r="DO111">
        <v>0</v>
      </c>
      <c r="DP111">
        <v>0</v>
      </c>
      <c r="DQ111">
        <v>0</v>
      </c>
      <c r="DR111">
        <v>0</v>
      </c>
      <c r="DS111">
        <v>0</v>
      </c>
      <c r="DT111">
        <v>0</v>
      </c>
      <c r="DU111">
        <v>0</v>
      </c>
      <c r="DV111" t="s">
        <v>286</v>
      </c>
    </row>
    <row r="112" spans="1:126" x14ac:dyDescent="0.35">
      <c r="A112" t="s">
        <v>313</v>
      </c>
      <c r="B112">
        <v>230110</v>
      </c>
      <c r="C112" s="1">
        <v>44936</v>
      </c>
      <c r="D112" t="s">
        <v>314</v>
      </c>
      <c r="E112" t="s">
        <v>184</v>
      </c>
      <c r="F112" t="s">
        <v>185</v>
      </c>
      <c r="G112" t="s">
        <v>282</v>
      </c>
      <c r="H112">
        <v>758191</v>
      </c>
      <c r="I112" s="17">
        <v>60951</v>
      </c>
      <c r="J112" s="17">
        <v>2884</v>
      </c>
      <c r="K112">
        <v>3477</v>
      </c>
      <c r="L112">
        <v>679397</v>
      </c>
      <c r="M112">
        <v>743036</v>
      </c>
      <c r="N112">
        <v>743825</v>
      </c>
      <c r="O112">
        <v>749397</v>
      </c>
      <c r="P112">
        <v>14366</v>
      </c>
      <c r="Q112">
        <v>8794</v>
      </c>
      <c r="R112">
        <v>758191</v>
      </c>
      <c r="S112">
        <v>60951</v>
      </c>
      <c r="T112">
        <v>2884</v>
      </c>
      <c r="U112">
        <v>3477</v>
      </c>
      <c r="V112">
        <v>679397</v>
      </c>
      <c r="W112">
        <v>743036</v>
      </c>
      <c r="X112">
        <v>743825</v>
      </c>
      <c r="Y112">
        <v>749397</v>
      </c>
      <c r="Z112">
        <v>14366</v>
      </c>
      <c r="AA112">
        <v>8794</v>
      </c>
      <c r="AB112">
        <v>0</v>
      </c>
      <c r="AC112">
        <v>0</v>
      </c>
      <c r="AD112">
        <v>0</v>
      </c>
      <c r="AE112">
        <v>0</v>
      </c>
      <c r="AF112">
        <v>0</v>
      </c>
      <c r="AG112">
        <v>0</v>
      </c>
      <c r="AH112">
        <v>0</v>
      </c>
      <c r="AI112">
        <v>0</v>
      </c>
      <c r="AJ112">
        <v>0</v>
      </c>
      <c r="AK112">
        <v>0</v>
      </c>
      <c r="AL112">
        <v>-23933</v>
      </c>
      <c r="AM112">
        <v>9725</v>
      </c>
      <c r="AN112">
        <v>-3358</v>
      </c>
      <c r="AO112">
        <v>369</v>
      </c>
      <c r="AP112">
        <v>-34465</v>
      </c>
      <c r="AQ112">
        <v>-21149</v>
      </c>
      <c r="AR112">
        <v>-24371</v>
      </c>
      <c r="AS112">
        <v>-24138</v>
      </c>
      <c r="AT112">
        <v>438</v>
      </c>
      <c r="AU112">
        <v>205</v>
      </c>
      <c r="AV112">
        <v>100</v>
      </c>
      <c r="AW112">
        <v>8</v>
      </c>
      <c r="AX112">
        <v>0.4</v>
      </c>
      <c r="AY112">
        <v>0.5</v>
      </c>
      <c r="AZ112">
        <v>89.6</v>
      </c>
      <c r="BA112">
        <v>98</v>
      </c>
      <c r="BB112">
        <v>98.1</v>
      </c>
      <c r="BC112">
        <v>98.8</v>
      </c>
      <c r="BD112">
        <v>1.9</v>
      </c>
      <c r="BE112">
        <v>1.2</v>
      </c>
      <c r="BF112">
        <v>100</v>
      </c>
      <c r="BG112">
        <v>8</v>
      </c>
      <c r="BH112">
        <v>0.4</v>
      </c>
      <c r="BI112">
        <v>0.5</v>
      </c>
      <c r="BJ112">
        <v>89.6</v>
      </c>
      <c r="BK112">
        <v>98</v>
      </c>
      <c r="BL112">
        <v>98.1</v>
      </c>
      <c r="BM112">
        <v>98.8</v>
      </c>
      <c r="BN112">
        <v>1.9</v>
      </c>
      <c r="BO112">
        <v>1.2</v>
      </c>
      <c r="BP112">
        <v>0</v>
      </c>
      <c r="BQ112">
        <v>0</v>
      </c>
      <c r="BR112">
        <v>0</v>
      </c>
      <c r="BS112">
        <v>0</v>
      </c>
      <c r="BT112">
        <v>0</v>
      </c>
      <c r="BU112">
        <v>0</v>
      </c>
      <c r="BV112">
        <v>0</v>
      </c>
      <c r="BW112">
        <v>0</v>
      </c>
      <c r="BX112">
        <v>0</v>
      </c>
      <c r="BY112">
        <v>0</v>
      </c>
      <c r="BZ112">
        <v>64</v>
      </c>
      <c r="CA112">
        <v>6</v>
      </c>
      <c r="CB112">
        <v>2</v>
      </c>
      <c r="CC112">
        <v>2</v>
      </c>
      <c r="CD112">
        <v>47</v>
      </c>
      <c r="CE112">
        <v>39</v>
      </c>
      <c r="CF112">
        <v>53</v>
      </c>
      <c r="CG112">
        <v>43</v>
      </c>
      <c r="CH112">
        <v>64</v>
      </c>
      <c r="CI112">
        <v>6</v>
      </c>
      <c r="CJ112">
        <v>2</v>
      </c>
      <c r="CK112">
        <v>2</v>
      </c>
      <c r="CL112">
        <v>47</v>
      </c>
      <c r="CM112">
        <v>39</v>
      </c>
      <c r="CN112">
        <v>53</v>
      </c>
      <c r="CO112">
        <v>43</v>
      </c>
      <c r="CP112">
        <v>0</v>
      </c>
      <c r="CQ112">
        <v>0</v>
      </c>
      <c r="CR112">
        <v>0</v>
      </c>
      <c r="CS112">
        <v>0</v>
      </c>
      <c r="CT112">
        <v>0</v>
      </c>
      <c r="CU112">
        <v>0</v>
      </c>
      <c r="CV112">
        <v>0</v>
      </c>
      <c r="CW112">
        <v>0</v>
      </c>
      <c r="CX112">
        <v>37.700000000000003</v>
      </c>
      <c r="CY112">
        <v>44.5</v>
      </c>
      <c r="CZ112">
        <v>53.6</v>
      </c>
      <c r="DA112">
        <v>78.099999999999994</v>
      </c>
      <c r="DB112">
        <v>37.5</v>
      </c>
      <c r="DC112">
        <v>43.8</v>
      </c>
      <c r="DD112">
        <v>52.1</v>
      </c>
      <c r="DE112">
        <v>73.400000000000006</v>
      </c>
      <c r="DF112">
        <v>37.700000000000003</v>
      </c>
      <c r="DG112">
        <v>44.5</v>
      </c>
      <c r="DH112">
        <v>53.6</v>
      </c>
      <c r="DI112">
        <v>78.099999999999994</v>
      </c>
      <c r="DJ112">
        <v>37.5</v>
      </c>
      <c r="DK112">
        <v>43.8</v>
      </c>
      <c r="DL112">
        <v>52.1</v>
      </c>
      <c r="DM112">
        <v>73.400000000000006</v>
      </c>
      <c r="DN112">
        <v>0</v>
      </c>
      <c r="DO112">
        <v>0</v>
      </c>
      <c r="DP112">
        <v>0</v>
      </c>
      <c r="DQ112">
        <v>0</v>
      </c>
      <c r="DR112">
        <v>0</v>
      </c>
      <c r="DS112">
        <v>0</v>
      </c>
      <c r="DT112">
        <v>0</v>
      </c>
      <c r="DU112">
        <v>0</v>
      </c>
      <c r="DV112" t="s">
        <v>286</v>
      </c>
    </row>
    <row r="113" spans="1:126" x14ac:dyDescent="0.35">
      <c r="A113" t="s">
        <v>313</v>
      </c>
      <c r="B113">
        <v>230103</v>
      </c>
      <c r="C113" s="1">
        <v>44929</v>
      </c>
      <c r="D113" t="s">
        <v>314</v>
      </c>
      <c r="E113" t="s">
        <v>184</v>
      </c>
      <c r="F113" t="s">
        <v>185</v>
      </c>
      <c r="G113" t="s">
        <v>282</v>
      </c>
      <c r="H113">
        <v>782124</v>
      </c>
      <c r="I113" s="17">
        <v>51226</v>
      </c>
      <c r="J113" s="17">
        <v>6242</v>
      </c>
      <c r="K113">
        <v>3108</v>
      </c>
      <c r="L113">
        <v>713862</v>
      </c>
      <c r="M113">
        <v>764185</v>
      </c>
      <c r="N113">
        <v>768196</v>
      </c>
      <c r="O113">
        <v>773535</v>
      </c>
      <c r="P113">
        <v>13928</v>
      </c>
      <c r="Q113">
        <v>8589</v>
      </c>
      <c r="R113">
        <v>782124</v>
      </c>
      <c r="S113">
        <v>51226</v>
      </c>
      <c r="T113">
        <v>6242</v>
      </c>
      <c r="U113">
        <v>3108</v>
      </c>
      <c r="V113">
        <v>713862</v>
      </c>
      <c r="W113">
        <v>764185</v>
      </c>
      <c r="X113">
        <v>768196</v>
      </c>
      <c r="Y113">
        <v>773535</v>
      </c>
      <c r="Z113">
        <v>13928</v>
      </c>
      <c r="AA113">
        <v>8589</v>
      </c>
      <c r="AB113">
        <v>0</v>
      </c>
      <c r="AC113">
        <v>0</v>
      </c>
      <c r="AD113">
        <v>0</v>
      </c>
      <c r="AE113">
        <v>0</v>
      </c>
      <c r="AF113">
        <v>0</v>
      </c>
      <c r="AG113">
        <v>0</v>
      </c>
      <c r="AH113">
        <v>0</v>
      </c>
      <c r="AI113">
        <v>0</v>
      </c>
      <c r="AJ113">
        <v>0</v>
      </c>
      <c r="AK113">
        <v>0</v>
      </c>
      <c r="AL113">
        <v>6334</v>
      </c>
      <c r="AM113">
        <v>4924</v>
      </c>
      <c r="AN113">
        <v>292</v>
      </c>
      <c r="AO113">
        <v>-638</v>
      </c>
      <c r="AP113">
        <v>12</v>
      </c>
      <c r="AQ113">
        <v>6894</v>
      </c>
      <c r="AR113">
        <v>4298</v>
      </c>
      <c r="AS113">
        <v>6548</v>
      </c>
      <c r="AT113">
        <v>2036</v>
      </c>
      <c r="AU113">
        <v>-214</v>
      </c>
      <c r="AV113">
        <v>100</v>
      </c>
      <c r="AW113">
        <v>6.5</v>
      </c>
      <c r="AX113">
        <v>0.8</v>
      </c>
      <c r="AY113">
        <v>0.4</v>
      </c>
      <c r="AZ113">
        <v>91.3</v>
      </c>
      <c r="BA113">
        <v>97.7</v>
      </c>
      <c r="BB113">
        <v>98.2</v>
      </c>
      <c r="BC113">
        <v>98.9</v>
      </c>
      <c r="BD113">
        <v>1.8</v>
      </c>
      <c r="BE113">
        <v>1.1000000000000001</v>
      </c>
      <c r="BF113">
        <v>100</v>
      </c>
      <c r="BG113">
        <v>6.5</v>
      </c>
      <c r="BH113">
        <v>0.8</v>
      </c>
      <c r="BI113">
        <v>0.4</v>
      </c>
      <c r="BJ113">
        <v>91.3</v>
      </c>
      <c r="BK113">
        <v>97.7</v>
      </c>
      <c r="BL113">
        <v>98.2</v>
      </c>
      <c r="BM113">
        <v>98.9</v>
      </c>
      <c r="BN113">
        <v>1.8</v>
      </c>
      <c r="BO113">
        <v>1.1000000000000001</v>
      </c>
      <c r="BP113">
        <v>0</v>
      </c>
      <c r="BQ113">
        <v>0</v>
      </c>
      <c r="BR113">
        <v>0</v>
      </c>
      <c r="BS113">
        <v>0</v>
      </c>
      <c r="BT113">
        <v>0</v>
      </c>
      <c r="BU113">
        <v>0</v>
      </c>
      <c r="BV113">
        <v>0</v>
      </c>
      <c r="BW113">
        <v>0</v>
      </c>
      <c r="BX113">
        <v>0</v>
      </c>
      <c r="BY113">
        <v>0</v>
      </c>
      <c r="BZ113">
        <v>65</v>
      </c>
      <c r="CA113">
        <v>5</v>
      </c>
      <c r="CB113">
        <v>3</v>
      </c>
      <c r="CC113">
        <v>3</v>
      </c>
      <c r="CD113">
        <v>49</v>
      </c>
      <c r="CE113">
        <v>41</v>
      </c>
      <c r="CF113">
        <v>55</v>
      </c>
      <c r="CG113">
        <v>46</v>
      </c>
      <c r="CH113">
        <v>65</v>
      </c>
      <c r="CI113">
        <v>5</v>
      </c>
      <c r="CJ113">
        <v>3</v>
      </c>
      <c r="CK113">
        <v>3</v>
      </c>
      <c r="CL113">
        <v>49</v>
      </c>
      <c r="CM113">
        <v>41</v>
      </c>
      <c r="CN113">
        <v>55</v>
      </c>
      <c r="CO113">
        <v>46</v>
      </c>
      <c r="CP113">
        <v>0</v>
      </c>
      <c r="CQ113">
        <v>0</v>
      </c>
      <c r="CR113">
        <v>0</v>
      </c>
      <c r="CS113">
        <v>0</v>
      </c>
      <c r="CT113">
        <v>0</v>
      </c>
      <c r="CU113">
        <v>0</v>
      </c>
      <c r="CV113">
        <v>0</v>
      </c>
      <c r="CW113">
        <v>0</v>
      </c>
      <c r="CX113">
        <v>36.4</v>
      </c>
      <c r="CY113">
        <v>44.4</v>
      </c>
      <c r="CZ113">
        <v>52.6</v>
      </c>
      <c r="DA113">
        <v>76.400000000000006</v>
      </c>
      <c r="DB113">
        <v>36</v>
      </c>
      <c r="DC113">
        <v>43.7</v>
      </c>
      <c r="DD113">
        <v>51.1</v>
      </c>
      <c r="DE113">
        <v>72.599999999999994</v>
      </c>
      <c r="DF113">
        <v>36.4</v>
      </c>
      <c r="DG113">
        <v>44.4</v>
      </c>
      <c r="DH113">
        <v>52.6</v>
      </c>
      <c r="DI113">
        <v>76.400000000000006</v>
      </c>
      <c r="DJ113">
        <v>36</v>
      </c>
      <c r="DK113">
        <v>43.7</v>
      </c>
      <c r="DL113">
        <v>51.1</v>
      </c>
      <c r="DM113">
        <v>72.599999999999994</v>
      </c>
      <c r="DN113">
        <v>0</v>
      </c>
      <c r="DO113">
        <v>0</v>
      </c>
      <c r="DP113">
        <v>0</v>
      </c>
      <c r="DQ113">
        <v>0</v>
      </c>
      <c r="DR113">
        <v>0</v>
      </c>
      <c r="DS113">
        <v>0</v>
      </c>
      <c r="DT113">
        <v>0</v>
      </c>
      <c r="DU113">
        <v>0</v>
      </c>
      <c r="DV113" t="s">
        <v>286</v>
      </c>
    </row>
    <row r="114" spans="1:126" x14ac:dyDescent="0.35">
      <c r="A114" t="s">
        <v>315</v>
      </c>
      <c r="B114">
        <v>230110</v>
      </c>
      <c r="C114" s="1">
        <v>44936</v>
      </c>
      <c r="D114" t="s">
        <v>316</v>
      </c>
      <c r="E114" t="s">
        <v>184</v>
      </c>
      <c r="F114" t="s">
        <v>185</v>
      </c>
      <c r="G114" t="s">
        <v>282</v>
      </c>
      <c r="H114">
        <v>235175</v>
      </c>
      <c r="I114" s="17">
        <v>21410</v>
      </c>
      <c r="J114" s="17">
        <v>0</v>
      </c>
      <c r="K114">
        <v>182</v>
      </c>
      <c r="L114">
        <v>206409</v>
      </c>
      <c r="M114">
        <v>230557</v>
      </c>
      <c r="N114">
        <v>228001</v>
      </c>
      <c r="O114">
        <v>230739</v>
      </c>
      <c r="P114">
        <v>7174</v>
      </c>
      <c r="Q114">
        <v>4436</v>
      </c>
      <c r="R114">
        <v>235175</v>
      </c>
      <c r="S114">
        <v>21410</v>
      </c>
      <c r="T114">
        <v>0</v>
      </c>
      <c r="U114">
        <v>182</v>
      </c>
      <c r="V114">
        <v>206409</v>
      </c>
      <c r="W114">
        <v>230557</v>
      </c>
      <c r="X114">
        <v>228001</v>
      </c>
      <c r="Y114">
        <v>230739</v>
      </c>
      <c r="Z114">
        <v>7174</v>
      </c>
      <c r="AA114">
        <v>4436</v>
      </c>
      <c r="AB114">
        <v>0</v>
      </c>
      <c r="AC114">
        <v>0</v>
      </c>
      <c r="AD114">
        <v>0</v>
      </c>
      <c r="AE114">
        <v>0</v>
      </c>
      <c r="AF114">
        <v>0</v>
      </c>
      <c r="AG114">
        <v>0</v>
      </c>
      <c r="AH114">
        <v>0</v>
      </c>
      <c r="AI114">
        <v>0</v>
      </c>
      <c r="AJ114">
        <v>0</v>
      </c>
      <c r="AK114">
        <v>0</v>
      </c>
      <c r="AL114">
        <v>-10569</v>
      </c>
      <c r="AM114">
        <v>-9626</v>
      </c>
      <c r="AN114">
        <v>0</v>
      </c>
      <c r="AO114">
        <v>134</v>
      </c>
      <c r="AP114">
        <v>-2772</v>
      </c>
      <c r="AQ114">
        <v>-8084</v>
      </c>
      <c r="AR114">
        <v>-12264</v>
      </c>
      <c r="AS114">
        <v>-7950</v>
      </c>
      <c r="AT114">
        <v>1695</v>
      </c>
      <c r="AU114">
        <v>-2619</v>
      </c>
      <c r="AV114">
        <v>100</v>
      </c>
      <c r="AW114">
        <v>9.1</v>
      </c>
      <c r="AX114">
        <v>0</v>
      </c>
      <c r="AY114">
        <v>0.1</v>
      </c>
      <c r="AZ114">
        <v>87.8</v>
      </c>
      <c r="BA114">
        <v>98</v>
      </c>
      <c r="BB114">
        <v>96.9</v>
      </c>
      <c r="BC114">
        <v>98.1</v>
      </c>
      <c r="BD114">
        <v>3.1</v>
      </c>
      <c r="BE114">
        <v>1.9</v>
      </c>
      <c r="BF114">
        <v>100</v>
      </c>
      <c r="BG114">
        <v>9.1</v>
      </c>
      <c r="BH114">
        <v>0</v>
      </c>
      <c r="BI114">
        <v>0.1</v>
      </c>
      <c r="BJ114">
        <v>87.8</v>
      </c>
      <c r="BK114">
        <v>98</v>
      </c>
      <c r="BL114">
        <v>96.9</v>
      </c>
      <c r="BM114">
        <v>98.1</v>
      </c>
      <c r="BN114">
        <v>3.1</v>
      </c>
      <c r="BO114">
        <v>1.9</v>
      </c>
      <c r="BP114">
        <v>0</v>
      </c>
      <c r="BQ114">
        <v>0</v>
      </c>
      <c r="BR114">
        <v>0</v>
      </c>
      <c r="BS114">
        <v>0</v>
      </c>
      <c r="BT114">
        <v>0</v>
      </c>
      <c r="BU114">
        <v>0</v>
      </c>
      <c r="BV114">
        <v>0</v>
      </c>
      <c r="BW114">
        <v>0</v>
      </c>
      <c r="BX114">
        <v>0</v>
      </c>
      <c r="BY114">
        <v>0</v>
      </c>
      <c r="BZ114">
        <v>28</v>
      </c>
      <c r="CA114">
        <v>1</v>
      </c>
      <c r="CB114">
        <v>0</v>
      </c>
      <c r="CC114">
        <v>1</v>
      </c>
      <c r="CD114">
        <v>22</v>
      </c>
      <c r="CE114">
        <v>20</v>
      </c>
      <c r="CF114">
        <v>23</v>
      </c>
      <c r="CG114">
        <v>21</v>
      </c>
      <c r="CH114">
        <v>28</v>
      </c>
      <c r="CI114">
        <v>1</v>
      </c>
      <c r="CJ114">
        <v>0</v>
      </c>
      <c r="CK114">
        <v>1</v>
      </c>
      <c r="CL114">
        <v>22</v>
      </c>
      <c r="CM114">
        <v>20</v>
      </c>
      <c r="CN114">
        <v>23</v>
      </c>
      <c r="CO114">
        <v>21</v>
      </c>
      <c r="CP114">
        <v>0</v>
      </c>
      <c r="CQ114">
        <v>0</v>
      </c>
      <c r="CR114">
        <v>0</v>
      </c>
      <c r="CS114">
        <v>0</v>
      </c>
      <c r="CT114">
        <v>0</v>
      </c>
      <c r="CU114">
        <v>0</v>
      </c>
      <c r="CV114">
        <v>0</v>
      </c>
      <c r="CW114">
        <v>0</v>
      </c>
      <c r="CX114">
        <v>69.400000000000006</v>
      </c>
      <c r="CY114">
        <v>91.3</v>
      </c>
      <c r="CZ114">
        <v>84.7</v>
      </c>
      <c r="DA114">
        <v>95.7</v>
      </c>
      <c r="DB114">
        <v>67.400000000000006</v>
      </c>
      <c r="DC114">
        <v>87.9</v>
      </c>
      <c r="DD114">
        <v>81.7</v>
      </c>
      <c r="DE114">
        <v>91</v>
      </c>
      <c r="DF114">
        <v>69.400000000000006</v>
      </c>
      <c r="DG114">
        <v>91.3</v>
      </c>
      <c r="DH114">
        <v>84.7</v>
      </c>
      <c r="DI114">
        <v>95.7</v>
      </c>
      <c r="DJ114">
        <v>67.400000000000006</v>
      </c>
      <c r="DK114">
        <v>87.9</v>
      </c>
      <c r="DL114">
        <v>81.7</v>
      </c>
      <c r="DM114">
        <v>91</v>
      </c>
      <c r="DN114">
        <v>0</v>
      </c>
      <c r="DO114">
        <v>0</v>
      </c>
      <c r="DP114">
        <v>0</v>
      </c>
      <c r="DQ114">
        <v>0</v>
      </c>
      <c r="DR114">
        <v>0</v>
      </c>
      <c r="DS114">
        <v>0</v>
      </c>
      <c r="DT114">
        <v>0</v>
      </c>
      <c r="DU114">
        <v>0</v>
      </c>
      <c r="DV114" t="s">
        <v>286</v>
      </c>
    </row>
    <row r="115" spans="1:126" x14ac:dyDescent="0.35">
      <c r="A115" t="s">
        <v>315</v>
      </c>
      <c r="B115">
        <v>230103</v>
      </c>
      <c r="C115" s="1">
        <v>44929</v>
      </c>
      <c r="D115" t="s">
        <v>316</v>
      </c>
      <c r="E115" t="s">
        <v>184</v>
      </c>
      <c r="F115" t="s">
        <v>185</v>
      </c>
      <c r="G115" t="s">
        <v>282</v>
      </c>
      <c r="H115">
        <v>245744</v>
      </c>
      <c r="I115" s="17">
        <v>31036</v>
      </c>
      <c r="J115" s="17">
        <v>0</v>
      </c>
      <c r="K115">
        <v>48</v>
      </c>
      <c r="L115">
        <v>209181</v>
      </c>
      <c r="M115">
        <v>238641</v>
      </c>
      <c r="N115">
        <v>240265</v>
      </c>
      <c r="O115">
        <v>238689</v>
      </c>
      <c r="P115">
        <v>5479</v>
      </c>
      <c r="Q115">
        <v>7055</v>
      </c>
      <c r="R115">
        <v>245744</v>
      </c>
      <c r="S115">
        <v>31036</v>
      </c>
      <c r="T115">
        <v>0</v>
      </c>
      <c r="U115">
        <v>48</v>
      </c>
      <c r="V115">
        <v>209181</v>
      </c>
      <c r="W115">
        <v>238641</v>
      </c>
      <c r="X115">
        <v>240265</v>
      </c>
      <c r="Y115">
        <v>238689</v>
      </c>
      <c r="Z115">
        <v>5479</v>
      </c>
      <c r="AA115">
        <v>7055</v>
      </c>
      <c r="AB115">
        <v>0</v>
      </c>
      <c r="AC115">
        <v>0</v>
      </c>
      <c r="AD115">
        <v>0</v>
      </c>
      <c r="AE115">
        <v>0</v>
      </c>
      <c r="AF115">
        <v>0</v>
      </c>
      <c r="AG115">
        <v>0</v>
      </c>
      <c r="AH115">
        <v>0</v>
      </c>
      <c r="AI115">
        <v>0</v>
      </c>
      <c r="AJ115">
        <v>0</v>
      </c>
      <c r="AK115">
        <v>0</v>
      </c>
      <c r="AL115">
        <v>2305</v>
      </c>
      <c r="AM115">
        <v>-3347</v>
      </c>
      <c r="AN115">
        <v>0</v>
      </c>
      <c r="AO115">
        <v>0</v>
      </c>
      <c r="AP115">
        <v>5676</v>
      </c>
      <c r="AQ115">
        <v>2215</v>
      </c>
      <c r="AR115">
        <v>2329</v>
      </c>
      <c r="AS115">
        <v>2215</v>
      </c>
      <c r="AT115">
        <v>-24</v>
      </c>
      <c r="AU115">
        <v>90</v>
      </c>
      <c r="AV115">
        <v>100</v>
      </c>
      <c r="AW115">
        <v>12.6</v>
      </c>
      <c r="AX115">
        <v>0</v>
      </c>
      <c r="AY115">
        <v>0</v>
      </c>
      <c r="AZ115">
        <v>85.1</v>
      </c>
      <c r="BA115">
        <v>97.1</v>
      </c>
      <c r="BB115">
        <v>97.8</v>
      </c>
      <c r="BC115">
        <v>97.1</v>
      </c>
      <c r="BD115">
        <v>2.2000000000000002</v>
      </c>
      <c r="BE115">
        <v>2.9</v>
      </c>
      <c r="BF115">
        <v>100</v>
      </c>
      <c r="BG115">
        <v>12.6</v>
      </c>
      <c r="BH115">
        <v>0</v>
      </c>
      <c r="BI115">
        <v>0</v>
      </c>
      <c r="BJ115">
        <v>85.1</v>
      </c>
      <c r="BK115">
        <v>97.1</v>
      </c>
      <c r="BL115">
        <v>97.8</v>
      </c>
      <c r="BM115">
        <v>97.1</v>
      </c>
      <c r="BN115">
        <v>2.2000000000000002</v>
      </c>
      <c r="BO115">
        <v>2.9</v>
      </c>
      <c r="BP115">
        <v>0</v>
      </c>
      <c r="BQ115">
        <v>0</v>
      </c>
      <c r="BR115">
        <v>0</v>
      </c>
      <c r="BS115">
        <v>0</v>
      </c>
      <c r="BT115">
        <v>0</v>
      </c>
      <c r="BU115">
        <v>0</v>
      </c>
      <c r="BV115">
        <v>0</v>
      </c>
      <c r="BW115">
        <v>0</v>
      </c>
      <c r="BX115">
        <v>0</v>
      </c>
      <c r="BY115">
        <v>0</v>
      </c>
      <c r="BZ115">
        <v>29</v>
      </c>
      <c r="CA115">
        <v>3</v>
      </c>
      <c r="CB115">
        <v>0</v>
      </c>
      <c r="CC115">
        <v>2</v>
      </c>
      <c r="CD115">
        <v>22</v>
      </c>
      <c r="CE115">
        <v>17</v>
      </c>
      <c r="CF115">
        <v>25</v>
      </c>
      <c r="CG115">
        <v>19</v>
      </c>
      <c r="CH115">
        <v>29</v>
      </c>
      <c r="CI115">
        <v>3</v>
      </c>
      <c r="CJ115">
        <v>0</v>
      </c>
      <c r="CK115">
        <v>2</v>
      </c>
      <c r="CL115">
        <v>22</v>
      </c>
      <c r="CM115">
        <v>17</v>
      </c>
      <c r="CN115">
        <v>25</v>
      </c>
      <c r="CO115">
        <v>19</v>
      </c>
      <c r="CP115">
        <v>0</v>
      </c>
      <c r="CQ115">
        <v>0</v>
      </c>
      <c r="CR115">
        <v>0</v>
      </c>
      <c r="CS115">
        <v>0</v>
      </c>
      <c r="CT115">
        <v>0</v>
      </c>
      <c r="CU115">
        <v>0</v>
      </c>
      <c r="CV115">
        <v>0</v>
      </c>
      <c r="CW115">
        <v>0</v>
      </c>
      <c r="CX115">
        <v>69.7</v>
      </c>
      <c r="CY115">
        <v>90.5</v>
      </c>
      <c r="CZ115">
        <v>83.4</v>
      </c>
      <c r="DA115">
        <v>94.8</v>
      </c>
      <c r="DB115">
        <v>67.900000000000006</v>
      </c>
      <c r="DC115">
        <v>88.6</v>
      </c>
      <c r="DD115">
        <v>81.099999999999994</v>
      </c>
      <c r="DE115">
        <v>91.1</v>
      </c>
      <c r="DF115">
        <v>69.7</v>
      </c>
      <c r="DG115">
        <v>90.5</v>
      </c>
      <c r="DH115">
        <v>83.4</v>
      </c>
      <c r="DI115">
        <v>94.8</v>
      </c>
      <c r="DJ115">
        <v>67.900000000000006</v>
      </c>
      <c r="DK115">
        <v>88.6</v>
      </c>
      <c r="DL115">
        <v>81.099999999999994</v>
      </c>
      <c r="DM115">
        <v>91.1</v>
      </c>
      <c r="DN115">
        <v>0</v>
      </c>
      <c r="DO115">
        <v>0</v>
      </c>
      <c r="DP115">
        <v>0</v>
      </c>
      <c r="DQ115">
        <v>0</v>
      </c>
      <c r="DR115">
        <v>0</v>
      </c>
      <c r="DS115">
        <v>0</v>
      </c>
      <c r="DT115">
        <v>0</v>
      </c>
      <c r="DU115">
        <v>0</v>
      </c>
      <c r="DV115" t="s">
        <v>286</v>
      </c>
    </row>
    <row r="116" spans="1:126" x14ac:dyDescent="0.35">
      <c r="A116" t="s">
        <v>317</v>
      </c>
      <c r="B116">
        <v>230110</v>
      </c>
      <c r="C116" s="1">
        <v>44936</v>
      </c>
      <c r="D116" t="s">
        <v>318</v>
      </c>
      <c r="E116" t="s">
        <v>184</v>
      </c>
      <c r="F116" t="s">
        <v>185</v>
      </c>
      <c r="G116" t="s">
        <v>282</v>
      </c>
      <c r="H116">
        <v>106909</v>
      </c>
      <c r="I116" s="17">
        <v>364</v>
      </c>
      <c r="J116" s="17">
        <v>16786</v>
      </c>
      <c r="K116">
        <v>240</v>
      </c>
      <c r="L116">
        <v>104943</v>
      </c>
      <c r="M116">
        <v>85837</v>
      </c>
      <c r="N116">
        <v>105547</v>
      </c>
      <c r="O116">
        <v>102863</v>
      </c>
      <c r="P116">
        <v>1362</v>
      </c>
      <c r="Q116">
        <v>4046</v>
      </c>
      <c r="R116">
        <v>106909</v>
      </c>
      <c r="S116">
        <v>364</v>
      </c>
      <c r="T116">
        <v>16786</v>
      </c>
      <c r="U116">
        <v>240</v>
      </c>
      <c r="V116">
        <v>104943</v>
      </c>
      <c r="W116">
        <v>85837</v>
      </c>
      <c r="X116">
        <v>105547</v>
      </c>
      <c r="Y116">
        <v>102863</v>
      </c>
      <c r="Z116">
        <v>1362</v>
      </c>
      <c r="AA116">
        <v>4046</v>
      </c>
      <c r="AB116">
        <v>0</v>
      </c>
      <c r="AC116">
        <v>0</v>
      </c>
      <c r="AD116">
        <v>0</v>
      </c>
      <c r="AE116">
        <v>0</v>
      </c>
      <c r="AF116">
        <v>0</v>
      </c>
      <c r="AG116">
        <v>0</v>
      </c>
      <c r="AH116">
        <v>0</v>
      </c>
      <c r="AI116">
        <v>0</v>
      </c>
      <c r="AJ116">
        <v>0</v>
      </c>
      <c r="AK116">
        <v>0</v>
      </c>
      <c r="AL116">
        <v>-51118</v>
      </c>
      <c r="AM116">
        <v>-2368</v>
      </c>
      <c r="AN116">
        <v>-19190</v>
      </c>
      <c r="AO116">
        <v>-434</v>
      </c>
      <c r="AP116">
        <v>-48220</v>
      </c>
      <c r="AQ116">
        <v>-29711</v>
      </c>
      <c r="AR116">
        <v>-51022</v>
      </c>
      <c r="AS116">
        <v>-49335</v>
      </c>
      <c r="AT116">
        <v>-96</v>
      </c>
      <c r="AU116">
        <v>-1783</v>
      </c>
      <c r="AV116">
        <v>100</v>
      </c>
      <c r="AW116">
        <v>0.3</v>
      </c>
      <c r="AX116">
        <v>15.7</v>
      </c>
      <c r="AY116">
        <v>0.2</v>
      </c>
      <c r="AZ116">
        <v>98.2</v>
      </c>
      <c r="BA116">
        <v>80.3</v>
      </c>
      <c r="BB116">
        <v>98.7</v>
      </c>
      <c r="BC116">
        <v>96.2</v>
      </c>
      <c r="BD116">
        <v>1.3</v>
      </c>
      <c r="BE116">
        <v>3.8</v>
      </c>
      <c r="BF116">
        <v>100</v>
      </c>
      <c r="BG116">
        <v>0.3</v>
      </c>
      <c r="BH116">
        <v>15.7</v>
      </c>
      <c r="BI116">
        <v>0.2</v>
      </c>
      <c r="BJ116">
        <v>98.2</v>
      </c>
      <c r="BK116">
        <v>80.3</v>
      </c>
      <c r="BL116">
        <v>98.7</v>
      </c>
      <c r="BM116">
        <v>96.2</v>
      </c>
      <c r="BN116">
        <v>1.3</v>
      </c>
      <c r="BO116">
        <v>3.8</v>
      </c>
      <c r="BP116">
        <v>0</v>
      </c>
      <c r="BQ116">
        <v>0</v>
      </c>
      <c r="BR116">
        <v>0</v>
      </c>
      <c r="BS116">
        <v>0</v>
      </c>
      <c r="BT116">
        <v>0</v>
      </c>
      <c r="BU116">
        <v>0</v>
      </c>
      <c r="BV116">
        <v>0</v>
      </c>
      <c r="BW116">
        <v>0</v>
      </c>
      <c r="BX116">
        <v>0</v>
      </c>
      <c r="BY116">
        <v>0</v>
      </c>
      <c r="BZ116">
        <v>30</v>
      </c>
      <c r="CA116">
        <v>1</v>
      </c>
      <c r="CB116">
        <v>5</v>
      </c>
      <c r="CC116">
        <v>1</v>
      </c>
      <c r="CD116">
        <v>16</v>
      </c>
      <c r="CE116">
        <v>17</v>
      </c>
      <c r="CF116">
        <v>18</v>
      </c>
      <c r="CG116">
        <v>22</v>
      </c>
      <c r="CH116">
        <v>30</v>
      </c>
      <c r="CI116">
        <v>1</v>
      </c>
      <c r="CJ116">
        <v>5</v>
      </c>
      <c r="CK116">
        <v>1</v>
      </c>
      <c r="CL116">
        <v>16</v>
      </c>
      <c r="CM116">
        <v>17</v>
      </c>
      <c r="CN116">
        <v>18</v>
      </c>
      <c r="CO116">
        <v>22</v>
      </c>
      <c r="CP116">
        <v>0</v>
      </c>
      <c r="CQ116">
        <v>0</v>
      </c>
      <c r="CR116">
        <v>0</v>
      </c>
      <c r="CS116">
        <v>0</v>
      </c>
      <c r="CT116">
        <v>0</v>
      </c>
      <c r="CU116">
        <v>0</v>
      </c>
      <c r="CV116">
        <v>0</v>
      </c>
      <c r="CW116">
        <v>0</v>
      </c>
      <c r="CX116">
        <v>70.2</v>
      </c>
      <c r="CY116">
        <v>56.4</v>
      </c>
      <c r="CZ116">
        <v>89.6</v>
      </c>
      <c r="DA116">
        <v>76</v>
      </c>
      <c r="DB116">
        <v>69.7</v>
      </c>
      <c r="DC116">
        <v>56.2</v>
      </c>
      <c r="DD116">
        <v>87.8</v>
      </c>
      <c r="DE116">
        <v>75.099999999999994</v>
      </c>
      <c r="DF116">
        <v>70.2</v>
      </c>
      <c r="DG116">
        <v>56.4</v>
      </c>
      <c r="DH116">
        <v>89.6</v>
      </c>
      <c r="DI116">
        <v>76</v>
      </c>
      <c r="DJ116">
        <v>69.7</v>
      </c>
      <c r="DK116">
        <v>56.2</v>
      </c>
      <c r="DL116">
        <v>87.8</v>
      </c>
      <c r="DM116">
        <v>75.099999999999994</v>
      </c>
      <c r="DN116">
        <v>0</v>
      </c>
      <c r="DO116">
        <v>0</v>
      </c>
      <c r="DP116">
        <v>0</v>
      </c>
      <c r="DQ116">
        <v>0</v>
      </c>
      <c r="DR116">
        <v>0</v>
      </c>
      <c r="DS116">
        <v>0</v>
      </c>
      <c r="DT116">
        <v>0</v>
      </c>
      <c r="DU116">
        <v>0</v>
      </c>
      <c r="DV116" t="s">
        <v>286</v>
      </c>
    </row>
    <row r="117" spans="1:126" x14ac:dyDescent="0.35">
      <c r="A117" t="s">
        <v>317</v>
      </c>
      <c r="B117">
        <v>230103</v>
      </c>
      <c r="C117" s="1">
        <v>44929</v>
      </c>
      <c r="D117" t="s">
        <v>318</v>
      </c>
      <c r="E117" t="s">
        <v>184</v>
      </c>
      <c r="F117" t="s">
        <v>185</v>
      </c>
      <c r="G117" t="s">
        <v>282</v>
      </c>
      <c r="H117">
        <v>158027</v>
      </c>
      <c r="I117" s="17">
        <v>2732</v>
      </c>
      <c r="J117" s="17">
        <v>35976</v>
      </c>
      <c r="K117">
        <v>674</v>
      </c>
      <c r="L117">
        <v>153163</v>
      </c>
      <c r="M117">
        <v>115548</v>
      </c>
      <c r="N117">
        <v>156569</v>
      </c>
      <c r="O117">
        <v>152198</v>
      </c>
      <c r="P117">
        <v>1458</v>
      </c>
      <c r="Q117">
        <v>5829</v>
      </c>
      <c r="R117">
        <v>158027</v>
      </c>
      <c r="S117">
        <v>2732</v>
      </c>
      <c r="T117">
        <v>35976</v>
      </c>
      <c r="U117">
        <v>674</v>
      </c>
      <c r="V117">
        <v>153163</v>
      </c>
      <c r="W117">
        <v>115548</v>
      </c>
      <c r="X117">
        <v>156569</v>
      </c>
      <c r="Y117">
        <v>152198</v>
      </c>
      <c r="Z117">
        <v>1458</v>
      </c>
      <c r="AA117">
        <v>5829</v>
      </c>
      <c r="AB117">
        <v>0</v>
      </c>
      <c r="AC117">
        <v>0</v>
      </c>
      <c r="AD117">
        <v>0</v>
      </c>
      <c r="AE117">
        <v>0</v>
      </c>
      <c r="AF117">
        <v>0</v>
      </c>
      <c r="AG117">
        <v>0</v>
      </c>
      <c r="AH117">
        <v>0</v>
      </c>
      <c r="AI117">
        <v>0</v>
      </c>
      <c r="AJ117">
        <v>0</v>
      </c>
      <c r="AK117">
        <v>0</v>
      </c>
      <c r="AL117">
        <v>10130</v>
      </c>
      <c r="AM117">
        <v>-589</v>
      </c>
      <c r="AN117">
        <v>2511</v>
      </c>
      <c r="AO117">
        <v>434</v>
      </c>
      <c r="AP117">
        <v>10530</v>
      </c>
      <c r="AQ117">
        <v>7340</v>
      </c>
      <c r="AR117">
        <v>10375</v>
      </c>
      <c r="AS117">
        <v>10285</v>
      </c>
      <c r="AT117">
        <v>-245</v>
      </c>
      <c r="AU117">
        <v>-155</v>
      </c>
      <c r="AV117">
        <v>100</v>
      </c>
      <c r="AW117">
        <v>1.7</v>
      </c>
      <c r="AX117">
        <v>22.8</v>
      </c>
      <c r="AY117">
        <v>0.4</v>
      </c>
      <c r="AZ117">
        <v>96.9</v>
      </c>
      <c r="BA117">
        <v>73.099999999999994</v>
      </c>
      <c r="BB117">
        <v>99.1</v>
      </c>
      <c r="BC117">
        <v>96.3</v>
      </c>
      <c r="BD117">
        <v>0.9</v>
      </c>
      <c r="BE117">
        <v>3.7</v>
      </c>
      <c r="BF117">
        <v>100</v>
      </c>
      <c r="BG117">
        <v>1.7</v>
      </c>
      <c r="BH117">
        <v>22.8</v>
      </c>
      <c r="BI117">
        <v>0.4</v>
      </c>
      <c r="BJ117">
        <v>96.9</v>
      </c>
      <c r="BK117">
        <v>73.099999999999994</v>
      </c>
      <c r="BL117">
        <v>99.1</v>
      </c>
      <c r="BM117">
        <v>96.3</v>
      </c>
      <c r="BN117">
        <v>0.9</v>
      </c>
      <c r="BO117">
        <v>3.7</v>
      </c>
      <c r="BP117">
        <v>0</v>
      </c>
      <c r="BQ117">
        <v>0</v>
      </c>
      <c r="BR117">
        <v>0</v>
      </c>
      <c r="BS117">
        <v>0</v>
      </c>
      <c r="BT117">
        <v>0</v>
      </c>
      <c r="BU117">
        <v>0</v>
      </c>
      <c r="BV117">
        <v>0</v>
      </c>
      <c r="BW117">
        <v>0</v>
      </c>
      <c r="BX117">
        <v>0</v>
      </c>
      <c r="BY117">
        <v>0</v>
      </c>
      <c r="BZ117">
        <v>66</v>
      </c>
      <c r="CA117">
        <v>2</v>
      </c>
      <c r="CB117">
        <v>9</v>
      </c>
      <c r="CC117">
        <v>2</v>
      </c>
      <c r="CD117">
        <v>32</v>
      </c>
      <c r="CE117">
        <v>34</v>
      </c>
      <c r="CF117">
        <v>36</v>
      </c>
      <c r="CG117">
        <v>43</v>
      </c>
      <c r="CH117">
        <v>66</v>
      </c>
      <c r="CI117">
        <v>2</v>
      </c>
      <c r="CJ117">
        <v>9</v>
      </c>
      <c r="CK117">
        <v>2</v>
      </c>
      <c r="CL117">
        <v>32</v>
      </c>
      <c r="CM117">
        <v>34</v>
      </c>
      <c r="CN117">
        <v>36</v>
      </c>
      <c r="CO117">
        <v>43</v>
      </c>
      <c r="CP117">
        <v>0</v>
      </c>
      <c r="CQ117">
        <v>0</v>
      </c>
      <c r="CR117">
        <v>0</v>
      </c>
      <c r="CS117">
        <v>0</v>
      </c>
      <c r="CT117">
        <v>0</v>
      </c>
      <c r="CU117">
        <v>0</v>
      </c>
      <c r="CV117">
        <v>0</v>
      </c>
      <c r="CW117">
        <v>0</v>
      </c>
      <c r="CX117">
        <v>54.8</v>
      </c>
      <c r="CY117">
        <v>45.1</v>
      </c>
      <c r="CZ117">
        <v>75</v>
      </c>
      <c r="DA117">
        <v>65.900000000000006</v>
      </c>
      <c r="DB117">
        <v>54.4</v>
      </c>
      <c r="DC117">
        <v>44.3</v>
      </c>
      <c r="DD117">
        <v>74.400000000000006</v>
      </c>
      <c r="DE117">
        <v>63.2</v>
      </c>
      <c r="DF117">
        <v>54.8</v>
      </c>
      <c r="DG117">
        <v>45.1</v>
      </c>
      <c r="DH117">
        <v>75</v>
      </c>
      <c r="DI117">
        <v>65.900000000000006</v>
      </c>
      <c r="DJ117">
        <v>54.4</v>
      </c>
      <c r="DK117">
        <v>44.3</v>
      </c>
      <c r="DL117">
        <v>74.400000000000006</v>
      </c>
      <c r="DM117">
        <v>63.2</v>
      </c>
      <c r="DN117">
        <v>0</v>
      </c>
      <c r="DO117">
        <v>0</v>
      </c>
      <c r="DP117">
        <v>0</v>
      </c>
      <c r="DQ117">
        <v>0</v>
      </c>
      <c r="DR117">
        <v>0</v>
      </c>
      <c r="DS117">
        <v>0</v>
      </c>
      <c r="DT117">
        <v>0</v>
      </c>
      <c r="DU117">
        <v>0</v>
      </c>
      <c r="DV117" t="s">
        <v>286</v>
      </c>
    </row>
    <row r="118" spans="1:126" x14ac:dyDescent="0.35">
      <c r="A118" t="s">
        <v>319</v>
      </c>
      <c r="B118">
        <v>230110</v>
      </c>
      <c r="C118" s="1">
        <v>44936</v>
      </c>
      <c r="D118" t="s">
        <v>320</v>
      </c>
      <c r="E118" t="s">
        <v>184</v>
      </c>
      <c r="F118" t="s">
        <v>185</v>
      </c>
      <c r="G118" t="s">
        <v>282</v>
      </c>
      <c r="H118">
        <v>160641</v>
      </c>
      <c r="I118" s="17">
        <v>2732</v>
      </c>
      <c r="J118" s="17">
        <v>40116</v>
      </c>
      <c r="K118">
        <v>674</v>
      </c>
      <c r="L118">
        <v>154958</v>
      </c>
      <c r="M118">
        <v>116017</v>
      </c>
      <c r="N118">
        <v>158364</v>
      </c>
      <c r="O118">
        <v>156807</v>
      </c>
      <c r="P118">
        <v>2277</v>
      </c>
      <c r="Q118">
        <v>3834</v>
      </c>
      <c r="R118">
        <v>160641</v>
      </c>
      <c r="S118">
        <v>2732</v>
      </c>
      <c r="T118">
        <v>40116</v>
      </c>
      <c r="U118">
        <v>674</v>
      </c>
      <c r="V118">
        <v>154958</v>
      </c>
      <c r="W118">
        <v>116017</v>
      </c>
      <c r="X118">
        <v>158364</v>
      </c>
      <c r="Y118">
        <v>156807</v>
      </c>
      <c r="Z118">
        <v>2277</v>
      </c>
      <c r="AA118">
        <v>3834</v>
      </c>
      <c r="AB118">
        <v>0</v>
      </c>
      <c r="AC118">
        <v>0</v>
      </c>
      <c r="AD118">
        <v>0</v>
      </c>
      <c r="AE118">
        <v>0</v>
      </c>
      <c r="AF118">
        <v>0</v>
      </c>
      <c r="AG118">
        <v>0</v>
      </c>
      <c r="AH118">
        <v>0</v>
      </c>
      <c r="AI118">
        <v>0</v>
      </c>
      <c r="AJ118">
        <v>0</v>
      </c>
      <c r="AK118">
        <v>0</v>
      </c>
      <c r="AL118">
        <v>-53674</v>
      </c>
      <c r="AM118">
        <v>-12679</v>
      </c>
      <c r="AN118">
        <v>-14794</v>
      </c>
      <c r="AO118">
        <v>-2046</v>
      </c>
      <c r="AP118">
        <v>-38230</v>
      </c>
      <c r="AQ118">
        <v>-36946</v>
      </c>
      <c r="AR118">
        <v>-52955</v>
      </c>
      <c r="AS118">
        <v>-53786</v>
      </c>
      <c r="AT118">
        <v>-719</v>
      </c>
      <c r="AU118">
        <v>112</v>
      </c>
      <c r="AV118">
        <v>100</v>
      </c>
      <c r="AW118">
        <v>1.7</v>
      </c>
      <c r="AX118">
        <v>25</v>
      </c>
      <c r="AY118">
        <v>0.4</v>
      </c>
      <c r="AZ118">
        <v>96.5</v>
      </c>
      <c r="BA118">
        <v>72.2</v>
      </c>
      <c r="BB118">
        <v>98.6</v>
      </c>
      <c r="BC118">
        <v>97.6</v>
      </c>
      <c r="BD118">
        <v>1.4</v>
      </c>
      <c r="BE118">
        <v>2.4</v>
      </c>
      <c r="BF118">
        <v>100</v>
      </c>
      <c r="BG118">
        <v>1.7</v>
      </c>
      <c r="BH118">
        <v>25</v>
      </c>
      <c r="BI118">
        <v>0.4</v>
      </c>
      <c r="BJ118">
        <v>96.5</v>
      </c>
      <c r="BK118">
        <v>72.2</v>
      </c>
      <c r="BL118">
        <v>98.6</v>
      </c>
      <c r="BM118">
        <v>97.6</v>
      </c>
      <c r="BN118">
        <v>1.4</v>
      </c>
      <c r="BO118">
        <v>2.4</v>
      </c>
      <c r="BP118">
        <v>0</v>
      </c>
      <c r="BQ118">
        <v>0</v>
      </c>
      <c r="BR118">
        <v>0</v>
      </c>
      <c r="BS118">
        <v>0</v>
      </c>
      <c r="BT118">
        <v>0</v>
      </c>
      <c r="BU118">
        <v>0</v>
      </c>
      <c r="BV118">
        <v>0</v>
      </c>
      <c r="BW118">
        <v>0</v>
      </c>
      <c r="BX118">
        <v>0</v>
      </c>
      <c r="BY118">
        <v>0</v>
      </c>
      <c r="BZ118">
        <v>71</v>
      </c>
      <c r="CA118">
        <v>2</v>
      </c>
      <c r="CB118">
        <v>10</v>
      </c>
      <c r="CC118">
        <v>2</v>
      </c>
      <c r="CD118">
        <v>35</v>
      </c>
      <c r="CE118">
        <v>37</v>
      </c>
      <c r="CF118">
        <v>39</v>
      </c>
      <c r="CG118">
        <v>47</v>
      </c>
      <c r="CH118">
        <v>71</v>
      </c>
      <c r="CI118">
        <v>2</v>
      </c>
      <c r="CJ118">
        <v>10</v>
      </c>
      <c r="CK118">
        <v>2</v>
      </c>
      <c r="CL118">
        <v>35</v>
      </c>
      <c r="CM118">
        <v>37</v>
      </c>
      <c r="CN118">
        <v>39</v>
      </c>
      <c r="CO118">
        <v>47</v>
      </c>
      <c r="CP118">
        <v>0</v>
      </c>
      <c r="CQ118">
        <v>0</v>
      </c>
      <c r="CR118">
        <v>0</v>
      </c>
      <c r="CS118">
        <v>0</v>
      </c>
      <c r="CT118">
        <v>0</v>
      </c>
      <c r="CU118">
        <v>0</v>
      </c>
      <c r="CV118">
        <v>0</v>
      </c>
      <c r="CW118">
        <v>0</v>
      </c>
      <c r="CX118">
        <v>52.4</v>
      </c>
      <c r="CY118">
        <v>45.1</v>
      </c>
      <c r="CZ118">
        <v>71.7</v>
      </c>
      <c r="DA118">
        <v>63.2</v>
      </c>
      <c r="DB118">
        <v>52.3</v>
      </c>
      <c r="DC118">
        <v>43.7</v>
      </c>
      <c r="DD118">
        <v>67.2</v>
      </c>
      <c r="DE118">
        <v>61.3</v>
      </c>
      <c r="DF118">
        <v>52.4</v>
      </c>
      <c r="DG118">
        <v>45.1</v>
      </c>
      <c r="DH118">
        <v>71.7</v>
      </c>
      <c r="DI118">
        <v>63.2</v>
      </c>
      <c r="DJ118">
        <v>52.3</v>
      </c>
      <c r="DK118">
        <v>43.7</v>
      </c>
      <c r="DL118">
        <v>67.2</v>
      </c>
      <c r="DM118">
        <v>61.3</v>
      </c>
      <c r="DN118">
        <v>0</v>
      </c>
      <c r="DO118">
        <v>0</v>
      </c>
      <c r="DP118">
        <v>0</v>
      </c>
      <c r="DQ118">
        <v>0</v>
      </c>
      <c r="DR118">
        <v>0</v>
      </c>
      <c r="DS118">
        <v>0</v>
      </c>
      <c r="DT118">
        <v>0</v>
      </c>
      <c r="DU118">
        <v>0</v>
      </c>
      <c r="DV118" t="s">
        <v>286</v>
      </c>
    </row>
    <row r="119" spans="1:126" x14ac:dyDescent="0.35">
      <c r="A119" t="s">
        <v>319</v>
      </c>
      <c r="B119">
        <v>230103</v>
      </c>
      <c r="C119" s="1">
        <v>44929</v>
      </c>
      <c r="D119" t="s">
        <v>320</v>
      </c>
      <c r="E119" t="s">
        <v>184</v>
      </c>
      <c r="F119" t="s">
        <v>185</v>
      </c>
      <c r="G119" t="s">
        <v>282</v>
      </c>
      <c r="H119">
        <v>214315</v>
      </c>
      <c r="I119" s="17">
        <v>15411</v>
      </c>
      <c r="J119" s="17">
        <v>54910</v>
      </c>
      <c r="K119">
        <v>2720</v>
      </c>
      <c r="L119">
        <v>193188</v>
      </c>
      <c r="M119">
        <v>152963</v>
      </c>
      <c r="N119">
        <v>211319</v>
      </c>
      <c r="O119">
        <v>210593</v>
      </c>
      <c r="P119">
        <v>2996</v>
      </c>
      <c r="Q119">
        <v>3722</v>
      </c>
      <c r="R119">
        <v>214315</v>
      </c>
      <c r="S119">
        <v>15411</v>
      </c>
      <c r="T119">
        <v>54910</v>
      </c>
      <c r="U119">
        <v>2720</v>
      </c>
      <c r="V119">
        <v>193188</v>
      </c>
      <c r="W119">
        <v>152963</v>
      </c>
      <c r="X119">
        <v>211319</v>
      </c>
      <c r="Y119">
        <v>210593</v>
      </c>
      <c r="Z119">
        <v>2996</v>
      </c>
      <c r="AA119">
        <v>3722</v>
      </c>
      <c r="AB119">
        <v>0</v>
      </c>
      <c r="AC119">
        <v>0</v>
      </c>
      <c r="AD119">
        <v>0</v>
      </c>
      <c r="AE119">
        <v>0</v>
      </c>
      <c r="AF119">
        <v>0</v>
      </c>
      <c r="AG119">
        <v>0</v>
      </c>
      <c r="AH119">
        <v>0</v>
      </c>
      <c r="AI119">
        <v>0</v>
      </c>
      <c r="AJ119">
        <v>0</v>
      </c>
      <c r="AK119">
        <v>0</v>
      </c>
      <c r="AL119">
        <v>12574</v>
      </c>
      <c r="AM119">
        <v>-217</v>
      </c>
      <c r="AN119">
        <v>2945</v>
      </c>
      <c r="AO119">
        <v>62</v>
      </c>
      <c r="AP119">
        <v>13101</v>
      </c>
      <c r="AQ119">
        <v>9722</v>
      </c>
      <c r="AR119">
        <v>12946</v>
      </c>
      <c r="AS119">
        <v>12729</v>
      </c>
      <c r="AT119">
        <v>-372</v>
      </c>
      <c r="AU119">
        <v>-155</v>
      </c>
      <c r="AV119">
        <v>100</v>
      </c>
      <c r="AW119">
        <v>7.2</v>
      </c>
      <c r="AX119">
        <v>25.6</v>
      </c>
      <c r="AY119">
        <v>1.3</v>
      </c>
      <c r="AZ119">
        <v>90.1</v>
      </c>
      <c r="BA119">
        <v>71.400000000000006</v>
      </c>
      <c r="BB119">
        <v>98.6</v>
      </c>
      <c r="BC119">
        <v>98.3</v>
      </c>
      <c r="BD119">
        <v>1.4</v>
      </c>
      <c r="BE119">
        <v>1.7</v>
      </c>
      <c r="BF119">
        <v>100</v>
      </c>
      <c r="BG119">
        <v>7.2</v>
      </c>
      <c r="BH119">
        <v>25.6</v>
      </c>
      <c r="BI119">
        <v>1.3</v>
      </c>
      <c r="BJ119">
        <v>90.1</v>
      </c>
      <c r="BK119">
        <v>71.400000000000006</v>
      </c>
      <c r="BL119">
        <v>98.6</v>
      </c>
      <c r="BM119">
        <v>98.3</v>
      </c>
      <c r="BN119">
        <v>1.4</v>
      </c>
      <c r="BO119">
        <v>1.7</v>
      </c>
      <c r="BP119">
        <v>0</v>
      </c>
      <c r="BQ119">
        <v>0</v>
      </c>
      <c r="BR119">
        <v>0</v>
      </c>
      <c r="BS119">
        <v>0</v>
      </c>
      <c r="BT119">
        <v>0</v>
      </c>
      <c r="BU119">
        <v>0</v>
      </c>
      <c r="BV119">
        <v>0</v>
      </c>
      <c r="BW119">
        <v>0</v>
      </c>
      <c r="BX119">
        <v>0</v>
      </c>
      <c r="BY119">
        <v>0</v>
      </c>
      <c r="BZ119">
        <v>83</v>
      </c>
      <c r="CA119">
        <v>7</v>
      </c>
      <c r="CB119">
        <v>11</v>
      </c>
      <c r="CC119">
        <v>5</v>
      </c>
      <c r="CD119">
        <v>44</v>
      </c>
      <c r="CE119">
        <v>44</v>
      </c>
      <c r="CF119">
        <v>54</v>
      </c>
      <c r="CG119">
        <v>57</v>
      </c>
      <c r="CH119">
        <v>83</v>
      </c>
      <c r="CI119">
        <v>7</v>
      </c>
      <c r="CJ119">
        <v>11</v>
      </c>
      <c r="CK119">
        <v>5</v>
      </c>
      <c r="CL119">
        <v>44</v>
      </c>
      <c r="CM119">
        <v>44</v>
      </c>
      <c r="CN119">
        <v>54</v>
      </c>
      <c r="CO119">
        <v>57</v>
      </c>
      <c r="CP119">
        <v>0</v>
      </c>
      <c r="CQ119">
        <v>0</v>
      </c>
      <c r="CR119">
        <v>0</v>
      </c>
      <c r="CS119">
        <v>0</v>
      </c>
      <c r="CT119">
        <v>0</v>
      </c>
      <c r="CU119">
        <v>0</v>
      </c>
      <c r="CV119">
        <v>0</v>
      </c>
      <c r="CW119">
        <v>0</v>
      </c>
      <c r="CX119">
        <v>44</v>
      </c>
      <c r="CY119">
        <v>41.6</v>
      </c>
      <c r="CZ119">
        <v>60.4</v>
      </c>
      <c r="DA119">
        <v>59.8</v>
      </c>
      <c r="DB119">
        <v>43.9</v>
      </c>
      <c r="DC119">
        <v>40.200000000000003</v>
      </c>
      <c r="DD119">
        <v>59.9</v>
      </c>
      <c r="DE119">
        <v>56.7</v>
      </c>
      <c r="DF119">
        <v>44</v>
      </c>
      <c r="DG119">
        <v>41.6</v>
      </c>
      <c r="DH119">
        <v>60.4</v>
      </c>
      <c r="DI119">
        <v>59.8</v>
      </c>
      <c r="DJ119">
        <v>43.9</v>
      </c>
      <c r="DK119">
        <v>40.200000000000003</v>
      </c>
      <c r="DL119">
        <v>59.9</v>
      </c>
      <c r="DM119">
        <v>56.7</v>
      </c>
      <c r="DN119">
        <v>0</v>
      </c>
      <c r="DO119">
        <v>0</v>
      </c>
      <c r="DP119">
        <v>0</v>
      </c>
      <c r="DQ119">
        <v>0</v>
      </c>
      <c r="DR119">
        <v>0</v>
      </c>
      <c r="DS119">
        <v>0</v>
      </c>
      <c r="DT119">
        <v>0</v>
      </c>
      <c r="DU119">
        <v>0</v>
      </c>
      <c r="DV119" t="s">
        <v>286</v>
      </c>
    </row>
    <row r="120" spans="1:126" x14ac:dyDescent="0.35">
      <c r="A120" t="s">
        <v>321</v>
      </c>
      <c r="B120">
        <v>230110</v>
      </c>
      <c r="C120" s="1">
        <v>44936</v>
      </c>
      <c r="D120" t="s">
        <v>322</v>
      </c>
      <c r="E120" t="s">
        <v>184</v>
      </c>
      <c r="F120" t="s">
        <v>185</v>
      </c>
      <c r="G120" t="s">
        <v>282</v>
      </c>
      <c r="H120">
        <v>305387</v>
      </c>
      <c r="I120" s="17">
        <v>0</v>
      </c>
      <c r="J120" s="17">
        <v>19655</v>
      </c>
      <c r="K120">
        <v>1457</v>
      </c>
      <c r="L120">
        <v>303160</v>
      </c>
      <c r="M120">
        <v>282139</v>
      </c>
      <c r="N120">
        <v>304617</v>
      </c>
      <c r="O120">
        <v>303251</v>
      </c>
      <c r="P120">
        <v>770</v>
      </c>
      <c r="Q120">
        <v>2136</v>
      </c>
      <c r="R120">
        <v>305387</v>
      </c>
      <c r="S120">
        <v>0</v>
      </c>
      <c r="T120">
        <v>19655</v>
      </c>
      <c r="U120">
        <v>1457</v>
      </c>
      <c r="V120">
        <v>303160</v>
      </c>
      <c r="W120">
        <v>282139</v>
      </c>
      <c r="X120">
        <v>304617</v>
      </c>
      <c r="Y120">
        <v>303251</v>
      </c>
      <c r="Z120">
        <v>770</v>
      </c>
      <c r="AA120">
        <v>2136</v>
      </c>
      <c r="AB120">
        <v>0</v>
      </c>
      <c r="AC120">
        <v>0</v>
      </c>
      <c r="AD120">
        <v>0</v>
      </c>
      <c r="AE120">
        <v>0</v>
      </c>
      <c r="AF120">
        <v>0</v>
      </c>
      <c r="AG120">
        <v>0</v>
      </c>
      <c r="AH120">
        <v>0</v>
      </c>
      <c r="AI120">
        <v>0</v>
      </c>
      <c r="AJ120">
        <v>0</v>
      </c>
      <c r="AK120">
        <v>0</v>
      </c>
      <c r="AL120">
        <v>-38136</v>
      </c>
      <c r="AM120">
        <v>-310</v>
      </c>
      <c r="AN120">
        <v>1482</v>
      </c>
      <c r="AO120">
        <v>-90</v>
      </c>
      <c r="AP120">
        <v>-37149</v>
      </c>
      <c r="AQ120">
        <v>-40130</v>
      </c>
      <c r="AR120">
        <v>-37549</v>
      </c>
      <c r="AS120">
        <v>-38738</v>
      </c>
      <c r="AT120">
        <v>-587</v>
      </c>
      <c r="AU120">
        <v>602</v>
      </c>
      <c r="AV120">
        <v>100</v>
      </c>
      <c r="AW120">
        <v>0</v>
      </c>
      <c r="AX120">
        <v>6.4</v>
      </c>
      <c r="AY120">
        <v>0.5</v>
      </c>
      <c r="AZ120">
        <v>99.3</v>
      </c>
      <c r="BA120">
        <v>92.4</v>
      </c>
      <c r="BB120">
        <v>99.7</v>
      </c>
      <c r="BC120">
        <v>99.3</v>
      </c>
      <c r="BD120">
        <v>0.3</v>
      </c>
      <c r="BE120">
        <v>0.7</v>
      </c>
      <c r="BF120">
        <v>100</v>
      </c>
      <c r="BG120">
        <v>0</v>
      </c>
      <c r="BH120">
        <v>6.4</v>
      </c>
      <c r="BI120">
        <v>0.5</v>
      </c>
      <c r="BJ120">
        <v>99.3</v>
      </c>
      <c r="BK120">
        <v>92.4</v>
      </c>
      <c r="BL120">
        <v>99.7</v>
      </c>
      <c r="BM120">
        <v>99.3</v>
      </c>
      <c r="BN120">
        <v>0.3</v>
      </c>
      <c r="BO120">
        <v>0.7</v>
      </c>
      <c r="BP120">
        <v>0</v>
      </c>
      <c r="BQ120">
        <v>0</v>
      </c>
      <c r="BR120">
        <v>0</v>
      </c>
      <c r="BS120">
        <v>0</v>
      </c>
      <c r="BT120">
        <v>0</v>
      </c>
      <c r="BU120">
        <v>0</v>
      </c>
      <c r="BV120">
        <v>0</v>
      </c>
      <c r="BW120">
        <v>0</v>
      </c>
      <c r="BX120">
        <v>0</v>
      </c>
      <c r="BY120">
        <v>0</v>
      </c>
      <c r="BZ120">
        <v>44</v>
      </c>
      <c r="CA120">
        <v>0</v>
      </c>
      <c r="CB120">
        <v>5</v>
      </c>
      <c r="CC120">
        <v>2</v>
      </c>
      <c r="CD120">
        <v>26</v>
      </c>
      <c r="CE120">
        <v>27</v>
      </c>
      <c r="CF120">
        <v>28</v>
      </c>
      <c r="CG120">
        <v>32</v>
      </c>
      <c r="CH120">
        <v>44</v>
      </c>
      <c r="CI120">
        <v>0</v>
      </c>
      <c r="CJ120">
        <v>5</v>
      </c>
      <c r="CK120">
        <v>2</v>
      </c>
      <c r="CL120">
        <v>26</v>
      </c>
      <c r="CM120">
        <v>27</v>
      </c>
      <c r="CN120">
        <v>28</v>
      </c>
      <c r="CO120">
        <v>32</v>
      </c>
      <c r="CP120">
        <v>0</v>
      </c>
      <c r="CQ120">
        <v>0</v>
      </c>
      <c r="CR120">
        <v>0</v>
      </c>
      <c r="CS120">
        <v>0</v>
      </c>
      <c r="CT120">
        <v>0</v>
      </c>
      <c r="CU120">
        <v>0</v>
      </c>
      <c r="CV120">
        <v>0</v>
      </c>
      <c r="CW120">
        <v>0</v>
      </c>
      <c r="CX120">
        <v>56.6</v>
      </c>
      <c r="CY120">
        <v>51.8</v>
      </c>
      <c r="CZ120">
        <v>85</v>
      </c>
      <c r="DA120">
        <v>72.8</v>
      </c>
      <c r="DB120">
        <v>56.5</v>
      </c>
      <c r="DC120">
        <v>50.8</v>
      </c>
      <c r="DD120">
        <v>84.5</v>
      </c>
      <c r="DE120">
        <v>70.400000000000006</v>
      </c>
      <c r="DF120">
        <v>56.6</v>
      </c>
      <c r="DG120">
        <v>51.8</v>
      </c>
      <c r="DH120">
        <v>85</v>
      </c>
      <c r="DI120">
        <v>72.8</v>
      </c>
      <c r="DJ120">
        <v>56.5</v>
      </c>
      <c r="DK120">
        <v>50.8</v>
      </c>
      <c r="DL120">
        <v>84.5</v>
      </c>
      <c r="DM120">
        <v>70.400000000000006</v>
      </c>
      <c r="DN120">
        <v>0</v>
      </c>
      <c r="DO120">
        <v>0</v>
      </c>
      <c r="DP120">
        <v>0</v>
      </c>
      <c r="DQ120">
        <v>0</v>
      </c>
      <c r="DR120">
        <v>0</v>
      </c>
      <c r="DS120">
        <v>0</v>
      </c>
      <c r="DT120">
        <v>0</v>
      </c>
      <c r="DU120">
        <v>0</v>
      </c>
      <c r="DV120" t="s">
        <v>286</v>
      </c>
    </row>
    <row r="121" spans="1:126" x14ac:dyDescent="0.35">
      <c r="A121" t="s">
        <v>321</v>
      </c>
      <c r="B121">
        <v>230103</v>
      </c>
      <c r="C121" s="1">
        <v>44929</v>
      </c>
      <c r="D121" t="s">
        <v>322</v>
      </c>
      <c r="E121" t="s">
        <v>184</v>
      </c>
      <c r="F121" t="s">
        <v>185</v>
      </c>
      <c r="G121" t="s">
        <v>282</v>
      </c>
      <c r="H121">
        <v>343523</v>
      </c>
      <c r="I121" s="17">
        <v>310</v>
      </c>
      <c r="J121" s="17">
        <v>18173</v>
      </c>
      <c r="K121">
        <v>1547</v>
      </c>
      <c r="L121">
        <v>340309</v>
      </c>
      <c r="M121">
        <v>322269</v>
      </c>
      <c r="N121">
        <v>342166</v>
      </c>
      <c r="O121">
        <v>341989</v>
      </c>
      <c r="P121">
        <v>1357</v>
      </c>
      <c r="Q121">
        <v>1534</v>
      </c>
      <c r="R121">
        <v>343523</v>
      </c>
      <c r="S121">
        <v>310</v>
      </c>
      <c r="T121">
        <v>18173</v>
      </c>
      <c r="U121">
        <v>1547</v>
      </c>
      <c r="V121">
        <v>340309</v>
      </c>
      <c r="W121">
        <v>322269</v>
      </c>
      <c r="X121">
        <v>342166</v>
      </c>
      <c r="Y121">
        <v>341989</v>
      </c>
      <c r="Z121">
        <v>1357</v>
      </c>
      <c r="AA121">
        <v>1534</v>
      </c>
      <c r="AB121">
        <v>0</v>
      </c>
      <c r="AC121">
        <v>0</v>
      </c>
      <c r="AD121">
        <v>0</v>
      </c>
      <c r="AE121">
        <v>0</v>
      </c>
      <c r="AF121">
        <v>0</v>
      </c>
      <c r="AG121">
        <v>0</v>
      </c>
      <c r="AH121">
        <v>0</v>
      </c>
      <c r="AI121">
        <v>0</v>
      </c>
      <c r="AJ121">
        <v>0</v>
      </c>
      <c r="AK121">
        <v>0</v>
      </c>
      <c r="AL121">
        <v>12281</v>
      </c>
      <c r="AM121">
        <v>124</v>
      </c>
      <c r="AN121">
        <v>-456</v>
      </c>
      <c r="AO121">
        <v>-93</v>
      </c>
      <c r="AP121">
        <v>12281</v>
      </c>
      <c r="AQ121">
        <v>12644</v>
      </c>
      <c r="AR121">
        <v>12312</v>
      </c>
      <c r="AS121">
        <v>12095</v>
      </c>
      <c r="AT121">
        <v>-31</v>
      </c>
      <c r="AU121">
        <v>186</v>
      </c>
      <c r="AV121">
        <v>100</v>
      </c>
      <c r="AW121">
        <v>0.1</v>
      </c>
      <c r="AX121">
        <v>5.3</v>
      </c>
      <c r="AY121">
        <v>0.5</v>
      </c>
      <c r="AZ121">
        <v>99.1</v>
      </c>
      <c r="BA121">
        <v>93.8</v>
      </c>
      <c r="BB121">
        <v>99.6</v>
      </c>
      <c r="BC121">
        <v>99.6</v>
      </c>
      <c r="BD121">
        <v>0.4</v>
      </c>
      <c r="BE121">
        <v>0.4</v>
      </c>
      <c r="BF121">
        <v>100</v>
      </c>
      <c r="BG121">
        <v>0.1</v>
      </c>
      <c r="BH121">
        <v>5.3</v>
      </c>
      <c r="BI121">
        <v>0.5</v>
      </c>
      <c r="BJ121">
        <v>99.1</v>
      </c>
      <c r="BK121">
        <v>93.8</v>
      </c>
      <c r="BL121">
        <v>99.6</v>
      </c>
      <c r="BM121">
        <v>99.6</v>
      </c>
      <c r="BN121">
        <v>0.4</v>
      </c>
      <c r="BO121">
        <v>0.4</v>
      </c>
      <c r="BP121">
        <v>0</v>
      </c>
      <c r="BQ121">
        <v>0</v>
      </c>
      <c r="BR121">
        <v>0</v>
      </c>
      <c r="BS121">
        <v>0</v>
      </c>
      <c r="BT121">
        <v>0</v>
      </c>
      <c r="BU121">
        <v>0</v>
      </c>
      <c r="BV121">
        <v>0</v>
      </c>
      <c r="BW121">
        <v>0</v>
      </c>
      <c r="BX121">
        <v>0</v>
      </c>
      <c r="BY121">
        <v>0</v>
      </c>
      <c r="BZ121">
        <v>49</v>
      </c>
      <c r="CA121">
        <v>1</v>
      </c>
      <c r="CB121">
        <v>5</v>
      </c>
      <c r="CC121">
        <v>2</v>
      </c>
      <c r="CD121">
        <v>32</v>
      </c>
      <c r="CE121">
        <v>33</v>
      </c>
      <c r="CF121">
        <v>35</v>
      </c>
      <c r="CG121">
        <v>38</v>
      </c>
      <c r="CH121">
        <v>49</v>
      </c>
      <c r="CI121">
        <v>1</v>
      </c>
      <c r="CJ121">
        <v>5</v>
      </c>
      <c r="CK121">
        <v>2</v>
      </c>
      <c r="CL121">
        <v>32</v>
      </c>
      <c r="CM121">
        <v>33</v>
      </c>
      <c r="CN121">
        <v>35</v>
      </c>
      <c r="CO121">
        <v>38</v>
      </c>
      <c r="CP121">
        <v>0</v>
      </c>
      <c r="CQ121">
        <v>0</v>
      </c>
      <c r="CR121">
        <v>0</v>
      </c>
      <c r="CS121">
        <v>0</v>
      </c>
      <c r="CT121">
        <v>0</v>
      </c>
      <c r="CU121">
        <v>0</v>
      </c>
      <c r="CV121">
        <v>0</v>
      </c>
      <c r="CW121">
        <v>0</v>
      </c>
      <c r="CX121">
        <v>55.5</v>
      </c>
      <c r="CY121">
        <v>54</v>
      </c>
      <c r="CZ121">
        <v>84</v>
      </c>
      <c r="DA121">
        <v>73.8</v>
      </c>
      <c r="DB121">
        <v>55.2</v>
      </c>
      <c r="DC121">
        <v>53.6</v>
      </c>
      <c r="DD121">
        <v>82.9</v>
      </c>
      <c r="DE121">
        <v>70.8</v>
      </c>
      <c r="DF121">
        <v>55.5</v>
      </c>
      <c r="DG121">
        <v>54</v>
      </c>
      <c r="DH121">
        <v>84</v>
      </c>
      <c r="DI121">
        <v>73.8</v>
      </c>
      <c r="DJ121">
        <v>55.2</v>
      </c>
      <c r="DK121">
        <v>53.6</v>
      </c>
      <c r="DL121">
        <v>82.9</v>
      </c>
      <c r="DM121">
        <v>70.8</v>
      </c>
      <c r="DN121">
        <v>0</v>
      </c>
      <c r="DO121">
        <v>0</v>
      </c>
      <c r="DP121">
        <v>0</v>
      </c>
      <c r="DQ121">
        <v>0</v>
      </c>
      <c r="DR121">
        <v>0</v>
      </c>
      <c r="DS121">
        <v>0</v>
      </c>
      <c r="DT121">
        <v>0</v>
      </c>
      <c r="DU121">
        <v>0</v>
      </c>
      <c r="DV121" t="s">
        <v>286</v>
      </c>
    </row>
    <row r="122" spans="1:126" x14ac:dyDescent="0.35">
      <c r="A122" t="s">
        <v>323</v>
      </c>
      <c r="B122">
        <v>230110</v>
      </c>
      <c r="C122" s="1">
        <v>44936</v>
      </c>
      <c r="D122" t="s">
        <v>324</v>
      </c>
      <c r="E122" t="s">
        <v>184</v>
      </c>
      <c r="F122" t="s">
        <v>185</v>
      </c>
      <c r="G122" t="s">
        <v>282</v>
      </c>
      <c r="H122">
        <v>29691</v>
      </c>
      <c r="I122" s="17">
        <v>5819</v>
      </c>
      <c r="J122" s="17">
        <v>695</v>
      </c>
      <c r="K122">
        <v>734</v>
      </c>
      <c r="L122">
        <v>21667</v>
      </c>
      <c r="M122">
        <v>26823</v>
      </c>
      <c r="N122">
        <v>28220</v>
      </c>
      <c r="O122">
        <v>28252</v>
      </c>
      <c r="P122">
        <v>1471</v>
      </c>
      <c r="Q122">
        <v>1439</v>
      </c>
      <c r="R122">
        <v>29691</v>
      </c>
      <c r="S122">
        <v>5819</v>
      </c>
      <c r="T122">
        <v>695</v>
      </c>
      <c r="U122">
        <v>734</v>
      </c>
      <c r="V122">
        <v>21667</v>
      </c>
      <c r="W122">
        <v>26823</v>
      </c>
      <c r="X122">
        <v>28220</v>
      </c>
      <c r="Y122">
        <v>28252</v>
      </c>
      <c r="Z122">
        <v>1471</v>
      </c>
      <c r="AA122">
        <v>1439</v>
      </c>
      <c r="AB122">
        <v>0</v>
      </c>
      <c r="AC122">
        <v>0</v>
      </c>
      <c r="AD122">
        <v>0</v>
      </c>
      <c r="AE122">
        <v>0</v>
      </c>
      <c r="AF122">
        <v>0</v>
      </c>
      <c r="AG122">
        <v>0</v>
      </c>
      <c r="AH122">
        <v>0</v>
      </c>
      <c r="AI122">
        <v>0</v>
      </c>
      <c r="AJ122">
        <v>0</v>
      </c>
      <c r="AK122">
        <v>0</v>
      </c>
      <c r="AL122">
        <v>-9901</v>
      </c>
      <c r="AM122">
        <v>-2335</v>
      </c>
      <c r="AN122">
        <v>-328</v>
      </c>
      <c r="AO122">
        <v>641</v>
      </c>
      <c r="AP122">
        <v>-7649</v>
      </c>
      <c r="AQ122">
        <v>-10053</v>
      </c>
      <c r="AR122">
        <v>-9343</v>
      </c>
      <c r="AS122">
        <v>-9740</v>
      </c>
      <c r="AT122">
        <v>-558</v>
      </c>
      <c r="AU122">
        <v>-161</v>
      </c>
      <c r="AV122">
        <v>100</v>
      </c>
      <c r="AW122">
        <v>19.600000000000001</v>
      </c>
      <c r="AX122">
        <v>2.2999999999999998</v>
      </c>
      <c r="AY122">
        <v>2.5</v>
      </c>
      <c r="AZ122">
        <v>73</v>
      </c>
      <c r="BA122">
        <v>90.3</v>
      </c>
      <c r="BB122">
        <v>95</v>
      </c>
      <c r="BC122">
        <v>95.2</v>
      </c>
      <c r="BD122">
        <v>5</v>
      </c>
      <c r="BE122">
        <v>4.8</v>
      </c>
      <c r="BF122">
        <v>100</v>
      </c>
      <c r="BG122">
        <v>19.600000000000001</v>
      </c>
      <c r="BH122">
        <v>2.2999999999999998</v>
      </c>
      <c r="BI122">
        <v>2.5</v>
      </c>
      <c r="BJ122">
        <v>73</v>
      </c>
      <c r="BK122">
        <v>90.3</v>
      </c>
      <c r="BL122">
        <v>95</v>
      </c>
      <c r="BM122">
        <v>95.2</v>
      </c>
      <c r="BN122">
        <v>5</v>
      </c>
      <c r="BO122">
        <v>4.8</v>
      </c>
      <c r="BP122">
        <v>0</v>
      </c>
      <c r="BQ122">
        <v>0</v>
      </c>
      <c r="BR122">
        <v>0</v>
      </c>
      <c r="BS122">
        <v>0</v>
      </c>
      <c r="BT122">
        <v>0</v>
      </c>
      <c r="BU122">
        <v>0</v>
      </c>
      <c r="BV122">
        <v>0</v>
      </c>
      <c r="BW122">
        <v>0</v>
      </c>
      <c r="BX122">
        <v>0</v>
      </c>
      <c r="BY122">
        <v>0</v>
      </c>
      <c r="BZ122">
        <v>26</v>
      </c>
      <c r="CA122">
        <v>1</v>
      </c>
      <c r="CB122">
        <v>3</v>
      </c>
      <c r="CC122">
        <v>1</v>
      </c>
      <c r="CD122">
        <v>11</v>
      </c>
      <c r="CE122">
        <v>14</v>
      </c>
      <c r="CF122">
        <v>13</v>
      </c>
      <c r="CG122">
        <v>17</v>
      </c>
      <c r="CH122">
        <v>26</v>
      </c>
      <c r="CI122">
        <v>1</v>
      </c>
      <c r="CJ122">
        <v>3</v>
      </c>
      <c r="CK122">
        <v>1</v>
      </c>
      <c r="CL122">
        <v>11</v>
      </c>
      <c r="CM122">
        <v>14</v>
      </c>
      <c r="CN122">
        <v>13</v>
      </c>
      <c r="CO122">
        <v>17</v>
      </c>
      <c r="CP122">
        <v>0</v>
      </c>
      <c r="CQ122">
        <v>0</v>
      </c>
      <c r="CR122">
        <v>0</v>
      </c>
      <c r="CS122">
        <v>0</v>
      </c>
      <c r="CT122">
        <v>0</v>
      </c>
      <c r="CU122">
        <v>0</v>
      </c>
      <c r="CV122">
        <v>0</v>
      </c>
      <c r="CW122">
        <v>0</v>
      </c>
      <c r="CX122">
        <v>78.8</v>
      </c>
      <c r="CY122">
        <v>63.5</v>
      </c>
      <c r="CZ122">
        <v>90.9</v>
      </c>
      <c r="DA122">
        <v>82.5</v>
      </c>
      <c r="DB122">
        <v>78.599999999999994</v>
      </c>
      <c r="DC122">
        <v>62.8</v>
      </c>
      <c r="DD122">
        <v>89.7</v>
      </c>
      <c r="DE122">
        <v>81.400000000000006</v>
      </c>
      <c r="DF122">
        <v>78.8</v>
      </c>
      <c r="DG122">
        <v>63.5</v>
      </c>
      <c r="DH122">
        <v>90.9</v>
      </c>
      <c r="DI122">
        <v>82.5</v>
      </c>
      <c r="DJ122">
        <v>78.599999999999994</v>
      </c>
      <c r="DK122">
        <v>62.8</v>
      </c>
      <c r="DL122">
        <v>89.7</v>
      </c>
      <c r="DM122">
        <v>81.400000000000006</v>
      </c>
      <c r="DN122">
        <v>0</v>
      </c>
      <c r="DO122">
        <v>0</v>
      </c>
      <c r="DP122">
        <v>0</v>
      </c>
      <c r="DQ122">
        <v>0</v>
      </c>
      <c r="DR122">
        <v>0</v>
      </c>
      <c r="DS122">
        <v>0</v>
      </c>
      <c r="DT122">
        <v>0</v>
      </c>
      <c r="DU122">
        <v>0</v>
      </c>
      <c r="DV122" t="s">
        <v>325</v>
      </c>
    </row>
    <row r="123" spans="1:126" x14ac:dyDescent="0.35">
      <c r="A123" t="s">
        <v>323</v>
      </c>
      <c r="B123">
        <v>230103</v>
      </c>
      <c r="C123" s="1">
        <v>44929</v>
      </c>
      <c r="D123" t="s">
        <v>324</v>
      </c>
      <c r="E123" t="s">
        <v>184</v>
      </c>
      <c r="F123" t="s">
        <v>185</v>
      </c>
      <c r="G123" t="s">
        <v>282</v>
      </c>
      <c r="H123">
        <v>39592</v>
      </c>
      <c r="I123" s="17">
        <v>8154</v>
      </c>
      <c r="J123" s="17">
        <v>1023</v>
      </c>
      <c r="K123">
        <v>93</v>
      </c>
      <c r="L123">
        <v>29316</v>
      </c>
      <c r="M123">
        <v>36876</v>
      </c>
      <c r="N123">
        <v>37563</v>
      </c>
      <c r="O123">
        <v>37992</v>
      </c>
      <c r="P123">
        <v>2029</v>
      </c>
      <c r="Q123">
        <v>1600</v>
      </c>
      <c r="R123">
        <v>39592</v>
      </c>
      <c r="S123">
        <v>8154</v>
      </c>
      <c r="T123">
        <v>1023</v>
      </c>
      <c r="U123">
        <v>93</v>
      </c>
      <c r="V123">
        <v>29316</v>
      </c>
      <c r="W123">
        <v>36876</v>
      </c>
      <c r="X123">
        <v>37563</v>
      </c>
      <c r="Y123">
        <v>37992</v>
      </c>
      <c r="Z123">
        <v>2029</v>
      </c>
      <c r="AA123">
        <v>1600</v>
      </c>
      <c r="AB123">
        <v>0</v>
      </c>
      <c r="AC123">
        <v>0</v>
      </c>
      <c r="AD123">
        <v>0</v>
      </c>
      <c r="AE123">
        <v>0</v>
      </c>
      <c r="AF123">
        <v>0</v>
      </c>
      <c r="AG123">
        <v>0</v>
      </c>
      <c r="AH123">
        <v>0</v>
      </c>
      <c r="AI123">
        <v>0</v>
      </c>
      <c r="AJ123">
        <v>0</v>
      </c>
      <c r="AK123">
        <v>0</v>
      </c>
      <c r="AL123">
        <v>434</v>
      </c>
      <c r="AM123">
        <v>-13</v>
      </c>
      <c r="AN123">
        <v>279</v>
      </c>
      <c r="AO123">
        <v>0</v>
      </c>
      <c r="AP123">
        <v>465</v>
      </c>
      <c r="AQ123">
        <v>279</v>
      </c>
      <c r="AR123">
        <v>452</v>
      </c>
      <c r="AS123">
        <v>558</v>
      </c>
      <c r="AT123">
        <v>-18</v>
      </c>
      <c r="AU123">
        <v>-124</v>
      </c>
      <c r="AV123">
        <v>100</v>
      </c>
      <c r="AW123">
        <v>20.6</v>
      </c>
      <c r="AX123">
        <v>2.6</v>
      </c>
      <c r="AY123">
        <v>0.2</v>
      </c>
      <c r="AZ123">
        <v>74</v>
      </c>
      <c r="BA123">
        <v>93.1</v>
      </c>
      <c r="BB123">
        <v>94.9</v>
      </c>
      <c r="BC123">
        <v>96</v>
      </c>
      <c r="BD123">
        <v>5.0999999999999996</v>
      </c>
      <c r="BE123">
        <v>4</v>
      </c>
      <c r="BF123">
        <v>100</v>
      </c>
      <c r="BG123">
        <v>20.6</v>
      </c>
      <c r="BH123">
        <v>2.6</v>
      </c>
      <c r="BI123">
        <v>0.2</v>
      </c>
      <c r="BJ123">
        <v>74</v>
      </c>
      <c r="BK123">
        <v>93.1</v>
      </c>
      <c r="BL123">
        <v>94.9</v>
      </c>
      <c r="BM123">
        <v>96</v>
      </c>
      <c r="BN123">
        <v>5.0999999999999996</v>
      </c>
      <c r="BO123">
        <v>4</v>
      </c>
      <c r="BP123">
        <v>0</v>
      </c>
      <c r="BQ123">
        <v>0</v>
      </c>
      <c r="BR123">
        <v>0</v>
      </c>
      <c r="BS123">
        <v>0</v>
      </c>
      <c r="BT123">
        <v>0</v>
      </c>
      <c r="BU123">
        <v>0</v>
      </c>
      <c r="BV123">
        <v>0</v>
      </c>
      <c r="BW123">
        <v>0</v>
      </c>
      <c r="BX123">
        <v>0</v>
      </c>
      <c r="BY123">
        <v>0</v>
      </c>
      <c r="BZ123">
        <v>32</v>
      </c>
      <c r="CA123">
        <v>4</v>
      </c>
      <c r="CB123">
        <v>3</v>
      </c>
      <c r="CC123">
        <v>1</v>
      </c>
      <c r="CD123">
        <v>15</v>
      </c>
      <c r="CE123">
        <v>16</v>
      </c>
      <c r="CF123">
        <v>19</v>
      </c>
      <c r="CG123">
        <v>20</v>
      </c>
      <c r="CH123">
        <v>32</v>
      </c>
      <c r="CI123">
        <v>4</v>
      </c>
      <c r="CJ123">
        <v>3</v>
      </c>
      <c r="CK123">
        <v>1</v>
      </c>
      <c r="CL123">
        <v>15</v>
      </c>
      <c r="CM123">
        <v>16</v>
      </c>
      <c r="CN123">
        <v>19</v>
      </c>
      <c r="CO123">
        <v>20</v>
      </c>
      <c r="CP123">
        <v>0</v>
      </c>
      <c r="CQ123">
        <v>0</v>
      </c>
      <c r="CR123">
        <v>0</v>
      </c>
      <c r="CS123">
        <v>0</v>
      </c>
      <c r="CT123">
        <v>0</v>
      </c>
      <c r="CU123">
        <v>0</v>
      </c>
      <c r="CV123">
        <v>0</v>
      </c>
      <c r="CW123">
        <v>0</v>
      </c>
      <c r="CX123">
        <v>64.2</v>
      </c>
      <c r="CY123">
        <v>59.4</v>
      </c>
      <c r="CZ123">
        <v>81.099999999999994</v>
      </c>
      <c r="DA123">
        <v>82.1</v>
      </c>
      <c r="DB123">
        <v>64</v>
      </c>
      <c r="DC123">
        <v>59.4</v>
      </c>
      <c r="DD123">
        <v>80.7</v>
      </c>
      <c r="DE123">
        <v>79.099999999999994</v>
      </c>
      <c r="DF123">
        <v>64.2</v>
      </c>
      <c r="DG123">
        <v>59.4</v>
      </c>
      <c r="DH123">
        <v>81.099999999999994</v>
      </c>
      <c r="DI123">
        <v>82.1</v>
      </c>
      <c r="DJ123">
        <v>64</v>
      </c>
      <c r="DK123">
        <v>59.4</v>
      </c>
      <c r="DL123">
        <v>80.7</v>
      </c>
      <c r="DM123">
        <v>79.099999999999994</v>
      </c>
      <c r="DN123">
        <v>0</v>
      </c>
      <c r="DO123">
        <v>0</v>
      </c>
      <c r="DP123">
        <v>0</v>
      </c>
      <c r="DQ123">
        <v>0</v>
      </c>
      <c r="DR123">
        <v>0</v>
      </c>
      <c r="DS123">
        <v>0</v>
      </c>
      <c r="DT123">
        <v>0</v>
      </c>
      <c r="DU123">
        <v>0</v>
      </c>
      <c r="DV123" t="s">
        <v>325</v>
      </c>
    </row>
    <row r="124" spans="1:126" x14ac:dyDescent="0.35">
      <c r="A124" t="s">
        <v>326</v>
      </c>
      <c r="B124">
        <v>230110</v>
      </c>
      <c r="C124" s="1">
        <v>44936</v>
      </c>
      <c r="D124" t="s">
        <v>327</v>
      </c>
      <c r="E124" t="s">
        <v>184</v>
      </c>
      <c r="F124" t="s">
        <v>185</v>
      </c>
      <c r="G124" t="s">
        <v>282</v>
      </c>
      <c r="H124">
        <v>236145</v>
      </c>
      <c r="I124" s="17">
        <v>7821</v>
      </c>
      <c r="J124" s="17">
        <v>5563</v>
      </c>
      <c r="K124">
        <v>5565</v>
      </c>
      <c r="L124">
        <v>211026</v>
      </c>
      <c r="M124">
        <v>218835</v>
      </c>
      <c r="N124">
        <v>224412</v>
      </c>
      <c r="O124">
        <v>229963</v>
      </c>
      <c r="P124">
        <v>11733</v>
      </c>
      <c r="Q124">
        <v>6182</v>
      </c>
      <c r="R124">
        <v>236145</v>
      </c>
      <c r="S124">
        <v>7821</v>
      </c>
      <c r="T124">
        <v>5563</v>
      </c>
      <c r="U124">
        <v>5565</v>
      </c>
      <c r="V124">
        <v>211026</v>
      </c>
      <c r="W124">
        <v>218835</v>
      </c>
      <c r="X124">
        <v>224412</v>
      </c>
      <c r="Y124">
        <v>229963</v>
      </c>
      <c r="Z124">
        <v>11733</v>
      </c>
      <c r="AA124">
        <v>6182</v>
      </c>
      <c r="AB124">
        <v>0</v>
      </c>
      <c r="AC124">
        <v>0</v>
      </c>
      <c r="AD124">
        <v>0</v>
      </c>
      <c r="AE124">
        <v>0</v>
      </c>
      <c r="AF124">
        <v>0</v>
      </c>
      <c r="AG124">
        <v>0</v>
      </c>
      <c r="AH124">
        <v>0</v>
      </c>
      <c r="AI124">
        <v>0</v>
      </c>
      <c r="AJ124">
        <v>0</v>
      </c>
      <c r="AK124">
        <v>0</v>
      </c>
      <c r="AL124">
        <v>-11209</v>
      </c>
      <c r="AM124">
        <v>-2456</v>
      </c>
      <c r="AN124">
        <v>2053</v>
      </c>
      <c r="AO124">
        <v>1009</v>
      </c>
      <c r="AP124">
        <v>-11562</v>
      </c>
      <c r="AQ124">
        <v>-15678</v>
      </c>
      <c r="AR124">
        <v>-13009</v>
      </c>
      <c r="AS124">
        <v>-12616</v>
      </c>
      <c r="AT124">
        <v>1800</v>
      </c>
      <c r="AU124">
        <v>1407</v>
      </c>
      <c r="AV124">
        <v>100</v>
      </c>
      <c r="AW124">
        <v>3.3</v>
      </c>
      <c r="AX124">
        <v>2.4</v>
      </c>
      <c r="AY124">
        <v>2.4</v>
      </c>
      <c r="AZ124">
        <v>89.4</v>
      </c>
      <c r="BA124">
        <v>92.7</v>
      </c>
      <c r="BB124">
        <v>95</v>
      </c>
      <c r="BC124">
        <v>97.4</v>
      </c>
      <c r="BD124">
        <v>5</v>
      </c>
      <c r="BE124">
        <v>2.6</v>
      </c>
      <c r="BF124">
        <v>100</v>
      </c>
      <c r="BG124">
        <v>3.3</v>
      </c>
      <c r="BH124">
        <v>2.4</v>
      </c>
      <c r="BI124">
        <v>2.4</v>
      </c>
      <c r="BJ124">
        <v>89.4</v>
      </c>
      <c r="BK124">
        <v>92.7</v>
      </c>
      <c r="BL124">
        <v>95</v>
      </c>
      <c r="BM124">
        <v>97.4</v>
      </c>
      <c r="BN124">
        <v>5</v>
      </c>
      <c r="BO124">
        <v>2.6</v>
      </c>
      <c r="BP124">
        <v>0</v>
      </c>
      <c r="BQ124">
        <v>0</v>
      </c>
      <c r="BR124">
        <v>0</v>
      </c>
      <c r="BS124">
        <v>0</v>
      </c>
      <c r="BT124">
        <v>0</v>
      </c>
      <c r="BU124">
        <v>0</v>
      </c>
      <c r="BV124">
        <v>0</v>
      </c>
      <c r="BW124">
        <v>0</v>
      </c>
      <c r="BX124">
        <v>0</v>
      </c>
      <c r="BY124">
        <v>0</v>
      </c>
      <c r="BZ124">
        <v>44</v>
      </c>
      <c r="CA124">
        <v>3</v>
      </c>
      <c r="CB124">
        <v>2</v>
      </c>
      <c r="CC124">
        <v>3</v>
      </c>
      <c r="CD124">
        <v>32</v>
      </c>
      <c r="CE124">
        <v>33</v>
      </c>
      <c r="CF124">
        <v>37</v>
      </c>
      <c r="CG124">
        <v>36</v>
      </c>
      <c r="CH124">
        <v>44</v>
      </c>
      <c r="CI124">
        <v>3</v>
      </c>
      <c r="CJ124">
        <v>2</v>
      </c>
      <c r="CK124">
        <v>3</v>
      </c>
      <c r="CL124">
        <v>32</v>
      </c>
      <c r="CM124">
        <v>33</v>
      </c>
      <c r="CN124">
        <v>37</v>
      </c>
      <c r="CO124">
        <v>36</v>
      </c>
      <c r="CP124">
        <v>0</v>
      </c>
      <c r="CQ124">
        <v>0</v>
      </c>
      <c r="CR124">
        <v>0</v>
      </c>
      <c r="CS124">
        <v>0</v>
      </c>
      <c r="CT124">
        <v>0</v>
      </c>
      <c r="CU124">
        <v>0</v>
      </c>
      <c r="CV124">
        <v>0</v>
      </c>
      <c r="CW124">
        <v>0</v>
      </c>
      <c r="CX124">
        <v>49.6</v>
      </c>
      <c r="CY124">
        <v>45.9</v>
      </c>
      <c r="CZ124">
        <v>68.3</v>
      </c>
      <c r="DA124">
        <v>65.400000000000006</v>
      </c>
      <c r="DB124">
        <v>46.5</v>
      </c>
      <c r="DC124">
        <v>43.6</v>
      </c>
      <c r="DD124">
        <v>59.6</v>
      </c>
      <c r="DE124">
        <v>59.4</v>
      </c>
      <c r="DF124">
        <v>49.6</v>
      </c>
      <c r="DG124">
        <v>45.9</v>
      </c>
      <c r="DH124">
        <v>68.3</v>
      </c>
      <c r="DI124">
        <v>65.400000000000006</v>
      </c>
      <c r="DJ124">
        <v>46.5</v>
      </c>
      <c r="DK124">
        <v>43.6</v>
      </c>
      <c r="DL124">
        <v>59.6</v>
      </c>
      <c r="DM124">
        <v>59.4</v>
      </c>
      <c r="DN124">
        <v>0</v>
      </c>
      <c r="DO124">
        <v>0</v>
      </c>
      <c r="DP124">
        <v>0</v>
      </c>
      <c r="DQ124">
        <v>0</v>
      </c>
      <c r="DR124">
        <v>0</v>
      </c>
      <c r="DS124">
        <v>0</v>
      </c>
      <c r="DT124">
        <v>0</v>
      </c>
      <c r="DU124">
        <v>0</v>
      </c>
      <c r="DV124" t="s">
        <v>286</v>
      </c>
    </row>
    <row r="125" spans="1:126" x14ac:dyDescent="0.35">
      <c r="A125" t="s">
        <v>326</v>
      </c>
      <c r="B125">
        <v>230103</v>
      </c>
      <c r="C125" s="1">
        <v>44929</v>
      </c>
      <c r="D125" t="s">
        <v>327</v>
      </c>
      <c r="E125" t="s">
        <v>184</v>
      </c>
      <c r="F125" t="s">
        <v>185</v>
      </c>
      <c r="G125" t="s">
        <v>282</v>
      </c>
      <c r="H125">
        <v>247354</v>
      </c>
      <c r="I125" s="17">
        <v>10277</v>
      </c>
      <c r="J125" s="17">
        <v>3510</v>
      </c>
      <c r="K125">
        <v>4556</v>
      </c>
      <c r="L125">
        <v>222588</v>
      </c>
      <c r="M125">
        <v>234513</v>
      </c>
      <c r="N125">
        <v>237421</v>
      </c>
      <c r="O125">
        <v>242579</v>
      </c>
      <c r="P125">
        <v>9933</v>
      </c>
      <c r="Q125">
        <v>4775</v>
      </c>
      <c r="R125">
        <v>247354</v>
      </c>
      <c r="S125">
        <v>10277</v>
      </c>
      <c r="T125">
        <v>3510</v>
      </c>
      <c r="U125">
        <v>4556</v>
      </c>
      <c r="V125">
        <v>222588</v>
      </c>
      <c r="W125">
        <v>234513</v>
      </c>
      <c r="X125">
        <v>237421</v>
      </c>
      <c r="Y125">
        <v>242579</v>
      </c>
      <c r="Z125">
        <v>9933</v>
      </c>
      <c r="AA125">
        <v>4775</v>
      </c>
      <c r="AB125">
        <v>0</v>
      </c>
      <c r="AC125">
        <v>0</v>
      </c>
      <c r="AD125">
        <v>0</v>
      </c>
      <c r="AE125">
        <v>0</v>
      </c>
      <c r="AF125">
        <v>0</v>
      </c>
      <c r="AG125">
        <v>0</v>
      </c>
      <c r="AH125">
        <v>0</v>
      </c>
      <c r="AI125">
        <v>0</v>
      </c>
      <c r="AJ125">
        <v>0</v>
      </c>
      <c r="AK125">
        <v>0</v>
      </c>
      <c r="AL125">
        <v>1139</v>
      </c>
      <c r="AM125">
        <v>-56</v>
      </c>
      <c r="AN125">
        <v>260</v>
      </c>
      <c r="AO125">
        <v>-31</v>
      </c>
      <c r="AP125">
        <v>1166</v>
      </c>
      <c r="AQ125">
        <v>1056</v>
      </c>
      <c r="AR125">
        <v>1079</v>
      </c>
      <c r="AS125">
        <v>1285</v>
      </c>
      <c r="AT125">
        <v>60</v>
      </c>
      <c r="AU125">
        <v>-146</v>
      </c>
      <c r="AV125">
        <v>100</v>
      </c>
      <c r="AW125">
        <v>4.2</v>
      </c>
      <c r="AX125">
        <v>1.4</v>
      </c>
      <c r="AY125">
        <v>1.8</v>
      </c>
      <c r="AZ125">
        <v>90</v>
      </c>
      <c r="BA125">
        <v>94.8</v>
      </c>
      <c r="BB125">
        <v>96</v>
      </c>
      <c r="BC125">
        <v>98.1</v>
      </c>
      <c r="BD125">
        <v>4</v>
      </c>
      <c r="BE125">
        <v>1.9</v>
      </c>
      <c r="BF125">
        <v>100</v>
      </c>
      <c r="BG125">
        <v>4.2</v>
      </c>
      <c r="BH125">
        <v>1.4</v>
      </c>
      <c r="BI125">
        <v>1.8</v>
      </c>
      <c r="BJ125">
        <v>90</v>
      </c>
      <c r="BK125">
        <v>94.8</v>
      </c>
      <c r="BL125">
        <v>96</v>
      </c>
      <c r="BM125">
        <v>98.1</v>
      </c>
      <c r="BN125">
        <v>4</v>
      </c>
      <c r="BO125">
        <v>1.9</v>
      </c>
      <c r="BP125">
        <v>0</v>
      </c>
      <c r="BQ125">
        <v>0</v>
      </c>
      <c r="BR125">
        <v>0</v>
      </c>
      <c r="BS125">
        <v>0</v>
      </c>
      <c r="BT125">
        <v>0</v>
      </c>
      <c r="BU125">
        <v>0</v>
      </c>
      <c r="BV125">
        <v>0</v>
      </c>
      <c r="BW125">
        <v>0</v>
      </c>
      <c r="BX125">
        <v>0</v>
      </c>
      <c r="BY125">
        <v>0</v>
      </c>
      <c r="BZ125">
        <v>49</v>
      </c>
      <c r="CA125">
        <v>4</v>
      </c>
      <c r="CB125">
        <v>1</v>
      </c>
      <c r="CC125">
        <v>3</v>
      </c>
      <c r="CD125">
        <v>35</v>
      </c>
      <c r="CE125">
        <v>36</v>
      </c>
      <c r="CF125">
        <v>40</v>
      </c>
      <c r="CG125">
        <v>39</v>
      </c>
      <c r="CH125">
        <v>49</v>
      </c>
      <c r="CI125">
        <v>4</v>
      </c>
      <c r="CJ125">
        <v>1</v>
      </c>
      <c r="CK125">
        <v>3</v>
      </c>
      <c r="CL125">
        <v>35</v>
      </c>
      <c r="CM125">
        <v>36</v>
      </c>
      <c r="CN125">
        <v>40</v>
      </c>
      <c r="CO125">
        <v>39</v>
      </c>
      <c r="CP125">
        <v>0</v>
      </c>
      <c r="CQ125">
        <v>0</v>
      </c>
      <c r="CR125">
        <v>0</v>
      </c>
      <c r="CS125">
        <v>0</v>
      </c>
      <c r="CT125">
        <v>0</v>
      </c>
      <c r="CU125">
        <v>0</v>
      </c>
      <c r="CV125">
        <v>0</v>
      </c>
      <c r="CW125">
        <v>0</v>
      </c>
      <c r="CX125">
        <v>48.5</v>
      </c>
      <c r="CY125">
        <v>45.7</v>
      </c>
      <c r="CZ125">
        <v>67.099999999999994</v>
      </c>
      <c r="DA125">
        <v>64.599999999999994</v>
      </c>
      <c r="DB125">
        <v>45.1</v>
      </c>
      <c r="DC125">
        <v>43.4</v>
      </c>
      <c r="DD125">
        <v>59</v>
      </c>
      <c r="DE125">
        <v>58</v>
      </c>
      <c r="DF125">
        <v>48.5</v>
      </c>
      <c r="DG125">
        <v>45.7</v>
      </c>
      <c r="DH125">
        <v>67.099999999999994</v>
      </c>
      <c r="DI125">
        <v>64.599999999999994</v>
      </c>
      <c r="DJ125">
        <v>45.1</v>
      </c>
      <c r="DK125">
        <v>43.4</v>
      </c>
      <c r="DL125">
        <v>59</v>
      </c>
      <c r="DM125">
        <v>58</v>
      </c>
      <c r="DN125">
        <v>0</v>
      </c>
      <c r="DO125">
        <v>0</v>
      </c>
      <c r="DP125">
        <v>0</v>
      </c>
      <c r="DQ125">
        <v>0</v>
      </c>
      <c r="DR125">
        <v>0</v>
      </c>
      <c r="DS125">
        <v>0</v>
      </c>
      <c r="DT125">
        <v>0</v>
      </c>
      <c r="DU125">
        <v>0</v>
      </c>
      <c r="DV125" t="s">
        <v>286</v>
      </c>
    </row>
    <row r="126" spans="1:126" x14ac:dyDescent="0.35">
      <c r="A126" t="s">
        <v>328</v>
      </c>
      <c r="B126">
        <v>230110</v>
      </c>
      <c r="C126" s="1">
        <v>44936</v>
      </c>
      <c r="D126" t="s">
        <v>329</v>
      </c>
      <c r="E126" t="s">
        <v>184</v>
      </c>
      <c r="F126" t="s">
        <v>185</v>
      </c>
      <c r="G126" t="s">
        <v>282</v>
      </c>
      <c r="H126">
        <v>37464</v>
      </c>
      <c r="I126" s="17">
        <v>0</v>
      </c>
      <c r="J126" s="17">
        <v>372</v>
      </c>
      <c r="K126">
        <v>0</v>
      </c>
      <c r="L126">
        <v>36288</v>
      </c>
      <c r="M126">
        <v>36751</v>
      </c>
      <c r="N126">
        <v>36288</v>
      </c>
      <c r="O126">
        <v>37123</v>
      </c>
      <c r="P126">
        <v>1176</v>
      </c>
      <c r="Q126">
        <v>341</v>
      </c>
      <c r="R126">
        <v>37464</v>
      </c>
      <c r="S126">
        <v>0</v>
      </c>
      <c r="T126">
        <v>372</v>
      </c>
      <c r="U126">
        <v>0</v>
      </c>
      <c r="V126">
        <v>36288</v>
      </c>
      <c r="W126">
        <v>36751</v>
      </c>
      <c r="X126">
        <v>36288</v>
      </c>
      <c r="Y126">
        <v>37123</v>
      </c>
      <c r="Z126">
        <v>1176</v>
      </c>
      <c r="AA126">
        <v>341</v>
      </c>
      <c r="AB126">
        <v>0</v>
      </c>
      <c r="AC126">
        <v>0</v>
      </c>
      <c r="AD126">
        <v>0</v>
      </c>
      <c r="AE126">
        <v>0</v>
      </c>
      <c r="AF126">
        <v>0</v>
      </c>
      <c r="AG126">
        <v>0</v>
      </c>
      <c r="AH126">
        <v>0</v>
      </c>
      <c r="AI126">
        <v>0</v>
      </c>
      <c r="AJ126">
        <v>0</v>
      </c>
      <c r="AK126">
        <v>0</v>
      </c>
      <c r="AL126">
        <v>-13159</v>
      </c>
      <c r="AM126">
        <v>0</v>
      </c>
      <c r="AN126">
        <v>-961</v>
      </c>
      <c r="AO126">
        <v>0</v>
      </c>
      <c r="AP126">
        <v>-13560</v>
      </c>
      <c r="AQ126">
        <v>-11981</v>
      </c>
      <c r="AR126">
        <v>-13560</v>
      </c>
      <c r="AS126">
        <v>-12942</v>
      </c>
      <c r="AT126">
        <v>401</v>
      </c>
      <c r="AU126">
        <v>-217</v>
      </c>
      <c r="AV126">
        <v>100</v>
      </c>
      <c r="AW126">
        <v>0</v>
      </c>
      <c r="AX126">
        <v>1</v>
      </c>
      <c r="AY126">
        <v>0</v>
      </c>
      <c r="AZ126">
        <v>96.9</v>
      </c>
      <c r="BA126">
        <v>98.1</v>
      </c>
      <c r="BB126">
        <v>96.9</v>
      </c>
      <c r="BC126">
        <v>99.1</v>
      </c>
      <c r="BD126">
        <v>3.1</v>
      </c>
      <c r="BE126">
        <v>0.9</v>
      </c>
      <c r="BF126">
        <v>100</v>
      </c>
      <c r="BG126">
        <v>0</v>
      </c>
      <c r="BH126">
        <v>1</v>
      </c>
      <c r="BI126">
        <v>0</v>
      </c>
      <c r="BJ126">
        <v>96.9</v>
      </c>
      <c r="BK126">
        <v>98.1</v>
      </c>
      <c r="BL126">
        <v>96.9</v>
      </c>
      <c r="BM126">
        <v>99.1</v>
      </c>
      <c r="BN126">
        <v>3.1</v>
      </c>
      <c r="BO126">
        <v>0.9</v>
      </c>
      <c r="BP126">
        <v>0</v>
      </c>
      <c r="BQ126">
        <v>0</v>
      </c>
      <c r="BR126">
        <v>0</v>
      </c>
      <c r="BS126">
        <v>0</v>
      </c>
      <c r="BT126">
        <v>0</v>
      </c>
      <c r="BU126">
        <v>0</v>
      </c>
      <c r="BV126">
        <v>0</v>
      </c>
      <c r="BW126">
        <v>0</v>
      </c>
      <c r="BX126">
        <v>0</v>
      </c>
      <c r="BY126">
        <v>0</v>
      </c>
      <c r="BZ126">
        <v>26</v>
      </c>
      <c r="CA126">
        <v>0</v>
      </c>
      <c r="CB126">
        <v>1</v>
      </c>
      <c r="CC126">
        <v>0</v>
      </c>
      <c r="CD126">
        <v>12</v>
      </c>
      <c r="CE126">
        <v>19</v>
      </c>
      <c r="CF126">
        <v>12</v>
      </c>
      <c r="CG126">
        <v>20</v>
      </c>
      <c r="CH126">
        <v>26</v>
      </c>
      <c r="CI126">
        <v>0</v>
      </c>
      <c r="CJ126">
        <v>1</v>
      </c>
      <c r="CK126">
        <v>0</v>
      </c>
      <c r="CL126">
        <v>12</v>
      </c>
      <c r="CM126">
        <v>19</v>
      </c>
      <c r="CN126">
        <v>12</v>
      </c>
      <c r="CO126">
        <v>20</v>
      </c>
      <c r="CP126">
        <v>0</v>
      </c>
      <c r="CQ126">
        <v>0</v>
      </c>
      <c r="CR126">
        <v>0</v>
      </c>
      <c r="CS126">
        <v>0</v>
      </c>
      <c r="CT126">
        <v>0</v>
      </c>
      <c r="CU126">
        <v>0</v>
      </c>
      <c r="CV126">
        <v>0</v>
      </c>
      <c r="CW126">
        <v>0</v>
      </c>
      <c r="CX126">
        <v>91</v>
      </c>
      <c r="CY126">
        <v>65.5</v>
      </c>
      <c r="CZ126">
        <v>95.2</v>
      </c>
      <c r="DA126">
        <v>83.7</v>
      </c>
      <c r="DB126">
        <v>89.7</v>
      </c>
      <c r="DC126">
        <v>64.599999999999994</v>
      </c>
      <c r="DD126">
        <v>92.8</v>
      </c>
      <c r="DE126">
        <v>82</v>
      </c>
      <c r="DF126">
        <v>91</v>
      </c>
      <c r="DG126">
        <v>65.5</v>
      </c>
      <c r="DH126">
        <v>95.2</v>
      </c>
      <c r="DI126">
        <v>83.7</v>
      </c>
      <c r="DJ126">
        <v>89.7</v>
      </c>
      <c r="DK126">
        <v>64.599999999999994</v>
      </c>
      <c r="DL126">
        <v>92.8</v>
      </c>
      <c r="DM126">
        <v>82</v>
      </c>
      <c r="DN126">
        <v>0</v>
      </c>
      <c r="DO126">
        <v>0</v>
      </c>
      <c r="DP126">
        <v>0</v>
      </c>
      <c r="DQ126">
        <v>0</v>
      </c>
      <c r="DR126">
        <v>0</v>
      </c>
      <c r="DS126">
        <v>0</v>
      </c>
      <c r="DT126">
        <v>0</v>
      </c>
      <c r="DU126">
        <v>0</v>
      </c>
      <c r="DV126" t="s">
        <v>286</v>
      </c>
    </row>
    <row r="127" spans="1:126" x14ac:dyDescent="0.35">
      <c r="A127" t="s">
        <v>328</v>
      </c>
      <c r="B127">
        <v>230103</v>
      </c>
      <c r="C127" s="1">
        <v>44929</v>
      </c>
      <c r="D127" t="s">
        <v>329</v>
      </c>
      <c r="E127" t="s">
        <v>184</v>
      </c>
      <c r="F127" t="s">
        <v>185</v>
      </c>
      <c r="G127" t="s">
        <v>282</v>
      </c>
      <c r="H127">
        <v>50623</v>
      </c>
      <c r="I127" s="17">
        <v>0</v>
      </c>
      <c r="J127" s="17">
        <v>1333</v>
      </c>
      <c r="K127">
        <v>0</v>
      </c>
      <c r="L127">
        <v>49848</v>
      </c>
      <c r="M127">
        <v>48732</v>
      </c>
      <c r="N127">
        <v>49848</v>
      </c>
      <c r="O127">
        <v>50065</v>
      </c>
      <c r="P127">
        <v>775</v>
      </c>
      <c r="Q127">
        <v>558</v>
      </c>
      <c r="R127">
        <v>50623</v>
      </c>
      <c r="S127">
        <v>0</v>
      </c>
      <c r="T127">
        <v>1333</v>
      </c>
      <c r="U127">
        <v>0</v>
      </c>
      <c r="V127">
        <v>49848</v>
      </c>
      <c r="W127">
        <v>48732</v>
      </c>
      <c r="X127">
        <v>49848</v>
      </c>
      <c r="Y127">
        <v>50065</v>
      </c>
      <c r="Z127">
        <v>775</v>
      </c>
      <c r="AA127">
        <v>558</v>
      </c>
      <c r="AB127">
        <v>0</v>
      </c>
      <c r="AC127">
        <v>0</v>
      </c>
      <c r="AD127">
        <v>0</v>
      </c>
      <c r="AE127">
        <v>0</v>
      </c>
      <c r="AF127">
        <v>0</v>
      </c>
      <c r="AG127">
        <v>0</v>
      </c>
      <c r="AH127">
        <v>0</v>
      </c>
      <c r="AI127">
        <v>0</v>
      </c>
      <c r="AJ127">
        <v>0</v>
      </c>
      <c r="AK127">
        <v>0</v>
      </c>
      <c r="AL127">
        <v>0</v>
      </c>
      <c r="AM127">
        <v>0</v>
      </c>
      <c r="AN127">
        <v>0</v>
      </c>
      <c r="AO127">
        <v>0</v>
      </c>
      <c r="AP127">
        <v>0</v>
      </c>
      <c r="AQ127">
        <v>0</v>
      </c>
      <c r="AR127">
        <v>0</v>
      </c>
      <c r="AS127">
        <v>0</v>
      </c>
      <c r="AT127">
        <v>0</v>
      </c>
      <c r="AU127">
        <v>0</v>
      </c>
      <c r="AV127">
        <v>100</v>
      </c>
      <c r="AW127">
        <v>0</v>
      </c>
      <c r="AX127">
        <v>2.6</v>
      </c>
      <c r="AY127">
        <v>0</v>
      </c>
      <c r="AZ127">
        <v>98.5</v>
      </c>
      <c r="BA127">
        <v>96.3</v>
      </c>
      <c r="BB127">
        <v>98.5</v>
      </c>
      <c r="BC127">
        <v>98.9</v>
      </c>
      <c r="BD127">
        <v>1.5</v>
      </c>
      <c r="BE127">
        <v>1.1000000000000001</v>
      </c>
      <c r="BF127">
        <v>100</v>
      </c>
      <c r="BG127">
        <v>0</v>
      </c>
      <c r="BH127">
        <v>2.6</v>
      </c>
      <c r="BI127">
        <v>0</v>
      </c>
      <c r="BJ127">
        <v>98.5</v>
      </c>
      <c r="BK127">
        <v>96.3</v>
      </c>
      <c r="BL127">
        <v>98.5</v>
      </c>
      <c r="BM127">
        <v>98.9</v>
      </c>
      <c r="BN127">
        <v>1.5</v>
      </c>
      <c r="BO127">
        <v>1.1000000000000001</v>
      </c>
      <c r="BP127">
        <v>0</v>
      </c>
      <c r="BQ127">
        <v>0</v>
      </c>
      <c r="BR127">
        <v>0</v>
      </c>
      <c r="BS127">
        <v>0</v>
      </c>
      <c r="BT127">
        <v>0</v>
      </c>
      <c r="BU127">
        <v>0</v>
      </c>
      <c r="BV127">
        <v>0</v>
      </c>
      <c r="BW127">
        <v>0</v>
      </c>
      <c r="BX127">
        <v>0</v>
      </c>
      <c r="BY127">
        <v>0</v>
      </c>
      <c r="BZ127">
        <v>35</v>
      </c>
      <c r="CA127">
        <v>0</v>
      </c>
      <c r="CB127">
        <v>3</v>
      </c>
      <c r="CC127">
        <v>0</v>
      </c>
      <c r="CD127">
        <v>18</v>
      </c>
      <c r="CE127">
        <v>24</v>
      </c>
      <c r="CF127">
        <v>18</v>
      </c>
      <c r="CG127">
        <v>27</v>
      </c>
      <c r="CH127">
        <v>35</v>
      </c>
      <c r="CI127">
        <v>0</v>
      </c>
      <c r="CJ127">
        <v>3</v>
      </c>
      <c r="CK127">
        <v>0</v>
      </c>
      <c r="CL127">
        <v>18</v>
      </c>
      <c r="CM127">
        <v>24</v>
      </c>
      <c r="CN127">
        <v>18</v>
      </c>
      <c r="CO127">
        <v>27</v>
      </c>
      <c r="CP127">
        <v>0</v>
      </c>
      <c r="CQ127">
        <v>0</v>
      </c>
      <c r="CR127">
        <v>0</v>
      </c>
      <c r="CS127">
        <v>0</v>
      </c>
      <c r="CT127">
        <v>0</v>
      </c>
      <c r="CU127">
        <v>0</v>
      </c>
      <c r="CV127">
        <v>0</v>
      </c>
      <c r="CW127">
        <v>0</v>
      </c>
      <c r="CX127">
        <v>80.8</v>
      </c>
      <c r="CY127">
        <v>56.3</v>
      </c>
      <c r="CZ127">
        <v>90.8</v>
      </c>
      <c r="DA127">
        <v>74.099999999999994</v>
      </c>
      <c r="DB127">
        <v>74.400000000000006</v>
      </c>
      <c r="DC127">
        <v>55.4</v>
      </c>
      <c r="DD127">
        <v>82.1</v>
      </c>
      <c r="DE127">
        <v>71.2</v>
      </c>
      <c r="DF127">
        <v>80.8</v>
      </c>
      <c r="DG127">
        <v>56.3</v>
      </c>
      <c r="DH127">
        <v>90.8</v>
      </c>
      <c r="DI127">
        <v>74.099999999999994</v>
      </c>
      <c r="DJ127">
        <v>74.400000000000006</v>
      </c>
      <c r="DK127">
        <v>55.4</v>
      </c>
      <c r="DL127">
        <v>82.1</v>
      </c>
      <c r="DM127">
        <v>71.2</v>
      </c>
      <c r="DN127">
        <v>0</v>
      </c>
      <c r="DO127">
        <v>0</v>
      </c>
      <c r="DP127">
        <v>0</v>
      </c>
      <c r="DQ127">
        <v>0</v>
      </c>
      <c r="DR127">
        <v>0</v>
      </c>
      <c r="DS127">
        <v>0</v>
      </c>
      <c r="DT127">
        <v>0</v>
      </c>
      <c r="DU127">
        <v>0</v>
      </c>
      <c r="DV127" t="s">
        <v>286</v>
      </c>
    </row>
    <row r="128" spans="1:126" x14ac:dyDescent="0.35">
      <c r="A128" t="s">
        <v>330</v>
      </c>
      <c r="B128">
        <v>230110</v>
      </c>
      <c r="C128" s="1">
        <v>44936</v>
      </c>
      <c r="D128" t="s">
        <v>331</v>
      </c>
      <c r="E128" t="s">
        <v>184</v>
      </c>
      <c r="F128" t="s">
        <v>185</v>
      </c>
      <c r="G128" t="s">
        <v>282</v>
      </c>
      <c r="H128">
        <v>279006</v>
      </c>
      <c r="I128" s="17">
        <v>14584</v>
      </c>
      <c r="J128" s="17">
        <v>13141</v>
      </c>
      <c r="K128">
        <v>405</v>
      </c>
      <c r="L128">
        <v>260690</v>
      </c>
      <c r="M128">
        <v>256911</v>
      </c>
      <c r="N128">
        <v>275679</v>
      </c>
      <c r="O128">
        <v>270457</v>
      </c>
      <c r="P128">
        <v>3327</v>
      </c>
      <c r="Q128">
        <v>8549</v>
      </c>
      <c r="R128">
        <v>279006</v>
      </c>
      <c r="S128">
        <v>14584</v>
      </c>
      <c r="T128">
        <v>13141</v>
      </c>
      <c r="U128">
        <v>405</v>
      </c>
      <c r="V128">
        <v>260690</v>
      </c>
      <c r="W128">
        <v>256911</v>
      </c>
      <c r="X128">
        <v>275679</v>
      </c>
      <c r="Y128">
        <v>270457</v>
      </c>
      <c r="Z128">
        <v>3327</v>
      </c>
      <c r="AA128">
        <v>8549</v>
      </c>
      <c r="AB128">
        <v>0</v>
      </c>
      <c r="AC128">
        <v>0</v>
      </c>
      <c r="AD128">
        <v>0</v>
      </c>
      <c r="AE128">
        <v>0</v>
      </c>
      <c r="AF128">
        <v>0</v>
      </c>
      <c r="AG128">
        <v>0</v>
      </c>
      <c r="AH128">
        <v>0</v>
      </c>
      <c r="AI128">
        <v>0</v>
      </c>
      <c r="AJ128">
        <v>0</v>
      </c>
      <c r="AK128">
        <v>0</v>
      </c>
      <c r="AL128">
        <v>-8482</v>
      </c>
      <c r="AM128">
        <v>6432</v>
      </c>
      <c r="AN128">
        <v>-1565</v>
      </c>
      <c r="AO128">
        <v>-48</v>
      </c>
      <c r="AP128">
        <v>-15874</v>
      </c>
      <c r="AQ128">
        <v>-5983</v>
      </c>
      <c r="AR128">
        <v>-9490</v>
      </c>
      <c r="AS128">
        <v>-7596</v>
      </c>
      <c r="AT128">
        <v>1008</v>
      </c>
      <c r="AU128">
        <v>-886</v>
      </c>
      <c r="AV128">
        <v>100</v>
      </c>
      <c r="AW128">
        <v>5.2</v>
      </c>
      <c r="AX128">
        <v>4.7</v>
      </c>
      <c r="AY128">
        <v>0.1</v>
      </c>
      <c r="AZ128">
        <v>93.4</v>
      </c>
      <c r="BA128">
        <v>92.1</v>
      </c>
      <c r="BB128">
        <v>98.8</v>
      </c>
      <c r="BC128">
        <v>96.9</v>
      </c>
      <c r="BD128">
        <v>1.2</v>
      </c>
      <c r="BE128">
        <v>3.1</v>
      </c>
      <c r="BF128">
        <v>100</v>
      </c>
      <c r="BG128">
        <v>5.2</v>
      </c>
      <c r="BH128">
        <v>4.7</v>
      </c>
      <c r="BI128">
        <v>0.1</v>
      </c>
      <c r="BJ128">
        <v>93.4</v>
      </c>
      <c r="BK128">
        <v>92.1</v>
      </c>
      <c r="BL128">
        <v>98.8</v>
      </c>
      <c r="BM128">
        <v>96.9</v>
      </c>
      <c r="BN128">
        <v>1.2</v>
      </c>
      <c r="BO128">
        <v>3.1</v>
      </c>
      <c r="BP128">
        <v>0</v>
      </c>
      <c r="BQ128">
        <v>0</v>
      </c>
      <c r="BR128">
        <v>0</v>
      </c>
      <c r="BS128">
        <v>0</v>
      </c>
      <c r="BT128">
        <v>0</v>
      </c>
      <c r="BU128">
        <v>0</v>
      </c>
      <c r="BV128">
        <v>0</v>
      </c>
      <c r="BW128">
        <v>0</v>
      </c>
      <c r="BX128">
        <v>0</v>
      </c>
      <c r="BY128">
        <v>0</v>
      </c>
      <c r="BZ128">
        <v>44</v>
      </c>
      <c r="CA128">
        <v>2</v>
      </c>
      <c r="CB128">
        <v>2</v>
      </c>
      <c r="CC128">
        <v>3</v>
      </c>
      <c r="CD128">
        <v>30</v>
      </c>
      <c r="CE128">
        <v>28</v>
      </c>
      <c r="CF128">
        <v>34</v>
      </c>
      <c r="CG128">
        <v>31</v>
      </c>
      <c r="CH128">
        <v>44</v>
      </c>
      <c r="CI128">
        <v>2</v>
      </c>
      <c r="CJ128">
        <v>2</v>
      </c>
      <c r="CK128">
        <v>3</v>
      </c>
      <c r="CL128">
        <v>30</v>
      </c>
      <c r="CM128">
        <v>28</v>
      </c>
      <c r="CN128">
        <v>34</v>
      </c>
      <c r="CO128">
        <v>31</v>
      </c>
      <c r="CP128">
        <v>0</v>
      </c>
      <c r="CQ128">
        <v>0</v>
      </c>
      <c r="CR128">
        <v>0</v>
      </c>
      <c r="CS128">
        <v>0</v>
      </c>
      <c r="CT128">
        <v>0</v>
      </c>
      <c r="CU128">
        <v>0</v>
      </c>
      <c r="CV128">
        <v>0</v>
      </c>
      <c r="CW128">
        <v>0</v>
      </c>
      <c r="CX128">
        <v>60.3</v>
      </c>
      <c r="CY128">
        <v>48.3</v>
      </c>
      <c r="CZ128">
        <v>77.599999999999994</v>
      </c>
      <c r="DA128">
        <v>71.2</v>
      </c>
      <c r="DB128">
        <v>60.3</v>
      </c>
      <c r="DC128">
        <v>47.7</v>
      </c>
      <c r="DD128">
        <v>76.3</v>
      </c>
      <c r="DE128">
        <v>67.400000000000006</v>
      </c>
      <c r="DF128">
        <v>60.3</v>
      </c>
      <c r="DG128">
        <v>48.3</v>
      </c>
      <c r="DH128">
        <v>77.599999999999994</v>
      </c>
      <c r="DI128">
        <v>71.2</v>
      </c>
      <c r="DJ128">
        <v>60.3</v>
      </c>
      <c r="DK128">
        <v>47.7</v>
      </c>
      <c r="DL128">
        <v>76.3</v>
      </c>
      <c r="DM128">
        <v>67.400000000000006</v>
      </c>
      <c r="DN128">
        <v>0</v>
      </c>
      <c r="DO128">
        <v>0</v>
      </c>
      <c r="DP128">
        <v>0</v>
      </c>
      <c r="DQ128">
        <v>0</v>
      </c>
      <c r="DR128">
        <v>0</v>
      </c>
      <c r="DS128">
        <v>0</v>
      </c>
      <c r="DT128">
        <v>0</v>
      </c>
      <c r="DU128">
        <v>0</v>
      </c>
      <c r="DV128" t="s">
        <v>286</v>
      </c>
    </row>
    <row r="129" spans="1:126" x14ac:dyDescent="0.35">
      <c r="A129" t="s">
        <v>330</v>
      </c>
      <c r="B129">
        <v>230103</v>
      </c>
      <c r="C129" s="1">
        <v>44929</v>
      </c>
      <c r="D129" t="s">
        <v>331</v>
      </c>
      <c r="E129" t="s">
        <v>184</v>
      </c>
      <c r="F129" t="s">
        <v>185</v>
      </c>
      <c r="G129" t="s">
        <v>282</v>
      </c>
      <c r="H129">
        <v>287488</v>
      </c>
      <c r="I129" s="17">
        <v>8152</v>
      </c>
      <c r="J129" s="17">
        <v>14706</v>
      </c>
      <c r="K129">
        <v>453</v>
      </c>
      <c r="L129">
        <v>276564</v>
      </c>
      <c r="M129">
        <v>262894</v>
      </c>
      <c r="N129">
        <v>285169</v>
      </c>
      <c r="O129">
        <v>278053</v>
      </c>
      <c r="P129">
        <v>2319</v>
      </c>
      <c r="Q129">
        <v>9435</v>
      </c>
      <c r="R129">
        <v>287488</v>
      </c>
      <c r="S129">
        <v>8152</v>
      </c>
      <c r="T129">
        <v>14706</v>
      </c>
      <c r="U129">
        <v>453</v>
      </c>
      <c r="V129">
        <v>276564</v>
      </c>
      <c r="W129">
        <v>262894</v>
      </c>
      <c r="X129">
        <v>285169</v>
      </c>
      <c r="Y129">
        <v>278053</v>
      </c>
      <c r="Z129">
        <v>2319</v>
      </c>
      <c r="AA129">
        <v>9435</v>
      </c>
      <c r="AB129">
        <v>0</v>
      </c>
      <c r="AC129">
        <v>0</v>
      </c>
      <c r="AD129">
        <v>0</v>
      </c>
      <c r="AE129">
        <v>0</v>
      </c>
      <c r="AF129">
        <v>0</v>
      </c>
      <c r="AG129">
        <v>0</v>
      </c>
      <c r="AH129">
        <v>0</v>
      </c>
      <c r="AI129">
        <v>0</v>
      </c>
      <c r="AJ129">
        <v>0</v>
      </c>
      <c r="AK129">
        <v>0</v>
      </c>
      <c r="AL129">
        <v>10015</v>
      </c>
      <c r="AM129">
        <v>5996</v>
      </c>
      <c r="AN129">
        <v>-1276</v>
      </c>
      <c r="AO129">
        <v>53</v>
      </c>
      <c r="AP129">
        <v>3994</v>
      </c>
      <c r="AQ129">
        <v>14096</v>
      </c>
      <c r="AR129">
        <v>10043</v>
      </c>
      <c r="AS129">
        <v>12873</v>
      </c>
      <c r="AT129">
        <v>-28</v>
      </c>
      <c r="AU129">
        <v>-2858</v>
      </c>
      <c r="AV129">
        <v>100</v>
      </c>
      <c r="AW129">
        <v>2.8</v>
      </c>
      <c r="AX129">
        <v>5.0999999999999996</v>
      </c>
      <c r="AY129">
        <v>0.2</v>
      </c>
      <c r="AZ129">
        <v>96.2</v>
      </c>
      <c r="BA129">
        <v>91.4</v>
      </c>
      <c r="BB129">
        <v>99.2</v>
      </c>
      <c r="BC129">
        <v>96.7</v>
      </c>
      <c r="BD129">
        <v>0.8</v>
      </c>
      <c r="BE129">
        <v>3.3</v>
      </c>
      <c r="BF129">
        <v>100</v>
      </c>
      <c r="BG129">
        <v>2.8</v>
      </c>
      <c r="BH129">
        <v>5.0999999999999996</v>
      </c>
      <c r="BI129">
        <v>0.2</v>
      </c>
      <c r="BJ129">
        <v>96.2</v>
      </c>
      <c r="BK129">
        <v>91.4</v>
      </c>
      <c r="BL129">
        <v>99.2</v>
      </c>
      <c r="BM129">
        <v>96.7</v>
      </c>
      <c r="BN129">
        <v>0.8</v>
      </c>
      <c r="BO129">
        <v>3.3</v>
      </c>
      <c r="BP129">
        <v>0</v>
      </c>
      <c r="BQ129">
        <v>0</v>
      </c>
      <c r="BR129">
        <v>0</v>
      </c>
      <c r="BS129">
        <v>0</v>
      </c>
      <c r="BT129">
        <v>0</v>
      </c>
      <c r="BU129">
        <v>0</v>
      </c>
      <c r="BV129">
        <v>0</v>
      </c>
      <c r="BW129">
        <v>0</v>
      </c>
      <c r="BX129">
        <v>0</v>
      </c>
      <c r="BY129">
        <v>0</v>
      </c>
      <c r="BZ129">
        <v>45</v>
      </c>
      <c r="CA129">
        <v>2</v>
      </c>
      <c r="CB129">
        <v>1</v>
      </c>
      <c r="CC129">
        <v>1</v>
      </c>
      <c r="CD129">
        <v>33</v>
      </c>
      <c r="CE129">
        <v>28</v>
      </c>
      <c r="CF129">
        <v>35</v>
      </c>
      <c r="CG129">
        <v>30</v>
      </c>
      <c r="CH129">
        <v>45</v>
      </c>
      <c r="CI129">
        <v>2</v>
      </c>
      <c r="CJ129">
        <v>1</v>
      </c>
      <c r="CK129">
        <v>1</v>
      </c>
      <c r="CL129">
        <v>33</v>
      </c>
      <c r="CM129">
        <v>28</v>
      </c>
      <c r="CN129">
        <v>35</v>
      </c>
      <c r="CO129">
        <v>30</v>
      </c>
      <c r="CP129">
        <v>0</v>
      </c>
      <c r="CQ129">
        <v>0</v>
      </c>
      <c r="CR129">
        <v>0</v>
      </c>
      <c r="CS129">
        <v>0</v>
      </c>
      <c r="CT129">
        <v>0</v>
      </c>
      <c r="CU129">
        <v>0</v>
      </c>
      <c r="CV129">
        <v>0</v>
      </c>
      <c r="CW129">
        <v>0</v>
      </c>
      <c r="CX129">
        <v>63.8</v>
      </c>
      <c r="CY129">
        <v>41.6</v>
      </c>
      <c r="CZ129">
        <v>78.3</v>
      </c>
      <c r="DA129">
        <v>67.099999999999994</v>
      </c>
      <c r="DB129">
        <v>63.8</v>
      </c>
      <c r="DC129">
        <v>41.1</v>
      </c>
      <c r="DD129">
        <v>77.8</v>
      </c>
      <c r="DE129">
        <v>64.5</v>
      </c>
      <c r="DF129">
        <v>63.8</v>
      </c>
      <c r="DG129">
        <v>41.6</v>
      </c>
      <c r="DH129">
        <v>78.3</v>
      </c>
      <c r="DI129">
        <v>67.099999999999994</v>
      </c>
      <c r="DJ129">
        <v>63.8</v>
      </c>
      <c r="DK129">
        <v>41.1</v>
      </c>
      <c r="DL129">
        <v>77.8</v>
      </c>
      <c r="DM129">
        <v>64.5</v>
      </c>
      <c r="DN129">
        <v>0</v>
      </c>
      <c r="DO129">
        <v>0</v>
      </c>
      <c r="DP129">
        <v>0</v>
      </c>
      <c r="DQ129">
        <v>0</v>
      </c>
      <c r="DR129">
        <v>0</v>
      </c>
      <c r="DS129">
        <v>0</v>
      </c>
      <c r="DT129">
        <v>0</v>
      </c>
      <c r="DU129">
        <v>0</v>
      </c>
      <c r="DV129" t="s">
        <v>286</v>
      </c>
    </row>
    <row r="130" spans="1:126" x14ac:dyDescent="0.35">
      <c r="A130" t="s">
        <v>332</v>
      </c>
      <c r="B130">
        <v>230110</v>
      </c>
      <c r="C130" s="1">
        <v>44936</v>
      </c>
      <c r="D130" t="s">
        <v>333</v>
      </c>
      <c r="E130" t="s">
        <v>184</v>
      </c>
      <c r="F130" t="s">
        <v>185</v>
      </c>
      <c r="G130" t="s">
        <v>282</v>
      </c>
      <c r="H130">
        <v>125231</v>
      </c>
      <c r="I130" s="17">
        <v>0</v>
      </c>
      <c r="J130" s="17">
        <v>0</v>
      </c>
      <c r="K130">
        <v>0</v>
      </c>
      <c r="L130">
        <v>122287</v>
      </c>
      <c r="M130">
        <v>120267</v>
      </c>
      <c r="N130">
        <v>122287</v>
      </c>
      <c r="O130">
        <v>120267</v>
      </c>
      <c r="P130">
        <v>2944</v>
      </c>
      <c r="Q130">
        <v>4964</v>
      </c>
      <c r="R130">
        <v>125231</v>
      </c>
      <c r="S130">
        <v>0</v>
      </c>
      <c r="T130">
        <v>0</v>
      </c>
      <c r="U130">
        <v>0</v>
      </c>
      <c r="V130">
        <v>122287</v>
      </c>
      <c r="W130">
        <v>120267</v>
      </c>
      <c r="X130">
        <v>122287</v>
      </c>
      <c r="Y130">
        <v>120267</v>
      </c>
      <c r="Z130">
        <v>2944</v>
      </c>
      <c r="AA130">
        <v>4964</v>
      </c>
      <c r="AB130">
        <v>0</v>
      </c>
      <c r="AC130">
        <v>0</v>
      </c>
      <c r="AD130">
        <v>0</v>
      </c>
      <c r="AE130">
        <v>0</v>
      </c>
      <c r="AF130">
        <v>0</v>
      </c>
      <c r="AG130">
        <v>0</v>
      </c>
      <c r="AH130">
        <v>0</v>
      </c>
      <c r="AI130">
        <v>0</v>
      </c>
      <c r="AJ130">
        <v>0</v>
      </c>
      <c r="AK130">
        <v>0</v>
      </c>
      <c r="AL130">
        <v>-7642</v>
      </c>
      <c r="AM130">
        <v>0</v>
      </c>
      <c r="AN130">
        <v>0</v>
      </c>
      <c r="AO130">
        <v>0</v>
      </c>
      <c r="AP130">
        <v>-6889</v>
      </c>
      <c r="AQ130">
        <v>-7415</v>
      </c>
      <c r="AR130">
        <v>-6889</v>
      </c>
      <c r="AS130">
        <v>-7415</v>
      </c>
      <c r="AT130">
        <v>-753</v>
      </c>
      <c r="AU130">
        <v>-227</v>
      </c>
      <c r="AV130">
        <v>100</v>
      </c>
      <c r="AW130">
        <v>0</v>
      </c>
      <c r="AX130">
        <v>0</v>
      </c>
      <c r="AY130">
        <v>0</v>
      </c>
      <c r="AZ130">
        <v>97.6</v>
      </c>
      <c r="BA130">
        <v>96</v>
      </c>
      <c r="BB130">
        <v>97.6</v>
      </c>
      <c r="BC130">
        <v>96</v>
      </c>
      <c r="BD130">
        <v>2.4</v>
      </c>
      <c r="BE130">
        <v>4</v>
      </c>
      <c r="BF130">
        <v>100</v>
      </c>
      <c r="BG130">
        <v>0</v>
      </c>
      <c r="BH130">
        <v>0</v>
      </c>
      <c r="BI130">
        <v>0</v>
      </c>
      <c r="BJ130">
        <v>97.6</v>
      </c>
      <c r="BK130">
        <v>96</v>
      </c>
      <c r="BL130">
        <v>97.6</v>
      </c>
      <c r="BM130">
        <v>96</v>
      </c>
      <c r="BN130">
        <v>2.4</v>
      </c>
      <c r="BO130">
        <v>4</v>
      </c>
      <c r="BP130">
        <v>0</v>
      </c>
      <c r="BQ130">
        <v>0</v>
      </c>
      <c r="BR130">
        <v>0</v>
      </c>
      <c r="BS130">
        <v>0</v>
      </c>
      <c r="BT130">
        <v>0</v>
      </c>
      <c r="BU130">
        <v>0</v>
      </c>
      <c r="BV130">
        <v>0</v>
      </c>
      <c r="BW130">
        <v>0</v>
      </c>
      <c r="BX130">
        <v>0</v>
      </c>
      <c r="BY130">
        <v>0</v>
      </c>
      <c r="BZ130">
        <v>24</v>
      </c>
      <c r="CA130">
        <v>0</v>
      </c>
      <c r="CB130">
        <v>0</v>
      </c>
      <c r="CC130">
        <v>0</v>
      </c>
      <c r="CD130">
        <v>18</v>
      </c>
      <c r="CE130">
        <v>18</v>
      </c>
      <c r="CF130">
        <v>18</v>
      </c>
      <c r="CG130">
        <v>18</v>
      </c>
      <c r="CH130">
        <v>24</v>
      </c>
      <c r="CI130">
        <v>0</v>
      </c>
      <c r="CJ130">
        <v>0</v>
      </c>
      <c r="CK130">
        <v>0</v>
      </c>
      <c r="CL130">
        <v>18</v>
      </c>
      <c r="CM130">
        <v>18</v>
      </c>
      <c r="CN130">
        <v>18</v>
      </c>
      <c r="CO130">
        <v>18</v>
      </c>
      <c r="CP130">
        <v>0</v>
      </c>
      <c r="CQ130">
        <v>0</v>
      </c>
      <c r="CR130">
        <v>0</v>
      </c>
      <c r="CS130">
        <v>0</v>
      </c>
      <c r="CT130">
        <v>0</v>
      </c>
      <c r="CU130">
        <v>0</v>
      </c>
      <c r="CV130">
        <v>0</v>
      </c>
      <c r="CW130">
        <v>0</v>
      </c>
      <c r="CX130">
        <v>65.400000000000006</v>
      </c>
      <c r="CY130">
        <v>74.8</v>
      </c>
      <c r="CZ130">
        <v>85.7</v>
      </c>
      <c r="DA130">
        <v>89.1</v>
      </c>
      <c r="DB130">
        <v>61.3</v>
      </c>
      <c r="DC130">
        <v>74.8</v>
      </c>
      <c r="DD130">
        <v>79.2</v>
      </c>
      <c r="DE130">
        <v>86.3</v>
      </c>
      <c r="DF130">
        <v>65.400000000000006</v>
      </c>
      <c r="DG130">
        <v>74.8</v>
      </c>
      <c r="DH130">
        <v>85.7</v>
      </c>
      <c r="DI130">
        <v>89.1</v>
      </c>
      <c r="DJ130">
        <v>61.3</v>
      </c>
      <c r="DK130">
        <v>74.8</v>
      </c>
      <c r="DL130">
        <v>79.2</v>
      </c>
      <c r="DM130">
        <v>86.3</v>
      </c>
      <c r="DN130">
        <v>0</v>
      </c>
      <c r="DO130">
        <v>0</v>
      </c>
      <c r="DP130">
        <v>0</v>
      </c>
      <c r="DQ130">
        <v>0</v>
      </c>
      <c r="DR130">
        <v>0</v>
      </c>
      <c r="DS130">
        <v>0</v>
      </c>
      <c r="DT130">
        <v>0</v>
      </c>
      <c r="DU130">
        <v>0</v>
      </c>
      <c r="DV130" t="s">
        <v>286</v>
      </c>
    </row>
    <row r="131" spans="1:126" x14ac:dyDescent="0.35">
      <c r="A131" t="s">
        <v>332</v>
      </c>
      <c r="B131">
        <v>230103</v>
      </c>
      <c r="C131" s="1">
        <v>44929</v>
      </c>
      <c r="D131" t="s">
        <v>333</v>
      </c>
      <c r="E131" t="s">
        <v>184</v>
      </c>
      <c r="F131" t="s">
        <v>185</v>
      </c>
      <c r="G131" t="s">
        <v>282</v>
      </c>
      <c r="H131">
        <v>132873</v>
      </c>
      <c r="I131" s="17">
        <v>0</v>
      </c>
      <c r="J131" s="17">
        <v>0</v>
      </c>
      <c r="K131">
        <v>0</v>
      </c>
      <c r="L131">
        <v>129176</v>
      </c>
      <c r="M131">
        <v>127682</v>
      </c>
      <c r="N131">
        <v>129176</v>
      </c>
      <c r="O131">
        <v>127682</v>
      </c>
      <c r="P131">
        <v>3697</v>
      </c>
      <c r="Q131">
        <v>5191</v>
      </c>
      <c r="R131">
        <v>132873</v>
      </c>
      <c r="S131">
        <v>0</v>
      </c>
      <c r="T131">
        <v>0</v>
      </c>
      <c r="U131">
        <v>0</v>
      </c>
      <c r="V131">
        <v>129176</v>
      </c>
      <c r="W131">
        <v>127682</v>
      </c>
      <c r="X131">
        <v>129176</v>
      </c>
      <c r="Y131">
        <v>127682</v>
      </c>
      <c r="Z131">
        <v>3697</v>
      </c>
      <c r="AA131">
        <v>5191</v>
      </c>
      <c r="AB131">
        <v>0</v>
      </c>
      <c r="AC131">
        <v>0</v>
      </c>
      <c r="AD131">
        <v>0</v>
      </c>
      <c r="AE131">
        <v>0</v>
      </c>
      <c r="AF131">
        <v>0</v>
      </c>
      <c r="AG131">
        <v>0</v>
      </c>
      <c r="AH131">
        <v>0</v>
      </c>
      <c r="AI131">
        <v>0</v>
      </c>
      <c r="AJ131">
        <v>0</v>
      </c>
      <c r="AK131">
        <v>0</v>
      </c>
      <c r="AL131">
        <v>61</v>
      </c>
      <c r="AM131">
        <v>0</v>
      </c>
      <c r="AN131">
        <v>0</v>
      </c>
      <c r="AO131">
        <v>0</v>
      </c>
      <c r="AP131">
        <v>394</v>
      </c>
      <c r="AQ131">
        <v>-56</v>
      </c>
      <c r="AR131">
        <v>394</v>
      </c>
      <c r="AS131">
        <v>-56</v>
      </c>
      <c r="AT131">
        <v>-333</v>
      </c>
      <c r="AU131">
        <v>117</v>
      </c>
      <c r="AV131">
        <v>100</v>
      </c>
      <c r="AW131">
        <v>0</v>
      </c>
      <c r="AX131">
        <v>0</v>
      </c>
      <c r="AY131">
        <v>0</v>
      </c>
      <c r="AZ131">
        <v>97.2</v>
      </c>
      <c r="BA131">
        <v>96.1</v>
      </c>
      <c r="BB131">
        <v>97.2</v>
      </c>
      <c r="BC131">
        <v>96.1</v>
      </c>
      <c r="BD131">
        <v>2.8</v>
      </c>
      <c r="BE131">
        <v>3.9</v>
      </c>
      <c r="BF131">
        <v>100</v>
      </c>
      <c r="BG131">
        <v>0</v>
      </c>
      <c r="BH131">
        <v>0</v>
      </c>
      <c r="BI131">
        <v>0</v>
      </c>
      <c r="BJ131">
        <v>97.2</v>
      </c>
      <c r="BK131">
        <v>96.1</v>
      </c>
      <c r="BL131">
        <v>97.2</v>
      </c>
      <c r="BM131">
        <v>96.1</v>
      </c>
      <c r="BN131">
        <v>2.8</v>
      </c>
      <c r="BO131">
        <v>3.9</v>
      </c>
      <c r="BP131">
        <v>0</v>
      </c>
      <c r="BQ131">
        <v>0</v>
      </c>
      <c r="BR131">
        <v>0</v>
      </c>
      <c r="BS131">
        <v>0</v>
      </c>
      <c r="BT131">
        <v>0</v>
      </c>
      <c r="BU131">
        <v>0</v>
      </c>
      <c r="BV131">
        <v>0</v>
      </c>
      <c r="BW131">
        <v>0</v>
      </c>
      <c r="BX131">
        <v>0</v>
      </c>
      <c r="BY131">
        <v>0</v>
      </c>
      <c r="BZ131">
        <v>25</v>
      </c>
      <c r="CA131">
        <v>0</v>
      </c>
      <c r="CB131">
        <v>0</v>
      </c>
      <c r="CC131">
        <v>0</v>
      </c>
      <c r="CD131">
        <v>20</v>
      </c>
      <c r="CE131">
        <v>18</v>
      </c>
      <c r="CF131">
        <v>20</v>
      </c>
      <c r="CG131">
        <v>18</v>
      </c>
      <c r="CH131">
        <v>25</v>
      </c>
      <c r="CI131">
        <v>0</v>
      </c>
      <c r="CJ131">
        <v>0</v>
      </c>
      <c r="CK131">
        <v>0</v>
      </c>
      <c r="CL131">
        <v>20</v>
      </c>
      <c r="CM131">
        <v>18</v>
      </c>
      <c r="CN131">
        <v>20</v>
      </c>
      <c r="CO131">
        <v>18</v>
      </c>
      <c r="CP131">
        <v>0</v>
      </c>
      <c r="CQ131">
        <v>0</v>
      </c>
      <c r="CR131">
        <v>0</v>
      </c>
      <c r="CS131">
        <v>0</v>
      </c>
      <c r="CT131">
        <v>0</v>
      </c>
      <c r="CU131">
        <v>0</v>
      </c>
      <c r="CV131">
        <v>0</v>
      </c>
      <c r="CW131">
        <v>0</v>
      </c>
      <c r="CX131">
        <v>64</v>
      </c>
      <c r="CY131">
        <v>74.599999999999994</v>
      </c>
      <c r="CZ131">
        <v>83.6</v>
      </c>
      <c r="DA131">
        <v>89.8</v>
      </c>
      <c r="DB131">
        <v>60.6</v>
      </c>
      <c r="DC131">
        <v>74.5</v>
      </c>
      <c r="DD131">
        <v>78.5</v>
      </c>
      <c r="DE131">
        <v>87.4</v>
      </c>
      <c r="DF131">
        <v>64</v>
      </c>
      <c r="DG131">
        <v>74.599999999999994</v>
      </c>
      <c r="DH131">
        <v>83.6</v>
      </c>
      <c r="DI131">
        <v>89.8</v>
      </c>
      <c r="DJ131">
        <v>60.6</v>
      </c>
      <c r="DK131">
        <v>74.5</v>
      </c>
      <c r="DL131">
        <v>78.5</v>
      </c>
      <c r="DM131">
        <v>87.4</v>
      </c>
      <c r="DN131">
        <v>0</v>
      </c>
      <c r="DO131">
        <v>0</v>
      </c>
      <c r="DP131">
        <v>0</v>
      </c>
      <c r="DQ131">
        <v>0</v>
      </c>
      <c r="DR131">
        <v>0</v>
      </c>
      <c r="DS131">
        <v>0</v>
      </c>
      <c r="DT131">
        <v>0</v>
      </c>
      <c r="DU131">
        <v>0</v>
      </c>
      <c r="DV131" t="s">
        <v>286</v>
      </c>
    </row>
    <row r="132" spans="1:126" x14ac:dyDescent="0.35">
      <c r="A132" t="s">
        <v>334</v>
      </c>
      <c r="B132">
        <v>230103</v>
      </c>
      <c r="C132" s="1">
        <v>44929</v>
      </c>
      <c r="D132" t="s">
        <v>335</v>
      </c>
      <c r="E132" t="s">
        <v>184</v>
      </c>
      <c r="F132" t="s">
        <v>185</v>
      </c>
      <c r="G132" t="s">
        <v>282</v>
      </c>
      <c r="H132">
        <v>76593</v>
      </c>
      <c r="I132" s="17">
        <v>0</v>
      </c>
      <c r="J132" s="17">
        <v>492</v>
      </c>
      <c r="K132">
        <v>93</v>
      </c>
      <c r="L132">
        <v>68011</v>
      </c>
      <c r="M132">
        <v>67338</v>
      </c>
      <c r="N132">
        <v>68104</v>
      </c>
      <c r="O132">
        <v>67923</v>
      </c>
      <c r="P132">
        <v>8489</v>
      </c>
      <c r="Q132">
        <v>8670</v>
      </c>
      <c r="R132">
        <v>76593</v>
      </c>
      <c r="S132">
        <v>0</v>
      </c>
      <c r="T132">
        <v>492</v>
      </c>
      <c r="U132">
        <v>93</v>
      </c>
      <c r="V132">
        <v>68011</v>
      </c>
      <c r="W132">
        <v>67338</v>
      </c>
      <c r="X132">
        <v>68104</v>
      </c>
      <c r="Y132">
        <v>67923</v>
      </c>
      <c r="Z132">
        <v>8489</v>
      </c>
      <c r="AA132">
        <v>8670</v>
      </c>
      <c r="AB132">
        <v>0</v>
      </c>
      <c r="AC132">
        <v>0</v>
      </c>
      <c r="AD132">
        <v>0</v>
      </c>
      <c r="AE132">
        <v>0</v>
      </c>
      <c r="AF132">
        <v>0</v>
      </c>
      <c r="AG132">
        <v>0</v>
      </c>
      <c r="AH132">
        <v>0</v>
      </c>
      <c r="AI132">
        <v>0</v>
      </c>
      <c r="AJ132">
        <v>0</v>
      </c>
      <c r="AK132">
        <v>0</v>
      </c>
      <c r="AL132">
        <v>3420</v>
      </c>
      <c r="AM132">
        <v>0</v>
      </c>
      <c r="AN132">
        <v>31</v>
      </c>
      <c r="AO132">
        <v>-31</v>
      </c>
      <c r="AP132">
        <v>3668</v>
      </c>
      <c r="AQ132">
        <v>3725</v>
      </c>
      <c r="AR132">
        <v>3637</v>
      </c>
      <c r="AS132">
        <v>3725</v>
      </c>
      <c r="AT132">
        <v>-217</v>
      </c>
      <c r="AU132">
        <v>-305</v>
      </c>
      <c r="AV132">
        <v>100</v>
      </c>
      <c r="AW132">
        <v>0</v>
      </c>
      <c r="AX132">
        <v>0.6</v>
      </c>
      <c r="AY132">
        <v>0.1</v>
      </c>
      <c r="AZ132">
        <v>88.8</v>
      </c>
      <c r="BA132">
        <v>87.9</v>
      </c>
      <c r="BB132">
        <v>88.9</v>
      </c>
      <c r="BC132">
        <v>88.7</v>
      </c>
      <c r="BD132">
        <v>11.1</v>
      </c>
      <c r="BE132">
        <v>11.3</v>
      </c>
      <c r="BF132">
        <v>100</v>
      </c>
      <c r="BG132">
        <v>0</v>
      </c>
      <c r="BH132">
        <v>0.6</v>
      </c>
      <c r="BI132">
        <v>0.1</v>
      </c>
      <c r="BJ132">
        <v>88.8</v>
      </c>
      <c r="BK132">
        <v>87.9</v>
      </c>
      <c r="BL132">
        <v>88.9</v>
      </c>
      <c r="BM132">
        <v>88.7</v>
      </c>
      <c r="BN132">
        <v>11.1</v>
      </c>
      <c r="BO132">
        <v>11.3</v>
      </c>
      <c r="BP132">
        <v>0</v>
      </c>
      <c r="BQ132">
        <v>0</v>
      </c>
      <c r="BR132">
        <v>0</v>
      </c>
      <c r="BS132">
        <v>0</v>
      </c>
      <c r="BT132">
        <v>0</v>
      </c>
      <c r="BU132">
        <v>0</v>
      </c>
      <c r="BV132">
        <v>0</v>
      </c>
      <c r="BW132">
        <v>0</v>
      </c>
      <c r="BX132">
        <v>0</v>
      </c>
      <c r="BY132">
        <v>0</v>
      </c>
      <c r="BZ132">
        <v>20</v>
      </c>
      <c r="CA132">
        <v>0</v>
      </c>
      <c r="CB132">
        <v>1</v>
      </c>
      <c r="CC132">
        <v>1</v>
      </c>
      <c r="CD132">
        <v>16</v>
      </c>
      <c r="CE132">
        <v>11</v>
      </c>
      <c r="CF132">
        <v>17</v>
      </c>
      <c r="CG132">
        <v>12</v>
      </c>
      <c r="CH132">
        <v>20</v>
      </c>
      <c r="CI132">
        <v>0</v>
      </c>
      <c r="CJ132">
        <v>1</v>
      </c>
      <c r="CK132">
        <v>1</v>
      </c>
      <c r="CL132">
        <v>16</v>
      </c>
      <c r="CM132">
        <v>11</v>
      </c>
      <c r="CN132">
        <v>17</v>
      </c>
      <c r="CO132">
        <v>12</v>
      </c>
      <c r="CP132">
        <v>0</v>
      </c>
      <c r="CQ132">
        <v>0</v>
      </c>
      <c r="CR132">
        <v>0</v>
      </c>
      <c r="CS132">
        <v>0</v>
      </c>
      <c r="CT132">
        <v>0</v>
      </c>
      <c r="CU132">
        <v>0</v>
      </c>
      <c r="CV132">
        <v>0</v>
      </c>
      <c r="CW132">
        <v>0</v>
      </c>
      <c r="CX132">
        <v>44.7</v>
      </c>
      <c r="CY132">
        <v>71.099999999999994</v>
      </c>
      <c r="CZ132">
        <v>68.3</v>
      </c>
      <c r="DA132">
        <v>86.7</v>
      </c>
      <c r="DB132">
        <v>44</v>
      </c>
      <c r="DC132">
        <v>69.400000000000006</v>
      </c>
      <c r="DD132">
        <v>66</v>
      </c>
      <c r="DE132">
        <v>82</v>
      </c>
      <c r="DF132">
        <v>44.7</v>
      </c>
      <c r="DG132">
        <v>71.099999999999994</v>
      </c>
      <c r="DH132">
        <v>68.3</v>
      </c>
      <c r="DI132">
        <v>86.7</v>
      </c>
      <c r="DJ132">
        <v>44</v>
      </c>
      <c r="DK132">
        <v>69.400000000000006</v>
      </c>
      <c r="DL132">
        <v>66</v>
      </c>
      <c r="DM132">
        <v>82</v>
      </c>
      <c r="DN132">
        <v>0</v>
      </c>
      <c r="DO132">
        <v>0</v>
      </c>
      <c r="DP132">
        <v>0</v>
      </c>
      <c r="DQ132">
        <v>0</v>
      </c>
      <c r="DR132">
        <v>0</v>
      </c>
      <c r="DS132">
        <v>0</v>
      </c>
      <c r="DT132">
        <v>0</v>
      </c>
      <c r="DU132">
        <v>0</v>
      </c>
      <c r="DV132" t="s">
        <v>286</v>
      </c>
    </row>
    <row r="133" spans="1:126" x14ac:dyDescent="0.35">
      <c r="A133" t="s">
        <v>336</v>
      </c>
      <c r="B133">
        <v>230110</v>
      </c>
      <c r="C133" s="1">
        <v>44936</v>
      </c>
      <c r="D133" t="s">
        <v>337</v>
      </c>
      <c r="E133" t="s">
        <v>184</v>
      </c>
      <c r="F133" t="s">
        <v>185</v>
      </c>
      <c r="G133" t="s">
        <v>282</v>
      </c>
      <c r="H133">
        <v>39059</v>
      </c>
      <c r="I133" s="17">
        <v>0</v>
      </c>
      <c r="J133" s="17">
        <v>0</v>
      </c>
      <c r="K133">
        <v>0</v>
      </c>
      <c r="L133">
        <v>33832</v>
      </c>
      <c r="M133">
        <v>37638</v>
      </c>
      <c r="N133">
        <v>33832</v>
      </c>
      <c r="O133">
        <v>37638</v>
      </c>
      <c r="P133">
        <v>5227</v>
      </c>
      <c r="Q133">
        <v>1421</v>
      </c>
      <c r="R133">
        <v>39059</v>
      </c>
      <c r="S133">
        <v>0</v>
      </c>
      <c r="T133">
        <v>0</v>
      </c>
      <c r="U133">
        <v>0</v>
      </c>
      <c r="V133">
        <v>33832</v>
      </c>
      <c r="W133">
        <v>37638</v>
      </c>
      <c r="X133">
        <v>33832</v>
      </c>
      <c r="Y133">
        <v>37638</v>
      </c>
      <c r="Z133">
        <v>5227</v>
      </c>
      <c r="AA133">
        <v>1421</v>
      </c>
      <c r="AB133">
        <v>0</v>
      </c>
      <c r="AC133">
        <v>0</v>
      </c>
      <c r="AD133">
        <v>0</v>
      </c>
      <c r="AE133">
        <v>0</v>
      </c>
      <c r="AF133">
        <v>0</v>
      </c>
      <c r="AG133">
        <v>0</v>
      </c>
      <c r="AH133">
        <v>0</v>
      </c>
      <c r="AI133">
        <v>0</v>
      </c>
      <c r="AJ133">
        <v>0</v>
      </c>
      <c r="AK133">
        <v>0</v>
      </c>
      <c r="AL133">
        <v>-2774</v>
      </c>
      <c r="AM133">
        <v>0</v>
      </c>
      <c r="AN133">
        <v>0</v>
      </c>
      <c r="AO133">
        <v>0</v>
      </c>
      <c r="AP133">
        <v>-2160</v>
      </c>
      <c r="AQ133">
        <v>-3624</v>
      </c>
      <c r="AR133">
        <v>-2160</v>
      </c>
      <c r="AS133">
        <v>-3624</v>
      </c>
      <c r="AT133">
        <v>-614</v>
      </c>
      <c r="AU133">
        <v>850</v>
      </c>
      <c r="AV133">
        <v>100</v>
      </c>
      <c r="AW133">
        <v>0</v>
      </c>
      <c r="AX133">
        <v>0</v>
      </c>
      <c r="AY133">
        <v>0</v>
      </c>
      <c r="AZ133">
        <v>86.6</v>
      </c>
      <c r="BA133">
        <v>96.4</v>
      </c>
      <c r="BB133">
        <v>86.6</v>
      </c>
      <c r="BC133">
        <v>96.4</v>
      </c>
      <c r="BD133">
        <v>13.4</v>
      </c>
      <c r="BE133">
        <v>3.6</v>
      </c>
      <c r="BF133">
        <v>100</v>
      </c>
      <c r="BG133">
        <v>0</v>
      </c>
      <c r="BH133">
        <v>0</v>
      </c>
      <c r="BI133">
        <v>0</v>
      </c>
      <c r="BJ133">
        <v>86.6</v>
      </c>
      <c r="BK133">
        <v>96.4</v>
      </c>
      <c r="BL133">
        <v>86.6</v>
      </c>
      <c r="BM133">
        <v>96.4</v>
      </c>
      <c r="BN133">
        <v>13.4</v>
      </c>
      <c r="BO133">
        <v>3.6</v>
      </c>
      <c r="BP133">
        <v>0</v>
      </c>
      <c r="BQ133">
        <v>0</v>
      </c>
      <c r="BR133">
        <v>0</v>
      </c>
      <c r="BS133">
        <v>0</v>
      </c>
      <c r="BT133">
        <v>0</v>
      </c>
      <c r="BU133">
        <v>0</v>
      </c>
      <c r="BV133">
        <v>0</v>
      </c>
      <c r="BW133">
        <v>0</v>
      </c>
      <c r="BX133">
        <v>0</v>
      </c>
      <c r="BY133">
        <v>0</v>
      </c>
      <c r="BZ133">
        <v>20</v>
      </c>
      <c r="CA133">
        <v>0</v>
      </c>
      <c r="CB133">
        <v>0</v>
      </c>
      <c r="CC133">
        <v>0</v>
      </c>
      <c r="CD133">
        <v>13</v>
      </c>
      <c r="CE133">
        <v>14</v>
      </c>
      <c r="CF133">
        <v>13</v>
      </c>
      <c r="CG133">
        <v>14</v>
      </c>
      <c r="CH133">
        <v>20</v>
      </c>
      <c r="CI133">
        <v>0</v>
      </c>
      <c r="CJ133">
        <v>0</v>
      </c>
      <c r="CK133">
        <v>0</v>
      </c>
      <c r="CL133">
        <v>13</v>
      </c>
      <c r="CM133">
        <v>14</v>
      </c>
      <c r="CN133">
        <v>13</v>
      </c>
      <c r="CO133">
        <v>14</v>
      </c>
      <c r="CP133">
        <v>0</v>
      </c>
      <c r="CQ133">
        <v>0</v>
      </c>
      <c r="CR133">
        <v>0</v>
      </c>
      <c r="CS133">
        <v>0</v>
      </c>
      <c r="CT133">
        <v>0</v>
      </c>
      <c r="CU133">
        <v>0</v>
      </c>
      <c r="CV133">
        <v>0</v>
      </c>
      <c r="CW133">
        <v>0</v>
      </c>
      <c r="CX133">
        <v>58.2</v>
      </c>
      <c r="CY133">
        <v>47.4</v>
      </c>
      <c r="CZ133">
        <v>81.599999999999994</v>
      </c>
      <c r="DA133">
        <v>79.2</v>
      </c>
      <c r="DB133">
        <v>49.9</v>
      </c>
      <c r="DC133">
        <v>46.4</v>
      </c>
      <c r="DD133">
        <v>70.5</v>
      </c>
      <c r="DE133">
        <v>77.400000000000006</v>
      </c>
      <c r="DF133">
        <v>58.2</v>
      </c>
      <c r="DG133">
        <v>47.4</v>
      </c>
      <c r="DH133">
        <v>81.599999999999994</v>
      </c>
      <c r="DI133">
        <v>79.2</v>
      </c>
      <c r="DJ133">
        <v>49.9</v>
      </c>
      <c r="DK133">
        <v>46.4</v>
      </c>
      <c r="DL133">
        <v>70.5</v>
      </c>
      <c r="DM133">
        <v>77.400000000000006</v>
      </c>
      <c r="DN133">
        <v>0</v>
      </c>
      <c r="DO133">
        <v>0</v>
      </c>
      <c r="DP133">
        <v>0</v>
      </c>
      <c r="DQ133">
        <v>0</v>
      </c>
      <c r="DR133">
        <v>0</v>
      </c>
      <c r="DS133">
        <v>0</v>
      </c>
      <c r="DT133">
        <v>0</v>
      </c>
      <c r="DU133">
        <v>0</v>
      </c>
      <c r="DV133" t="s">
        <v>286</v>
      </c>
    </row>
    <row r="134" spans="1:126" x14ac:dyDescent="0.35">
      <c r="A134" t="s">
        <v>336</v>
      </c>
      <c r="B134">
        <v>230103</v>
      </c>
      <c r="C134" s="1">
        <v>44929</v>
      </c>
      <c r="D134" t="s">
        <v>337</v>
      </c>
      <c r="E134" t="s">
        <v>184</v>
      </c>
      <c r="F134" t="s">
        <v>185</v>
      </c>
      <c r="G134" t="s">
        <v>282</v>
      </c>
      <c r="H134">
        <v>41833</v>
      </c>
      <c r="I134" s="17">
        <v>0</v>
      </c>
      <c r="J134" s="17">
        <v>0</v>
      </c>
      <c r="K134">
        <v>0</v>
      </c>
      <c r="L134">
        <v>35992</v>
      </c>
      <c r="M134">
        <v>41262</v>
      </c>
      <c r="N134">
        <v>35992</v>
      </c>
      <c r="O134">
        <v>41262</v>
      </c>
      <c r="P134">
        <v>5841</v>
      </c>
      <c r="Q134">
        <v>571</v>
      </c>
      <c r="R134">
        <v>41833</v>
      </c>
      <c r="S134">
        <v>0</v>
      </c>
      <c r="T134">
        <v>0</v>
      </c>
      <c r="U134">
        <v>0</v>
      </c>
      <c r="V134">
        <v>35992</v>
      </c>
      <c r="W134">
        <v>41262</v>
      </c>
      <c r="X134">
        <v>35992</v>
      </c>
      <c r="Y134">
        <v>41262</v>
      </c>
      <c r="Z134">
        <v>5841</v>
      </c>
      <c r="AA134">
        <v>571</v>
      </c>
      <c r="AB134">
        <v>0</v>
      </c>
      <c r="AC134">
        <v>0</v>
      </c>
      <c r="AD134">
        <v>0</v>
      </c>
      <c r="AE134">
        <v>0</v>
      </c>
      <c r="AF134">
        <v>0</v>
      </c>
      <c r="AG134">
        <v>0</v>
      </c>
      <c r="AH134">
        <v>0</v>
      </c>
      <c r="AI134">
        <v>0</v>
      </c>
      <c r="AJ134">
        <v>0</v>
      </c>
      <c r="AK134">
        <v>0</v>
      </c>
      <c r="AL134">
        <v>0</v>
      </c>
      <c r="AM134">
        <v>0</v>
      </c>
      <c r="AN134">
        <v>0</v>
      </c>
      <c r="AO134">
        <v>0</v>
      </c>
      <c r="AP134">
        <v>0</v>
      </c>
      <c r="AQ134">
        <v>0</v>
      </c>
      <c r="AR134">
        <v>0</v>
      </c>
      <c r="AS134">
        <v>0</v>
      </c>
      <c r="AT134">
        <v>0</v>
      </c>
      <c r="AU134">
        <v>0</v>
      </c>
      <c r="AV134">
        <v>100</v>
      </c>
      <c r="AW134">
        <v>0</v>
      </c>
      <c r="AX134">
        <v>0</v>
      </c>
      <c r="AY134">
        <v>0</v>
      </c>
      <c r="AZ134">
        <v>86</v>
      </c>
      <c r="BA134">
        <v>98.6</v>
      </c>
      <c r="BB134">
        <v>86</v>
      </c>
      <c r="BC134">
        <v>98.6</v>
      </c>
      <c r="BD134">
        <v>14</v>
      </c>
      <c r="BE134">
        <v>1.4</v>
      </c>
      <c r="BF134">
        <v>100</v>
      </c>
      <c r="BG134">
        <v>0</v>
      </c>
      <c r="BH134">
        <v>0</v>
      </c>
      <c r="BI134">
        <v>0</v>
      </c>
      <c r="BJ134">
        <v>86</v>
      </c>
      <c r="BK134">
        <v>98.6</v>
      </c>
      <c r="BL134">
        <v>86</v>
      </c>
      <c r="BM134">
        <v>98.6</v>
      </c>
      <c r="BN134">
        <v>14</v>
      </c>
      <c r="BO134">
        <v>1.4</v>
      </c>
      <c r="BP134">
        <v>0</v>
      </c>
      <c r="BQ134">
        <v>0</v>
      </c>
      <c r="BR134">
        <v>0</v>
      </c>
      <c r="BS134">
        <v>0</v>
      </c>
      <c r="BT134">
        <v>0</v>
      </c>
      <c r="BU134">
        <v>0</v>
      </c>
      <c r="BV134">
        <v>0</v>
      </c>
      <c r="BW134">
        <v>0</v>
      </c>
      <c r="BX134">
        <v>0</v>
      </c>
      <c r="BY134">
        <v>0</v>
      </c>
      <c r="BZ134">
        <v>22</v>
      </c>
      <c r="CA134">
        <v>0</v>
      </c>
      <c r="CB134">
        <v>0</v>
      </c>
      <c r="CC134">
        <v>0</v>
      </c>
      <c r="CD134">
        <v>15</v>
      </c>
      <c r="CE134">
        <v>15</v>
      </c>
      <c r="CF134">
        <v>15</v>
      </c>
      <c r="CG134">
        <v>15</v>
      </c>
      <c r="CH134">
        <v>22</v>
      </c>
      <c r="CI134">
        <v>0</v>
      </c>
      <c r="CJ134">
        <v>0</v>
      </c>
      <c r="CK134">
        <v>0</v>
      </c>
      <c r="CL134">
        <v>15</v>
      </c>
      <c r="CM134">
        <v>15</v>
      </c>
      <c r="CN134">
        <v>15</v>
      </c>
      <c r="CO134">
        <v>15</v>
      </c>
      <c r="CP134">
        <v>0</v>
      </c>
      <c r="CQ134">
        <v>0</v>
      </c>
      <c r="CR134">
        <v>0</v>
      </c>
      <c r="CS134">
        <v>0</v>
      </c>
      <c r="CT134">
        <v>0</v>
      </c>
      <c r="CU134">
        <v>0</v>
      </c>
      <c r="CV134">
        <v>0</v>
      </c>
      <c r="CW134">
        <v>0</v>
      </c>
      <c r="CX134">
        <v>52.3</v>
      </c>
      <c r="CY134">
        <v>43.2</v>
      </c>
      <c r="CZ134">
        <v>78.5</v>
      </c>
      <c r="DA134">
        <v>74.2</v>
      </c>
      <c r="DB134">
        <v>44.1</v>
      </c>
      <c r="DC134">
        <v>41.8</v>
      </c>
      <c r="DD134">
        <v>64.5</v>
      </c>
      <c r="DE134">
        <v>70.900000000000006</v>
      </c>
      <c r="DF134">
        <v>52.3</v>
      </c>
      <c r="DG134">
        <v>43.2</v>
      </c>
      <c r="DH134">
        <v>78.5</v>
      </c>
      <c r="DI134">
        <v>74.2</v>
      </c>
      <c r="DJ134">
        <v>44.1</v>
      </c>
      <c r="DK134">
        <v>41.8</v>
      </c>
      <c r="DL134">
        <v>64.5</v>
      </c>
      <c r="DM134">
        <v>70.900000000000006</v>
      </c>
      <c r="DN134">
        <v>0</v>
      </c>
      <c r="DO134">
        <v>0</v>
      </c>
      <c r="DP134">
        <v>0</v>
      </c>
      <c r="DQ134">
        <v>0</v>
      </c>
      <c r="DR134">
        <v>0</v>
      </c>
      <c r="DS134">
        <v>0</v>
      </c>
      <c r="DT134">
        <v>0</v>
      </c>
      <c r="DU134">
        <v>0</v>
      </c>
      <c r="DV134" t="s">
        <v>286</v>
      </c>
    </row>
    <row r="135" spans="1:126" x14ac:dyDescent="0.35">
      <c r="A135" t="s">
        <v>338</v>
      </c>
      <c r="B135">
        <v>230110</v>
      </c>
      <c r="C135" s="1">
        <v>44936</v>
      </c>
      <c r="D135" t="s">
        <v>339</v>
      </c>
      <c r="E135" t="s">
        <v>184</v>
      </c>
      <c r="F135" t="s">
        <v>185</v>
      </c>
      <c r="G135" t="s">
        <v>282</v>
      </c>
      <c r="H135">
        <v>144881</v>
      </c>
      <c r="I135" s="17">
        <v>2758</v>
      </c>
      <c r="J135" s="17">
        <v>0</v>
      </c>
      <c r="K135">
        <v>0</v>
      </c>
      <c r="L135">
        <v>136872</v>
      </c>
      <c r="M135">
        <v>136321</v>
      </c>
      <c r="N135">
        <v>139630</v>
      </c>
      <c r="O135">
        <v>136321</v>
      </c>
      <c r="P135">
        <v>5251</v>
      </c>
      <c r="Q135">
        <v>8560</v>
      </c>
      <c r="R135">
        <v>144881</v>
      </c>
      <c r="S135">
        <v>2758</v>
      </c>
      <c r="T135">
        <v>0</v>
      </c>
      <c r="U135">
        <v>0</v>
      </c>
      <c r="V135">
        <v>136872</v>
      </c>
      <c r="W135">
        <v>136321</v>
      </c>
      <c r="X135">
        <v>139630</v>
      </c>
      <c r="Y135">
        <v>136321</v>
      </c>
      <c r="Z135">
        <v>5251</v>
      </c>
      <c r="AA135">
        <v>8560</v>
      </c>
      <c r="AB135">
        <v>0</v>
      </c>
      <c r="AC135">
        <v>0</v>
      </c>
      <c r="AD135">
        <v>0</v>
      </c>
      <c r="AE135">
        <v>0</v>
      </c>
      <c r="AF135">
        <v>0</v>
      </c>
      <c r="AG135">
        <v>0</v>
      </c>
      <c r="AH135">
        <v>0</v>
      </c>
      <c r="AI135">
        <v>0</v>
      </c>
      <c r="AJ135">
        <v>0</v>
      </c>
      <c r="AK135">
        <v>0</v>
      </c>
      <c r="AL135">
        <v>-4749</v>
      </c>
      <c r="AM135">
        <v>-688</v>
      </c>
      <c r="AN135">
        <v>0</v>
      </c>
      <c r="AO135">
        <v>-146</v>
      </c>
      <c r="AP135">
        <v>-7090</v>
      </c>
      <c r="AQ135">
        <v>-4610</v>
      </c>
      <c r="AR135">
        <v>-7924</v>
      </c>
      <c r="AS135">
        <v>-4756</v>
      </c>
      <c r="AT135">
        <v>3175</v>
      </c>
      <c r="AU135">
        <v>7</v>
      </c>
      <c r="AV135">
        <v>100</v>
      </c>
      <c r="AW135">
        <v>1.9</v>
      </c>
      <c r="AX135">
        <v>0</v>
      </c>
      <c r="AY135">
        <v>0</v>
      </c>
      <c r="AZ135">
        <v>94.5</v>
      </c>
      <c r="BA135">
        <v>94.1</v>
      </c>
      <c r="BB135">
        <v>96.4</v>
      </c>
      <c r="BC135">
        <v>94.1</v>
      </c>
      <c r="BD135">
        <v>3.6</v>
      </c>
      <c r="BE135">
        <v>5.9</v>
      </c>
      <c r="BF135">
        <v>100</v>
      </c>
      <c r="BG135">
        <v>1.9</v>
      </c>
      <c r="BH135">
        <v>0</v>
      </c>
      <c r="BI135">
        <v>0</v>
      </c>
      <c r="BJ135">
        <v>94.5</v>
      </c>
      <c r="BK135">
        <v>94.1</v>
      </c>
      <c r="BL135">
        <v>96.4</v>
      </c>
      <c r="BM135">
        <v>94.1</v>
      </c>
      <c r="BN135">
        <v>3.6</v>
      </c>
      <c r="BO135">
        <v>5.9</v>
      </c>
      <c r="BP135">
        <v>0</v>
      </c>
      <c r="BQ135">
        <v>0</v>
      </c>
      <c r="BR135">
        <v>0</v>
      </c>
      <c r="BS135">
        <v>0</v>
      </c>
      <c r="BT135">
        <v>0</v>
      </c>
      <c r="BU135">
        <v>0</v>
      </c>
      <c r="BV135">
        <v>0</v>
      </c>
      <c r="BW135">
        <v>0</v>
      </c>
      <c r="BX135">
        <v>0</v>
      </c>
      <c r="BY135">
        <v>0</v>
      </c>
      <c r="BZ135">
        <v>20</v>
      </c>
      <c r="CA135">
        <v>1</v>
      </c>
      <c r="CB135">
        <v>0</v>
      </c>
      <c r="CC135">
        <v>0</v>
      </c>
      <c r="CD135">
        <v>13</v>
      </c>
      <c r="CE135">
        <v>15</v>
      </c>
      <c r="CF135">
        <v>14</v>
      </c>
      <c r="CG135">
        <v>15</v>
      </c>
      <c r="CH135">
        <v>20</v>
      </c>
      <c r="CI135">
        <v>1</v>
      </c>
      <c r="CJ135">
        <v>0</v>
      </c>
      <c r="CK135">
        <v>0</v>
      </c>
      <c r="CL135">
        <v>13</v>
      </c>
      <c r="CM135">
        <v>15</v>
      </c>
      <c r="CN135">
        <v>14</v>
      </c>
      <c r="CO135">
        <v>15</v>
      </c>
      <c r="CP135">
        <v>0</v>
      </c>
      <c r="CQ135">
        <v>0</v>
      </c>
      <c r="CR135">
        <v>0</v>
      </c>
      <c r="CS135">
        <v>0</v>
      </c>
      <c r="CT135">
        <v>0</v>
      </c>
      <c r="CU135">
        <v>0</v>
      </c>
      <c r="CV135">
        <v>0</v>
      </c>
      <c r="CW135">
        <v>0</v>
      </c>
      <c r="CX135">
        <v>73.900000000000006</v>
      </c>
      <c r="CY135">
        <v>68.5</v>
      </c>
      <c r="CZ135">
        <v>89.6</v>
      </c>
      <c r="DA135">
        <v>88.1</v>
      </c>
      <c r="DB135">
        <v>66.3</v>
      </c>
      <c r="DC135">
        <v>55.9</v>
      </c>
      <c r="DD135">
        <v>75.2</v>
      </c>
      <c r="DE135">
        <v>71.3</v>
      </c>
      <c r="DF135">
        <v>73.900000000000006</v>
      </c>
      <c r="DG135">
        <v>68.5</v>
      </c>
      <c r="DH135">
        <v>89.6</v>
      </c>
      <c r="DI135">
        <v>88.1</v>
      </c>
      <c r="DJ135">
        <v>66.3</v>
      </c>
      <c r="DK135">
        <v>55.9</v>
      </c>
      <c r="DL135">
        <v>75.2</v>
      </c>
      <c r="DM135">
        <v>71.3</v>
      </c>
      <c r="DN135">
        <v>0</v>
      </c>
      <c r="DO135">
        <v>0</v>
      </c>
      <c r="DP135">
        <v>0</v>
      </c>
      <c r="DQ135">
        <v>0</v>
      </c>
      <c r="DR135">
        <v>0</v>
      </c>
      <c r="DS135">
        <v>0</v>
      </c>
      <c r="DT135">
        <v>0</v>
      </c>
      <c r="DU135">
        <v>0</v>
      </c>
      <c r="DV135" t="s">
        <v>286</v>
      </c>
    </row>
    <row r="136" spans="1:126" x14ac:dyDescent="0.35">
      <c r="A136" t="s">
        <v>338</v>
      </c>
      <c r="B136">
        <v>230103</v>
      </c>
      <c r="C136" s="1">
        <v>44929</v>
      </c>
      <c r="D136" t="s">
        <v>339</v>
      </c>
      <c r="E136" t="s">
        <v>184</v>
      </c>
      <c r="F136" t="s">
        <v>185</v>
      </c>
      <c r="G136" t="s">
        <v>282</v>
      </c>
      <c r="H136">
        <v>149630</v>
      </c>
      <c r="I136" s="17">
        <v>3446</v>
      </c>
      <c r="J136" s="17">
        <v>0</v>
      </c>
      <c r="K136">
        <v>146</v>
      </c>
      <c r="L136">
        <v>143962</v>
      </c>
      <c r="M136">
        <v>140931</v>
      </c>
      <c r="N136">
        <v>147554</v>
      </c>
      <c r="O136">
        <v>141077</v>
      </c>
      <c r="P136">
        <v>2076</v>
      </c>
      <c r="Q136">
        <v>8553</v>
      </c>
      <c r="R136">
        <v>149630</v>
      </c>
      <c r="S136">
        <v>3446</v>
      </c>
      <c r="T136">
        <v>0</v>
      </c>
      <c r="U136">
        <v>146</v>
      </c>
      <c r="V136">
        <v>143962</v>
      </c>
      <c r="W136">
        <v>140931</v>
      </c>
      <c r="X136">
        <v>147554</v>
      </c>
      <c r="Y136">
        <v>141077</v>
      </c>
      <c r="Z136">
        <v>2076</v>
      </c>
      <c r="AA136">
        <v>8553</v>
      </c>
      <c r="AB136">
        <v>0</v>
      </c>
      <c r="AC136">
        <v>0</v>
      </c>
      <c r="AD136">
        <v>0</v>
      </c>
      <c r="AE136">
        <v>0</v>
      </c>
      <c r="AF136">
        <v>0</v>
      </c>
      <c r="AG136">
        <v>0</v>
      </c>
      <c r="AH136">
        <v>0</v>
      </c>
      <c r="AI136">
        <v>0</v>
      </c>
      <c r="AJ136">
        <v>0</v>
      </c>
      <c r="AK136">
        <v>0</v>
      </c>
      <c r="AL136">
        <v>179</v>
      </c>
      <c r="AM136">
        <v>0</v>
      </c>
      <c r="AN136">
        <v>0</v>
      </c>
      <c r="AO136">
        <v>0</v>
      </c>
      <c r="AP136">
        <v>344</v>
      </c>
      <c r="AQ136">
        <v>155</v>
      </c>
      <c r="AR136">
        <v>344</v>
      </c>
      <c r="AS136">
        <v>155</v>
      </c>
      <c r="AT136">
        <v>-165</v>
      </c>
      <c r="AU136">
        <v>24</v>
      </c>
      <c r="AV136">
        <v>100</v>
      </c>
      <c r="AW136">
        <v>2.2999999999999998</v>
      </c>
      <c r="AX136">
        <v>0</v>
      </c>
      <c r="AY136">
        <v>0.1</v>
      </c>
      <c r="AZ136">
        <v>96.2</v>
      </c>
      <c r="BA136">
        <v>94.2</v>
      </c>
      <c r="BB136">
        <v>98.6</v>
      </c>
      <c r="BC136">
        <v>94.3</v>
      </c>
      <c r="BD136">
        <v>1.4</v>
      </c>
      <c r="BE136">
        <v>5.7</v>
      </c>
      <c r="BF136">
        <v>100</v>
      </c>
      <c r="BG136">
        <v>2.2999999999999998</v>
      </c>
      <c r="BH136">
        <v>0</v>
      </c>
      <c r="BI136">
        <v>0.1</v>
      </c>
      <c r="BJ136">
        <v>96.2</v>
      </c>
      <c r="BK136">
        <v>94.2</v>
      </c>
      <c r="BL136">
        <v>98.6</v>
      </c>
      <c r="BM136">
        <v>94.3</v>
      </c>
      <c r="BN136">
        <v>1.4</v>
      </c>
      <c r="BO136">
        <v>5.7</v>
      </c>
      <c r="BP136">
        <v>0</v>
      </c>
      <c r="BQ136">
        <v>0</v>
      </c>
      <c r="BR136">
        <v>0</v>
      </c>
      <c r="BS136">
        <v>0</v>
      </c>
      <c r="BT136">
        <v>0</v>
      </c>
      <c r="BU136">
        <v>0</v>
      </c>
      <c r="BV136">
        <v>0</v>
      </c>
      <c r="BW136">
        <v>0</v>
      </c>
      <c r="BX136">
        <v>0</v>
      </c>
      <c r="BY136">
        <v>0</v>
      </c>
      <c r="BZ136">
        <v>24</v>
      </c>
      <c r="CA136">
        <v>2</v>
      </c>
      <c r="CB136">
        <v>0</v>
      </c>
      <c r="CC136">
        <v>1</v>
      </c>
      <c r="CD136">
        <v>15</v>
      </c>
      <c r="CE136">
        <v>17</v>
      </c>
      <c r="CF136">
        <v>17</v>
      </c>
      <c r="CG136">
        <v>18</v>
      </c>
      <c r="CH136">
        <v>24</v>
      </c>
      <c r="CI136">
        <v>2</v>
      </c>
      <c r="CJ136">
        <v>0</v>
      </c>
      <c r="CK136">
        <v>1</v>
      </c>
      <c r="CL136">
        <v>15</v>
      </c>
      <c r="CM136">
        <v>17</v>
      </c>
      <c r="CN136">
        <v>17</v>
      </c>
      <c r="CO136">
        <v>18</v>
      </c>
      <c r="CP136">
        <v>0</v>
      </c>
      <c r="CQ136">
        <v>0</v>
      </c>
      <c r="CR136">
        <v>0</v>
      </c>
      <c r="CS136">
        <v>0</v>
      </c>
      <c r="CT136">
        <v>0</v>
      </c>
      <c r="CU136">
        <v>0</v>
      </c>
      <c r="CV136">
        <v>0</v>
      </c>
      <c r="CW136">
        <v>0</v>
      </c>
      <c r="CX136">
        <v>72.099999999999994</v>
      </c>
      <c r="CY136">
        <v>66.900000000000006</v>
      </c>
      <c r="CZ136">
        <v>88.3</v>
      </c>
      <c r="DA136">
        <v>87</v>
      </c>
      <c r="DB136">
        <v>64.900000000000006</v>
      </c>
      <c r="DC136">
        <v>53.9</v>
      </c>
      <c r="DD136">
        <v>74.8</v>
      </c>
      <c r="DE136">
        <v>69.900000000000006</v>
      </c>
      <c r="DF136">
        <v>72.099999999999994</v>
      </c>
      <c r="DG136">
        <v>66.900000000000006</v>
      </c>
      <c r="DH136">
        <v>88.3</v>
      </c>
      <c r="DI136">
        <v>87</v>
      </c>
      <c r="DJ136">
        <v>64.900000000000006</v>
      </c>
      <c r="DK136">
        <v>53.9</v>
      </c>
      <c r="DL136">
        <v>74.8</v>
      </c>
      <c r="DM136">
        <v>69.900000000000006</v>
      </c>
      <c r="DN136">
        <v>0</v>
      </c>
      <c r="DO136">
        <v>0</v>
      </c>
      <c r="DP136">
        <v>0</v>
      </c>
      <c r="DQ136">
        <v>0</v>
      </c>
      <c r="DR136">
        <v>0</v>
      </c>
      <c r="DS136">
        <v>0</v>
      </c>
      <c r="DT136">
        <v>0</v>
      </c>
      <c r="DU136">
        <v>0</v>
      </c>
      <c r="DV136" t="s">
        <v>286</v>
      </c>
    </row>
    <row r="137" spans="1:126" x14ac:dyDescent="0.35">
      <c r="A137" t="s">
        <v>340</v>
      </c>
      <c r="B137">
        <v>230110</v>
      </c>
      <c r="C137" s="1">
        <v>44936</v>
      </c>
      <c r="D137" t="s">
        <v>341</v>
      </c>
      <c r="E137" t="s">
        <v>184</v>
      </c>
      <c r="F137" t="s">
        <v>185</v>
      </c>
      <c r="G137" t="s">
        <v>282</v>
      </c>
      <c r="H137">
        <v>112967</v>
      </c>
      <c r="I137" s="17">
        <v>4441</v>
      </c>
      <c r="J137" s="17">
        <v>4804</v>
      </c>
      <c r="K137">
        <v>1824</v>
      </c>
      <c r="L137">
        <v>91418</v>
      </c>
      <c r="M137">
        <v>92149</v>
      </c>
      <c r="N137">
        <v>97683</v>
      </c>
      <c r="O137">
        <v>98777</v>
      </c>
      <c r="P137">
        <v>15284</v>
      </c>
      <c r="Q137">
        <v>14190</v>
      </c>
      <c r="R137">
        <v>112967</v>
      </c>
      <c r="S137">
        <v>4441</v>
      </c>
      <c r="T137">
        <v>4804</v>
      </c>
      <c r="U137">
        <v>1824</v>
      </c>
      <c r="V137">
        <v>91418</v>
      </c>
      <c r="W137">
        <v>92149</v>
      </c>
      <c r="X137">
        <v>97683</v>
      </c>
      <c r="Y137">
        <v>98777</v>
      </c>
      <c r="Z137">
        <v>15284</v>
      </c>
      <c r="AA137">
        <v>14190</v>
      </c>
      <c r="AB137">
        <v>0</v>
      </c>
      <c r="AC137">
        <v>0</v>
      </c>
      <c r="AD137">
        <v>0</v>
      </c>
      <c r="AE137">
        <v>0</v>
      </c>
      <c r="AF137">
        <v>0</v>
      </c>
      <c r="AG137">
        <v>0</v>
      </c>
      <c r="AH137">
        <v>0</v>
      </c>
      <c r="AI137">
        <v>0</v>
      </c>
      <c r="AJ137">
        <v>0</v>
      </c>
      <c r="AK137">
        <v>0</v>
      </c>
      <c r="AL137">
        <v>-408</v>
      </c>
      <c r="AM137">
        <v>687</v>
      </c>
      <c r="AN137">
        <v>-2009</v>
      </c>
      <c r="AO137">
        <v>260</v>
      </c>
      <c r="AP137">
        <v>96</v>
      </c>
      <c r="AQ137">
        <v>7340</v>
      </c>
      <c r="AR137">
        <v>1043</v>
      </c>
      <c r="AS137">
        <v>5591</v>
      </c>
      <c r="AT137">
        <v>-1451</v>
      </c>
      <c r="AU137">
        <v>-5999</v>
      </c>
      <c r="AV137">
        <v>100</v>
      </c>
      <c r="AW137">
        <v>3.9</v>
      </c>
      <c r="AX137">
        <v>4.3</v>
      </c>
      <c r="AY137">
        <v>1.6</v>
      </c>
      <c r="AZ137">
        <v>80.900000000000006</v>
      </c>
      <c r="BA137">
        <v>81.599999999999994</v>
      </c>
      <c r="BB137">
        <v>86.5</v>
      </c>
      <c r="BC137">
        <v>87.4</v>
      </c>
      <c r="BD137">
        <v>13.5</v>
      </c>
      <c r="BE137">
        <v>12.6</v>
      </c>
      <c r="BF137">
        <v>100</v>
      </c>
      <c r="BG137">
        <v>3.9</v>
      </c>
      <c r="BH137">
        <v>4.3</v>
      </c>
      <c r="BI137">
        <v>1.6</v>
      </c>
      <c r="BJ137">
        <v>80.900000000000006</v>
      </c>
      <c r="BK137">
        <v>81.599999999999994</v>
      </c>
      <c r="BL137">
        <v>86.5</v>
      </c>
      <c r="BM137">
        <v>87.4</v>
      </c>
      <c r="BN137">
        <v>13.5</v>
      </c>
      <c r="BO137">
        <v>12.6</v>
      </c>
      <c r="BP137">
        <v>0</v>
      </c>
      <c r="BQ137">
        <v>0</v>
      </c>
      <c r="BR137">
        <v>0</v>
      </c>
      <c r="BS137">
        <v>0</v>
      </c>
      <c r="BT137">
        <v>0</v>
      </c>
      <c r="BU137">
        <v>0</v>
      </c>
      <c r="BV137">
        <v>0</v>
      </c>
      <c r="BW137">
        <v>0</v>
      </c>
      <c r="BX137">
        <v>0</v>
      </c>
      <c r="BY137">
        <v>0</v>
      </c>
      <c r="BZ137">
        <v>33</v>
      </c>
      <c r="CA137">
        <v>2</v>
      </c>
      <c r="CB137">
        <v>1</v>
      </c>
      <c r="CC137">
        <v>2</v>
      </c>
      <c r="CD137">
        <v>24</v>
      </c>
      <c r="CE137">
        <v>27</v>
      </c>
      <c r="CF137">
        <v>27</v>
      </c>
      <c r="CG137">
        <v>29</v>
      </c>
      <c r="CH137">
        <v>33</v>
      </c>
      <c r="CI137">
        <v>2</v>
      </c>
      <c r="CJ137">
        <v>1</v>
      </c>
      <c r="CK137">
        <v>2</v>
      </c>
      <c r="CL137">
        <v>24</v>
      </c>
      <c r="CM137">
        <v>27</v>
      </c>
      <c r="CN137">
        <v>27</v>
      </c>
      <c r="CO137">
        <v>29</v>
      </c>
      <c r="CP137">
        <v>0</v>
      </c>
      <c r="CQ137">
        <v>0</v>
      </c>
      <c r="CR137">
        <v>0</v>
      </c>
      <c r="CS137">
        <v>0</v>
      </c>
      <c r="CT137">
        <v>0</v>
      </c>
      <c r="CU137">
        <v>0</v>
      </c>
      <c r="CV137">
        <v>0</v>
      </c>
      <c r="CW137">
        <v>0</v>
      </c>
      <c r="CX137">
        <v>41.1</v>
      </c>
      <c r="CY137">
        <v>49.7</v>
      </c>
      <c r="CZ137">
        <v>63.5</v>
      </c>
      <c r="DA137">
        <v>64.7</v>
      </c>
      <c r="DB137">
        <v>34.200000000000003</v>
      </c>
      <c r="DC137">
        <v>47.6</v>
      </c>
      <c r="DD137">
        <v>55.2</v>
      </c>
      <c r="DE137">
        <v>62.2</v>
      </c>
      <c r="DF137">
        <v>41.1</v>
      </c>
      <c r="DG137">
        <v>49.7</v>
      </c>
      <c r="DH137">
        <v>63.5</v>
      </c>
      <c r="DI137">
        <v>64.7</v>
      </c>
      <c r="DJ137">
        <v>34.200000000000003</v>
      </c>
      <c r="DK137">
        <v>47.6</v>
      </c>
      <c r="DL137">
        <v>55.2</v>
      </c>
      <c r="DM137">
        <v>62.2</v>
      </c>
      <c r="DN137">
        <v>0</v>
      </c>
      <c r="DO137">
        <v>0</v>
      </c>
      <c r="DP137">
        <v>0</v>
      </c>
      <c r="DQ137">
        <v>0</v>
      </c>
      <c r="DR137">
        <v>0</v>
      </c>
      <c r="DS137">
        <v>0</v>
      </c>
      <c r="DT137">
        <v>0</v>
      </c>
      <c r="DU137">
        <v>0</v>
      </c>
      <c r="DV137" t="s">
        <v>286</v>
      </c>
    </row>
    <row r="138" spans="1:126" x14ac:dyDescent="0.35">
      <c r="A138" t="s">
        <v>340</v>
      </c>
      <c r="B138">
        <v>230103</v>
      </c>
      <c r="C138" s="1">
        <v>44929</v>
      </c>
      <c r="D138" t="s">
        <v>341</v>
      </c>
      <c r="E138" t="s">
        <v>184</v>
      </c>
      <c r="F138" t="s">
        <v>185</v>
      </c>
      <c r="G138" t="s">
        <v>282</v>
      </c>
      <c r="H138">
        <v>113375</v>
      </c>
      <c r="I138" s="17">
        <v>3754</v>
      </c>
      <c r="J138" s="17">
        <v>6813</v>
      </c>
      <c r="K138">
        <v>1564</v>
      </c>
      <c r="L138">
        <v>91322</v>
      </c>
      <c r="M138">
        <v>84809</v>
      </c>
      <c r="N138">
        <v>96640</v>
      </c>
      <c r="O138">
        <v>93186</v>
      </c>
      <c r="P138">
        <v>16735</v>
      </c>
      <c r="Q138">
        <v>20189</v>
      </c>
      <c r="R138">
        <v>113375</v>
      </c>
      <c r="S138">
        <v>3754</v>
      </c>
      <c r="T138">
        <v>6813</v>
      </c>
      <c r="U138">
        <v>1564</v>
      </c>
      <c r="V138">
        <v>91322</v>
      </c>
      <c r="W138">
        <v>84809</v>
      </c>
      <c r="X138">
        <v>96640</v>
      </c>
      <c r="Y138">
        <v>93186</v>
      </c>
      <c r="Z138">
        <v>16735</v>
      </c>
      <c r="AA138">
        <v>20189</v>
      </c>
      <c r="AB138">
        <v>0</v>
      </c>
      <c r="AC138">
        <v>0</v>
      </c>
      <c r="AD138">
        <v>0</v>
      </c>
      <c r="AE138">
        <v>0</v>
      </c>
      <c r="AF138">
        <v>0</v>
      </c>
      <c r="AG138">
        <v>0</v>
      </c>
      <c r="AH138">
        <v>0</v>
      </c>
      <c r="AI138">
        <v>0</v>
      </c>
      <c r="AJ138">
        <v>0</v>
      </c>
      <c r="AK138">
        <v>0</v>
      </c>
      <c r="AL138">
        <v>417</v>
      </c>
      <c r="AM138">
        <v>0</v>
      </c>
      <c r="AN138">
        <v>-772</v>
      </c>
      <c r="AO138">
        <v>-84</v>
      </c>
      <c r="AP138">
        <v>287</v>
      </c>
      <c r="AQ138">
        <v>85</v>
      </c>
      <c r="AR138">
        <v>203</v>
      </c>
      <c r="AS138">
        <v>-771</v>
      </c>
      <c r="AT138">
        <v>214</v>
      </c>
      <c r="AU138">
        <v>1188</v>
      </c>
      <c r="AV138">
        <v>100</v>
      </c>
      <c r="AW138">
        <v>3.3</v>
      </c>
      <c r="AX138">
        <v>6</v>
      </c>
      <c r="AY138">
        <v>1.4</v>
      </c>
      <c r="AZ138">
        <v>80.5</v>
      </c>
      <c r="BA138">
        <v>74.8</v>
      </c>
      <c r="BB138">
        <v>85.2</v>
      </c>
      <c r="BC138">
        <v>82.2</v>
      </c>
      <c r="BD138">
        <v>14.8</v>
      </c>
      <c r="BE138">
        <v>17.8</v>
      </c>
      <c r="BF138">
        <v>100</v>
      </c>
      <c r="BG138">
        <v>3.3</v>
      </c>
      <c r="BH138">
        <v>6</v>
      </c>
      <c r="BI138">
        <v>1.4</v>
      </c>
      <c r="BJ138">
        <v>80.5</v>
      </c>
      <c r="BK138">
        <v>74.8</v>
      </c>
      <c r="BL138">
        <v>85.2</v>
      </c>
      <c r="BM138">
        <v>82.2</v>
      </c>
      <c r="BN138">
        <v>14.8</v>
      </c>
      <c r="BO138">
        <v>17.8</v>
      </c>
      <c r="BP138">
        <v>0</v>
      </c>
      <c r="BQ138">
        <v>0</v>
      </c>
      <c r="BR138">
        <v>0</v>
      </c>
      <c r="BS138">
        <v>0</v>
      </c>
      <c r="BT138">
        <v>0</v>
      </c>
      <c r="BU138">
        <v>0</v>
      </c>
      <c r="BV138">
        <v>0</v>
      </c>
      <c r="BW138">
        <v>0</v>
      </c>
      <c r="BX138">
        <v>0</v>
      </c>
      <c r="BY138">
        <v>0</v>
      </c>
      <c r="BZ138">
        <v>32</v>
      </c>
      <c r="CA138">
        <v>1</v>
      </c>
      <c r="CB138">
        <v>2</v>
      </c>
      <c r="CC138">
        <v>3</v>
      </c>
      <c r="CD138">
        <v>24</v>
      </c>
      <c r="CE138">
        <v>25</v>
      </c>
      <c r="CF138">
        <v>27</v>
      </c>
      <c r="CG138">
        <v>28</v>
      </c>
      <c r="CH138">
        <v>32</v>
      </c>
      <c r="CI138">
        <v>1</v>
      </c>
      <c r="CJ138">
        <v>2</v>
      </c>
      <c r="CK138">
        <v>3</v>
      </c>
      <c r="CL138">
        <v>24</v>
      </c>
      <c r="CM138">
        <v>25</v>
      </c>
      <c r="CN138">
        <v>27</v>
      </c>
      <c r="CO138">
        <v>28</v>
      </c>
      <c r="CP138">
        <v>0</v>
      </c>
      <c r="CQ138">
        <v>0</v>
      </c>
      <c r="CR138">
        <v>0</v>
      </c>
      <c r="CS138">
        <v>0</v>
      </c>
      <c r="CT138">
        <v>0</v>
      </c>
      <c r="CU138">
        <v>0</v>
      </c>
      <c r="CV138">
        <v>0</v>
      </c>
      <c r="CW138">
        <v>0</v>
      </c>
      <c r="CX138">
        <v>41.1</v>
      </c>
      <c r="CY138">
        <v>47.6</v>
      </c>
      <c r="CZ138">
        <v>63.2</v>
      </c>
      <c r="DA138">
        <v>61.7</v>
      </c>
      <c r="DB138">
        <v>32.700000000000003</v>
      </c>
      <c r="DC138">
        <v>45</v>
      </c>
      <c r="DD138">
        <v>53.1</v>
      </c>
      <c r="DE138">
        <v>56.8</v>
      </c>
      <c r="DF138">
        <v>41.1</v>
      </c>
      <c r="DG138">
        <v>47.6</v>
      </c>
      <c r="DH138">
        <v>63.2</v>
      </c>
      <c r="DI138">
        <v>61.7</v>
      </c>
      <c r="DJ138">
        <v>32.700000000000003</v>
      </c>
      <c r="DK138">
        <v>45</v>
      </c>
      <c r="DL138">
        <v>53.1</v>
      </c>
      <c r="DM138">
        <v>56.8</v>
      </c>
      <c r="DN138">
        <v>0</v>
      </c>
      <c r="DO138">
        <v>0</v>
      </c>
      <c r="DP138">
        <v>0</v>
      </c>
      <c r="DQ138">
        <v>0</v>
      </c>
      <c r="DR138">
        <v>0</v>
      </c>
      <c r="DS138">
        <v>0</v>
      </c>
      <c r="DT138">
        <v>0</v>
      </c>
      <c r="DU138">
        <v>0</v>
      </c>
      <c r="DV138" t="s">
        <v>286</v>
      </c>
    </row>
    <row r="139" spans="1:126" x14ac:dyDescent="0.35">
      <c r="A139" t="s">
        <v>342</v>
      </c>
      <c r="B139">
        <v>230110</v>
      </c>
      <c r="C139" s="1">
        <v>44936</v>
      </c>
      <c r="D139" t="s">
        <v>343</v>
      </c>
      <c r="E139" t="s">
        <v>184</v>
      </c>
      <c r="F139" t="s">
        <v>185</v>
      </c>
      <c r="G139" t="s">
        <v>282</v>
      </c>
      <c r="H139">
        <v>81261</v>
      </c>
      <c r="I139" s="17">
        <v>2445</v>
      </c>
      <c r="J139" s="17">
        <v>0</v>
      </c>
      <c r="K139">
        <v>0</v>
      </c>
      <c r="L139">
        <v>74386</v>
      </c>
      <c r="M139">
        <v>78053</v>
      </c>
      <c r="N139">
        <v>76831</v>
      </c>
      <c r="O139">
        <v>78053</v>
      </c>
      <c r="P139">
        <v>4430</v>
      </c>
      <c r="Q139">
        <v>3208</v>
      </c>
      <c r="R139">
        <v>81261</v>
      </c>
      <c r="S139">
        <v>2445</v>
      </c>
      <c r="T139">
        <v>0</v>
      </c>
      <c r="U139">
        <v>0</v>
      </c>
      <c r="V139">
        <v>74386</v>
      </c>
      <c r="W139">
        <v>78053</v>
      </c>
      <c r="X139">
        <v>76831</v>
      </c>
      <c r="Y139">
        <v>78053</v>
      </c>
      <c r="Z139">
        <v>4430</v>
      </c>
      <c r="AA139">
        <v>3208</v>
      </c>
      <c r="AB139">
        <v>0</v>
      </c>
      <c r="AC139">
        <v>0</v>
      </c>
      <c r="AD139">
        <v>0</v>
      </c>
      <c r="AE139">
        <v>0</v>
      </c>
      <c r="AF139">
        <v>0</v>
      </c>
      <c r="AG139">
        <v>0</v>
      </c>
      <c r="AH139">
        <v>0</v>
      </c>
      <c r="AI139">
        <v>0</v>
      </c>
      <c r="AJ139">
        <v>0</v>
      </c>
      <c r="AK139">
        <v>0</v>
      </c>
      <c r="AL139">
        <v>-5342</v>
      </c>
      <c r="AM139">
        <v>0</v>
      </c>
      <c r="AN139">
        <v>0</v>
      </c>
      <c r="AO139">
        <v>0</v>
      </c>
      <c r="AP139">
        <v>-6280</v>
      </c>
      <c r="AQ139">
        <v>-2788</v>
      </c>
      <c r="AR139">
        <v>-6280</v>
      </c>
      <c r="AS139">
        <v>-2788</v>
      </c>
      <c r="AT139">
        <v>938</v>
      </c>
      <c r="AU139">
        <v>-2554</v>
      </c>
      <c r="AV139">
        <v>100</v>
      </c>
      <c r="AW139">
        <v>3</v>
      </c>
      <c r="AX139">
        <v>0</v>
      </c>
      <c r="AY139">
        <v>0</v>
      </c>
      <c r="AZ139">
        <v>91.5</v>
      </c>
      <c r="BA139">
        <v>96.1</v>
      </c>
      <c r="BB139">
        <v>94.5</v>
      </c>
      <c r="BC139">
        <v>96.1</v>
      </c>
      <c r="BD139">
        <v>5.5</v>
      </c>
      <c r="BE139">
        <v>3.9</v>
      </c>
      <c r="BF139">
        <v>100</v>
      </c>
      <c r="BG139">
        <v>3</v>
      </c>
      <c r="BH139">
        <v>0</v>
      </c>
      <c r="BI139">
        <v>0</v>
      </c>
      <c r="BJ139">
        <v>91.5</v>
      </c>
      <c r="BK139">
        <v>96.1</v>
      </c>
      <c r="BL139">
        <v>94.5</v>
      </c>
      <c r="BM139">
        <v>96.1</v>
      </c>
      <c r="BN139">
        <v>5.5</v>
      </c>
      <c r="BO139">
        <v>3.9</v>
      </c>
      <c r="BP139">
        <v>0</v>
      </c>
      <c r="BQ139">
        <v>0</v>
      </c>
      <c r="BR139">
        <v>0</v>
      </c>
      <c r="BS139">
        <v>0</v>
      </c>
      <c r="BT139">
        <v>0</v>
      </c>
      <c r="BU139">
        <v>0</v>
      </c>
      <c r="BV139">
        <v>0</v>
      </c>
      <c r="BW139">
        <v>0</v>
      </c>
      <c r="BX139">
        <v>0</v>
      </c>
      <c r="BY139">
        <v>0</v>
      </c>
      <c r="BZ139">
        <v>25</v>
      </c>
      <c r="CA139">
        <v>1</v>
      </c>
      <c r="CB139">
        <v>0</v>
      </c>
      <c r="CC139">
        <v>0</v>
      </c>
      <c r="CD139">
        <v>14</v>
      </c>
      <c r="CE139">
        <v>16</v>
      </c>
      <c r="CF139">
        <v>15</v>
      </c>
      <c r="CG139">
        <v>16</v>
      </c>
      <c r="CH139">
        <v>25</v>
      </c>
      <c r="CI139">
        <v>1</v>
      </c>
      <c r="CJ139">
        <v>0</v>
      </c>
      <c r="CK139">
        <v>0</v>
      </c>
      <c r="CL139">
        <v>14</v>
      </c>
      <c r="CM139">
        <v>16</v>
      </c>
      <c r="CN139">
        <v>15</v>
      </c>
      <c r="CO139">
        <v>16</v>
      </c>
      <c r="CP139">
        <v>0</v>
      </c>
      <c r="CQ139">
        <v>0</v>
      </c>
      <c r="CR139">
        <v>0</v>
      </c>
      <c r="CS139">
        <v>0</v>
      </c>
      <c r="CT139">
        <v>0</v>
      </c>
      <c r="CU139">
        <v>0</v>
      </c>
      <c r="CV139">
        <v>0</v>
      </c>
      <c r="CW139">
        <v>0</v>
      </c>
      <c r="CX139">
        <v>49.5</v>
      </c>
      <c r="CY139">
        <v>66.900000000000006</v>
      </c>
      <c r="CZ139">
        <v>78.900000000000006</v>
      </c>
      <c r="DA139">
        <v>87.2</v>
      </c>
      <c r="DB139">
        <v>45.1</v>
      </c>
      <c r="DC139">
        <v>66.900000000000006</v>
      </c>
      <c r="DD139">
        <v>72.099999999999994</v>
      </c>
      <c r="DE139">
        <v>85.2</v>
      </c>
      <c r="DF139">
        <v>49.5</v>
      </c>
      <c r="DG139">
        <v>66.900000000000006</v>
      </c>
      <c r="DH139">
        <v>78.900000000000006</v>
      </c>
      <c r="DI139">
        <v>87.2</v>
      </c>
      <c r="DJ139">
        <v>45.1</v>
      </c>
      <c r="DK139">
        <v>66.900000000000006</v>
      </c>
      <c r="DL139">
        <v>72.099999999999994</v>
      </c>
      <c r="DM139">
        <v>85.2</v>
      </c>
      <c r="DN139">
        <v>0</v>
      </c>
      <c r="DO139">
        <v>0</v>
      </c>
      <c r="DP139">
        <v>0</v>
      </c>
      <c r="DQ139">
        <v>0</v>
      </c>
      <c r="DR139">
        <v>0</v>
      </c>
      <c r="DS139">
        <v>0</v>
      </c>
      <c r="DT139">
        <v>0</v>
      </c>
      <c r="DU139">
        <v>0</v>
      </c>
      <c r="DV139" t="s">
        <v>286</v>
      </c>
    </row>
    <row r="140" spans="1:126" x14ac:dyDescent="0.35">
      <c r="A140" t="s">
        <v>342</v>
      </c>
      <c r="B140">
        <v>230103</v>
      </c>
      <c r="C140" s="1">
        <v>44929</v>
      </c>
      <c r="D140" t="s">
        <v>343</v>
      </c>
      <c r="E140" t="s">
        <v>184</v>
      </c>
      <c r="F140" t="s">
        <v>185</v>
      </c>
      <c r="G140" t="s">
        <v>282</v>
      </c>
      <c r="H140">
        <v>86603</v>
      </c>
      <c r="I140" s="17">
        <v>2445</v>
      </c>
      <c r="J140" s="17">
        <v>0</v>
      </c>
      <c r="K140">
        <v>0</v>
      </c>
      <c r="L140">
        <v>80666</v>
      </c>
      <c r="M140">
        <v>80841</v>
      </c>
      <c r="N140">
        <v>83111</v>
      </c>
      <c r="O140">
        <v>80841</v>
      </c>
      <c r="P140">
        <v>3492</v>
      </c>
      <c r="Q140">
        <v>5762</v>
      </c>
      <c r="R140">
        <v>86603</v>
      </c>
      <c r="S140">
        <v>2445</v>
      </c>
      <c r="T140">
        <v>0</v>
      </c>
      <c r="U140">
        <v>0</v>
      </c>
      <c r="V140">
        <v>80666</v>
      </c>
      <c r="W140">
        <v>80841</v>
      </c>
      <c r="X140">
        <v>83111</v>
      </c>
      <c r="Y140">
        <v>80841</v>
      </c>
      <c r="Z140">
        <v>3492</v>
      </c>
      <c r="AA140">
        <v>5762</v>
      </c>
      <c r="AB140">
        <v>0</v>
      </c>
      <c r="AC140">
        <v>0</v>
      </c>
      <c r="AD140">
        <v>0</v>
      </c>
      <c r="AE140">
        <v>0</v>
      </c>
      <c r="AF140">
        <v>0</v>
      </c>
      <c r="AG140">
        <v>0</v>
      </c>
      <c r="AH140">
        <v>0</v>
      </c>
      <c r="AI140">
        <v>0</v>
      </c>
      <c r="AJ140">
        <v>0</v>
      </c>
      <c r="AK140">
        <v>0</v>
      </c>
      <c r="AL140">
        <v>450</v>
      </c>
      <c r="AM140">
        <v>0</v>
      </c>
      <c r="AN140">
        <v>0</v>
      </c>
      <c r="AO140">
        <v>0</v>
      </c>
      <c r="AP140">
        <v>236</v>
      </c>
      <c r="AQ140">
        <v>456</v>
      </c>
      <c r="AR140">
        <v>236</v>
      </c>
      <c r="AS140">
        <v>456</v>
      </c>
      <c r="AT140">
        <v>214</v>
      </c>
      <c r="AU140">
        <v>-6</v>
      </c>
      <c r="AV140">
        <v>100</v>
      </c>
      <c r="AW140">
        <v>2.8</v>
      </c>
      <c r="AX140">
        <v>0</v>
      </c>
      <c r="AY140">
        <v>0</v>
      </c>
      <c r="AZ140">
        <v>93.1</v>
      </c>
      <c r="BA140">
        <v>93.3</v>
      </c>
      <c r="BB140">
        <v>96</v>
      </c>
      <c r="BC140">
        <v>93.3</v>
      </c>
      <c r="BD140">
        <v>4</v>
      </c>
      <c r="BE140">
        <v>6.7</v>
      </c>
      <c r="BF140">
        <v>100</v>
      </c>
      <c r="BG140">
        <v>2.8</v>
      </c>
      <c r="BH140">
        <v>0</v>
      </c>
      <c r="BI140">
        <v>0</v>
      </c>
      <c r="BJ140">
        <v>93.1</v>
      </c>
      <c r="BK140">
        <v>93.3</v>
      </c>
      <c r="BL140">
        <v>96</v>
      </c>
      <c r="BM140">
        <v>93.3</v>
      </c>
      <c r="BN140">
        <v>4</v>
      </c>
      <c r="BO140">
        <v>6.7</v>
      </c>
      <c r="BP140">
        <v>0</v>
      </c>
      <c r="BQ140">
        <v>0</v>
      </c>
      <c r="BR140">
        <v>0</v>
      </c>
      <c r="BS140">
        <v>0</v>
      </c>
      <c r="BT140">
        <v>0</v>
      </c>
      <c r="BU140">
        <v>0</v>
      </c>
      <c r="BV140">
        <v>0</v>
      </c>
      <c r="BW140">
        <v>0</v>
      </c>
      <c r="BX140">
        <v>0</v>
      </c>
      <c r="BY140">
        <v>0</v>
      </c>
      <c r="BZ140">
        <v>25</v>
      </c>
      <c r="CA140">
        <v>1</v>
      </c>
      <c r="CB140">
        <v>0</v>
      </c>
      <c r="CC140">
        <v>0</v>
      </c>
      <c r="CD140">
        <v>16</v>
      </c>
      <c r="CE140">
        <v>17</v>
      </c>
      <c r="CF140">
        <v>17</v>
      </c>
      <c r="CG140">
        <v>17</v>
      </c>
      <c r="CH140">
        <v>25</v>
      </c>
      <c r="CI140">
        <v>1</v>
      </c>
      <c r="CJ140">
        <v>0</v>
      </c>
      <c r="CK140">
        <v>0</v>
      </c>
      <c r="CL140">
        <v>16</v>
      </c>
      <c r="CM140">
        <v>17</v>
      </c>
      <c r="CN140">
        <v>17</v>
      </c>
      <c r="CO140">
        <v>17</v>
      </c>
      <c r="CP140">
        <v>0</v>
      </c>
      <c r="CQ140">
        <v>0</v>
      </c>
      <c r="CR140">
        <v>0</v>
      </c>
      <c r="CS140">
        <v>0</v>
      </c>
      <c r="CT140">
        <v>0</v>
      </c>
      <c r="CU140">
        <v>0</v>
      </c>
      <c r="CV140">
        <v>0</v>
      </c>
      <c r="CW140">
        <v>0</v>
      </c>
      <c r="CX140">
        <v>47.8</v>
      </c>
      <c r="CY140">
        <v>64.2</v>
      </c>
      <c r="CZ140">
        <v>79.099999999999994</v>
      </c>
      <c r="DA140">
        <v>85.1</v>
      </c>
      <c r="DB140">
        <v>44.5</v>
      </c>
      <c r="DC140">
        <v>64.2</v>
      </c>
      <c r="DD140">
        <v>72.5</v>
      </c>
      <c r="DE140">
        <v>82</v>
      </c>
      <c r="DF140">
        <v>47.8</v>
      </c>
      <c r="DG140">
        <v>64.2</v>
      </c>
      <c r="DH140">
        <v>79.099999999999994</v>
      </c>
      <c r="DI140">
        <v>85.1</v>
      </c>
      <c r="DJ140">
        <v>44.5</v>
      </c>
      <c r="DK140">
        <v>64.2</v>
      </c>
      <c r="DL140">
        <v>72.5</v>
      </c>
      <c r="DM140">
        <v>82</v>
      </c>
      <c r="DN140">
        <v>0</v>
      </c>
      <c r="DO140">
        <v>0</v>
      </c>
      <c r="DP140">
        <v>0</v>
      </c>
      <c r="DQ140">
        <v>0</v>
      </c>
      <c r="DR140">
        <v>0</v>
      </c>
      <c r="DS140">
        <v>0</v>
      </c>
      <c r="DT140">
        <v>0</v>
      </c>
      <c r="DU140">
        <v>0</v>
      </c>
      <c r="DV140" t="s">
        <v>286</v>
      </c>
    </row>
    <row r="141" spans="1:126" x14ac:dyDescent="0.35">
      <c r="A141" t="s">
        <v>344</v>
      </c>
      <c r="B141">
        <v>230110</v>
      </c>
      <c r="C141" s="1">
        <v>44936</v>
      </c>
      <c r="D141" t="s">
        <v>345</v>
      </c>
      <c r="E141" t="s">
        <v>184</v>
      </c>
      <c r="F141" t="s">
        <v>185</v>
      </c>
      <c r="G141" t="s">
        <v>282</v>
      </c>
      <c r="H141">
        <v>43136</v>
      </c>
      <c r="I141" s="17">
        <v>0</v>
      </c>
      <c r="J141" s="17">
        <v>0</v>
      </c>
      <c r="K141">
        <v>0</v>
      </c>
      <c r="L141">
        <v>40400</v>
      </c>
      <c r="M141">
        <v>41256</v>
      </c>
      <c r="N141">
        <v>40400</v>
      </c>
      <c r="O141">
        <v>41256</v>
      </c>
      <c r="P141">
        <v>2736</v>
      </c>
      <c r="Q141">
        <v>1880</v>
      </c>
      <c r="R141">
        <v>43136</v>
      </c>
      <c r="S141">
        <v>0</v>
      </c>
      <c r="T141">
        <v>0</v>
      </c>
      <c r="U141">
        <v>0</v>
      </c>
      <c r="V141">
        <v>40400</v>
      </c>
      <c r="W141">
        <v>41256</v>
      </c>
      <c r="X141">
        <v>40400</v>
      </c>
      <c r="Y141">
        <v>41256</v>
      </c>
      <c r="Z141">
        <v>2736</v>
      </c>
      <c r="AA141">
        <v>1880</v>
      </c>
      <c r="AB141">
        <v>0</v>
      </c>
      <c r="AC141">
        <v>0</v>
      </c>
      <c r="AD141">
        <v>0</v>
      </c>
      <c r="AE141">
        <v>0</v>
      </c>
      <c r="AF141">
        <v>0</v>
      </c>
      <c r="AG141">
        <v>0</v>
      </c>
      <c r="AH141">
        <v>0</v>
      </c>
      <c r="AI141">
        <v>0</v>
      </c>
      <c r="AJ141">
        <v>0</v>
      </c>
      <c r="AK141">
        <v>0</v>
      </c>
      <c r="AL141">
        <v>-9022</v>
      </c>
      <c r="AM141">
        <v>0</v>
      </c>
      <c r="AN141">
        <v>0</v>
      </c>
      <c r="AO141">
        <v>0</v>
      </c>
      <c r="AP141">
        <v>-9193</v>
      </c>
      <c r="AQ141">
        <v>-9581</v>
      </c>
      <c r="AR141">
        <v>-9193</v>
      </c>
      <c r="AS141">
        <v>-9581</v>
      </c>
      <c r="AT141">
        <v>171</v>
      </c>
      <c r="AU141">
        <v>559</v>
      </c>
      <c r="AV141">
        <v>100</v>
      </c>
      <c r="AW141">
        <v>0</v>
      </c>
      <c r="AX141">
        <v>0</v>
      </c>
      <c r="AY141">
        <v>0</v>
      </c>
      <c r="AZ141">
        <v>93.7</v>
      </c>
      <c r="BA141">
        <v>95.6</v>
      </c>
      <c r="BB141">
        <v>93.7</v>
      </c>
      <c r="BC141">
        <v>95.6</v>
      </c>
      <c r="BD141">
        <v>6.3</v>
      </c>
      <c r="BE141">
        <v>4.4000000000000004</v>
      </c>
      <c r="BF141">
        <v>100</v>
      </c>
      <c r="BG141">
        <v>0</v>
      </c>
      <c r="BH141">
        <v>0</v>
      </c>
      <c r="BI141">
        <v>0</v>
      </c>
      <c r="BJ141">
        <v>93.7</v>
      </c>
      <c r="BK141">
        <v>95.6</v>
      </c>
      <c r="BL141">
        <v>93.7</v>
      </c>
      <c r="BM141">
        <v>95.6</v>
      </c>
      <c r="BN141">
        <v>6.3</v>
      </c>
      <c r="BO141">
        <v>4.4000000000000004</v>
      </c>
      <c r="BP141">
        <v>0</v>
      </c>
      <c r="BQ141">
        <v>0</v>
      </c>
      <c r="BR141">
        <v>0</v>
      </c>
      <c r="BS141">
        <v>0</v>
      </c>
      <c r="BT141">
        <v>0</v>
      </c>
      <c r="BU141">
        <v>0</v>
      </c>
      <c r="BV141">
        <v>0</v>
      </c>
      <c r="BW141">
        <v>0</v>
      </c>
      <c r="BX141">
        <v>0</v>
      </c>
      <c r="BY141">
        <v>0</v>
      </c>
      <c r="BZ141">
        <v>20</v>
      </c>
      <c r="CA141">
        <v>0</v>
      </c>
      <c r="CB141">
        <v>0</v>
      </c>
      <c r="CC141">
        <v>0</v>
      </c>
      <c r="CD141">
        <v>11</v>
      </c>
      <c r="CE141">
        <v>13</v>
      </c>
      <c r="CF141">
        <v>11</v>
      </c>
      <c r="CG141">
        <v>13</v>
      </c>
      <c r="CH141">
        <v>20</v>
      </c>
      <c r="CI141">
        <v>0</v>
      </c>
      <c r="CJ141">
        <v>0</v>
      </c>
      <c r="CK141">
        <v>0</v>
      </c>
      <c r="CL141">
        <v>11</v>
      </c>
      <c r="CM141">
        <v>13</v>
      </c>
      <c r="CN141">
        <v>11</v>
      </c>
      <c r="CO141">
        <v>13</v>
      </c>
      <c r="CP141">
        <v>0</v>
      </c>
      <c r="CQ141">
        <v>0</v>
      </c>
      <c r="CR141">
        <v>0</v>
      </c>
      <c r="CS141">
        <v>0</v>
      </c>
      <c r="CT141">
        <v>0</v>
      </c>
      <c r="CU141">
        <v>0</v>
      </c>
      <c r="CV141">
        <v>0</v>
      </c>
      <c r="CW141">
        <v>0</v>
      </c>
      <c r="CX141">
        <v>67.3</v>
      </c>
      <c r="CY141">
        <v>65.7</v>
      </c>
      <c r="CZ141">
        <v>89.4</v>
      </c>
      <c r="DA141">
        <v>86.9</v>
      </c>
      <c r="DB141">
        <v>60.5</v>
      </c>
      <c r="DC141">
        <v>65.7</v>
      </c>
      <c r="DD141">
        <v>82.2</v>
      </c>
      <c r="DE141">
        <v>83.3</v>
      </c>
      <c r="DF141">
        <v>67.3</v>
      </c>
      <c r="DG141">
        <v>65.7</v>
      </c>
      <c r="DH141">
        <v>89.4</v>
      </c>
      <c r="DI141">
        <v>86.9</v>
      </c>
      <c r="DJ141">
        <v>60.5</v>
      </c>
      <c r="DK141">
        <v>65.7</v>
      </c>
      <c r="DL141">
        <v>82.2</v>
      </c>
      <c r="DM141">
        <v>83.3</v>
      </c>
      <c r="DN141">
        <v>0</v>
      </c>
      <c r="DO141">
        <v>0</v>
      </c>
      <c r="DP141">
        <v>0</v>
      </c>
      <c r="DQ141">
        <v>0</v>
      </c>
      <c r="DR141">
        <v>0</v>
      </c>
      <c r="DS141">
        <v>0</v>
      </c>
      <c r="DT141">
        <v>0</v>
      </c>
      <c r="DU141">
        <v>0</v>
      </c>
      <c r="DV141" t="s">
        <v>286</v>
      </c>
    </row>
    <row r="142" spans="1:126" x14ac:dyDescent="0.35">
      <c r="A142" t="s">
        <v>344</v>
      </c>
      <c r="B142">
        <v>230103</v>
      </c>
      <c r="C142" s="1">
        <v>44929</v>
      </c>
      <c r="D142" t="s">
        <v>345</v>
      </c>
      <c r="E142" t="s">
        <v>184</v>
      </c>
      <c r="F142" t="s">
        <v>185</v>
      </c>
      <c r="G142" t="s">
        <v>282</v>
      </c>
      <c r="H142">
        <v>52158</v>
      </c>
      <c r="I142" s="17">
        <v>0</v>
      </c>
      <c r="J142" s="17">
        <v>0</v>
      </c>
      <c r="K142">
        <v>0</v>
      </c>
      <c r="L142">
        <v>49593</v>
      </c>
      <c r="M142">
        <v>50837</v>
      </c>
      <c r="N142">
        <v>49593</v>
      </c>
      <c r="O142">
        <v>50837</v>
      </c>
      <c r="P142">
        <v>2565</v>
      </c>
      <c r="Q142">
        <v>1321</v>
      </c>
      <c r="R142">
        <v>52158</v>
      </c>
      <c r="S142">
        <v>0</v>
      </c>
      <c r="T142">
        <v>0</v>
      </c>
      <c r="U142">
        <v>0</v>
      </c>
      <c r="V142">
        <v>49593</v>
      </c>
      <c r="W142">
        <v>50837</v>
      </c>
      <c r="X142">
        <v>49593</v>
      </c>
      <c r="Y142">
        <v>50837</v>
      </c>
      <c r="Z142">
        <v>2565</v>
      </c>
      <c r="AA142">
        <v>1321</v>
      </c>
      <c r="AB142">
        <v>0</v>
      </c>
      <c r="AC142">
        <v>0</v>
      </c>
      <c r="AD142">
        <v>0</v>
      </c>
      <c r="AE142">
        <v>0</v>
      </c>
      <c r="AF142">
        <v>0</v>
      </c>
      <c r="AG142">
        <v>0</v>
      </c>
      <c r="AH142">
        <v>0</v>
      </c>
      <c r="AI142">
        <v>0</v>
      </c>
      <c r="AJ142">
        <v>0</v>
      </c>
      <c r="AK142">
        <v>0</v>
      </c>
      <c r="AL142">
        <v>-217</v>
      </c>
      <c r="AM142">
        <v>0</v>
      </c>
      <c r="AN142">
        <v>0</v>
      </c>
      <c r="AO142">
        <v>0</v>
      </c>
      <c r="AP142">
        <v>-307</v>
      </c>
      <c r="AQ142">
        <v>-248</v>
      </c>
      <c r="AR142">
        <v>-307</v>
      </c>
      <c r="AS142">
        <v>-248</v>
      </c>
      <c r="AT142">
        <v>90</v>
      </c>
      <c r="AU142">
        <v>31</v>
      </c>
      <c r="AV142">
        <v>100</v>
      </c>
      <c r="AW142">
        <v>0</v>
      </c>
      <c r="AX142">
        <v>0</v>
      </c>
      <c r="AY142">
        <v>0</v>
      </c>
      <c r="AZ142">
        <v>95.1</v>
      </c>
      <c r="BA142">
        <v>97.5</v>
      </c>
      <c r="BB142">
        <v>95.1</v>
      </c>
      <c r="BC142">
        <v>97.5</v>
      </c>
      <c r="BD142">
        <v>4.9000000000000004</v>
      </c>
      <c r="BE142">
        <v>2.5</v>
      </c>
      <c r="BF142">
        <v>100</v>
      </c>
      <c r="BG142">
        <v>0</v>
      </c>
      <c r="BH142">
        <v>0</v>
      </c>
      <c r="BI142">
        <v>0</v>
      </c>
      <c r="BJ142">
        <v>95.1</v>
      </c>
      <c r="BK142">
        <v>97.5</v>
      </c>
      <c r="BL142">
        <v>95.1</v>
      </c>
      <c r="BM142">
        <v>97.5</v>
      </c>
      <c r="BN142">
        <v>4.9000000000000004</v>
      </c>
      <c r="BO142">
        <v>2.5</v>
      </c>
      <c r="BP142">
        <v>0</v>
      </c>
      <c r="BQ142">
        <v>0</v>
      </c>
      <c r="BR142">
        <v>0</v>
      </c>
      <c r="BS142">
        <v>0</v>
      </c>
      <c r="BT142">
        <v>0</v>
      </c>
      <c r="BU142">
        <v>0</v>
      </c>
      <c r="BV142">
        <v>0</v>
      </c>
      <c r="BW142">
        <v>0</v>
      </c>
      <c r="BX142">
        <v>0</v>
      </c>
      <c r="BY142">
        <v>0</v>
      </c>
      <c r="BZ142">
        <v>25</v>
      </c>
      <c r="CA142">
        <v>0</v>
      </c>
      <c r="CB142">
        <v>0</v>
      </c>
      <c r="CC142">
        <v>0</v>
      </c>
      <c r="CD142">
        <v>14</v>
      </c>
      <c r="CE142">
        <v>18</v>
      </c>
      <c r="CF142">
        <v>14</v>
      </c>
      <c r="CG142">
        <v>18</v>
      </c>
      <c r="CH142">
        <v>25</v>
      </c>
      <c r="CI142">
        <v>0</v>
      </c>
      <c r="CJ142">
        <v>0</v>
      </c>
      <c r="CK142">
        <v>0</v>
      </c>
      <c r="CL142">
        <v>14</v>
      </c>
      <c r="CM142">
        <v>18</v>
      </c>
      <c r="CN142">
        <v>14</v>
      </c>
      <c r="CO142">
        <v>18</v>
      </c>
      <c r="CP142">
        <v>0</v>
      </c>
      <c r="CQ142">
        <v>0</v>
      </c>
      <c r="CR142">
        <v>0</v>
      </c>
      <c r="CS142">
        <v>0</v>
      </c>
      <c r="CT142">
        <v>0</v>
      </c>
      <c r="CU142">
        <v>0</v>
      </c>
      <c r="CV142">
        <v>0</v>
      </c>
      <c r="CW142">
        <v>0</v>
      </c>
      <c r="CX142">
        <v>66.3</v>
      </c>
      <c r="CY142">
        <v>64.099999999999994</v>
      </c>
      <c r="CZ142">
        <v>87.3</v>
      </c>
      <c r="DA142">
        <v>84</v>
      </c>
      <c r="DB142">
        <v>60.2</v>
      </c>
      <c r="DC142">
        <v>64.099999999999994</v>
      </c>
      <c r="DD142">
        <v>81</v>
      </c>
      <c r="DE142">
        <v>81.3</v>
      </c>
      <c r="DF142">
        <v>66.3</v>
      </c>
      <c r="DG142">
        <v>64.099999999999994</v>
      </c>
      <c r="DH142">
        <v>87.3</v>
      </c>
      <c r="DI142">
        <v>84</v>
      </c>
      <c r="DJ142">
        <v>60.2</v>
      </c>
      <c r="DK142">
        <v>64.099999999999994</v>
      </c>
      <c r="DL142">
        <v>81</v>
      </c>
      <c r="DM142">
        <v>81.3</v>
      </c>
      <c r="DN142">
        <v>0</v>
      </c>
      <c r="DO142">
        <v>0</v>
      </c>
      <c r="DP142">
        <v>0</v>
      </c>
      <c r="DQ142">
        <v>0</v>
      </c>
      <c r="DR142">
        <v>0</v>
      </c>
      <c r="DS142">
        <v>0</v>
      </c>
      <c r="DT142">
        <v>0</v>
      </c>
      <c r="DU142">
        <v>0</v>
      </c>
      <c r="DV142" t="s">
        <v>286</v>
      </c>
    </row>
    <row r="143" spans="1:126" x14ac:dyDescent="0.35">
      <c r="A143" t="s">
        <v>346</v>
      </c>
      <c r="B143">
        <v>230110</v>
      </c>
      <c r="C143" s="1">
        <v>44936</v>
      </c>
      <c r="D143" t="s">
        <v>347</v>
      </c>
      <c r="E143" t="s">
        <v>184</v>
      </c>
      <c r="F143" t="s">
        <v>185</v>
      </c>
      <c r="G143" t="s">
        <v>282</v>
      </c>
      <c r="H143">
        <v>174906</v>
      </c>
      <c r="I143" s="17">
        <v>1668</v>
      </c>
      <c r="J143" s="17">
        <v>4867</v>
      </c>
      <c r="K143">
        <v>4168</v>
      </c>
      <c r="L143">
        <v>161248</v>
      </c>
      <c r="M143">
        <v>158002</v>
      </c>
      <c r="N143">
        <v>167084</v>
      </c>
      <c r="O143">
        <v>167037</v>
      </c>
      <c r="P143">
        <v>7822</v>
      </c>
      <c r="Q143">
        <v>7869</v>
      </c>
      <c r="R143">
        <v>174906</v>
      </c>
      <c r="S143">
        <v>1668</v>
      </c>
      <c r="T143">
        <v>4867</v>
      </c>
      <c r="U143">
        <v>4168</v>
      </c>
      <c r="V143">
        <v>161248</v>
      </c>
      <c r="W143">
        <v>158002</v>
      </c>
      <c r="X143">
        <v>167084</v>
      </c>
      <c r="Y143">
        <v>167037</v>
      </c>
      <c r="Z143">
        <v>7822</v>
      </c>
      <c r="AA143">
        <v>7869</v>
      </c>
      <c r="AB143">
        <v>0</v>
      </c>
      <c r="AC143">
        <v>0</v>
      </c>
      <c r="AD143">
        <v>0</v>
      </c>
      <c r="AE143">
        <v>0</v>
      </c>
      <c r="AF143">
        <v>0</v>
      </c>
      <c r="AG143">
        <v>0</v>
      </c>
      <c r="AH143">
        <v>0</v>
      </c>
      <c r="AI143">
        <v>0</v>
      </c>
      <c r="AJ143">
        <v>0</v>
      </c>
      <c r="AK143">
        <v>0</v>
      </c>
      <c r="AL143">
        <v>-14766</v>
      </c>
      <c r="AM143">
        <v>-1558</v>
      </c>
      <c r="AN143">
        <v>-2527</v>
      </c>
      <c r="AO143">
        <v>869</v>
      </c>
      <c r="AP143">
        <v>-12927</v>
      </c>
      <c r="AQ143">
        <v>-13304</v>
      </c>
      <c r="AR143">
        <v>-13616</v>
      </c>
      <c r="AS143">
        <v>-14962</v>
      </c>
      <c r="AT143">
        <v>-1150</v>
      </c>
      <c r="AU143">
        <v>196</v>
      </c>
      <c r="AV143">
        <v>100</v>
      </c>
      <c r="AW143">
        <v>1</v>
      </c>
      <c r="AX143">
        <v>2.8</v>
      </c>
      <c r="AY143">
        <v>2.4</v>
      </c>
      <c r="AZ143">
        <v>92.2</v>
      </c>
      <c r="BA143">
        <v>90.3</v>
      </c>
      <c r="BB143">
        <v>95.5</v>
      </c>
      <c r="BC143">
        <v>95.5</v>
      </c>
      <c r="BD143">
        <v>4.5</v>
      </c>
      <c r="BE143">
        <v>4.5</v>
      </c>
      <c r="BF143">
        <v>100</v>
      </c>
      <c r="BG143">
        <v>1</v>
      </c>
      <c r="BH143">
        <v>2.8</v>
      </c>
      <c r="BI143">
        <v>2.4</v>
      </c>
      <c r="BJ143">
        <v>92.2</v>
      </c>
      <c r="BK143">
        <v>90.3</v>
      </c>
      <c r="BL143">
        <v>95.5</v>
      </c>
      <c r="BM143">
        <v>95.5</v>
      </c>
      <c r="BN143">
        <v>4.5</v>
      </c>
      <c r="BO143">
        <v>4.5</v>
      </c>
      <c r="BP143">
        <v>0</v>
      </c>
      <c r="BQ143">
        <v>0</v>
      </c>
      <c r="BR143">
        <v>0</v>
      </c>
      <c r="BS143">
        <v>0</v>
      </c>
      <c r="BT143">
        <v>0</v>
      </c>
      <c r="BU143">
        <v>0</v>
      </c>
      <c r="BV143">
        <v>0</v>
      </c>
      <c r="BW143">
        <v>0</v>
      </c>
      <c r="BX143">
        <v>0</v>
      </c>
      <c r="BY143">
        <v>0</v>
      </c>
      <c r="BZ143">
        <v>48</v>
      </c>
      <c r="CA143">
        <v>5</v>
      </c>
      <c r="CB143">
        <v>3</v>
      </c>
      <c r="CC143">
        <v>5</v>
      </c>
      <c r="CD143">
        <v>26</v>
      </c>
      <c r="CE143">
        <v>32</v>
      </c>
      <c r="CF143">
        <v>33</v>
      </c>
      <c r="CG143">
        <v>38</v>
      </c>
      <c r="CH143">
        <v>48</v>
      </c>
      <c r="CI143">
        <v>5</v>
      </c>
      <c r="CJ143">
        <v>3</v>
      </c>
      <c r="CK143">
        <v>5</v>
      </c>
      <c r="CL143">
        <v>26</v>
      </c>
      <c r="CM143">
        <v>32</v>
      </c>
      <c r="CN143">
        <v>33</v>
      </c>
      <c r="CO143">
        <v>38</v>
      </c>
      <c r="CP143">
        <v>0</v>
      </c>
      <c r="CQ143">
        <v>0</v>
      </c>
      <c r="CR143">
        <v>0</v>
      </c>
      <c r="CS143">
        <v>0</v>
      </c>
      <c r="CT143">
        <v>0</v>
      </c>
      <c r="CU143">
        <v>0</v>
      </c>
      <c r="CV143">
        <v>0</v>
      </c>
      <c r="CW143">
        <v>0</v>
      </c>
      <c r="CX143">
        <v>48.9</v>
      </c>
      <c r="CY143">
        <v>46.4</v>
      </c>
      <c r="CZ143">
        <v>72.3</v>
      </c>
      <c r="DA143">
        <v>62.8</v>
      </c>
      <c r="DB143">
        <v>48.9</v>
      </c>
      <c r="DC143">
        <v>46.4</v>
      </c>
      <c r="DD143">
        <v>67.599999999999994</v>
      </c>
      <c r="DE143">
        <v>60.6</v>
      </c>
      <c r="DF143">
        <v>48.9</v>
      </c>
      <c r="DG143">
        <v>46.4</v>
      </c>
      <c r="DH143">
        <v>72.3</v>
      </c>
      <c r="DI143">
        <v>62.8</v>
      </c>
      <c r="DJ143">
        <v>48.9</v>
      </c>
      <c r="DK143">
        <v>46.4</v>
      </c>
      <c r="DL143">
        <v>67.599999999999994</v>
      </c>
      <c r="DM143">
        <v>60.6</v>
      </c>
      <c r="DN143">
        <v>0</v>
      </c>
      <c r="DO143">
        <v>0</v>
      </c>
      <c r="DP143">
        <v>0</v>
      </c>
      <c r="DQ143">
        <v>0</v>
      </c>
      <c r="DR143">
        <v>0</v>
      </c>
      <c r="DS143">
        <v>0</v>
      </c>
      <c r="DT143">
        <v>0</v>
      </c>
      <c r="DU143">
        <v>0</v>
      </c>
      <c r="DV143" t="s">
        <v>308</v>
      </c>
    </row>
    <row r="144" spans="1:126" x14ac:dyDescent="0.35">
      <c r="A144" t="s">
        <v>346</v>
      </c>
      <c r="B144">
        <v>230103</v>
      </c>
      <c r="C144" s="1">
        <v>44929</v>
      </c>
      <c r="D144" t="s">
        <v>347</v>
      </c>
      <c r="E144" t="s">
        <v>184</v>
      </c>
      <c r="F144" t="s">
        <v>185</v>
      </c>
      <c r="G144" t="s">
        <v>282</v>
      </c>
      <c r="H144">
        <v>189672</v>
      </c>
      <c r="I144" s="17">
        <v>3226</v>
      </c>
      <c r="J144" s="17">
        <v>7394</v>
      </c>
      <c r="K144">
        <v>3299</v>
      </c>
      <c r="L144">
        <v>174175</v>
      </c>
      <c r="M144">
        <v>171306</v>
      </c>
      <c r="N144">
        <v>180700</v>
      </c>
      <c r="O144">
        <v>181999</v>
      </c>
      <c r="P144">
        <v>8972</v>
      </c>
      <c r="Q144">
        <v>7673</v>
      </c>
      <c r="R144">
        <v>189672</v>
      </c>
      <c r="S144">
        <v>3226</v>
      </c>
      <c r="T144">
        <v>7394</v>
      </c>
      <c r="U144">
        <v>3299</v>
      </c>
      <c r="V144">
        <v>174175</v>
      </c>
      <c r="W144">
        <v>171306</v>
      </c>
      <c r="X144">
        <v>180700</v>
      </c>
      <c r="Y144">
        <v>181999</v>
      </c>
      <c r="Z144">
        <v>8972</v>
      </c>
      <c r="AA144">
        <v>7673</v>
      </c>
      <c r="AB144">
        <v>0</v>
      </c>
      <c r="AC144">
        <v>0</v>
      </c>
      <c r="AD144">
        <v>0</v>
      </c>
      <c r="AE144">
        <v>0</v>
      </c>
      <c r="AF144">
        <v>0</v>
      </c>
      <c r="AG144">
        <v>0</v>
      </c>
      <c r="AH144">
        <v>0</v>
      </c>
      <c r="AI144">
        <v>0</v>
      </c>
      <c r="AJ144">
        <v>0</v>
      </c>
      <c r="AK144">
        <v>0</v>
      </c>
      <c r="AL144">
        <v>1529</v>
      </c>
      <c r="AM144">
        <v>1711</v>
      </c>
      <c r="AN144">
        <v>1852</v>
      </c>
      <c r="AO144">
        <v>-454</v>
      </c>
      <c r="AP144">
        <v>925</v>
      </c>
      <c r="AQ144">
        <v>-140</v>
      </c>
      <c r="AR144">
        <v>2182</v>
      </c>
      <c r="AS144">
        <v>1258</v>
      </c>
      <c r="AT144">
        <v>-653</v>
      </c>
      <c r="AU144">
        <v>271</v>
      </c>
      <c r="AV144">
        <v>100</v>
      </c>
      <c r="AW144">
        <v>1.7</v>
      </c>
      <c r="AX144">
        <v>3.9</v>
      </c>
      <c r="AY144">
        <v>1.7</v>
      </c>
      <c r="AZ144">
        <v>91.8</v>
      </c>
      <c r="BA144">
        <v>90.3</v>
      </c>
      <c r="BB144">
        <v>95.3</v>
      </c>
      <c r="BC144">
        <v>96</v>
      </c>
      <c r="BD144">
        <v>4.7</v>
      </c>
      <c r="BE144">
        <v>4</v>
      </c>
      <c r="BF144">
        <v>100</v>
      </c>
      <c r="BG144">
        <v>1.7</v>
      </c>
      <c r="BH144">
        <v>3.9</v>
      </c>
      <c r="BI144">
        <v>1.7</v>
      </c>
      <c r="BJ144">
        <v>91.8</v>
      </c>
      <c r="BK144">
        <v>90.3</v>
      </c>
      <c r="BL144">
        <v>95.3</v>
      </c>
      <c r="BM144">
        <v>96</v>
      </c>
      <c r="BN144">
        <v>4.7</v>
      </c>
      <c r="BO144">
        <v>4</v>
      </c>
      <c r="BP144">
        <v>0</v>
      </c>
      <c r="BQ144">
        <v>0</v>
      </c>
      <c r="BR144">
        <v>0</v>
      </c>
      <c r="BS144">
        <v>0</v>
      </c>
      <c r="BT144">
        <v>0</v>
      </c>
      <c r="BU144">
        <v>0</v>
      </c>
      <c r="BV144">
        <v>0</v>
      </c>
      <c r="BW144">
        <v>0</v>
      </c>
      <c r="BX144">
        <v>0</v>
      </c>
      <c r="BY144">
        <v>0</v>
      </c>
      <c r="BZ144">
        <v>49</v>
      </c>
      <c r="CA144">
        <v>5</v>
      </c>
      <c r="CB144">
        <v>4</v>
      </c>
      <c r="CC144">
        <v>4</v>
      </c>
      <c r="CD144">
        <v>25</v>
      </c>
      <c r="CE144">
        <v>32</v>
      </c>
      <c r="CF144">
        <v>33</v>
      </c>
      <c r="CG144">
        <v>37</v>
      </c>
      <c r="CH144">
        <v>49</v>
      </c>
      <c r="CI144">
        <v>5</v>
      </c>
      <c r="CJ144">
        <v>4</v>
      </c>
      <c r="CK144">
        <v>4</v>
      </c>
      <c r="CL144">
        <v>25</v>
      </c>
      <c r="CM144">
        <v>32</v>
      </c>
      <c r="CN144">
        <v>33</v>
      </c>
      <c r="CO144">
        <v>37</v>
      </c>
      <c r="CP144">
        <v>0</v>
      </c>
      <c r="CQ144">
        <v>0</v>
      </c>
      <c r="CR144">
        <v>0</v>
      </c>
      <c r="CS144">
        <v>0</v>
      </c>
      <c r="CT144">
        <v>0</v>
      </c>
      <c r="CU144">
        <v>0</v>
      </c>
      <c r="CV144">
        <v>0</v>
      </c>
      <c r="CW144">
        <v>0</v>
      </c>
      <c r="CX144">
        <v>48.5</v>
      </c>
      <c r="CY144">
        <v>45</v>
      </c>
      <c r="CZ144">
        <v>71.7</v>
      </c>
      <c r="DA144">
        <v>61.2</v>
      </c>
      <c r="DB144">
        <v>48.2</v>
      </c>
      <c r="DC144">
        <v>45</v>
      </c>
      <c r="DD144">
        <v>67.3</v>
      </c>
      <c r="DE144">
        <v>59.1</v>
      </c>
      <c r="DF144">
        <v>48.5</v>
      </c>
      <c r="DG144">
        <v>45</v>
      </c>
      <c r="DH144">
        <v>71.7</v>
      </c>
      <c r="DI144">
        <v>61.2</v>
      </c>
      <c r="DJ144">
        <v>48.2</v>
      </c>
      <c r="DK144">
        <v>45</v>
      </c>
      <c r="DL144">
        <v>67.3</v>
      </c>
      <c r="DM144">
        <v>59.1</v>
      </c>
      <c r="DN144">
        <v>0</v>
      </c>
      <c r="DO144">
        <v>0</v>
      </c>
      <c r="DP144">
        <v>0</v>
      </c>
      <c r="DQ144">
        <v>0</v>
      </c>
      <c r="DR144">
        <v>0</v>
      </c>
      <c r="DS144">
        <v>0</v>
      </c>
      <c r="DT144">
        <v>0</v>
      </c>
      <c r="DU144">
        <v>0</v>
      </c>
      <c r="DV144" t="s">
        <v>308</v>
      </c>
    </row>
    <row r="145" spans="1:126" x14ac:dyDescent="0.35">
      <c r="A145" t="s">
        <v>348</v>
      </c>
      <c r="B145">
        <v>230110</v>
      </c>
      <c r="C145" s="1">
        <v>44936</v>
      </c>
      <c r="D145" t="s">
        <v>349</v>
      </c>
      <c r="E145" t="s">
        <v>184</v>
      </c>
      <c r="F145" t="s">
        <v>185</v>
      </c>
      <c r="G145" t="s">
        <v>282</v>
      </c>
      <c r="H145">
        <v>83543</v>
      </c>
      <c r="I145" s="17">
        <v>2885</v>
      </c>
      <c r="J145" s="17">
        <v>0</v>
      </c>
      <c r="K145">
        <v>112</v>
      </c>
      <c r="L145">
        <v>75428</v>
      </c>
      <c r="M145">
        <v>75208</v>
      </c>
      <c r="N145">
        <v>78425</v>
      </c>
      <c r="O145">
        <v>75320</v>
      </c>
      <c r="P145">
        <v>5118</v>
      </c>
      <c r="Q145">
        <v>8223</v>
      </c>
      <c r="R145">
        <v>83543</v>
      </c>
      <c r="S145">
        <v>2885</v>
      </c>
      <c r="T145">
        <v>0</v>
      </c>
      <c r="U145">
        <v>112</v>
      </c>
      <c r="V145">
        <v>75428</v>
      </c>
      <c r="W145">
        <v>75208</v>
      </c>
      <c r="X145">
        <v>78425</v>
      </c>
      <c r="Y145">
        <v>75320</v>
      </c>
      <c r="Z145">
        <v>5118</v>
      </c>
      <c r="AA145">
        <v>8223</v>
      </c>
      <c r="AB145">
        <v>0</v>
      </c>
      <c r="AC145">
        <v>0</v>
      </c>
      <c r="AD145">
        <v>0</v>
      </c>
      <c r="AE145">
        <v>0</v>
      </c>
      <c r="AF145">
        <v>0</v>
      </c>
      <c r="AG145">
        <v>0</v>
      </c>
      <c r="AH145">
        <v>0</v>
      </c>
      <c r="AI145">
        <v>0</v>
      </c>
      <c r="AJ145">
        <v>0</v>
      </c>
      <c r="AK145">
        <v>0</v>
      </c>
      <c r="AL145">
        <v>-6102</v>
      </c>
      <c r="AM145">
        <v>558</v>
      </c>
      <c r="AN145">
        <v>0</v>
      </c>
      <c r="AO145">
        <v>0</v>
      </c>
      <c r="AP145">
        <v>-7715</v>
      </c>
      <c r="AQ145">
        <v>-6604</v>
      </c>
      <c r="AR145">
        <v>-7157</v>
      </c>
      <c r="AS145">
        <v>-6604</v>
      </c>
      <c r="AT145">
        <v>1055</v>
      </c>
      <c r="AU145">
        <v>502</v>
      </c>
      <c r="AV145">
        <v>100</v>
      </c>
      <c r="AW145">
        <v>3.5</v>
      </c>
      <c r="AX145">
        <v>0</v>
      </c>
      <c r="AY145">
        <v>0.1</v>
      </c>
      <c r="AZ145">
        <v>90.3</v>
      </c>
      <c r="BA145">
        <v>90</v>
      </c>
      <c r="BB145">
        <v>93.9</v>
      </c>
      <c r="BC145">
        <v>90.2</v>
      </c>
      <c r="BD145">
        <v>6.1</v>
      </c>
      <c r="BE145">
        <v>9.8000000000000007</v>
      </c>
      <c r="BF145">
        <v>100</v>
      </c>
      <c r="BG145">
        <v>3.5</v>
      </c>
      <c r="BH145">
        <v>0</v>
      </c>
      <c r="BI145">
        <v>0.1</v>
      </c>
      <c r="BJ145">
        <v>90.3</v>
      </c>
      <c r="BK145">
        <v>90</v>
      </c>
      <c r="BL145">
        <v>93.9</v>
      </c>
      <c r="BM145">
        <v>90.2</v>
      </c>
      <c r="BN145">
        <v>6.1</v>
      </c>
      <c r="BO145">
        <v>9.8000000000000007</v>
      </c>
      <c r="BP145">
        <v>0</v>
      </c>
      <c r="BQ145">
        <v>0</v>
      </c>
      <c r="BR145">
        <v>0</v>
      </c>
      <c r="BS145">
        <v>0</v>
      </c>
      <c r="BT145">
        <v>0</v>
      </c>
      <c r="BU145">
        <v>0</v>
      </c>
      <c r="BV145">
        <v>0</v>
      </c>
      <c r="BW145">
        <v>0</v>
      </c>
      <c r="BX145">
        <v>0</v>
      </c>
      <c r="BY145">
        <v>0</v>
      </c>
      <c r="BZ145">
        <v>30</v>
      </c>
      <c r="CA145">
        <v>2</v>
      </c>
      <c r="CB145">
        <v>0</v>
      </c>
      <c r="CC145">
        <v>1</v>
      </c>
      <c r="CD145">
        <v>20</v>
      </c>
      <c r="CE145">
        <v>19</v>
      </c>
      <c r="CF145">
        <v>22</v>
      </c>
      <c r="CG145">
        <v>20</v>
      </c>
      <c r="CH145">
        <v>30</v>
      </c>
      <c r="CI145">
        <v>2</v>
      </c>
      <c r="CJ145">
        <v>0</v>
      </c>
      <c r="CK145">
        <v>1</v>
      </c>
      <c r="CL145">
        <v>20</v>
      </c>
      <c r="CM145">
        <v>19</v>
      </c>
      <c r="CN145">
        <v>22</v>
      </c>
      <c r="CO145">
        <v>20</v>
      </c>
      <c r="CP145">
        <v>0</v>
      </c>
      <c r="CQ145">
        <v>0</v>
      </c>
      <c r="CR145">
        <v>0</v>
      </c>
      <c r="CS145">
        <v>0</v>
      </c>
      <c r="CT145">
        <v>0</v>
      </c>
      <c r="CU145">
        <v>0</v>
      </c>
      <c r="CV145">
        <v>0</v>
      </c>
      <c r="CW145">
        <v>0</v>
      </c>
      <c r="CX145">
        <v>51.3</v>
      </c>
      <c r="CY145">
        <v>58.5</v>
      </c>
      <c r="CZ145">
        <v>72.8</v>
      </c>
      <c r="DA145">
        <v>74.2</v>
      </c>
      <c r="DB145">
        <v>49.3</v>
      </c>
      <c r="DC145">
        <v>55.4</v>
      </c>
      <c r="DD145">
        <v>70.900000000000006</v>
      </c>
      <c r="DE145">
        <v>70</v>
      </c>
      <c r="DF145">
        <v>51.3</v>
      </c>
      <c r="DG145">
        <v>58.5</v>
      </c>
      <c r="DH145">
        <v>72.8</v>
      </c>
      <c r="DI145">
        <v>74.2</v>
      </c>
      <c r="DJ145">
        <v>49.3</v>
      </c>
      <c r="DK145">
        <v>55.4</v>
      </c>
      <c r="DL145">
        <v>70.900000000000006</v>
      </c>
      <c r="DM145">
        <v>70</v>
      </c>
      <c r="DN145">
        <v>0</v>
      </c>
      <c r="DO145">
        <v>0</v>
      </c>
      <c r="DP145">
        <v>0</v>
      </c>
      <c r="DQ145">
        <v>0</v>
      </c>
      <c r="DR145">
        <v>0</v>
      </c>
      <c r="DS145">
        <v>0</v>
      </c>
      <c r="DT145">
        <v>0</v>
      </c>
      <c r="DU145">
        <v>0</v>
      </c>
      <c r="DV145" t="s">
        <v>283</v>
      </c>
    </row>
    <row r="146" spans="1:126" x14ac:dyDescent="0.35">
      <c r="A146" t="s">
        <v>348</v>
      </c>
      <c r="B146">
        <v>230103</v>
      </c>
      <c r="C146" s="1">
        <v>44929</v>
      </c>
      <c r="D146" t="s">
        <v>349</v>
      </c>
      <c r="E146" t="s">
        <v>184</v>
      </c>
      <c r="F146" t="s">
        <v>185</v>
      </c>
      <c r="G146" t="s">
        <v>282</v>
      </c>
      <c r="H146">
        <v>89645</v>
      </c>
      <c r="I146" s="17">
        <v>2327</v>
      </c>
      <c r="J146" s="17">
        <v>0</v>
      </c>
      <c r="K146">
        <v>112</v>
      </c>
      <c r="L146">
        <v>83143</v>
      </c>
      <c r="M146">
        <v>81812</v>
      </c>
      <c r="N146">
        <v>85582</v>
      </c>
      <c r="O146">
        <v>81924</v>
      </c>
      <c r="P146">
        <v>4063</v>
      </c>
      <c r="Q146">
        <v>7721</v>
      </c>
      <c r="R146">
        <v>89645</v>
      </c>
      <c r="S146">
        <v>2327</v>
      </c>
      <c r="T146">
        <v>0</v>
      </c>
      <c r="U146">
        <v>112</v>
      </c>
      <c r="V146">
        <v>83143</v>
      </c>
      <c r="W146">
        <v>81812</v>
      </c>
      <c r="X146">
        <v>85582</v>
      </c>
      <c r="Y146">
        <v>81924</v>
      </c>
      <c r="Z146">
        <v>4063</v>
      </c>
      <c r="AA146">
        <v>7721</v>
      </c>
      <c r="AB146">
        <v>0</v>
      </c>
      <c r="AC146">
        <v>0</v>
      </c>
      <c r="AD146">
        <v>0</v>
      </c>
      <c r="AE146">
        <v>0</v>
      </c>
      <c r="AF146">
        <v>0</v>
      </c>
      <c r="AG146">
        <v>0</v>
      </c>
      <c r="AH146">
        <v>0</v>
      </c>
      <c r="AI146">
        <v>0</v>
      </c>
      <c r="AJ146">
        <v>0</v>
      </c>
      <c r="AK146">
        <v>0</v>
      </c>
      <c r="AL146">
        <v>0</v>
      </c>
      <c r="AM146">
        <v>0</v>
      </c>
      <c r="AN146">
        <v>0</v>
      </c>
      <c r="AO146">
        <v>0</v>
      </c>
      <c r="AP146">
        <v>0</v>
      </c>
      <c r="AQ146">
        <v>0</v>
      </c>
      <c r="AR146">
        <v>0</v>
      </c>
      <c r="AS146">
        <v>0</v>
      </c>
      <c r="AT146">
        <v>0</v>
      </c>
      <c r="AU146">
        <v>0</v>
      </c>
      <c r="AV146">
        <v>100</v>
      </c>
      <c r="AW146">
        <v>2.6</v>
      </c>
      <c r="AX146">
        <v>0</v>
      </c>
      <c r="AY146">
        <v>0.1</v>
      </c>
      <c r="AZ146">
        <v>92.7</v>
      </c>
      <c r="BA146">
        <v>91.3</v>
      </c>
      <c r="BB146">
        <v>95.5</v>
      </c>
      <c r="BC146">
        <v>91.4</v>
      </c>
      <c r="BD146">
        <v>4.5</v>
      </c>
      <c r="BE146">
        <v>8.6</v>
      </c>
      <c r="BF146">
        <v>100</v>
      </c>
      <c r="BG146">
        <v>2.6</v>
      </c>
      <c r="BH146">
        <v>0</v>
      </c>
      <c r="BI146">
        <v>0.1</v>
      </c>
      <c r="BJ146">
        <v>92.7</v>
      </c>
      <c r="BK146">
        <v>91.3</v>
      </c>
      <c r="BL146">
        <v>95.5</v>
      </c>
      <c r="BM146">
        <v>91.4</v>
      </c>
      <c r="BN146">
        <v>4.5</v>
      </c>
      <c r="BO146">
        <v>8.6</v>
      </c>
      <c r="BP146">
        <v>0</v>
      </c>
      <c r="BQ146">
        <v>0</v>
      </c>
      <c r="BR146">
        <v>0</v>
      </c>
      <c r="BS146">
        <v>0</v>
      </c>
      <c r="BT146">
        <v>0</v>
      </c>
      <c r="BU146">
        <v>0</v>
      </c>
      <c r="BV146">
        <v>0</v>
      </c>
      <c r="BW146">
        <v>0</v>
      </c>
      <c r="BX146">
        <v>0</v>
      </c>
      <c r="BY146">
        <v>0</v>
      </c>
      <c r="BZ146">
        <v>33</v>
      </c>
      <c r="CA146">
        <v>3</v>
      </c>
      <c r="CB146">
        <v>0</v>
      </c>
      <c r="CC146">
        <v>1</v>
      </c>
      <c r="CD146">
        <v>22</v>
      </c>
      <c r="CE146">
        <v>21</v>
      </c>
      <c r="CF146">
        <v>25</v>
      </c>
      <c r="CG146">
        <v>22</v>
      </c>
      <c r="CH146">
        <v>33</v>
      </c>
      <c r="CI146">
        <v>3</v>
      </c>
      <c r="CJ146">
        <v>0</v>
      </c>
      <c r="CK146">
        <v>1</v>
      </c>
      <c r="CL146">
        <v>22</v>
      </c>
      <c r="CM146">
        <v>21</v>
      </c>
      <c r="CN146">
        <v>25</v>
      </c>
      <c r="CO146">
        <v>22</v>
      </c>
      <c r="CP146">
        <v>0</v>
      </c>
      <c r="CQ146">
        <v>0</v>
      </c>
      <c r="CR146">
        <v>0</v>
      </c>
      <c r="CS146">
        <v>0</v>
      </c>
      <c r="CT146">
        <v>0</v>
      </c>
      <c r="CU146">
        <v>0</v>
      </c>
      <c r="CV146">
        <v>0</v>
      </c>
      <c r="CW146">
        <v>0</v>
      </c>
      <c r="CX146">
        <v>47.6</v>
      </c>
      <c r="CY146">
        <v>52.4</v>
      </c>
      <c r="CZ146">
        <v>70.400000000000006</v>
      </c>
      <c r="DA146">
        <v>68.5</v>
      </c>
      <c r="DB146">
        <v>44.5</v>
      </c>
      <c r="DC146">
        <v>48.5</v>
      </c>
      <c r="DD146">
        <v>67.400000000000006</v>
      </c>
      <c r="DE146">
        <v>63.4</v>
      </c>
      <c r="DF146">
        <v>47.6</v>
      </c>
      <c r="DG146">
        <v>52.4</v>
      </c>
      <c r="DH146">
        <v>70.400000000000006</v>
      </c>
      <c r="DI146">
        <v>68.5</v>
      </c>
      <c r="DJ146">
        <v>44.5</v>
      </c>
      <c r="DK146">
        <v>48.5</v>
      </c>
      <c r="DL146">
        <v>67.400000000000006</v>
      </c>
      <c r="DM146">
        <v>63.4</v>
      </c>
      <c r="DN146">
        <v>0</v>
      </c>
      <c r="DO146">
        <v>0</v>
      </c>
      <c r="DP146">
        <v>0</v>
      </c>
      <c r="DQ146">
        <v>0</v>
      </c>
      <c r="DR146">
        <v>0</v>
      </c>
      <c r="DS146">
        <v>0</v>
      </c>
      <c r="DT146">
        <v>0</v>
      </c>
      <c r="DU146">
        <v>0</v>
      </c>
      <c r="DV146" t="s">
        <v>283</v>
      </c>
    </row>
    <row r="147" spans="1:126" x14ac:dyDescent="0.35">
      <c r="A147" t="s">
        <v>350</v>
      </c>
      <c r="B147">
        <v>230103</v>
      </c>
      <c r="C147" s="1">
        <v>44929</v>
      </c>
      <c r="D147" t="s">
        <v>351</v>
      </c>
      <c r="E147" t="s">
        <v>184</v>
      </c>
      <c r="F147" t="s">
        <v>185</v>
      </c>
      <c r="G147" t="s">
        <v>282</v>
      </c>
      <c r="H147">
        <v>29210</v>
      </c>
      <c r="I147" s="17">
        <v>372</v>
      </c>
      <c r="J147" s="17">
        <v>0</v>
      </c>
      <c r="K147">
        <v>0</v>
      </c>
      <c r="L147">
        <v>26783</v>
      </c>
      <c r="M147">
        <v>27883</v>
      </c>
      <c r="N147">
        <v>27155</v>
      </c>
      <c r="O147">
        <v>27883</v>
      </c>
      <c r="P147">
        <v>2055</v>
      </c>
      <c r="Q147">
        <v>1327</v>
      </c>
      <c r="R147">
        <v>29210</v>
      </c>
      <c r="S147">
        <v>372</v>
      </c>
      <c r="T147">
        <v>0</v>
      </c>
      <c r="U147">
        <v>0</v>
      </c>
      <c r="V147">
        <v>26783</v>
      </c>
      <c r="W147">
        <v>27883</v>
      </c>
      <c r="X147">
        <v>27155</v>
      </c>
      <c r="Y147">
        <v>27883</v>
      </c>
      <c r="Z147">
        <v>2055</v>
      </c>
      <c r="AA147">
        <v>1327</v>
      </c>
      <c r="AB147">
        <v>0</v>
      </c>
      <c r="AC147">
        <v>0</v>
      </c>
      <c r="AD147">
        <v>0</v>
      </c>
      <c r="AE147">
        <v>0</v>
      </c>
      <c r="AF147">
        <v>0</v>
      </c>
      <c r="AG147">
        <v>0</v>
      </c>
      <c r="AH147">
        <v>0</v>
      </c>
      <c r="AI147">
        <v>0</v>
      </c>
      <c r="AJ147">
        <v>0</v>
      </c>
      <c r="AK147">
        <v>0</v>
      </c>
      <c r="AL147">
        <v>465</v>
      </c>
      <c r="AM147">
        <v>0</v>
      </c>
      <c r="AN147">
        <v>0</v>
      </c>
      <c r="AO147">
        <v>0</v>
      </c>
      <c r="AP147">
        <v>341</v>
      </c>
      <c r="AQ147">
        <v>155</v>
      </c>
      <c r="AR147">
        <v>341</v>
      </c>
      <c r="AS147">
        <v>155</v>
      </c>
      <c r="AT147">
        <v>124</v>
      </c>
      <c r="AU147">
        <v>310</v>
      </c>
      <c r="AV147">
        <v>100</v>
      </c>
      <c r="AW147">
        <v>1.3</v>
      </c>
      <c r="AX147">
        <v>0</v>
      </c>
      <c r="AY147">
        <v>0</v>
      </c>
      <c r="AZ147">
        <v>91.7</v>
      </c>
      <c r="BA147">
        <v>95.5</v>
      </c>
      <c r="BB147">
        <v>93</v>
      </c>
      <c r="BC147">
        <v>95.5</v>
      </c>
      <c r="BD147">
        <v>7</v>
      </c>
      <c r="BE147">
        <v>4.5</v>
      </c>
      <c r="BF147">
        <v>100</v>
      </c>
      <c r="BG147">
        <v>1.3</v>
      </c>
      <c r="BH147">
        <v>0</v>
      </c>
      <c r="BI147">
        <v>0</v>
      </c>
      <c r="BJ147">
        <v>91.7</v>
      </c>
      <c r="BK147">
        <v>95.5</v>
      </c>
      <c r="BL147">
        <v>93</v>
      </c>
      <c r="BM147">
        <v>95.5</v>
      </c>
      <c r="BN147">
        <v>7</v>
      </c>
      <c r="BO147">
        <v>4.5</v>
      </c>
      <c r="BP147">
        <v>0</v>
      </c>
      <c r="BQ147">
        <v>0</v>
      </c>
      <c r="BR147">
        <v>0</v>
      </c>
      <c r="BS147">
        <v>0</v>
      </c>
      <c r="BT147">
        <v>0</v>
      </c>
      <c r="BU147">
        <v>0</v>
      </c>
      <c r="BV147">
        <v>0</v>
      </c>
      <c r="BW147">
        <v>0</v>
      </c>
      <c r="BX147">
        <v>0</v>
      </c>
      <c r="BY147">
        <v>0</v>
      </c>
      <c r="BZ147">
        <v>22</v>
      </c>
      <c r="CA147">
        <v>1</v>
      </c>
      <c r="CB147">
        <v>0</v>
      </c>
      <c r="CC147">
        <v>0</v>
      </c>
      <c r="CD147">
        <v>14</v>
      </c>
      <c r="CE147">
        <v>10</v>
      </c>
      <c r="CF147">
        <v>15</v>
      </c>
      <c r="CG147">
        <v>10</v>
      </c>
      <c r="CH147">
        <v>22</v>
      </c>
      <c r="CI147">
        <v>1</v>
      </c>
      <c r="CJ147">
        <v>0</v>
      </c>
      <c r="CK147">
        <v>0</v>
      </c>
      <c r="CL147">
        <v>14</v>
      </c>
      <c r="CM147">
        <v>10</v>
      </c>
      <c r="CN147">
        <v>15</v>
      </c>
      <c r="CO147">
        <v>10</v>
      </c>
      <c r="CP147">
        <v>0</v>
      </c>
      <c r="CQ147">
        <v>0</v>
      </c>
      <c r="CR147">
        <v>0</v>
      </c>
      <c r="CS147">
        <v>0</v>
      </c>
      <c r="CT147">
        <v>0</v>
      </c>
      <c r="CU147">
        <v>0</v>
      </c>
      <c r="CV147">
        <v>0</v>
      </c>
      <c r="CW147">
        <v>0</v>
      </c>
      <c r="CX147">
        <v>47.7</v>
      </c>
      <c r="CY147">
        <v>62.9</v>
      </c>
      <c r="CZ147">
        <v>72.400000000000006</v>
      </c>
      <c r="DA147">
        <v>92</v>
      </c>
      <c r="DB147">
        <v>43.9</v>
      </c>
      <c r="DC147">
        <v>62.3</v>
      </c>
      <c r="DD147">
        <v>65.2</v>
      </c>
      <c r="DE147">
        <v>83.2</v>
      </c>
      <c r="DF147">
        <v>47.7</v>
      </c>
      <c r="DG147">
        <v>62.9</v>
      </c>
      <c r="DH147">
        <v>72.400000000000006</v>
      </c>
      <c r="DI147">
        <v>92</v>
      </c>
      <c r="DJ147">
        <v>43.9</v>
      </c>
      <c r="DK147">
        <v>62.3</v>
      </c>
      <c r="DL147">
        <v>65.2</v>
      </c>
      <c r="DM147">
        <v>83.2</v>
      </c>
      <c r="DN147">
        <v>0</v>
      </c>
      <c r="DO147">
        <v>0</v>
      </c>
      <c r="DP147">
        <v>0</v>
      </c>
      <c r="DQ147">
        <v>0</v>
      </c>
      <c r="DR147">
        <v>0</v>
      </c>
      <c r="DS147">
        <v>0</v>
      </c>
      <c r="DT147">
        <v>0</v>
      </c>
      <c r="DU147">
        <v>0</v>
      </c>
      <c r="DV147" t="s">
        <v>352</v>
      </c>
    </row>
    <row r="148" spans="1:126" x14ac:dyDescent="0.35">
      <c r="A148" t="s">
        <v>353</v>
      </c>
      <c r="B148">
        <v>230110</v>
      </c>
      <c r="C148" s="1">
        <v>44936</v>
      </c>
      <c r="D148" t="s">
        <v>354</v>
      </c>
      <c r="E148" t="s">
        <v>184</v>
      </c>
      <c r="F148" t="s">
        <v>185</v>
      </c>
      <c r="G148" t="s">
        <v>282</v>
      </c>
      <c r="H148">
        <v>146397</v>
      </c>
      <c r="I148" s="17">
        <v>1445</v>
      </c>
      <c r="J148" s="17">
        <v>3514</v>
      </c>
      <c r="K148">
        <v>0</v>
      </c>
      <c r="L148">
        <v>141793</v>
      </c>
      <c r="M148">
        <v>137291</v>
      </c>
      <c r="N148">
        <v>143238</v>
      </c>
      <c r="O148">
        <v>140805</v>
      </c>
      <c r="P148">
        <v>3159</v>
      </c>
      <c r="Q148">
        <v>5592</v>
      </c>
      <c r="R148">
        <v>146397</v>
      </c>
      <c r="S148">
        <v>1445</v>
      </c>
      <c r="T148">
        <v>3514</v>
      </c>
      <c r="U148">
        <v>0</v>
      </c>
      <c r="V148">
        <v>141793</v>
      </c>
      <c r="W148">
        <v>137291</v>
      </c>
      <c r="X148">
        <v>143238</v>
      </c>
      <c r="Y148">
        <v>140805</v>
      </c>
      <c r="Z148">
        <v>3159</v>
      </c>
      <c r="AA148">
        <v>5592</v>
      </c>
      <c r="AB148">
        <v>0</v>
      </c>
      <c r="AC148">
        <v>0</v>
      </c>
      <c r="AD148">
        <v>0</v>
      </c>
      <c r="AE148">
        <v>0</v>
      </c>
      <c r="AF148">
        <v>0</v>
      </c>
      <c r="AG148">
        <v>0</v>
      </c>
      <c r="AH148">
        <v>0</v>
      </c>
      <c r="AI148">
        <v>0</v>
      </c>
      <c r="AJ148">
        <v>0</v>
      </c>
      <c r="AK148">
        <v>0</v>
      </c>
      <c r="AL148">
        <v>-9624</v>
      </c>
      <c r="AM148">
        <v>639</v>
      </c>
      <c r="AN148">
        <v>-655</v>
      </c>
      <c r="AO148">
        <v>0</v>
      </c>
      <c r="AP148">
        <v>-9586</v>
      </c>
      <c r="AQ148">
        <v>-10180</v>
      </c>
      <c r="AR148">
        <v>-8947</v>
      </c>
      <c r="AS148">
        <v>-10835</v>
      </c>
      <c r="AT148">
        <v>-677</v>
      </c>
      <c r="AU148">
        <v>1211</v>
      </c>
      <c r="AV148">
        <v>100</v>
      </c>
      <c r="AW148">
        <v>1</v>
      </c>
      <c r="AX148">
        <v>2.4</v>
      </c>
      <c r="AY148">
        <v>0</v>
      </c>
      <c r="AZ148">
        <v>96.9</v>
      </c>
      <c r="BA148">
        <v>93.8</v>
      </c>
      <c r="BB148">
        <v>97.8</v>
      </c>
      <c r="BC148">
        <v>96.2</v>
      </c>
      <c r="BD148">
        <v>2.2000000000000002</v>
      </c>
      <c r="BE148">
        <v>3.8</v>
      </c>
      <c r="BF148">
        <v>100</v>
      </c>
      <c r="BG148">
        <v>1</v>
      </c>
      <c r="BH148">
        <v>2.4</v>
      </c>
      <c r="BI148">
        <v>0</v>
      </c>
      <c r="BJ148">
        <v>96.9</v>
      </c>
      <c r="BK148">
        <v>93.8</v>
      </c>
      <c r="BL148">
        <v>97.8</v>
      </c>
      <c r="BM148">
        <v>96.2</v>
      </c>
      <c r="BN148">
        <v>2.2000000000000002</v>
      </c>
      <c r="BO148">
        <v>3.8</v>
      </c>
      <c r="BP148">
        <v>0</v>
      </c>
      <c r="BQ148">
        <v>0</v>
      </c>
      <c r="BR148">
        <v>0</v>
      </c>
      <c r="BS148">
        <v>0</v>
      </c>
      <c r="BT148">
        <v>0</v>
      </c>
      <c r="BU148">
        <v>0</v>
      </c>
      <c r="BV148">
        <v>0</v>
      </c>
      <c r="BW148">
        <v>0</v>
      </c>
      <c r="BX148">
        <v>0</v>
      </c>
      <c r="BY148">
        <v>0</v>
      </c>
      <c r="BZ148">
        <v>41</v>
      </c>
      <c r="CA148">
        <v>1</v>
      </c>
      <c r="CB148">
        <v>1</v>
      </c>
      <c r="CC148">
        <v>0</v>
      </c>
      <c r="CD148">
        <v>28</v>
      </c>
      <c r="CE148">
        <v>27</v>
      </c>
      <c r="CF148">
        <v>29</v>
      </c>
      <c r="CG148">
        <v>28</v>
      </c>
      <c r="CH148">
        <v>41</v>
      </c>
      <c r="CI148">
        <v>1</v>
      </c>
      <c r="CJ148">
        <v>1</v>
      </c>
      <c r="CK148">
        <v>0</v>
      </c>
      <c r="CL148">
        <v>28</v>
      </c>
      <c r="CM148">
        <v>27</v>
      </c>
      <c r="CN148">
        <v>29</v>
      </c>
      <c r="CO148">
        <v>28</v>
      </c>
      <c r="CP148">
        <v>0</v>
      </c>
      <c r="CQ148">
        <v>0</v>
      </c>
      <c r="CR148">
        <v>0</v>
      </c>
      <c r="CS148">
        <v>0</v>
      </c>
      <c r="CT148">
        <v>0</v>
      </c>
      <c r="CU148">
        <v>0</v>
      </c>
      <c r="CV148">
        <v>0</v>
      </c>
      <c r="CW148">
        <v>0</v>
      </c>
      <c r="CX148">
        <v>59.5</v>
      </c>
      <c r="CY148">
        <v>48.4</v>
      </c>
      <c r="CZ148">
        <v>73.099999999999994</v>
      </c>
      <c r="DA148">
        <v>66.3</v>
      </c>
      <c r="DB148">
        <v>55.7</v>
      </c>
      <c r="DC148">
        <v>46.1</v>
      </c>
      <c r="DD148">
        <v>68.599999999999994</v>
      </c>
      <c r="DE148">
        <v>62.1</v>
      </c>
      <c r="DF148">
        <v>59.5</v>
      </c>
      <c r="DG148">
        <v>48.4</v>
      </c>
      <c r="DH148">
        <v>73.099999999999994</v>
      </c>
      <c r="DI148">
        <v>66.3</v>
      </c>
      <c r="DJ148">
        <v>55.7</v>
      </c>
      <c r="DK148">
        <v>46.1</v>
      </c>
      <c r="DL148">
        <v>68.599999999999994</v>
      </c>
      <c r="DM148">
        <v>62.1</v>
      </c>
      <c r="DN148">
        <v>0</v>
      </c>
      <c r="DO148">
        <v>0</v>
      </c>
      <c r="DP148">
        <v>0</v>
      </c>
      <c r="DQ148">
        <v>0</v>
      </c>
      <c r="DR148">
        <v>0</v>
      </c>
      <c r="DS148">
        <v>0</v>
      </c>
      <c r="DT148">
        <v>0</v>
      </c>
      <c r="DU148">
        <v>0</v>
      </c>
      <c r="DV148" t="s">
        <v>352</v>
      </c>
    </row>
    <row r="149" spans="1:126" x14ac:dyDescent="0.35">
      <c r="A149" t="s">
        <v>353</v>
      </c>
      <c r="B149">
        <v>230103</v>
      </c>
      <c r="C149" s="1">
        <v>44929</v>
      </c>
      <c r="D149" t="s">
        <v>354</v>
      </c>
      <c r="E149" t="s">
        <v>184</v>
      </c>
      <c r="F149" t="s">
        <v>185</v>
      </c>
      <c r="G149" t="s">
        <v>282</v>
      </c>
      <c r="H149">
        <v>156021</v>
      </c>
      <c r="I149" s="17">
        <v>806</v>
      </c>
      <c r="J149" s="17">
        <v>4169</v>
      </c>
      <c r="K149">
        <v>0</v>
      </c>
      <c r="L149">
        <v>151379</v>
      </c>
      <c r="M149">
        <v>147471</v>
      </c>
      <c r="N149">
        <v>152185</v>
      </c>
      <c r="O149">
        <v>151640</v>
      </c>
      <c r="P149">
        <v>3836</v>
      </c>
      <c r="Q149">
        <v>4381</v>
      </c>
      <c r="R149">
        <v>156021</v>
      </c>
      <c r="S149">
        <v>806</v>
      </c>
      <c r="T149">
        <v>4169</v>
      </c>
      <c r="U149">
        <v>0</v>
      </c>
      <c r="V149">
        <v>151379</v>
      </c>
      <c r="W149">
        <v>147471</v>
      </c>
      <c r="X149">
        <v>152185</v>
      </c>
      <c r="Y149">
        <v>151640</v>
      </c>
      <c r="Z149">
        <v>3836</v>
      </c>
      <c r="AA149">
        <v>4381</v>
      </c>
      <c r="AB149">
        <v>0</v>
      </c>
      <c r="AC149">
        <v>0</v>
      </c>
      <c r="AD149">
        <v>0</v>
      </c>
      <c r="AE149">
        <v>0</v>
      </c>
      <c r="AF149">
        <v>0</v>
      </c>
      <c r="AG149">
        <v>0</v>
      </c>
      <c r="AH149">
        <v>0</v>
      </c>
      <c r="AI149">
        <v>0</v>
      </c>
      <c r="AJ149">
        <v>0</v>
      </c>
      <c r="AK149">
        <v>0</v>
      </c>
      <c r="AL149">
        <v>2469</v>
      </c>
      <c r="AM149">
        <v>186</v>
      </c>
      <c r="AN149">
        <v>158</v>
      </c>
      <c r="AO149">
        <v>0</v>
      </c>
      <c r="AP149">
        <v>2134</v>
      </c>
      <c r="AQ149">
        <v>1300</v>
      </c>
      <c r="AR149">
        <v>2320</v>
      </c>
      <c r="AS149">
        <v>1458</v>
      </c>
      <c r="AT149">
        <v>149</v>
      </c>
      <c r="AU149">
        <v>1011</v>
      </c>
      <c r="AV149">
        <v>100</v>
      </c>
      <c r="AW149">
        <v>0.5</v>
      </c>
      <c r="AX149">
        <v>2.7</v>
      </c>
      <c r="AY149">
        <v>0</v>
      </c>
      <c r="AZ149">
        <v>97</v>
      </c>
      <c r="BA149">
        <v>94.5</v>
      </c>
      <c r="BB149">
        <v>97.5</v>
      </c>
      <c r="BC149">
        <v>97.2</v>
      </c>
      <c r="BD149">
        <v>2.5</v>
      </c>
      <c r="BE149">
        <v>2.8</v>
      </c>
      <c r="BF149">
        <v>100</v>
      </c>
      <c r="BG149">
        <v>0.5</v>
      </c>
      <c r="BH149">
        <v>2.7</v>
      </c>
      <c r="BI149">
        <v>0</v>
      </c>
      <c r="BJ149">
        <v>97</v>
      </c>
      <c r="BK149">
        <v>94.5</v>
      </c>
      <c r="BL149">
        <v>97.5</v>
      </c>
      <c r="BM149">
        <v>97.2</v>
      </c>
      <c r="BN149">
        <v>2.5</v>
      </c>
      <c r="BO149">
        <v>2.8</v>
      </c>
      <c r="BP149">
        <v>0</v>
      </c>
      <c r="BQ149">
        <v>0</v>
      </c>
      <c r="BR149">
        <v>0</v>
      </c>
      <c r="BS149">
        <v>0</v>
      </c>
      <c r="BT149">
        <v>0</v>
      </c>
      <c r="BU149">
        <v>0</v>
      </c>
      <c r="BV149">
        <v>0</v>
      </c>
      <c r="BW149">
        <v>0</v>
      </c>
      <c r="BX149">
        <v>0</v>
      </c>
      <c r="BY149">
        <v>0</v>
      </c>
      <c r="BZ149">
        <v>45</v>
      </c>
      <c r="CA149">
        <v>1</v>
      </c>
      <c r="CB149">
        <v>2</v>
      </c>
      <c r="CC149">
        <v>0</v>
      </c>
      <c r="CD149">
        <v>30</v>
      </c>
      <c r="CE149">
        <v>29</v>
      </c>
      <c r="CF149">
        <v>31</v>
      </c>
      <c r="CG149">
        <v>31</v>
      </c>
      <c r="CH149">
        <v>45</v>
      </c>
      <c r="CI149">
        <v>1</v>
      </c>
      <c r="CJ149">
        <v>2</v>
      </c>
      <c r="CK149">
        <v>0</v>
      </c>
      <c r="CL149">
        <v>30</v>
      </c>
      <c r="CM149">
        <v>29</v>
      </c>
      <c r="CN149">
        <v>31</v>
      </c>
      <c r="CO149">
        <v>31</v>
      </c>
      <c r="CP149">
        <v>0</v>
      </c>
      <c r="CQ149">
        <v>0</v>
      </c>
      <c r="CR149">
        <v>0</v>
      </c>
      <c r="CS149">
        <v>0</v>
      </c>
      <c r="CT149">
        <v>0</v>
      </c>
      <c r="CU149">
        <v>0</v>
      </c>
      <c r="CV149">
        <v>0</v>
      </c>
      <c r="CW149">
        <v>0</v>
      </c>
      <c r="CX149">
        <v>59.3</v>
      </c>
      <c r="CY149">
        <v>47.7</v>
      </c>
      <c r="CZ149">
        <v>72.7</v>
      </c>
      <c r="DA149">
        <v>65.8</v>
      </c>
      <c r="DB149">
        <v>55.6</v>
      </c>
      <c r="DC149">
        <v>45.3</v>
      </c>
      <c r="DD149">
        <v>68.5</v>
      </c>
      <c r="DE149">
        <v>61.9</v>
      </c>
      <c r="DF149">
        <v>59.3</v>
      </c>
      <c r="DG149">
        <v>47.7</v>
      </c>
      <c r="DH149">
        <v>72.7</v>
      </c>
      <c r="DI149">
        <v>65.8</v>
      </c>
      <c r="DJ149">
        <v>55.6</v>
      </c>
      <c r="DK149">
        <v>45.3</v>
      </c>
      <c r="DL149">
        <v>68.5</v>
      </c>
      <c r="DM149">
        <v>61.9</v>
      </c>
      <c r="DN149">
        <v>0</v>
      </c>
      <c r="DO149">
        <v>0</v>
      </c>
      <c r="DP149">
        <v>0</v>
      </c>
      <c r="DQ149">
        <v>0</v>
      </c>
      <c r="DR149">
        <v>0</v>
      </c>
      <c r="DS149">
        <v>0</v>
      </c>
      <c r="DT149">
        <v>0</v>
      </c>
      <c r="DU149">
        <v>0</v>
      </c>
      <c r="DV149" t="s">
        <v>352</v>
      </c>
    </row>
    <row r="150" spans="1:126" x14ac:dyDescent="0.35">
      <c r="A150" t="s">
        <v>355</v>
      </c>
      <c r="B150">
        <v>230110</v>
      </c>
      <c r="C150" s="1">
        <v>44936</v>
      </c>
      <c r="D150" t="s">
        <v>356</v>
      </c>
      <c r="E150" t="s">
        <v>184</v>
      </c>
      <c r="F150" t="s">
        <v>185</v>
      </c>
      <c r="G150" t="s">
        <v>282</v>
      </c>
      <c r="H150">
        <v>45207</v>
      </c>
      <c r="I150" s="17">
        <v>0</v>
      </c>
      <c r="J150" s="17">
        <v>0</v>
      </c>
      <c r="K150">
        <v>0</v>
      </c>
      <c r="L150">
        <v>42849</v>
      </c>
      <c r="M150">
        <v>44035</v>
      </c>
      <c r="N150">
        <v>42849</v>
      </c>
      <c r="O150">
        <v>44035</v>
      </c>
      <c r="P150">
        <v>2358</v>
      </c>
      <c r="Q150">
        <v>1172</v>
      </c>
      <c r="R150">
        <v>45207</v>
      </c>
      <c r="S150">
        <v>0</v>
      </c>
      <c r="T150">
        <v>0</v>
      </c>
      <c r="U150">
        <v>0</v>
      </c>
      <c r="V150">
        <v>42849</v>
      </c>
      <c r="W150">
        <v>44035</v>
      </c>
      <c r="X150">
        <v>42849</v>
      </c>
      <c r="Y150">
        <v>44035</v>
      </c>
      <c r="Z150">
        <v>2358</v>
      </c>
      <c r="AA150">
        <v>1172</v>
      </c>
      <c r="AB150">
        <v>0</v>
      </c>
      <c r="AC150">
        <v>0</v>
      </c>
      <c r="AD150">
        <v>0</v>
      </c>
      <c r="AE150">
        <v>0</v>
      </c>
      <c r="AF150">
        <v>0</v>
      </c>
      <c r="AG150">
        <v>0</v>
      </c>
      <c r="AH150">
        <v>0</v>
      </c>
      <c r="AI150">
        <v>0</v>
      </c>
      <c r="AJ150">
        <v>0</v>
      </c>
      <c r="AK150">
        <v>0</v>
      </c>
      <c r="AL150">
        <v>-4630</v>
      </c>
      <c r="AM150">
        <v>-589</v>
      </c>
      <c r="AN150">
        <v>0</v>
      </c>
      <c r="AO150">
        <v>0</v>
      </c>
      <c r="AP150">
        <v>-4879</v>
      </c>
      <c r="AQ150">
        <v>-4543</v>
      </c>
      <c r="AR150">
        <v>-5468</v>
      </c>
      <c r="AS150">
        <v>-4543</v>
      </c>
      <c r="AT150">
        <v>838</v>
      </c>
      <c r="AU150">
        <v>-87</v>
      </c>
      <c r="AV150">
        <v>100</v>
      </c>
      <c r="AW150">
        <v>0</v>
      </c>
      <c r="AX150">
        <v>0</v>
      </c>
      <c r="AY150">
        <v>0</v>
      </c>
      <c r="AZ150">
        <v>94.8</v>
      </c>
      <c r="BA150">
        <v>97.4</v>
      </c>
      <c r="BB150">
        <v>94.8</v>
      </c>
      <c r="BC150">
        <v>97.4</v>
      </c>
      <c r="BD150">
        <v>5.2</v>
      </c>
      <c r="BE150">
        <v>2.6</v>
      </c>
      <c r="BF150">
        <v>100</v>
      </c>
      <c r="BG150">
        <v>0</v>
      </c>
      <c r="BH150">
        <v>0</v>
      </c>
      <c r="BI150">
        <v>0</v>
      </c>
      <c r="BJ150">
        <v>94.8</v>
      </c>
      <c r="BK150">
        <v>97.4</v>
      </c>
      <c r="BL150">
        <v>94.8</v>
      </c>
      <c r="BM150">
        <v>97.4</v>
      </c>
      <c r="BN150">
        <v>5.2</v>
      </c>
      <c r="BO150">
        <v>2.6</v>
      </c>
      <c r="BP150">
        <v>0</v>
      </c>
      <c r="BQ150">
        <v>0</v>
      </c>
      <c r="BR150">
        <v>0</v>
      </c>
      <c r="BS150">
        <v>0</v>
      </c>
      <c r="BT150">
        <v>0</v>
      </c>
      <c r="BU150">
        <v>0</v>
      </c>
      <c r="BV150">
        <v>0</v>
      </c>
      <c r="BW150">
        <v>0</v>
      </c>
      <c r="BX150">
        <v>0</v>
      </c>
      <c r="BY150">
        <v>0</v>
      </c>
      <c r="BZ150">
        <v>24</v>
      </c>
      <c r="CA150">
        <v>0</v>
      </c>
      <c r="CB150">
        <v>0</v>
      </c>
      <c r="CC150">
        <v>0</v>
      </c>
      <c r="CD150">
        <v>13</v>
      </c>
      <c r="CE150">
        <v>14</v>
      </c>
      <c r="CF150">
        <v>13</v>
      </c>
      <c r="CG150">
        <v>14</v>
      </c>
      <c r="CH150">
        <v>24</v>
      </c>
      <c r="CI150">
        <v>0</v>
      </c>
      <c r="CJ150">
        <v>0</v>
      </c>
      <c r="CK150">
        <v>0</v>
      </c>
      <c r="CL150">
        <v>13</v>
      </c>
      <c r="CM150">
        <v>14</v>
      </c>
      <c r="CN150">
        <v>13</v>
      </c>
      <c r="CO150">
        <v>14</v>
      </c>
      <c r="CP150">
        <v>0</v>
      </c>
      <c r="CQ150">
        <v>0</v>
      </c>
      <c r="CR150">
        <v>0</v>
      </c>
      <c r="CS150">
        <v>0</v>
      </c>
      <c r="CT150">
        <v>0</v>
      </c>
      <c r="CU150">
        <v>0</v>
      </c>
      <c r="CV150">
        <v>0</v>
      </c>
      <c r="CW150">
        <v>0</v>
      </c>
      <c r="CX150">
        <v>62.4</v>
      </c>
      <c r="CY150">
        <v>73.900000000000006</v>
      </c>
      <c r="CZ150">
        <v>88.4</v>
      </c>
      <c r="DA150">
        <v>89.2</v>
      </c>
      <c r="DB150">
        <v>59.3</v>
      </c>
      <c r="DC150">
        <v>73.2</v>
      </c>
      <c r="DD150">
        <v>85.3</v>
      </c>
      <c r="DE150">
        <v>88.5</v>
      </c>
      <c r="DF150">
        <v>62.4</v>
      </c>
      <c r="DG150">
        <v>73.900000000000006</v>
      </c>
      <c r="DH150">
        <v>88.4</v>
      </c>
      <c r="DI150">
        <v>89.2</v>
      </c>
      <c r="DJ150">
        <v>59.3</v>
      </c>
      <c r="DK150">
        <v>73.2</v>
      </c>
      <c r="DL150">
        <v>85.3</v>
      </c>
      <c r="DM150">
        <v>88.5</v>
      </c>
      <c r="DN150">
        <v>0</v>
      </c>
      <c r="DO150">
        <v>0</v>
      </c>
      <c r="DP150">
        <v>0</v>
      </c>
      <c r="DQ150">
        <v>0</v>
      </c>
      <c r="DR150">
        <v>0</v>
      </c>
      <c r="DS150">
        <v>0</v>
      </c>
      <c r="DT150">
        <v>0</v>
      </c>
      <c r="DU150">
        <v>0</v>
      </c>
      <c r="DV150" t="s">
        <v>352</v>
      </c>
    </row>
    <row r="151" spans="1:126" x14ac:dyDescent="0.35">
      <c r="A151" t="s">
        <v>355</v>
      </c>
      <c r="B151">
        <v>230103</v>
      </c>
      <c r="C151" s="1">
        <v>44929</v>
      </c>
      <c r="D151" t="s">
        <v>356</v>
      </c>
      <c r="E151" t="s">
        <v>184</v>
      </c>
      <c r="F151" t="s">
        <v>185</v>
      </c>
      <c r="G151" t="s">
        <v>282</v>
      </c>
      <c r="H151">
        <v>49837</v>
      </c>
      <c r="I151" s="17">
        <v>589</v>
      </c>
      <c r="J151" s="17">
        <v>0</v>
      </c>
      <c r="K151">
        <v>0</v>
      </c>
      <c r="L151">
        <v>47728</v>
      </c>
      <c r="M151">
        <v>48578</v>
      </c>
      <c r="N151">
        <v>48317</v>
      </c>
      <c r="O151">
        <v>48578</v>
      </c>
      <c r="P151">
        <v>1520</v>
      </c>
      <c r="Q151">
        <v>1259</v>
      </c>
      <c r="R151">
        <v>49837</v>
      </c>
      <c r="S151">
        <v>589</v>
      </c>
      <c r="T151">
        <v>0</v>
      </c>
      <c r="U151">
        <v>0</v>
      </c>
      <c r="V151">
        <v>47728</v>
      </c>
      <c r="W151">
        <v>48578</v>
      </c>
      <c r="X151">
        <v>48317</v>
      </c>
      <c r="Y151">
        <v>48578</v>
      </c>
      <c r="Z151">
        <v>1520</v>
      </c>
      <c r="AA151">
        <v>1259</v>
      </c>
      <c r="AB151">
        <v>0</v>
      </c>
      <c r="AC151">
        <v>0</v>
      </c>
      <c r="AD151">
        <v>0</v>
      </c>
      <c r="AE151">
        <v>0</v>
      </c>
      <c r="AF151">
        <v>0</v>
      </c>
      <c r="AG151">
        <v>0</v>
      </c>
      <c r="AH151">
        <v>0</v>
      </c>
      <c r="AI151">
        <v>0</v>
      </c>
      <c r="AJ151">
        <v>0</v>
      </c>
      <c r="AK151">
        <v>0</v>
      </c>
      <c r="AL151">
        <v>31</v>
      </c>
      <c r="AM151">
        <v>0</v>
      </c>
      <c r="AN151">
        <v>0</v>
      </c>
      <c r="AO151">
        <v>0</v>
      </c>
      <c r="AP151">
        <v>31</v>
      </c>
      <c r="AQ151">
        <v>31</v>
      </c>
      <c r="AR151">
        <v>31</v>
      </c>
      <c r="AS151">
        <v>31</v>
      </c>
      <c r="AT151">
        <v>0</v>
      </c>
      <c r="AU151">
        <v>0</v>
      </c>
      <c r="AV151">
        <v>100</v>
      </c>
      <c r="AW151">
        <v>1.2</v>
      </c>
      <c r="AX151">
        <v>0</v>
      </c>
      <c r="AY151">
        <v>0</v>
      </c>
      <c r="AZ151">
        <v>95.8</v>
      </c>
      <c r="BA151">
        <v>97.5</v>
      </c>
      <c r="BB151">
        <v>97</v>
      </c>
      <c r="BC151">
        <v>97.5</v>
      </c>
      <c r="BD151">
        <v>3</v>
      </c>
      <c r="BE151">
        <v>2.5</v>
      </c>
      <c r="BF151">
        <v>100</v>
      </c>
      <c r="BG151">
        <v>1.2</v>
      </c>
      <c r="BH151">
        <v>0</v>
      </c>
      <c r="BI151">
        <v>0</v>
      </c>
      <c r="BJ151">
        <v>95.8</v>
      </c>
      <c r="BK151">
        <v>97.5</v>
      </c>
      <c r="BL151">
        <v>97</v>
      </c>
      <c r="BM151">
        <v>97.5</v>
      </c>
      <c r="BN151">
        <v>3</v>
      </c>
      <c r="BO151">
        <v>2.5</v>
      </c>
      <c r="BP151">
        <v>0</v>
      </c>
      <c r="BQ151">
        <v>0</v>
      </c>
      <c r="BR151">
        <v>0</v>
      </c>
      <c r="BS151">
        <v>0</v>
      </c>
      <c r="BT151">
        <v>0</v>
      </c>
      <c r="BU151">
        <v>0</v>
      </c>
      <c r="BV151">
        <v>0</v>
      </c>
      <c r="BW151">
        <v>0</v>
      </c>
      <c r="BX151">
        <v>0</v>
      </c>
      <c r="BY151">
        <v>0</v>
      </c>
      <c r="BZ151">
        <v>27</v>
      </c>
      <c r="CA151">
        <v>1</v>
      </c>
      <c r="CB151">
        <v>0</v>
      </c>
      <c r="CC151">
        <v>0</v>
      </c>
      <c r="CD151">
        <v>15</v>
      </c>
      <c r="CE151">
        <v>15</v>
      </c>
      <c r="CF151">
        <v>16</v>
      </c>
      <c r="CG151">
        <v>15</v>
      </c>
      <c r="CH151">
        <v>27</v>
      </c>
      <c r="CI151">
        <v>1</v>
      </c>
      <c r="CJ151">
        <v>0</v>
      </c>
      <c r="CK151">
        <v>0</v>
      </c>
      <c r="CL151">
        <v>15</v>
      </c>
      <c r="CM151">
        <v>15</v>
      </c>
      <c r="CN151">
        <v>16</v>
      </c>
      <c r="CO151">
        <v>15</v>
      </c>
      <c r="CP151">
        <v>0</v>
      </c>
      <c r="CQ151">
        <v>0</v>
      </c>
      <c r="CR151">
        <v>0</v>
      </c>
      <c r="CS151">
        <v>0</v>
      </c>
      <c r="CT151">
        <v>0</v>
      </c>
      <c r="CU151">
        <v>0</v>
      </c>
      <c r="CV151">
        <v>0</v>
      </c>
      <c r="CW151">
        <v>0</v>
      </c>
      <c r="CX151">
        <v>62.3</v>
      </c>
      <c r="CY151">
        <v>67.8</v>
      </c>
      <c r="CZ151">
        <v>86.9</v>
      </c>
      <c r="DA151">
        <v>86.2</v>
      </c>
      <c r="DB151">
        <v>58.4</v>
      </c>
      <c r="DC151">
        <v>67.2</v>
      </c>
      <c r="DD151">
        <v>83</v>
      </c>
      <c r="DE151">
        <v>85.6</v>
      </c>
      <c r="DF151">
        <v>62.3</v>
      </c>
      <c r="DG151">
        <v>67.8</v>
      </c>
      <c r="DH151">
        <v>86.9</v>
      </c>
      <c r="DI151">
        <v>86.2</v>
      </c>
      <c r="DJ151">
        <v>58.4</v>
      </c>
      <c r="DK151">
        <v>67.2</v>
      </c>
      <c r="DL151">
        <v>83</v>
      </c>
      <c r="DM151">
        <v>85.6</v>
      </c>
      <c r="DN151">
        <v>0</v>
      </c>
      <c r="DO151">
        <v>0</v>
      </c>
      <c r="DP151">
        <v>0</v>
      </c>
      <c r="DQ151">
        <v>0</v>
      </c>
      <c r="DR151">
        <v>0</v>
      </c>
      <c r="DS151">
        <v>0</v>
      </c>
      <c r="DT151">
        <v>0</v>
      </c>
      <c r="DU151">
        <v>0</v>
      </c>
      <c r="DV151" t="s">
        <v>352</v>
      </c>
    </row>
    <row r="152" spans="1:126" x14ac:dyDescent="0.35">
      <c r="A152" t="s">
        <v>357</v>
      </c>
      <c r="B152">
        <v>230110</v>
      </c>
      <c r="C152" s="1">
        <v>44936</v>
      </c>
      <c r="D152" t="s">
        <v>358</v>
      </c>
      <c r="E152" t="s">
        <v>184</v>
      </c>
      <c r="F152" t="s">
        <v>185</v>
      </c>
      <c r="G152" t="s">
        <v>282</v>
      </c>
      <c r="H152">
        <v>142456</v>
      </c>
      <c r="I152" s="17">
        <v>16187</v>
      </c>
      <c r="J152" s="17">
        <v>0</v>
      </c>
      <c r="K152">
        <v>162</v>
      </c>
      <c r="L152">
        <v>116883</v>
      </c>
      <c r="M152">
        <v>140431</v>
      </c>
      <c r="N152">
        <v>133232</v>
      </c>
      <c r="O152">
        <v>140593</v>
      </c>
      <c r="P152">
        <v>9224</v>
      </c>
      <c r="Q152">
        <v>1863</v>
      </c>
      <c r="R152">
        <v>142456</v>
      </c>
      <c r="S152">
        <v>16187</v>
      </c>
      <c r="T152">
        <v>0</v>
      </c>
      <c r="U152">
        <v>162</v>
      </c>
      <c r="V152">
        <v>116883</v>
      </c>
      <c r="W152">
        <v>140431</v>
      </c>
      <c r="X152">
        <v>133232</v>
      </c>
      <c r="Y152">
        <v>140593</v>
      </c>
      <c r="Z152">
        <v>9224</v>
      </c>
      <c r="AA152">
        <v>1863</v>
      </c>
      <c r="AB152">
        <v>0</v>
      </c>
      <c r="AC152">
        <v>0</v>
      </c>
      <c r="AD152">
        <v>0</v>
      </c>
      <c r="AE152">
        <v>0</v>
      </c>
      <c r="AF152">
        <v>0</v>
      </c>
      <c r="AG152">
        <v>0</v>
      </c>
      <c r="AH152">
        <v>0</v>
      </c>
      <c r="AI152">
        <v>0</v>
      </c>
      <c r="AJ152">
        <v>0</v>
      </c>
      <c r="AK152">
        <v>0</v>
      </c>
      <c r="AL152">
        <v>-15984</v>
      </c>
      <c r="AM152">
        <v>-1003</v>
      </c>
      <c r="AN152">
        <v>0</v>
      </c>
      <c r="AO152">
        <v>-164</v>
      </c>
      <c r="AP152">
        <v>-14512</v>
      </c>
      <c r="AQ152">
        <v>-13340</v>
      </c>
      <c r="AR152">
        <v>-15679</v>
      </c>
      <c r="AS152">
        <v>-13504</v>
      </c>
      <c r="AT152">
        <v>-305</v>
      </c>
      <c r="AU152">
        <v>-2480</v>
      </c>
      <c r="AV152">
        <v>100</v>
      </c>
      <c r="AW152">
        <v>11.4</v>
      </c>
      <c r="AX152">
        <v>0</v>
      </c>
      <c r="AY152">
        <v>0.1</v>
      </c>
      <c r="AZ152">
        <v>82</v>
      </c>
      <c r="BA152">
        <v>98.6</v>
      </c>
      <c r="BB152">
        <v>93.5</v>
      </c>
      <c r="BC152">
        <v>98.7</v>
      </c>
      <c r="BD152">
        <v>6.5</v>
      </c>
      <c r="BE152">
        <v>1.3</v>
      </c>
      <c r="BF152">
        <v>100</v>
      </c>
      <c r="BG152">
        <v>11.4</v>
      </c>
      <c r="BH152">
        <v>0</v>
      </c>
      <c r="BI152">
        <v>0.1</v>
      </c>
      <c r="BJ152">
        <v>82</v>
      </c>
      <c r="BK152">
        <v>98.6</v>
      </c>
      <c r="BL152">
        <v>93.5</v>
      </c>
      <c r="BM152">
        <v>98.7</v>
      </c>
      <c r="BN152">
        <v>6.5</v>
      </c>
      <c r="BO152">
        <v>1.3</v>
      </c>
      <c r="BP152">
        <v>0</v>
      </c>
      <c r="BQ152">
        <v>0</v>
      </c>
      <c r="BR152">
        <v>0</v>
      </c>
      <c r="BS152">
        <v>0</v>
      </c>
      <c r="BT152">
        <v>0</v>
      </c>
      <c r="BU152">
        <v>0</v>
      </c>
      <c r="BV152">
        <v>0</v>
      </c>
      <c r="BW152">
        <v>0</v>
      </c>
      <c r="BX152">
        <v>0</v>
      </c>
      <c r="BY152">
        <v>0</v>
      </c>
      <c r="BZ152">
        <v>48</v>
      </c>
      <c r="CA152">
        <v>2</v>
      </c>
      <c r="CB152">
        <v>0</v>
      </c>
      <c r="CC152">
        <v>1</v>
      </c>
      <c r="CD152">
        <v>33</v>
      </c>
      <c r="CE152">
        <v>35</v>
      </c>
      <c r="CF152">
        <v>35</v>
      </c>
      <c r="CG152">
        <v>36</v>
      </c>
      <c r="CH152">
        <v>48</v>
      </c>
      <c r="CI152">
        <v>2</v>
      </c>
      <c r="CJ152">
        <v>0</v>
      </c>
      <c r="CK152">
        <v>1</v>
      </c>
      <c r="CL152">
        <v>33</v>
      </c>
      <c r="CM152">
        <v>35</v>
      </c>
      <c r="CN152">
        <v>35</v>
      </c>
      <c r="CO152">
        <v>36</v>
      </c>
      <c r="CP152">
        <v>0</v>
      </c>
      <c r="CQ152">
        <v>0</v>
      </c>
      <c r="CR152">
        <v>0</v>
      </c>
      <c r="CS152">
        <v>0</v>
      </c>
      <c r="CT152">
        <v>0</v>
      </c>
      <c r="CU152">
        <v>0</v>
      </c>
      <c r="CV152">
        <v>0</v>
      </c>
      <c r="CW152">
        <v>0</v>
      </c>
      <c r="CX152">
        <v>38.6</v>
      </c>
      <c r="CY152">
        <v>37.1</v>
      </c>
      <c r="CZ152">
        <v>57</v>
      </c>
      <c r="DA152">
        <v>62.5</v>
      </c>
      <c r="DB152">
        <v>38.5</v>
      </c>
      <c r="DC152">
        <v>32.9</v>
      </c>
      <c r="DD152">
        <v>54.9</v>
      </c>
      <c r="DE152">
        <v>50.8</v>
      </c>
      <c r="DF152">
        <v>38.6</v>
      </c>
      <c r="DG152">
        <v>37.1</v>
      </c>
      <c r="DH152">
        <v>57</v>
      </c>
      <c r="DI152">
        <v>62.5</v>
      </c>
      <c r="DJ152">
        <v>38.5</v>
      </c>
      <c r="DK152">
        <v>32.9</v>
      </c>
      <c r="DL152">
        <v>54.9</v>
      </c>
      <c r="DM152">
        <v>50.8</v>
      </c>
      <c r="DN152">
        <v>0</v>
      </c>
      <c r="DO152">
        <v>0</v>
      </c>
      <c r="DP152">
        <v>0</v>
      </c>
      <c r="DQ152">
        <v>0</v>
      </c>
      <c r="DR152">
        <v>0</v>
      </c>
      <c r="DS152">
        <v>0</v>
      </c>
      <c r="DT152">
        <v>0</v>
      </c>
      <c r="DU152">
        <v>0</v>
      </c>
      <c r="DV152" t="s">
        <v>308</v>
      </c>
    </row>
    <row r="153" spans="1:126" x14ac:dyDescent="0.35">
      <c r="A153" t="s">
        <v>357</v>
      </c>
      <c r="B153">
        <v>230103</v>
      </c>
      <c r="C153" s="1">
        <v>44929</v>
      </c>
      <c r="D153" t="s">
        <v>358</v>
      </c>
      <c r="E153" t="s">
        <v>184</v>
      </c>
      <c r="F153" t="s">
        <v>185</v>
      </c>
      <c r="G153" t="s">
        <v>282</v>
      </c>
      <c r="H153">
        <v>158440</v>
      </c>
      <c r="I153" s="17">
        <v>17190</v>
      </c>
      <c r="J153" s="17">
        <v>0</v>
      </c>
      <c r="K153">
        <v>326</v>
      </c>
      <c r="L153">
        <v>131395</v>
      </c>
      <c r="M153">
        <v>153771</v>
      </c>
      <c r="N153">
        <v>148911</v>
      </c>
      <c r="O153">
        <v>154097</v>
      </c>
      <c r="P153">
        <v>9529</v>
      </c>
      <c r="Q153">
        <v>4343</v>
      </c>
      <c r="R153">
        <v>158440</v>
      </c>
      <c r="S153">
        <v>17190</v>
      </c>
      <c r="T153">
        <v>0</v>
      </c>
      <c r="U153">
        <v>326</v>
      </c>
      <c r="V153">
        <v>131395</v>
      </c>
      <c r="W153">
        <v>153771</v>
      </c>
      <c r="X153">
        <v>148911</v>
      </c>
      <c r="Y153">
        <v>154097</v>
      </c>
      <c r="Z153">
        <v>9529</v>
      </c>
      <c r="AA153">
        <v>4343</v>
      </c>
      <c r="AB153">
        <v>0</v>
      </c>
      <c r="AC153">
        <v>0</v>
      </c>
      <c r="AD153">
        <v>0</v>
      </c>
      <c r="AE153">
        <v>0</v>
      </c>
      <c r="AF153">
        <v>0</v>
      </c>
      <c r="AG153">
        <v>0</v>
      </c>
      <c r="AH153">
        <v>0</v>
      </c>
      <c r="AI153">
        <v>0</v>
      </c>
      <c r="AJ153">
        <v>0</v>
      </c>
      <c r="AK153">
        <v>0</v>
      </c>
      <c r="AL153">
        <v>1336</v>
      </c>
      <c r="AM153">
        <v>-2093</v>
      </c>
      <c r="AN153">
        <v>0</v>
      </c>
      <c r="AO153">
        <v>0</v>
      </c>
      <c r="AP153">
        <v>1379</v>
      </c>
      <c r="AQ153">
        <v>1280</v>
      </c>
      <c r="AR153">
        <v>-714</v>
      </c>
      <c r="AS153">
        <v>1280</v>
      </c>
      <c r="AT153">
        <v>2050</v>
      </c>
      <c r="AU153">
        <v>56</v>
      </c>
      <c r="AV153">
        <v>100</v>
      </c>
      <c r="AW153">
        <v>10.8</v>
      </c>
      <c r="AX153">
        <v>0</v>
      </c>
      <c r="AY153">
        <v>0.2</v>
      </c>
      <c r="AZ153">
        <v>82.9</v>
      </c>
      <c r="BA153">
        <v>97.1</v>
      </c>
      <c r="BB153">
        <v>94</v>
      </c>
      <c r="BC153">
        <v>97.3</v>
      </c>
      <c r="BD153">
        <v>6</v>
      </c>
      <c r="BE153">
        <v>2.7</v>
      </c>
      <c r="BF153">
        <v>100</v>
      </c>
      <c r="BG153">
        <v>10.8</v>
      </c>
      <c r="BH153">
        <v>0</v>
      </c>
      <c r="BI153">
        <v>0.2</v>
      </c>
      <c r="BJ153">
        <v>82.9</v>
      </c>
      <c r="BK153">
        <v>97.1</v>
      </c>
      <c r="BL153">
        <v>94</v>
      </c>
      <c r="BM153">
        <v>97.3</v>
      </c>
      <c r="BN153">
        <v>6</v>
      </c>
      <c r="BO153">
        <v>2.7</v>
      </c>
      <c r="BP153">
        <v>0</v>
      </c>
      <c r="BQ153">
        <v>0</v>
      </c>
      <c r="BR153">
        <v>0</v>
      </c>
      <c r="BS153">
        <v>0</v>
      </c>
      <c r="BT153">
        <v>0</v>
      </c>
      <c r="BU153">
        <v>0</v>
      </c>
      <c r="BV153">
        <v>0</v>
      </c>
      <c r="BW153">
        <v>0</v>
      </c>
      <c r="BX153">
        <v>0</v>
      </c>
      <c r="BY153">
        <v>0</v>
      </c>
      <c r="BZ153">
        <v>48</v>
      </c>
      <c r="CA153">
        <v>4</v>
      </c>
      <c r="CB153">
        <v>0</v>
      </c>
      <c r="CC153">
        <v>2</v>
      </c>
      <c r="CD153">
        <v>30</v>
      </c>
      <c r="CE153">
        <v>34</v>
      </c>
      <c r="CF153">
        <v>34</v>
      </c>
      <c r="CG153">
        <v>36</v>
      </c>
      <c r="CH153">
        <v>48</v>
      </c>
      <c r="CI153">
        <v>4</v>
      </c>
      <c r="CJ153">
        <v>0</v>
      </c>
      <c r="CK153">
        <v>2</v>
      </c>
      <c r="CL153">
        <v>30</v>
      </c>
      <c r="CM153">
        <v>34</v>
      </c>
      <c r="CN153">
        <v>34</v>
      </c>
      <c r="CO153">
        <v>36</v>
      </c>
      <c r="CP153">
        <v>0</v>
      </c>
      <c r="CQ153">
        <v>0</v>
      </c>
      <c r="CR153">
        <v>0</v>
      </c>
      <c r="CS153">
        <v>0</v>
      </c>
      <c r="CT153">
        <v>0</v>
      </c>
      <c r="CU153">
        <v>0</v>
      </c>
      <c r="CV153">
        <v>0</v>
      </c>
      <c r="CW153">
        <v>0</v>
      </c>
      <c r="CX153">
        <v>36.5</v>
      </c>
      <c r="CY153">
        <v>36.299999999999997</v>
      </c>
      <c r="CZ153">
        <v>54.5</v>
      </c>
      <c r="DA153">
        <v>59.9</v>
      </c>
      <c r="DB153">
        <v>36.299999999999997</v>
      </c>
      <c r="DC153">
        <v>32.6</v>
      </c>
      <c r="DD153">
        <v>52.2</v>
      </c>
      <c r="DE153">
        <v>49</v>
      </c>
      <c r="DF153">
        <v>36.5</v>
      </c>
      <c r="DG153">
        <v>36.299999999999997</v>
      </c>
      <c r="DH153">
        <v>54.5</v>
      </c>
      <c r="DI153">
        <v>59.9</v>
      </c>
      <c r="DJ153">
        <v>36.299999999999997</v>
      </c>
      <c r="DK153">
        <v>32.6</v>
      </c>
      <c r="DL153">
        <v>52.2</v>
      </c>
      <c r="DM153">
        <v>49</v>
      </c>
      <c r="DN153">
        <v>0</v>
      </c>
      <c r="DO153">
        <v>0</v>
      </c>
      <c r="DP153">
        <v>0</v>
      </c>
      <c r="DQ153">
        <v>0</v>
      </c>
      <c r="DR153">
        <v>0</v>
      </c>
      <c r="DS153">
        <v>0</v>
      </c>
      <c r="DT153">
        <v>0</v>
      </c>
      <c r="DU153">
        <v>0</v>
      </c>
      <c r="DV153" t="s">
        <v>308</v>
      </c>
    </row>
    <row r="154" spans="1:126" x14ac:dyDescent="0.35">
      <c r="A154" t="s">
        <v>359</v>
      </c>
      <c r="B154">
        <v>230110</v>
      </c>
      <c r="C154" s="1">
        <v>44936</v>
      </c>
      <c r="D154" t="s">
        <v>360</v>
      </c>
      <c r="E154" t="s">
        <v>184</v>
      </c>
      <c r="F154" t="s">
        <v>185</v>
      </c>
      <c r="G154" t="s">
        <v>282</v>
      </c>
      <c r="H154">
        <v>34029</v>
      </c>
      <c r="I154" s="17">
        <v>0</v>
      </c>
      <c r="J154" s="17">
        <v>6478</v>
      </c>
      <c r="K154">
        <v>180</v>
      </c>
      <c r="L154">
        <v>32326</v>
      </c>
      <c r="M154">
        <v>26028</v>
      </c>
      <c r="N154">
        <v>32506</v>
      </c>
      <c r="O154">
        <v>32686</v>
      </c>
      <c r="P154">
        <v>1523</v>
      </c>
      <c r="Q154">
        <v>1343</v>
      </c>
      <c r="R154">
        <v>34029</v>
      </c>
      <c r="S154">
        <v>0</v>
      </c>
      <c r="T154">
        <v>6478</v>
      </c>
      <c r="U154">
        <v>180</v>
      </c>
      <c r="V154">
        <v>32326</v>
      </c>
      <c r="W154">
        <v>26028</v>
      </c>
      <c r="X154">
        <v>32506</v>
      </c>
      <c r="Y154">
        <v>32686</v>
      </c>
      <c r="Z154">
        <v>1523</v>
      </c>
      <c r="AA154">
        <v>1343</v>
      </c>
      <c r="AB154">
        <v>0</v>
      </c>
      <c r="AC154">
        <v>0</v>
      </c>
      <c r="AD154">
        <v>0</v>
      </c>
      <c r="AE154">
        <v>0</v>
      </c>
      <c r="AF154">
        <v>0</v>
      </c>
      <c r="AG154">
        <v>0</v>
      </c>
      <c r="AH154">
        <v>0</v>
      </c>
      <c r="AI154">
        <v>0</v>
      </c>
      <c r="AJ154">
        <v>0</v>
      </c>
      <c r="AK154">
        <v>0</v>
      </c>
      <c r="AL154">
        <v>-11667</v>
      </c>
      <c r="AM154">
        <v>-230</v>
      </c>
      <c r="AN154">
        <v>2832</v>
      </c>
      <c r="AO154">
        <v>-135</v>
      </c>
      <c r="AP154">
        <v>-10800</v>
      </c>
      <c r="AQ154">
        <v>-15068</v>
      </c>
      <c r="AR154">
        <v>-11165</v>
      </c>
      <c r="AS154">
        <v>-12371</v>
      </c>
      <c r="AT154">
        <v>-502</v>
      </c>
      <c r="AU154">
        <v>704</v>
      </c>
      <c r="AV154">
        <v>100</v>
      </c>
      <c r="AW154">
        <v>0</v>
      </c>
      <c r="AX154">
        <v>19</v>
      </c>
      <c r="AY154">
        <v>0.5</v>
      </c>
      <c r="AZ154">
        <v>95</v>
      </c>
      <c r="BA154">
        <v>76.5</v>
      </c>
      <c r="BB154">
        <v>95.5</v>
      </c>
      <c r="BC154">
        <v>96.1</v>
      </c>
      <c r="BD154">
        <v>4.5</v>
      </c>
      <c r="BE154">
        <v>3.9</v>
      </c>
      <c r="BF154">
        <v>100</v>
      </c>
      <c r="BG154">
        <v>0</v>
      </c>
      <c r="BH154">
        <v>19</v>
      </c>
      <c r="BI154">
        <v>0.5</v>
      </c>
      <c r="BJ154">
        <v>95</v>
      </c>
      <c r="BK154">
        <v>76.5</v>
      </c>
      <c r="BL154">
        <v>95.5</v>
      </c>
      <c r="BM154">
        <v>96.1</v>
      </c>
      <c r="BN154">
        <v>4.5</v>
      </c>
      <c r="BO154">
        <v>3.9</v>
      </c>
      <c r="BP154">
        <v>0</v>
      </c>
      <c r="BQ154">
        <v>0</v>
      </c>
      <c r="BR154">
        <v>0</v>
      </c>
      <c r="BS154">
        <v>0</v>
      </c>
      <c r="BT154">
        <v>0</v>
      </c>
      <c r="BU154">
        <v>0</v>
      </c>
      <c r="BV154">
        <v>0</v>
      </c>
      <c r="BW154">
        <v>0</v>
      </c>
      <c r="BX154">
        <v>0</v>
      </c>
      <c r="BY154">
        <v>0</v>
      </c>
      <c r="BZ154">
        <v>31</v>
      </c>
      <c r="CA154">
        <v>0</v>
      </c>
      <c r="CB154">
        <v>4</v>
      </c>
      <c r="CC154">
        <v>1</v>
      </c>
      <c r="CD154">
        <v>19</v>
      </c>
      <c r="CE154">
        <v>16</v>
      </c>
      <c r="CF154">
        <v>20</v>
      </c>
      <c r="CG154">
        <v>20</v>
      </c>
      <c r="CH154">
        <v>31</v>
      </c>
      <c r="CI154">
        <v>0</v>
      </c>
      <c r="CJ154">
        <v>4</v>
      </c>
      <c r="CK154">
        <v>1</v>
      </c>
      <c r="CL154">
        <v>19</v>
      </c>
      <c r="CM154">
        <v>16</v>
      </c>
      <c r="CN154">
        <v>20</v>
      </c>
      <c r="CO154">
        <v>20</v>
      </c>
      <c r="CP154">
        <v>0</v>
      </c>
      <c r="CQ154">
        <v>0</v>
      </c>
      <c r="CR154">
        <v>0</v>
      </c>
      <c r="CS154">
        <v>0</v>
      </c>
      <c r="CT154">
        <v>0</v>
      </c>
      <c r="CU154">
        <v>0</v>
      </c>
      <c r="CV154">
        <v>0</v>
      </c>
      <c r="CW154">
        <v>0</v>
      </c>
      <c r="CX154">
        <v>52.2</v>
      </c>
      <c r="CY154">
        <v>59.8</v>
      </c>
      <c r="CZ154">
        <v>74.900000000000006</v>
      </c>
      <c r="DA154">
        <v>81.099999999999994</v>
      </c>
      <c r="DB154">
        <v>51.2</v>
      </c>
      <c r="DC154">
        <v>57.2</v>
      </c>
      <c r="DD154">
        <v>70.400000000000006</v>
      </c>
      <c r="DE154">
        <v>75</v>
      </c>
      <c r="DF154">
        <v>52.2</v>
      </c>
      <c r="DG154">
        <v>59.8</v>
      </c>
      <c r="DH154">
        <v>74.900000000000006</v>
      </c>
      <c r="DI154">
        <v>81.099999999999994</v>
      </c>
      <c r="DJ154">
        <v>51.2</v>
      </c>
      <c r="DK154">
        <v>57.2</v>
      </c>
      <c r="DL154">
        <v>70.400000000000006</v>
      </c>
      <c r="DM154">
        <v>75</v>
      </c>
      <c r="DN154">
        <v>0</v>
      </c>
      <c r="DO154">
        <v>0</v>
      </c>
      <c r="DP154">
        <v>0</v>
      </c>
      <c r="DQ154">
        <v>0</v>
      </c>
      <c r="DR154">
        <v>0</v>
      </c>
      <c r="DS154">
        <v>0</v>
      </c>
      <c r="DT154">
        <v>0</v>
      </c>
      <c r="DU154">
        <v>0</v>
      </c>
      <c r="DV154" t="s">
        <v>308</v>
      </c>
    </row>
    <row r="155" spans="1:126" x14ac:dyDescent="0.35">
      <c r="A155" t="s">
        <v>359</v>
      </c>
      <c r="B155">
        <v>230103</v>
      </c>
      <c r="C155" s="1">
        <v>44929</v>
      </c>
      <c r="D155" t="s">
        <v>360</v>
      </c>
      <c r="E155" t="s">
        <v>184</v>
      </c>
      <c r="F155" t="s">
        <v>185</v>
      </c>
      <c r="G155" t="s">
        <v>282</v>
      </c>
      <c r="H155">
        <v>45696</v>
      </c>
      <c r="I155" s="17">
        <v>230</v>
      </c>
      <c r="J155" s="17">
        <v>3646</v>
      </c>
      <c r="K155">
        <v>315</v>
      </c>
      <c r="L155">
        <v>43126</v>
      </c>
      <c r="M155">
        <v>41096</v>
      </c>
      <c r="N155">
        <v>43671</v>
      </c>
      <c r="O155">
        <v>45057</v>
      </c>
      <c r="P155">
        <v>2025</v>
      </c>
      <c r="Q155">
        <v>639</v>
      </c>
      <c r="R155">
        <v>45696</v>
      </c>
      <c r="S155">
        <v>230</v>
      </c>
      <c r="T155">
        <v>3646</v>
      </c>
      <c r="U155">
        <v>315</v>
      </c>
      <c r="V155">
        <v>43126</v>
      </c>
      <c r="W155">
        <v>41096</v>
      </c>
      <c r="X155">
        <v>43671</v>
      </c>
      <c r="Y155">
        <v>45057</v>
      </c>
      <c r="Z155">
        <v>2025</v>
      </c>
      <c r="AA155">
        <v>639</v>
      </c>
      <c r="AB155">
        <v>0</v>
      </c>
      <c r="AC155">
        <v>0</v>
      </c>
      <c r="AD155">
        <v>0</v>
      </c>
      <c r="AE155">
        <v>0</v>
      </c>
      <c r="AF155">
        <v>0</v>
      </c>
      <c r="AG155">
        <v>0</v>
      </c>
      <c r="AH155">
        <v>0</v>
      </c>
      <c r="AI155">
        <v>0</v>
      </c>
      <c r="AJ155">
        <v>0</v>
      </c>
      <c r="AK155">
        <v>0</v>
      </c>
      <c r="AL155">
        <v>-4</v>
      </c>
      <c r="AM155">
        <v>-132</v>
      </c>
      <c r="AN155">
        <v>-96</v>
      </c>
      <c r="AO155">
        <v>284</v>
      </c>
      <c r="AP155">
        <v>678</v>
      </c>
      <c r="AQ155">
        <v>-130</v>
      </c>
      <c r="AR155">
        <v>830</v>
      </c>
      <c r="AS155">
        <v>58</v>
      </c>
      <c r="AT155">
        <v>-834</v>
      </c>
      <c r="AU155">
        <v>-62</v>
      </c>
      <c r="AV155">
        <v>100</v>
      </c>
      <c r="AW155">
        <v>0.5</v>
      </c>
      <c r="AX155">
        <v>8</v>
      </c>
      <c r="AY155">
        <v>0.7</v>
      </c>
      <c r="AZ155">
        <v>94.4</v>
      </c>
      <c r="BA155">
        <v>89.9</v>
      </c>
      <c r="BB155">
        <v>95.6</v>
      </c>
      <c r="BC155">
        <v>98.6</v>
      </c>
      <c r="BD155">
        <v>4.4000000000000004</v>
      </c>
      <c r="BE155">
        <v>1.4</v>
      </c>
      <c r="BF155">
        <v>100</v>
      </c>
      <c r="BG155">
        <v>0.5</v>
      </c>
      <c r="BH155">
        <v>8</v>
      </c>
      <c r="BI155">
        <v>0.7</v>
      </c>
      <c r="BJ155">
        <v>94.4</v>
      </c>
      <c r="BK155">
        <v>89.9</v>
      </c>
      <c r="BL155">
        <v>95.6</v>
      </c>
      <c r="BM155">
        <v>98.6</v>
      </c>
      <c r="BN155">
        <v>4.4000000000000004</v>
      </c>
      <c r="BO155">
        <v>1.4</v>
      </c>
      <c r="BP155">
        <v>0</v>
      </c>
      <c r="BQ155">
        <v>0</v>
      </c>
      <c r="BR155">
        <v>0</v>
      </c>
      <c r="BS155">
        <v>0</v>
      </c>
      <c r="BT155">
        <v>0</v>
      </c>
      <c r="BU155">
        <v>0</v>
      </c>
      <c r="BV155">
        <v>0</v>
      </c>
      <c r="BW155">
        <v>0</v>
      </c>
      <c r="BX155">
        <v>0</v>
      </c>
      <c r="BY155">
        <v>0</v>
      </c>
      <c r="BZ155">
        <v>35</v>
      </c>
      <c r="CA155">
        <v>1</v>
      </c>
      <c r="CB155">
        <v>4</v>
      </c>
      <c r="CC155">
        <v>2</v>
      </c>
      <c r="CD155">
        <v>22</v>
      </c>
      <c r="CE155">
        <v>19</v>
      </c>
      <c r="CF155">
        <v>24</v>
      </c>
      <c r="CG155">
        <v>24</v>
      </c>
      <c r="CH155">
        <v>35</v>
      </c>
      <c r="CI155">
        <v>1</v>
      </c>
      <c r="CJ155">
        <v>4</v>
      </c>
      <c r="CK155">
        <v>2</v>
      </c>
      <c r="CL155">
        <v>22</v>
      </c>
      <c r="CM155">
        <v>19</v>
      </c>
      <c r="CN155">
        <v>24</v>
      </c>
      <c r="CO155">
        <v>24</v>
      </c>
      <c r="CP155">
        <v>0</v>
      </c>
      <c r="CQ155">
        <v>0</v>
      </c>
      <c r="CR155">
        <v>0</v>
      </c>
      <c r="CS155">
        <v>0</v>
      </c>
      <c r="CT155">
        <v>0</v>
      </c>
      <c r="CU155">
        <v>0</v>
      </c>
      <c r="CV155">
        <v>0</v>
      </c>
      <c r="CW155">
        <v>0</v>
      </c>
      <c r="CX155">
        <v>46.6</v>
      </c>
      <c r="CY155">
        <v>59.1</v>
      </c>
      <c r="CZ155">
        <v>66.2</v>
      </c>
      <c r="DA155">
        <v>78.8</v>
      </c>
      <c r="DB155">
        <v>39.4</v>
      </c>
      <c r="DC155">
        <v>57.4</v>
      </c>
      <c r="DD155">
        <v>54.2</v>
      </c>
      <c r="DE155">
        <v>69.5</v>
      </c>
      <c r="DF155">
        <v>46.6</v>
      </c>
      <c r="DG155">
        <v>59.1</v>
      </c>
      <c r="DH155">
        <v>66.2</v>
      </c>
      <c r="DI155">
        <v>78.8</v>
      </c>
      <c r="DJ155">
        <v>39.4</v>
      </c>
      <c r="DK155">
        <v>57.4</v>
      </c>
      <c r="DL155">
        <v>54.2</v>
      </c>
      <c r="DM155">
        <v>69.5</v>
      </c>
      <c r="DN155">
        <v>0</v>
      </c>
      <c r="DO155">
        <v>0</v>
      </c>
      <c r="DP155">
        <v>0</v>
      </c>
      <c r="DQ155">
        <v>0</v>
      </c>
      <c r="DR155">
        <v>0</v>
      </c>
      <c r="DS155">
        <v>0</v>
      </c>
      <c r="DT155">
        <v>0</v>
      </c>
      <c r="DU155">
        <v>0</v>
      </c>
      <c r="DV155" t="s">
        <v>308</v>
      </c>
    </row>
    <row r="156" spans="1:126" x14ac:dyDescent="0.35">
      <c r="A156" t="s">
        <v>361</v>
      </c>
      <c r="B156">
        <v>230110</v>
      </c>
      <c r="C156" s="1">
        <v>44936</v>
      </c>
      <c r="D156" t="s">
        <v>362</v>
      </c>
      <c r="E156" t="s">
        <v>184</v>
      </c>
      <c r="F156" t="s">
        <v>185</v>
      </c>
      <c r="G156" t="s">
        <v>282</v>
      </c>
      <c r="H156">
        <v>309993</v>
      </c>
      <c r="I156" s="17">
        <v>0</v>
      </c>
      <c r="J156" s="17">
        <v>2413</v>
      </c>
      <c r="K156">
        <v>0</v>
      </c>
      <c r="L156">
        <v>300503</v>
      </c>
      <c r="M156">
        <v>300123</v>
      </c>
      <c r="N156">
        <v>300503</v>
      </c>
      <c r="O156">
        <v>302536</v>
      </c>
      <c r="P156">
        <v>9490</v>
      </c>
      <c r="Q156">
        <v>7457</v>
      </c>
      <c r="R156">
        <v>309993</v>
      </c>
      <c r="S156">
        <v>0</v>
      </c>
      <c r="T156">
        <v>2413</v>
      </c>
      <c r="U156">
        <v>0</v>
      </c>
      <c r="V156">
        <v>300503</v>
      </c>
      <c r="W156">
        <v>300123</v>
      </c>
      <c r="X156">
        <v>300503</v>
      </c>
      <c r="Y156">
        <v>302536</v>
      </c>
      <c r="Z156">
        <v>9490</v>
      </c>
      <c r="AA156">
        <v>7457</v>
      </c>
      <c r="AB156">
        <v>0</v>
      </c>
      <c r="AC156">
        <v>0</v>
      </c>
      <c r="AD156">
        <v>0</v>
      </c>
      <c r="AE156">
        <v>0</v>
      </c>
      <c r="AF156">
        <v>0</v>
      </c>
      <c r="AG156">
        <v>0</v>
      </c>
      <c r="AH156">
        <v>0</v>
      </c>
      <c r="AI156">
        <v>0</v>
      </c>
      <c r="AJ156">
        <v>0</v>
      </c>
      <c r="AK156">
        <v>0</v>
      </c>
      <c r="AL156">
        <v>-14870</v>
      </c>
      <c r="AM156">
        <v>0</v>
      </c>
      <c r="AN156">
        <v>-981</v>
      </c>
      <c r="AO156">
        <v>-279</v>
      </c>
      <c r="AP156">
        <v>-14672</v>
      </c>
      <c r="AQ156">
        <v>-14463</v>
      </c>
      <c r="AR156">
        <v>-14951</v>
      </c>
      <c r="AS156">
        <v>-15723</v>
      </c>
      <c r="AT156">
        <v>81</v>
      </c>
      <c r="AU156">
        <v>853</v>
      </c>
      <c r="AV156">
        <v>100</v>
      </c>
      <c r="AW156">
        <v>0</v>
      </c>
      <c r="AX156">
        <v>0.8</v>
      </c>
      <c r="AY156">
        <v>0</v>
      </c>
      <c r="AZ156">
        <v>96.9</v>
      </c>
      <c r="BA156">
        <v>96.8</v>
      </c>
      <c r="BB156">
        <v>96.9</v>
      </c>
      <c r="BC156">
        <v>97.6</v>
      </c>
      <c r="BD156">
        <v>3.1</v>
      </c>
      <c r="BE156">
        <v>2.4</v>
      </c>
      <c r="BF156">
        <v>100</v>
      </c>
      <c r="BG156">
        <v>0</v>
      </c>
      <c r="BH156">
        <v>0.8</v>
      </c>
      <c r="BI156">
        <v>0</v>
      </c>
      <c r="BJ156">
        <v>96.9</v>
      </c>
      <c r="BK156">
        <v>96.8</v>
      </c>
      <c r="BL156">
        <v>96.9</v>
      </c>
      <c r="BM156">
        <v>97.6</v>
      </c>
      <c r="BN156">
        <v>3.1</v>
      </c>
      <c r="BO156">
        <v>2.4</v>
      </c>
      <c r="BP156">
        <v>0</v>
      </c>
      <c r="BQ156">
        <v>0</v>
      </c>
      <c r="BR156">
        <v>0</v>
      </c>
      <c r="BS156">
        <v>0</v>
      </c>
      <c r="BT156">
        <v>0</v>
      </c>
      <c r="BU156">
        <v>0</v>
      </c>
      <c r="BV156">
        <v>0</v>
      </c>
      <c r="BW156">
        <v>0</v>
      </c>
      <c r="BX156">
        <v>0</v>
      </c>
      <c r="BY156">
        <v>0</v>
      </c>
      <c r="BZ156">
        <v>33</v>
      </c>
      <c r="CA156">
        <v>0</v>
      </c>
      <c r="CB156">
        <v>1</v>
      </c>
      <c r="CC156">
        <v>0</v>
      </c>
      <c r="CD156">
        <v>25</v>
      </c>
      <c r="CE156">
        <v>18</v>
      </c>
      <c r="CF156">
        <v>25</v>
      </c>
      <c r="CG156">
        <v>19</v>
      </c>
      <c r="CH156">
        <v>33</v>
      </c>
      <c r="CI156">
        <v>0</v>
      </c>
      <c r="CJ156">
        <v>1</v>
      </c>
      <c r="CK156">
        <v>0</v>
      </c>
      <c r="CL156">
        <v>25</v>
      </c>
      <c r="CM156">
        <v>18</v>
      </c>
      <c r="CN156">
        <v>25</v>
      </c>
      <c r="CO156">
        <v>19</v>
      </c>
      <c r="CP156">
        <v>0</v>
      </c>
      <c r="CQ156">
        <v>0</v>
      </c>
      <c r="CR156">
        <v>0</v>
      </c>
      <c r="CS156">
        <v>0</v>
      </c>
      <c r="CT156">
        <v>0</v>
      </c>
      <c r="CU156">
        <v>0</v>
      </c>
      <c r="CV156">
        <v>0</v>
      </c>
      <c r="CW156">
        <v>0</v>
      </c>
      <c r="CX156">
        <v>55.8</v>
      </c>
      <c r="CY156">
        <v>70.3</v>
      </c>
      <c r="CZ156">
        <v>73.5</v>
      </c>
      <c r="DA156">
        <v>94.4</v>
      </c>
      <c r="DB156">
        <v>55.8</v>
      </c>
      <c r="DC156">
        <v>69.5</v>
      </c>
      <c r="DD156">
        <v>73.2</v>
      </c>
      <c r="DE156">
        <v>93.6</v>
      </c>
      <c r="DF156">
        <v>55.8</v>
      </c>
      <c r="DG156">
        <v>70.3</v>
      </c>
      <c r="DH156">
        <v>73.5</v>
      </c>
      <c r="DI156">
        <v>94.4</v>
      </c>
      <c r="DJ156">
        <v>55.8</v>
      </c>
      <c r="DK156">
        <v>69.5</v>
      </c>
      <c r="DL156">
        <v>73.2</v>
      </c>
      <c r="DM156">
        <v>93.6</v>
      </c>
      <c r="DN156">
        <v>0</v>
      </c>
      <c r="DO156">
        <v>0</v>
      </c>
      <c r="DP156">
        <v>0</v>
      </c>
      <c r="DQ156">
        <v>0</v>
      </c>
      <c r="DR156">
        <v>0</v>
      </c>
      <c r="DS156">
        <v>0</v>
      </c>
      <c r="DT156">
        <v>0</v>
      </c>
      <c r="DU156">
        <v>0</v>
      </c>
      <c r="DV156" t="s">
        <v>363</v>
      </c>
    </row>
    <row r="157" spans="1:126" x14ac:dyDescent="0.35">
      <c r="A157" t="s">
        <v>361</v>
      </c>
      <c r="B157">
        <v>230103</v>
      </c>
      <c r="C157" s="1">
        <v>44929</v>
      </c>
      <c r="D157" t="s">
        <v>362</v>
      </c>
      <c r="E157" t="s">
        <v>184</v>
      </c>
      <c r="F157" t="s">
        <v>185</v>
      </c>
      <c r="G157" t="s">
        <v>282</v>
      </c>
      <c r="H157">
        <v>324863</v>
      </c>
      <c r="I157" s="17">
        <v>0</v>
      </c>
      <c r="J157" s="17">
        <v>3394</v>
      </c>
      <c r="K157">
        <v>279</v>
      </c>
      <c r="L157">
        <v>315175</v>
      </c>
      <c r="M157">
        <v>314586</v>
      </c>
      <c r="N157">
        <v>315454</v>
      </c>
      <c r="O157">
        <v>318259</v>
      </c>
      <c r="P157">
        <v>9409</v>
      </c>
      <c r="Q157">
        <v>6604</v>
      </c>
      <c r="R157">
        <v>324863</v>
      </c>
      <c r="S157">
        <v>0</v>
      </c>
      <c r="T157">
        <v>3394</v>
      </c>
      <c r="U157">
        <v>279</v>
      </c>
      <c r="V157">
        <v>315175</v>
      </c>
      <c r="W157">
        <v>314586</v>
      </c>
      <c r="X157">
        <v>315454</v>
      </c>
      <c r="Y157">
        <v>318259</v>
      </c>
      <c r="Z157">
        <v>9409</v>
      </c>
      <c r="AA157">
        <v>6604</v>
      </c>
      <c r="AB157">
        <v>0</v>
      </c>
      <c r="AC157">
        <v>0</v>
      </c>
      <c r="AD157">
        <v>0</v>
      </c>
      <c r="AE157">
        <v>0</v>
      </c>
      <c r="AF157">
        <v>0</v>
      </c>
      <c r="AG157">
        <v>0</v>
      </c>
      <c r="AH157">
        <v>0</v>
      </c>
      <c r="AI157">
        <v>0</v>
      </c>
      <c r="AJ157">
        <v>0</v>
      </c>
      <c r="AK157">
        <v>0</v>
      </c>
      <c r="AL157">
        <v>2695</v>
      </c>
      <c r="AM157">
        <v>0</v>
      </c>
      <c r="AN157">
        <v>217</v>
      </c>
      <c r="AO157">
        <v>0</v>
      </c>
      <c r="AP157">
        <v>3001</v>
      </c>
      <c r="AQ157">
        <v>2664</v>
      </c>
      <c r="AR157">
        <v>3001</v>
      </c>
      <c r="AS157">
        <v>2881</v>
      </c>
      <c r="AT157">
        <v>-306</v>
      </c>
      <c r="AU157">
        <v>-186</v>
      </c>
      <c r="AV157">
        <v>100</v>
      </c>
      <c r="AW157">
        <v>0</v>
      </c>
      <c r="AX157">
        <v>1</v>
      </c>
      <c r="AY157">
        <v>0.1</v>
      </c>
      <c r="AZ157">
        <v>97</v>
      </c>
      <c r="BA157">
        <v>96.8</v>
      </c>
      <c r="BB157">
        <v>97.1</v>
      </c>
      <c r="BC157">
        <v>98</v>
      </c>
      <c r="BD157">
        <v>2.9</v>
      </c>
      <c r="BE157">
        <v>2</v>
      </c>
      <c r="BF157">
        <v>100</v>
      </c>
      <c r="BG157">
        <v>0</v>
      </c>
      <c r="BH157">
        <v>1</v>
      </c>
      <c r="BI157">
        <v>0.1</v>
      </c>
      <c r="BJ157">
        <v>97</v>
      </c>
      <c r="BK157">
        <v>96.8</v>
      </c>
      <c r="BL157">
        <v>97.1</v>
      </c>
      <c r="BM157">
        <v>98</v>
      </c>
      <c r="BN157">
        <v>2.9</v>
      </c>
      <c r="BO157">
        <v>2</v>
      </c>
      <c r="BP157">
        <v>0</v>
      </c>
      <c r="BQ157">
        <v>0</v>
      </c>
      <c r="BR157">
        <v>0</v>
      </c>
      <c r="BS157">
        <v>0</v>
      </c>
      <c r="BT157">
        <v>0</v>
      </c>
      <c r="BU157">
        <v>0</v>
      </c>
      <c r="BV157">
        <v>0</v>
      </c>
      <c r="BW157">
        <v>0</v>
      </c>
      <c r="BX157">
        <v>0</v>
      </c>
      <c r="BY157">
        <v>0</v>
      </c>
      <c r="BZ157">
        <v>38</v>
      </c>
      <c r="CA157">
        <v>0</v>
      </c>
      <c r="CB157">
        <v>3</v>
      </c>
      <c r="CC157">
        <v>1</v>
      </c>
      <c r="CD157">
        <v>27</v>
      </c>
      <c r="CE157">
        <v>20</v>
      </c>
      <c r="CF157">
        <v>28</v>
      </c>
      <c r="CG157">
        <v>23</v>
      </c>
      <c r="CH157">
        <v>38</v>
      </c>
      <c r="CI157">
        <v>0</v>
      </c>
      <c r="CJ157">
        <v>3</v>
      </c>
      <c r="CK157">
        <v>1</v>
      </c>
      <c r="CL157">
        <v>27</v>
      </c>
      <c r="CM157">
        <v>20</v>
      </c>
      <c r="CN157">
        <v>28</v>
      </c>
      <c r="CO157">
        <v>23</v>
      </c>
      <c r="CP157">
        <v>0</v>
      </c>
      <c r="CQ157">
        <v>0</v>
      </c>
      <c r="CR157">
        <v>0</v>
      </c>
      <c r="CS157">
        <v>0</v>
      </c>
      <c r="CT157">
        <v>0</v>
      </c>
      <c r="CU157">
        <v>0</v>
      </c>
      <c r="CV157">
        <v>0</v>
      </c>
      <c r="CW157">
        <v>0</v>
      </c>
      <c r="CX157">
        <v>55.1</v>
      </c>
      <c r="CY157">
        <v>70.3</v>
      </c>
      <c r="CZ157">
        <v>72.599999999999994</v>
      </c>
      <c r="DA157">
        <v>93.8</v>
      </c>
      <c r="DB157">
        <v>55</v>
      </c>
      <c r="DC157">
        <v>69.5</v>
      </c>
      <c r="DD157">
        <v>72.2</v>
      </c>
      <c r="DE157">
        <v>93.1</v>
      </c>
      <c r="DF157">
        <v>55.1</v>
      </c>
      <c r="DG157">
        <v>70.3</v>
      </c>
      <c r="DH157">
        <v>72.599999999999994</v>
      </c>
      <c r="DI157">
        <v>93.8</v>
      </c>
      <c r="DJ157">
        <v>55</v>
      </c>
      <c r="DK157">
        <v>69.5</v>
      </c>
      <c r="DL157">
        <v>72.2</v>
      </c>
      <c r="DM157">
        <v>93.1</v>
      </c>
      <c r="DN157">
        <v>0</v>
      </c>
      <c r="DO157">
        <v>0</v>
      </c>
      <c r="DP157">
        <v>0</v>
      </c>
      <c r="DQ157">
        <v>0</v>
      </c>
      <c r="DR157">
        <v>0</v>
      </c>
      <c r="DS157">
        <v>0</v>
      </c>
      <c r="DT157">
        <v>0</v>
      </c>
      <c r="DU157">
        <v>0</v>
      </c>
      <c r="DV157" t="s">
        <v>363</v>
      </c>
    </row>
    <row r="158" spans="1:126" x14ac:dyDescent="0.35">
      <c r="A158" t="s">
        <v>364</v>
      </c>
      <c r="B158">
        <v>230110</v>
      </c>
      <c r="C158" s="1">
        <v>44936</v>
      </c>
      <c r="D158" t="s">
        <v>365</v>
      </c>
      <c r="E158" t="s">
        <v>184</v>
      </c>
      <c r="F158" t="s">
        <v>185</v>
      </c>
      <c r="G158" t="s">
        <v>282</v>
      </c>
      <c r="H158">
        <v>101484</v>
      </c>
      <c r="I158" s="17">
        <v>0</v>
      </c>
      <c r="J158" s="17">
        <v>5665</v>
      </c>
      <c r="K158">
        <v>1183</v>
      </c>
      <c r="L158">
        <v>94071</v>
      </c>
      <c r="M158">
        <v>88543</v>
      </c>
      <c r="N158">
        <v>95254</v>
      </c>
      <c r="O158">
        <v>95391</v>
      </c>
      <c r="P158">
        <v>6230</v>
      </c>
      <c r="Q158">
        <v>6093</v>
      </c>
      <c r="R158">
        <v>101484</v>
      </c>
      <c r="S158">
        <v>0</v>
      </c>
      <c r="T158">
        <v>5665</v>
      </c>
      <c r="U158">
        <v>1183</v>
      </c>
      <c r="V158">
        <v>94071</v>
      </c>
      <c r="W158">
        <v>88543</v>
      </c>
      <c r="X158">
        <v>95254</v>
      </c>
      <c r="Y158">
        <v>95391</v>
      </c>
      <c r="Z158">
        <v>6230</v>
      </c>
      <c r="AA158">
        <v>6093</v>
      </c>
      <c r="AB158">
        <v>0</v>
      </c>
      <c r="AC158">
        <v>0</v>
      </c>
      <c r="AD158">
        <v>0</v>
      </c>
      <c r="AE158">
        <v>0</v>
      </c>
      <c r="AF158">
        <v>0</v>
      </c>
      <c r="AG158">
        <v>0</v>
      </c>
      <c r="AH158">
        <v>0</v>
      </c>
      <c r="AI158">
        <v>0</v>
      </c>
      <c r="AJ158">
        <v>0</v>
      </c>
      <c r="AK158">
        <v>0</v>
      </c>
      <c r="AL158">
        <v>-387</v>
      </c>
      <c r="AM158">
        <v>-568</v>
      </c>
      <c r="AN158">
        <v>-66</v>
      </c>
      <c r="AO158">
        <v>-362</v>
      </c>
      <c r="AP158">
        <v>1721</v>
      </c>
      <c r="AQ158">
        <v>227</v>
      </c>
      <c r="AR158">
        <v>791</v>
      </c>
      <c r="AS158">
        <v>-201</v>
      </c>
      <c r="AT158">
        <v>-1178</v>
      </c>
      <c r="AU158">
        <v>-186</v>
      </c>
      <c r="AV158">
        <v>100</v>
      </c>
      <c r="AW158">
        <v>0</v>
      </c>
      <c r="AX158">
        <v>5.6</v>
      </c>
      <c r="AY158">
        <v>1.2</v>
      </c>
      <c r="AZ158">
        <v>92.7</v>
      </c>
      <c r="BA158">
        <v>87.2</v>
      </c>
      <c r="BB158">
        <v>93.9</v>
      </c>
      <c r="BC158">
        <v>94</v>
      </c>
      <c r="BD158">
        <v>6.1</v>
      </c>
      <c r="BE158">
        <v>6</v>
      </c>
      <c r="BF158">
        <v>100</v>
      </c>
      <c r="BG158">
        <v>0</v>
      </c>
      <c r="BH158">
        <v>5.6</v>
      </c>
      <c r="BI158">
        <v>1.2</v>
      </c>
      <c r="BJ158">
        <v>92.7</v>
      </c>
      <c r="BK158">
        <v>87.2</v>
      </c>
      <c r="BL158">
        <v>93.9</v>
      </c>
      <c r="BM158">
        <v>94</v>
      </c>
      <c r="BN158">
        <v>6.1</v>
      </c>
      <c r="BO158">
        <v>6</v>
      </c>
      <c r="BP158">
        <v>0</v>
      </c>
      <c r="BQ158">
        <v>0</v>
      </c>
      <c r="BR158">
        <v>0</v>
      </c>
      <c r="BS158">
        <v>0</v>
      </c>
      <c r="BT158">
        <v>0</v>
      </c>
      <c r="BU158">
        <v>0</v>
      </c>
      <c r="BV158">
        <v>0</v>
      </c>
      <c r="BW158">
        <v>0</v>
      </c>
      <c r="BX158">
        <v>0</v>
      </c>
      <c r="BY158">
        <v>0</v>
      </c>
      <c r="BZ158">
        <v>27</v>
      </c>
      <c r="CA158">
        <v>0</v>
      </c>
      <c r="CB158">
        <v>3</v>
      </c>
      <c r="CC158">
        <v>2</v>
      </c>
      <c r="CD158">
        <v>19</v>
      </c>
      <c r="CE158">
        <v>14</v>
      </c>
      <c r="CF158">
        <v>21</v>
      </c>
      <c r="CG158">
        <v>17</v>
      </c>
      <c r="CH158">
        <v>27</v>
      </c>
      <c r="CI158">
        <v>0</v>
      </c>
      <c r="CJ158">
        <v>3</v>
      </c>
      <c r="CK158">
        <v>2</v>
      </c>
      <c r="CL158">
        <v>19</v>
      </c>
      <c r="CM158">
        <v>14</v>
      </c>
      <c r="CN158">
        <v>21</v>
      </c>
      <c r="CO158">
        <v>17</v>
      </c>
      <c r="CP158">
        <v>0</v>
      </c>
      <c r="CQ158">
        <v>0</v>
      </c>
      <c r="CR158">
        <v>0</v>
      </c>
      <c r="CS158">
        <v>0</v>
      </c>
      <c r="CT158">
        <v>0</v>
      </c>
      <c r="CU158">
        <v>0</v>
      </c>
      <c r="CV158">
        <v>0</v>
      </c>
      <c r="CW158">
        <v>0</v>
      </c>
      <c r="CX158">
        <v>47.3</v>
      </c>
      <c r="CY158">
        <v>45.4</v>
      </c>
      <c r="CZ158">
        <v>73.2</v>
      </c>
      <c r="DA158">
        <v>76.3</v>
      </c>
      <c r="DB158">
        <v>46.5</v>
      </c>
      <c r="DC158">
        <v>43.1</v>
      </c>
      <c r="DD158">
        <v>65.7</v>
      </c>
      <c r="DE158">
        <v>65.2</v>
      </c>
      <c r="DF158">
        <v>47.3</v>
      </c>
      <c r="DG158">
        <v>45.4</v>
      </c>
      <c r="DH158">
        <v>73.2</v>
      </c>
      <c r="DI158">
        <v>76.3</v>
      </c>
      <c r="DJ158">
        <v>46.5</v>
      </c>
      <c r="DK158">
        <v>43.1</v>
      </c>
      <c r="DL158">
        <v>65.7</v>
      </c>
      <c r="DM158">
        <v>65.2</v>
      </c>
      <c r="DN158">
        <v>0</v>
      </c>
      <c r="DO158">
        <v>0</v>
      </c>
      <c r="DP158">
        <v>0</v>
      </c>
      <c r="DQ158">
        <v>0</v>
      </c>
      <c r="DR158">
        <v>0</v>
      </c>
      <c r="DS158">
        <v>0</v>
      </c>
      <c r="DT158">
        <v>0</v>
      </c>
      <c r="DU158">
        <v>0</v>
      </c>
      <c r="DV158" t="s">
        <v>308</v>
      </c>
    </row>
    <row r="159" spans="1:126" x14ac:dyDescent="0.35">
      <c r="A159" t="s">
        <v>364</v>
      </c>
      <c r="B159">
        <v>230103</v>
      </c>
      <c r="C159" s="1">
        <v>44929</v>
      </c>
      <c r="D159" t="s">
        <v>365</v>
      </c>
      <c r="E159" t="s">
        <v>184</v>
      </c>
      <c r="F159" t="s">
        <v>185</v>
      </c>
      <c r="G159" t="s">
        <v>282</v>
      </c>
      <c r="H159">
        <v>101871</v>
      </c>
      <c r="I159" s="17">
        <v>568</v>
      </c>
      <c r="J159" s="17">
        <v>5731</v>
      </c>
      <c r="K159">
        <v>1545</v>
      </c>
      <c r="L159">
        <v>92350</v>
      </c>
      <c r="M159">
        <v>88316</v>
      </c>
      <c r="N159">
        <v>94463</v>
      </c>
      <c r="O159">
        <v>95592</v>
      </c>
      <c r="P159">
        <v>7408</v>
      </c>
      <c r="Q159">
        <v>6279</v>
      </c>
      <c r="R159">
        <v>101871</v>
      </c>
      <c r="S159">
        <v>568</v>
      </c>
      <c r="T159">
        <v>5731</v>
      </c>
      <c r="U159">
        <v>1545</v>
      </c>
      <c r="V159">
        <v>92350</v>
      </c>
      <c r="W159">
        <v>88316</v>
      </c>
      <c r="X159">
        <v>94463</v>
      </c>
      <c r="Y159">
        <v>95592</v>
      </c>
      <c r="Z159">
        <v>7408</v>
      </c>
      <c r="AA159">
        <v>6279</v>
      </c>
      <c r="AB159">
        <v>0</v>
      </c>
      <c r="AC159">
        <v>0</v>
      </c>
      <c r="AD159">
        <v>0</v>
      </c>
      <c r="AE159">
        <v>0</v>
      </c>
      <c r="AF159">
        <v>0</v>
      </c>
      <c r="AG159">
        <v>0</v>
      </c>
      <c r="AH159">
        <v>0</v>
      </c>
      <c r="AI159">
        <v>0</v>
      </c>
      <c r="AJ159">
        <v>0</v>
      </c>
      <c r="AK159">
        <v>0</v>
      </c>
      <c r="AL159">
        <v>-281</v>
      </c>
      <c r="AM159">
        <v>0</v>
      </c>
      <c r="AN159">
        <v>642</v>
      </c>
      <c r="AO159">
        <v>214</v>
      </c>
      <c r="AP159">
        <v>575</v>
      </c>
      <c r="AQ159">
        <v>-67</v>
      </c>
      <c r="AR159">
        <v>789</v>
      </c>
      <c r="AS159">
        <v>789</v>
      </c>
      <c r="AT159">
        <v>-1070</v>
      </c>
      <c r="AU159">
        <v>-1070</v>
      </c>
      <c r="AV159">
        <v>100</v>
      </c>
      <c r="AW159">
        <v>0.6</v>
      </c>
      <c r="AX159">
        <v>5.6</v>
      </c>
      <c r="AY159">
        <v>1.5</v>
      </c>
      <c r="AZ159">
        <v>90.7</v>
      </c>
      <c r="BA159">
        <v>86.7</v>
      </c>
      <c r="BB159">
        <v>92.7</v>
      </c>
      <c r="BC159">
        <v>93.8</v>
      </c>
      <c r="BD159">
        <v>7.3</v>
      </c>
      <c r="BE159">
        <v>6.2</v>
      </c>
      <c r="BF159">
        <v>100</v>
      </c>
      <c r="BG159">
        <v>0.6</v>
      </c>
      <c r="BH159">
        <v>5.6</v>
      </c>
      <c r="BI159">
        <v>1.5</v>
      </c>
      <c r="BJ159">
        <v>90.7</v>
      </c>
      <c r="BK159">
        <v>86.7</v>
      </c>
      <c r="BL159">
        <v>92.7</v>
      </c>
      <c r="BM159">
        <v>93.8</v>
      </c>
      <c r="BN159">
        <v>7.3</v>
      </c>
      <c r="BO159">
        <v>6.2</v>
      </c>
      <c r="BP159">
        <v>0</v>
      </c>
      <c r="BQ159">
        <v>0</v>
      </c>
      <c r="BR159">
        <v>0</v>
      </c>
      <c r="BS159">
        <v>0</v>
      </c>
      <c r="BT159">
        <v>0</v>
      </c>
      <c r="BU159">
        <v>0</v>
      </c>
      <c r="BV159">
        <v>0</v>
      </c>
      <c r="BW159">
        <v>0</v>
      </c>
      <c r="BX159">
        <v>0</v>
      </c>
      <c r="BY159">
        <v>0</v>
      </c>
      <c r="BZ159">
        <v>27</v>
      </c>
      <c r="CA159">
        <v>1</v>
      </c>
      <c r="CB159">
        <v>2</v>
      </c>
      <c r="CC159">
        <v>2</v>
      </c>
      <c r="CD159">
        <v>19</v>
      </c>
      <c r="CE159">
        <v>14</v>
      </c>
      <c r="CF159">
        <v>21</v>
      </c>
      <c r="CG159">
        <v>17</v>
      </c>
      <c r="CH159">
        <v>27</v>
      </c>
      <c r="CI159">
        <v>1</v>
      </c>
      <c r="CJ159">
        <v>2</v>
      </c>
      <c r="CK159">
        <v>2</v>
      </c>
      <c r="CL159">
        <v>19</v>
      </c>
      <c r="CM159">
        <v>14</v>
      </c>
      <c r="CN159">
        <v>21</v>
      </c>
      <c r="CO159">
        <v>17</v>
      </c>
      <c r="CP159">
        <v>0</v>
      </c>
      <c r="CQ159">
        <v>0</v>
      </c>
      <c r="CR159">
        <v>0</v>
      </c>
      <c r="CS159">
        <v>0</v>
      </c>
      <c r="CT159">
        <v>0</v>
      </c>
      <c r="CU159">
        <v>0</v>
      </c>
      <c r="CV159">
        <v>0</v>
      </c>
      <c r="CW159">
        <v>0</v>
      </c>
      <c r="CX159">
        <v>44.2</v>
      </c>
      <c r="CY159">
        <v>46.5</v>
      </c>
      <c r="CZ159">
        <v>70.400000000000006</v>
      </c>
      <c r="DA159">
        <v>74.8</v>
      </c>
      <c r="DB159">
        <v>43.4</v>
      </c>
      <c r="DC159">
        <v>42.9</v>
      </c>
      <c r="DD159">
        <v>61.6</v>
      </c>
      <c r="DE159">
        <v>65.099999999999994</v>
      </c>
      <c r="DF159">
        <v>44.2</v>
      </c>
      <c r="DG159">
        <v>46.5</v>
      </c>
      <c r="DH159">
        <v>70.400000000000006</v>
      </c>
      <c r="DI159">
        <v>74.8</v>
      </c>
      <c r="DJ159">
        <v>43.4</v>
      </c>
      <c r="DK159">
        <v>42.9</v>
      </c>
      <c r="DL159">
        <v>61.6</v>
      </c>
      <c r="DM159">
        <v>65.099999999999994</v>
      </c>
      <c r="DN159">
        <v>0</v>
      </c>
      <c r="DO159">
        <v>0</v>
      </c>
      <c r="DP159">
        <v>0</v>
      </c>
      <c r="DQ159">
        <v>0</v>
      </c>
      <c r="DR159">
        <v>0</v>
      </c>
      <c r="DS159">
        <v>0</v>
      </c>
      <c r="DT159">
        <v>0</v>
      </c>
      <c r="DU159">
        <v>0</v>
      </c>
      <c r="DV159" t="s">
        <v>308</v>
      </c>
    </row>
    <row r="160" spans="1:126" x14ac:dyDescent="0.35">
      <c r="A160" t="s">
        <v>366</v>
      </c>
      <c r="B160">
        <v>230110</v>
      </c>
      <c r="C160" s="1">
        <v>44936</v>
      </c>
      <c r="D160" t="s">
        <v>367</v>
      </c>
      <c r="E160" t="s">
        <v>184</v>
      </c>
      <c r="F160" t="s">
        <v>185</v>
      </c>
      <c r="G160" t="s">
        <v>282</v>
      </c>
      <c r="H160">
        <v>26273</v>
      </c>
      <c r="I160" s="17">
        <v>1147</v>
      </c>
      <c r="J160" s="17">
        <v>0</v>
      </c>
      <c r="K160">
        <v>0</v>
      </c>
      <c r="L160">
        <v>24766</v>
      </c>
      <c r="M160">
        <v>24385</v>
      </c>
      <c r="N160">
        <v>25913</v>
      </c>
      <c r="O160">
        <v>24385</v>
      </c>
      <c r="P160">
        <v>360</v>
      </c>
      <c r="Q160">
        <v>1888</v>
      </c>
      <c r="R160">
        <v>26273</v>
      </c>
      <c r="S160">
        <v>1147</v>
      </c>
      <c r="T160">
        <v>0</v>
      </c>
      <c r="U160">
        <v>0</v>
      </c>
      <c r="V160">
        <v>24766</v>
      </c>
      <c r="W160">
        <v>24385</v>
      </c>
      <c r="X160">
        <v>25913</v>
      </c>
      <c r="Y160">
        <v>24385</v>
      </c>
      <c r="Z160">
        <v>360</v>
      </c>
      <c r="AA160">
        <v>1888</v>
      </c>
      <c r="AB160">
        <v>0</v>
      </c>
      <c r="AC160">
        <v>0</v>
      </c>
      <c r="AD160">
        <v>0</v>
      </c>
      <c r="AE160">
        <v>0</v>
      </c>
      <c r="AF160">
        <v>0</v>
      </c>
      <c r="AG160">
        <v>0</v>
      </c>
      <c r="AH160">
        <v>0</v>
      </c>
      <c r="AI160">
        <v>0</v>
      </c>
      <c r="AJ160">
        <v>0</v>
      </c>
      <c r="AK160">
        <v>0</v>
      </c>
      <c r="AL160">
        <v>-8091</v>
      </c>
      <c r="AM160">
        <v>-868</v>
      </c>
      <c r="AN160">
        <v>0</v>
      </c>
      <c r="AO160">
        <v>0</v>
      </c>
      <c r="AP160">
        <v>-7006</v>
      </c>
      <c r="AQ160">
        <v>-7998</v>
      </c>
      <c r="AR160">
        <v>-7874</v>
      </c>
      <c r="AS160">
        <v>-7998</v>
      </c>
      <c r="AT160">
        <v>-217</v>
      </c>
      <c r="AU160">
        <v>-93</v>
      </c>
      <c r="AV160">
        <v>100</v>
      </c>
      <c r="AW160">
        <v>4.4000000000000004</v>
      </c>
      <c r="AX160">
        <v>0</v>
      </c>
      <c r="AY160">
        <v>0</v>
      </c>
      <c r="AZ160">
        <v>94.3</v>
      </c>
      <c r="BA160">
        <v>92.8</v>
      </c>
      <c r="BB160">
        <v>98.6</v>
      </c>
      <c r="BC160">
        <v>92.8</v>
      </c>
      <c r="BD160">
        <v>1.4</v>
      </c>
      <c r="BE160">
        <v>7.2</v>
      </c>
      <c r="BF160">
        <v>100</v>
      </c>
      <c r="BG160">
        <v>4.4000000000000004</v>
      </c>
      <c r="BH160">
        <v>0</v>
      </c>
      <c r="BI160">
        <v>0</v>
      </c>
      <c r="BJ160">
        <v>94.3</v>
      </c>
      <c r="BK160">
        <v>92.8</v>
      </c>
      <c r="BL160">
        <v>98.6</v>
      </c>
      <c r="BM160">
        <v>92.8</v>
      </c>
      <c r="BN160">
        <v>1.4</v>
      </c>
      <c r="BO160">
        <v>7.2</v>
      </c>
      <c r="BP160">
        <v>0</v>
      </c>
      <c r="BQ160">
        <v>0</v>
      </c>
      <c r="BR160">
        <v>0</v>
      </c>
      <c r="BS160">
        <v>0</v>
      </c>
      <c r="BT160">
        <v>0</v>
      </c>
      <c r="BU160">
        <v>0</v>
      </c>
      <c r="BV160">
        <v>0</v>
      </c>
      <c r="BW160">
        <v>0</v>
      </c>
      <c r="BX160">
        <v>0</v>
      </c>
      <c r="BY160">
        <v>0</v>
      </c>
      <c r="BZ160">
        <v>20</v>
      </c>
      <c r="CA160">
        <v>2</v>
      </c>
      <c r="CB160">
        <v>0</v>
      </c>
      <c r="CC160">
        <v>0</v>
      </c>
      <c r="CD160">
        <v>10</v>
      </c>
      <c r="CE160">
        <v>10</v>
      </c>
      <c r="CF160">
        <v>12</v>
      </c>
      <c r="CG160">
        <v>10</v>
      </c>
      <c r="CH160">
        <v>20</v>
      </c>
      <c r="CI160">
        <v>2</v>
      </c>
      <c r="CJ160">
        <v>0</v>
      </c>
      <c r="CK160">
        <v>0</v>
      </c>
      <c r="CL160">
        <v>10</v>
      </c>
      <c r="CM160">
        <v>10</v>
      </c>
      <c r="CN160">
        <v>12</v>
      </c>
      <c r="CO160">
        <v>10</v>
      </c>
      <c r="CP160">
        <v>0</v>
      </c>
      <c r="CQ160">
        <v>0</v>
      </c>
      <c r="CR160">
        <v>0</v>
      </c>
      <c r="CS160">
        <v>0</v>
      </c>
      <c r="CT160">
        <v>0</v>
      </c>
      <c r="CU160">
        <v>0</v>
      </c>
      <c r="CV160">
        <v>0</v>
      </c>
      <c r="CW160">
        <v>0</v>
      </c>
      <c r="CX160">
        <v>73.3</v>
      </c>
      <c r="CY160">
        <v>73.099999999999994</v>
      </c>
      <c r="CZ160">
        <v>91.8</v>
      </c>
      <c r="DA160">
        <v>88.7</v>
      </c>
      <c r="DB160">
        <v>71.900000000000006</v>
      </c>
      <c r="DC160">
        <v>73.099999999999994</v>
      </c>
      <c r="DD160">
        <v>89.8</v>
      </c>
      <c r="DE160">
        <v>88.3</v>
      </c>
      <c r="DF160">
        <v>73.3</v>
      </c>
      <c r="DG160">
        <v>73.099999999999994</v>
      </c>
      <c r="DH160">
        <v>91.8</v>
      </c>
      <c r="DI160">
        <v>88.7</v>
      </c>
      <c r="DJ160">
        <v>71.900000000000006</v>
      </c>
      <c r="DK160">
        <v>73.099999999999994</v>
      </c>
      <c r="DL160">
        <v>89.8</v>
      </c>
      <c r="DM160">
        <v>88.3</v>
      </c>
      <c r="DN160">
        <v>0</v>
      </c>
      <c r="DO160">
        <v>0</v>
      </c>
      <c r="DP160">
        <v>0</v>
      </c>
      <c r="DQ160">
        <v>0</v>
      </c>
      <c r="DR160">
        <v>0</v>
      </c>
      <c r="DS160">
        <v>0</v>
      </c>
      <c r="DT160">
        <v>0</v>
      </c>
      <c r="DU160">
        <v>0</v>
      </c>
      <c r="DV160" t="s">
        <v>363</v>
      </c>
    </row>
    <row r="161" spans="1:126" x14ac:dyDescent="0.35">
      <c r="A161" t="s">
        <v>366</v>
      </c>
      <c r="B161">
        <v>230103</v>
      </c>
      <c r="C161" s="1">
        <v>44929</v>
      </c>
      <c r="D161" t="s">
        <v>367</v>
      </c>
      <c r="E161" t="s">
        <v>184</v>
      </c>
      <c r="F161" t="s">
        <v>185</v>
      </c>
      <c r="G161" t="s">
        <v>282</v>
      </c>
      <c r="H161">
        <v>34364</v>
      </c>
      <c r="I161" s="17">
        <v>2015</v>
      </c>
      <c r="J161" s="17">
        <v>0</v>
      </c>
      <c r="K161">
        <v>0</v>
      </c>
      <c r="L161">
        <v>31772</v>
      </c>
      <c r="M161">
        <v>32383</v>
      </c>
      <c r="N161">
        <v>33787</v>
      </c>
      <c r="O161">
        <v>32383</v>
      </c>
      <c r="P161">
        <v>577</v>
      </c>
      <c r="Q161">
        <v>1981</v>
      </c>
      <c r="R161">
        <v>34364</v>
      </c>
      <c r="S161">
        <v>2015</v>
      </c>
      <c r="T161">
        <v>0</v>
      </c>
      <c r="U161">
        <v>0</v>
      </c>
      <c r="V161">
        <v>31772</v>
      </c>
      <c r="W161">
        <v>32383</v>
      </c>
      <c r="X161">
        <v>33787</v>
      </c>
      <c r="Y161">
        <v>32383</v>
      </c>
      <c r="Z161">
        <v>577</v>
      </c>
      <c r="AA161">
        <v>1981</v>
      </c>
      <c r="AB161">
        <v>0</v>
      </c>
      <c r="AC161">
        <v>0</v>
      </c>
      <c r="AD161">
        <v>0</v>
      </c>
      <c r="AE161">
        <v>0</v>
      </c>
      <c r="AF161">
        <v>0</v>
      </c>
      <c r="AG161">
        <v>0</v>
      </c>
      <c r="AH161">
        <v>0</v>
      </c>
      <c r="AI161">
        <v>0</v>
      </c>
      <c r="AJ161">
        <v>0</v>
      </c>
      <c r="AK161">
        <v>0</v>
      </c>
      <c r="AL161">
        <v>186</v>
      </c>
      <c r="AM161">
        <v>93</v>
      </c>
      <c r="AN161">
        <v>0</v>
      </c>
      <c r="AO161">
        <v>0</v>
      </c>
      <c r="AP161">
        <v>93</v>
      </c>
      <c r="AQ161">
        <v>31</v>
      </c>
      <c r="AR161">
        <v>186</v>
      </c>
      <c r="AS161">
        <v>31</v>
      </c>
      <c r="AT161">
        <v>0</v>
      </c>
      <c r="AU161">
        <v>155</v>
      </c>
      <c r="AV161">
        <v>100</v>
      </c>
      <c r="AW161">
        <v>5.9</v>
      </c>
      <c r="AX161">
        <v>0</v>
      </c>
      <c r="AY161">
        <v>0</v>
      </c>
      <c r="AZ161">
        <v>92.5</v>
      </c>
      <c r="BA161">
        <v>94.2</v>
      </c>
      <c r="BB161">
        <v>98.3</v>
      </c>
      <c r="BC161">
        <v>94.2</v>
      </c>
      <c r="BD161">
        <v>1.7</v>
      </c>
      <c r="BE161">
        <v>5.8</v>
      </c>
      <c r="BF161">
        <v>100</v>
      </c>
      <c r="BG161">
        <v>5.9</v>
      </c>
      <c r="BH161">
        <v>0</v>
      </c>
      <c r="BI161">
        <v>0</v>
      </c>
      <c r="BJ161">
        <v>92.5</v>
      </c>
      <c r="BK161">
        <v>94.2</v>
      </c>
      <c r="BL161">
        <v>98.3</v>
      </c>
      <c r="BM161">
        <v>94.2</v>
      </c>
      <c r="BN161">
        <v>1.7</v>
      </c>
      <c r="BO161">
        <v>5.8</v>
      </c>
      <c r="BP161">
        <v>0</v>
      </c>
      <c r="BQ161">
        <v>0</v>
      </c>
      <c r="BR161">
        <v>0</v>
      </c>
      <c r="BS161">
        <v>0</v>
      </c>
      <c r="BT161">
        <v>0</v>
      </c>
      <c r="BU161">
        <v>0</v>
      </c>
      <c r="BV161">
        <v>0</v>
      </c>
      <c r="BW161">
        <v>0</v>
      </c>
      <c r="BX161">
        <v>0</v>
      </c>
      <c r="BY161">
        <v>0</v>
      </c>
      <c r="BZ161">
        <v>24</v>
      </c>
      <c r="CA161">
        <v>2</v>
      </c>
      <c r="CB161">
        <v>0</v>
      </c>
      <c r="CC161">
        <v>0</v>
      </c>
      <c r="CD161">
        <v>11</v>
      </c>
      <c r="CE161">
        <v>13</v>
      </c>
      <c r="CF161">
        <v>13</v>
      </c>
      <c r="CG161">
        <v>13</v>
      </c>
      <c r="CH161">
        <v>24</v>
      </c>
      <c r="CI161">
        <v>2</v>
      </c>
      <c r="CJ161">
        <v>0</v>
      </c>
      <c r="CK161">
        <v>0</v>
      </c>
      <c r="CL161">
        <v>11</v>
      </c>
      <c r="CM161">
        <v>13</v>
      </c>
      <c r="CN161">
        <v>13</v>
      </c>
      <c r="CO161">
        <v>13</v>
      </c>
      <c r="CP161">
        <v>0</v>
      </c>
      <c r="CQ161">
        <v>0</v>
      </c>
      <c r="CR161">
        <v>0</v>
      </c>
      <c r="CS161">
        <v>0</v>
      </c>
      <c r="CT161">
        <v>0</v>
      </c>
      <c r="CU161">
        <v>0</v>
      </c>
      <c r="CV161">
        <v>0</v>
      </c>
      <c r="CW161">
        <v>0</v>
      </c>
      <c r="CX161">
        <v>71.3</v>
      </c>
      <c r="CY161">
        <v>70.099999999999994</v>
      </c>
      <c r="CZ161">
        <v>90.7</v>
      </c>
      <c r="DA161">
        <v>85.6</v>
      </c>
      <c r="DB161">
        <v>70.900000000000006</v>
      </c>
      <c r="DC161">
        <v>70.099999999999994</v>
      </c>
      <c r="DD161">
        <v>88.5</v>
      </c>
      <c r="DE161">
        <v>85.4</v>
      </c>
      <c r="DF161">
        <v>71.3</v>
      </c>
      <c r="DG161">
        <v>70.099999999999994</v>
      </c>
      <c r="DH161">
        <v>90.7</v>
      </c>
      <c r="DI161">
        <v>85.6</v>
      </c>
      <c r="DJ161">
        <v>70.900000000000006</v>
      </c>
      <c r="DK161">
        <v>70.099999999999994</v>
      </c>
      <c r="DL161">
        <v>88.5</v>
      </c>
      <c r="DM161">
        <v>85.4</v>
      </c>
      <c r="DN161">
        <v>0</v>
      </c>
      <c r="DO161">
        <v>0</v>
      </c>
      <c r="DP161">
        <v>0</v>
      </c>
      <c r="DQ161">
        <v>0</v>
      </c>
      <c r="DR161">
        <v>0</v>
      </c>
      <c r="DS161">
        <v>0</v>
      </c>
      <c r="DT161">
        <v>0</v>
      </c>
      <c r="DU161">
        <v>0</v>
      </c>
      <c r="DV161" t="s">
        <v>363</v>
      </c>
    </row>
    <row r="162" spans="1:126" x14ac:dyDescent="0.35">
      <c r="A162" t="s">
        <v>368</v>
      </c>
      <c r="B162">
        <v>230110</v>
      </c>
      <c r="C162" s="1">
        <v>44936</v>
      </c>
      <c r="D162" t="s">
        <v>369</v>
      </c>
      <c r="E162" t="s">
        <v>184</v>
      </c>
      <c r="F162" t="s">
        <v>185</v>
      </c>
      <c r="G162" t="s">
        <v>282</v>
      </c>
      <c r="H162">
        <v>248469</v>
      </c>
      <c r="I162" s="17">
        <v>3532</v>
      </c>
      <c r="J162" s="17">
        <v>2526</v>
      </c>
      <c r="K162">
        <v>6023</v>
      </c>
      <c r="L162">
        <v>230106</v>
      </c>
      <c r="M162">
        <v>236252</v>
      </c>
      <c r="N162">
        <v>239661</v>
      </c>
      <c r="O162">
        <v>244801</v>
      </c>
      <c r="P162">
        <v>8808</v>
      </c>
      <c r="Q162">
        <v>3668</v>
      </c>
      <c r="R162">
        <v>248469</v>
      </c>
      <c r="S162">
        <v>3532</v>
      </c>
      <c r="T162">
        <v>2526</v>
      </c>
      <c r="U162">
        <v>6023</v>
      </c>
      <c r="V162">
        <v>230106</v>
      </c>
      <c r="W162">
        <v>236252</v>
      </c>
      <c r="X162">
        <v>239661</v>
      </c>
      <c r="Y162">
        <v>244801</v>
      </c>
      <c r="Z162">
        <v>8808</v>
      </c>
      <c r="AA162">
        <v>3668</v>
      </c>
      <c r="AB162">
        <v>0</v>
      </c>
      <c r="AC162">
        <v>0</v>
      </c>
      <c r="AD162">
        <v>0</v>
      </c>
      <c r="AE162">
        <v>0</v>
      </c>
      <c r="AF162">
        <v>0</v>
      </c>
      <c r="AG162">
        <v>0</v>
      </c>
      <c r="AH162">
        <v>0</v>
      </c>
      <c r="AI162">
        <v>0</v>
      </c>
      <c r="AJ162">
        <v>0</v>
      </c>
      <c r="AK162">
        <v>0</v>
      </c>
      <c r="AL162">
        <v>-14249</v>
      </c>
      <c r="AM162">
        <v>-7</v>
      </c>
      <c r="AN162">
        <v>-1228</v>
      </c>
      <c r="AO162">
        <v>-2828</v>
      </c>
      <c r="AP162">
        <v>-14170</v>
      </c>
      <c r="AQ162">
        <v>-8715</v>
      </c>
      <c r="AR162">
        <v>-17005</v>
      </c>
      <c r="AS162">
        <v>-12771</v>
      </c>
      <c r="AT162">
        <v>2756</v>
      </c>
      <c r="AU162">
        <v>-1478</v>
      </c>
      <c r="AV162">
        <v>100</v>
      </c>
      <c r="AW162">
        <v>1.4</v>
      </c>
      <c r="AX162">
        <v>1</v>
      </c>
      <c r="AY162">
        <v>2.4</v>
      </c>
      <c r="AZ162">
        <v>92.6</v>
      </c>
      <c r="BA162">
        <v>95.1</v>
      </c>
      <c r="BB162">
        <v>96.5</v>
      </c>
      <c r="BC162">
        <v>98.5</v>
      </c>
      <c r="BD162">
        <v>3.5</v>
      </c>
      <c r="BE162">
        <v>1.5</v>
      </c>
      <c r="BF162">
        <v>100</v>
      </c>
      <c r="BG162">
        <v>1.4</v>
      </c>
      <c r="BH162">
        <v>1</v>
      </c>
      <c r="BI162">
        <v>2.4</v>
      </c>
      <c r="BJ162">
        <v>92.6</v>
      </c>
      <c r="BK162">
        <v>95.1</v>
      </c>
      <c r="BL162">
        <v>96.5</v>
      </c>
      <c r="BM162">
        <v>98.5</v>
      </c>
      <c r="BN162">
        <v>3.5</v>
      </c>
      <c r="BO162">
        <v>1.5</v>
      </c>
      <c r="BP162">
        <v>0</v>
      </c>
      <c r="BQ162">
        <v>0</v>
      </c>
      <c r="BR162">
        <v>0</v>
      </c>
      <c r="BS162">
        <v>0</v>
      </c>
      <c r="BT162">
        <v>0</v>
      </c>
      <c r="BU162">
        <v>0</v>
      </c>
      <c r="BV162">
        <v>0</v>
      </c>
      <c r="BW162">
        <v>0</v>
      </c>
      <c r="BX162">
        <v>0</v>
      </c>
      <c r="BY162">
        <v>0</v>
      </c>
      <c r="BZ162">
        <v>36</v>
      </c>
      <c r="CA162">
        <v>2</v>
      </c>
      <c r="CB162">
        <v>1</v>
      </c>
      <c r="CC162">
        <v>3</v>
      </c>
      <c r="CD162">
        <v>22</v>
      </c>
      <c r="CE162">
        <v>24</v>
      </c>
      <c r="CF162">
        <v>25</v>
      </c>
      <c r="CG162">
        <v>27</v>
      </c>
      <c r="CH162">
        <v>36</v>
      </c>
      <c r="CI162">
        <v>2</v>
      </c>
      <c r="CJ162">
        <v>1</v>
      </c>
      <c r="CK162">
        <v>3</v>
      </c>
      <c r="CL162">
        <v>22</v>
      </c>
      <c r="CM162">
        <v>24</v>
      </c>
      <c r="CN162">
        <v>25</v>
      </c>
      <c r="CO162">
        <v>27</v>
      </c>
      <c r="CP162">
        <v>0</v>
      </c>
      <c r="CQ162">
        <v>0</v>
      </c>
      <c r="CR162">
        <v>0</v>
      </c>
      <c r="CS162">
        <v>0</v>
      </c>
      <c r="CT162">
        <v>0</v>
      </c>
      <c r="CU162">
        <v>0</v>
      </c>
      <c r="CV162">
        <v>0</v>
      </c>
      <c r="CW162">
        <v>0</v>
      </c>
      <c r="CX162">
        <v>53.4</v>
      </c>
      <c r="CY162">
        <v>51.4</v>
      </c>
      <c r="CZ162">
        <v>74.5</v>
      </c>
      <c r="DA162">
        <v>69.2</v>
      </c>
      <c r="DB162">
        <v>50.6</v>
      </c>
      <c r="DC162">
        <v>49.7</v>
      </c>
      <c r="DD162">
        <v>71</v>
      </c>
      <c r="DE162">
        <v>67.2</v>
      </c>
      <c r="DF162">
        <v>53.4</v>
      </c>
      <c r="DG162">
        <v>51.4</v>
      </c>
      <c r="DH162">
        <v>74.5</v>
      </c>
      <c r="DI162">
        <v>69.2</v>
      </c>
      <c r="DJ162">
        <v>50.6</v>
      </c>
      <c r="DK162">
        <v>49.7</v>
      </c>
      <c r="DL162">
        <v>71</v>
      </c>
      <c r="DM162">
        <v>67.2</v>
      </c>
      <c r="DN162">
        <v>0</v>
      </c>
      <c r="DO162">
        <v>0</v>
      </c>
      <c r="DP162">
        <v>0</v>
      </c>
      <c r="DQ162">
        <v>0</v>
      </c>
      <c r="DR162">
        <v>0</v>
      </c>
      <c r="DS162">
        <v>0</v>
      </c>
      <c r="DT162">
        <v>0</v>
      </c>
      <c r="DU162">
        <v>0</v>
      </c>
      <c r="DV162" t="s">
        <v>283</v>
      </c>
    </row>
    <row r="163" spans="1:126" x14ac:dyDescent="0.35">
      <c r="A163" t="s">
        <v>368</v>
      </c>
      <c r="B163">
        <v>230103</v>
      </c>
      <c r="C163" s="1">
        <v>44929</v>
      </c>
      <c r="D163" t="s">
        <v>369</v>
      </c>
      <c r="E163" t="s">
        <v>184</v>
      </c>
      <c r="F163" t="s">
        <v>185</v>
      </c>
      <c r="G163" t="s">
        <v>282</v>
      </c>
      <c r="H163">
        <v>262718</v>
      </c>
      <c r="I163" s="17">
        <v>3539</v>
      </c>
      <c r="J163" s="17">
        <v>3754</v>
      </c>
      <c r="K163">
        <v>8851</v>
      </c>
      <c r="L163">
        <v>244276</v>
      </c>
      <c r="M163">
        <v>244967</v>
      </c>
      <c r="N163">
        <v>256666</v>
      </c>
      <c r="O163">
        <v>257572</v>
      </c>
      <c r="P163">
        <v>6052</v>
      </c>
      <c r="Q163">
        <v>5146</v>
      </c>
      <c r="R163">
        <v>262718</v>
      </c>
      <c r="S163">
        <v>3539</v>
      </c>
      <c r="T163">
        <v>3754</v>
      </c>
      <c r="U163">
        <v>8851</v>
      </c>
      <c r="V163">
        <v>244276</v>
      </c>
      <c r="W163">
        <v>244967</v>
      </c>
      <c r="X163">
        <v>256666</v>
      </c>
      <c r="Y163">
        <v>257572</v>
      </c>
      <c r="Z163">
        <v>6052</v>
      </c>
      <c r="AA163">
        <v>5146</v>
      </c>
      <c r="AB163">
        <v>0</v>
      </c>
      <c r="AC163">
        <v>0</v>
      </c>
      <c r="AD163">
        <v>0</v>
      </c>
      <c r="AE163">
        <v>0</v>
      </c>
      <c r="AF163">
        <v>0</v>
      </c>
      <c r="AG163">
        <v>0</v>
      </c>
      <c r="AH163">
        <v>0</v>
      </c>
      <c r="AI163">
        <v>0</v>
      </c>
      <c r="AJ163">
        <v>0</v>
      </c>
      <c r="AK163">
        <v>0</v>
      </c>
      <c r="AL163">
        <v>398</v>
      </c>
      <c r="AM163">
        <v>-2192</v>
      </c>
      <c r="AN163">
        <v>320</v>
      </c>
      <c r="AO163">
        <v>1090</v>
      </c>
      <c r="AP163">
        <v>1476</v>
      </c>
      <c r="AQ163">
        <v>-1651</v>
      </c>
      <c r="AR163">
        <v>374</v>
      </c>
      <c r="AS163">
        <v>-241</v>
      </c>
      <c r="AT163">
        <v>24</v>
      </c>
      <c r="AU163">
        <v>639</v>
      </c>
      <c r="AV163">
        <v>100</v>
      </c>
      <c r="AW163">
        <v>1.3</v>
      </c>
      <c r="AX163">
        <v>1.4</v>
      </c>
      <c r="AY163">
        <v>3.4</v>
      </c>
      <c r="AZ163">
        <v>93</v>
      </c>
      <c r="BA163">
        <v>93.2</v>
      </c>
      <c r="BB163">
        <v>97.7</v>
      </c>
      <c r="BC163">
        <v>98</v>
      </c>
      <c r="BD163">
        <v>2.2999999999999998</v>
      </c>
      <c r="BE163">
        <v>2</v>
      </c>
      <c r="BF163">
        <v>100</v>
      </c>
      <c r="BG163">
        <v>1.3</v>
      </c>
      <c r="BH163">
        <v>1.4</v>
      </c>
      <c r="BI163">
        <v>3.4</v>
      </c>
      <c r="BJ163">
        <v>93</v>
      </c>
      <c r="BK163">
        <v>93.2</v>
      </c>
      <c r="BL163">
        <v>97.7</v>
      </c>
      <c r="BM163">
        <v>98</v>
      </c>
      <c r="BN163">
        <v>2.2999999999999998</v>
      </c>
      <c r="BO163">
        <v>2</v>
      </c>
      <c r="BP163">
        <v>0</v>
      </c>
      <c r="BQ163">
        <v>0</v>
      </c>
      <c r="BR163">
        <v>0</v>
      </c>
      <c r="BS163">
        <v>0</v>
      </c>
      <c r="BT163">
        <v>0</v>
      </c>
      <c r="BU163">
        <v>0</v>
      </c>
      <c r="BV163">
        <v>0</v>
      </c>
      <c r="BW163">
        <v>0</v>
      </c>
      <c r="BX163">
        <v>0</v>
      </c>
      <c r="BY163">
        <v>0</v>
      </c>
      <c r="BZ163">
        <v>39</v>
      </c>
      <c r="CA163">
        <v>3</v>
      </c>
      <c r="CB163">
        <v>1</v>
      </c>
      <c r="CC163">
        <v>4</v>
      </c>
      <c r="CD163">
        <v>24</v>
      </c>
      <c r="CE163">
        <v>25</v>
      </c>
      <c r="CF163">
        <v>28</v>
      </c>
      <c r="CG163">
        <v>29</v>
      </c>
      <c r="CH163">
        <v>39</v>
      </c>
      <c r="CI163">
        <v>3</v>
      </c>
      <c r="CJ163">
        <v>1</v>
      </c>
      <c r="CK163">
        <v>4</v>
      </c>
      <c r="CL163">
        <v>24</v>
      </c>
      <c r="CM163">
        <v>25</v>
      </c>
      <c r="CN163">
        <v>28</v>
      </c>
      <c r="CO163">
        <v>29</v>
      </c>
      <c r="CP163">
        <v>0</v>
      </c>
      <c r="CQ163">
        <v>0</v>
      </c>
      <c r="CR163">
        <v>0</v>
      </c>
      <c r="CS163">
        <v>0</v>
      </c>
      <c r="CT163">
        <v>0</v>
      </c>
      <c r="CU163">
        <v>0</v>
      </c>
      <c r="CV163">
        <v>0</v>
      </c>
      <c r="CW163">
        <v>0</v>
      </c>
      <c r="CX163">
        <v>51.6</v>
      </c>
      <c r="CY163">
        <v>51.1</v>
      </c>
      <c r="CZ163">
        <v>71.900000000000006</v>
      </c>
      <c r="DA163">
        <v>68.5</v>
      </c>
      <c r="DB163">
        <v>49.8</v>
      </c>
      <c r="DC163">
        <v>48.3</v>
      </c>
      <c r="DD163">
        <v>67.900000000000006</v>
      </c>
      <c r="DE163">
        <v>65.400000000000006</v>
      </c>
      <c r="DF163">
        <v>51.6</v>
      </c>
      <c r="DG163">
        <v>51.1</v>
      </c>
      <c r="DH163">
        <v>71.900000000000006</v>
      </c>
      <c r="DI163">
        <v>68.5</v>
      </c>
      <c r="DJ163">
        <v>49.8</v>
      </c>
      <c r="DK163">
        <v>48.3</v>
      </c>
      <c r="DL163">
        <v>67.900000000000006</v>
      </c>
      <c r="DM163">
        <v>65.400000000000006</v>
      </c>
      <c r="DN163">
        <v>0</v>
      </c>
      <c r="DO163">
        <v>0</v>
      </c>
      <c r="DP163">
        <v>0</v>
      </c>
      <c r="DQ163">
        <v>0</v>
      </c>
      <c r="DR163">
        <v>0</v>
      </c>
      <c r="DS163">
        <v>0</v>
      </c>
      <c r="DT163">
        <v>0</v>
      </c>
      <c r="DU163">
        <v>0</v>
      </c>
      <c r="DV163" t="s">
        <v>283</v>
      </c>
    </row>
    <row r="164" spans="1:126" x14ac:dyDescent="0.35">
      <c r="A164" t="s">
        <v>370</v>
      </c>
      <c r="B164">
        <v>230103</v>
      </c>
      <c r="C164" s="1">
        <v>44929</v>
      </c>
      <c r="D164" t="s">
        <v>371</v>
      </c>
      <c r="E164" t="s">
        <v>184</v>
      </c>
      <c r="F164" t="s">
        <v>185</v>
      </c>
      <c r="G164" t="s">
        <v>282</v>
      </c>
      <c r="H164">
        <v>23762</v>
      </c>
      <c r="I164" s="17">
        <v>1147</v>
      </c>
      <c r="J164" s="17">
        <v>589</v>
      </c>
      <c r="K164">
        <v>62</v>
      </c>
      <c r="L164">
        <v>21849</v>
      </c>
      <c r="M164">
        <v>21796</v>
      </c>
      <c r="N164">
        <v>23058</v>
      </c>
      <c r="O164">
        <v>22447</v>
      </c>
      <c r="P164">
        <v>704</v>
      </c>
      <c r="Q164">
        <v>1315</v>
      </c>
      <c r="R164">
        <v>23762</v>
      </c>
      <c r="S164">
        <v>1147</v>
      </c>
      <c r="T164">
        <v>589</v>
      </c>
      <c r="U164">
        <v>62</v>
      </c>
      <c r="V164">
        <v>21849</v>
      </c>
      <c r="W164">
        <v>21796</v>
      </c>
      <c r="X164">
        <v>23058</v>
      </c>
      <c r="Y164">
        <v>22447</v>
      </c>
      <c r="Z164">
        <v>704</v>
      </c>
      <c r="AA164">
        <v>1315</v>
      </c>
      <c r="AB164">
        <v>0</v>
      </c>
      <c r="AC164">
        <v>0</v>
      </c>
      <c r="AD164">
        <v>0</v>
      </c>
      <c r="AE164">
        <v>0</v>
      </c>
      <c r="AF164">
        <v>0</v>
      </c>
      <c r="AG164">
        <v>0</v>
      </c>
      <c r="AH164">
        <v>0</v>
      </c>
      <c r="AI164">
        <v>0</v>
      </c>
      <c r="AJ164">
        <v>0</v>
      </c>
      <c r="AK164">
        <v>0</v>
      </c>
      <c r="AL164">
        <v>496</v>
      </c>
      <c r="AM164">
        <v>155</v>
      </c>
      <c r="AN164">
        <v>0</v>
      </c>
      <c r="AO164">
        <v>0</v>
      </c>
      <c r="AP164">
        <v>279</v>
      </c>
      <c r="AQ164">
        <v>341</v>
      </c>
      <c r="AR164">
        <v>434</v>
      </c>
      <c r="AS164">
        <v>341</v>
      </c>
      <c r="AT164">
        <v>62</v>
      </c>
      <c r="AU164">
        <v>155</v>
      </c>
      <c r="AV164">
        <v>100</v>
      </c>
      <c r="AW164">
        <v>4.8</v>
      </c>
      <c r="AX164">
        <v>2.5</v>
      </c>
      <c r="AY164">
        <v>0.3</v>
      </c>
      <c r="AZ164">
        <v>91.9</v>
      </c>
      <c r="BA164">
        <v>91.7</v>
      </c>
      <c r="BB164">
        <v>97</v>
      </c>
      <c r="BC164">
        <v>94.5</v>
      </c>
      <c r="BD164">
        <v>3</v>
      </c>
      <c r="BE164">
        <v>5.5</v>
      </c>
      <c r="BF164">
        <v>100</v>
      </c>
      <c r="BG164">
        <v>4.8</v>
      </c>
      <c r="BH164">
        <v>2.5</v>
      </c>
      <c r="BI164">
        <v>0.3</v>
      </c>
      <c r="BJ164">
        <v>91.9</v>
      </c>
      <c r="BK164">
        <v>91.7</v>
      </c>
      <c r="BL164">
        <v>97</v>
      </c>
      <c r="BM164">
        <v>94.5</v>
      </c>
      <c r="BN164">
        <v>3</v>
      </c>
      <c r="BO164">
        <v>5.5</v>
      </c>
      <c r="BP164">
        <v>0</v>
      </c>
      <c r="BQ164">
        <v>0</v>
      </c>
      <c r="BR164">
        <v>0</v>
      </c>
      <c r="BS164">
        <v>0</v>
      </c>
      <c r="BT164">
        <v>0</v>
      </c>
      <c r="BU164">
        <v>0</v>
      </c>
      <c r="BV164">
        <v>0</v>
      </c>
      <c r="BW164">
        <v>0</v>
      </c>
      <c r="BX164">
        <v>0</v>
      </c>
      <c r="BY164">
        <v>0</v>
      </c>
      <c r="BZ164">
        <v>24</v>
      </c>
      <c r="CA164">
        <v>2</v>
      </c>
      <c r="CB164">
        <v>1</v>
      </c>
      <c r="CC164">
        <v>1</v>
      </c>
      <c r="CD164">
        <v>13</v>
      </c>
      <c r="CE164">
        <v>13</v>
      </c>
      <c r="CF164">
        <v>15</v>
      </c>
      <c r="CG164">
        <v>15</v>
      </c>
      <c r="CH164">
        <v>24</v>
      </c>
      <c r="CI164">
        <v>2</v>
      </c>
      <c r="CJ164">
        <v>1</v>
      </c>
      <c r="CK164">
        <v>1</v>
      </c>
      <c r="CL164">
        <v>13</v>
      </c>
      <c r="CM164">
        <v>13</v>
      </c>
      <c r="CN164">
        <v>15</v>
      </c>
      <c r="CO164">
        <v>15</v>
      </c>
      <c r="CP164">
        <v>0</v>
      </c>
      <c r="CQ164">
        <v>0</v>
      </c>
      <c r="CR164">
        <v>0</v>
      </c>
      <c r="CS164">
        <v>0</v>
      </c>
      <c r="CT164">
        <v>0</v>
      </c>
      <c r="CU164">
        <v>0</v>
      </c>
      <c r="CV164">
        <v>0</v>
      </c>
      <c r="CW164">
        <v>0</v>
      </c>
      <c r="CX164">
        <v>71.2</v>
      </c>
      <c r="CY164">
        <v>69.5</v>
      </c>
      <c r="CZ164">
        <v>85.1</v>
      </c>
      <c r="DA164">
        <v>85.7</v>
      </c>
      <c r="DB164">
        <v>71.2</v>
      </c>
      <c r="DC164">
        <v>68.5</v>
      </c>
      <c r="DD164">
        <v>84.2</v>
      </c>
      <c r="DE164">
        <v>83.3</v>
      </c>
      <c r="DF164">
        <v>71.2</v>
      </c>
      <c r="DG164">
        <v>69.5</v>
      </c>
      <c r="DH164">
        <v>85.1</v>
      </c>
      <c r="DI164">
        <v>85.7</v>
      </c>
      <c r="DJ164">
        <v>71.2</v>
      </c>
      <c r="DK164">
        <v>68.5</v>
      </c>
      <c r="DL164">
        <v>84.2</v>
      </c>
      <c r="DM164">
        <v>83.3</v>
      </c>
      <c r="DN164">
        <v>0</v>
      </c>
      <c r="DO164">
        <v>0</v>
      </c>
      <c r="DP164">
        <v>0</v>
      </c>
      <c r="DQ164">
        <v>0</v>
      </c>
      <c r="DR164">
        <v>0</v>
      </c>
      <c r="DS164">
        <v>0</v>
      </c>
      <c r="DT164">
        <v>0</v>
      </c>
      <c r="DU164">
        <v>0</v>
      </c>
      <c r="DV164" t="s">
        <v>283</v>
      </c>
    </row>
    <row r="165" spans="1:126" x14ac:dyDescent="0.35">
      <c r="A165" t="s">
        <v>372</v>
      </c>
      <c r="B165">
        <v>230110</v>
      </c>
      <c r="C165" s="1">
        <v>44936</v>
      </c>
      <c r="D165" t="s">
        <v>373</v>
      </c>
      <c r="E165" t="s">
        <v>184</v>
      </c>
      <c r="F165" t="s">
        <v>185</v>
      </c>
      <c r="G165" t="s">
        <v>282</v>
      </c>
      <c r="H165">
        <v>53352</v>
      </c>
      <c r="I165" s="17">
        <v>2293</v>
      </c>
      <c r="J165" s="17">
        <v>0</v>
      </c>
      <c r="K165">
        <v>193</v>
      </c>
      <c r="L165">
        <v>46200</v>
      </c>
      <c r="M165">
        <v>49291</v>
      </c>
      <c r="N165">
        <v>48686</v>
      </c>
      <c r="O165">
        <v>49484</v>
      </c>
      <c r="P165">
        <v>4666</v>
      </c>
      <c r="Q165">
        <v>3868</v>
      </c>
      <c r="R165">
        <v>53352</v>
      </c>
      <c r="S165">
        <v>2293</v>
      </c>
      <c r="T165">
        <v>0</v>
      </c>
      <c r="U165">
        <v>193</v>
      </c>
      <c r="V165">
        <v>46200</v>
      </c>
      <c r="W165">
        <v>49291</v>
      </c>
      <c r="X165">
        <v>48686</v>
      </c>
      <c r="Y165">
        <v>49484</v>
      </c>
      <c r="Z165">
        <v>4666</v>
      </c>
      <c r="AA165">
        <v>3868</v>
      </c>
      <c r="AB165">
        <v>0</v>
      </c>
      <c r="AC165">
        <v>0</v>
      </c>
      <c r="AD165">
        <v>0</v>
      </c>
      <c r="AE165">
        <v>0</v>
      </c>
      <c r="AF165">
        <v>0</v>
      </c>
      <c r="AG165">
        <v>0</v>
      </c>
      <c r="AH165">
        <v>0</v>
      </c>
      <c r="AI165">
        <v>0</v>
      </c>
      <c r="AJ165">
        <v>0</v>
      </c>
      <c r="AK165">
        <v>0</v>
      </c>
      <c r="AL165">
        <v>-1887</v>
      </c>
      <c r="AM165">
        <v>-1514</v>
      </c>
      <c r="AN165">
        <v>0</v>
      </c>
      <c r="AO165">
        <v>186</v>
      </c>
      <c r="AP165">
        <v>-706</v>
      </c>
      <c r="AQ165">
        <v>-1595</v>
      </c>
      <c r="AR165">
        <v>-2034</v>
      </c>
      <c r="AS165">
        <v>-1409</v>
      </c>
      <c r="AT165">
        <v>147</v>
      </c>
      <c r="AU165">
        <v>-478</v>
      </c>
      <c r="AV165">
        <v>100</v>
      </c>
      <c r="AW165">
        <v>4.3</v>
      </c>
      <c r="AX165">
        <v>0</v>
      </c>
      <c r="AY165">
        <v>0.4</v>
      </c>
      <c r="AZ165">
        <v>86.6</v>
      </c>
      <c r="BA165">
        <v>92.4</v>
      </c>
      <c r="BB165">
        <v>91.3</v>
      </c>
      <c r="BC165">
        <v>92.8</v>
      </c>
      <c r="BD165">
        <v>8.6999999999999993</v>
      </c>
      <c r="BE165">
        <v>7.2</v>
      </c>
      <c r="BF165">
        <v>100</v>
      </c>
      <c r="BG165">
        <v>4.3</v>
      </c>
      <c r="BH165">
        <v>0</v>
      </c>
      <c r="BI165">
        <v>0.4</v>
      </c>
      <c r="BJ165">
        <v>86.6</v>
      </c>
      <c r="BK165">
        <v>92.4</v>
      </c>
      <c r="BL165">
        <v>91.3</v>
      </c>
      <c r="BM165">
        <v>92.8</v>
      </c>
      <c r="BN165">
        <v>8.6999999999999993</v>
      </c>
      <c r="BO165">
        <v>7.2</v>
      </c>
      <c r="BP165">
        <v>0</v>
      </c>
      <c r="BQ165">
        <v>0</v>
      </c>
      <c r="BR165">
        <v>0</v>
      </c>
      <c r="BS165">
        <v>0</v>
      </c>
      <c r="BT165">
        <v>0</v>
      </c>
      <c r="BU165">
        <v>0</v>
      </c>
      <c r="BV165">
        <v>0</v>
      </c>
      <c r="BW165">
        <v>0</v>
      </c>
      <c r="BX165">
        <v>0</v>
      </c>
      <c r="BY165">
        <v>0</v>
      </c>
      <c r="BZ165">
        <v>28</v>
      </c>
      <c r="CA165">
        <v>3</v>
      </c>
      <c r="CB165">
        <v>0</v>
      </c>
      <c r="CC165">
        <v>1</v>
      </c>
      <c r="CD165">
        <v>16</v>
      </c>
      <c r="CE165">
        <v>19</v>
      </c>
      <c r="CF165">
        <v>19</v>
      </c>
      <c r="CG165">
        <v>20</v>
      </c>
      <c r="CH165">
        <v>28</v>
      </c>
      <c r="CI165">
        <v>3</v>
      </c>
      <c r="CJ165">
        <v>0</v>
      </c>
      <c r="CK165">
        <v>1</v>
      </c>
      <c r="CL165">
        <v>16</v>
      </c>
      <c r="CM165">
        <v>19</v>
      </c>
      <c r="CN165">
        <v>19</v>
      </c>
      <c r="CO165">
        <v>20</v>
      </c>
      <c r="CP165">
        <v>0</v>
      </c>
      <c r="CQ165">
        <v>0</v>
      </c>
      <c r="CR165">
        <v>0</v>
      </c>
      <c r="CS165">
        <v>0</v>
      </c>
      <c r="CT165">
        <v>0</v>
      </c>
      <c r="CU165">
        <v>0</v>
      </c>
      <c r="CV165">
        <v>0</v>
      </c>
      <c r="CW165">
        <v>0</v>
      </c>
      <c r="CX165">
        <v>54.3</v>
      </c>
      <c r="CY165">
        <v>62.3</v>
      </c>
      <c r="CZ165">
        <v>74.900000000000006</v>
      </c>
      <c r="DA165">
        <v>77.8</v>
      </c>
      <c r="DB165">
        <v>52.6</v>
      </c>
      <c r="DC165">
        <v>60.8</v>
      </c>
      <c r="DD165">
        <v>69.599999999999994</v>
      </c>
      <c r="DE165">
        <v>75.599999999999994</v>
      </c>
      <c r="DF165">
        <v>54.3</v>
      </c>
      <c r="DG165">
        <v>62.3</v>
      </c>
      <c r="DH165">
        <v>74.900000000000006</v>
      </c>
      <c r="DI165">
        <v>77.8</v>
      </c>
      <c r="DJ165">
        <v>52.6</v>
      </c>
      <c r="DK165">
        <v>60.8</v>
      </c>
      <c r="DL165">
        <v>69.599999999999994</v>
      </c>
      <c r="DM165">
        <v>75.599999999999994</v>
      </c>
      <c r="DN165">
        <v>0</v>
      </c>
      <c r="DO165">
        <v>0</v>
      </c>
      <c r="DP165">
        <v>0</v>
      </c>
      <c r="DQ165">
        <v>0</v>
      </c>
      <c r="DR165">
        <v>0</v>
      </c>
      <c r="DS165">
        <v>0</v>
      </c>
      <c r="DT165">
        <v>0</v>
      </c>
      <c r="DU165">
        <v>0</v>
      </c>
      <c r="DV165" t="s">
        <v>283</v>
      </c>
    </row>
    <row r="166" spans="1:126" x14ac:dyDescent="0.35">
      <c r="A166" t="s">
        <v>372</v>
      </c>
      <c r="B166">
        <v>230103</v>
      </c>
      <c r="C166" s="1">
        <v>44929</v>
      </c>
      <c r="D166" t="s">
        <v>373</v>
      </c>
      <c r="E166" t="s">
        <v>184</v>
      </c>
      <c r="F166" t="s">
        <v>185</v>
      </c>
      <c r="G166" t="s">
        <v>282</v>
      </c>
      <c r="H166">
        <v>55239</v>
      </c>
      <c r="I166" s="17">
        <v>3807</v>
      </c>
      <c r="J166" s="17">
        <v>0</v>
      </c>
      <c r="K166">
        <v>7</v>
      </c>
      <c r="L166">
        <v>46906</v>
      </c>
      <c r="M166">
        <v>50886</v>
      </c>
      <c r="N166">
        <v>50720</v>
      </c>
      <c r="O166">
        <v>50893</v>
      </c>
      <c r="P166">
        <v>4519</v>
      </c>
      <c r="Q166">
        <v>4346</v>
      </c>
      <c r="R166">
        <v>55239</v>
      </c>
      <c r="S166">
        <v>3807</v>
      </c>
      <c r="T166">
        <v>0</v>
      </c>
      <c r="U166">
        <v>7</v>
      </c>
      <c r="V166">
        <v>46906</v>
      </c>
      <c r="W166">
        <v>50886</v>
      </c>
      <c r="X166">
        <v>50720</v>
      </c>
      <c r="Y166">
        <v>50893</v>
      </c>
      <c r="Z166">
        <v>4519</v>
      </c>
      <c r="AA166">
        <v>4346</v>
      </c>
      <c r="AB166">
        <v>0</v>
      </c>
      <c r="AC166">
        <v>0</v>
      </c>
      <c r="AD166">
        <v>0</v>
      </c>
      <c r="AE166">
        <v>0</v>
      </c>
      <c r="AF166">
        <v>0</v>
      </c>
      <c r="AG166">
        <v>0</v>
      </c>
      <c r="AH166">
        <v>0</v>
      </c>
      <c r="AI166">
        <v>0</v>
      </c>
      <c r="AJ166">
        <v>0</v>
      </c>
      <c r="AK166">
        <v>0</v>
      </c>
      <c r="AL166">
        <v>1091</v>
      </c>
      <c r="AM166">
        <v>515</v>
      </c>
      <c r="AN166">
        <v>0</v>
      </c>
      <c r="AO166">
        <v>0</v>
      </c>
      <c r="AP166">
        <v>911</v>
      </c>
      <c r="AQ166">
        <v>998</v>
      </c>
      <c r="AR166">
        <v>1426</v>
      </c>
      <c r="AS166">
        <v>998</v>
      </c>
      <c r="AT166">
        <v>-335</v>
      </c>
      <c r="AU166">
        <v>93</v>
      </c>
      <c r="AV166">
        <v>100</v>
      </c>
      <c r="AW166">
        <v>6.9</v>
      </c>
      <c r="AX166">
        <v>0</v>
      </c>
      <c r="AY166">
        <v>0</v>
      </c>
      <c r="AZ166">
        <v>84.9</v>
      </c>
      <c r="BA166">
        <v>92.1</v>
      </c>
      <c r="BB166">
        <v>91.8</v>
      </c>
      <c r="BC166">
        <v>92.1</v>
      </c>
      <c r="BD166">
        <v>8.1999999999999993</v>
      </c>
      <c r="BE166">
        <v>7.9</v>
      </c>
      <c r="BF166">
        <v>100</v>
      </c>
      <c r="BG166">
        <v>6.9</v>
      </c>
      <c r="BH166">
        <v>0</v>
      </c>
      <c r="BI166">
        <v>0</v>
      </c>
      <c r="BJ166">
        <v>84.9</v>
      </c>
      <c r="BK166">
        <v>92.1</v>
      </c>
      <c r="BL166">
        <v>91.8</v>
      </c>
      <c r="BM166">
        <v>92.1</v>
      </c>
      <c r="BN166">
        <v>8.1999999999999993</v>
      </c>
      <c r="BO166">
        <v>7.9</v>
      </c>
      <c r="BP166">
        <v>0</v>
      </c>
      <c r="BQ166">
        <v>0</v>
      </c>
      <c r="BR166">
        <v>0</v>
      </c>
      <c r="BS166">
        <v>0</v>
      </c>
      <c r="BT166">
        <v>0</v>
      </c>
      <c r="BU166">
        <v>0</v>
      </c>
      <c r="BV166">
        <v>0</v>
      </c>
      <c r="BW166">
        <v>0</v>
      </c>
      <c r="BX166">
        <v>0</v>
      </c>
      <c r="BY166">
        <v>0</v>
      </c>
      <c r="BZ166">
        <v>28</v>
      </c>
      <c r="CA166">
        <v>4</v>
      </c>
      <c r="CB166">
        <v>0</v>
      </c>
      <c r="CC166">
        <v>1</v>
      </c>
      <c r="CD166">
        <v>16</v>
      </c>
      <c r="CE166">
        <v>18</v>
      </c>
      <c r="CF166">
        <v>20</v>
      </c>
      <c r="CG166">
        <v>19</v>
      </c>
      <c r="CH166">
        <v>28</v>
      </c>
      <c r="CI166">
        <v>4</v>
      </c>
      <c r="CJ166">
        <v>0</v>
      </c>
      <c r="CK166">
        <v>1</v>
      </c>
      <c r="CL166">
        <v>16</v>
      </c>
      <c r="CM166">
        <v>18</v>
      </c>
      <c r="CN166">
        <v>20</v>
      </c>
      <c r="CO166">
        <v>19</v>
      </c>
      <c r="CP166">
        <v>0</v>
      </c>
      <c r="CQ166">
        <v>0</v>
      </c>
      <c r="CR166">
        <v>0</v>
      </c>
      <c r="CS166">
        <v>0</v>
      </c>
      <c r="CT166">
        <v>0</v>
      </c>
      <c r="CU166">
        <v>0</v>
      </c>
      <c r="CV166">
        <v>0</v>
      </c>
      <c r="CW166">
        <v>0</v>
      </c>
      <c r="CX166">
        <v>52.1</v>
      </c>
      <c r="CY166">
        <v>63.5</v>
      </c>
      <c r="CZ166">
        <v>71.2</v>
      </c>
      <c r="DA166">
        <v>78.400000000000006</v>
      </c>
      <c r="DB166">
        <v>49.2</v>
      </c>
      <c r="DC166">
        <v>60.8</v>
      </c>
      <c r="DD166">
        <v>65.3</v>
      </c>
      <c r="DE166">
        <v>75</v>
      </c>
      <c r="DF166">
        <v>52.1</v>
      </c>
      <c r="DG166">
        <v>63.5</v>
      </c>
      <c r="DH166">
        <v>71.2</v>
      </c>
      <c r="DI166">
        <v>78.400000000000006</v>
      </c>
      <c r="DJ166">
        <v>49.2</v>
      </c>
      <c r="DK166">
        <v>60.8</v>
      </c>
      <c r="DL166">
        <v>65.3</v>
      </c>
      <c r="DM166">
        <v>75</v>
      </c>
      <c r="DN166">
        <v>0</v>
      </c>
      <c r="DO166">
        <v>0</v>
      </c>
      <c r="DP166">
        <v>0</v>
      </c>
      <c r="DQ166">
        <v>0</v>
      </c>
      <c r="DR166">
        <v>0</v>
      </c>
      <c r="DS166">
        <v>0</v>
      </c>
      <c r="DT166">
        <v>0</v>
      </c>
      <c r="DU166">
        <v>0</v>
      </c>
      <c r="DV166" t="s">
        <v>283</v>
      </c>
    </row>
    <row r="167" spans="1:126" x14ac:dyDescent="0.35">
      <c r="A167" t="s">
        <v>374</v>
      </c>
      <c r="B167">
        <v>230110</v>
      </c>
      <c r="C167" s="1">
        <v>44936</v>
      </c>
      <c r="D167" t="s">
        <v>375</v>
      </c>
      <c r="E167" t="s">
        <v>227</v>
      </c>
      <c r="F167" t="s">
        <v>185</v>
      </c>
      <c r="G167" t="s">
        <v>282</v>
      </c>
      <c r="H167">
        <v>1070386</v>
      </c>
      <c r="I167" s="17">
        <v>176461</v>
      </c>
      <c r="J167" s="17">
        <v>348964</v>
      </c>
      <c r="K167">
        <v>391735</v>
      </c>
      <c r="L167">
        <v>434067</v>
      </c>
      <c r="M167">
        <v>290561</v>
      </c>
      <c r="N167">
        <v>1002263</v>
      </c>
      <c r="O167">
        <v>1031260</v>
      </c>
      <c r="P167">
        <v>68123</v>
      </c>
      <c r="Q167">
        <v>39126</v>
      </c>
      <c r="R167">
        <v>1070386</v>
      </c>
      <c r="S167">
        <v>176461</v>
      </c>
      <c r="T167">
        <v>348964</v>
      </c>
      <c r="U167">
        <v>391735</v>
      </c>
      <c r="V167">
        <v>434067</v>
      </c>
      <c r="W167">
        <v>290561</v>
      </c>
      <c r="X167">
        <v>1002263</v>
      </c>
      <c r="Y167">
        <v>1031260</v>
      </c>
      <c r="Z167">
        <v>68123</v>
      </c>
      <c r="AA167">
        <v>39126</v>
      </c>
      <c r="AB167">
        <v>0</v>
      </c>
      <c r="AC167">
        <v>0</v>
      </c>
      <c r="AD167">
        <v>0</v>
      </c>
      <c r="AE167">
        <v>0</v>
      </c>
      <c r="AF167">
        <v>0</v>
      </c>
      <c r="AG167">
        <v>0</v>
      </c>
      <c r="AH167">
        <v>0</v>
      </c>
      <c r="AI167">
        <v>0</v>
      </c>
      <c r="AJ167">
        <v>0</v>
      </c>
      <c r="AK167">
        <v>0</v>
      </c>
      <c r="AL167">
        <v>39204</v>
      </c>
      <c r="AM167">
        <v>16595</v>
      </c>
      <c r="AN167">
        <v>19285</v>
      </c>
      <c r="AO167">
        <v>18028</v>
      </c>
      <c r="AP167">
        <v>3173</v>
      </c>
      <c r="AQ167">
        <v>1809</v>
      </c>
      <c r="AR167">
        <v>37796</v>
      </c>
      <c r="AS167">
        <v>39122</v>
      </c>
      <c r="AT167">
        <v>1408</v>
      </c>
      <c r="AU167">
        <v>82</v>
      </c>
      <c r="AV167">
        <v>100</v>
      </c>
      <c r="AW167">
        <v>16.5</v>
      </c>
      <c r="AX167">
        <v>32.6</v>
      </c>
      <c r="AY167">
        <v>36.6</v>
      </c>
      <c r="AZ167">
        <v>40.6</v>
      </c>
      <c r="BA167">
        <v>27.1</v>
      </c>
      <c r="BB167">
        <v>93.6</v>
      </c>
      <c r="BC167">
        <v>96.3</v>
      </c>
      <c r="BD167">
        <v>6.4</v>
      </c>
      <c r="BE167">
        <v>3.7</v>
      </c>
      <c r="BF167">
        <v>100</v>
      </c>
      <c r="BG167">
        <v>16.5</v>
      </c>
      <c r="BH167">
        <v>32.6</v>
      </c>
      <c r="BI167">
        <v>36.6</v>
      </c>
      <c r="BJ167">
        <v>40.6</v>
      </c>
      <c r="BK167">
        <v>27.1</v>
      </c>
      <c r="BL167">
        <v>93.6</v>
      </c>
      <c r="BM167">
        <v>96.3</v>
      </c>
      <c r="BN167">
        <v>6.4</v>
      </c>
      <c r="BO167">
        <v>3.7</v>
      </c>
      <c r="BP167">
        <v>0</v>
      </c>
      <c r="BQ167">
        <v>0</v>
      </c>
      <c r="BR167">
        <v>0</v>
      </c>
      <c r="BS167">
        <v>0</v>
      </c>
      <c r="BT167">
        <v>0</v>
      </c>
      <c r="BU167">
        <v>0</v>
      </c>
      <c r="BV167">
        <v>0</v>
      </c>
      <c r="BW167">
        <v>0</v>
      </c>
      <c r="BX167">
        <v>0</v>
      </c>
      <c r="BY167">
        <v>0</v>
      </c>
      <c r="BZ167">
        <v>264</v>
      </c>
      <c r="CA167">
        <v>89</v>
      </c>
      <c r="CB167">
        <v>84</v>
      </c>
      <c r="CC167">
        <v>103</v>
      </c>
      <c r="CD167">
        <v>80</v>
      </c>
      <c r="CE167">
        <v>67</v>
      </c>
      <c r="CF167">
        <v>233</v>
      </c>
      <c r="CG167">
        <v>199</v>
      </c>
      <c r="CH167">
        <v>264</v>
      </c>
      <c r="CI167">
        <v>89</v>
      </c>
      <c r="CJ167">
        <v>84</v>
      </c>
      <c r="CK167">
        <v>103</v>
      </c>
      <c r="CL167">
        <v>80</v>
      </c>
      <c r="CM167">
        <v>67</v>
      </c>
      <c r="CN167">
        <v>233</v>
      </c>
      <c r="CO167">
        <v>199</v>
      </c>
      <c r="CP167">
        <v>0</v>
      </c>
      <c r="CQ167">
        <v>0</v>
      </c>
      <c r="CR167">
        <v>0</v>
      </c>
      <c r="CS167">
        <v>0</v>
      </c>
      <c r="CT167">
        <v>0</v>
      </c>
      <c r="CU167">
        <v>0</v>
      </c>
      <c r="CV167">
        <v>0</v>
      </c>
      <c r="CW167">
        <v>0</v>
      </c>
      <c r="CX167">
        <v>24.7</v>
      </c>
      <c r="CY167">
        <v>30.3</v>
      </c>
      <c r="CZ167">
        <v>35.700000000000003</v>
      </c>
      <c r="DA167">
        <v>43.9</v>
      </c>
      <c r="DB167">
        <v>13.1</v>
      </c>
      <c r="DC167">
        <v>17.600000000000001</v>
      </c>
      <c r="DD167">
        <v>18</v>
      </c>
      <c r="DE167">
        <v>23.7</v>
      </c>
      <c r="DF167">
        <v>24.7</v>
      </c>
      <c r="DG167">
        <v>30.3</v>
      </c>
      <c r="DH167">
        <v>35.700000000000003</v>
      </c>
      <c r="DI167">
        <v>43.9</v>
      </c>
      <c r="DJ167">
        <v>13.1</v>
      </c>
      <c r="DK167">
        <v>17.600000000000001</v>
      </c>
      <c r="DL167">
        <v>18</v>
      </c>
      <c r="DM167">
        <v>23.7</v>
      </c>
      <c r="DN167">
        <v>0</v>
      </c>
      <c r="DO167">
        <v>0</v>
      </c>
      <c r="DP167">
        <v>0</v>
      </c>
      <c r="DQ167">
        <v>0</v>
      </c>
      <c r="DR167">
        <v>0</v>
      </c>
      <c r="DS167">
        <v>0</v>
      </c>
      <c r="DT167">
        <v>0</v>
      </c>
      <c r="DU167">
        <v>0</v>
      </c>
      <c r="DV167" t="s">
        <v>376</v>
      </c>
    </row>
    <row r="168" spans="1:126" x14ac:dyDescent="0.35">
      <c r="A168" t="s">
        <v>374</v>
      </c>
      <c r="B168">
        <v>230103</v>
      </c>
      <c r="C168" s="1">
        <v>44929</v>
      </c>
      <c r="D168" t="s">
        <v>375</v>
      </c>
      <c r="E168" t="s">
        <v>227</v>
      </c>
      <c r="F168" t="s">
        <v>185</v>
      </c>
      <c r="G168" t="s">
        <v>282</v>
      </c>
      <c r="H168">
        <v>1031182</v>
      </c>
      <c r="I168" s="17">
        <v>159866</v>
      </c>
      <c r="J168" s="17">
        <v>329679</v>
      </c>
      <c r="K168">
        <v>373707</v>
      </c>
      <c r="L168">
        <v>430894</v>
      </c>
      <c r="M168">
        <v>288752</v>
      </c>
      <c r="N168">
        <v>964467</v>
      </c>
      <c r="O168">
        <v>992138</v>
      </c>
      <c r="P168">
        <v>66715</v>
      </c>
      <c r="Q168">
        <v>39044</v>
      </c>
      <c r="R168">
        <v>1031182</v>
      </c>
      <c r="S168">
        <v>159866</v>
      </c>
      <c r="T168">
        <v>329679</v>
      </c>
      <c r="U168">
        <v>373707</v>
      </c>
      <c r="V168">
        <v>430894</v>
      </c>
      <c r="W168">
        <v>288752</v>
      </c>
      <c r="X168">
        <v>964467</v>
      </c>
      <c r="Y168">
        <v>992138</v>
      </c>
      <c r="Z168">
        <v>66715</v>
      </c>
      <c r="AA168">
        <v>39044</v>
      </c>
      <c r="AB168">
        <v>0</v>
      </c>
      <c r="AC168">
        <v>0</v>
      </c>
      <c r="AD168">
        <v>0</v>
      </c>
      <c r="AE168">
        <v>0</v>
      </c>
      <c r="AF168">
        <v>0</v>
      </c>
      <c r="AG168">
        <v>0</v>
      </c>
      <c r="AH168">
        <v>0</v>
      </c>
      <c r="AI168">
        <v>0</v>
      </c>
      <c r="AJ168">
        <v>0</v>
      </c>
      <c r="AK168">
        <v>0</v>
      </c>
      <c r="AL168">
        <v>20392</v>
      </c>
      <c r="AM168">
        <v>5001</v>
      </c>
      <c r="AN168">
        <v>14212</v>
      </c>
      <c r="AO168">
        <v>12526</v>
      </c>
      <c r="AP168">
        <v>1772</v>
      </c>
      <c r="AQ168">
        <v>-7304</v>
      </c>
      <c r="AR168">
        <v>19299</v>
      </c>
      <c r="AS168">
        <v>19434</v>
      </c>
      <c r="AT168">
        <v>1093</v>
      </c>
      <c r="AU168">
        <v>958</v>
      </c>
      <c r="AV168">
        <v>100</v>
      </c>
      <c r="AW168">
        <v>15.5</v>
      </c>
      <c r="AX168">
        <v>32</v>
      </c>
      <c r="AY168">
        <v>36.200000000000003</v>
      </c>
      <c r="AZ168">
        <v>41.8</v>
      </c>
      <c r="BA168">
        <v>28</v>
      </c>
      <c r="BB168">
        <v>93.5</v>
      </c>
      <c r="BC168">
        <v>96.2</v>
      </c>
      <c r="BD168">
        <v>6.5</v>
      </c>
      <c r="BE168">
        <v>3.8</v>
      </c>
      <c r="BF168">
        <v>100</v>
      </c>
      <c r="BG168">
        <v>15.5</v>
      </c>
      <c r="BH168">
        <v>32</v>
      </c>
      <c r="BI168">
        <v>36.200000000000003</v>
      </c>
      <c r="BJ168">
        <v>41.8</v>
      </c>
      <c r="BK168">
        <v>28</v>
      </c>
      <c r="BL168">
        <v>93.5</v>
      </c>
      <c r="BM168">
        <v>96.2</v>
      </c>
      <c r="BN168">
        <v>6.5</v>
      </c>
      <c r="BO168">
        <v>3.8</v>
      </c>
      <c r="BP168">
        <v>0</v>
      </c>
      <c r="BQ168">
        <v>0</v>
      </c>
      <c r="BR168">
        <v>0</v>
      </c>
      <c r="BS168">
        <v>0</v>
      </c>
      <c r="BT168">
        <v>0</v>
      </c>
      <c r="BU168">
        <v>0</v>
      </c>
      <c r="BV168">
        <v>0</v>
      </c>
      <c r="BW168">
        <v>0</v>
      </c>
      <c r="BX168">
        <v>0</v>
      </c>
      <c r="BY168">
        <v>0</v>
      </c>
      <c r="BZ168">
        <v>253</v>
      </c>
      <c r="CA168">
        <v>84</v>
      </c>
      <c r="CB168">
        <v>79</v>
      </c>
      <c r="CC168">
        <v>113</v>
      </c>
      <c r="CD168">
        <v>77</v>
      </c>
      <c r="CE168">
        <v>68</v>
      </c>
      <c r="CF168">
        <v>232</v>
      </c>
      <c r="CG168">
        <v>200</v>
      </c>
      <c r="CH168">
        <v>253</v>
      </c>
      <c r="CI168">
        <v>84</v>
      </c>
      <c r="CJ168">
        <v>79</v>
      </c>
      <c r="CK168">
        <v>113</v>
      </c>
      <c r="CL168">
        <v>77</v>
      </c>
      <c r="CM168">
        <v>68</v>
      </c>
      <c r="CN168">
        <v>232</v>
      </c>
      <c r="CO168">
        <v>200</v>
      </c>
      <c r="CP168">
        <v>0</v>
      </c>
      <c r="CQ168">
        <v>0</v>
      </c>
      <c r="CR168">
        <v>0</v>
      </c>
      <c r="CS168">
        <v>0</v>
      </c>
      <c r="CT168">
        <v>0</v>
      </c>
      <c r="CU168">
        <v>0</v>
      </c>
      <c r="CV168">
        <v>0</v>
      </c>
      <c r="CW168">
        <v>0</v>
      </c>
      <c r="CX168">
        <v>25.4</v>
      </c>
      <c r="CY168">
        <v>29.9</v>
      </c>
      <c r="CZ168">
        <v>36.299999999999997</v>
      </c>
      <c r="DA168">
        <v>45.2</v>
      </c>
      <c r="DB168">
        <v>13.3</v>
      </c>
      <c r="DC168">
        <v>17.399999999999999</v>
      </c>
      <c r="DD168">
        <v>18.3</v>
      </c>
      <c r="DE168">
        <v>24.4</v>
      </c>
      <c r="DF168">
        <v>25.4</v>
      </c>
      <c r="DG168">
        <v>29.9</v>
      </c>
      <c r="DH168">
        <v>36.299999999999997</v>
      </c>
      <c r="DI168">
        <v>45.2</v>
      </c>
      <c r="DJ168">
        <v>13.3</v>
      </c>
      <c r="DK168">
        <v>17.399999999999999</v>
      </c>
      <c r="DL168">
        <v>18.3</v>
      </c>
      <c r="DM168">
        <v>24.4</v>
      </c>
      <c r="DN168">
        <v>0</v>
      </c>
      <c r="DO168">
        <v>0</v>
      </c>
      <c r="DP168">
        <v>0</v>
      </c>
      <c r="DQ168">
        <v>0</v>
      </c>
      <c r="DR168">
        <v>0</v>
      </c>
      <c r="DS168">
        <v>0</v>
      </c>
      <c r="DT168">
        <v>0</v>
      </c>
      <c r="DU168">
        <v>0</v>
      </c>
      <c r="DV168" t="s">
        <v>376</v>
      </c>
    </row>
    <row r="169" spans="1:126" x14ac:dyDescent="0.35">
      <c r="A169" t="s">
        <v>377</v>
      </c>
      <c r="B169">
        <v>230110</v>
      </c>
      <c r="C169" s="1">
        <v>44936</v>
      </c>
      <c r="D169" t="s">
        <v>378</v>
      </c>
      <c r="E169" t="s">
        <v>227</v>
      </c>
      <c r="F169" t="s">
        <v>185</v>
      </c>
      <c r="G169" t="s">
        <v>282</v>
      </c>
      <c r="H169">
        <v>388746</v>
      </c>
      <c r="I169" s="17">
        <v>117578</v>
      </c>
      <c r="J169" s="17">
        <v>41476</v>
      </c>
      <c r="K169">
        <v>50352</v>
      </c>
      <c r="L169">
        <v>202695</v>
      </c>
      <c r="M169">
        <v>291046</v>
      </c>
      <c r="N169">
        <v>370625</v>
      </c>
      <c r="O169">
        <v>382874</v>
      </c>
      <c r="P169">
        <v>18121</v>
      </c>
      <c r="Q169">
        <v>5872</v>
      </c>
      <c r="R169">
        <v>388746</v>
      </c>
      <c r="S169">
        <v>117578</v>
      </c>
      <c r="T169">
        <v>41476</v>
      </c>
      <c r="U169">
        <v>50352</v>
      </c>
      <c r="V169">
        <v>202695</v>
      </c>
      <c r="W169">
        <v>291046</v>
      </c>
      <c r="X169">
        <v>370625</v>
      </c>
      <c r="Y169">
        <v>382874</v>
      </c>
      <c r="Z169">
        <v>18121</v>
      </c>
      <c r="AA169">
        <v>5872</v>
      </c>
      <c r="AB169">
        <v>0</v>
      </c>
      <c r="AC169">
        <v>0</v>
      </c>
      <c r="AD169">
        <v>0</v>
      </c>
      <c r="AE169">
        <v>0</v>
      </c>
      <c r="AF169">
        <v>0</v>
      </c>
      <c r="AG169">
        <v>0</v>
      </c>
      <c r="AH169">
        <v>0</v>
      </c>
      <c r="AI169">
        <v>0</v>
      </c>
      <c r="AJ169">
        <v>0</v>
      </c>
      <c r="AK169">
        <v>0</v>
      </c>
      <c r="AL169">
        <v>8455</v>
      </c>
      <c r="AM169">
        <v>215</v>
      </c>
      <c r="AN169">
        <v>-871</v>
      </c>
      <c r="AO169">
        <v>1046</v>
      </c>
      <c r="AP169">
        <v>6629</v>
      </c>
      <c r="AQ169">
        <v>8090</v>
      </c>
      <c r="AR169">
        <v>7890</v>
      </c>
      <c r="AS169">
        <v>8265</v>
      </c>
      <c r="AT169">
        <v>565</v>
      </c>
      <c r="AU169">
        <v>190</v>
      </c>
      <c r="AV169">
        <v>100</v>
      </c>
      <c r="AW169">
        <v>30.2</v>
      </c>
      <c r="AX169">
        <v>10.7</v>
      </c>
      <c r="AY169">
        <v>13</v>
      </c>
      <c r="AZ169">
        <v>52.1</v>
      </c>
      <c r="BA169">
        <v>74.900000000000006</v>
      </c>
      <c r="BB169">
        <v>95.3</v>
      </c>
      <c r="BC169">
        <v>98.5</v>
      </c>
      <c r="BD169">
        <v>4.7</v>
      </c>
      <c r="BE169">
        <v>1.5</v>
      </c>
      <c r="BF169">
        <v>100</v>
      </c>
      <c r="BG169">
        <v>30.2</v>
      </c>
      <c r="BH169">
        <v>10.7</v>
      </c>
      <c r="BI169">
        <v>13</v>
      </c>
      <c r="BJ169">
        <v>52.1</v>
      </c>
      <c r="BK169">
        <v>74.900000000000006</v>
      </c>
      <c r="BL169">
        <v>95.3</v>
      </c>
      <c r="BM169">
        <v>98.5</v>
      </c>
      <c r="BN169">
        <v>4.7</v>
      </c>
      <c r="BO169">
        <v>1.5</v>
      </c>
      <c r="BP169">
        <v>0</v>
      </c>
      <c r="BQ169">
        <v>0</v>
      </c>
      <c r="BR169">
        <v>0</v>
      </c>
      <c r="BS169">
        <v>0</v>
      </c>
      <c r="BT169">
        <v>0</v>
      </c>
      <c r="BU169">
        <v>0</v>
      </c>
      <c r="BV169">
        <v>0</v>
      </c>
      <c r="BW169">
        <v>0</v>
      </c>
      <c r="BX169">
        <v>0</v>
      </c>
      <c r="BY169">
        <v>0</v>
      </c>
      <c r="BZ169">
        <v>90</v>
      </c>
      <c r="CA169">
        <v>19</v>
      </c>
      <c r="CB169">
        <v>14</v>
      </c>
      <c r="CC169">
        <v>25</v>
      </c>
      <c r="CD169">
        <v>52</v>
      </c>
      <c r="CE169">
        <v>47</v>
      </c>
      <c r="CF169">
        <v>82</v>
      </c>
      <c r="CG169">
        <v>76</v>
      </c>
      <c r="CH169">
        <v>90</v>
      </c>
      <c r="CI169">
        <v>19</v>
      </c>
      <c r="CJ169">
        <v>14</v>
      </c>
      <c r="CK169">
        <v>25</v>
      </c>
      <c r="CL169">
        <v>52</v>
      </c>
      <c r="CM169">
        <v>47</v>
      </c>
      <c r="CN169">
        <v>82</v>
      </c>
      <c r="CO169">
        <v>76</v>
      </c>
      <c r="CP169">
        <v>0</v>
      </c>
      <c r="CQ169">
        <v>0</v>
      </c>
      <c r="CR169">
        <v>0</v>
      </c>
      <c r="CS169">
        <v>0</v>
      </c>
      <c r="CT169">
        <v>0</v>
      </c>
      <c r="CU169">
        <v>0</v>
      </c>
      <c r="CV169">
        <v>0</v>
      </c>
      <c r="CW169">
        <v>0</v>
      </c>
      <c r="CX169">
        <v>27.4</v>
      </c>
      <c r="CY169">
        <v>44.5</v>
      </c>
      <c r="CZ169">
        <v>42.5</v>
      </c>
      <c r="DA169">
        <v>61.9</v>
      </c>
      <c r="DB169">
        <v>27</v>
      </c>
      <c r="DC169">
        <v>40.6</v>
      </c>
      <c r="DD169">
        <v>41</v>
      </c>
      <c r="DE169">
        <v>56</v>
      </c>
      <c r="DF169">
        <v>27.4</v>
      </c>
      <c r="DG169">
        <v>44.5</v>
      </c>
      <c r="DH169">
        <v>42.5</v>
      </c>
      <c r="DI169">
        <v>61.9</v>
      </c>
      <c r="DJ169">
        <v>27</v>
      </c>
      <c r="DK169">
        <v>40.6</v>
      </c>
      <c r="DL169">
        <v>41</v>
      </c>
      <c r="DM169">
        <v>56</v>
      </c>
      <c r="DN169">
        <v>0</v>
      </c>
      <c r="DO169">
        <v>0</v>
      </c>
      <c r="DP169">
        <v>0</v>
      </c>
      <c r="DQ169">
        <v>0</v>
      </c>
      <c r="DR169">
        <v>0</v>
      </c>
      <c r="DS169">
        <v>0</v>
      </c>
      <c r="DT169">
        <v>0</v>
      </c>
      <c r="DU169">
        <v>0</v>
      </c>
      <c r="DV169" t="s">
        <v>376</v>
      </c>
    </row>
    <row r="170" spans="1:126" x14ac:dyDescent="0.35">
      <c r="A170" t="s">
        <v>377</v>
      </c>
      <c r="B170">
        <v>230103</v>
      </c>
      <c r="C170" s="1">
        <v>44929</v>
      </c>
      <c r="D170" t="s">
        <v>378</v>
      </c>
      <c r="E170" t="s">
        <v>227</v>
      </c>
      <c r="F170" t="s">
        <v>185</v>
      </c>
      <c r="G170" t="s">
        <v>282</v>
      </c>
      <c r="H170">
        <v>380291</v>
      </c>
      <c r="I170" s="17">
        <v>117363</v>
      </c>
      <c r="J170" s="17">
        <v>42347</v>
      </c>
      <c r="K170">
        <v>49306</v>
      </c>
      <c r="L170">
        <v>196066</v>
      </c>
      <c r="M170">
        <v>282956</v>
      </c>
      <c r="N170">
        <v>362735</v>
      </c>
      <c r="O170">
        <v>374609</v>
      </c>
      <c r="P170">
        <v>17556</v>
      </c>
      <c r="Q170">
        <v>5682</v>
      </c>
      <c r="R170">
        <v>380291</v>
      </c>
      <c r="S170">
        <v>117363</v>
      </c>
      <c r="T170">
        <v>42347</v>
      </c>
      <c r="U170">
        <v>49306</v>
      </c>
      <c r="V170">
        <v>196066</v>
      </c>
      <c r="W170">
        <v>282956</v>
      </c>
      <c r="X170">
        <v>362735</v>
      </c>
      <c r="Y170">
        <v>374609</v>
      </c>
      <c r="Z170">
        <v>17556</v>
      </c>
      <c r="AA170">
        <v>5682</v>
      </c>
      <c r="AB170">
        <v>0</v>
      </c>
      <c r="AC170">
        <v>0</v>
      </c>
      <c r="AD170">
        <v>0</v>
      </c>
      <c r="AE170">
        <v>0</v>
      </c>
      <c r="AF170">
        <v>0</v>
      </c>
      <c r="AG170">
        <v>0</v>
      </c>
      <c r="AH170">
        <v>0</v>
      </c>
      <c r="AI170">
        <v>0</v>
      </c>
      <c r="AJ170">
        <v>0</v>
      </c>
      <c r="AK170">
        <v>0</v>
      </c>
      <c r="AL170">
        <v>-35448</v>
      </c>
      <c r="AM170">
        <v>-11891</v>
      </c>
      <c r="AN170">
        <v>-5230</v>
      </c>
      <c r="AO170">
        <v>-5053</v>
      </c>
      <c r="AP170">
        <v>-20001</v>
      </c>
      <c r="AQ170">
        <v>-25156</v>
      </c>
      <c r="AR170">
        <v>-36945</v>
      </c>
      <c r="AS170">
        <v>-35439</v>
      </c>
      <c r="AT170">
        <v>1497</v>
      </c>
      <c r="AU170">
        <v>-9</v>
      </c>
      <c r="AV170">
        <v>100</v>
      </c>
      <c r="AW170">
        <v>30.9</v>
      </c>
      <c r="AX170">
        <v>11.1</v>
      </c>
      <c r="AY170">
        <v>13</v>
      </c>
      <c r="AZ170">
        <v>51.6</v>
      </c>
      <c r="BA170">
        <v>74.400000000000006</v>
      </c>
      <c r="BB170">
        <v>95.4</v>
      </c>
      <c r="BC170">
        <v>98.5</v>
      </c>
      <c r="BD170">
        <v>4.5999999999999996</v>
      </c>
      <c r="BE170">
        <v>1.5</v>
      </c>
      <c r="BF170">
        <v>100</v>
      </c>
      <c r="BG170">
        <v>30.9</v>
      </c>
      <c r="BH170">
        <v>11.1</v>
      </c>
      <c r="BI170">
        <v>13</v>
      </c>
      <c r="BJ170">
        <v>51.6</v>
      </c>
      <c r="BK170">
        <v>74.400000000000006</v>
      </c>
      <c r="BL170">
        <v>95.4</v>
      </c>
      <c r="BM170">
        <v>98.5</v>
      </c>
      <c r="BN170">
        <v>4.5999999999999996</v>
      </c>
      <c r="BO170">
        <v>1.5</v>
      </c>
      <c r="BP170">
        <v>0</v>
      </c>
      <c r="BQ170">
        <v>0</v>
      </c>
      <c r="BR170">
        <v>0</v>
      </c>
      <c r="BS170">
        <v>0</v>
      </c>
      <c r="BT170">
        <v>0</v>
      </c>
      <c r="BU170">
        <v>0</v>
      </c>
      <c r="BV170">
        <v>0</v>
      </c>
      <c r="BW170">
        <v>0</v>
      </c>
      <c r="BX170">
        <v>0</v>
      </c>
      <c r="BY170">
        <v>0</v>
      </c>
      <c r="BZ170">
        <v>86</v>
      </c>
      <c r="CA170">
        <v>19</v>
      </c>
      <c r="CB170">
        <v>12</v>
      </c>
      <c r="CC170">
        <v>25</v>
      </c>
      <c r="CD170">
        <v>50</v>
      </c>
      <c r="CE170">
        <v>45</v>
      </c>
      <c r="CF170">
        <v>80</v>
      </c>
      <c r="CG170">
        <v>72</v>
      </c>
      <c r="CH170">
        <v>86</v>
      </c>
      <c r="CI170">
        <v>19</v>
      </c>
      <c r="CJ170">
        <v>12</v>
      </c>
      <c r="CK170">
        <v>25</v>
      </c>
      <c r="CL170">
        <v>50</v>
      </c>
      <c r="CM170">
        <v>45</v>
      </c>
      <c r="CN170">
        <v>80</v>
      </c>
      <c r="CO170">
        <v>72</v>
      </c>
      <c r="CP170">
        <v>0</v>
      </c>
      <c r="CQ170">
        <v>0</v>
      </c>
      <c r="CR170">
        <v>0</v>
      </c>
      <c r="CS170">
        <v>0</v>
      </c>
      <c r="CT170">
        <v>0</v>
      </c>
      <c r="CU170">
        <v>0</v>
      </c>
      <c r="CV170">
        <v>0</v>
      </c>
      <c r="CW170">
        <v>0</v>
      </c>
      <c r="CX170">
        <v>27.8</v>
      </c>
      <c r="CY170">
        <v>47.4</v>
      </c>
      <c r="CZ170">
        <v>43.1</v>
      </c>
      <c r="DA170">
        <v>65.099999999999994</v>
      </c>
      <c r="DB170">
        <v>27.5</v>
      </c>
      <c r="DC170">
        <v>43.2</v>
      </c>
      <c r="DD170">
        <v>41.6</v>
      </c>
      <c r="DE170">
        <v>58.8</v>
      </c>
      <c r="DF170">
        <v>27.8</v>
      </c>
      <c r="DG170">
        <v>47.4</v>
      </c>
      <c r="DH170">
        <v>43.1</v>
      </c>
      <c r="DI170">
        <v>65.099999999999994</v>
      </c>
      <c r="DJ170">
        <v>27.5</v>
      </c>
      <c r="DK170">
        <v>43.2</v>
      </c>
      <c r="DL170">
        <v>41.6</v>
      </c>
      <c r="DM170">
        <v>58.8</v>
      </c>
      <c r="DN170">
        <v>0</v>
      </c>
      <c r="DO170">
        <v>0</v>
      </c>
      <c r="DP170">
        <v>0</v>
      </c>
      <c r="DQ170">
        <v>0</v>
      </c>
      <c r="DR170">
        <v>0</v>
      </c>
      <c r="DS170">
        <v>0</v>
      </c>
      <c r="DT170">
        <v>0</v>
      </c>
      <c r="DU170">
        <v>0</v>
      </c>
      <c r="DV170" t="s">
        <v>376</v>
      </c>
    </row>
    <row r="171" spans="1:126" x14ac:dyDescent="0.35">
      <c r="A171" t="s">
        <v>379</v>
      </c>
      <c r="B171">
        <v>230110</v>
      </c>
      <c r="C171" s="1">
        <v>44936</v>
      </c>
      <c r="D171" t="s">
        <v>380</v>
      </c>
      <c r="E171" t="s">
        <v>227</v>
      </c>
      <c r="F171" t="s">
        <v>185</v>
      </c>
      <c r="G171" t="s">
        <v>282</v>
      </c>
      <c r="H171">
        <v>189738</v>
      </c>
      <c r="I171" s="17">
        <v>31913</v>
      </c>
      <c r="J171" s="17">
        <v>63141</v>
      </c>
      <c r="K171">
        <v>14107</v>
      </c>
      <c r="L171">
        <v>131409</v>
      </c>
      <c r="M171">
        <v>101105</v>
      </c>
      <c r="N171">
        <v>177429</v>
      </c>
      <c r="O171">
        <v>178353</v>
      </c>
      <c r="P171">
        <v>12309</v>
      </c>
      <c r="Q171">
        <v>11385</v>
      </c>
      <c r="R171">
        <v>189738</v>
      </c>
      <c r="S171">
        <v>31913</v>
      </c>
      <c r="T171">
        <v>63141</v>
      </c>
      <c r="U171">
        <v>14107</v>
      </c>
      <c r="V171">
        <v>131409</v>
      </c>
      <c r="W171">
        <v>101105</v>
      </c>
      <c r="X171">
        <v>177429</v>
      </c>
      <c r="Y171">
        <v>178353</v>
      </c>
      <c r="Z171">
        <v>12309</v>
      </c>
      <c r="AA171">
        <v>11385</v>
      </c>
      <c r="AB171">
        <v>0</v>
      </c>
      <c r="AC171">
        <v>0</v>
      </c>
      <c r="AD171">
        <v>0</v>
      </c>
      <c r="AE171">
        <v>0</v>
      </c>
      <c r="AF171">
        <v>0</v>
      </c>
      <c r="AG171">
        <v>0</v>
      </c>
      <c r="AH171">
        <v>0</v>
      </c>
      <c r="AI171">
        <v>0</v>
      </c>
      <c r="AJ171">
        <v>0</v>
      </c>
      <c r="AK171">
        <v>0</v>
      </c>
      <c r="AL171">
        <v>4541</v>
      </c>
      <c r="AM171">
        <v>568</v>
      </c>
      <c r="AN171">
        <v>1369</v>
      </c>
      <c r="AO171">
        <v>1249</v>
      </c>
      <c r="AP171">
        <v>4077</v>
      </c>
      <c r="AQ171">
        <v>1879</v>
      </c>
      <c r="AR171">
        <v>5894</v>
      </c>
      <c r="AS171">
        <v>4497</v>
      </c>
      <c r="AT171">
        <v>-1353</v>
      </c>
      <c r="AU171">
        <v>44</v>
      </c>
      <c r="AV171">
        <v>100</v>
      </c>
      <c r="AW171">
        <v>16.8</v>
      </c>
      <c r="AX171">
        <v>33.299999999999997</v>
      </c>
      <c r="AY171">
        <v>7.4</v>
      </c>
      <c r="AZ171">
        <v>69.3</v>
      </c>
      <c r="BA171">
        <v>53.3</v>
      </c>
      <c r="BB171">
        <v>93.5</v>
      </c>
      <c r="BC171">
        <v>94</v>
      </c>
      <c r="BD171">
        <v>6.5</v>
      </c>
      <c r="BE171">
        <v>6</v>
      </c>
      <c r="BF171">
        <v>100</v>
      </c>
      <c r="BG171">
        <v>16.8</v>
      </c>
      <c r="BH171">
        <v>33.299999999999997</v>
      </c>
      <c r="BI171">
        <v>7.4</v>
      </c>
      <c r="BJ171">
        <v>69.3</v>
      </c>
      <c r="BK171">
        <v>53.3</v>
      </c>
      <c r="BL171">
        <v>93.5</v>
      </c>
      <c r="BM171">
        <v>94</v>
      </c>
      <c r="BN171">
        <v>6.5</v>
      </c>
      <c r="BO171">
        <v>6</v>
      </c>
      <c r="BP171">
        <v>0</v>
      </c>
      <c r="BQ171">
        <v>0</v>
      </c>
      <c r="BR171">
        <v>0</v>
      </c>
      <c r="BS171">
        <v>0</v>
      </c>
      <c r="BT171">
        <v>0</v>
      </c>
      <c r="BU171">
        <v>0</v>
      </c>
      <c r="BV171">
        <v>0</v>
      </c>
      <c r="BW171">
        <v>0</v>
      </c>
      <c r="BX171">
        <v>0</v>
      </c>
      <c r="BY171">
        <v>0</v>
      </c>
      <c r="BZ171">
        <v>58</v>
      </c>
      <c r="CA171">
        <v>12</v>
      </c>
      <c r="CB171">
        <v>18</v>
      </c>
      <c r="CC171">
        <v>22</v>
      </c>
      <c r="CD171">
        <v>24</v>
      </c>
      <c r="CE171">
        <v>24</v>
      </c>
      <c r="CF171">
        <v>50</v>
      </c>
      <c r="CG171">
        <v>50</v>
      </c>
      <c r="CH171">
        <v>58</v>
      </c>
      <c r="CI171">
        <v>12</v>
      </c>
      <c r="CJ171">
        <v>18</v>
      </c>
      <c r="CK171">
        <v>22</v>
      </c>
      <c r="CL171">
        <v>24</v>
      </c>
      <c r="CM171">
        <v>24</v>
      </c>
      <c r="CN171">
        <v>50</v>
      </c>
      <c r="CO171">
        <v>50</v>
      </c>
      <c r="CP171">
        <v>0</v>
      </c>
      <c r="CQ171">
        <v>0</v>
      </c>
      <c r="CR171">
        <v>0</v>
      </c>
      <c r="CS171">
        <v>0</v>
      </c>
      <c r="CT171">
        <v>0</v>
      </c>
      <c r="CU171">
        <v>0</v>
      </c>
      <c r="CV171">
        <v>0</v>
      </c>
      <c r="CW171">
        <v>0</v>
      </c>
      <c r="CX171">
        <v>48.6</v>
      </c>
      <c r="CY171">
        <v>28</v>
      </c>
      <c r="CZ171">
        <v>64.7</v>
      </c>
      <c r="DA171">
        <v>48.4</v>
      </c>
      <c r="DB171">
        <v>46</v>
      </c>
      <c r="DC171">
        <v>27.2</v>
      </c>
      <c r="DD171">
        <v>60.1</v>
      </c>
      <c r="DE171">
        <v>44.9</v>
      </c>
      <c r="DF171">
        <v>48.6</v>
      </c>
      <c r="DG171">
        <v>28</v>
      </c>
      <c r="DH171">
        <v>64.7</v>
      </c>
      <c r="DI171">
        <v>48.4</v>
      </c>
      <c r="DJ171">
        <v>46</v>
      </c>
      <c r="DK171">
        <v>27.2</v>
      </c>
      <c r="DL171">
        <v>60.1</v>
      </c>
      <c r="DM171">
        <v>44.9</v>
      </c>
      <c r="DN171">
        <v>0</v>
      </c>
      <c r="DO171">
        <v>0</v>
      </c>
      <c r="DP171">
        <v>0</v>
      </c>
      <c r="DQ171">
        <v>0</v>
      </c>
      <c r="DR171">
        <v>0</v>
      </c>
      <c r="DS171">
        <v>0</v>
      </c>
      <c r="DT171">
        <v>0</v>
      </c>
      <c r="DU171">
        <v>0</v>
      </c>
      <c r="DV171" t="s">
        <v>376</v>
      </c>
    </row>
    <row r="172" spans="1:126" x14ac:dyDescent="0.35">
      <c r="A172" t="s">
        <v>379</v>
      </c>
      <c r="B172">
        <v>230103</v>
      </c>
      <c r="C172" s="1">
        <v>44929</v>
      </c>
      <c r="D172" t="s">
        <v>380</v>
      </c>
      <c r="E172" t="s">
        <v>227</v>
      </c>
      <c r="F172" t="s">
        <v>185</v>
      </c>
      <c r="G172" t="s">
        <v>282</v>
      </c>
      <c r="H172">
        <v>185197</v>
      </c>
      <c r="I172" s="17">
        <v>31345</v>
      </c>
      <c r="J172" s="17">
        <v>61772</v>
      </c>
      <c r="K172">
        <v>12858</v>
      </c>
      <c r="L172">
        <v>127332</v>
      </c>
      <c r="M172">
        <v>99226</v>
      </c>
      <c r="N172">
        <v>171535</v>
      </c>
      <c r="O172">
        <v>173856</v>
      </c>
      <c r="P172">
        <v>13662</v>
      </c>
      <c r="Q172">
        <v>11341</v>
      </c>
      <c r="R172">
        <v>185197</v>
      </c>
      <c r="S172">
        <v>31345</v>
      </c>
      <c r="T172">
        <v>61772</v>
      </c>
      <c r="U172">
        <v>12858</v>
      </c>
      <c r="V172">
        <v>127332</v>
      </c>
      <c r="W172">
        <v>99226</v>
      </c>
      <c r="X172">
        <v>171535</v>
      </c>
      <c r="Y172">
        <v>173856</v>
      </c>
      <c r="Z172">
        <v>13662</v>
      </c>
      <c r="AA172">
        <v>11341</v>
      </c>
      <c r="AB172">
        <v>0</v>
      </c>
      <c r="AC172">
        <v>0</v>
      </c>
      <c r="AD172">
        <v>0</v>
      </c>
      <c r="AE172">
        <v>0</v>
      </c>
      <c r="AF172">
        <v>0</v>
      </c>
      <c r="AG172">
        <v>0</v>
      </c>
      <c r="AH172">
        <v>0</v>
      </c>
      <c r="AI172">
        <v>0</v>
      </c>
      <c r="AJ172">
        <v>0</v>
      </c>
      <c r="AK172">
        <v>0</v>
      </c>
      <c r="AL172">
        <v>-25088</v>
      </c>
      <c r="AM172">
        <v>-2085</v>
      </c>
      <c r="AN172">
        <v>-11573</v>
      </c>
      <c r="AO172">
        <v>-8826</v>
      </c>
      <c r="AP172">
        <v>-15479</v>
      </c>
      <c r="AQ172">
        <v>-5042</v>
      </c>
      <c r="AR172">
        <v>-26390</v>
      </c>
      <c r="AS172">
        <v>-25441</v>
      </c>
      <c r="AT172">
        <v>1302</v>
      </c>
      <c r="AU172">
        <v>353</v>
      </c>
      <c r="AV172">
        <v>100</v>
      </c>
      <c r="AW172">
        <v>16.899999999999999</v>
      </c>
      <c r="AX172">
        <v>33.4</v>
      </c>
      <c r="AY172">
        <v>6.9</v>
      </c>
      <c r="AZ172">
        <v>68.8</v>
      </c>
      <c r="BA172">
        <v>53.6</v>
      </c>
      <c r="BB172">
        <v>92.6</v>
      </c>
      <c r="BC172">
        <v>93.9</v>
      </c>
      <c r="BD172">
        <v>7.4</v>
      </c>
      <c r="BE172">
        <v>6.1</v>
      </c>
      <c r="BF172">
        <v>100</v>
      </c>
      <c r="BG172">
        <v>16.899999999999999</v>
      </c>
      <c r="BH172">
        <v>33.4</v>
      </c>
      <c r="BI172">
        <v>6.9</v>
      </c>
      <c r="BJ172">
        <v>68.8</v>
      </c>
      <c r="BK172">
        <v>53.6</v>
      </c>
      <c r="BL172">
        <v>92.6</v>
      </c>
      <c r="BM172">
        <v>93.9</v>
      </c>
      <c r="BN172">
        <v>7.4</v>
      </c>
      <c r="BO172">
        <v>6.1</v>
      </c>
      <c r="BP172">
        <v>0</v>
      </c>
      <c r="BQ172">
        <v>0</v>
      </c>
      <c r="BR172">
        <v>0</v>
      </c>
      <c r="BS172">
        <v>0</v>
      </c>
      <c r="BT172">
        <v>0</v>
      </c>
      <c r="BU172">
        <v>0</v>
      </c>
      <c r="BV172">
        <v>0</v>
      </c>
      <c r="BW172">
        <v>0</v>
      </c>
      <c r="BX172">
        <v>0</v>
      </c>
      <c r="BY172">
        <v>0</v>
      </c>
      <c r="BZ172">
        <v>54</v>
      </c>
      <c r="CA172">
        <v>12</v>
      </c>
      <c r="CB172">
        <v>16</v>
      </c>
      <c r="CC172">
        <v>22</v>
      </c>
      <c r="CD172">
        <v>22</v>
      </c>
      <c r="CE172">
        <v>24</v>
      </c>
      <c r="CF172">
        <v>47</v>
      </c>
      <c r="CG172">
        <v>49</v>
      </c>
      <c r="CH172">
        <v>54</v>
      </c>
      <c r="CI172">
        <v>12</v>
      </c>
      <c r="CJ172">
        <v>16</v>
      </c>
      <c r="CK172">
        <v>22</v>
      </c>
      <c r="CL172">
        <v>22</v>
      </c>
      <c r="CM172">
        <v>24</v>
      </c>
      <c r="CN172">
        <v>47</v>
      </c>
      <c r="CO172">
        <v>49</v>
      </c>
      <c r="CP172">
        <v>0</v>
      </c>
      <c r="CQ172">
        <v>0</v>
      </c>
      <c r="CR172">
        <v>0</v>
      </c>
      <c r="CS172">
        <v>0</v>
      </c>
      <c r="CT172">
        <v>0</v>
      </c>
      <c r="CU172">
        <v>0</v>
      </c>
      <c r="CV172">
        <v>0</v>
      </c>
      <c r="CW172">
        <v>0</v>
      </c>
      <c r="CX172">
        <v>49.6</v>
      </c>
      <c r="CY172">
        <v>28.2</v>
      </c>
      <c r="CZ172">
        <v>65.7</v>
      </c>
      <c r="DA172">
        <v>47.4</v>
      </c>
      <c r="DB172">
        <v>47</v>
      </c>
      <c r="DC172">
        <v>27.5</v>
      </c>
      <c r="DD172">
        <v>61.8</v>
      </c>
      <c r="DE172">
        <v>44.2</v>
      </c>
      <c r="DF172">
        <v>49.6</v>
      </c>
      <c r="DG172">
        <v>28.2</v>
      </c>
      <c r="DH172">
        <v>65.7</v>
      </c>
      <c r="DI172">
        <v>47.4</v>
      </c>
      <c r="DJ172">
        <v>47</v>
      </c>
      <c r="DK172">
        <v>27.5</v>
      </c>
      <c r="DL172">
        <v>61.8</v>
      </c>
      <c r="DM172">
        <v>44.2</v>
      </c>
      <c r="DN172">
        <v>0</v>
      </c>
      <c r="DO172">
        <v>0</v>
      </c>
      <c r="DP172">
        <v>0</v>
      </c>
      <c r="DQ172">
        <v>0</v>
      </c>
      <c r="DR172">
        <v>0</v>
      </c>
      <c r="DS172">
        <v>0</v>
      </c>
      <c r="DT172">
        <v>0</v>
      </c>
      <c r="DU172">
        <v>0</v>
      </c>
      <c r="DV172" t="s">
        <v>376</v>
      </c>
    </row>
    <row r="173" spans="1:126" x14ac:dyDescent="0.35">
      <c r="A173" t="s">
        <v>381</v>
      </c>
      <c r="B173">
        <v>230110</v>
      </c>
      <c r="C173" s="1">
        <v>44936</v>
      </c>
      <c r="D173" t="s">
        <v>382</v>
      </c>
      <c r="E173" t="s">
        <v>227</v>
      </c>
      <c r="F173" t="s">
        <v>185</v>
      </c>
      <c r="G173" t="s">
        <v>383</v>
      </c>
      <c r="H173">
        <v>5143</v>
      </c>
      <c r="I173" s="17">
        <v>84</v>
      </c>
      <c r="J173" s="17">
        <v>1159</v>
      </c>
      <c r="K173">
        <v>200</v>
      </c>
      <c r="L173">
        <v>4725</v>
      </c>
      <c r="M173">
        <v>3666</v>
      </c>
      <c r="N173">
        <v>5009</v>
      </c>
      <c r="O173">
        <v>5025</v>
      </c>
      <c r="P173">
        <v>134</v>
      </c>
      <c r="Q173">
        <v>118</v>
      </c>
      <c r="R173">
        <v>5143</v>
      </c>
      <c r="S173">
        <v>84</v>
      </c>
      <c r="T173">
        <v>1159</v>
      </c>
      <c r="U173">
        <v>200</v>
      </c>
      <c r="V173">
        <v>4725</v>
      </c>
      <c r="W173">
        <v>3666</v>
      </c>
      <c r="X173">
        <v>5009</v>
      </c>
      <c r="Y173">
        <v>5025</v>
      </c>
      <c r="Z173">
        <v>134</v>
      </c>
      <c r="AA173">
        <v>118</v>
      </c>
      <c r="AB173">
        <v>0</v>
      </c>
      <c r="AC173">
        <v>0</v>
      </c>
      <c r="AD173">
        <v>0</v>
      </c>
      <c r="AE173">
        <v>0</v>
      </c>
      <c r="AF173">
        <v>0</v>
      </c>
      <c r="AG173">
        <v>0</v>
      </c>
      <c r="AH173">
        <v>0</v>
      </c>
      <c r="AI173">
        <v>0</v>
      </c>
      <c r="AJ173">
        <v>0</v>
      </c>
      <c r="AK173">
        <v>0</v>
      </c>
      <c r="AL173">
        <v>331</v>
      </c>
      <c r="AM173">
        <v>0</v>
      </c>
      <c r="AN173">
        <v>-155</v>
      </c>
      <c r="AO173">
        <v>135</v>
      </c>
      <c r="AP173">
        <v>186</v>
      </c>
      <c r="AQ173">
        <v>341</v>
      </c>
      <c r="AR173">
        <v>321</v>
      </c>
      <c r="AS173">
        <v>321</v>
      </c>
      <c r="AT173">
        <v>10</v>
      </c>
      <c r="AU173">
        <v>10</v>
      </c>
      <c r="AV173">
        <v>100</v>
      </c>
      <c r="AW173">
        <v>1.6</v>
      </c>
      <c r="AX173">
        <v>22.5</v>
      </c>
      <c r="AY173">
        <v>3.9</v>
      </c>
      <c r="AZ173">
        <v>91.9</v>
      </c>
      <c r="BA173">
        <v>71.3</v>
      </c>
      <c r="BB173">
        <v>97.4</v>
      </c>
      <c r="BC173">
        <v>97.7</v>
      </c>
      <c r="BD173">
        <v>2.6</v>
      </c>
      <c r="BE173">
        <v>2.2999999999999998</v>
      </c>
      <c r="BF173">
        <v>100</v>
      </c>
      <c r="BG173">
        <v>1.6</v>
      </c>
      <c r="BH173">
        <v>22.5</v>
      </c>
      <c r="BI173">
        <v>3.9</v>
      </c>
      <c r="BJ173">
        <v>91.9</v>
      </c>
      <c r="BK173">
        <v>71.3</v>
      </c>
      <c r="BL173">
        <v>97.4</v>
      </c>
      <c r="BM173">
        <v>97.7</v>
      </c>
      <c r="BN173">
        <v>2.6</v>
      </c>
      <c r="BO173">
        <v>2.2999999999999998</v>
      </c>
      <c r="BP173">
        <v>0</v>
      </c>
      <c r="BQ173">
        <v>0</v>
      </c>
      <c r="BR173">
        <v>0</v>
      </c>
      <c r="BS173">
        <v>0</v>
      </c>
      <c r="BT173">
        <v>0</v>
      </c>
      <c r="BU173">
        <v>0</v>
      </c>
      <c r="BV173">
        <v>0</v>
      </c>
      <c r="BW173">
        <v>0</v>
      </c>
      <c r="BX173">
        <v>0</v>
      </c>
      <c r="BY173">
        <v>0</v>
      </c>
      <c r="BZ173">
        <v>26</v>
      </c>
      <c r="CA173">
        <v>1</v>
      </c>
      <c r="CB173">
        <v>5</v>
      </c>
      <c r="CC173">
        <v>2</v>
      </c>
      <c r="CD173">
        <v>15</v>
      </c>
      <c r="CE173">
        <v>17</v>
      </c>
      <c r="CF173">
        <v>18</v>
      </c>
      <c r="CG173">
        <v>22</v>
      </c>
      <c r="CH173">
        <v>26</v>
      </c>
      <c r="CI173">
        <v>1</v>
      </c>
      <c r="CJ173">
        <v>5</v>
      </c>
      <c r="CK173">
        <v>2</v>
      </c>
      <c r="CL173">
        <v>15</v>
      </c>
      <c r="CM173">
        <v>17</v>
      </c>
      <c r="CN173">
        <v>18</v>
      </c>
      <c r="CO173">
        <v>22</v>
      </c>
      <c r="CP173">
        <v>0</v>
      </c>
      <c r="CQ173">
        <v>0</v>
      </c>
      <c r="CR173">
        <v>0</v>
      </c>
      <c r="CS173">
        <v>0</v>
      </c>
      <c r="CT173">
        <v>0</v>
      </c>
      <c r="CU173">
        <v>0</v>
      </c>
      <c r="CV173">
        <v>0</v>
      </c>
      <c r="CW173">
        <v>0</v>
      </c>
      <c r="CX173">
        <v>53.6</v>
      </c>
      <c r="CY173">
        <v>37.5</v>
      </c>
      <c r="CZ173">
        <v>81.400000000000006</v>
      </c>
      <c r="DA173">
        <v>63</v>
      </c>
      <c r="DB173">
        <v>52.2</v>
      </c>
      <c r="DC173">
        <v>28.4</v>
      </c>
      <c r="DD173">
        <v>68.599999999999994</v>
      </c>
      <c r="DE173">
        <v>48.1</v>
      </c>
      <c r="DF173">
        <v>53.6</v>
      </c>
      <c r="DG173">
        <v>37.5</v>
      </c>
      <c r="DH173">
        <v>81.400000000000006</v>
      </c>
      <c r="DI173">
        <v>63</v>
      </c>
      <c r="DJ173">
        <v>52.2</v>
      </c>
      <c r="DK173">
        <v>28.4</v>
      </c>
      <c r="DL173">
        <v>68.599999999999994</v>
      </c>
      <c r="DM173">
        <v>48.1</v>
      </c>
      <c r="DN173">
        <v>0</v>
      </c>
      <c r="DO173">
        <v>0</v>
      </c>
      <c r="DP173">
        <v>0</v>
      </c>
      <c r="DQ173">
        <v>0</v>
      </c>
      <c r="DR173">
        <v>0</v>
      </c>
      <c r="DS173">
        <v>0</v>
      </c>
      <c r="DT173">
        <v>0</v>
      </c>
      <c r="DU173">
        <v>0</v>
      </c>
      <c r="DV173" t="s">
        <v>384</v>
      </c>
    </row>
    <row r="174" spans="1:126" x14ac:dyDescent="0.35">
      <c r="A174" t="s">
        <v>381</v>
      </c>
      <c r="B174">
        <v>230103</v>
      </c>
      <c r="C174" s="1">
        <v>44929</v>
      </c>
      <c r="D174" t="s">
        <v>382</v>
      </c>
      <c r="E174" t="s">
        <v>227</v>
      </c>
      <c r="F174" t="s">
        <v>185</v>
      </c>
      <c r="G174" t="s">
        <v>383</v>
      </c>
      <c r="H174">
        <v>4812</v>
      </c>
      <c r="I174" s="17">
        <v>84</v>
      </c>
      <c r="J174" s="17">
        <v>1314</v>
      </c>
      <c r="K174">
        <v>65</v>
      </c>
      <c r="L174">
        <v>4539</v>
      </c>
      <c r="M174">
        <v>3325</v>
      </c>
      <c r="N174">
        <v>4688</v>
      </c>
      <c r="O174">
        <v>4704</v>
      </c>
      <c r="P174">
        <v>124</v>
      </c>
      <c r="Q174">
        <v>108</v>
      </c>
      <c r="R174">
        <v>4812</v>
      </c>
      <c r="S174">
        <v>84</v>
      </c>
      <c r="T174">
        <v>1314</v>
      </c>
      <c r="U174">
        <v>65</v>
      </c>
      <c r="V174">
        <v>4539</v>
      </c>
      <c r="W174">
        <v>3325</v>
      </c>
      <c r="X174">
        <v>4688</v>
      </c>
      <c r="Y174">
        <v>4704</v>
      </c>
      <c r="Z174">
        <v>124</v>
      </c>
      <c r="AA174">
        <v>108</v>
      </c>
      <c r="AB174">
        <v>0</v>
      </c>
      <c r="AC174">
        <v>0</v>
      </c>
      <c r="AD174">
        <v>0</v>
      </c>
      <c r="AE174">
        <v>0</v>
      </c>
      <c r="AF174">
        <v>0</v>
      </c>
      <c r="AG174">
        <v>0</v>
      </c>
      <c r="AH174">
        <v>0</v>
      </c>
      <c r="AI174">
        <v>0</v>
      </c>
      <c r="AJ174">
        <v>0</v>
      </c>
      <c r="AK174">
        <v>0</v>
      </c>
      <c r="AL174">
        <v>-1139</v>
      </c>
      <c r="AM174">
        <v>0</v>
      </c>
      <c r="AN174">
        <v>-448</v>
      </c>
      <c r="AO174">
        <v>-110</v>
      </c>
      <c r="AP174">
        <v>-1017</v>
      </c>
      <c r="AQ174">
        <v>-546</v>
      </c>
      <c r="AR174">
        <v>-1127</v>
      </c>
      <c r="AS174">
        <v>-1104</v>
      </c>
      <c r="AT174">
        <v>-12</v>
      </c>
      <c r="AU174">
        <v>-35</v>
      </c>
      <c r="AV174">
        <v>100</v>
      </c>
      <c r="AW174">
        <v>1.7</v>
      </c>
      <c r="AX174">
        <v>27.3</v>
      </c>
      <c r="AY174">
        <v>1.4</v>
      </c>
      <c r="AZ174">
        <v>94.3</v>
      </c>
      <c r="BA174">
        <v>69.099999999999994</v>
      </c>
      <c r="BB174">
        <v>97.4</v>
      </c>
      <c r="BC174">
        <v>97.8</v>
      </c>
      <c r="BD174">
        <v>2.6</v>
      </c>
      <c r="BE174">
        <v>2.2000000000000002</v>
      </c>
      <c r="BF174">
        <v>100</v>
      </c>
      <c r="BG174">
        <v>1.7</v>
      </c>
      <c r="BH174">
        <v>27.3</v>
      </c>
      <c r="BI174">
        <v>1.4</v>
      </c>
      <c r="BJ174">
        <v>94.3</v>
      </c>
      <c r="BK174">
        <v>69.099999999999994</v>
      </c>
      <c r="BL174">
        <v>97.4</v>
      </c>
      <c r="BM174">
        <v>97.8</v>
      </c>
      <c r="BN174">
        <v>2.6</v>
      </c>
      <c r="BO174">
        <v>2.2000000000000002</v>
      </c>
      <c r="BP174">
        <v>0</v>
      </c>
      <c r="BQ174">
        <v>0</v>
      </c>
      <c r="BR174">
        <v>0</v>
      </c>
      <c r="BS174">
        <v>0</v>
      </c>
      <c r="BT174">
        <v>0</v>
      </c>
      <c r="BU174">
        <v>0</v>
      </c>
      <c r="BV174">
        <v>0</v>
      </c>
      <c r="BW174">
        <v>0</v>
      </c>
      <c r="BX174">
        <v>0</v>
      </c>
      <c r="BY174">
        <v>0</v>
      </c>
      <c r="BZ174">
        <v>26</v>
      </c>
      <c r="CA174">
        <v>1</v>
      </c>
      <c r="CB174">
        <v>5</v>
      </c>
      <c r="CC174">
        <v>2</v>
      </c>
      <c r="CD174">
        <v>15</v>
      </c>
      <c r="CE174">
        <v>16</v>
      </c>
      <c r="CF174">
        <v>18</v>
      </c>
      <c r="CG174">
        <v>21</v>
      </c>
      <c r="CH174">
        <v>26</v>
      </c>
      <c r="CI174">
        <v>1</v>
      </c>
      <c r="CJ174">
        <v>5</v>
      </c>
      <c r="CK174">
        <v>2</v>
      </c>
      <c r="CL174">
        <v>15</v>
      </c>
      <c r="CM174">
        <v>16</v>
      </c>
      <c r="CN174">
        <v>18</v>
      </c>
      <c r="CO174">
        <v>21</v>
      </c>
      <c r="CP174">
        <v>0</v>
      </c>
      <c r="CQ174">
        <v>0</v>
      </c>
      <c r="CR174">
        <v>0</v>
      </c>
      <c r="CS174">
        <v>0</v>
      </c>
      <c r="CT174">
        <v>0</v>
      </c>
      <c r="CU174">
        <v>0</v>
      </c>
      <c r="CV174">
        <v>0</v>
      </c>
      <c r="CW174">
        <v>0</v>
      </c>
      <c r="CX174">
        <v>58.8</v>
      </c>
      <c r="CY174">
        <v>40.799999999999997</v>
      </c>
      <c r="CZ174">
        <v>86.2</v>
      </c>
      <c r="DA174">
        <v>64.7</v>
      </c>
      <c r="DB174">
        <v>58.4</v>
      </c>
      <c r="DC174">
        <v>36.299999999999997</v>
      </c>
      <c r="DD174">
        <v>74.400000000000006</v>
      </c>
      <c r="DE174">
        <v>54.6</v>
      </c>
      <c r="DF174">
        <v>58.8</v>
      </c>
      <c r="DG174">
        <v>40.799999999999997</v>
      </c>
      <c r="DH174">
        <v>86.2</v>
      </c>
      <c r="DI174">
        <v>64.7</v>
      </c>
      <c r="DJ174">
        <v>58.4</v>
      </c>
      <c r="DK174">
        <v>36.299999999999997</v>
      </c>
      <c r="DL174">
        <v>74.400000000000006</v>
      </c>
      <c r="DM174">
        <v>54.6</v>
      </c>
      <c r="DN174">
        <v>0</v>
      </c>
      <c r="DO174">
        <v>0</v>
      </c>
      <c r="DP174">
        <v>0</v>
      </c>
      <c r="DQ174">
        <v>0</v>
      </c>
      <c r="DR174">
        <v>0</v>
      </c>
      <c r="DS174">
        <v>0</v>
      </c>
      <c r="DT174">
        <v>0</v>
      </c>
      <c r="DU174">
        <v>0</v>
      </c>
      <c r="DV174" t="s">
        <v>384</v>
      </c>
    </row>
    <row r="175" spans="1:126" x14ac:dyDescent="0.35">
      <c r="A175" t="s">
        <v>385</v>
      </c>
      <c r="B175">
        <v>230110</v>
      </c>
      <c r="C175" s="1">
        <v>44936</v>
      </c>
      <c r="D175" t="s">
        <v>386</v>
      </c>
      <c r="E175" t="s">
        <v>227</v>
      </c>
      <c r="F175" t="s">
        <v>185</v>
      </c>
      <c r="G175" t="s">
        <v>383</v>
      </c>
      <c r="H175">
        <v>19579</v>
      </c>
      <c r="I175" s="17">
        <v>2749</v>
      </c>
      <c r="J175" s="17">
        <v>865</v>
      </c>
      <c r="K175">
        <v>1922</v>
      </c>
      <c r="L175">
        <v>14306</v>
      </c>
      <c r="M175">
        <v>16408</v>
      </c>
      <c r="N175">
        <v>18977</v>
      </c>
      <c r="O175">
        <v>19195</v>
      </c>
      <c r="P175">
        <v>602</v>
      </c>
      <c r="Q175">
        <v>384</v>
      </c>
      <c r="R175">
        <v>19579</v>
      </c>
      <c r="S175">
        <v>2749</v>
      </c>
      <c r="T175">
        <v>865</v>
      </c>
      <c r="U175">
        <v>1922</v>
      </c>
      <c r="V175">
        <v>14306</v>
      </c>
      <c r="W175">
        <v>16408</v>
      </c>
      <c r="X175">
        <v>18977</v>
      </c>
      <c r="Y175">
        <v>19195</v>
      </c>
      <c r="Z175">
        <v>602</v>
      </c>
      <c r="AA175">
        <v>384</v>
      </c>
      <c r="AB175">
        <v>0</v>
      </c>
      <c r="AC175">
        <v>0</v>
      </c>
      <c r="AD175">
        <v>0</v>
      </c>
      <c r="AE175">
        <v>0</v>
      </c>
      <c r="AF175">
        <v>0</v>
      </c>
      <c r="AG175">
        <v>0</v>
      </c>
      <c r="AH175">
        <v>0</v>
      </c>
      <c r="AI175">
        <v>0</v>
      </c>
      <c r="AJ175">
        <v>0</v>
      </c>
      <c r="AK175">
        <v>0</v>
      </c>
      <c r="AL175">
        <v>2668</v>
      </c>
      <c r="AM175">
        <v>-127</v>
      </c>
      <c r="AN175">
        <v>115</v>
      </c>
      <c r="AO175">
        <v>401</v>
      </c>
      <c r="AP175">
        <v>2389</v>
      </c>
      <c r="AQ175">
        <v>2081</v>
      </c>
      <c r="AR175">
        <v>2663</v>
      </c>
      <c r="AS175">
        <v>2597</v>
      </c>
      <c r="AT175">
        <v>5</v>
      </c>
      <c r="AU175">
        <v>71</v>
      </c>
      <c r="AV175">
        <v>100</v>
      </c>
      <c r="AW175">
        <v>14</v>
      </c>
      <c r="AX175">
        <v>4.4000000000000004</v>
      </c>
      <c r="AY175">
        <v>9.8000000000000007</v>
      </c>
      <c r="AZ175">
        <v>73.099999999999994</v>
      </c>
      <c r="BA175">
        <v>83.8</v>
      </c>
      <c r="BB175">
        <v>96.9</v>
      </c>
      <c r="BC175">
        <v>98</v>
      </c>
      <c r="BD175">
        <v>3.1</v>
      </c>
      <c r="BE175">
        <v>2</v>
      </c>
      <c r="BF175">
        <v>100</v>
      </c>
      <c r="BG175">
        <v>14</v>
      </c>
      <c r="BH175">
        <v>4.4000000000000004</v>
      </c>
      <c r="BI175">
        <v>9.8000000000000007</v>
      </c>
      <c r="BJ175">
        <v>73.099999999999994</v>
      </c>
      <c r="BK175">
        <v>83.8</v>
      </c>
      <c r="BL175">
        <v>96.9</v>
      </c>
      <c r="BM175">
        <v>98</v>
      </c>
      <c r="BN175">
        <v>3.1</v>
      </c>
      <c r="BO175">
        <v>2</v>
      </c>
      <c r="BP175">
        <v>0</v>
      </c>
      <c r="BQ175">
        <v>0</v>
      </c>
      <c r="BR175">
        <v>0</v>
      </c>
      <c r="BS175">
        <v>0</v>
      </c>
      <c r="BT175">
        <v>0</v>
      </c>
      <c r="BU175">
        <v>0</v>
      </c>
      <c r="BV175">
        <v>0</v>
      </c>
      <c r="BW175">
        <v>0</v>
      </c>
      <c r="BX175">
        <v>0</v>
      </c>
      <c r="BY175">
        <v>0</v>
      </c>
      <c r="BZ175">
        <v>93</v>
      </c>
      <c r="CA175">
        <v>18</v>
      </c>
      <c r="CB175">
        <v>9</v>
      </c>
      <c r="CC175">
        <v>7</v>
      </c>
      <c r="CD175">
        <v>45</v>
      </c>
      <c r="CE175">
        <v>60</v>
      </c>
      <c r="CF175">
        <v>67</v>
      </c>
      <c r="CG175">
        <v>72</v>
      </c>
      <c r="CH175">
        <v>93</v>
      </c>
      <c r="CI175">
        <v>18</v>
      </c>
      <c r="CJ175">
        <v>9</v>
      </c>
      <c r="CK175">
        <v>7</v>
      </c>
      <c r="CL175">
        <v>45</v>
      </c>
      <c r="CM175">
        <v>60</v>
      </c>
      <c r="CN175">
        <v>67</v>
      </c>
      <c r="CO175">
        <v>72</v>
      </c>
      <c r="CP175">
        <v>0</v>
      </c>
      <c r="CQ175">
        <v>0</v>
      </c>
      <c r="CR175">
        <v>0</v>
      </c>
      <c r="CS175">
        <v>0</v>
      </c>
      <c r="CT175">
        <v>0</v>
      </c>
      <c r="CU175">
        <v>0</v>
      </c>
      <c r="CV175">
        <v>0</v>
      </c>
      <c r="CW175">
        <v>0</v>
      </c>
      <c r="CX175">
        <v>22</v>
      </c>
      <c r="CY175">
        <v>23.2</v>
      </c>
      <c r="CZ175">
        <v>40.200000000000003</v>
      </c>
      <c r="DA175">
        <v>39.9</v>
      </c>
      <c r="DB175">
        <v>13.3</v>
      </c>
      <c r="DC175">
        <v>14.2</v>
      </c>
      <c r="DD175">
        <v>20.3</v>
      </c>
      <c r="DE175">
        <v>22.2</v>
      </c>
      <c r="DF175">
        <v>22</v>
      </c>
      <c r="DG175">
        <v>23.2</v>
      </c>
      <c r="DH175">
        <v>40.200000000000003</v>
      </c>
      <c r="DI175">
        <v>39.9</v>
      </c>
      <c r="DJ175">
        <v>13.3</v>
      </c>
      <c r="DK175">
        <v>14.2</v>
      </c>
      <c r="DL175">
        <v>20.3</v>
      </c>
      <c r="DM175">
        <v>22.2</v>
      </c>
      <c r="DN175">
        <v>0</v>
      </c>
      <c r="DO175">
        <v>0</v>
      </c>
      <c r="DP175">
        <v>0</v>
      </c>
      <c r="DQ175">
        <v>0</v>
      </c>
      <c r="DR175">
        <v>0</v>
      </c>
      <c r="DS175">
        <v>0</v>
      </c>
      <c r="DT175">
        <v>0</v>
      </c>
      <c r="DU175">
        <v>0</v>
      </c>
      <c r="DV175" t="s">
        <v>276</v>
      </c>
    </row>
    <row r="176" spans="1:126" x14ac:dyDescent="0.35">
      <c r="A176" t="s">
        <v>385</v>
      </c>
      <c r="B176">
        <v>230103</v>
      </c>
      <c r="C176" s="1">
        <v>44929</v>
      </c>
      <c r="D176" t="s">
        <v>386</v>
      </c>
      <c r="E176" t="s">
        <v>227</v>
      </c>
      <c r="F176" t="s">
        <v>185</v>
      </c>
      <c r="G176" t="s">
        <v>383</v>
      </c>
      <c r="H176">
        <v>16911</v>
      </c>
      <c r="I176" s="17">
        <v>2876</v>
      </c>
      <c r="J176" s="17">
        <v>750</v>
      </c>
      <c r="K176">
        <v>1521</v>
      </c>
      <c r="L176">
        <v>11917</v>
      </c>
      <c r="M176">
        <v>14327</v>
      </c>
      <c r="N176">
        <v>16314</v>
      </c>
      <c r="O176">
        <v>16598</v>
      </c>
      <c r="P176">
        <v>597</v>
      </c>
      <c r="Q176">
        <v>313</v>
      </c>
      <c r="R176">
        <v>16911</v>
      </c>
      <c r="S176">
        <v>2876</v>
      </c>
      <c r="T176">
        <v>750</v>
      </c>
      <c r="U176">
        <v>1521</v>
      </c>
      <c r="V176">
        <v>11917</v>
      </c>
      <c r="W176">
        <v>14327</v>
      </c>
      <c r="X176">
        <v>16314</v>
      </c>
      <c r="Y176">
        <v>16598</v>
      </c>
      <c r="Z176">
        <v>597</v>
      </c>
      <c r="AA176">
        <v>313</v>
      </c>
      <c r="AB176">
        <v>0</v>
      </c>
      <c r="AC176">
        <v>0</v>
      </c>
      <c r="AD176">
        <v>0</v>
      </c>
      <c r="AE176">
        <v>0</v>
      </c>
      <c r="AF176">
        <v>0</v>
      </c>
      <c r="AG176">
        <v>0</v>
      </c>
      <c r="AH176">
        <v>0</v>
      </c>
      <c r="AI176">
        <v>0</v>
      </c>
      <c r="AJ176">
        <v>0</v>
      </c>
      <c r="AK176">
        <v>0</v>
      </c>
      <c r="AL176">
        <v>-4734</v>
      </c>
      <c r="AM176">
        <v>-508</v>
      </c>
      <c r="AN176">
        <v>148</v>
      </c>
      <c r="AO176">
        <v>79</v>
      </c>
      <c r="AP176">
        <v>-4307</v>
      </c>
      <c r="AQ176">
        <v>-5034</v>
      </c>
      <c r="AR176">
        <v>-4736</v>
      </c>
      <c r="AS176">
        <v>-4807</v>
      </c>
      <c r="AT176">
        <v>2</v>
      </c>
      <c r="AU176">
        <v>73</v>
      </c>
      <c r="AV176">
        <v>100</v>
      </c>
      <c r="AW176">
        <v>17</v>
      </c>
      <c r="AX176">
        <v>4.4000000000000004</v>
      </c>
      <c r="AY176">
        <v>9</v>
      </c>
      <c r="AZ176">
        <v>70.5</v>
      </c>
      <c r="BA176">
        <v>84.7</v>
      </c>
      <c r="BB176">
        <v>96.5</v>
      </c>
      <c r="BC176">
        <v>98.1</v>
      </c>
      <c r="BD176">
        <v>3.5</v>
      </c>
      <c r="BE176">
        <v>1.9</v>
      </c>
      <c r="BF176">
        <v>100</v>
      </c>
      <c r="BG176">
        <v>17</v>
      </c>
      <c r="BH176">
        <v>4.4000000000000004</v>
      </c>
      <c r="BI176">
        <v>9</v>
      </c>
      <c r="BJ176">
        <v>70.5</v>
      </c>
      <c r="BK176">
        <v>84.7</v>
      </c>
      <c r="BL176">
        <v>96.5</v>
      </c>
      <c r="BM176">
        <v>98.1</v>
      </c>
      <c r="BN176">
        <v>3.5</v>
      </c>
      <c r="BO176">
        <v>1.9</v>
      </c>
      <c r="BP176">
        <v>0</v>
      </c>
      <c r="BQ176">
        <v>0</v>
      </c>
      <c r="BR176">
        <v>0</v>
      </c>
      <c r="BS176">
        <v>0</v>
      </c>
      <c r="BT176">
        <v>0</v>
      </c>
      <c r="BU176">
        <v>0</v>
      </c>
      <c r="BV176">
        <v>0</v>
      </c>
      <c r="BW176">
        <v>0</v>
      </c>
      <c r="BX176">
        <v>0</v>
      </c>
      <c r="BY176">
        <v>0</v>
      </c>
      <c r="BZ176">
        <v>88</v>
      </c>
      <c r="CA176">
        <v>17</v>
      </c>
      <c r="CB176">
        <v>9</v>
      </c>
      <c r="CC176">
        <v>7</v>
      </c>
      <c r="CD176">
        <v>45</v>
      </c>
      <c r="CE176">
        <v>54</v>
      </c>
      <c r="CF176">
        <v>66</v>
      </c>
      <c r="CG176">
        <v>66</v>
      </c>
      <c r="CH176">
        <v>88</v>
      </c>
      <c r="CI176">
        <v>17</v>
      </c>
      <c r="CJ176">
        <v>9</v>
      </c>
      <c r="CK176">
        <v>7</v>
      </c>
      <c r="CL176">
        <v>45</v>
      </c>
      <c r="CM176">
        <v>54</v>
      </c>
      <c r="CN176">
        <v>66</v>
      </c>
      <c r="CO176">
        <v>66</v>
      </c>
      <c r="CP176">
        <v>0</v>
      </c>
      <c r="CQ176">
        <v>0</v>
      </c>
      <c r="CR176">
        <v>0</v>
      </c>
      <c r="CS176">
        <v>0</v>
      </c>
      <c r="CT176">
        <v>0</v>
      </c>
      <c r="CU176">
        <v>0</v>
      </c>
      <c r="CV176">
        <v>0</v>
      </c>
      <c r="CW176">
        <v>0</v>
      </c>
      <c r="CX176">
        <v>20.8</v>
      </c>
      <c r="CY176">
        <v>23.8</v>
      </c>
      <c r="CZ176">
        <v>36.200000000000003</v>
      </c>
      <c r="DA176">
        <v>40.1</v>
      </c>
      <c r="DB176">
        <v>15.4</v>
      </c>
      <c r="DC176">
        <v>15.7</v>
      </c>
      <c r="DD176">
        <v>23.7</v>
      </c>
      <c r="DE176">
        <v>23.9</v>
      </c>
      <c r="DF176">
        <v>20.8</v>
      </c>
      <c r="DG176">
        <v>23.8</v>
      </c>
      <c r="DH176">
        <v>36.200000000000003</v>
      </c>
      <c r="DI176">
        <v>40.1</v>
      </c>
      <c r="DJ176">
        <v>15.4</v>
      </c>
      <c r="DK176">
        <v>15.7</v>
      </c>
      <c r="DL176">
        <v>23.7</v>
      </c>
      <c r="DM176">
        <v>23.9</v>
      </c>
      <c r="DN176">
        <v>0</v>
      </c>
      <c r="DO176">
        <v>0</v>
      </c>
      <c r="DP176">
        <v>0</v>
      </c>
      <c r="DQ176">
        <v>0</v>
      </c>
      <c r="DR176">
        <v>0</v>
      </c>
      <c r="DS176">
        <v>0</v>
      </c>
      <c r="DT176">
        <v>0</v>
      </c>
      <c r="DU176">
        <v>0</v>
      </c>
      <c r="DV176" t="s">
        <v>276</v>
      </c>
    </row>
    <row r="177" spans="1:126" x14ac:dyDescent="0.35">
      <c r="A177" t="s">
        <v>387</v>
      </c>
      <c r="B177">
        <v>230110</v>
      </c>
      <c r="C177" s="1">
        <v>44936</v>
      </c>
      <c r="D177" t="s">
        <v>388</v>
      </c>
      <c r="E177" t="s">
        <v>164</v>
      </c>
      <c r="F177" t="s">
        <v>165</v>
      </c>
      <c r="G177" t="s">
        <v>389</v>
      </c>
      <c r="H177">
        <v>408767</v>
      </c>
      <c r="I177" s="17">
        <v>171785</v>
      </c>
      <c r="J177" s="17">
        <v>14075</v>
      </c>
      <c r="K177">
        <v>58229</v>
      </c>
      <c r="L177">
        <v>130280</v>
      </c>
      <c r="M177">
        <v>310860</v>
      </c>
      <c r="N177">
        <v>360294</v>
      </c>
      <c r="O177">
        <v>383164</v>
      </c>
      <c r="P177">
        <v>48473</v>
      </c>
      <c r="Q177">
        <v>25603</v>
      </c>
      <c r="R177">
        <v>377726</v>
      </c>
      <c r="S177">
        <v>168701</v>
      </c>
      <c r="T177">
        <v>19976</v>
      </c>
      <c r="U177">
        <v>43705</v>
      </c>
      <c r="V177">
        <v>120742</v>
      </c>
      <c r="W177">
        <v>290789</v>
      </c>
      <c r="X177">
        <v>333148</v>
      </c>
      <c r="Y177">
        <v>354470</v>
      </c>
      <c r="Z177">
        <v>44578</v>
      </c>
      <c r="AA177">
        <v>23256</v>
      </c>
      <c r="AB177">
        <v>31041</v>
      </c>
      <c r="AC177">
        <v>11905</v>
      </c>
      <c r="AD177">
        <v>2920</v>
      </c>
      <c r="AE177">
        <v>5703</v>
      </c>
      <c r="AF177">
        <v>9538</v>
      </c>
      <c r="AG177">
        <v>20071</v>
      </c>
      <c r="AH177">
        <v>27146</v>
      </c>
      <c r="AI177">
        <v>28694</v>
      </c>
      <c r="AJ177">
        <v>3895</v>
      </c>
      <c r="AK177">
        <v>2347</v>
      </c>
      <c r="AL177">
        <v>4205</v>
      </c>
      <c r="AM177">
        <v>1567</v>
      </c>
      <c r="AN177">
        <v>425</v>
      </c>
      <c r="AO177">
        <v>7420</v>
      </c>
      <c r="AP177">
        <v>-11033</v>
      </c>
      <c r="AQ177">
        <v>-6423</v>
      </c>
      <c r="AR177">
        <v>-2046</v>
      </c>
      <c r="AS177">
        <v>1422</v>
      </c>
      <c r="AT177">
        <v>6251</v>
      </c>
      <c r="AU177">
        <v>2783</v>
      </c>
      <c r="AV177">
        <v>100</v>
      </c>
      <c r="AW177">
        <v>42</v>
      </c>
      <c r="AX177">
        <v>3.4</v>
      </c>
      <c r="AY177">
        <v>14.2</v>
      </c>
      <c r="AZ177">
        <v>31.9</v>
      </c>
      <c r="BA177">
        <v>76</v>
      </c>
      <c r="BB177">
        <v>88.1</v>
      </c>
      <c r="BC177">
        <v>93.7</v>
      </c>
      <c r="BD177">
        <v>11.9</v>
      </c>
      <c r="BE177">
        <v>6.3</v>
      </c>
      <c r="BF177">
        <v>100</v>
      </c>
      <c r="BG177">
        <v>44.7</v>
      </c>
      <c r="BH177">
        <v>5.3</v>
      </c>
      <c r="BI177">
        <v>11.6</v>
      </c>
      <c r="BJ177">
        <v>32</v>
      </c>
      <c r="BK177">
        <v>77</v>
      </c>
      <c r="BL177">
        <v>88.2</v>
      </c>
      <c r="BM177">
        <v>93.8</v>
      </c>
      <c r="BN177">
        <v>11.8</v>
      </c>
      <c r="BO177">
        <v>6.2</v>
      </c>
      <c r="BP177">
        <v>100</v>
      </c>
      <c r="BQ177">
        <v>38.4</v>
      </c>
      <c r="BR177">
        <v>9.4</v>
      </c>
      <c r="BS177">
        <v>18.399999999999999</v>
      </c>
      <c r="BT177">
        <v>30.7</v>
      </c>
      <c r="BU177">
        <v>64.7</v>
      </c>
      <c r="BV177">
        <v>87.5</v>
      </c>
      <c r="BW177">
        <v>92.4</v>
      </c>
      <c r="BX177">
        <v>12.5</v>
      </c>
      <c r="BY177">
        <v>7.6</v>
      </c>
      <c r="BZ177">
        <v>293</v>
      </c>
      <c r="CA177">
        <v>117</v>
      </c>
      <c r="CB177">
        <v>35</v>
      </c>
      <c r="CC177">
        <v>74</v>
      </c>
      <c r="CD177">
        <v>92</v>
      </c>
      <c r="CE177">
        <v>97</v>
      </c>
      <c r="CF177">
        <v>236</v>
      </c>
      <c r="CG177">
        <v>191</v>
      </c>
      <c r="CH177">
        <v>292</v>
      </c>
      <c r="CI177">
        <v>116</v>
      </c>
      <c r="CJ177">
        <v>38</v>
      </c>
      <c r="CK177">
        <v>72</v>
      </c>
      <c r="CL177">
        <v>89</v>
      </c>
      <c r="CM177">
        <v>96</v>
      </c>
      <c r="CN177">
        <v>230</v>
      </c>
      <c r="CO177">
        <v>190</v>
      </c>
      <c r="CP177">
        <v>108</v>
      </c>
      <c r="CQ177">
        <v>32</v>
      </c>
      <c r="CR177">
        <v>10</v>
      </c>
      <c r="CS177">
        <v>12</v>
      </c>
      <c r="CT177">
        <v>47</v>
      </c>
      <c r="CU177">
        <v>32</v>
      </c>
      <c r="CV177">
        <v>85</v>
      </c>
      <c r="CW177">
        <v>49</v>
      </c>
      <c r="CX177">
        <v>10.7</v>
      </c>
      <c r="CY177">
        <v>39.299999999999997</v>
      </c>
      <c r="CZ177">
        <v>19.600000000000001</v>
      </c>
      <c r="DA177">
        <v>49.5</v>
      </c>
      <c r="DB177">
        <v>10.4</v>
      </c>
      <c r="DC177">
        <v>38</v>
      </c>
      <c r="DD177">
        <v>18.5</v>
      </c>
      <c r="DE177">
        <v>47.6</v>
      </c>
      <c r="DF177">
        <v>11.4</v>
      </c>
      <c r="DG177">
        <v>39.799999999999997</v>
      </c>
      <c r="DH177">
        <v>20.9</v>
      </c>
      <c r="DI177">
        <v>49.9</v>
      </c>
      <c r="DJ177">
        <v>11</v>
      </c>
      <c r="DK177">
        <v>38.700000000000003</v>
      </c>
      <c r="DL177">
        <v>19.899999999999999</v>
      </c>
      <c r="DM177">
        <v>48.1</v>
      </c>
      <c r="DN177">
        <v>33.1</v>
      </c>
      <c r="DO177">
        <v>45.3</v>
      </c>
      <c r="DP177">
        <v>45</v>
      </c>
      <c r="DQ177">
        <v>64</v>
      </c>
      <c r="DR177">
        <v>23.1</v>
      </c>
      <c r="DS177">
        <v>40.5</v>
      </c>
      <c r="DT177">
        <v>31.4</v>
      </c>
      <c r="DU177">
        <v>52</v>
      </c>
      <c r="DV177" t="s">
        <v>390</v>
      </c>
    </row>
    <row r="178" spans="1:126" x14ac:dyDescent="0.35">
      <c r="A178" t="s">
        <v>387</v>
      </c>
      <c r="B178">
        <v>230103</v>
      </c>
      <c r="C178" s="1">
        <v>44929</v>
      </c>
      <c r="D178" t="s">
        <v>388</v>
      </c>
      <c r="E178" t="s">
        <v>164</v>
      </c>
      <c r="F178" t="s">
        <v>165</v>
      </c>
      <c r="G178" t="s">
        <v>389</v>
      </c>
      <c r="H178">
        <v>404562</v>
      </c>
      <c r="I178" s="17">
        <v>170218</v>
      </c>
      <c r="J178" s="17">
        <v>13650</v>
      </c>
      <c r="K178">
        <v>50809</v>
      </c>
      <c r="L178">
        <v>141313</v>
      </c>
      <c r="M178">
        <v>317283</v>
      </c>
      <c r="N178">
        <v>362340</v>
      </c>
      <c r="O178">
        <v>381742</v>
      </c>
      <c r="P178">
        <v>42222</v>
      </c>
      <c r="Q178">
        <v>22820</v>
      </c>
      <c r="R178">
        <v>376574</v>
      </c>
      <c r="S178">
        <v>165722</v>
      </c>
      <c r="T178">
        <v>18151</v>
      </c>
      <c r="U178">
        <v>39207</v>
      </c>
      <c r="V178">
        <v>132562</v>
      </c>
      <c r="W178">
        <v>298420</v>
      </c>
      <c r="X178">
        <v>337491</v>
      </c>
      <c r="Y178">
        <v>355778</v>
      </c>
      <c r="Z178">
        <v>39083</v>
      </c>
      <c r="AA178">
        <v>20796</v>
      </c>
      <c r="AB178">
        <v>27988</v>
      </c>
      <c r="AC178">
        <v>11100</v>
      </c>
      <c r="AD178">
        <v>2103</v>
      </c>
      <c r="AE178">
        <v>4998</v>
      </c>
      <c r="AF178">
        <v>8751</v>
      </c>
      <c r="AG178">
        <v>18863</v>
      </c>
      <c r="AH178">
        <v>24849</v>
      </c>
      <c r="AI178">
        <v>25964</v>
      </c>
      <c r="AJ178">
        <v>3139</v>
      </c>
      <c r="AK178">
        <v>2024</v>
      </c>
      <c r="AL178">
        <v>2932</v>
      </c>
      <c r="AM178">
        <v>10922</v>
      </c>
      <c r="AN178">
        <v>1227</v>
      </c>
      <c r="AO178">
        <v>-1228</v>
      </c>
      <c r="AP178">
        <v>-3913</v>
      </c>
      <c r="AQ178">
        <v>6558</v>
      </c>
      <c r="AR178">
        <v>5781</v>
      </c>
      <c r="AS178">
        <v>6557</v>
      </c>
      <c r="AT178">
        <v>-2849</v>
      </c>
      <c r="AU178">
        <v>-3625</v>
      </c>
      <c r="AV178">
        <v>100</v>
      </c>
      <c r="AW178">
        <v>42.1</v>
      </c>
      <c r="AX178">
        <v>3.4</v>
      </c>
      <c r="AY178">
        <v>12.6</v>
      </c>
      <c r="AZ178">
        <v>34.9</v>
      </c>
      <c r="BA178">
        <v>78.400000000000006</v>
      </c>
      <c r="BB178">
        <v>89.6</v>
      </c>
      <c r="BC178">
        <v>94.4</v>
      </c>
      <c r="BD178">
        <v>10.4</v>
      </c>
      <c r="BE178">
        <v>5.6</v>
      </c>
      <c r="BF178">
        <v>100</v>
      </c>
      <c r="BG178">
        <v>44</v>
      </c>
      <c r="BH178">
        <v>4.8</v>
      </c>
      <c r="BI178">
        <v>10.4</v>
      </c>
      <c r="BJ178">
        <v>35.200000000000003</v>
      </c>
      <c r="BK178">
        <v>79.2</v>
      </c>
      <c r="BL178">
        <v>89.6</v>
      </c>
      <c r="BM178">
        <v>94.5</v>
      </c>
      <c r="BN178">
        <v>10.4</v>
      </c>
      <c r="BO178">
        <v>5.5</v>
      </c>
      <c r="BP178">
        <v>100</v>
      </c>
      <c r="BQ178">
        <v>39.700000000000003</v>
      </c>
      <c r="BR178">
        <v>7.5</v>
      </c>
      <c r="BS178">
        <v>17.899999999999999</v>
      </c>
      <c r="BT178">
        <v>31.3</v>
      </c>
      <c r="BU178">
        <v>67.400000000000006</v>
      </c>
      <c r="BV178">
        <v>88.8</v>
      </c>
      <c r="BW178">
        <v>92.8</v>
      </c>
      <c r="BX178">
        <v>11.2</v>
      </c>
      <c r="BY178">
        <v>7.2</v>
      </c>
      <c r="BZ178">
        <v>293</v>
      </c>
      <c r="CA178">
        <v>120</v>
      </c>
      <c r="CB178">
        <v>35</v>
      </c>
      <c r="CC178">
        <v>71</v>
      </c>
      <c r="CD178">
        <v>93</v>
      </c>
      <c r="CE178">
        <v>97</v>
      </c>
      <c r="CF178">
        <v>237</v>
      </c>
      <c r="CG178">
        <v>187</v>
      </c>
      <c r="CH178">
        <v>292</v>
      </c>
      <c r="CI178">
        <v>120</v>
      </c>
      <c r="CJ178">
        <v>38</v>
      </c>
      <c r="CK178">
        <v>69</v>
      </c>
      <c r="CL178">
        <v>92</v>
      </c>
      <c r="CM178">
        <v>95</v>
      </c>
      <c r="CN178">
        <v>234</v>
      </c>
      <c r="CO178">
        <v>184</v>
      </c>
      <c r="CP178">
        <v>108</v>
      </c>
      <c r="CQ178">
        <v>31</v>
      </c>
      <c r="CR178">
        <v>9</v>
      </c>
      <c r="CS178">
        <v>13</v>
      </c>
      <c r="CT178">
        <v>47</v>
      </c>
      <c r="CU178">
        <v>31</v>
      </c>
      <c r="CV178">
        <v>86</v>
      </c>
      <c r="CW178">
        <v>48</v>
      </c>
      <c r="CX178">
        <v>11.6</v>
      </c>
      <c r="CY178">
        <v>40.1</v>
      </c>
      <c r="CZ178">
        <v>20.3</v>
      </c>
      <c r="DA178">
        <v>50.7</v>
      </c>
      <c r="DB178">
        <v>10.9</v>
      </c>
      <c r="DC178">
        <v>38.1</v>
      </c>
      <c r="DD178">
        <v>19.100000000000001</v>
      </c>
      <c r="DE178">
        <v>48.2</v>
      </c>
      <c r="DF178">
        <v>12.2</v>
      </c>
      <c r="DG178">
        <v>40.5</v>
      </c>
      <c r="DH178">
        <v>21.6</v>
      </c>
      <c r="DI178">
        <v>50.7</v>
      </c>
      <c r="DJ178">
        <v>11.4</v>
      </c>
      <c r="DK178">
        <v>38.799999999999997</v>
      </c>
      <c r="DL178">
        <v>20.399999999999999</v>
      </c>
      <c r="DM178">
        <v>48.7</v>
      </c>
      <c r="DN178">
        <v>33.6</v>
      </c>
      <c r="DO178">
        <v>47.5</v>
      </c>
      <c r="DP178">
        <v>44.9</v>
      </c>
      <c r="DQ178">
        <v>65.900000000000006</v>
      </c>
      <c r="DR178">
        <v>22</v>
      </c>
      <c r="DS178">
        <v>40.4</v>
      </c>
      <c r="DT178">
        <v>31.4</v>
      </c>
      <c r="DU178">
        <v>50.5</v>
      </c>
      <c r="DV178" t="s">
        <v>390</v>
      </c>
    </row>
    <row r="179" spans="1:126" x14ac:dyDescent="0.35">
      <c r="A179" t="s">
        <v>391</v>
      </c>
      <c r="B179">
        <v>230110</v>
      </c>
      <c r="C179" s="1">
        <v>44936</v>
      </c>
      <c r="D179" t="s">
        <v>392</v>
      </c>
      <c r="E179" t="s">
        <v>393</v>
      </c>
      <c r="F179" t="s">
        <v>185</v>
      </c>
      <c r="G179" t="s">
        <v>394</v>
      </c>
      <c r="H179">
        <v>201472</v>
      </c>
      <c r="I179" s="17">
        <v>58104</v>
      </c>
      <c r="J179" s="17">
        <v>40160</v>
      </c>
      <c r="K179">
        <v>30008</v>
      </c>
      <c r="L179">
        <v>99886</v>
      </c>
      <c r="M179">
        <v>119822</v>
      </c>
      <c r="N179">
        <v>187998</v>
      </c>
      <c r="O179">
        <v>189990</v>
      </c>
      <c r="P179">
        <v>13474</v>
      </c>
      <c r="Q179">
        <v>11482</v>
      </c>
      <c r="R179">
        <v>168215</v>
      </c>
      <c r="S179">
        <v>53628</v>
      </c>
      <c r="T179">
        <v>41336</v>
      </c>
      <c r="U179">
        <v>23361</v>
      </c>
      <c r="V179">
        <v>79975</v>
      </c>
      <c r="W179">
        <v>93211</v>
      </c>
      <c r="X179">
        <v>156964</v>
      </c>
      <c r="Y179">
        <v>157908</v>
      </c>
      <c r="Z179">
        <v>11251</v>
      </c>
      <c r="AA179">
        <v>10307</v>
      </c>
      <c r="AB179">
        <v>33257</v>
      </c>
      <c r="AC179">
        <v>10344</v>
      </c>
      <c r="AD179">
        <v>4692</v>
      </c>
      <c r="AE179">
        <v>779</v>
      </c>
      <c r="AF179">
        <v>19911</v>
      </c>
      <c r="AG179">
        <v>26611</v>
      </c>
      <c r="AH179">
        <v>31034</v>
      </c>
      <c r="AI179">
        <v>32082</v>
      </c>
      <c r="AJ179">
        <v>2223</v>
      </c>
      <c r="AK179">
        <v>1175</v>
      </c>
      <c r="AL179">
        <v>3548</v>
      </c>
      <c r="AM179">
        <v>-1074</v>
      </c>
      <c r="AN179">
        <v>-2559</v>
      </c>
      <c r="AO179">
        <v>3752</v>
      </c>
      <c r="AP179">
        <v>594</v>
      </c>
      <c r="AQ179">
        <v>2845</v>
      </c>
      <c r="AR179">
        <v>3272</v>
      </c>
      <c r="AS179">
        <v>4038</v>
      </c>
      <c r="AT179">
        <v>276</v>
      </c>
      <c r="AU179">
        <v>-490</v>
      </c>
      <c r="AV179">
        <v>100</v>
      </c>
      <c r="AW179">
        <v>28.8</v>
      </c>
      <c r="AX179">
        <v>19.899999999999999</v>
      </c>
      <c r="AY179">
        <v>14.9</v>
      </c>
      <c r="AZ179">
        <v>49.6</v>
      </c>
      <c r="BA179">
        <v>59.5</v>
      </c>
      <c r="BB179">
        <v>93.3</v>
      </c>
      <c r="BC179">
        <v>94.3</v>
      </c>
      <c r="BD179">
        <v>6.7</v>
      </c>
      <c r="BE179">
        <v>5.7</v>
      </c>
      <c r="BF179">
        <v>100</v>
      </c>
      <c r="BG179">
        <v>31.9</v>
      </c>
      <c r="BH179">
        <v>24.6</v>
      </c>
      <c r="BI179">
        <v>13.9</v>
      </c>
      <c r="BJ179">
        <v>47.5</v>
      </c>
      <c r="BK179">
        <v>55.4</v>
      </c>
      <c r="BL179">
        <v>93.3</v>
      </c>
      <c r="BM179">
        <v>93.9</v>
      </c>
      <c r="BN179">
        <v>6.7</v>
      </c>
      <c r="BO179">
        <v>6.1</v>
      </c>
      <c r="BP179">
        <v>100</v>
      </c>
      <c r="BQ179">
        <v>31.1</v>
      </c>
      <c r="BR179">
        <v>14.1</v>
      </c>
      <c r="BS179">
        <v>2.2999999999999998</v>
      </c>
      <c r="BT179">
        <v>59.9</v>
      </c>
      <c r="BU179">
        <v>80</v>
      </c>
      <c r="BV179">
        <v>93.3</v>
      </c>
      <c r="BW179">
        <v>96.5</v>
      </c>
      <c r="BX179">
        <v>6.7</v>
      </c>
      <c r="BY179">
        <v>3.5</v>
      </c>
      <c r="BZ179">
        <v>263</v>
      </c>
      <c r="CA179">
        <v>107</v>
      </c>
      <c r="CB179">
        <v>57</v>
      </c>
      <c r="CC179">
        <v>89</v>
      </c>
      <c r="CD179">
        <v>69</v>
      </c>
      <c r="CE179">
        <v>65</v>
      </c>
      <c r="CF179">
        <v>215</v>
      </c>
      <c r="CG179">
        <v>184</v>
      </c>
      <c r="CH179">
        <v>256</v>
      </c>
      <c r="CI179">
        <v>106</v>
      </c>
      <c r="CJ179">
        <v>58</v>
      </c>
      <c r="CK179">
        <v>75</v>
      </c>
      <c r="CL179">
        <v>63</v>
      </c>
      <c r="CM179">
        <v>63</v>
      </c>
      <c r="CN179">
        <v>195</v>
      </c>
      <c r="CO179">
        <v>176</v>
      </c>
      <c r="CP179">
        <v>129</v>
      </c>
      <c r="CQ179">
        <v>48</v>
      </c>
      <c r="CR179">
        <v>19</v>
      </c>
      <c r="CS179">
        <v>11</v>
      </c>
      <c r="CT179">
        <v>48</v>
      </c>
      <c r="CU179">
        <v>36</v>
      </c>
      <c r="CV179">
        <v>103</v>
      </c>
      <c r="CW179">
        <v>60</v>
      </c>
      <c r="CX179">
        <v>17.600000000000001</v>
      </c>
      <c r="CY179">
        <v>21.8</v>
      </c>
      <c r="CZ179">
        <v>25.2</v>
      </c>
      <c r="DA179">
        <v>32</v>
      </c>
      <c r="DB179">
        <v>8.5</v>
      </c>
      <c r="DC179">
        <v>13</v>
      </c>
      <c r="DD179">
        <v>14.5</v>
      </c>
      <c r="DE179">
        <v>19.899999999999999</v>
      </c>
      <c r="DF179">
        <v>18.399999999999999</v>
      </c>
      <c r="DG179">
        <v>20.2</v>
      </c>
      <c r="DH179">
        <v>27.3</v>
      </c>
      <c r="DI179">
        <v>31.9</v>
      </c>
      <c r="DJ179">
        <v>8.6</v>
      </c>
      <c r="DK179">
        <v>14.5</v>
      </c>
      <c r="DL179">
        <v>15.9</v>
      </c>
      <c r="DM179">
        <v>23</v>
      </c>
      <c r="DN179">
        <v>27.4</v>
      </c>
      <c r="DO179">
        <v>37.200000000000003</v>
      </c>
      <c r="DP179">
        <v>40.6</v>
      </c>
      <c r="DQ179">
        <v>59</v>
      </c>
      <c r="DR179">
        <v>26.1</v>
      </c>
      <c r="DS179">
        <v>32.5</v>
      </c>
      <c r="DT179">
        <v>37.1</v>
      </c>
      <c r="DU179">
        <v>50.7</v>
      </c>
      <c r="DV179" t="s">
        <v>395</v>
      </c>
    </row>
    <row r="180" spans="1:126" x14ac:dyDescent="0.35">
      <c r="A180" t="s">
        <v>391</v>
      </c>
      <c r="B180">
        <v>230103</v>
      </c>
      <c r="C180" s="1">
        <v>44929</v>
      </c>
      <c r="D180" t="s">
        <v>392</v>
      </c>
      <c r="E180" t="s">
        <v>393</v>
      </c>
      <c r="F180" t="s">
        <v>185</v>
      </c>
      <c r="G180" t="s">
        <v>394</v>
      </c>
      <c r="H180">
        <v>197924</v>
      </c>
      <c r="I180" s="17">
        <v>59178</v>
      </c>
      <c r="J180" s="17">
        <v>42719</v>
      </c>
      <c r="K180">
        <v>26256</v>
      </c>
      <c r="L180">
        <v>99292</v>
      </c>
      <c r="M180">
        <v>116977</v>
      </c>
      <c r="N180">
        <v>184726</v>
      </c>
      <c r="O180">
        <v>185952</v>
      </c>
      <c r="P180">
        <v>13198</v>
      </c>
      <c r="Q180">
        <v>11972</v>
      </c>
      <c r="R180">
        <v>165936</v>
      </c>
      <c r="S180">
        <v>54529</v>
      </c>
      <c r="T180">
        <v>44072</v>
      </c>
      <c r="U180">
        <v>20108</v>
      </c>
      <c r="V180">
        <v>80478</v>
      </c>
      <c r="W180">
        <v>90765</v>
      </c>
      <c r="X180">
        <v>155115</v>
      </c>
      <c r="Y180">
        <v>154945</v>
      </c>
      <c r="Z180">
        <v>10821</v>
      </c>
      <c r="AA180">
        <v>10991</v>
      </c>
      <c r="AB180">
        <v>31988</v>
      </c>
      <c r="AC180">
        <v>10044</v>
      </c>
      <c r="AD180">
        <v>4042</v>
      </c>
      <c r="AE180">
        <v>753</v>
      </c>
      <c r="AF180">
        <v>18814</v>
      </c>
      <c r="AG180">
        <v>26212</v>
      </c>
      <c r="AH180">
        <v>29611</v>
      </c>
      <c r="AI180">
        <v>31007</v>
      </c>
      <c r="AJ180">
        <v>2377</v>
      </c>
      <c r="AK180">
        <v>981</v>
      </c>
      <c r="AL180">
        <v>6372</v>
      </c>
      <c r="AM180">
        <v>-428</v>
      </c>
      <c r="AN180">
        <v>2822</v>
      </c>
      <c r="AO180">
        <v>2381</v>
      </c>
      <c r="AP180">
        <v>4461</v>
      </c>
      <c r="AQ180">
        <v>984</v>
      </c>
      <c r="AR180">
        <v>6414</v>
      </c>
      <c r="AS180">
        <v>6187</v>
      </c>
      <c r="AT180">
        <v>-42</v>
      </c>
      <c r="AU180">
        <v>185</v>
      </c>
      <c r="AV180">
        <v>100</v>
      </c>
      <c r="AW180">
        <v>29.9</v>
      </c>
      <c r="AX180">
        <v>21.6</v>
      </c>
      <c r="AY180">
        <v>13.3</v>
      </c>
      <c r="AZ180">
        <v>50.2</v>
      </c>
      <c r="BA180">
        <v>59.1</v>
      </c>
      <c r="BB180">
        <v>93.3</v>
      </c>
      <c r="BC180">
        <v>94</v>
      </c>
      <c r="BD180">
        <v>6.7</v>
      </c>
      <c r="BE180">
        <v>6</v>
      </c>
      <c r="BF180">
        <v>100</v>
      </c>
      <c r="BG180">
        <v>32.9</v>
      </c>
      <c r="BH180">
        <v>26.6</v>
      </c>
      <c r="BI180">
        <v>12.1</v>
      </c>
      <c r="BJ180">
        <v>48.5</v>
      </c>
      <c r="BK180">
        <v>54.7</v>
      </c>
      <c r="BL180">
        <v>93.5</v>
      </c>
      <c r="BM180">
        <v>93.4</v>
      </c>
      <c r="BN180">
        <v>6.5</v>
      </c>
      <c r="BO180">
        <v>6.6</v>
      </c>
      <c r="BP180">
        <v>100</v>
      </c>
      <c r="BQ180">
        <v>31.4</v>
      </c>
      <c r="BR180">
        <v>12.6</v>
      </c>
      <c r="BS180">
        <v>2.4</v>
      </c>
      <c r="BT180">
        <v>58.8</v>
      </c>
      <c r="BU180">
        <v>81.900000000000006</v>
      </c>
      <c r="BV180">
        <v>92.6</v>
      </c>
      <c r="BW180">
        <v>96.9</v>
      </c>
      <c r="BX180">
        <v>7.4</v>
      </c>
      <c r="BY180">
        <v>3.1</v>
      </c>
      <c r="BZ180">
        <v>260</v>
      </c>
      <c r="CA180">
        <v>107</v>
      </c>
      <c r="CB180">
        <v>61</v>
      </c>
      <c r="CC180">
        <v>81</v>
      </c>
      <c r="CD180">
        <v>65</v>
      </c>
      <c r="CE180">
        <v>66</v>
      </c>
      <c r="CF180">
        <v>203</v>
      </c>
      <c r="CG180">
        <v>185</v>
      </c>
      <c r="CH180">
        <v>254</v>
      </c>
      <c r="CI180">
        <v>102</v>
      </c>
      <c r="CJ180">
        <v>65</v>
      </c>
      <c r="CK180">
        <v>67</v>
      </c>
      <c r="CL180">
        <v>58</v>
      </c>
      <c r="CM180">
        <v>65</v>
      </c>
      <c r="CN180">
        <v>183</v>
      </c>
      <c r="CO180">
        <v>178</v>
      </c>
      <c r="CP180">
        <v>126</v>
      </c>
      <c r="CQ180">
        <v>46</v>
      </c>
      <c r="CR180">
        <v>22</v>
      </c>
      <c r="CS180">
        <v>12</v>
      </c>
      <c r="CT180">
        <v>44</v>
      </c>
      <c r="CU180">
        <v>35</v>
      </c>
      <c r="CV180">
        <v>96</v>
      </c>
      <c r="CW180">
        <v>63</v>
      </c>
      <c r="CX180">
        <v>17.8</v>
      </c>
      <c r="CY180">
        <v>20.8</v>
      </c>
      <c r="CZ180">
        <v>25.5</v>
      </c>
      <c r="DA180">
        <v>31.1</v>
      </c>
      <c r="DB180">
        <v>9.6</v>
      </c>
      <c r="DC180">
        <v>13.2</v>
      </c>
      <c r="DD180">
        <v>16.100000000000001</v>
      </c>
      <c r="DE180">
        <v>20.6</v>
      </c>
      <c r="DF180">
        <v>18.7</v>
      </c>
      <c r="DG180">
        <v>19.100000000000001</v>
      </c>
      <c r="DH180">
        <v>27.5</v>
      </c>
      <c r="DI180">
        <v>30.9</v>
      </c>
      <c r="DJ180">
        <v>10.6</v>
      </c>
      <c r="DK180">
        <v>14.7</v>
      </c>
      <c r="DL180">
        <v>18</v>
      </c>
      <c r="DM180">
        <v>23.2</v>
      </c>
      <c r="DN180">
        <v>28.1</v>
      </c>
      <c r="DO180">
        <v>37.6</v>
      </c>
      <c r="DP180">
        <v>41.1</v>
      </c>
      <c r="DQ180">
        <v>58.9</v>
      </c>
      <c r="DR180">
        <v>26.8</v>
      </c>
      <c r="DS180">
        <v>33.6</v>
      </c>
      <c r="DT180">
        <v>37.1</v>
      </c>
      <c r="DU180">
        <v>51.5</v>
      </c>
      <c r="DV180" t="s">
        <v>395</v>
      </c>
    </row>
    <row r="181" spans="1:126" x14ac:dyDescent="0.35">
      <c r="A181" t="s">
        <v>396</v>
      </c>
      <c r="B181">
        <v>230110</v>
      </c>
      <c r="C181" s="1">
        <v>44936</v>
      </c>
      <c r="D181" t="s">
        <v>397</v>
      </c>
      <c r="E181" t="s">
        <v>227</v>
      </c>
      <c r="F181" t="s">
        <v>185</v>
      </c>
      <c r="G181" t="s">
        <v>282</v>
      </c>
      <c r="H181">
        <v>448198</v>
      </c>
      <c r="I181" s="17">
        <v>199540</v>
      </c>
      <c r="J181" s="17">
        <v>9252</v>
      </c>
      <c r="K181">
        <v>5388</v>
      </c>
      <c r="L181">
        <v>223502</v>
      </c>
      <c r="M181">
        <v>423000</v>
      </c>
      <c r="N181">
        <v>428430</v>
      </c>
      <c r="O181">
        <v>437640</v>
      </c>
      <c r="P181">
        <v>19768</v>
      </c>
      <c r="Q181">
        <v>10558</v>
      </c>
      <c r="R181">
        <v>448198</v>
      </c>
      <c r="S181">
        <v>199540</v>
      </c>
      <c r="T181">
        <v>9252</v>
      </c>
      <c r="U181">
        <v>5388</v>
      </c>
      <c r="V181">
        <v>223502</v>
      </c>
      <c r="W181">
        <v>423000</v>
      </c>
      <c r="X181">
        <v>428430</v>
      </c>
      <c r="Y181">
        <v>437640</v>
      </c>
      <c r="Z181">
        <v>19768</v>
      </c>
      <c r="AA181">
        <v>10558</v>
      </c>
      <c r="AB181">
        <v>0</v>
      </c>
      <c r="AC181">
        <v>0</v>
      </c>
      <c r="AD181">
        <v>0</v>
      </c>
      <c r="AE181">
        <v>0</v>
      </c>
      <c r="AF181">
        <v>0</v>
      </c>
      <c r="AG181">
        <v>0</v>
      </c>
      <c r="AH181">
        <v>0</v>
      </c>
      <c r="AI181">
        <v>0</v>
      </c>
      <c r="AJ181">
        <v>0</v>
      </c>
      <c r="AK181">
        <v>0</v>
      </c>
      <c r="AL181">
        <v>6203</v>
      </c>
      <c r="AM181">
        <v>6662</v>
      </c>
      <c r="AN181">
        <v>-1823</v>
      </c>
      <c r="AO181">
        <v>-32</v>
      </c>
      <c r="AP181">
        <v>-427</v>
      </c>
      <c r="AQ181">
        <v>7989</v>
      </c>
      <c r="AR181">
        <v>6203</v>
      </c>
      <c r="AS181">
        <v>6134</v>
      </c>
      <c r="AT181">
        <v>0</v>
      </c>
      <c r="AU181">
        <v>69</v>
      </c>
      <c r="AV181">
        <v>100</v>
      </c>
      <c r="AW181">
        <v>44.5</v>
      </c>
      <c r="AX181">
        <v>2.1</v>
      </c>
      <c r="AY181">
        <v>1.2</v>
      </c>
      <c r="AZ181">
        <v>49.9</v>
      </c>
      <c r="BA181">
        <v>94.4</v>
      </c>
      <c r="BB181">
        <v>95.6</v>
      </c>
      <c r="BC181">
        <v>97.6</v>
      </c>
      <c r="BD181">
        <v>4.4000000000000004</v>
      </c>
      <c r="BE181">
        <v>2.4</v>
      </c>
      <c r="BF181">
        <v>100</v>
      </c>
      <c r="BG181">
        <v>44.5</v>
      </c>
      <c r="BH181">
        <v>2.1</v>
      </c>
      <c r="BI181">
        <v>1.2</v>
      </c>
      <c r="BJ181">
        <v>49.9</v>
      </c>
      <c r="BK181">
        <v>94.4</v>
      </c>
      <c r="BL181">
        <v>95.6</v>
      </c>
      <c r="BM181">
        <v>97.6</v>
      </c>
      <c r="BN181">
        <v>4.4000000000000004</v>
      </c>
      <c r="BO181">
        <v>2.4</v>
      </c>
      <c r="BP181">
        <v>0</v>
      </c>
      <c r="BQ181">
        <v>0</v>
      </c>
      <c r="BR181">
        <v>0</v>
      </c>
      <c r="BS181">
        <v>0</v>
      </c>
      <c r="BT181">
        <v>0</v>
      </c>
      <c r="BU181">
        <v>0</v>
      </c>
      <c r="BV181">
        <v>0</v>
      </c>
      <c r="BW181">
        <v>0</v>
      </c>
      <c r="BX181">
        <v>0</v>
      </c>
      <c r="BY181">
        <v>0</v>
      </c>
      <c r="BZ181">
        <v>44</v>
      </c>
      <c r="CA181">
        <v>6</v>
      </c>
      <c r="CB181">
        <v>5</v>
      </c>
      <c r="CC181">
        <v>5</v>
      </c>
      <c r="CD181">
        <v>26</v>
      </c>
      <c r="CE181">
        <v>25</v>
      </c>
      <c r="CF181">
        <v>35</v>
      </c>
      <c r="CG181">
        <v>32</v>
      </c>
      <c r="CH181">
        <v>44</v>
      </c>
      <c r="CI181">
        <v>6</v>
      </c>
      <c r="CJ181">
        <v>5</v>
      </c>
      <c r="CK181">
        <v>5</v>
      </c>
      <c r="CL181">
        <v>26</v>
      </c>
      <c r="CM181">
        <v>25</v>
      </c>
      <c r="CN181">
        <v>35</v>
      </c>
      <c r="CO181">
        <v>32</v>
      </c>
      <c r="CP181">
        <v>0</v>
      </c>
      <c r="CQ181">
        <v>0</v>
      </c>
      <c r="CR181">
        <v>0</v>
      </c>
      <c r="CS181">
        <v>0</v>
      </c>
      <c r="CT181">
        <v>0</v>
      </c>
      <c r="CU181">
        <v>0</v>
      </c>
      <c r="CV181">
        <v>0</v>
      </c>
      <c r="CW181">
        <v>0</v>
      </c>
      <c r="CX181">
        <v>60.9</v>
      </c>
      <c r="CY181">
        <v>54.1</v>
      </c>
      <c r="CZ181">
        <v>75.3</v>
      </c>
      <c r="DA181">
        <v>73.7</v>
      </c>
      <c r="DB181">
        <v>55.6</v>
      </c>
      <c r="DC181">
        <v>50</v>
      </c>
      <c r="DD181">
        <v>66.2</v>
      </c>
      <c r="DE181">
        <v>63</v>
      </c>
      <c r="DF181">
        <v>60.9</v>
      </c>
      <c r="DG181">
        <v>54.1</v>
      </c>
      <c r="DH181">
        <v>75.3</v>
      </c>
      <c r="DI181">
        <v>73.7</v>
      </c>
      <c r="DJ181">
        <v>55.6</v>
      </c>
      <c r="DK181">
        <v>50</v>
      </c>
      <c r="DL181">
        <v>66.2</v>
      </c>
      <c r="DM181">
        <v>63</v>
      </c>
      <c r="DN181">
        <v>0</v>
      </c>
      <c r="DO181">
        <v>0</v>
      </c>
      <c r="DP181">
        <v>0</v>
      </c>
      <c r="DQ181">
        <v>0</v>
      </c>
      <c r="DR181">
        <v>0</v>
      </c>
      <c r="DS181">
        <v>0</v>
      </c>
      <c r="DT181">
        <v>0</v>
      </c>
      <c r="DU181">
        <v>0</v>
      </c>
      <c r="DV181" t="s">
        <v>289</v>
      </c>
    </row>
    <row r="182" spans="1:126" x14ac:dyDescent="0.35">
      <c r="A182" t="s">
        <v>396</v>
      </c>
      <c r="B182">
        <v>230103</v>
      </c>
      <c r="C182" s="1">
        <v>44929</v>
      </c>
      <c r="D182" t="s">
        <v>397</v>
      </c>
      <c r="E182" t="s">
        <v>227</v>
      </c>
      <c r="F182" t="s">
        <v>185</v>
      </c>
      <c r="G182" t="s">
        <v>282</v>
      </c>
      <c r="H182">
        <v>441995</v>
      </c>
      <c r="I182" s="17">
        <v>192878</v>
      </c>
      <c r="J182" s="17">
        <v>11075</v>
      </c>
      <c r="K182">
        <v>5420</v>
      </c>
      <c r="L182">
        <v>223929</v>
      </c>
      <c r="M182">
        <v>415011</v>
      </c>
      <c r="N182">
        <v>422227</v>
      </c>
      <c r="O182">
        <v>431506</v>
      </c>
      <c r="P182">
        <v>19768</v>
      </c>
      <c r="Q182">
        <v>10489</v>
      </c>
      <c r="R182">
        <v>441995</v>
      </c>
      <c r="S182">
        <v>192878</v>
      </c>
      <c r="T182">
        <v>11075</v>
      </c>
      <c r="U182">
        <v>5420</v>
      </c>
      <c r="V182">
        <v>223929</v>
      </c>
      <c r="W182">
        <v>415011</v>
      </c>
      <c r="X182">
        <v>422227</v>
      </c>
      <c r="Y182">
        <v>431506</v>
      </c>
      <c r="Z182">
        <v>19768</v>
      </c>
      <c r="AA182">
        <v>10489</v>
      </c>
      <c r="AB182">
        <v>0</v>
      </c>
      <c r="AC182">
        <v>0</v>
      </c>
      <c r="AD182">
        <v>0</v>
      </c>
      <c r="AE182">
        <v>0</v>
      </c>
      <c r="AF182">
        <v>0</v>
      </c>
      <c r="AG182">
        <v>0</v>
      </c>
      <c r="AH182">
        <v>0</v>
      </c>
      <c r="AI182">
        <v>0</v>
      </c>
      <c r="AJ182">
        <v>0</v>
      </c>
      <c r="AK182">
        <v>0</v>
      </c>
      <c r="AL182">
        <v>-19689</v>
      </c>
      <c r="AM182">
        <v>-10638</v>
      </c>
      <c r="AN182">
        <v>-956</v>
      </c>
      <c r="AO182">
        <v>-179</v>
      </c>
      <c r="AP182">
        <v>-7948</v>
      </c>
      <c r="AQ182">
        <v>-17841</v>
      </c>
      <c r="AR182">
        <v>-18765</v>
      </c>
      <c r="AS182">
        <v>-18976</v>
      </c>
      <c r="AT182">
        <v>-924</v>
      </c>
      <c r="AU182">
        <v>-713</v>
      </c>
      <c r="AV182">
        <v>100</v>
      </c>
      <c r="AW182">
        <v>43.6</v>
      </c>
      <c r="AX182">
        <v>2.5</v>
      </c>
      <c r="AY182">
        <v>1.2</v>
      </c>
      <c r="AZ182">
        <v>50.7</v>
      </c>
      <c r="BA182">
        <v>93.9</v>
      </c>
      <c r="BB182">
        <v>95.5</v>
      </c>
      <c r="BC182">
        <v>97.6</v>
      </c>
      <c r="BD182">
        <v>4.5</v>
      </c>
      <c r="BE182">
        <v>2.4</v>
      </c>
      <c r="BF182">
        <v>100</v>
      </c>
      <c r="BG182">
        <v>43.6</v>
      </c>
      <c r="BH182">
        <v>2.5</v>
      </c>
      <c r="BI182">
        <v>1.2</v>
      </c>
      <c r="BJ182">
        <v>50.7</v>
      </c>
      <c r="BK182">
        <v>93.9</v>
      </c>
      <c r="BL182">
        <v>95.5</v>
      </c>
      <c r="BM182">
        <v>97.6</v>
      </c>
      <c r="BN182">
        <v>4.5</v>
      </c>
      <c r="BO182">
        <v>2.4</v>
      </c>
      <c r="BP182">
        <v>0</v>
      </c>
      <c r="BQ182">
        <v>0</v>
      </c>
      <c r="BR182">
        <v>0</v>
      </c>
      <c r="BS182">
        <v>0</v>
      </c>
      <c r="BT182">
        <v>0</v>
      </c>
      <c r="BU182">
        <v>0</v>
      </c>
      <c r="BV182">
        <v>0</v>
      </c>
      <c r="BW182">
        <v>0</v>
      </c>
      <c r="BX182">
        <v>0</v>
      </c>
      <c r="BY182">
        <v>0</v>
      </c>
      <c r="BZ182">
        <v>44</v>
      </c>
      <c r="CA182">
        <v>5</v>
      </c>
      <c r="CB182">
        <v>6</v>
      </c>
      <c r="CC182">
        <v>5</v>
      </c>
      <c r="CD182">
        <v>26</v>
      </c>
      <c r="CE182">
        <v>25</v>
      </c>
      <c r="CF182">
        <v>35</v>
      </c>
      <c r="CG182">
        <v>32</v>
      </c>
      <c r="CH182">
        <v>44</v>
      </c>
      <c r="CI182">
        <v>5</v>
      </c>
      <c r="CJ182">
        <v>6</v>
      </c>
      <c r="CK182">
        <v>5</v>
      </c>
      <c r="CL182">
        <v>26</v>
      </c>
      <c r="CM182">
        <v>25</v>
      </c>
      <c r="CN182">
        <v>35</v>
      </c>
      <c r="CO182">
        <v>32</v>
      </c>
      <c r="CP182">
        <v>0</v>
      </c>
      <c r="CQ182">
        <v>0</v>
      </c>
      <c r="CR182">
        <v>0</v>
      </c>
      <c r="CS182">
        <v>0</v>
      </c>
      <c r="CT182">
        <v>0</v>
      </c>
      <c r="CU182">
        <v>0</v>
      </c>
      <c r="CV182">
        <v>0</v>
      </c>
      <c r="CW182">
        <v>0</v>
      </c>
      <c r="CX182">
        <v>60.4</v>
      </c>
      <c r="CY182">
        <v>53.4</v>
      </c>
      <c r="CZ182">
        <v>75.099999999999994</v>
      </c>
      <c r="DA182">
        <v>73</v>
      </c>
      <c r="DB182">
        <v>55.1</v>
      </c>
      <c r="DC182">
        <v>49.3</v>
      </c>
      <c r="DD182">
        <v>65.8</v>
      </c>
      <c r="DE182">
        <v>62.1</v>
      </c>
      <c r="DF182">
        <v>60.4</v>
      </c>
      <c r="DG182">
        <v>53.4</v>
      </c>
      <c r="DH182">
        <v>75.099999999999994</v>
      </c>
      <c r="DI182">
        <v>73</v>
      </c>
      <c r="DJ182">
        <v>55.1</v>
      </c>
      <c r="DK182">
        <v>49.3</v>
      </c>
      <c r="DL182">
        <v>65.8</v>
      </c>
      <c r="DM182">
        <v>62.1</v>
      </c>
      <c r="DN182">
        <v>0</v>
      </c>
      <c r="DO182">
        <v>0</v>
      </c>
      <c r="DP182">
        <v>0</v>
      </c>
      <c r="DQ182">
        <v>0</v>
      </c>
      <c r="DR182">
        <v>0</v>
      </c>
      <c r="DS182">
        <v>0</v>
      </c>
      <c r="DT182">
        <v>0</v>
      </c>
      <c r="DU182">
        <v>0</v>
      </c>
      <c r="DV182" t="s">
        <v>289</v>
      </c>
    </row>
    <row r="183" spans="1:126" x14ac:dyDescent="0.35">
      <c r="A183" t="s">
        <v>398</v>
      </c>
      <c r="B183">
        <v>230110</v>
      </c>
      <c r="C183" s="1">
        <v>44936</v>
      </c>
      <c r="D183" t="s">
        <v>399</v>
      </c>
      <c r="E183" t="s">
        <v>227</v>
      </c>
      <c r="F183" t="s">
        <v>185</v>
      </c>
      <c r="G183" t="s">
        <v>282</v>
      </c>
      <c r="H183">
        <v>171097</v>
      </c>
      <c r="I183" s="17">
        <v>5371</v>
      </c>
      <c r="J183" s="17">
        <v>48775</v>
      </c>
      <c r="K183">
        <v>8855</v>
      </c>
      <c r="L183">
        <v>147273</v>
      </c>
      <c r="M183">
        <v>101859</v>
      </c>
      <c r="N183">
        <v>161499</v>
      </c>
      <c r="O183">
        <v>159489</v>
      </c>
      <c r="P183">
        <v>9598</v>
      </c>
      <c r="Q183">
        <v>11608</v>
      </c>
      <c r="R183">
        <v>171097</v>
      </c>
      <c r="S183">
        <v>5371</v>
      </c>
      <c r="T183">
        <v>48775</v>
      </c>
      <c r="U183">
        <v>8855</v>
      </c>
      <c r="V183">
        <v>147273</v>
      </c>
      <c r="W183">
        <v>101859</v>
      </c>
      <c r="X183">
        <v>161499</v>
      </c>
      <c r="Y183">
        <v>159489</v>
      </c>
      <c r="Z183">
        <v>9598</v>
      </c>
      <c r="AA183">
        <v>11608</v>
      </c>
      <c r="AB183">
        <v>0</v>
      </c>
      <c r="AC183">
        <v>0</v>
      </c>
      <c r="AD183">
        <v>0</v>
      </c>
      <c r="AE183">
        <v>0</v>
      </c>
      <c r="AF183">
        <v>0</v>
      </c>
      <c r="AG183">
        <v>0</v>
      </c>
      <c r="AH183">
        <v>0</v>
      </c>
      <c r="AI183">
        <v>0</v>
      </c>
      <c r="AJ183">
        <v>0</v>
      </c>
      <c r="AK183">
        <v>0</v>
      </c>
      <c r="AL183">
        <v>1895</v>
      </c>
      <c r="AM183">
        <v>1270</v>
      </c>
      <c r="AN183">
        <v>669</v>
      </c>
      <c r="AO183">
        <v>-188</v>
      </c>
      <c r="AP183">
        <v>831</v>
      </c>
      <c r="AQ183">
        <v>952</v>
      </c>
      <c r="AR183">
        <v>1913</v>
      </c>
      <c r="AS183">
        <v>1433</v>
      </c>
      <c r="AT183">
        <v>-18</v>
      </c>
      <c r="AU183">
        <v>462</v>
      </c>
      <c r="AV183">
        <v>100</v>
      </c>
      <c r="AW183">
        <v>3.1</v>
      </c>
      <c r="AX183">
        <v>28.5</v>
      </c>
      <c r="AY183">
        <v>5.2</v>
      </c>
      <c r="AZ183">
        <v>86.1</v>
      </c>
      <c r="BA183">
        <v>59.5</v>
      </c>
      <c r="BB183">
        <v>94.4</v>
      </c>
      <c r="BC183">
        <v>93.2</v>
      </c>
      <c r="BD183">
        <v>5.6</v>
      </c>
      <c r="BE183">
        <v>6.8</v>
      </c>
      <c r="BF183">
        <v>100</v>
      </c>
      <c r="BG183">
        <v>3.1</v>
      </c>
      <c r="BH183">
        <v>28.5</v>
      </c>
      <c r="BI183">
        <v>5.2</v>
      </c>
      <c r="BJ183">
        <v>86.1</v>
      </c>
      <c r="BK183">
        <v>59.5</v>
      </c>
      <c r="BL183">
        <v>94.4</v>
      </c>
      <c r="BM183">
        <v>93.2</v>
      </c>
      <c r="BN183">
        <v>5.6</v>
      </c>
      <c r="BO183">
        <v>6.8</v>
      </c>
      <c r="BP183">
        <v>0</v>
      </c>
      <c r="BQ183">
        <v>0</v>
      </c>
      <c r="BR183">
        <v>0</v>
      </c>
      <c r="BS183">
        <v>0</v>
      </c>
      <c r="BT183">
        <v>0</v>
      </c>
      <c r="BU183">
        <v>0</v>
      </c>
      <c r="BV183">
        <v>0</v>
      </c>
      <c r="BW183">
        <v>0</v>
      </c>
      <c r="BX183">
        <v>0</v>
      </c>
      <c r="BY183">
        <v>0</v>
      </c>
      <c r="BZ183">
        <v>43</v>
      </c>
      <c r="CA183">
        <v>3</v>
      </c>
      <c r="CB183">
        <v>12</v>
      </c>
      <c r="CC183">
        <v>12</v>
      </c>
      <c r="CD183">
        <v>27</v>
      </c>
      <c r="CE183">
        <v>23</v>
      </c>
      <c r="CF183">
        <v>40</v>
      </c>
      <c r="CG183">
        <v>37</v>
      </c>
      <c r="CH183">
        <v>43</v>
      </c>
      <c r="CI183">
        <v>3</v>
      </c>
      <c r="CJ183">
        <v>12</v>
      </c>
      <c r="CK183">
        <v>12</v>
      </c>
      <c r="CL183">
        <v>27</v>
      </c>
      <c r="CM183">
        <v>23</v>
      </c>
      <c r="CN183">
        <v>40</v>
      </c>
      <c r="CO183">
        <v>37</v>
      </c>
      <c r="CP183">
        <v>0</v>
      </c>
      <c r="CQ183">
        <v>0</v>
      </c>
      <c r="CR183">
        <v>0</v>
      </c>
      <c r="CS183">
        <v>0</v>
      </c>
      <c r="CT183">
        <v>0</v>
      </c>
      <c r="CU183">
        <v>0</v>
      </c>
      <c r="CV183">
        <v>0</v>
      </c>
      <c r="CW183">
        <v>0</v>
      </c>
      <c r="CX183">
        <v>50.4</v>
      </c>
      <c r="CY183">
        <v>33.4</v>
      </c>
      <c r="CZ183">
        <v>66.7</v>
      </c>
      <c r="DA183">
        <v>53.1</v>
      </c>
      <c r="DB183">
        <v>40.4</v>
      </c>
      <c r="DC183">
        <v>27.4</v>
      </c>
      <c r="DD183">
        <v>53</v>
      </c>
      <c r="DE183">
        <v>41.4</v>
      </c>
      <c r="DF183">
        <v>50.4</v>
      </c>
      <c r="DG183">
        <v>33.4</v>
      </c>
      <c r="DH183">
        <v>66.7</v>
      </c>
      <c r="DI183">
        <v>53.1</v>
      </c>
      <c r="DJ183">
        <v>40.4</v>
      </c>
      <c r="DK183">
        <v>27.4</v>
      </c>
      <c r="DL183">
        <v>53</v>
      </c>
      <c r="DM183">
        <v>41.4</v>
      </c>
      <c r="DN183">
        <v>0</v>
      </c>
      <c r="DO183">
        <v>0</v>
      </c>
      <c r="DP183">
        <v>0</v>
      </c>
      <c r="DQ183">
        <v>0</v>
      </c>
      <c r="DR183">
        <v>0</v>
      </c>
      <c r="DS183">
        <v>0</v>
      </c>
      <c r="DT183">
        <v>0</v>
      </c>
      <c r="DU183">
        <v>0</v>
      </c>
      <c r="DV183" t="s">
        <v>289</v>
      </c>
    </row>
    <row r="184" spans="1:126" x14ac:dyDescent="0.35">
      <c r="A184" t="s">
        <v>398</v>
      </c>
      <c r="B184">
        <v>230103</v>
      </c>
      <c r="C184" s="1">
        <v>44929</v>
      </c>
      <c r="D184" t="s">
        <v>399</v>
      </c>
      <c r="E184" t="s">
        <v>227</v>
      </c>
      <c r="F184" t="s">
        <v>185</v>
      </c>
      <c r="G184" t="s">
        <v>282</v>
      </c>
      <c r="H184">
        <v>169202</v>
      </c>
      <c r="I184" s="17">
        <v>4101</v>
      </c>
      <c r="J184" s="17">
        <v>48106</v>
      </c>
      <c r="K184">
        <v>9043</v>
      </c>
      <c r="L184">
        <v>146442</v>
      </c>
      <c r="M184">
        <v>100907</v>
      </c>
      <c r="N184">
        <v>159586</v>
      </c>
      <c r="O184">
        <v>158056</v>
      </c>
      <c r="P184">
        <v>9616</v>
      </c>
      <c r="Q184">
        <v>11146</v>
      </c>
      <c r="R184">
        <v>169202</v>
      </c>
      <c r="S184">
        <v>4101</v>
      </c>
      <c r="T184">
        <v>48106</v>
      </c>
      <c r="U184">
        <v>9043</v>
      </c>
      <c r="V184">
        <v>146442</v>
      </c>
      <c r="W184">
        <v>100907</v>
      </c>
      <c r="X184">
        <v>159586</v>
      </c>
      <c r="Y184">
        <v>158056</v>
      </c>
      <c r="Z184">
        <v>9616</v>
      </c>
      <c r="AA184">
        <v>11146</v>
      </c>
      <c r="AB184">
        <v>0</v>
      </c>
      <c r="AC184">
        <v>0</v>
      </c>
      <c r="AD184">
        <v>0</v>
      </c>
      <c r="AE184">
        <v>0</v>
      </c>
      <c r="AF184">
        <v>0</v>
      </c>
      <c r="AG184">
        <v>0</v>
      </c>
      <c r="AH184">
        <v>0</v>
      </c>
      <c r="AI184">
        <v>0</v>
      </c>
      <c r="AJ184">
        <v>0</v>
      </c>
      <c r="AK184">
        <v>0</v>
      </c>
      <c r="AL184">
        <v>-16719</v>
      </c>
      <c r="AM184">
        <v>-4974</v>
      </c>
      <c r="AN184">
        <v>-2945</v>
      </c>
      <c r="AO184">
        <v>-5136</v>
      </c>
      <c r="AP184">
        <v>-8692</v>
      </c>
      <c r="AQ184">
        <v>-10698</v>
      </c>
      <c r="AR184">
        <v>-18802</v>
      </c>
      <c r="AS184">
        <v>-18779</v>
      </c>
      <c r="AT184">
        <v>2083</v>
      </c>
      <c r="AU184">
        <v>2060</v>
      </c>
      <c r="AV184">
        <v>100</v>
      </c>
      <c r="AW184">
        <v>2.4</v>
      </c>
      <c r="AX184">
        <v>28.4</v>
      </c>
      <c r="AY184">
        <v>5.3</v>
      </c>
      <c r="AZ184">
        <v>86.5</v>
      </c>
      <c r="BA184">
        <v>59.6</v>
      </c>
      <c r="BB184">
        <v>94.3</v>
      </c>
      <c r="BC184">
        <v>93.4</v>
      </c>
      <c r="BD184">
        <v>5.7</v>
      </c>
      <c r="BE184">
        <v>6.6</v>
      </c>
      <c r="BF184">
        <v>100</v>
      </c>
      <c r="BG184">
        <v>2.4</v>
      </c>
      <c r="BH184">
        <v>28.4</v>
      </c>
      <c r="BI184">
        <v>5.3</v>
      </c>
      <c r="BJ184">
        <v>86.5</v>
      </c>
      <c r="BK184">
        <v>59.6</v>
      </c>
      <c r="BL184">
        <v>94.3</v>
      </c>
      <c r="BM184">
        <v>93.4</v>
      </c>
      <c r="BN184">
        <v>5.7</v>
      </c>
      <c r="BO184">
        <v>6.6</v>
      </c>
      <c r="BP184">
        <v>0</v>
      </c>
      <c r="BQ184">
        <v>0</v>
      </c>
      <c r="BR184">
        <v>0</v>
      </c>
      <c r="BS184">
        <v>0</v>
      </c>
      <c r="BT184">
        <v>0</v>
      </c>
      <c r="BU184">
        <v>0</v>
      </c>
      <c r="BV184">
        <v>0</v>
      </c>
      <c r="BW184">
        <v>0</v>
      </c>
      <c r="BX184">
        <v>0</v>
      </c>
      <c r="BY184">
        <v>0</v>
      </c>
      <c r="BZ184">
        <v>41</v>
      </c>
      <c r="CA184">
        <v>1</v>
      </c>
      <c r="CB184">
        <v>12</v>
      </c>
      <c r="CC184">
        <v>11</v>
      </c>
      <c r="CD184">
        <v>27</v>
      </c>
      <c r="CE184">
        <v>23</v>
      </c>
      <c r="CF184">
        <v>38</v>
      </c>
      <c r="CG184">
        <v>36</v>
      </c>
      <c r="CH184">
        <v>41</v>
      </c>
      <c r="CI184">
        <v>1</v>
      </c>
      <c r="CJ184">
        <v>12</v>
      </c>
      <c r="CK184">
        <v>11</v>
      </c>
      <c r="CL184">
        <v>27</v>
      </c>
      <c r="CM184">
        <v>23</v>
      </c>
      <c r="CN184">
        <v>38</v>
      </c>
      <c r="CO184">
        <v>36</v>
      </c>
      <c r="CP184">
        <v>0</v>
      </c>
      <c r="CQ184">
        <v>0</v>
      </c>
      <c r="CR184">
        <v>0</v>
      </c>
      <c r="CS184">
        <v>0</v>
      </c>
      <c r="CT184">
        <v>0</v>
      </c>
      <c r="CU184">
        <v>0</v>
      </c>
      <c r="CV184">
        <v>0</v>
      </c>
      <c r="CW184">
        <v>0</v>
      </c>
      <c r="CX184">
        <v>50.8</v>
      </c>
      <c r="CY184">
        <v>33.9</v>
      </c>
      <c r="CZ184">
        <v>66.900000000000006</v>
      </c>
      <c r="DA184">
        <v>53.6</v>
      </c>
      <c r="DB184">
        <v>40.700000000000003</v>
      </c>
      <c r="DC184">
        <v>27.7</v>
      </c>
      <c r="DD184">
        <v>53.1</v>
      </c>
      <c r="DE184">
        <v>42</v>
      </c>
      <c r="DF184">
        <v>50.8</v>
      </c>
      <c r="DG184">
        <v>33.9</v>
      </c>
      <c r="DH184">
        <v>66.900000000000006</v>
      </c>
      <c r="DI184">
        <v>53.6</v>
      </c>
      <c r="DJ184">
        <v>40.700000000000003</v>
      </c>
      <c r="DK184">
        <v>27.7</v>
      </c>
      <c r="DL184">
        <v>53.1</v>
      </c>
      <c r="DM184">
        <v>42</v>
      </c>
      <c r="DN184">
        <v>0</v>
      </c>
      <c r="DO184">
        <v>0</v>
      </c>
      <c r="DP184">
        <v>0</v>
      </c>
      <c r="DQ184">
        <v>0</v>
      </c>
      <c r="DR184">
        <v>0</v>
      </c>
      <c r="DS184">
        <v>0</v>
      </c>
      <c r="DT184">
        <v>0</v>
      </c>
      <c r="DU184">
        <v>0</v>
      </c>
      <c r="DV184" t="s">
        <v>289</v>
      </c>
    </row>
    <row r="185" spans="1:126" x14ac:dyDescent="0.35">
      <c r="A185" t="s">
        <v>400</v>
      </c>
      <c r="B185">
        <v>230110</v>
      </c>
      <c r="C185" s="1">
        <v>44936</v>
      </c>
      <c r="D185" t="s">
        <v>401</v>
      </c>
      <c r="E185" t="s">
        <v>402</v>
      </c>
      <c r="F185" t="s">
        <v>165</v>
      </c>
      <c r="G185" t="s">
        <v>403</v>
      </c>
      <c r="H185">
        <v>42482</v>
      </c>
      <c r="I185" s="17">
        <v>4596</v>
      </c>
      <c r="J185" s="17">
        <v>8650</v>
      </c>
      <c r="K185">
        <v>1100</v>
      </c>
      <c r="L185">
        <v>36756</v>
      </c>
      <c r="M185">
        <v>32732</v>
      </c>
      <c r="N185">
        <v>42452</v>
      </c>
      <c r="O185">
        <v>42482</v>
      </c>
      <c r="P185">
        <v>30</v>
      </c>
      <c r="Q185">
        <v>0</v>
      </c>
      <c r="R185">
        <v>42482</v>
      </c>
      <c r="S185">
        <v>4596</v>
      </c>
      <c r="T185">
        <v>8650</v>
      </c>
      <c r="U185">
        <v>1100</v>
      </c>
      <c r="V185">
        <v>36756</v>
      </c>
      <c r="W185">
        <v>32732</v>
      </c>
      <c r="X185">
        <v>42452</v>
      </c>
      <c r="Y185">
        <v>42482</v>
      </c>
      <c r="Z185">
        <v>30</v>
      </c>
      <c r="AA185">
        <v>0</v>
      </c>
      <c r="AB185">
        <v>0</v>
      </c>
      <c r="AC185">
        <v>0</v>
      </c>
      <c r="AD185">
        <v>0</v>
      </c>
      <c r="AE185">
        <v>0</v>
      </c>
      <c r="AF185">
        <v>0</v>
      </c>
      <c r="AG185">
        <v>0</v>
      </c>
      <c r="AH185">
        <v>0</v>
      </c>
      <c r="AI185">
        <v>0</v>
      </c>
      <c r="AJ185">
        <v>0</v>
      </c>
      <c r="AK185">
        <v>0</v>
      </c>
      <c r="AL185">
        <v>1511</v>
      </c>
      <c r="AM185">
        <v>230</v>
      </c>
      <c r="AN185">
        <v>1100</v>
      </c>
      <c r="AO185">
        <v>-140</v>
      </c>
      <c r="AP185">
        <v>1401</v>
      </c>
      <c r="AQ185">
        <v>551</v>
      </c>
      <c r="AR185">
        <v>1491</v>
      </c>
      <c r="AS185">
        <v>1511</v>
      </c>
      <c r="AT185">
        <v>20</v>
      </c>
      <c r="AU185">
        <v>0</v>
      </c>
      <c r="AV185">
        <v>100</v>
      </c>
      <c r="AW185">
        <v>10.8</v>
      </c>
      <c r="AX185">
        <v>20.399999999999999</v>
      </c>
      <c r="AY185">
        <v>2.6</v>
      </c>
      <c r="AZ185">
        <v>86.5</v>
      </c>
      <c r="BA185">
        <v>77</v>
      </c>
      <c r="BB185">
        <v>99.9</v>
      </c>
      <c r="BC185">
        <v>100</v>
      </c>
      <c r="BD185">
        <v>0.1</v>
      </c>
      <c r="BE185">
        <v>0</v>
      </c>
      <c r="BF185">
        <v>100</v>
      </c>
      <c r="BG185">
        <v>10.8</v>
      </c>
      <c r="BH185">
        <v>20.399999999999999</v>
      </c>
      <c r="BI185">
        <v>2.6</v>
      </c>
      <c r="BJ185">
        <v>86.5</v>
      </c>
      <c r="BK185">
        <v>77</v>
      </c>
      <c r="BL185">
        <v>99.9</v>
      </c>
      <c r="BM185">
        <v>100</v>
      </c>
      <c r="BN185">
        <v>0.1</v>
      </c>
      <c r="BO185">
        <v>0</v>
      </c>
      <c r="BP185">
        <v>0</v>
      </c>
      <c r="BQ185">
        <v>0</v>
      </c>
      <c r="BR185">
        <v>0</v>
      </c>
      <c r="BS185">
        <v>0</v>
      </c>
      <c r="BT185">
        <v>0</v>
      </c>
      <c r="BU185">
        <v>0</v>
      </c>
      <c r="BV185">
        <v>0</v>
      </c>
      <c r="BW185">
        <v>0</v>
      </c>
      <c r="BX185">
        <v>0</v>
      </c>
      <c r="BY185">
        <v>0</v>
      </c>
      <c r="BZ185">
        <v>30</v>
      </c>
      <c r="CA185">
        <v>6</v>
      </c>
      <c r="CB185">
        <v>5</v>
      </c>
      <c r="CC185">
        <v>4</v>
      </c>
      <c r="CD185">
        <v>12</v>
      </c>
      <c r="CE185">
        <v>14</v>
      </c>
      <c r="CF185">
        <v>20</v>
      </c>
      <c r="CG185">
        <v>22</v>
      </c>
      <c r="CH185">
        <v>30</v>
      </c>
      <c r="CI185">
        <v>6</v>
      </c>
      <c r="CJ185">
        <v>5</v>
      </c>
      <c r="CK185">
        <v>4</v>
      </c>
      <c r="CL185">
        <v>12</v>
      </c>
      <c r="CM185">
        <v>14</v>
      </c>
      <c r="CN185">
        <v>20</v>
      </c>
      <c r="CO185">
        <v>22</v>
      </c>
      <c r="CP185">
        <v>0</v>
      </c>
      <c r="CQ185">
        <v>0</v>
      </c>
      <c r="CR185">
        <v>0</v>
      </c>
      <c r="CS185">
        <v>0</v>
      </c>
      <c r="CT185">
        <v>0</v>
      </c>
      <c r="CU185">
        <v>0</v>
      </c>
      <c r="CV185">
        <v>0</v>
      </c>
      <c r="CW185">
        <v>0</v>
      </c>
      <c r="CX185">
        <v>80.599999999999994</v>
      </c>
      <c r="CY185">
        <v>67.599999999999994</v>
      </c>
      <c r="CZ185">
        <v>93.8</v>
      </c>
      <c r="DA185">
        <v>89.5</v>
      </c>
      <c r="DB185">
        <v>77.2</v>
      </c>
      <c r="DC185">
        <v>64.400000000000006</v>
      </c>
      <c r="DD185">
        <v>84.7</v>
      </c>
      <c r="DE185">
        <v>82.8</v>
      </c>
      <c r="DF185">
        <v>80.599999999999994</v>
      </c>
      <c r="DG185">
        <v>67.599999999999994</v>
      </c>
      <c r="DH185">
        <v>93.8</v>
      </c>
      <c r="DI185">
        <v>89.5</v>
      </c>
      <c r="DJ185">
        <v>77.2</v>
      </c>
      <c r="DK185">
        <v>64.400000000000006</v>
      </c>
      <c r="DL185">
        <v>84.7</v>
      </c>
      <c r="DM185">
        <v>82.8</v>
      </c>
      <c r="DN185">
        <v>0</v>
      </c>
      <c r="DO185">
        <v>0</v>
      </c>
      <c r="DP185">
        <v>0</v>
      </c>
      <c r="DQ185">
        <v>0</v>
      </c>
      <c r="DR185">
        <v>0</v>
      </c>
      <c r="DS185">
        <v>0</v>
      </c>
      <c r="DT185">
        <v>0</v>
      </c>
      <c r="DU185">
        <v>0</v>
      </c>
      <c r="DV185" t="s">
        <v>404</v>
      </c>
    </row>
    <row r="186" spans="1:126" x14ac:dyDescent="0.35">
      <c r="A186" t="s">
        <v>400</v>
      </c>
      <c r="B186">
        <v>230103</v>
      </c>
      <c r="C186" s="1">
        <v>44929</v>
      </c>
      <c r="D186" t="s">
        <v>401</v>
      </c>
      <c r="E186" t="s">
        <v>402</v>
      </c>
      <c r="F186" t="s">
        <v>165</v>
      </c>
      <c r="G186" t="s">
        <v>403</v>
      </c>
      <c r="H186">
        <v>40971</v>
      </c>
      <c r="I186" s="17">
        <v>4366</v>
      </c>
      <c r="J186" s="17">
        <v>7550</v>
      </c>
      <c r="K186">
        <v>1240</v>
      </c>
      <c r="L186">
        <v>35355</v>
      </c>
      <c r="M186">
        <v>32181</v>
      </c>
      <c r="N186">
        <v>40961</v>
      </c>
      <c r="O186">
        <v>40971</v>
      </c>
      <c r="P186">
        <v>10</v>
      </c>
      <c r="Q186">
        <v>0</v>
      </c>
      <c r="R186">
        <v>40971</v>
      </c>
      <c r="S186">
        <v>4366</v>
      </c>
      <c r="T186">
        <v>7550</v>
      </c>
      <c r="U186">
        <v>1240</v>
      </c>
      <c r="V186">
        <v>35355</v>
      </c>
      <c r="W186">
        <v>32181</v>
      </c>
      <c r="X186">
        <v>40961</v>
      </c>
      <c r="Y186">
        <v>40971</v>
      </c>
      <c r="Z186">
        <v>10</v>
      </c>
      <c r="AA186">
        <v>0</v>
      </c>
      <c r="AB186">
        <v>0</v>
      </c>
      <c r="AC186">
        <v>0</v>
      </c>
      <c r="AD186">
        <v>0</v>
      </c>
      <c r="AE186">
        <v>0</v>
      </c>
      <c r="AF186">
        <v>0</v>
      </c>
      <c r="AG186">
        <v>0</v>
      </c>
      <c r="AH186">
        <v>0</v>
      </c>
      <c r="AI186">
        <v>0</v>
      </c>
      <c r="AJ186">
        <v>0</v>
      </c>
      <c r="AK186">
        <v>0</v>
      </c>
      <c r="AL186">
        <v>-4707</v>
      </c>
      <c r="AM186">
        <v>250</v>
      </c>
      <c r="AN186">
        <v>-948</v>
      </c>
      <c r="AO186">
        <v>-420</v>
      </c>
      <c r="AP186">
        <v>-4527</v>
      </c>
      <c r="AQ186">
        <v>-3339</v>
      </c>
      <c r="AR186">
        <v>-4697</v>
      </c>
      <c r="AS186">
        <v>-4707</v>
      </c>
      <c r="AT186">
        <v>-10</v>
      </c>
      <c r="AU186">
        <v>0</v>
      </c>
      <c r="AV186">
        <v>100</v>
      </c>
      <c r="AW186">
        <v>10.7</v>
      </c>
      <c r="AX186">
        <v>18.399999999999999</v>
      </c>
      <c r="AY186">
        <v>3</v>
      </c>
      <c r="AZ186">
        <v>86.3</v>
      </c>
      <c r="BA186">
        <v>78.5</v>
      </c>
      <c r="BB186">
        <v>100</v>
      </c>
      <c r="BC186">
        <v>100</v>
      </c>
      <c r="BD186">
        <v>0</v>
      </c>
      <c r="BE186">
        <v>0</v>
      </c>
      <c r="BF186">
        <v>100</v>
      </c>
      <c r="BG186">
        <v>10.7</v>
      </c>
      <c r="BH186">
        <v>18.399999999999999</v>
      </c>
      <c r="BI186">
        <v>3</v>
      </c>
      <c r="BJ186">
        <v>86.3</v>
      </c>
      <c r="BK186">
        <v>78.5</v>
      </c>
      <c r="BL186">
        <v>100</v>
      </c>
      <c r="BM186">
        <v>100</v>
      </c>
      <c r="BN186">
        <v>0</v>
      </c>
      <c r="BO186">
        <v>0</v>
      </c>
      <c r="BP186">
        <v>0</v>
      </c>
      <c r="BQ186">
        <v>0</v>
      </c>
      <c r="BR186">
        <v>0</v>
      </c>
      <c r="BS186">
        <v>0</v>
      </c>
      <c r="BT186">
        <v>0</v>
      </c>
      <c r="BU186">
        <v>0</v>
      </c>
      <c r="BV186">
        <v>0</v>
      </c>
      <c r="BW186">
        <v>0</v>
      </c>
      <c r="BX186">
        <v>0</v>
      </c>
      <c r="BY186">
        <v>0</v>
      </c>
      <c r="BZ186">
        <v>28</v>
      </c>
      <c r="CA186">
        <v>7</v>
      </c>
      <c r="CB186">
        <v>3</v>
      </c>
      <c r="CC186">
        <v>3</v>
      </c>
      <c r="CD186">
        <v>11</v>
      </c>
      <c r="CE186">
        <v>13</v>
      </c>
      <c r="CF186">
        <v>19</v>
      </c>
      <c r="CG186">
        <v>18</v>
      </c>
      <c r="CH186">
        <v>28</v>
      </c>
      <c r="CI186">
        <v>7</v>
      </c>
      <c r="CJ186">
        <v>3</v>
      </c>
      <c r="CK186">
        <v>3</v>
      </c>
      <c r="CL186">
        <v>11</v>
      </c>
      <c r="CM186">
        <v>13</v>
      </c>
      <c r="CN186">
        <v>19</v>
      </c>
      <c r="CO186">
        <v>18</v>
      </c>
      <c r="CP186">
        <v>0</v>
      </c>
      <c r="CQ186">
        <v>0</v>
      </c>
      <c r="CR186">
        <v>0</v>
      </c>
      <c r="CS186">
        <v>0</v>
      </c>
      <c r="CT186">
        <v>0</v>
      </c>
      <c r="CU186">
        <v>0</v>
      </c>
      <c r="CV186">
        <v>0</v>
      </c>
      <c r="CW186">
        <v>0</v>
      </c>
      <c r="CX186">
        <v>82.6</v>
      </c>
      <c r="CY186">
        <v>70.8</v>
      </c>
      <c r="CZ186">
        <v>94.7</v>
      </c>
      <c r="DA186">
        <v>93.1</v>
      </c>
      <c r="DB186">
        <v>77.900000000000006</v>
      </c>
      <c r="DC186">
        <v>66.400000000000006</v>
      </c>
      <c r="DD186">
        <v>85</v>
      </c>
      <c r="DE186">
        <v>85</v>
      </c>
      <c r="DF186">
        <v>82.6</v>
      </c>
      <c r="DG186">
        <v>70.8</v>
      </c>
      <c r="DH186">
        <v>94.7</v>
      </c>
      <c r="DI186">
        <v>93.1</v>
      </c>
      <c r="DJ186">
        <v>77.900000000000006</v>
      </c>
      <c r="DK186">
        <v>66.400000000000006</v>
      </c>
      <c r="DL186">
        <v>85</v>
      </c>
      <c r="DM186">
        <v>85</v>
      </c>
      <c r="DN186">
        <v>0</v>
      </c>
      <c r="DO186">
        <v>0</v>
      </c>
      <c r="DP186">
        <v>0</v>
      </c>
      <c r="DQ186">
        <v>0</v>
      </c>
      <c r="DR186">
        <v>0</v>
      </c>
      <c r="DS186">
        <v>0</v>
      </c>
      <c r="DT186">
        <v>0</v>
      </c>
      <c r="DU186">
        <v>0</v>
      </c>
      <c r="DV186" t="s">
        <v>404</v>
      </c>
    </row>
    <row r="187" spans="1:126" x14ac:dyDescent="0.35">
      <c r="A187" t="s">
        <v>405</v>
      </c>
      <c r="B187">
        <v>230110</v>
      </c>
      <c r="C187" s="1">
        <v>44936</v>
      </c>
      <c r="D187" t="s">
        <v>406</v>
      </c>
      <c r="E187" t="s">
        <v>164</v>
      </c>
      <c r="F187" t="s">
        <v>165</v>
      </c>
      <c r="G187" t="s">
        <v>407</v>
      </c>
      <c r="H187">
        <v>7486</v>
      </c>
      <c r="I187" s="17">
        <v>2111</v>
      </c>
      <c r="J187" s="17">
        <v>2119</v>
      </c>
      <c r="K187">
        <v>211</v>
      </c>
      <c r="L187">
        <v>3591</v>
      </c>
      <c r="M187">
        <v>4209</v>
      </c>
      <c r="N187">
        <v>5913</v>
      </c>
      <c r="O187">
        <v>6539</v>
      </c>
      <c r="P187">
        <v>1573</v>
      </c>
      <c r="Q187">
        <v>947</v>
      </c>
      <c r="R187">
        <v>6492</v>
      </c>
      <c r="S187">
        <v>2107</v>
      </c>
      <c r="T187">
        <v>2119</v>
      </c>
      <c r="U187">
        <v>211</v>
      </c>
      <c r="V187">
        <v>2676</v>
      </c>
      <c r="W187">
        <v>3236</v>
      </c>
      <c r="X187">
        <v>4994</v>
      </c>
      <c r="Y187">
        <v>5566</v>
      </c>
      <c r="Z187">
        <v>1498</v>
      </c>
      <c r="AA187">
        <v>926</v>
      </c>
      <c r="AB187">
        <v>994</v>
      </c>
      <c r="AC187">
        <v>4</v>
      </c>
      <c r="AD187">
        <v>0</v>
      </c>
      <c r="AE187">
        <v>0</v>
      </c>
      <c r="AF187">
        <v>915</v>
      </c>
      <c r="AG187">
        <v>973</v>
      </c>
      <c r="AH187">
        <v>919</v>
      </c>
      <c r="AI187">
        <v>973</v>
      </c>
      <c r="AJ187">
        <v>75</v>
      </c>
      <c r="AK187">
        <v>21</v>
      </c>
      <c r="AL187">
        <v>24</v>
      </c>
      <c r="AM187">
        <v>57</v>
      </c>
      <c r="AN187">
        <v>0</v>
      </c>
      <c r="AO187">
        <v>-24</v>
      </c>
      <c r="AP187">
        <v>-118</v>
      </c>
      <c r="AQ187">
        <v>-85</v>
      </c>
      <c r="AR187">
        <v>-85</v>
      </c>
      <c r="AS187">
        <v>-109</v>
      </c>
      <c r="AT187">
        <v>109</v>
      </c>
      <c r="AU187">
        <v>133</v>
      </c>
      <c r="AV187">
        <v>100</v>
      </c>
      <c r="AW187">
        <v>28.2</v>
      </c>
      <c r="AX187">
        <v>28.3</v>
      </c>
      <c r="AY187">
        <v>2.8</v>
      </c>
      <c r="AZ187">
        <v>48</v>
      </c>
      <c r="BA187">
        <v>56.2</v>
      </c>
      <c r="BB187">
        <v>79</v>
      </c>
      <c r="BC187">
        <v>87.3</v>
      </c>
      <c r="BD187">
        <v>21</v>
      </c>
      <c r="BE187">
        <v>12.7</v>
      </c>
      <c r="BF187">
        <v>100</v>
      </c>
      <c r="BG187">
        <v>32.5</v>
      </c>
      <c r="BH187">
        <v>32.6</v>
      </c>
      <c r="BI187">
        <v>3.3</v>
      </c>
      <c r="BJ187">
        <v>41.2</v>
      </c>
      <c r="BK187">
        <v>49.8</v>
      </c>
      <c r="BL187">
        <v>76.900000000000006</v>
      </c>
      <c r="BM187">
        <v>85.7</v>
      </c>
      <c r="BN187">
        <v>23.1</v>
      </c>
      <c r="BO187">
        <v>14.3</v>
      </c>
      <c r="BP187">
        <v>100</v>
      </c>
      <c r="BQ187">
        <v>0.4</v>
      </c>
      <c r="BR187">
        <v>0</v>
      </c>
      <c r="BS187">
        <v>0</v>
      </c>
      <c r="BT187">
        <v>92.1</v>
      </c>
      <c r="BU187">
        <v>97.9</v>
      </c>
      <c r="BV187">
        <v>92.5</v>
      </c>
      <c r="BW187">
        <v>97.9</v>
      </c>
      <c r="BX187">
        <v>7.5</v>
      </c>
      <c r="BY187">
        <v>2.1</v>
      </c>
      <c r="BZ187">
        <v>51</v>
      </c>
      <c r="CA187">
        <v>18</v>
      </c>
      <c r="CB187">
        <v>12</v>
      </c>
      <c r="CC187">
        <v>6</v>
      </c>
      <c r="CD187">
        <v>13</v>
      </c>
      <c r="CE187">
        <v>13</v>
      </c>
      <c r="CF187">
        <v>35</v>
      </c>
      <c r="CG187">
        <v>27</v>
      </c>
      <c r="CH187">
        <v>51</v>
      </c>
      <c r="CI187">
        <v>18</v>
      </c>
      <c r="CJ187">
        <v>12</v>
      </c>
      <c r="CK187">
        <v>6</v>
      </c>
      <c r="CL187">
        <v>11</v>
      </c>
      <c r="CM187">
        <v>13</v>
      </c>
      <c r="CN187">
        <v>33</v>
      </c>
      <c r="CO187">
        <v>27</v>
      </c>
      <c r="CP187">
        <v>13</v>
      </c>
      <c r="CQ187">
        <v>2</v>
      </c>
      <c r="CR187">
        <v>0</v>
      </c>
      <c r="CS187">
        <v>0</v>
      </c>
      <c r="CT187">
        <v>6</v>
      </c>
      <c r="CU187">
        <v>5</v>
      </c>
      <c r="CV187">
        <v>8</v>
      </c>
      <c r="CW187">
        <v>5</v>
      </c>
      <c r="CX187">
        <v>48.6</v>
      </c>
      <c r="CY187">
        <v>43.1</v>
      </c>
      <c r="CZ187">
        <v>58</v>
      </c>
      <c r="DA187">
        <v>57.3</v>
      </c>
      <c r="DB187">
        <v>48.6</v>
      </c>
      <c r="DC187">
        <v>41.1</v>
      </c>
      <c r="DD187">
        <v>58</v>
      </c>
      <c r="DE187">
        <v>55.2</v>
      </c>
      <c r="DF187">
        <v>43.2</v>
      </c>
      <c r="DG187">
        <v>40.4</v>
      </c>
      <c r="DH187">
        <v>53.2</v>
      </c>
      <c r="DI187">
        <v>54.9</v>
      </c>
      <c r="DJ187">
        <v>43.2</v>
      </c>
      <c r="DK187">
        <v>38.4</v>
      </c>
      <c r="DL187">
        <v>53.2</v>
      </c>
      <c r="DM187">
        <v>52.9</v>
      </c>
      <c r="DN187">
        <v>91.2</v>
      </c>
      <c r="DO187">
        <v>97.4</v>
      </c>
      <c r="DP187">
        <v>92.5</v>
      </c>
      <c r="DQ187">
        <v>97.9</v>
      </c>
      <c r="DR187">
        <v>91.2</v>
      </c>
      <c r="DS187">
        <v>97.4</v>
      </c>
      <c r="DT187">
        <v>92.5</v>
      </c>
      <c r="DU187">
        <v>97.9</v>
      </c>
      <c r="DV187" t="s">
        <v>408</v>
      </c>
    </row>
    <row r="188" spans="1:126" x14ac:dyDescent="0.35">
      <c r="A188" t="s">
        <v>405</v>
      </c>
      <c r="B188">
        <v>230103</v>
      </c>
      <c r="C188" s="1">
        <v>44929</v>
      </c>
      <c r="D188" t="s">
        <v>406</v>
      </c>
      <c r="E188" t="s">
        <v>164</v>
      </c>
      <c r="F188" t="s">
        <v>165</v>
      </c>
      <c r="G188" t="s">
        <v>407</v>
      </c>
      <c r="H188">
        <v>7462</v>
      </c>
      <c r="I188" s="17">
        <v>2054</v>
      </c>
      <c r="J188" s="17">
        <v>2119</v>
      </c>
      <c r="K188">
        <v>235</v>
      </c>
      <c r="L188">
        <v>3709</v>
      </c>
      <c r="M188">
        <v>4294</v>
      </c>
      <c r="N188">
        <v>5998</v>
      </c>
      <c r="O188">
        <v>6648</v>
      </c>
      <c r="P188">
        <v>1464</v>
      </c>
      <c r="Q188">
        <v>814</v>
      </c>
      <c r="R188">
        <v>6602</v>
      </c>
      <c r="S188">
        <v>2053</v>
      </c>
      <c r="T188">
        <v>2120</v>
      </c>
      <c r="U188">
        <v>234</v>
      </c>
      <c r="V188">
        <v>2895</v>
      </c>
      <c r="W188">
        <v>3444</v>
      </c>
      <c r="X188">
        <v>5182</v>
      </c>
      <c r="Y188">
        <v>5798</v>
      </c>
      <c r="Z188">
        <v>1420</v>
      </c>
      <c r="AA188">
        <v>804</v>
      </c>
      <c r="AB188">
        <v>860</v>
      </c>
      <c r="AC188">
        <v>2</v>
      </c>
      <c r="AD188">
        <v>0</v>
      </c>
      <c r="AE188">
        <v>0</v>
      </c>
      <c r="AF188">
        <v>814</v>
      </c>
      <c r="AG188">
        <v>850</v>
      </c>
      <c r="AH188">
        <v>816</v>
      </c>
      <c r="AI188">
        <v>850</v>
      </c>
      <c r="AJ188">
        <v>44</v>
      </c>
      <c r="AK188">
        <v>10</v>
      </c>
      <c r="AL188">
        <v>-282</v>
      </c>
      <c r="AM188">
        <v>529</v>
      </c>
      <c r="AN188">
        <v>-123</v>
      </c>
      <c r="AO188">
        <v>-34</v>
      </c>
      <c r="AP188">
        <v>-762</v>
      </c>
      <c r="AQ188">
        <v>154</v>
      </c>
      <c r="AR188">
        <v>-267</v>
      </c>
      <c r="AS188">
        <v>-3</v>
      </c>
      <c r="AT188">
        <v>-15</v>
      </c>
      <c r="AU188">
        <v>-279</v>
      </c>
      <c r="AV188">
        <v>100</v>
      </c>
      <c r="AW188">
        <v>27.5</v>
      </c>
      <c r="AX188">
        <v>28.4</v>
      </c>
      <c r="AY188">
        <v>3.1</v>
      </c>
      <c r="AZ188">
        <v>49.7</v>
      </c>
      <c r="BA188">
        <v>57.5</v>
      </c>
      <c r="BB188">
        <v>80.400000000000006</v>
      </c>
      <c r="BC188">
        <v>89.1</v>
      </c>
      <c r="BD188">
        <v>19.600000000000001</v>
      </c>
      <c r="BE188">
        <v>10.9</v>
      </c>
      <c r="BF188">
        <v>100</v>
      </c>
      <c r="BG188">
        <v>31.1</v>
      </c>
      <c r="BH188">
        <v>32.1</v>
      </c>
      <c r="BI188">
        <v>3.5</v>
      </c>
      <c r="BJ188">
        <v>43.9</v>
      </c>
      <c r="BK188">
        <v>52.2</v>
      </c>
      <c r="BL188">
        <v>78.5</v>
      </c>
      <c r="BM188">
        <v>87.8</v>
      </c>
      <c r="BN188">
        <v>21.5</v>
      </c>
      <c r="BO188">
        <v>12.2</v>
      </c>
      <c r="BP188">
        <v>100</v>
      </c>
      <c r="BQ188">
        <v>0.2</v>
      </c>
      <c r="BR188">
        <v>0</v>
      </c>
      <c r="BS188">
        <v>0</v>
      </c>
      <c r="BT188">
        <v>94.7</v>
      </c>
      <c r="BU188">
        <v>98.8</v>
      </c>
      <c r="BV188">
        <v>94.9</v>
      </c>
      <c r="BW188">
        <v>98.8</v>
      </c>
      <c r="BX188">
        <v>5.0999999999999996</v>
      </c>
      <c r="BY188">
        <v>1.2</v>
      </c>
      <c r="BZ188">
        <v>54</v>
      </c>
      <c r="CA188">
        <v>16</v>
      </c>
      <c r="CB188">
        <v>15</v>
      </c>
      <c r="CC188">
        <v>5</v>
      </c>
      <c r="CD188">
        <v>12</v>
      </c>
      <c r="CE188">
        <v>17</v>
      </c>
      <c r="CF188">
        <v>33</v>
      </c>
      <c r="CG188">
        <v>32</v>
      </c>
      <c r="CH188">
        <v>54</v>
      </c>
      <c r="CI188">
        <v>16</v>
      </c>
      <c r="CJ188">
        <v>15</v>
      </c>
      <c r="CK188">
        <v>5</v>
      </c>
      <c r="CL188">
        <v>10</v>
      </c>
      <c r="CM188">
        <v>17</v>
      </c>
      <c r="CN188">
        <v>31</v>
      </c>
      <c r="CO188">
        <v>32</v>
      </c>
      <c r="CP188">
        <v>11</v>
      </c>
      <c r="CQ188">
        <v>2</v>
      </c>
      <c r="CR188">
        <v>0</v>
      </c>
      <c r="CS188">
        <v>0</v>
      </c>
      <c r="CT188">
        <v>6</v>
      </c>
      <c r="CU188">
        <v>3</v>
      </c>
      <c r="CV188">
        <v>8</v>
      </c>
      <c r="CW188">
        <v>3</v>
      </c>
      <c r="CX188">
        <v>47</v>
      </c>
      <c r="CY188">
        <v>42</v>
      </c>
      <c r="CZ188">
        <v>58.1</v>
      </c>
      <c r="DA188">
        <v>56</v>
      </c>
      <c r="DB188">
        <v>47</v>
      </c>
      <c r="DC188">
        <v>39.9</v>
      </c>
      <c r="DD188">
        <v>58.1</v>
      </c>
      <c r="DE188">
        <v>53.6</v>
      </c>
      <c r="DF188">
        <v>42.2</v>
      </c>
      <c r="DG188">
        <v>39.4</v>
      </c>
      <c r="DH188">
        <v>54</v>
      </c>
      <c r="DI188">
        <v>53.5</v>
      </c>
      <c r="DJ188">
        <v>42.2</v>
      </c>
      <c r="DK188">
        <v>37.200000000000003</v>
      </c>
      <c r="DL188">
        <v>54</v>
      </c>
      <c r="DM188">
        <v>51.2</v>
      </c>
      <c r="DN188">
        <v>93.7</v>
      </c>
      <c r="DO188">
        <v>98.8</v>
      </c>
      <c r="DP188">
        <v>94.9</v>
      </c>
      <c r="DQ188">
        <v>98.8</v>
      </c>
      <c r="DR188">
        <v>93.7</v>
      </c>
      <c r="DS188">
        <v>98.8</v>
      </c>
      <c r="DT188">
        <v>94.9</v>
      </c>
      <c r="DU188">
        <v>98.8</v>
      </c>
      <c r="DV188" t="s">
        <v>408</v>
      </c>
    </row>
    <row r="189" spans="1:126" x14ac:dyDescent="0.35">
      <c r="A189" t="s">
        <v>409</v>
      </c>
      <c r="B189">
        <v>230110</v>
      </c>
      <c r="C189" s="1">
        <v>44936</v>
      </c>
      <c r="D189" t="s">
        <v>410</v>
      </c>
      <c r="E189" t="s">
        <v>393</v>
      </c>
      <c r="F189" t="s">
        <v>185</v>
      </c>
      <c r="G189" t="s">
        <v>411</v>
      </c>
      <c r="H189">
        <v>11516</v>
      </c>
      <c r="I189" s="17">
        <v>6413</v>
      </c>
      <c r="J189" s="17">
        <v>1040</v>
      </c>
      <c r="K189">
        <v>295</v>
      </c>
      <c r="L189">
        <v>2602</v>
      </c>
      <c r="M189">
        <v>8828</v>
      </c>
      <c r="N189">
        <v>9310</v>
      </c>
      <c r="O189">
        <v>10163</v>
      </c>
      <c r="P189">
        <v>2206</v>
      </c>
      <c r="Q189">
        <v>1353</v>
      </c>
      <c r="R189">
        <v>11516</v>
      </c>
      <c r="S189">
        <v>6413</v>
      </c>
      <c r="T189">
        <v>1040</v>
      </c>
      <c r="U189">
        <v>295</v>
      </c>
      <c r="V189">
        <v>2602</v>
      </c>
      <c r="W189">
        <v>8828</v>
      </c>
      <c r="X189">
        <v>9310</v>
      </c>
      <c r="Y189">
        <v>10163</v>
      </c>
      <c r="Z189">
        <v>2206</v>
      </c>
      <c r="AA189">
        <v>1353</v>
      </c>
      <c r="AB189">
        <v>0</v>
      </c>
      <c r="AC189">
        <v>0</v>
      </c>
      <c r="AD189">
        <v>0</v>
      </c>
      <c r="AE189">
        <v>0</v>
      </c>
      <c r="AF189">
        <v>0</v>
      </c>
      <c r="AG189">
        <v>0</v>
      </c>
      <c r="AH189">
        <v>0</v>
      </c>
      <c r="AI189">
        <v>0</v>
      </c>
      <c r="AJ189">
        <v>0</v>
      </c>
      <c r="AK189">
        <v>0</v>
      </c>
      <c r="AL189">
        <v>490</v>
      </c>
      <c r="AM189">
        <v>250</v>
      </c>
      <c r="AN189">
        <v>31</v>
      </c>
      <c r="AO189">
        <v>159</v>
      </c>
      <c r="AP189">
        <v>18</v>
      </c>
      <c r="AQ189">
        <v>247</v>
      </c>
      <c r="AR189">
        <v>427</v>
      </c>
      <c r="AS189">
        <v>437</v>
      </c>
      <c r="AT189">
        <v>63</v>
      </c>
      <c r="AU189">
        <v>53</v>
      </c>
      <c r="AV189">
        <v>100</v>
      </c>
      <c r="AW189">
        <v>55.7</v>
      </c>
      <c r="AX189">
        <v>9</v>
      </c>
      <c r="AY189">
        <v>2.6</v>
      </c>
      <c r="AZ189">
        <v>22.6</v>
      </c>
      <c r="BA189">
        <v>76.7</v>
      </c>
      <c r="BB189">
        <v>80.8</v>
      </c>
      <c r="BC189">
        <v>88.3</v>
      </c>
      <c r="BD189">
        <v>19.2</v>
      </c>
      <c r="BE189">
        <v>11.7</v>
      </c>
      <c r="BF189">
        <v>100</v>
      </c>
      <c r="BG189">
        <v>55.7</v>
      </c>
      <c r="BH189">
        <v>9</v>
      </c>
      <c r="BI189">
        <v>2.6</v>
      </c>
      <c r="BJ189">
        <v>22.6</v>
      </c>
      <c r="BK189">
        <v>76.7</v>
      </c>
      <c r="BL189">
        <v>80.8</v>
      </c>
      <c r="BM189">
        <v>88.3</v>
      </c>
      <c r="BN189">
        <v>19.2</v>
      </c>
      <c r="BO189">
        <v>11.7</v>
      </c>
      <c r="BP189">
        <v>0</v>
      </c>
      <c r="BQ189">
        <v>0</v>
      </c>
      <c r="BR189">
        <v>0</v>
      </c>
      <c r="BS189">
        <v>0</v>
      </c>
      <c r="BT189">
        <v>0</v>
      </c>
      <c r="BU189">
        <v>0</v>
      </c>
      <c r="BV189">
        <v>0</v>
      </c>
      <c r="BW189">
        <v>0</v>
      </c>
      <c r="BX189">
        <v>0</v>
      </c>
      <c r="BY189">
        <v>0</v>
      </c>
      <c r="BZ189">
        <v>65</v>
      </c>
      <c r="CA189">
        <v>29</v>
      </c>
      <c r="CB189">
        <v>10</v>
      </c>
      <c r="CC189">
        <v>7</v>
      </c>
      <c r="CD189">
        <v>16</v>
      </c>
      <c r="CE189">
        <v>15</v>
      </c>
      <c r="CF189">
        <v>50</v>
      </c>
      <c r="CG189">
        <v>29</v>
      </c>
      <c r="CH189">
        <v>65</v>
      </c>
      <c r="CI189">
        <v>29</v>
      </c>
      <c r="CJ189">
        <v>10</v>
      </c>
      <c r="CK189">
        <v>7</v>
      </c>
      <c r="CL189">
        <v>16</v>
      </c>
      <c r="CM189">
        <v>15</v>
      </c>
      <c r="CN189">
        <v>50</v>
      </c>
      <c r="CO189">
        <v>29</v>
      </c>
      <c r="CP189">
        <v>0</v>
      </c>
      <c r="CQ189">
        <v>0</v>
      </c>
      <c r="CR189">
        <v>0</v>
      </c>
      <c r="CS189">
        <v>0</v>
      </c>
      <c r="CT189">
        <v>0</v>
      </c>
      <c r="CU189">
        <v>0</v>
      </c>
      <c r="CV189">
        <v>0</v>
      </c>
      <c r="CW189">
        <v>0</v>
      </c>
      <c r="CX189">
        <v>22</v>
      </c>
      <c r="CY189">
        <v>51.4</v>
      </c>
      <c r="CZ189">
        <v>35.1</v>
      </c>
      <c r="DA189">
        <v>73.3</v>
      </c>
      <c r="DB189">
        <v>22</v>
      </c>
      <c r="DC189">
        <v>51.4</v>
      </c>
      <c r="DD189">
        <v>35</v>
      </c>
      <c r="DE189">
        <v>72.2</v>
      </c>
      <c r="DF189">
        <v>22</v>
      </c>
      <c r="DG189">
        <v>51.4</v>
      </c>
      <c r="DH189">
        <v>35.1</v>
      </c>
      <c r="DI189">
        <v>73.3</v>
      </c>
      <c r="DJ189">
        <v>22</v>
      </c>
      <c r="DK189">
        <v>51.4</v>
      </c>
      <c r="DL189">
        <v>35</v>
      </c>
      <c r="DM189">
        <v>72.2</v>
      </c>
      <c r="DN189">
        <v>0</v>
      </c>
      <c r="DO189">
        <v>0</v>
      </c>
      <c r="DP189">
        <v>0</v>
      </c>
      <c r="DQ189">
        <v>0</v>
      </c>
      <c r="DR189">
        <v>0</v>
      </c>
      <c r="DS189">
        <v>0</v>
      </c>
      <c r="DT189">
        <v>0</v>
      </c>
      <c r="DU189">
        <v>0</v>
      </c>
      <c r="DV189" t="s">
        <v>412</v>
      </c>
    </row>
    <row r="190" spans="1:126" x14ac:dyDescent="0.35">
      <c r="A190" t="s">
        <v>409</v>
      </c>
      <c r="B190">
        <v>230103</v>
      </c>
      <c r="C190" s="1">
        <v>44929</v>
      </c>
      <c r="D190" t="s">
        <v>410</v>
      </c>
      <c r="E190" t="s">
        <v>393</v>
      </c>
      <c r="F190" t="s">
        <v>185</v>
      </c>
      <c r="G190" t="s">
        <v>411</v>
      </c>
      <c r="H190">
        <v>11026</v>
      </c>
      <c r="I190" s="17">
        <v>6163</v>
      </c>
      <c r="J190" s="17">
        <v>1009</v>
      </c>
      <c r="K190">
        <v>136</v>
      </c>
      <c r="L190">
        <v>2584</v>
      </c>
      <c r="M190">
        <v>8581</v>
      </c>
      <c r="N190">
        <v>8883</v>
      </c>
      <c r="O190">
        <v>9726</v>
      </c>
      <c r="P190">
        <v>2143</v>
      </c>
      <c r="Q190">
        <v>1300</v>
      </c>
      <c r="R190">
        <v>11026</v>
      </c>
      <c r="S190">
        <v>6163</v>
      </c>
      <c r="T190">
        <v>1009</v>
      </c>
      <c r="U190">
        <v>136</v>
      </c>
      <c r="V190">
        <v>2584</v>
      </c>
      <c r="W190">
        <v>8581</v>
      </c>
      <c r="X190">
        <v>8883</v>
      </c>
      <c r="Y190">
        <v>9726</v>
      </c>
      <c r="Z190">
        <v>2143</v>
      </c>
      <c r="AA190">
        <v>1300</v>
      </c>
      <c r="AB190">
        <v>0</v>
      </c>
      <c r="AC190">
        <v>0</v>
      </c>
      <c r="AD190">
        <v>0</v>
      </c>
      <c r="AE190">
        <v>0</v>
      </c>
      <c r="AF190">
        <v>0</v>
      </c>
      <c r="AG190">
        <v>0</v>
      </c>
      <c r="AH190">
        <v>0</v>
      </c>
      <c r="AI190">
        <v>0</v>
      </c>
      <c r="AJ190">
        <v>0</v>
      </c>
      <c r="AK190">
        <v>0</v>
      </c>
      <c r="AL190">
        <v>21</v>
      </c>
      <c r="AM190">
        <v>105</v>
      </c>
      <c r="AN190">
        <v>-31</v>
      </c>
      <c r="AO190">
        <v>56</v>
      </c>
      <c r="AP190">
        <v>-21</v>
      </c>
      <c r="AQ190">
        <v>32</v>
      </c>
      <c r="AR190">
        <v>140</v>
      </c>
      <c r="AS190">
        <v>57</v>
      </c>
      <c r="AT190">
        <v>-119</v>
      </c>
      <c r="AU190">
        <v>-36</v>
      </c>
      <c r="AV190">
        <v>100</v>
      </c>
      <c r="AW190">
        <v>55.9</v>
      </c>
      <c r="AX190">
        <v>9.1999999999999993</v>
      </c>
      <c r="AY190">
        <v>1.2</v>
      </c>
      <c r="AZ190">
        <v>23.4</v>
      </c>
      <c r="BA190">
        <v>77.8</v>
      </c>
      <c r="BB190">
        <v>80.599999999999994</v>
      </c>
      <c r="BC190">
        <v>88.2</v>
      </c>
      <c r="BD190">
        <v>19.399999999999999</v>
      </c>
      <c r="BE190">
        <v>11.8</v>
      </c>
      <c r="BF190">
        <v>100</v>
      </c>
      <c r="BG190">
        <v>55.9</v>
      </c>
      <c r="BH190">
        <v>9.1999999999999993</v>
      </c>
      <c r="BI190">
        <v>1.2</v>
      </c>
      <c r="BJ190">
        <v>23.4</v>
      </c>
      <c r="BK190">
        <v>77.8</v>
      </c>
      <c r="BL190">
        <v>80.599999999999994</v>
      </c>
      <c r="BM190">
        <v>88.2</v>
      </c>
      <c r="BN190">
        <v>19.399999999999999</v>
      </c>
      <c r="BO190">
        <v>11.8</v>
      </c>
      <c r="BP190">
        <v>0</v>
      </c>
      <c r="BQ190">
        <v>0</v>
      </c>
      <c r="BR190">
        <v>0</v>
      </c>
      <c r="BS190">
        <v>0</v>
      </c>
      <c r="BT190">
        <v>0</v>
      </c>
      <c r="BU190">
        <v>0</v>
      </c>
      <c r="BV190">
        <v>0</v>
      </c>
      <c r="BW190">
        <v>0</v>
      </c>
      <c r="BX190">
        <v>0</v>
      </c>
      <c r="BY190">
        <v>0</v>
      </c>
      <c r="BZ190">
        <v>63</v>
      </c>
      <c r="CA190">
        <v>28</v>
      </c>
      <c r="CB190">
        <v>10</v>
      </c>
      <c r="CC190">
        <v>5</v>
      </c>
      <c r="CD190">
        <v>15</v>
      </c>
      <c r="CE190">
        <v>12</v>
      </c>
      <c r="CF190">
        <v>47</v>
      </c>
      <c r="CG190">
        <v>24</v>
      </c>
      <c r="CH190">
        <v>63</v>
      </c>
      <c r="CI190">
        <v>28</v>
      </c>
      <c r="CJ190">
        <v>10</v>
      </c>
      <c r="CK190">
        <v>5</v>
      </c>
      <c r="CL190">
        <v>15</v>
      </c>
      <c r="CM190">
        <v>12</v>
      </c>
      <c r="CN190">
        <v>47</v>
      </c>
      <c r="CO190">
        <v>24</v>
      </c>
      <c r="CP190">
        <v>0</v>
      </c>
      <c r="CQ190">
        <v>0</v>
      </c>
      <c r="CR190">
        <v>0</v>
      </c>
      <c r="CS190">
        <v>0</v>
      </c>
      <c r="CT190">
        <v>0</v>
      </c>
      <c r="CU190">
        <v>0</v>
      </c>
      <c r="CV190">
        <v>0</v>
      </c>
      <c r="CW190">
        <v>0</v>
      </c>
      <c r="CX190">
        <v>22.4</v>
      </c>
      <c r="CY190">
        <v>53.7</v>
      </c>
      <c r="CZ190">
        <v>35.4</v>
      </c>
      <c r="DA190">
        <v>75.7</v>
      </c>
      <c r="DB190">
        <v>22.4</v>
      </c>
      <c r="DC190">
        <v>53.7</v>
      </c>
      <c r="DD190">
        <v>35.4</v>
      </c>
      <c r="DE190">
        <v>75.400000000000006</v>
      </c>
      <c r="DF190">
        <v>22.4</v>
      </c>
      <c r="DG190">
        <v>53.7</v>
      </c>
      <c r="DH190">
        <v>35.4</v>
      </c>
      <c r="DI190">
        <v>75.7</v>
      </c>
      <c r="DJ190">
        <v>22.4</v>
      </c>
      <c r="DK190">
        <v>53.7</v>
      </c>
      <c r="DL190">
        <v>35.4</v>
      </c>
      <c r="DM190">
        <v>75.400000000000006</v>
      </c>
      <c r="DN190">
        <v>0</v>
      </c>
      <c r="DO190">
        <v>0</v>
      </c>
      <c r="DP190">
        <v>0</v>
      </c>
      <c r="DQ190">
        <v>0</v>
      </c>
      <c r="DR190">
        <v>0</v>
      </c>
      <c r="DS190">
        <v>0</v>
      </c>
      <c r="DT190">
        <v>0</v>
      </c>
      <c r="DU190">
        <v>0</v>
      </c>
      <c r="DV190" t="s">
        <v>412</v>
      </c>
    </row>
    <row r="191" spans="1:126" x14ac:dyDescent="0.35">
      <c r="A191" t="s">
        <v>413</v>
      </c>
      <c r="B191">
        <v>230110</v>
      </c>
      <c r="C191" s="1">
        <v>44936</v>
      </c>
      <c r="D191" t="s">
        <v>414</v>
      </c>
      <c r="E191" t="s">
        <v>164</v>
      </c>
      <c r="F191" t="s">
        <v>165</v>
      </c>
      <c r="G191" t="s">
        <v>415</v>
      </c>
      <c r="H191">
        <v>2319897</v>
      </c>
      <c r="I191" s="17">
        <v>220701</v>
      </c>
      <c r="J191" s="17">
        <v>676752</v>
      </c>
      <c r="K191">
        <v>42804</v>
      </c>
      <c r="L191">
        <v>1857300</v>
      </c>
      <c r="M191">
        <v>1404828</v>
      </c>
      <c r="N191">
        <v>2120805</v>
      </c>
      <c r="O191">
        <v>2124384</v>
      </c>
      <c r="P191">
        <v>199092</v>
      </c>
      <c r="Q191">
        <v>195513</v>
      </c>
      <c r="R191">
        <v>2319897</v>
      </c>
      <c r="S191">
        <v>220701</v>
      </c>
      <c r="T191">
        <v>676752</v>
      </c>
      <c r="U191">
        <v>42804</v>
      </c>
      <c r="V191">
        <v>1857300</v>
      </c>
      <c r="W191">
        <v>1404828</v>
      </c>
      <c r="X191">
        <v>2120805</v>
      </c>
      <c r="Y191">
        <v>2124384</v>
      </c>
      <c r="Z191">
        <v>199092</v>
      </c>
      <c r="AA191">
        <v>195513</v>
      </c>
      <c r="AB191">
        <v>0</v>
      </c>
      <c r="AC191">
        <v>0</v>
      </c>
      <c r="AD191">
        <v>0</v>
      </c>
      <c r="AE191">
        <v>0</v>
      </c>
      <c r="AF191">
        <v>0</v>
      </c>
      <c r="AG191">
        <v>0</v>
      </c>
      <c r="AH191">
        <v>0</v>
      </c>
      <c r="AI191">
        <v>0</v>
      </c>
      <c r="AJ191">
        <v>0</v>
      </c>
      <c r="AK191">
        <v>0</v>
      </c>
      <c r="AL191">
        <v>100085</v>
      </c>
      <c r="AM191">
        <v>42264</v>
      </c>
      <c r="AN191">
        <v>-23193</v>
      </c>
      <c r="AO191">
        <v>-4031</v>
      </c>
      <c r="AP191">
        <v>55461</v>
      </c>
      <c r="AQ191">
        <v>127927</v>
      </c>
      <c r="AR191">
        <v>93694</v>
      </c>
      <c r="AS191">
        <v>100703</v>
      </c>
      <c r="AT191">
        <v>6391</v>
      </c>
      <c r="AU191">
        <v>-618</v>
      </c>
      <c r="AV191">
        <v>100</v>
      </c>
      <c r="AW191">
        <v>9.5</v>
      </c>
      <c r="AX191">
        <v>29.2</v>
      </c>
      <c r="AY191">
        <v>1.8</v>
      </c>
      <c r="AZ191">
        <v>80.099999999999994</v>
      </c>
      <c r="BA191">
        <v>60.6</v>
      </c>
      <c r="BB191">
        <v>91.4</v>
      </c>
      <c r="BC191">
        <v>91.6</v>
      </c>
      <c r="BD191">
        <v>8.6</v>
      </c>
      <c r="BE191">
        <v>8.4</v>
      </c>
      <c r="BF191">
        <v>100</v>
      </c>
      <c r="BG191">
        <v>9.5</v>
      </c>
      <c r="BH191">
        <v>29.2</v>
      </c>
      <c r="BI191">
        <v>1.8</v>
      </c>
      <c r="BJ191">
        <v>80.099999999999994</v>
      </c>
      <c r="BK191">
        <v>60.6</v>
      </c>
      <c r="BL191">
        <v>91.4</v>
      </c>
      <c r="BM191">
        <v>91.6</v>
      </c>
      <c r="BN191">
        <v>8.6</v>
      </c>
      <c r="BO191">
        <v>8.4</v>
      </c>
      <c r="BP191">
        <v>0</v>
      </c>
      <c r="BQ191">
        <v>0</v>
      </c>
      <c r="BR191">
        <v>0</v>
      </c>
      <c r="BS191">
        <v>0</v>
      </c>
      <c r="BT191">
        <v>0</v>
      </c>
      <c r="BU191">
        <v>0</v>
      </c>
      <c r="BV191">
        <v>0</v>
      </c>
      <c r="BW191">
        <v>0</v>
      </c>
      <c r="BX191">
        <v>0</v>
      </c>
      <c r="BY191">
        <v>0</v>
      </c>
      <c r="BZ191">
        <v>362</v>
      </c>
      <c r="CA191">
        <v>50</v>
      </c>
      <c r="CB191">
        <v>61</v>
      </c>
      <c r="CC191">
        <v>26</v>
      </c>
      <c r="CD191">
        <v>169</v>
      </c>
      <c r="CE191">
        <v>179</v>
      </c>
      <c r="CF191">
        <v>233</v>
      </c>
      <c r="CG191">
        <v>252</v>
      </c>
      <c r="CH191">
        <v>362</v>
      </c>
      <c r="CI191">
        <v>50</v>
      </c>
      <c r="CJ191">
        <v>61</v>
      </c>
      <c r="CK191">
        <v>26</v>
      </c>
      <c r="CL191">
        <v>169</v>
      </c>
      <c r="CM191">
        <v>179</v>
      </c>
      <c r="CN191">
        <v>233</v>
      </c>
      <c r="CO191">
        <v>252</v>
      </c>
      <c r="CP191">
        <v>0</v>
      </c>
      <c r="CQ191">
        <v>0</v>
      </c>
      <c r="CR191">
        <v>0</v>
      </c>
      <c r="CS191">
        <v>0</v>
      </c>
      <c r="CT191">
        <v>0</v>
      </c>
      <c r="CU191">
        <v>0</v>
      </c>
      <c r="CV191">
        <v>0</v>
      </c>
      <c r="CW191">
        <v>0</v>
      </c>
      <c r="CX191">
        <v>22.1</v>
      </c>
      <c r="CY191">
        <v>21.5</v>
      </c>
      <c r="CZ191">
        <v>32.799999999999997</v>
      </c>
      <c r="DA191">
        <v>31.6</v>
      </c>
      <c r="DB191">
        <v>20.399999999999999</v>
      </c>
      <c r="DC191">
        <v>20.6</v>
      </c>
      <c r="DD191">
        <v>29</v>
      </c>
      <c r="DE191">
        <v>29.5</v>
      </c>
      <c r="DF191">
        <v>22.1</v>
      </c>
      <c r="DG191">
        <v>21.5</v>
      </c>
      <c r="DH191">
        <v>32.799999999999997</v>
      </c>
      <c r="DI191">
        <v>31.6</v>
      </c>
      <c r="DJ191">
        <v>20.399999999999999</v>
      </c>
      <c r="DK191">
        <v>20.6</v>
      </c>
      <c r="DL191">
        <v>29</v>
      </c>
      <c r="DM191">
        <v>29.5</v>
      </c>
      <c r="DN191">
        <v>0</v>
      </c>
      <c r="DO191">
        <v>0</v>
      </c>
      <c r="DP191">
        <v>0</v>
      </c>
      <c r="DQ191">
        <v>0</v>
      </c>
      <c r="DR191">
        <v>0</v>
      </c>
      <c r="DS191">
        <v>0</v>
      </c>
      <c r="DT191">
        <v>0</v>
      </c>
      <c r="DU191">
        <v>0</v>
      </c>
      <c r="DV191" t="s">
        <v>416</v>
      </c>
    </row>
    <row r="192" spans="1:126" x14ac:dyDescent="0.35">
      <c r="A192" t="s">
        <v>413</v>
      </c>
      <c r="B192">
        <v>230103</v>
      </c>
      <c r="C192" s="1">
        <v>44929</v>
      </c>
      <c r="D192" t="s">
        <v>414</v>
      </c>
      <c r="E192" t="s">
        <v>164</v>
      </c>
      <c r="F192" t="s">
        <v>165</v>
      </c>
      <c r="G192" t="s">
        <v>415</v>
      </c>
      <c r="H192">
        <v>2219812</v>
      </c>
      <c r="I192" s="17">
        <v>178437</v>
      </c>
      <c r="J192" s="17">
        <v>699945</v>
      </c>
      <c r="K192">
        <v>46835</v>
      </c>
      <c r="L192">
        <v>1801839</v>
      </c>
      <c r="M192">
        <v>1276901</v>
      </c>
      <c r="N192">
        <v>2027111</v>
      </c>
      <c r="O192">
        <v>2023681</v>
      </c>
      <c r="P192">
        <v>192701</v>
      </c>
      <c r="Q192">
        <v>196131</v>
      </c>
      <c r="R192">
        <v>2219812</v>
      </c>
      <c r="S192">
        <v>178437</v>
      </c>
      <c r="T192">
        <v>699945</v>
      </c>
      <c r="U192">
        <v>46835</v>
      </c>
      <c r="V192">
        <v>1801839</v>
      </c>
      <c r="W192">
        <v>1276901</v>
      </c>
      <c r="X192">
        <v>2027111</v>
      </c>
      <c r="Y192">
        <v>2023681</v>
      </c>
      <c r="Z192">
        <v>192701</v>
      </c>
      <c r="AA192">
        <v>196131</v>
      </c>
      <c r="AB192">
        <v>0</v>
      </c>
      <c r="AC192">
        <v>0</v>
      </c>
      <c r="AD192">
        <v>0</v>
      </c>
      <c r="AE192">
        <v>0</v>
      </c>
      <c r="AF192">
        <v>0</v>
      </c>
      <c r="AG192">
        <v>0</v>
      </c>
      <c r="AH192">
        <v>0</v>
      </c>
      <c r="AI192">
        <v>0</v>
      </c>
      <c r="AJ192">
        <v>0</v>
      </c>
      <c r="AK192">
        <v>0</v>
      </c>
      <c r="AL192">
        <v>-15038</v>
      </c>
      <c r="AM192">
        <v>-10610</v>
      </c>
      <c r="AN192">
        <v>-39747</v>
      </c>
      <c r="AO192">
        <v>950</v>
      </c>
      <c r="AP192">
        <v>-13026</v>
      </c>
      <c r="AQ192">
        <v>5526</v>
      </c>
      <c r="AR192">
        <v>-22686</v>
      </c>
      <c r="AS192">
        <v>-33271</v>
      </c>
      <c r="AT192">
        <v>7648</v>
      </c>
      <c r="AU192">
        <v>18233</v>
      </c>
      <c r="AV192">
        <v>100</v>
      </c>
      <c r="AW192">
        <v>8</v>
      </c>
      <c r="AX192">
        <v>31.5</v>
      </c>
      <c r="AY192">
        <v>2.1</v>
      </c>
      <c r="AZ192">
        <v>81.2</v>
      </c>
      <c r="BA192">
        <v>57.5</v>
      </c>
      <c r="BB192">
        <v>91.3</v>
      </c>
      <c r="BC192">
        <v>91.2</v>
      </c>
      <c r="BD192">
        <v>8.6999999999999993</v>
      </c>
      <c r="BE192">
        <v>8.8000000000000007</v>
      </c>
      <c r="BF192">
        <v>100</v>
      </c>
      <c r="BG192">
        <v>8</v>
      </c>
      <c r="BH192">
        <v>31.5</v>
      </c>
      <c r="BI192">
        <v>2.1</v>
      </c>
      <c r="BJ192">
        <v>81.2</v>
      </c>
      <c r="BK192">
        <v>57.5</v>
      </c>
      <c r="BL192">
        <v>91.3</v>
      </c>
      <c r="BM192">
        <v>91.2</v>
      </c>
      <c r="BN192">
        <v>8.6999999999999993</v>
      </c>
      <c r="BO192">
        <v>8.8000000000000007</v>
      </c>
      <c r="BP192">
        <v>0</v>
      </c>
      <c r="BQ192">
        <v>0</v>
      </c>
      <c r="BR192">
        <v>0</v>
      </c>
      <c r="BS192">
        <v>0</v>
      </c>
      <c r="BT192">
        <v>0</v>
      </c>
      <c r="BU192">
        <v>0</v>
      </c>
      <c r="BV192">
        <v>0</v>
      </c>
      <c r="BW192">
        <v>0</v>
      </c>
      <c r="BX192">
        <v>0</v>
      </c>
      <c r="BY192">
        <v>0</v>
      </c>
      <c r="BZ192">
        <v>356</v>
      </c>
      <c r="CA192">
        <v>42</v>
      </c>
      <c r="CB192">
        <v>67</v>
      </c>
      <c r="CC192">
        <v>28</v>
      </c>
      <c r="CD192">
        <v>169</v>
      </c>
      <c r="CE192">
        <v>175</v>
      </c>
      <c r="CF192">
        <v>229</v>
      </c>
      <c r="CG192">
        <v>252</v>
      </c>
      <c r="CH192">
        <v>356</v>
      </c>
      <c r="CI192">
        <v>42</v>
      </c>
      <c r="CJ192">
        <v>67</v>
      </c>
      <c r="CK192">
        <v>28</v>
      </c>
      <c r="CL192">
        <v>169</v>
      </c>
      <c r="CM192">
        <v>175</v>
      </c>
      <c r="CN192">
        <v>229</v>
      </c>
      <c r="CO192">
        <v>252</v>
      </c>
      <c r="CP192">
        <v>0</v>
      </c>
      <c r="CQ192">
        <v>0</v>
      </c>
      <c r="CR192">
        <v>0</v>
      </c>
      <c r="CS192">
        <v>0</v>
      </c>
      <c r="CT192">
        <v>0</v>
      </c>
      <c r="CU192">
        <v>0</v>
      </c>
      <c r="CV192">
        <v>0</v>
      </c>
      <c r="CW192">
        <v>0</v>
      </c>
      <c r="CX192">
        <v>20.8</v>
      </c>
      <c r="CY192">
        <v>22.3</v>
      </c>
      <c r="CZ192">
        <v>31.3</v>
      </c>
      <c r="DA192">
        <v>32.4</v>
      </c>
      <c r="DB192">
        <v>19.2</v>
      </c>
      <c r="DC192">
        <v>20.9</v>
      </c>
      <c r="DD192">
        <v>26.7</v>
      </c>
      <c r="DE192">
        <v>29.2</v>
      </c>
      <c r="DF192">
        <v>20.8</v>
      </c>
      <c r="DG192">
        <v>22.3</v>
      </c>
      <c r="DH192">
        <v>31.3</v>
      </c>
      <c r="DI192">
        <v>32.4</v>
      </c>
      <c r="DJ192">
        <v>19.2</v>
      </c>
      <c r="DK192">
        <v>20.9</v>
      </c>
      <c r="DL192">
        <v>26.7</v>
      </c>
      <c r="DM192">
        <v>29.2</v>
      </c>
      <c r="DN192">
        <v>0</v>
      </c>
      <c r="DO192">
        <v>0</v>
      </c>
      <c r="DP192">
        <v>0</v>
      </c>
      <c r="DQ192">
        <v>0</v>
      </c>
      <c r="DR192">
        <v>0</v>
      </c>
      <c r="DS192">
        <v>0</v>
      </c>
      <c r="DT192">
        <v>0</v>
      </c>
      <c r="DU192">
        <v>0</v>
      </c>
      <c r="DV192" t="s">
        <v>416</v>
      </c>
    </row>
    <row r="193" spans="1:126" x14ac:dyDescent="0.35">
      <c r="A193" t="s">
        <v>417</v>
      </c>
      <c r="B193">
        <v>230110</v>
      </c>
      <c r="C193" s="1">
        <v>44936</v>
      </c>
      <c r="D193" t="s">
        <v>418</v>
      </c>
      <c r="E193" t="s">
        <v>164</v>
      </c>
      <c r="F193" t="s">
        <v>165</v>
      </c>
      <c r="G193" t="s">
        <v>419</v>
      </c>
      <c r="H193">
        <v>3894938</v>
      </c>
      <c r="I193" s="17">
        <v>355989</v>
      </c>
      <c r="J193" s="17">
        <v>767347</v>
      </c>
      <c r="K193">
        <v>93294</v>
      </c>
      <c r="L193">
        <v>3095025</v>
      </c>
      <c r="M193">
        <v>2606571</v>
      </c>
      <c r="N193">
        <v>3544308</v>
      </c>
      <c r="O193">
        <v>3467212</v>
      </c>
      <c r="P193">
        <v>350630</v>
      </c>
      <c r="Q193">
        <v>427726</v>
      </c>
      <c r="R193">
        <v>3894938</v>
      </c>
      <c r="S193">
        <v>355989</v>
      </c>
      <c r="T193">
        <v>767347</v>
      </c>
      <c r="U193">
        <v>93294</v>
      </c>
      <c r="V193">
        <v>3095025</v>
      </c>
      <c r="W193">
        <v>2606571</v>
      </c>
      <c r="X193">
        <v>3544308</v>
      </c>
      <c r="Y193">
        <v>3467212</v>
      </c>
      <c r="Z193">
        <v>350630</v>
      </c>
      <c r="AA193">
        <v>427726</v>
      </c>
      <c r="AB193">
        <v>0</v>
      </c>
      <c r="AC193">
        <v>0</v>
      </c>
      <c r="AD193">
        <v>0</v>
      </c>
      <c r="AE193">
        <v>0</v>
      </c>
      <c r="AF193">
        <v>0</v>
      </c>
      <c r="AG193">
        <v>0</v>
      </c>
      <c r="AH193">
        <v>0</v>
      </c>
      <c r="AI193">
        <v>0</v>
      </c>
      <c r="AJ193">
        <v>0</v>
      </c>
      <c r="AK193">
        <v>0</v>
      </c>
      <c r="AL193">
        <v>43847</v>
      </c>
      <c r="AM193">
        <v>-49792</v>
      </c>
      <c r="AN193">
        <v>-22036</v>
      </c>
      <c r="AO193">
        <v>-5648</v>
      </c>
      <c r="AP193">
        <v>91725</v>
      </c>
      <c r="AQ193">
        <v>70714</v>
      </c>
      <c r="AR193">
        <v>36285</v>
      </c>
      <c r="AS193">
        <v>43030</v>
      </c>
      <c r="AT193">
        <v>7562</v>
      </c>
      <c r="AU193">
        <v>817</v>
      </c>
      <c r="AV193">
        <v>100</v>
      </c>
      <c r="AW193">
        <v>9.1</v>
      </c>
      <c r="AX193">
        <v>19.7</v>
      </c>
      <c r="AY193">
        <v>2.4</v>
      </c>
      <c r="AZ193">
        <v>79.5</v>
      </c>
      <c r="BA193">
        <v>66.900000000000006</v>
      </c>
      <c r="BB193">
        <v>91</v>
      </c>
      <c r="BC193">
        <v>89</v>
      </c>
      <c r="BD193">
        <v>9</v>
      </c>
      <c r="BE193">
        <v>11</v>
      </c>
      <c r="BF193">
        <v>100</v>
      </c>
      <c r="BG193">
        <v>9.1</v>
      </c>
      <c r="BH193">
        <v>19.7</v>
      </c>
      <c r="BI193">
        <v>2.4</v>
      </c>
      <c r="BJ193">
        <v>79.5</v>
      </c>
      <c r="BK193">
        <v>66.900000000000006</v>
      </c>
      <c r="BL193">
        <v>91</v>
      </c>
      <c r="BM193">
        <v>89</v>
      </c>
      <c r="BN193">
        <v>9</v>
      </c>
      <c r="BO193">
        <v>11</v>
      </c>
      <c r="BP193">
        <v>0</v>
      </c>
      <c r="BQ193">
        <v>0</v>
      </c>
      <c r="BR193">
        <v>0</v>
      </c>
      <c r="BS193">
        <v>0</v>
      </c>
      <c r="BT193">
        <v>0</v>
      </c>
      <c r="BU193">
        <v>0</v>
      </c>
      <c r="BV193">
        <v>0</v>
      </c>
      <c r="BW193">
        <v>0</v>
      </c>
      <c r="BX193">
        <v>0</v>
      </c>
      <c r="BY193">
        <v>0</v>
      </c>
      <c r="BZ193">
        <v>386</v>
      </c>
      <c r="CA193">
        <v>53</v>
      </c>
      <c r="CB193">
        <v>76</v>
      </c>
      <c r="CC193">
        <v>41</v>
      </c>
      <c r="CD193">
        <v>186</v>
      </c>
      <c r="CE193">
        <v>184</v>
      </c>
      <c r="CF193">
        <v>263</v>
      </c>
      <c r="CG193">
        <v>278</v>
      </c>
      <c r="CH193">
        <v>386</v>
      </c>
      <c r="CI193">
        <v>53</v>
      </c>
      <c r="CJ193">
        <v>76</v>
      </c>
      <c r="CK193">
        <v>41</v>
      </c>
      <c r="CL193">
        <v>186</v>
      </c>
      <c r="CM193">
        <v>184</v>
      </c>
      <c r="CN193">
        <v>263</v>
      </c>
      <c r="CO193">
        <v>278</v>
      </c>
      <c r="CP193">
        <v>0</v>
      </c>
      <c r="CQ193">
        <v>0</v>
      </c>
      <c r="CR193">
        <v>0</v>
      </c>
      <c r="CS193">
        <v>0</v>
      </c>
      <c r="CT193">
        <v>0</v>
      </c>
      <c r="CU193">
        <v>0</v>
      </c>
      <c r="CV193">
        <v>0</v>
      </c>
      <c r="CW193">
        <v>0</v>
      </c>
      <c r="CX193">
        <v>23.6</v>
      </c>
      <c r="CY193">
        <v>20.9</v>
      </c>
      <c r="CZ193">
        <v>35.700000000000003</v>
      </c>
      <c r="DA193">
        <v>30</v>
      </c>
      <c r="DB193">
        <v>18.399999999999999</v>
      </c>
      <c r="DC193">
        <v>17.2</v>
      </c>
      <c r="DD193">
        <v>27.3</v>
      </c>
      <c r="DE193">
        <v>23</v>
      </c>
      <c r="DF193">
        <v>23.6</v>
      </c>
      <c r="DG193">
        <v>20.9</v>
      </c>
      <c r="DH193">
        <v>35.700000000000003</v>
      </c>
      <c r="DI193">
        <v>30</v>
      </c>
      <c r="DJ193">
        <v>18.399999999999999</v>
      </c>
      <c r="DK193">
        <v>17.2</v>
      </c>
      <c r="DL193">
        <v>27.3</v>
      </c>
      <c r="DM193">
        <v>23</v>
      </c>
      <c r="DN193">
        <v>0</v>
      </c>
      <c r="DO193">
        <v>0</v>
      </c>
      <c r="DP193">
        <v>0</v>
      </c>
      <c r="DQ193">
        <v>0</v>
      </c>
      <c r="DR193">
        <v>0</v>
      </c>
      <c r="DS193">
        <v>0</v>
      </c>
      <c r="DT193">
        <v>0</v>
      </c>
      <c r="DU193">
        <v>0</v>
      </c>
      <c r="DV193" t="s">
        <v>259</v>
      </c>
    </row>
    <row r="194" spans="1:126" x14ac:dyDescent="0.35">
      <c r="A194" t="s">
        <v>417</v>
      </c>
      <c r="B194">
        <v>230103</v>
      </c>
      <c r="C194" s="1">
        <v>44929</v>
      </c>
      <c r="D194" t="s">
        <v>418</v>
      </c>
      <c r="E194" t="s">
        <v>164</v>
      </c>
      <c r="F194" t="s">
        <v>165</v>
      </c>
      <c r="G194" t="s">
        <v>419</v>
      </c>
      <c r="H194">
        <v>3851091</v>
      </c>
      <c r="I194" s="17">
        <v>405781</v>
      </c>
      <c r="J194" s="17">
        <v>789383</v>
      </c>
      <c r="K194">
        <v>98942</v>
      </c>
      <c r="L194">
        <v>3003300</v>
      </c>
      <c r="M194">
        <v>2535857</v>
      </c>
      <c r="N194">
        <v>3508023</v>
      </c>
      <c r="O194">
        <v>3424182</v>
      </c>
      <c r="P194">
        <v>343068</v>
      </c>
      <c r="Q194">
        <v>426909</v>
      </c>
      <c r="R194">
        <v>3851091</v>
      </c>
      <c r="S194">
        <v>405781</v>
      </c>
      <c r="T194">
        <v>789383</v>
      </c>
      <c r="U194">
        <v>98942</v>
      </c>
      <c r="V194">
        <v>3003300</v>
      </c>
      <c r="W194">
        <v>2535857</v>
      </c>
      <c r="X194">
        <v>3508023</v>
      </c>
      <c r="Y194">
        <v>3424182</v>
      </c>
      <c r="Z194">
        <v>343068</v>
      </c>
      <c r="AA194">
        <v>426909</v>
      </c>
      <c r="AB194">
        <v>0</v>
      </c>
      <c r="AC194">
        <v>0</v>
      </c>
      <c r="AD194">
        <v>0</v>
      </c>
      <c r="AE194">
        <v>0</v>
      </c>
      <c r="AF194">
        <v>0</v>
      </c>
      <c r="AG194">
        <v>0</v>
      </c>
      <c r="AH194">
        <v>0</v>
      </c>
      <c r="AI194">
        <v>0</v>
      </c>
      <c r="AJ194">
        <v>0</v>
      </c>
      <c r="AK194">
        <v>0</v>
      </c>
      <c r="AL194">
        <v>70177</v>
      </c>
      <c r="AM194">
        <v>-21733</v>
      </c>
      <c r="AN194">
        <v>17660</v>
      </c>
      <c r="AO194">
        <v>8462</v>
      </c>
      <c r="AP194">
        <v>78493</v>
      </c>
      <c r="AQ194">
        <v>24309</v>
      </c>
      <c r="AR194">
        <v>65222</v>
      </c>
      <c r="AS194">
        <v>50431</v>
      </c>
      <c r="AT194">
        <v>4955</v>
      </c>
      <c r="AU194">
        <v>19746</v>
      </c>
      <c r="AV194">
        <v>100</v>
      </c>
      <c r="AW194">
        <v>10.5</v>
      </c>
      <c r="AX194">
        <v>20.5</v>
      </c>
      <c r="AY194">
        <v>2.6</v>
      </c>
      <c r="AZ194">
        <v>78</v>
      </c>
      <c r="BA194">
        <v>65.8</v>
      </c>
      <c r="BB194">
        <v>91.1</v>
      </c>
      <c r="BC194">
        <v>88.9</v>
      </c>
      <c r="BD194">
        <v>8.9</v>
      </c>
      <c r="BE194">
        <v>11.1</v>
      </c>
      <c r="BF194">
        <v>100</v>
      </c>
      <c r="BG194">
        <v>10.5</v>
      </c>
      <c r="BH194">
        <v>20.5</v>
      </c>
      <c r="BI194">
        <v>2.6</v>
      </c>
      <c r="BJ194">
        <v>78</v>
      </c>
      <c r="BK194">
        <v>65.8</v>
      </c>
      <c r="BL194">
        <v>91.1</v>
      </c>
      <c r="BM194">
        <v>88.9</v>
      </c>
      <c r="BN194">
        <v>8.9</v>
      </c>
      <c r="BO194">
        <v>11.1</v>
      </c>
      <c r="BP194">
        <v>0</v>
      </c>
      <c r="BQ194">
        <v>0</v>
      </c>
      <c r="BR194">
        <v>0</v>
      </c>
      <c r="BS194">
        <v>0</v>
      </c>
      <c r="BT194">
        <v>0</v>
      </c>
      <c r="BU194">
        <v>0</v>
      </c>
      <c r="BV194">
        <v>0</v>
      </c>
      <c r="BW194">
        <v>0</v>
      </c>
      <c r="BX194">
        <v>0</v>
      </c>
      <c r="BY194">
        <v>0</v>
      </c>
      <c r="BZ194">
        <v>386</v>
      </c>
      <c r="CA194">
        <v>52</v>
      </c>
      <c r="CB194">
        <v>76</v>
      </c>
      <c r="CC194">
        <v>43</v>
      </c>
      <c r="CD194">
        <v>185</v>
      </c>
      <c r="CE194">
        <v>185</v>
      </c>
      <c r="CF194">
        <v>263</v>
      </c>
      <c r="CG194">
        <v>279</v>
      </c>
      <c r="CH194">
        <v>386</v>
      </c>
      <c r="CI194">
        <v>52</v>
      </c>
      <c r="CJ194">
        <v>76</v>
      </c>
      <c r="CK194">
        <v>43</v>
      </c>
      <c r="CL194">
        <v>185</v>
      </c>
      <c r="CM194">
        <v>185</v>
      </c>
      <c r="CN194">
        <v>263</v>
      </c>
      <c r="CO194">
        <v>279</v>
      </c>
      <c r="CP194">
        <v>0</v>
      </c>
      <c r="CQ194">
        <v>0</v>
      </c>
      <c r="CR194">
        <v>0</v>
      </c>
      <c r="CS194">
        <v>0</v>
      </c>
      <c r="CT194">
        <v>0</v>
      </c>
      <c r="CU194">
        <v>0</v>
      </c>
      <c r="CV194">
        <v>0</v>
      </c>
      <c r="CW194">
        <v>0</v>
      </c>
      <c r="CX194">
        <v>24</v>
      </c>
      <c r="CY194">
        <v>20.100000000000001</v>
      </c>
      <c r="CZ194">
        <v>35.1</v>
      </c>
      <c r="DA194">
        <v>29.2</v>
      </c>
      <c r="DB194">
        <v>19.3</v>
      </c>
      <c r="DC194">
        <v>16.8</v>
      </c>
      <c r="DD194">
        <v>27.5</v>
      </c>
      <c r="DE194">
        <v>22.7</v>
      </c>
      <c r="DF194">
        <v>24</v>
      </c>
      <c r="DG194">
        <v>20.100000000000001</v>
      </c>
      <c r="DH194">
        <v>35.1</v>
      </c>
      <c r="DI194">
        <v>29.2</v>
      </c>
      <c r="DJ194">
        <v>19.3</v>
      </c>
      <c r="DK194">
        <v>16.8</v>
      </c>
      <c r="DL194">
        <v>27.5</v>
      </c>
      <c r="DM194">
        <v>22.7</v>
      </c>
      <c r="DN194">
        <v>0</v>
      </c>
      <c r="DO194">
        <v>0</v>
      </c>
      <c r="DP194">
        <v>0</v>
      </c>
      <c r="DQ194">
        <v>0</v>
      </c>
      <c r="DR194">
        <v>0</v>
      </c>
      <c r="DS194">
        <v>0</v>
      </c>
      <c r="DT194">
        <v>0</v>
      </c>
      <c r="DU194">
        <v>0</v>
      </c>
      <c r="DV194" t="s">
        <v>259</v>
      </c>
    </row>
    <row r="195" spans="1:126" x14ac:dyDescent="0.35">
      <c r="A195" t="s">
        <v>420</v>
      </c>
      <c r="B195">
        <v>230110</v>
      </c>
      <c r="C195" s="1">
        <v>44936</v>
      </c>
      <c r="D195" t="s">
        <v>421</v>
      </c>
      <c r="E195" t="s">
        <v>164</v>
      </c>
      <c r="F195" t="s">
        <v>165</v>
      </c>
      <c r="G195" t="s">
        <v>419</v>
      </c>
      <c r="H195">
        <v>1448252</v>
      </c>
      <c r="I195" s="17">
        <v>153296</v>
      </c>
      <c r="J195" s="17">
        <v>251566</v>
      </c>
      <c r="K195">
        <v>13356</v>
      </c>
      <c r="L195">
        <v>1138679</v>
      </c>
      <c r="M195">
        <v>945291</v>
      </c>
      <c r="N195">
        <v>1305331</v>
      </c>
      <c r="O195">
        <v>1210213</v>
      </c>
      <c r="P195">
        <v>142921</v>
      </c>
      <c r="Q195">
        <v>238039</v>
      </c>
      <c r="R195">
        <v>1448252</v>
      </c>
      <c r="S195">
        <v>153296</v>
      </c>
      <c r="T195">
        <v>251566</v>
      </c>
      <c r="U195">
        <v>13356</v>
      </c>
      <c r="V195">
        <v>1138679</v>
      </c>
      <c r="W195">
        <v>945291</v>
      </c>
      <c r="X195">
        <v>1305331</v>
      </c>
      <c r="Y195">
        <v>1210213</v>
      </c>
      <c r="Z195">
        <v>142921</v>
      </c>
      <c r="AA195">
        <v>238039</v>
      </c>
      <c r="AB195">
        <v>0</v>
      </c>
      <c r="AC195">
        <v>0</v>
      </c>
      <c r="AD195">
        <v>0</v>
      </c>
      <c r="AE195">
        <v>0</v>
      </c>
      <c r="AF195">
        <v>0</v>
      </c>
      <c r="AG195">
        <v>0</v>
      </c>
      <c r="AH195">
        <v>0</v>
      </c>
      <c r="AI195">
        <v>0</v>
      </c>
      <c r="AJ195">
        <v>0</v>
      </c>
      <c r="AK195">
        <v>0</v>
      </c>
      <c r="AL195">
        <v>25728</v>
      </c>
      <c r="AM195">
        <v>15732</v>
      </c>
      <c r="AN195">
        <v>645</v>
      </c>
      <c r="AO195">
        <v>535</v>
      </c>
      <c r="AP195">
        <v>21448</v>
      </c>
      <c r="AQ195">
        <v>34048</v>
      </c>
      <c r="AR195">
        <v>37715</v>
      </c>
      <c r="AS195">
        <v>35228</v>
      </c>
      <c r="AT195">
        <v>-11987</v>
      </c>
      <c r="AU195">
        <v>-9500</v>
      </c>
      <c r="AV195">
        <v>100</v>
      </c>
      <c r="AW195">
        <v>10.6</v>
      </c>
      <c r="AX195">
        <v>17.399999999999999</v>
      </c>
      <c r="AY195">
        <v>0.9</v>
      </c>
      <c r="AZ195">
        <v>78.599999999999994</v>
      </c>
      <c r="BA195">
        <v>65.3</v>
      </c>
      <c r="BB195">
        <v>90.1</v>
      </c>
      <c r="BC195">
        <v>83.6</v>
      </c>
      <c r="BD195">
        <v>9.9</v>
      </c>
      <c r="BE195">
        <v>16.399999999999999</v>
      </c>
      <c r="BF195">
        <v>100</v>
      </c>
      <c r="BG195">
        <v>10.6</v>
      </c>
      <c r="BH195">
        <v>17.399999999999999</v>
      </c>
      <c r="BI195">
        <v>0.9</v>
      </c>
      <c r="BJ195">
        <v>78.599999999999994</v>
      </c>
      <c r="BK195">
        <v>65.3</v>
      </c>
      <c r="BL195">
        <v>90.1</v>
      </c>
      <c r="BM195">
        <v>83.6</v>
      </c>
      <c r="BN195">
        <v>9.9</v>
      </c>
      <c r="BO195">
        <v>16.399999999999999</v>
      </c>
      <c r="BP195">
        <v>0</v>
      </c>
      <c r="BQ195">
        <v>0</v>
      </c>
      <c r="BR195">
        <v>0</v>
      </c>
      <c r="BS195">
        <v>0</v>
      </c>
      <c r="BT195">
        <v>0</v>
      </c>
      <c r="BU195">
        <v>0</v>
      </c>
      <c r="BV195">
        <v>0</v>
      </c>
      <c r="BW195">
        <v>0</v>
      </c>
      <c r="BX195">
        <v>0</v>
      </c>
      <c r="BY195">
        <v>0</v>
      </c>
      <c r="BZ195">
        <v>151</v>
      </c>
      <c r="CA195">
        <v>17</v>
      </c>
      <c r="CB195">
        <v>22</v>
      </c>
      <c r="CC195">
        <v>11</v>
      </c>
      <c r="CD195">
        <v>83</v>
      </c>
      <c r="CE195">
        <v>90</v>
      </c>
      <c r="CF195">
        <v>106</v>
      </c>
      <c r="CG195">
        <v>117</v>
      </c>
      <c r="CH195">
        <v>151</v>
      </c>
      <c r="CI195">
        <v>17</v>
      </c>
      <c r="CJ195">
        <v>22</v>
      </c>
      <c r="CK195">
        <v>11</v>
      </c>
      <c r="CL195">
        <v>83</v>
      </c>
      <c r="CM195">
        <v>90</v>
      </c>
      <c r="CN195">
        <v>106</v>
      </c>
      <c r="CO195">
        <v>117</v>
      </c>
      <c r="CP195">
        <v>0</v>
      </c>
      <c r="CQ195">
        <v>0</v>
      </c>
      <c r="CR195">
        <v>0</v>
      </c>
      <c r="CS195">
        <v>0</v>
      </c>
      <c r="CT195">
        <v>0</v>
      </c>
      <c r="CU195">
        <v>0</v>
      </c>
      <c r="CV195">
        <v>0</v>
      </c>
      <c r="CW195">
        <v>0</v>
      </c>
      <c r="CX195">
        <v>35.4</v>
      </c>
      <c r="CY195">
        <v>31.9</v>
      </c>
      <c r="CZ195">
        <v>50.1</v>
      </c>
      <c r="DA195">
        <v>44.1</v>
      </c>
      <c r="DB195">
        <v>35.200000000000003</v>
      </c>
      <c r="DC195">
        <v>29.2</v>
      </c>
      <c r="DD195">
        <v>48.2</v>
      </c>
      <c r="DE195">
        <v>40.1</v>
      </c>
      <c r="DF195">
        <v>35.4</v>
      </c>
      <c r="DG195">
        <v>31.9</v>
      </c>
      <c r="DH195">
        <v>50.1</v>
      </c>
      <c r="DI195">
        <v>44.1</v>
      </c>
      <c r="DJ195">
        <v>35.200000000000003</v>
      </c>
      <c r="DK195">
        <v>29.2</v>
      </c>
      <c r="DL195">
        <v>48.2</v>
      </c>
      <c r="DM195">
        <v>40.1</v>
      </c>
      <c r="DN195">
        <v>0</v>
      </c>
      <c r="DO195">
        <v>0</v>
      </c>
      <c r="DP195">
        <v>0</v>
      </c>
      <c r="DQ195">
        <v>0</v>
      </c>
      <c r="DR195">
        <v>0</v>
      </c>
      <c r="DS195">
        <v>0</v>
      </c>
      <c r="DT195">
        <v>0</v>
      </c>
      <c r="DU195">
        <v>0</v>
      </c>
      <c r="DV195" t="s">
        <v>259</v>
      </c>
    </row>
    <row r="196" spans="1:126" x14ac:dyDescent="0.35">
      <c r="A196" t="s">
        <v>420</v>
      </c>
      <c r="B196">
        <v>230103</v>
      </c>
      <c r="C196" s="1">
        <v>44929</v>
      </c>
      <c r="D196" t="s">
        <v>421</v>
      </c>
      <c r="E196" t="s">
        <v>164</v>
      </c>
      <c r="F196" t="s">
        <v>165</v>
      </c>
      <c r="G196" t="s">
        <v>419</v>
      </c>
      <c r="H196">
        <v>1422524</v>
      </c>
      <c r="I196" s="17">
        <v>137564</v>
      </c>
      <c r="J196" s="17">
        <v>250921</v>
      </c>
      <c r="K196">
        <v>12821</v>
      </c>
      <c r="L196">
        <v>1117231</v>
      </c>
      <c r="M196">
        <v>911243</v>
      </c>
      <c r="N196">
        <v>1267616</v>
      </c>
      <c r="O196">
        <v>1174985</v>
      </c>
      <c r="P196">
        <v>154908</v>
      </c>
      <c r="Q196">
        <v>247539</v>
      </c>
      <c r="R196">
        <v>1422524</v>
      </c>
      <c r="S196">
        <v>137564</v>
      </c>
      <c r="T196">
        <v>250921</v>
      </c>
      <c r="U196">
        <v>12821</v>
      </c>
      <c r="V196">
        <v>1117231</v>
      </c>
      <c r="W196">
        <v>911243</v>
      </c>
      <c r="X196">
        <v>1267616</v>
      </c>
      <c r="Y196">
        <v>1174985</v>
      </c>
      <c r="Z196">
        <v>154908</v>
      </c>
      <c r="AA196">
        <v>247539</v>
      </c>
      <c r="AB196">
        <v>0</v>
      </c>
      <c r="AC196">
        <v>0</v>
      </c>
      <c r="AD196">
        <v>0</v>
      </c>
      <c r="AE196">
        <v>0</v>
      </c>
      <c r="AF196">
        <v>0</v>
      </c>
      <c r="AG196">
        <v>0</v>
      </c>
      <c r="AH196">
        <v>0</v>
      </c>
      <c r="AI196">
        <v>0</v>
      </c>
      <c r="AJ196">
        <v>0</v>
      </c>
      <c r="AK196">
        <v>0</v>
      </c>
      <c r="AL196">
        <v>-4219</v>
      </c>
      <c r="AM196">
        <v>-21821</v>
      </c>
      <c r="AN196">
        <v>8270</v>
      </c>
      <c r="AO196">
        <v>1597</v>
      </c>
      <c r="AP196">
        <v>13293</v>
      </c>
      <c r="AQ196">
        <v>-19161</v>
      </c>
      <c r="AR196">
        <v>-6931</v>
      </c>
      <c r="AS196">
        <v>-9294</v>
      </c>
      <c r="AT196">
        <v>2712</v>
      </c>
      <c r="AU196">
        <v>5075</v>
      </c>
      <c r="AV196">
        <v>100</v>
      </c>
      <c r="AW196">
        <v>9.6999999999999993</v>
      </c>
      <c r="AX196">
        <v>17.600000000000001</v>
      </c>
      <c r="AY196">
        <v>0.9</v>
      </c>
      <c r="AZ196">
        <v>78.5</v>
      </c>
      <c r="BA196">
        <v>64.099999999999994</v>
      </c>
      <c r="BB196">
        <v>89.1</v>
      </c>
      <c r="BC196">
        <v>82.6</v>
      </c>
      <c r="BD196">
        <v>10.9</v>
      </c>
      <c r="BE196">
        <v>17.399999999999999</v>
      </c>
      <c r="BF196">
        <v>100</v>
      </c>
      <c r="BG196">
        <v>9.6999999999999993</v>
      </c>
      <c r="BH196">
        <v>17.600000000000001</v>
      </c>
      <c r="BI196">
        <v>0.9</v>
      </c>
      <c r="BJ196">
        <v>78.5</v>
      </c>
      <c r="BK196">
        <v>64.099999999999994</v>
      </c>
      <c r="BL196">
        <v>89.1</v>
      </c>
      <c r="BM196">
        <v>82.6</v>
      </c>
      <c r="BN196">
        <v>10.9</v>
      </c>
      <c r="BO196">
        <v>17.399999999999999</v>
      </c>
      <c r="BP196">
        <v>0</v>
      </c>
      <c r="BQ196">
        <v>0</v>
      </c>
      <c r="BR196">
        <v>0</v>
      </c>
      <c r="BS196">
        <v>0</v>
      </c>
      <c r="BT196">
        <v>0</v>
      </c>
      <c r="BU196">
        <v>0</v>
      </c>
      <c r="BV196">
        <v>0</v>
      </c>
      <c r="BW196">
        <v>0</v>
      </c>
      <c r="BX196">
        <v>0</v>
      </c>
      <c r="BY196">
        <v>0</v>
      </c>
      <c r="BZ196">
        <v>140</v>
      </c>
      <c r="CA196">
        <v>14</v>
      </c>
      <c r="CB196">
        <v>24</v>
      </c>
      <c r="CC196">
        <v>10</v>
      </c>
      <c r="CD196">
        <v>75</v>
      </c>
      <c r="CE196">
        <v>84</v>
      </c>
      <c r="CF196">
        <v>94</v>
      </c>
      <c r="CG196">
        <v>113</v>
      </c>
      <c r="CH196">
        <v>140</v>
      </c>
      <c r="CI196">
        <v>14</v>
      </c>
      <c r="CJ196">
        <v>24</v>
      </c>
      <c r="CK196">
        <v>10</v>
      </c>
      <c r="CL196">
        <v>75</v>
      </c>
      <c r="CM196">
        <v>84</v>
      </c>
      <c r="CN196">
        <v>94</v>
      </c>
      <c r="CO196">
        <v>113</v>
      </c>
      <c r="CP196">
        <v>0</v>
      </c>
      <c r="CQ196">
        <v>0</v>
      </c>
      <c r="CR196">
        <v>0</v>
      </c>
      <c r="CS196">
        <v>0</v>
      </c>
      <c r="CT196">
        <v>0</v>
      </c>
      <c r="CU196">
        <v>0</v>
      </c>
      <c r="CV196">
        <v>0</v>
      </c>
      <c r="CW196">
        <v>0</v>
      </c>
      <c r="CX196">
        <v>35.5</v>
      </c>
      <c r="CY196">
        <v>29.6</v>
      </c>
      <c r="CZ196">
        <v>50.2</v>
      </c>
      <c r="DA196">
        <v>43</v>
      </c>
      <c r="DB196">
        <v>35.200000000000003</v>
      </c>
      <c r="DC196">
        <v>26.5</v>
      </c>
      <c r="DD196">
        <v>48.1</v>
      </c>
      <c r="DE196">
        <v>38.700000000000003</v>
      </c>
      <c r="DF196">
        <v>35.5</v>
      </c>
      <c r="DG196">
        <v>29.6</v>
      </c>
      <c r="DH196">
        <v>50.2</v>
      </c>
      <c r="DI196">
        <v>43</v>
      </c>
      <c r="DJ196">
        <v>35.200000000000003</v>
      </c>
      <c r="DK196">
        <v>26.5</v>
      </c>
      <c r="DL196">
        <v>48.1</v>
      </c>
      <c r="DM196">
        <v>38.700000000000003</v>
      </c>
      <c r="DN196">
        <v>0</v>
      </c>
      <c r="DO196">
        <v>0</v>
      </c>
      <c r="DP196">
        <v>0</v>
      </c>
      <c r="DQ196">
        <v>0</v>
      </c>
      <c r="DR196">
        <v>0</v>
      </c>
      <c r="DS196">
        <v>0</v>
      </c>
      <c r="DT196">
        <v>0</v>
      </c>
      <c r="DU196">
        <v>0</v>
      </c>
      <c r="DV196" t="s">
        <v>259</v>
      </c>
    </row>
    <row r="197" spans="1:126" x14ac:dyDescent="0.35">
      <c r="A197" t="s">
        <v>422</v>
      </c>
      <c r="B197">
        <v>230110</v>
      </c>
      <c r="C197" s="1">
        <v>44936</v>
      </c>
      <c r="D197" t="s">
        <v>423</v>
      </c>
      <c r="E197" t="s">
        <v>164</v>
      </c>
      <c r="F197" t="s">
        <v>165</v>
      </c>
      <c r="G197" t="s">
        <v>419</v>
      </c>
      <c r="H197">
        <v>1974</v>
      </c>
      <c r="I197" s="17">
        <v>978</v>
      </c>
      <c r="J197" s="17">
        <v>1470</v>
      </c>
      <c r="K197">
        <v>0</v>
      </c>
      <c r="L197">
        <v>0</v>
      </c>
      <c r="M197">
        <v>0</v>
      </c>
      <c r="N197">
        <v>978</v>
      </c>
      <c r="O197">
        <v>1470</v>
      </c>
      <c r="P197">
        <v>996</v>
      </c>
      <c r="Q197">
        <v>504</v>
      </c>
      <c r="R197">
        <v>1974</v>
      </c>
      <c r="S197">
        <v>978</v>
      </c>
      <c r="T197">
        <v>1470</v>
      </c>
      <c r="U197">
        <v>0</v>
      </c>
      <c r="V197">
        <v>0</v>
      </c>
      <c r="W197">
        <v>0</v>
      </c>
      <c r="X197">
        <v>978</v>
      </c>
      <c r="Y197">
        <v>1470</v>
      </c>
      <c r="Z197">
        <v>996</v>
      </c>
      <c r="AA197">
        <v>504</v>
      </c>
      <c r="AB197">
        <v>0</v>
      </c>
      <c r="AC197">
        <v>0</v>
      </c>
      <c r="AD197">
        <v>0</v>
      </c>
      <c r="AE197">
        <v>0</v>
      </c>
      <c r="AF197">
        <v>0</v>
      </c>
      <c r="AG197">
        <v>0</v>
      </c>
      <c r="AH197">
        <v>0</v>
      </c>
      <c r="AI197">
        <v>0</v>
      </c>
      <c r="AJ197">
        <v>0</v>
      </c>
      <c r="AK197">
        <v>0</v>
      </c>
      <c r="AV197">
        <v>100</v>
      </c>
      <c r="AW197">
        <v>49.5</v>
      </c>
      <c r="AX197">
        <v>74.5</v>
      </c>
      <c r="AY197">
        <v>0</v>
      </c>
      <c r="AZ197">
        <v>0</v>
      </c>
      <c r="BA197">
        <v>0</v>
      </c>
      <c r="BB197">
        <v>49.5</v>
      </c>
      <c r="BC197">
        <v>74.5</v>
      </c>
      <c r="BD197">
        <v>50.5</v>
      </c>
      <c r="BE197">
        <v>25.5</v>
      </c>
      <c r="BF197">
        <v>100</v>
      </c>
      <c r="BG197">
        <v>49.5</v>
      </c>
      <c r="BH197">
        <v>74.5</v>
      </c>
      <c r="BI197">
        <v>0</v>
      </c>
      <c r="BJ197">
        <v>0</v>
      </c>
      <c r="BK197">
        <v>0</v>
      </c>
      <c r="BL197">
        <v>49.5</v>
      </c>
      <c r="BM197">
        <v>74.5</v>
      </c>
      <c r="BN197">
        <v>50.5</v>
      </c>
      <c r="BO197">
        <v>25.5</v>
      </c>
      <c r="BP197">
        <v>0</v>
      </c>
      <c r="BQ197">
        <v>0</v>
      </c>
      <c r="BR197">
        <v>0</v>
      </c>
      <c r="BS197">
        <v>0</v>
      </c>
      <c r="BT197">
        <v>0</v>
      </c>
      <c r="BU197">
        <v>0</v>
      </c>
      <c r="BV197">
        <v>0</v>
      </c>
      <c r="BW197">
        <v>0</v>
      </c>
      <c r="BX197">
        <v>0</v>
      </c>
      <c r="BY197">
        <v>0</v>
      </c>
      <c r="BZ197">
        <v>20</v>
      </c>
      <c r="CA197">
        <v>15</v>
      </c>
      <c r="CB197">
        <v>5</v>
      </c>
      <c r="CC197">
        <v>0</v>
      </c>
      <c r="CD197">
        <v>0</v>
      </c>
      <c r="CE197">
        <v>0</v>
      </c>
      <c r="CF197">
        <v>15</v>
      </c>
      <c r="CG197">
        <v>5</v>
      </c>
      <c r="CH197">
        <v>20</v>
      </c>
      <c r="CI197">
        <v>15</v>
      </c>
      <c r="CJ197">
        <v>5</v>
      </c>
      <c r="CK197">
        <v>0</v>
      </c>
      <c r="CL197">
        <v>0</v>
      </c>
      <c r="CM197">
        <v>0</v>
      </c>
      <c r="CN197">
        <v>15</v>
      </c>
      <c r="CO197">
        <v>5</v>
      </c>
      <c r="CP197">
        <v>0</v>
      </c>
      <c r="CQ197">
        <v>0</v>
      </c>
      <c r="CR197">
        <v>0</v>
      </c>
      <c r="CS197">
        <v>0</v>
      </c>
      <c r="CT197">
        <v>0</v>
      </c>
      <c r="CU197">
        <v>0</v>
      </c>
      <c r="CV197">
        <v>0</v>
      </c>
      <c r="CW197">
        <v>0</v>
      </c>
      <c r="CX197">
        <v>23.8</v>
      </c>
      <c r="CY197">
        <v>73</v>
      </c>
      <c r="CZ197">
        <v>38</v>
      </c>
      <c r="DA197">
        <v>74.5</v>
      </c>
      <c r="DB197">
        <v>23.8</v>
      </c>
      <c r="DC197">
        <v>73</v>
      </c>
      <c r="DD197">
        <v>38</v>
      </c>
      <c r="DE197">
        <v>74.5</v>
      </c>
      <c r="DF197">
        <v>23.8</v>
      </c>
      <c r="DG197">
        <v>73</v>
      </c>
      <c r="DH197">
        <v>38</v>
      </c>
      <c r="DI197">
        <v>74.5</v>
      </c>
      <c r="DJ197">
        <v>23.8</v>
      </c>
      <c r="DK197">
        <v>73</v>
      </c>
      <c r="DL197">
        <v>38</v>
      </c>
      <c r="DM197">
        <v>74.5</v>
      </c>
      <c r="DN197">
        <v>0</v>
      </c>
      <c r="DO197">
        <v>0</v>
      </c>
      <c r="DP197">
        <v>0</v>
      </c>
      <c r="DQ197">
        <v>0</v>
      </c>
      <c r="DR197">
        <v>0</v>
      </c>
      <c r="DS197">
        <v>0</v>
      </c>
      <c r="DT197">
        <v>0</v>
      </c>
      <c r="DU197">
        <v>0</v>
      </c>
      <c r="DV197" t="s">
        <v>424</v>
      </c>
    </row>
    <row r="198" spans="1:126" x14ac:dyDescent="0.35">
      <c r="A198" t="s">
        <v>425</v>
      </c>
      <c r="B198">
        <v>230110</v>
      </c>
      <c r="C198" s="1">
        <v>44936</v>
      </c>
      <c r="D198" t="s">
        <v>426</v>
      </c>
      <c r="E198" t="s">
        <v>164</v>
      </c>
      <c r="F198" t="s">
        <v>165</v>
      </c>
      <c r="G198" t="s">
        <v>427</v>
      </c>
      <c r="H198">
        <v>4095328</v>
      </c>
      <c r="I198" s="17">
        <v>235968</v>
      </c>
      <c r="J198" s="17">
        <v>859119</v>
      </c>
      <c r="K198">
        <v>61307</v>
      </c>
      <c r="L198">
        <v>3471933</v>
      </c>
      <c r="M198">
        <v>2814289</v>
      </c>
      <c r="N198">
        <v>3769208</v>
      </c>
      <c r="O198">
        <v>3734715</v>
      </c>
      <c r="P198">
        <v>326120</v>
      </c>
      <c r="Q198">
        <v>360613</v>
      </c>
      <c r="R198">
        <v>4095328</v>
      </c>
      <c r="S198">
        <v>235968</v>
      </c>
      <c r="T198">
        <v>859119</v>
      </c>
      <c r="U198">
        <v>61307</v>
      </c>
      <c r="V198">
        <v>3471933</v>
      </c>
      <c r="W198">
        <v>2814289</v>
      </c>
      <c r="X198">
        <v>3769208</v>
      </c>
      <c r="Y198">
        <v>3734715</v>
      </c>
      <c r="Z198">
        <v>326120</v>
      </c>
      <c r="AA198">
        <v>360613</v>
      </c>
      <c r="AB198">
        <v>0</v>
      </c>
      <c r="AC198">
        <v>0</v>
      </c>
      <c r="AD198">
        <v>0</v>
      </c>
      <c r="AE198">
        <v>0</v>
      </c>
      <c r="AF198">
        <v>0</v>
      </c>
      <c r="AG198">
        <v>0</v>
      </c>
      <c r="AH198">
        <v>0</v>
      </c>
      <c r="AI198">
        <v>0</v>
      </c>
      <c r="AJ198">
        <v>0</v>
      </c>
      <c r="AK198">
        <v>0</v>
      </c>
      <c r="AL198">
        <v>-117934</v>
      </c>
      <c r="AM198">
        <v>-54253</v>
      </c>
      <c r="AN198">
        <v>-84021</v>
      </c>
      <c r="AO198">
        <v>8865</v>
      </c>
      <c r="AP198">
        <v>-81549</v>
      </c>
      <c r="AQ198">
        <v>-30135</v>
      </c>
      <c r="AR198">
        <v>-126937</v>
      </c>
      <c r="AS198">
        <v>-105291</v>
      </c>
      <c r="AT198">
        <v>9003</v>
      </c>
      <c r="AU198">
        <v>-12643</v>
      </c>
      <c r="AV198">
        <v>100</v>
      </c>
      <c r="AW198">
        <v>5.8</v>
      </c>
      <c r="AX198">
        <v>21</v>
      </c>
      <c r="AY198">
        <v>1.5</v>
      </c>
      <c r="AZ198">
        <v>84.8</v>
      </c>
      <c r="BA198">
        <v>68.7</v>
      </c>
      <c r="BB198">
        <v>92</v>
      </c>
      <c r="BC198">
        <v>91.2</v>
      </c>
      <c r="BD198">
        <v>8</v>
      </c>
      <c r="BE198">
        <v>8.8000000000000007</v>
      </c>
      <c r="BF198">
        <v>100</v>
      </c>
      <c r="BG198">
        <v>5.8</v>
      </c>
      <c r="BH198">
        <v>21</v>
      </c>
      <c r="BI198">
        <v>1.5</v>
      </c>
      <c r="BJ198">
        <v>84.8</v>
      </c>
      <c r="BK198">
        <v>68.7</v>
      </c>
      <c r="BL198">
        <v>92</v>
      </c>
      <c r="BM198">
        <v>91.2</v>
      </c>
      <c r="BN198">
        <v>8</v>
      </c>
      <c r="BO198">
        <v>8.8000000000000007</v>
      </c>
      <c r="BP198">
        <v>0</v>
      </c>
      <c r="BQ198">
        <v>0</v>
      </c>
      <c r="BR198">
        <v>0</v>
      </c>
      <c r="BS198">
        <v>0</v>
      </c>
      <c r="BT198">
        <v>0</v>
      </c>
      <c r="BU198">
        <v>0</v>
      </c>
      <c r="BV198">
        <v>0</v>
      </c>
      <c r="BW198">
        <v>0</v>
      </c>
      <c r="BX198">
        <v>0</v>
      </c>
      <c r="BY198">
        <v>0</v>
      </c>
      <c r="BZ198">
        <v>351</v>
      </c>
      <c r="CA198">
        <v>48</v>
      </c>
      <c r="CB198">
        <v>52</v>
      </c>
      <c r="CC198">
        <v>25</v>
      </c>
      <c r="CD198">
        <v>168</v>
      </c>
      <c r="CE198">
        <v>181</v>
      </c>
      <c r="CF198">
        <v>229</v>
      </c>
      <c r="CG198">
        <v>245</v>
      </c>
      <c r="CH198">
        <v>351</v>
      </c>
      <c r="CI198">
        <v>48</v>
      </c>
      <c r="CJ198">
        <v>52</v>
      </c>
      <c r="CK198">
        <v>25</v>
      </c>
      <c r="CL198">
        <v>168</v>
      </c>
      <c r="CM198">
        <v>181</v>
      </c>
      <c r="CN198">
        <v>229</v>
      </c>
      <c r="CO198">
        <v>245</v>
      </c>
      <c r="CP198">
        <v>0</v>
      </c>
      <c r="CQ198">
        <v>0</v>
      </c>
      <c r="CR198">
        <v>0</v>
      </c>
      <c r="CS198">
        <v>0</v>
      </c>
      <c r="CT198">
        <v>0</v>
      </c>
      <c r="CU198">
        <v>0</v>
      </c>
      <c r="CV198">
        <v>0</v>
      </c>
      <c r="CW198">
        <v>0</v>
      </c>
      <c r="CX198">
        <v>34.700000000000003</v>
      </c>
      <c r="CY198">
        <v>19.399999999999999</v>
      </c>
      <c r="CZ198">
        <v>45.9</v>
      </c>
      <c r="DA198">
        <v>30.6</v>
      </c>
      <c r="DB198">
        <v>30</v>
      </c>
      <c r="DC198">
        <v>18.7</v>
      </c>
      <c r="DD198">
        <v>39.299999999999997</v>
      </c>
      <c r="DE198">
        <v>28.5</v>
      </c>
      <c r="DF198">
        <v>34.700000000000003</v>
      </c>
      <c r="DG198">
        <v>19.399999999999999</v>
      </c>
      <c r="DH198">
        <v>45.9</v>
      </c>
      <c r="DI198">
        <v>30.6</v>
      </c>
      <c r="DJ198">
        <v>30</v>
      </c>
      <c r="DK198">
        <v>18.7</v>
      </c>
      <c r="DL198">
        <v>39.299999999999997</v>
      </c>
      <c r="DM198">
        <v>28.5</v>
      </c>
      <c r="DN198">
        <v>0</v>
      </c>
      <c r="DO198">
        <v>0</v>
      </c>
      <c r="DP198">
        <v>0</v>
      </c>
      <c r="DQ198">
        <v>0</v>
      </c>
      <c r="DR198">
        <v>0</v>
      </c>
      <c r="DS198">
        <v>0</v>
      </c>
      <c r="DT198">
        <v>0</v>
      </c>
      <c r="DU198">
        <v>0</v>
      </c>
      <c r="DV198" t="s">
        <v>259</v>
      </c>
    </row>
    <row r="199" spans="1:126" x14ac:dyDescent="0.35">
      <c r="A199" t="s">
        <v>425</v>
      </c>
      <c r="B199">
        <v>230103</v>
      </c>
      <c r="C199" s="1">
        <v>44929</v>
      </c>
      <c r="D199" t="s">
        <v>426</v>
      </c>
      <c r="E199" t="s">
        <v>164</v>
      </c>
      <c r="F199" t="s">
        <v>165</v>
      </c>
      <c r="G199" t="s">
        <v>427</v>
      </c>
      <c r="H199">
        <v>4213262</v>
      </c>
      <c r="I199" s="17">
        <v>290221</v>
      </c>
      <c r="J199" s="17">
        <v>943140</v>
      </c>
      <c r="K199">
        <v>52442</v>
      </c>
      <c r="L199">
        <v>3553482</v>
      </c>
      <c r="M199">
        <v>2844424</v>
      </c>
      <c r="N199">
        <v>3896145</v>
      </c>
      <c r="O199">
        <v>3840006</v>
      </c>
      <c r="P199">
        <v>317117</v>
      </c>
      <c r="Q199">
        <v>373256</v>
      </c>
      <c r="R199">
        <v>4213262</v>
      </c>
      <c r="S199">
        <v>290221</v>
      </c>
      <c r="T199">
        <v>943140</v>
      </c>
      <c r="U199">
        <v>52442</v>
      </c>
      <c r="V199">
        <v>3553482</v>
      </c>
      <c r="W199">
        <v>2844424</v>
      </c>
      <c r="X199">
        <v>3896145</v>
      </c>
      <c r="Y199">
        <v>3840006</v>
      </c>
      <c r="Z199">
        <v>317117</v>
      </c>
      <c r="AA199">
        <v>373256</v>
      </c>
      <c r="AB199">
        <v>0</v>
      </c>
      <c r="AC199">
        <v>0</v>
      </c>
      <c r="AD199">
        <v>0</v>
      </c>
      <c r="AE199">
        <v>0</v>
      </c>
      <c r="AF199">
        <v>0</v>
      </c>
      <c r="AG199">
        <v>0</v>
      </c>
      <c r="AH199">
        <v>0</v>
      </c>
      <c r="AI199">
        <v>0</v>
      </c>
      <c r="AJ199">
        <v>0</v>
      </c>
      <c r="AK199">
        <v>0</v>
      </c>
      <c r="AL199">
        <v>78690</v>
      </c>
      <c r="AM199">
        <v>51202</v>
      </c>
      <c r="AN199">
        <v>48593</v>
      </c>
      <c r="AO199">
        <v>-1563</v>
      </c>
      <c r="AP199">
        <v>21820</v>
      </c>
      <c r="AQ199">
        <v>36991</v>
      </c>
      <c r="AR199">
        <v>71459</v>
      </c>
      <c r="AS199">
        <v>84021</v>
      </c>
      <c r="AT199">
        <v>7231</v>
      </c>
      <c r="AU199">
        <v>-5331</v>
      </c>
      <c r="AV199">
        <v>100</v>
      </c>
      <c r="AW199">
        <v>6.9</v>
      </c>
      <c r="AX199">
        <v>22.4</v>
      </c>
      <c r="AY199">
        <v>1.2</v>
      </c>
      <c r="AZ199">
        <v>84.3</v>
      </c>
      <c r="BA199">
        <v>67.5</v>
      </c>
      <c r="BB199">
        <v>92.5</v>
      </c>
      <c r="BC199">
        <v>91.1</v>
      </c>
      <c r="BD199">
        <v>7.5</v>
      </c>
      <c r="BE199">
        <v>8.9</v>
      </c>
      <c r="BF199">
        <v>100</v>
      </c>
      <c r="BG199">
        <v>6.9</v>
      </c>
      <c r="BH199">
        <v>22.4</v>
      </c>
      <c r="BI199">
        <v>1.2</v>
      </c>
      <c r="BJ199">
        <v>84.3</v>
      </c>
      <c r="BK199">
        <v>67.5</v>
      </c>
      <c r="BL199">
        <v>92.5</v>
      </c>
      <c r="BM199">
        <v>91.1</v>
      </c>
      <c r="BN199">
        <v>7.5</v>
      </c>
      <c r="BO199">
        <v>8.9</v>
      </c>
      <c r="BP199">
        <v>0</v>
      </c>
      <c r="BQ199">
        <v>0</v>
      </c>
      <c r="BR199">
        <v>0</v>
      </c>
      <c r="BS199">
        <v>0</v>
      </c>
      <c r="BT199">
        <v>0</v>
      </c>
      <c r="BU199">
        <v>0</v>
      </c>
      <c r="BV199">
        <v>0</v>
      </c>
      <c r="BW199">
        <v>0</v>
      </c>
      <c r="BX199">
        <v>0</v>
      </c>
      <c r="BY199">
        <v>0</v>
      </c>
      <c r="BZ199">
        <v>342</v>
      </c>
      <c r="CA199">
        <v>37</v>
      </c>
      <c r="CB199">
        <v>61</v>
      </c>
      <c r="CC199">
        <v>21</v>
      </c>
      <c r="CD199">
        <v>160</v>
      </c>
      <c r="CE199">
        <v>182</v>
      </c>
      <c r="CF199">
        <v>208</v>
      </c>
      <c r="CG199">
        <v>253</v>
      </c>
      <c r="CH199">
        <v>342</v>
      </c>
      <c r="CI199">
        <v>37</v>
      </c>
      <c r="CJ199">
        <v>61</v>
      </c>
      <c r="CK199">
        <v>21</v>
      </c>
      <c r="CL199">
        <v>160</v>
      </c>
      <c r="CM199">
        <v>182</v>
      </c>
      <c r="CN199">
        <v>208</v>
      </c>
      <c r="CO199">
        <v>253</v>
      </c>
      <c r="CP199">
        <v>0</v>
      </c>
      <c r="CQ199">
        <v>0</v>
      </c>
      <c r="CR199">
        <v>0</v>
      </c>
      <c r="CS199">
        <v>0</v>
      </c>
      <c r="CT199">
        <v>0</v>
      </c>
      <c r="CU199">
        <v>0</v>
      </c>
      <c r="CV199">
        <v>0</v>
      </c>
      <c r="CW199">
        <v>0</v>
      </c>
      <c r="CX199">
        <v>35.6</v>
      </c>
      <c r="CY199">
        <v>19.100000000000001</v>
      </c>
      <c r="CZ199">
        <v>47</v>
      </c>
      <c r="DA199">
        <v>29.3</v>
      </c>
      <c r="DB199">
        <v>31</v>
      </c>
      <c r="DC199">
        <v>18.2</v>
      </c>
      <c r="DD199">
        <v>40.4</v>
      </c>
      <c r="DE199">
        <v>27.7</v>
      </c>
      <c r="DF199">
        <v>35.6</v>
      </c>
      <c r="DG199">
        <v>19.100000000000001</v>
      </c>
      <c r="DH199">
        <v>47</v>
      </c>
      <c r="DI199">
        <v>29.3</v>
      </c>
      <c r="DJ199">
        <v>31</v>
      </c>
      <c r="DK199">
        <v>18.2</v>
      </c>
      <c r="DL199">
        <v>40.4</v>
      </c>
      <c r="DM199">
        <v>27.7</v>
      </c>
      <c r="DN199">
        <v>0</v>
      </c>
      <c r="DO199">
        <v>0</v>
      </c>
      <c r="DP199">
        <v>0</v>
      </c>
      <c r="DQ199">
        <v>0</v>
      </c>
      <c r="DR199">
        <v>0</v>
      </c>
      <c r="DS199">
        <v>0</v>
      </c>
      <c r="DT199">
        <v>0</v>
      </c>
      <c r="DU199">
        <v>0</v>
      </c>
      <c r="DV199" t="s">
        <v>259</v>
      </c>
    </row>
    <row r="200" spans="1:126" x14ac:dyDescent="0.35">
      <c r="A200" t="s">
        <v>428</v>
      </c>
      <c r="B200">
        <v>230110</v>
      </c>
      <c r="C200" s="1">
        <v>44936</v>
      </c>
      <c r="D200" t="s">
        <v>429</v>
      </c>
      <c r="E200" t="s">
        <v>164</v>
      </c>
      <c r="F200" t="s">
        <v>165</v>
      </c>
      <c r="G200" t="s">
        <v>430</v>
      </c>
      <c r="H200">
        <v>1527145</v>
      </c>
      <c r="I200" s="17">
        <v>132184</v>
      </c>
      <c r="J200" s="17">
        <v>244514</v>
      </c>
      <c r="K200">
        <v>191016</v>
      </c>
      <c r="L200">
        <v>1172814</v>
      </c>
      <c r="M200">
        <v>1043770</v>
      </c>
      <c r="N200">
        <v>1496014</v>
      </c>
      <c r="O200">
        <v>1479300</v>
      </c>
      <c r="P200">
        <v>31131</v>
      </c>
      <c r="Q200">
        <v>47845</v>
      </c>
      <c r="R200">
        <v>1527145</v>
      </c>
      <c r="S200">
        <v>132184</v>
      </c>
      <c r="T200">
        <v>244514</v>
      </c>
      <c r="U200">
        <v>191016</v>
      </c>
      <c r="V200">
        <v>1172814</v>
      </c>
      <c r="W200">
        <v>1043770</v>
      </c>
      <c r="X200">
        <v>1496014</v>
      </c>
      <c r="Y200">
        <v>1479300</v>
      </c>
      <c r="Z200">
        <v>31131</v>
      </c>
      <c r="AA200">
        <v>47845</v>
      </c>
      <c r="AB200">
        <v>0</v>
      </c>
      <c r="AC200">
        <v>0</v>
      </c>
      <c r="AD200">
        <v>0</v>
      </c>
      <c r="AE200">
        <v>0</v>
      </c>
      <c r="AF200">
        <v>0</v>
      </c>
      <c r="AG200">
        <v>0</v>
      </c>
      <c r="AH200">
        <v>0</v>
      </c>
      <c r="AI200">
        <v>0</v>
      </c>
      <c r="AJ200">
        <v>0</v>
      </c>
      <c r="AK200">
        <v>0</v>
      </c>
      <c r="AL200">
        <v>220627</v>
      </c>
      <c r="AM200">
        <v>35056</v>
      </c>
      <c r="AN200">
        <v>38985</v>
      </c>
      <c r="AO200">
        <v>48302</v>
      </c>
      <c r="AP200">
        <v>139030</v>
      </c>
      <c r="AQ200">
        <v>129426</v>
      </c>
      <c r="AR200">
        <v>222388</v>
      </c>
      <c r="AS200">
        <v>216713</v>
      </c>
      <c r="AT200">
        <v>-1761</v>
      </c>
      <c r="AU200">
        <v>3914</v>
      </c>
      <c r="AV200">
        <v>100</v>
      </c>
      <c r="AW200">
        <v>8.6999999999999993</v>
      </c>
      <c r="AX200">
        <v>16</v>
      </c>
      <c r="AY200">
        <v>12.5</v>
      </c>
      <c r="AZ200">
        <v>76.8</v>
      </c>
      <c r="BA200">
        <v>68.3</v>
      </c>
      <c r="BB200">
        <v>98</v>
      </c>
      <c r="BC200">
        <v>96.9</v>
      </c>
      <c r="BD200">
        <v>2</v>
      </c>
      <c r="BE200">
        <v>3.1</v>
      </c>
      <c r="BF200">
        <v>100</v>
      </c>
      <c r="BG200">
        <v>8.6999999999999993</v>
      </c>
      <c r="BH200">
        <v>16</v>
      </c>
      <c r="BI200">
        <v>12.5</v>
      </c>
      <c r="BJ200">
        <v>76.8</v>
      </c>
      <c r="BK200">
        <v>68.3</v>
      </c>
      <c r="BL200">
        <v>98</v>
      </c>
      <c r="BM200">
        <v>96.9</v>
      </c>
      <c r="BN200">
        <v>2</v>
      </c>
      <c r="BO200">
        <v>3.1</v>
      </c>
      <c r="BP200">
        <v>0</v>
      </c>
      <c r="BQ200">
        <v>0</v>
      </c>
      <c r="BR200">
        <v>0</v>
      </c>
      <c r="BS200">
        <v>0</v>
      </c>
      <c r="BT200">
        <v>0</v>
      </c>
      <c r="BU200">
        <v>0</v>
      </c>
      <c r="BV200">
        <v>0</v>
      </c>
      <c r="BW200">
        <v>0</v>
      </c>
      <c r="BX200">
        <v>0</v>
      </c>
      <c r="BY200">
        <v>0</v>
      </c>
      <c r="BZ200">
        <v>141</v>
      </c>
      <c r="CA200">
        <v>16</v>
      </c>
      <c r="CB200">
        <v>34</v>
      </c>
      <c r="CC200">
        <v>35</v>
      </c>
      <c r="CD200">
        <v>75</v>
      </c>
      <c r="CE200">
        <v>84</v>
      </c>
      <c r="CF200">
        <v>116</v>
      </c>
      <c r="CG200">
        <v>129</v>
      </c>
      <c r="CH200">
        <v>141</v>
      </c>
      <c r="CI200">
        <v>16</v>
      </c>
      <c r="CJ200">
        <v>34</v>
      </c>
      <c r="CK200">
        <v>35</v>
      </c>
      <c r="CL200">
        <v>75</v>
      </c>
      <c r="CM200">
        <v>84</v>
      </c>
      <c r="CN200">
        <v>116</v>
      </c>
      <c r="CO200">
        <v>129</v>
      </c>
      <c r="CP200">
        <v>0</v>
      </c>
      <c r="CQ200">
        <v>0</v>
      </c>
      <c r="CR200">
        <v>0</v>
      </c>
      <c r="CS200">
        <v>0</v>
      </c>
      <c r="CT200">
        <v>0</v>
      </c>
      <c r="CU200">
        <v>0</v>
      </c>
      <c r="CV200">
        <v>0</v>
      </c>
      <c r="CW200">
        <v>0</v>
      </c>
      <c r="CX200">
        <v>33.6</v>
      </c>
      <c r="CY200">
        <v>23.8</v>
      </c>
      <c r="CZ200">
        <v>48</v>
      </c>
      <c r="DA200">
        <v>38</v>
      </c>
      <c r="DB200">
        <v>25.2</v>
      </c>
      <c r="DC200">
        <v>17.899999999999999</v>
      </c>
      <c r="DD200">
        <v>32.200000000000003</v>
      </c>
      <c r="DE200">
        <v>25.6</v>
      </c>
      <c r="DF200">
        <v>33.6</v>
      </c>
      <c r="DG200">
        <v>23.8</v>
      </c>
      <c r="DH200">
        <v>48</v>
      </c>
      <c r="DI200">
        <v>38</v>
      </c>
      <c r="DJ200">
        <v>25.2</v>
      </c>
      <c r="DK200">
        <v>17.899999999999999</v>
      </c>
      <c r="DL200">
        <v>32.200000000000003</v>
      </c>
      <c r="DM200">
        <v>25.6</v>
      </c>
      <c r="DN200">
        <v>0</v>
      </c>
      <c r="DO200">
        <v>0</v>
      </c>
      <c r="DP200">
        <v>0</v>
      </c>
      <c r="DQ200">
        <v>0</v>
      </c>
      <c r="DR200">
        <v>0</v>
      </c>
      <c r="DS200">
        <v>0</v>
      </c>
      <c r="DT200">
        <v>0</v>
      </c>
      <c r="DU200">
        <v>0</v>
      </c>
      <c r="DV200" t="s">
        <v>431</v>
      </c>
    </row>
    <row r="201" spans="1:126" x14ac:dyDescent="0.35">
      <c r="A201" t="s">
        <v>428</v>
      </c>
      <c r="B201">
        <v>230103</v>
      </c>
      <c r="C201" s="1">
        <v>44929</v>
      </c>
      <c r="D201" t="s">
        <v>429</v>
      </c>
      <c r="E201" t="s">
        <v>164</v>
      </c>
      <c r="F201" t="s">
        <v>165</v>
      </c>
      <c r="G201" t="s">
        <v>430</v>
      </c>
      <c r="H201">
        <v>1306518</v>
      </c>
      <c r="I201" s="17">
        <v>97128</v>
      </c>
      <c r="J201" s="17">
        <v>205529</v>
      </c>
      <c r="K201">
        <v>142714</v>
      </c>
      <c r="L201">
        <v>1033784</v>
      </c>
      <c r="M201">
        <v>914344</v>
      </c>
      <c r="N201">
        <v>1273626</v>
      </c>
      <c r="O201">
        <v>1262587</v>
      </c>
      <c r="P201">
        <v>32892</v>
      </c>
      <c r="Q201">
        <v>43931</v>
      </c>
      <c r="R201">
        <v>1306518</v>
      </c>
      <c r="S201">
        <v>97128</v>
      </c>
      <c r="T201">
        <v>205529</v>
      </c>
      <c r="U201">
        <v>142714</v>
      </c>
      <c r="V201">
        <v>1033784</v>
      </c>
      <c r="W201">
        <v>914344</v>
      </c>
      <c r="X201">
        <v>1273626</v>
      </c>
      <c r="Y201">
        <v>1262587</v>
      </c>
      <c r="Z201">
        <v>32892</v>
      </c>
      <c r="AA201">
        <v>43931</v>
      </c>
      <c r="AB201">
        <v>0</v>
      </c>
      <c r="AC201">
        <v>0</v>
      </c>
      <c r="AD201">
        <v>0</v>
      </c>
      <c r="AE201">
        <v>0</v>
      </c>
      <c r="AF201">
        <v>0</v>
      </c>
      <c r="AG201">
        <v>0</v>
      </c>
      <c r="AH201">
        <v>0</v>
      </c>
      <c r="AI201">
        <v>0</v>
      </c>
      <c r="AJ201">
        <v>0</v>
      </c>
      <c r="AK201">
        <v>0</v>
      </c>
      <c r="AL201">
        <v>-249959</v>
      </c>
      <c r="AM201">
        <v>-45139</v>
      </c>
      <c r="AN201">
        <v>-30985</v>
      </c>
      <c r="AO201">
        <v>-20113</v>
      </c>
      <c r="AP201">
        <v>-186085</v>
      </c>
      <c r="AQ201">
        <v>-201885</v>
      </c>
      <c r="AR201">
        <v>-251337</v>
      </c>
      <c r="AS201">
        <v>-252983</v>
      </c>
      <c r="AT201">
        <v>1378</v>
      </c>
      <c r="AU201">
        <v>3024</v>
      </c>
      <c r="AV201">
        <v>100</v>
      </c>
      <c r="AW201">
        <v>7.4</v>
      </c>
      <c r="AX201">
        <v>15.7</v>
      </c>
      <c r="AY201">
        <v>10.9</v>
      </c>
      <c r="AZ201">
        <v>79.099999999999994</v>
      </c>
      <c r="BA201">
        <v>70</v>
      </c>
      <c r="BB201">
        <v>97.5</v>
      </c>
      <c r="BC201">
        <v>96.6</v>
      </c>
      <c r="BD201">
        <v>2.5</v>
      </c>
      <c r="BE201">
        <v>3.4</v>
      </c>
      <c r="BF201">
        <v>100</v>
      </c>
      <c r="BG201">
        <v>7.4</v>
      </c>
      <c r="BH201">
        <v>15.7</v>
      </c>
      <c r="BI201">
        <v>10.9</v>
      </c>
      <c r="BJ201">
        <v>79.099999999999994</v>
      </c>
      <c r="BK201">
        <v>70</v>
      </c>
      <c r="BL201">
        <v>97.5</v>
      </c>
      <c r="BM201">
        <v>96.6</v>
      </c>
      <c r="BN201">
        <v>2.5</v>
      </c>
      <c r="BO201">
        <v>3.4</v>
      </c>
      <c r="BP201">
        <v>0</v>
      </c>
      <c r="BQ201">
        <v>0</v>
      </c>
      <c r="BR201">
        <v>0</v>
      </c>
      <c r="BS201">
        <v>0</v>
      </c>
      <c r="BT201">
        <v>0</v>
      </c>
      <c r="BU201">
        <v>0</v>
      </c>
      <c r="BV201">
        <v>0</v>
      </c>
      <c r="BW201">
        <v>0</v>
      </c>
      <c r="BX201">
        <v>0</v>
      </c>
      <c r="BY201">
        <v>0</v>
      </c>
      <c r="BZ201">
        <v>122</v>
      </c>
      <c r="CA201">
        <v>16</v>
      </c>
      <c r="CB201">
        <v>25</v>
      </c>
      <c r="CC201">
        <v>31</v>
      </c>
      <c r="CD201">
        <v>72</v>
      </c>
      <c r="CE201">
        <v>74</v>
      </c>
      <c r="CF201">
        <v>109</v>
      </c>
      <c r="CG201">
        <v>110</v>
      </c>
      <c r="CH201">
        <v>122</v>
      </c>
      <c r="CI201">
        <v>16</v>
      </c>
      <c r="CJ201">
        <v>25</v>
      </c>
      <c r="CK201">
        <v>31</v>
      </c>
      <c r="CL201">
        <v>72</v>
      </c>
      <c r="CM201">
        <v>74</v>
      </c>
      <c r="CN201">
        <v>109</v>
      </c>
      <c r="CO201">
        <v>110</v>
      </c>
      <c r="CP201">
        <v>0</v>
      </c>
      <c r="CQ201">
        <v>0</v>
      </c>
      <c r="CR201">
        <v>0</v>
      </c>
      <c r="CS201">
        <v>0</v>
      </c>
      <c r="CT201">
        <v>0</v>
      </c>
      <c r="CU201">
        <v>0</v>
      </c>
      <c r="CV201">
        <v>0</v>
      </c>
      <c r="CW201">
        <v>0</v>
      </c>
      <c r="CX201">
        <v>31.3</v>
      </c>
      <c r="CY201">
        <v>25</v>
      </c>
      <c r="CZ201">
        <v>44.4</v>
      </c>
      <c r="DA201">
        <v>39.5</v>
      </c>
      <c r="DB201">
        <v>21.4</v>
      </c>
      <c r="DC201">
        <v>20.399999999999999</v>
      </c>
      <c r="DD201">
        <v>30.4</v>
      </c>
      <c r="DE201">
        <v>29.2</v>
      </c>
      <c r="DF201">
        <v>31.3</v>
      </c>
      <c r="DG201">
        <v>25</v>
      </c>
      <c r="DH201">
        <v>44.4</v>
      </c>
      <c r="DI201">
        <v>39.5</v>
      </c>
      <c r="DJ201">
        <v>21.4</v>
      </c>
      <c r="DK201">
        <v>20.399999999999999</v>
      </c>
      <c r="DL201">
        <v>30.4</v>
      </c>
      <c r="DM201">
        <v>29.2</v>
      </c>
      <c r="DN201">
        <v>0</v>
      </c>
      <c r="DO201">
        <v>0</v>
      </c>
      <c r="DP201">
        <v>0</v>
      </c>
      <c r="DQ201">
        <v>0</v>
      </c>
      <c r="DR201">
        <v>0</v>
      </c>
      <c r="DS201">
        <v>0</v>
      </c>
      <c r="DT201">
        <v>0</v>
      </c>
      <c r="DU201">
        <v>0</v>
      </c>
      <c r="DV201" t="s">
        <v>431</v>
      </c>
    </row>
    <row r="202" spans="1:126" x14ac:dyDescent="0.35">
      <c r="A202" t="s">
        <v>432</v>
      </c>
      <c r="B202">
        <v>230110</v>
      </c>
      <c r="C202" s="1">
        <v>44936</v>
      </c>
      <c r="D202" t="s">
        <v>433</v>
      </c>
      <c r="E202" t="s">
        <v>402</v>
      </c>
      <c r="F202" t="s">
        <v>165</v>
      </c>
      <c r="G202" t="s">
        <v>434</v>
      </c>
      <c r="H202">
        <v>8254</v>
      </c>
      <c r="I202" s="17">
        <v>72</v>
      </c>
      <c r="J202" s="17">
        <v>3114</v>
      </c>
      <c r="K202">
        <v>52</v>
      </c>
      <c r="L202">
        <v>7159</v>
      </c>
      <c r="M202">
        <v>4732</v>
      </c>
      <c r="N202">
        <v>7283</v>
      </c>
      <c r="O202">
        <v>7898</v>
      </c>
      <c r="P202">
        <v>971</v>
      </c>
      <c r="Q202">
        <v>356</v>
      </c>
      <c r="R202">
        <v>8254</v>
      </c>
      <c r="S202">
        <v>72</v>
      </c>
      <c r="T202">
        <v>3114</v>
      </c>
      <c r="U202">
        <v>52</v>
      </c>
      <c r="V202">
        <v>7159</v>
      </c>
      <c r="W202">
        <v>4732</v>
      </c>
      <c r="X202">
        <v>7283</v>
      </c>
      <c r="Y202">
        <v>7898</v>
      </c>
      <c r="Z202">
        <v>971</v>
      </c>
      <c r="AA202">
        <v>356</v>
      </c>
      <c r="AB202">
        <v>0</v>
      </c>
      <c r="AC202">
        <v>0</v>
      </c>
      <c r="AD202">
        <v>0</v>
      </c>
      <c r="AE202">
        <v>0</v>
      </c>
      <c r="AF202">
        <v>0</v>
      </c>
      <c r="AG202">
        <v>0</v>
      </c>
      <c r="AH202">
        <v>0</v>
      </c>
      <c r="AI202">
        <v>0</v>
      </c>
      <c r="AJ202">
        <v>0</v>
      </c>
      <c r="AK202">
        <v>0</v>
      </c>
      <c r="AL202">
        <v>-1559</v>
      </c>
      <c r="AM202">
        <v>-38</v>
      </c>
      <c r="AN202">
        <v>-725</v>
      </c>
      <c r="AO202">
        <v>-4</v>
      </c>
      <c r="AP202">
        <v>-1593</v>
      </c>
      <c r="AQ202">
        <v>-786</v>
      </c>
      <c r="AR202">
        <v>-1635</v>
      </c>
      <c r="AS202">
        <v>-1515</v>
      </c>
      <c r="AT202">
        <v>76</v>
      </c>
      <c r="AU202">
        <v>-44</v>
      </c>
      <c r="AV202">
        <v>100</v>
      </c>
      <c r="AW202">
        <v>0.9</v>
      </c>
      <c r="AX202">
        <v>37.700000000000003</v>
      </c>
      <c r="AY202">
        <v>0.6</v>
      </c>
      <c r="AZ202">
        <v>86.7</v>
      </c>
      <c r="BA202">
        <v>57.3</v>
      </c>
      <c r="BB202">
        <v>88.2</v>
      </c>
      <c r="BC202">
        <v>95.7</v>
      </c>
      <c r="BD202">
        <v>11.8</v>
      </c>
      <c r="BE202">
        <v>4.3</v>
      </c>
      <c r="BF202">
        <v>100</v>
      </c>
      <c r="BG202">
        <v>0.9</v>
      </c>
      <c r="BH202">
        <v>37.700000000000003</v>
      </c>
      <c r="BI202">
        <v>0.6</v>
      </c>
      <c r="BJ202">
        <v>86.7</v>
      </c>
      <c r="BK202">
        <v>57.3</v>
      </c>
      <c r="BL202">
        <v>88.2</v>
      </c>
      <c r="BM202">
        <v>95.7</v>
      </c>
      <c r="BN202">
        <v>11.8</v>
      </c>
      <c r="BO202">
        <v>4.3</v>
      </c>
      <c r="BP202">
        <v>0</v>
      </c>
      <c r="BQ202">
        <v>0</v>
      </c>
      <c r="BR202">
        <v>0</v>
      </c>
      <c r="BS202">
        <v>0</v>
      </c>
      <c r="BT202">
        <v>0</v>
      </c>
      <c r="BU202">
        <v>0</v>
      </c>
      <c r="BV202">
        <v>0</v>
      </c>
      <c r="BW202">
        <v>0</v>
      </c>
      <c r="BX202">
        <v>0</v>
      </c>
      <c r="BY202">
        <v>0</v>
      </c>
      <c r="BZ202">
        <v>40</v>
      </c>
      <c r="CA202">
        <v>2</v>
      </c>
      <c r="CB202">
        <v>7</v>
      </c>
      <c r="CC202">
        <v>4</v>
      </c>
      <c r="CD202">
        <v>21</v>
      </c>
      <c r="CE202">
        <v>20</v>
      </c>
      <c r="CF202">
        <v>27</v>
      </c>
      <c r="CG202">
        <v>27</v>
      </c>
      <c r="CH202">
        <v>40</v>
      </c>
      <c r="CI202">
        <v>2</v>
      </c>
      <c r="CJ202">
        <v>7</v>
      </c>
      <c r="CK202">
        <v>4</v>
      </c>
      <c r="CL202">
        <v>21</v>
      </c>
      <c r="CM202">
        <v>20</v>
      </c>
      <c r="CN202">
        <v>27</v>
      </c>
      <c r="CO202">
        <v>27</v>
      </c>
      <c r="CP202">
        <v>0</v>
      </c>
      <c r="CQ202">
        <v>0</v>
      </c>
      <c r="CR202">
        <v>0</v>
      </c>
      <c r="CS202">
        <v>0</v>
      </c>
      <c r="CT202">
        <v>0</v>
      </c>
      <c r="CU202">
        <v>0</v>
      </c>
      <c r="CV202">
        <v>0</v>
      </c>
      <c r="CW202">
        <v>0</v>
      </c>
      <c r="CX202">
        <v>44.5</v>
      </c>
      <c r="CY202">
        <v>48.9</v>
      </c>
      <c r="CZ202">
        <v>67.400000000000006</v>
      </c>
      <c r="DA202">
        <v>70.7</v>
      </c>
      <c r="DB202">
        <v>44.5</v>
      </c>
      <c r="DC202">
        <v>48.8</v>
      </c>
      <c r="DD202">
        <v>67.400000000000006</v>
      </c>
      <c r="DE202">
        <v>70.2</v>
      </c>
      <c r="DF202">
        <v>44.5</v>
      </c>
      <c r="DG202">
        <v>48.9</v>
      </c>
      <c r="DH202">
        <v>67.400000000000006</v>
      </c>
      <c r="DI202">
        <v>70.7</v>
      </c>
      <c r="DJ202">
        <v>44.5</v>
      </c>
      <c r="DK202">
        <v>48.8</v>
      </c>
      <c r="DL202">
        <v>67.400000000000006</v>
      </c>
      <c r="DM202">
        <v>70.2</v>
      </c>
      <c r="DN202">
        <v>0</v>
      </c>
      <c r="DO202">
        <v>0</v>
      </c>
      <c r="DP202">
        <v>0</v>
      </c>
      <c r="DQ202">
        <v>0</v>
      </c>
      <c r="DR202">
        <v>0</v>
      </c>
      <c r="DS202">
        <v>0</v>
      </c>
      <c r="DT202">
        <v>0</v>
      </c>
      <c r="DU202">
        <v>0</v>
      </c>
      <c r="DV202" t="s">
        <v>435</v>
      </c>
    </row>
    <row r="203" spans="1:126" x14ac:dyDescent="0.35">
      <c r="A203" t="s">
        <v>432</v>
      </c>
      <c r="B203">
        <v>230103</v>
      </c>
      <c r="C203" s="1">
        <v>44929</v>
      </c>
      <c r="D203" t="s">
        <v>433</v>
      </c>
      <c r="E203" t="s">
        <v>402</v>
      </c>
      <c r="F203" t="s">
        <v>165</v>
      </c>
      <c r="G203" t="s">
        <v>434</v>
      </c>
      <c r="H203">
        <v>9813</v>
      </c>
      <c r="I203" s="17">
        <v>110</v>
      </c>
      <c r="J203" s="17">
        <v>3839</v>
      </c>
      <c r="K203">
        <v>56</v>
      </c>
      <c r="L203">
        <v>8752</v>
      </c>
      <c r="M203">
        <v>5518</v>
      </c>
      <c r="N203">
        <v>8918</v>
      </c>
      <c r="O203">
        <v>9413</v>
      </c>
      <c r="P203">
        <v>895</v>
      </c>
      <c r="Q203">
        <v>400</v>
      </c>
      <c r="R203">
        <v>9813</v>
      </c>
      <c r="S203">
        <v>110</v>
      </c>
      <c r="T203">
        <v>3839</v>
      </c>
      <c r="U203">
        <v>56</v>
      </c>
      <c r="V203">
        <v>8752</v>
      </c>
      <c r="W203">
        <v>5518</v>
      </c>
      <c r="X203">
        <v>8918</v>
      </c>
      <c r="Y203">
        <v>9413</v>
      </c>
      <c r="Z203">
        <v>895</v>
      </c>
      <c r="AA203">
        <v>400</v>
      </c>
      <c r="AB203">
        <v>0</v>
      </c>
      <c r="AC203">
        <v>0</v>
      </c>
      <c r="AD203">
        <v>0</v>
      </c>
      <c r="AE203">
        <v>0</v>
      </c>
      <c r="AF203">
        <v>0</v>
      </c>
      <c r="AG203">
        <v>0</v>
      </c>
      <c r="AH203">
        <v>0</v>
      </c>
      <c r="AI203">
        <v>0</v>
      </c>
      <c r="AJ203">
        <v>0</v>
      </c>
      <c r="AK203">
        <v>0</v>
      </c>
      <c r="AL203">
        <v>304</v>
      </c>
      <c r="AM203">
        <v>18</v>
      </c>
      <c r="AN203">
        <v>178</v>
      </c>
      <c r="AO203">
        <v>-21</v>
      </c>
      <c r="AP203">
        <v>293</v>
      </c>
      <c r="AQ203">
        <v>139</v>
      </c>
      <c r="AR203">
        <v>290</v>
      </c>
      <c r="AS203">
        <v>296</v>
      </c>
      <c r="AT203">
        <v>14</v>
      </c>
      <c r="AU203">
        <v>8</v>
      </c>
      <c r="AV203">
        <v>100</v>
      </c>
      <c r="AW203">
        <v>1.1000000000000001</v>
      </c>
      <c r="AX203">
        <v>39.1</v>
      </c>
      <c r="AY203">
        <v>0.6</v>
      </c>
      <c r="AZ203">
        <v>89.2</v>
      </c>
      <c r="BA203">
        <v>56.2</v>
      </c>
      <c r="BB203">
        <v>90.9</v>
      </c>
      <c r="BC203">
        <v>95.9</v>
      </c>
      <c r="BD203">
        <v>9.1</v>
      </c>
      <c r="BE203">
        <v>4.0999999999999996</v>
      </c>
      <c r="BF203">
        <v>100</v>
      </c>
      <c r="BG203">
        <v>1.1000000000000001</v>
      </c>
      <c r="BH203">
        <v>39.1</v>
      </c>
      <c r="BI203">
        <v>0.6</v>
      </c>
      <c r="BJ203">
        <v>89.2</v>
      </c>
      <c r="BK203">
        <v>56.2</v>
      </c>
      <c r="BL203">
        <v>90.9</v>
      </c>
      <c r="BM203">
        <v>95.9</v>
      </c>
      <c r="BN203">
        <v>9.1</v>
      </c>
      <c r="BO203">
        <v>4.0999999999999996</v>
      </c>
      <c r="BP203">
        <v>0</v>
      </c>
      <c r="BQ203">
        <v>0</v>
      </c>
      <c r="BR203">
        <v>0</v>
      </c>
      <c r="BS203">
        <v>0</v>
      </c>
      <c r="BT203">
        <v>0</v>
      </c>
      <c r="BU203">
        <v>0</v>
      </c>
      <c r="BV203">
        <v>0</v>
      </c>
      <c r="BW203">
        <v>0</v>
      </c>
      <c r="BX203">
        <v>0</v>
      </c>
      <c r="BY203">
        <v>0</v>
      </c>
      <c r="BZ203">
        <v>45</v>
      </c>
      <c r="CA203">
        <v>2</v>
      </c>
      <c r="CB203">
        <v>7</v>
      </c>
      <c r="CC203">
        <v>4</v>
      </c>
      <c r="CD203">
        <v>26</v>
      </c>
      <c r="CE203">
        <v>23</v>
      </c>
      <c r="CF203">
        <v>31</v>
      </c>
      <c r="CG203">
        <v>31</v>
      </c>
      <c r="CH203">
        <v>45</v>
      </c>
      <c r="CI203">
        <v>2</v>
      </c>
      <c r="CJ203">
        <v>7</v>
      </c>
      <c r="CK203">
        <v>4</v>
      </c>
      <c r="CL203">
        <v>26</v>
      </c>
      <c r="CM203">
        <v>23</v>
      </c>
      <c r="CN203">
        <v>31</v>
      </c>
      <c r="CO203">
        <v>31</v>
      </c>
      <c r="CP203">
        <v>0</v>
      </c>
      <c r="CQ203">
        <v>0</v>
      </c>
      <c r="CR203">
        <v>0</v>
      </c>
      <c r="CS203">
        <v>0</v>
      </c>
      <c r="CT203">
        <v>0</v>
      </c>
      <c r="CU203">
        <v>0</v>
      </c>
      <c r="CV203">
        <v>0</v>
      </c>
      <c r="CW203">
        <v>0</v>
      </c>
      <c r="CX203">
        <v>41.5</v>
      </c>
      <c r="CY203">
        <v>46.7</v>
      </c>
      <c r="CZ203">
        <v>66.900000000000006</v>
      </c>
      <c r="DA203">
        <v>68.7</v>
      </c>
      <c r="DB203">
        <v>41.5</v>
      </c>
      <c r="DC203">
        <v>46.6</v>
      </c>
      <c r="DD203">
        <v>66.8</v>
      </c>
      <c r="DE203">
        <v>68.3</v>
      </c>
      <c r="DF203">
        <v>41.5</v>
      </c>
      <c r="DG203">
        <v>46.7</v>
      </c>
      <c r="DH203">
        <v>66.900000000000006</v>
      </c>
      <c r="DI203">
        <v>68.7</v>
      </c>
      <c r="DJ203">
        <v>41.5</v>
      </c>
      <c r="DK203">
        <v>46.6</v>
      </c>
      <c r="DL203">
        <v>66.8</v>
      </c>
      <c r="DM203">
        <v>68.3</v>
      </c>
      <c r="DN203">
        <v>0</v>
      </c>
      <c r="DO203">
        <v>0</v>
      </c>
      <c r="DP203">
        <v>0</v>
      </c>
      <c r="DQ203">
        <v>0</v>
      </c>
      <c r="DR203">
        <v>0</v>
      </c>
      <c r="DS203">
        <v>0</v>
      </c>
      <c r="DT203">
        <v>0</v>
      </c>
      <c r="DU203">
        <v>0</v>
      </c>
      <c r="DV203" t="s">
        <v>435</v>
      </c>
    </row>
    <row r="204" spans="1:126" x14ac:dyDescent="0.35">
      <c r="A204" t="s">
        <v>436</v>
      </c>
      <c r="B204">
        <v>230110</v>
      </c>
      <c r="C204" s="1">
        <v>44936</v>
      </c>
      <c r="D204" t="s">
        <v>437</v>
      </c>
      <c r="E204" t="s">
        <v>402</v>
      </c>
      <c r="F204" t="s">
        <v>165</v>
      </c>
      <c r="G204" t="s">
        <v>438</v>
      </c>
      <c r="H204">
        <v>24098</v>
      </c>
      <c r="I204" s="17">
        <v>3998</v>
      </c>
      <c r="J204" s="17">
        <v>7483</v>
      </c>
      <c r="K204">
        <v>1564</v>
      </c>
      <c r="L204">
        <v>15860</v>
      </c>
      <c r="M204">
        <v>9603</v>
      </c>
      <c r="N204">
        <v>21422</v>
      </c>
      <c r="O204">
        <v>18650</v>
      </c>
      <c r="P204">
        <v>2676</v>
      </c>
      <c r="Q204">
        <v>5448</v>
      </c>
      <c r="R204">
        <v>24098</v>
      </c>
      <c r="S204">
        <v>3998</v>
      </c>
      <c r="T204">
        <v>7483</v>
      </c>
      <c r="U204">
        <v>1564</v>
      </c>
      <c r="V204">
        <v>15860</v>
      </c>
      <c r="W204">
        <v>9603</v>
      </c>
      <c r="X204">
        <v>21422</v>
      </c>
      <c r="Y204">
        <v>18650</v>
      </c>
      <c r="Z204">
        <v>2676</v>
      </c>
      <c r="AA204">
        <v>5448</v>
      </c>
      <c r="AB204">
        <v>0</v>
      </c>
      <c r="AC204">
        <v>0</v>
      </c>
      <c r="AD204">
        <v>0</v>
      </c>
      <c r="AE204">
        <v>0</v>
      </c>
      <c r="AF204">
        <v>0</v>
      </c>
      <c r="AG204">
        <v>0</v>
      </c>
      <c r="AH204">
        <v>0</v>
      </c>
      <c r="AI204">
        <v>0</v>
      </c>
      <c r="AJ204">
        <v>0</v>
      </c>
      <c r="AK204">
        <v>0</v>
      </c>
      <c r="AL204">
        <v>-2815</v>
      </c>
      <c r="AM204">
        <v>-566</v>
      </c>
      <c r="AN204">
        <v>111</v>
      </c>
      <c r="AO204">
        <v>-164</v>
      </c>
      <c r="AP204">
        <v>-2027</v>
      </c>
      <c r="AQ204">
        <v>-1800</v>
      </c>
      <c r="AR204">
        <v>-2757</v>
      </c>
      <c r="AS204">
        <v>-1853</v>
      </c>
      <c r="AT204">
        <v>-58</v>
      </c>
      <c r="AU204">
        <v>-962</v>
      </c>
      <c r="AV204">
        <v>100</v>
      </c>
      <c r="AW204">
        <v>16.600000000000001</v>
      </c>
      <c r="AX204">
        <v>31.1</v>
      </c>
      <c r="AY204">
        <v>6.5</v>
      </c>
      <c r="AZ204">
        <v>65.8</v>
      </c>
      <c r="BA204">
        <v>39.799999999999997</v>
      </c>
      <c r="BB204">
        <v>88.9</v>
      </c>
      <c r="BC204">
        <v>77.400000000000006</v>
      </c>
      <c r="BD204">
        <v>11.1</v>
      </c>
      <c r="BE204">
        <v>22.6</v>
      </c>
      <c r="BF204">
        <v>100</v>
      </c>
      <c r="BG204">
        <v>16.600000000000001</v>
      </c>
      <c r="BH204">
        <v>31.1</v>
      </c>
      <c r="BI204">
        <v>6.5</v>
      </c>
      <c r="BJ204">
        <v>65.8</v>
      </c>
      <c r="BK204">
        <v>39.799999999999997</v>
      </c>
      <c r="BL204">
        <v>88.9</v>
      </c>
      <c r="BM204">
        <v>77.400000000000006</v>
      </c>
      <c r="BN204">
        <v>11.1</v>
      </c>
      <c r="BO204">
        <v>22.6</v>
      </c>
      <c r="BP204">
        <v>0</v>
      </c>
      <c r="BQ204">
        <v>0</v>
      </c>
      <c r="BR204">
        <v>0</v>
      </c>
      <c r="BS204">
        <v>0</v>
      </c>
      <c r="BT204">
        <v>0</v>
      </c>
      <c r="BU204">
        <v>0</v>
      </c>
      <c r="BV204">
        <v>0</v>
      </c>
      <c r="BW204">
        <v>0</v>
      </c>
      <c r="BX204">
        <v>0</v>
      </c>
      <c r="BY204">
        <v>0</v>
      </c>
      <c r="BZ204">
        <v>62</v>
      </c>
      <c r="CA204">
        <v>9</v>
      </c>
      <c r="CB204">
        <v>18</v>
      </c>
      <c r="CC204">
        <v>6</v>
      </c>
      <c r="CD204">
        <v>21</v>
      </c>
      <c r="CE204">
        <v>21</v>
      </c>
      <c r="CF204">
        <v>32</v>
      </c>
      <c r="CG204">
        <v>43</v>
      </c>
      <c r="CH204">
        <v>62</v>
      </c>
      <c r="CI204">
        <v>9</v>
      </c>
      <c r="CJ204">
        <v>18</v>
      </c>
      <c r="CK204">
        <v>6</v>
      </c>
      <c r="CL204">
        <v>21</v>
      </c>
      <c r="CM204">
        <v>21</v>
      </c>
      <c r="CN204">
        <v>32</v>
      </c>
      <c r="CO204">
        <v>43</v>
      </c>
      <c r="CP204">
        <v>0</v>
      </c>
      <c r="CQ204">
        <v>0</v>
      </c>
      <c r="CR204">
        <v>0</v>
      </c>
      <c r="CS204">
        <v>0</v>
      </c>
      <c r="CT204">
        <v>0</v>
      </c>
      <c r="CU204">
        <v>0</v>
      </c>
      <c r="CV204">
        <v>0</v>
      </c>
      <c r="CW204">
        <v>0</v>
      </c>
      <c r="CX204">
        <v>44.5</v>
      </c>
      <c r="CY204">
        <v>35.1</v>
      </c>
      <c r="CZ204">
        <v>61.6</v>
      </c>
      <c r="DA204">
        <v>50.2</v>
      </c>
      <c r="DB204">
        <v>44.4</v>
      </c>
      <c r="DC204">
        <v>35.1</v>
      </c>
      <c r="DD204">
        <v>59.8</v>
      </c>
      <c r="DE204">
        <v>50.2</v>
      </c>
      <c r="DF204">
        <v>44.5</v>
      </c>
      <c r="DG204">
        <v>35.1</v>
      </c>
      <c r="DH204">
        <v>61.6</v>
      </c>
      <c r="DI204">
        <v>50.2</v>
      </c>
      <c r="DJ204">
        <v>44.4</v>
      </c>
      <c r="DK204">
        <v>35.1</v>
      </c>
      <c r="DL204">
        <v>59.8</v>
      </c>
      <c r="DM204">
        <v>50.2</v>
      </c>
      <c r="DN204">
        <v>0</v>
      </c>
      <c r="DO204">
        <v>0</v>
      </c>
      <c r="DP204">
        <v>0</v>
      </c>
      <c r="DQ204">
        <v>0</v>
      </c>
      <c r="DR204">
        <v>0</v>
      </c>
      <c r="DS204">
        <v>0</v>
      </c>
      <c r="DT204">
        <v>0</v>
      </c>
      <c r="DU204">
        <v>0</v>
      </c>
      <c r="DV204" t="s">
        <v>408</v>
      </c>
    </row>
    <row r="205" spans="1:126" x14ac:dyDescent="0.35">
      <c r="A205" t="s">
        <v>436</v>
      </c>
      <c r="B205">
        <v>230103</v>
      </c>
      <c r="C205" s="1">
        <v>44929</v>
      </c>
      <c r="D205" t="s">
        <v>437</v>
      </c>
      <c r="E205" t="s">
        <v>402</v>
      </c>
      <c r="F205" t="s">
        <v>165</v>
      </c>
      <c r="G205" t="s">
        <v>438</v>
      </c>
      <c r="H205">
        <v>26913</v>
      </c>
      <c r="I205" s="17">
        <v>4564</v>
      </c>
      <c r="J205" s="17">
        <v>7372</v>
      </c>
      <c r="K205">
        <v>1728</v>
      </c>
      <c r="L205">
        <v>17887</v>
      </c>
      <c r="M205">
        <v>11403</v>
      </c>
      <c r="N205">
        <v>24179</v>
      </c>
      <c r="O205">
        <v>20503</v>
      </c>
      <c r="P205">
        <v>2734</v>
      </c>
      <c r="Q205">
        <v>6410</v>
      </c>
      <c r="R205">
        <v>26913</v>
      </c>
      <c r="S205">
        <v>4564</v>
      </c>
      <c r="T205">
        <v>7372</v>
      </c>
      <c r="U205">
        <v>1728</v>
      </c>
      <c r="V205">
        <v>17887</v>
      </c>
      <c r="W205">
        <v>11403</v>
      </c>
      <c r="X205">
        <v>24179</v>
      </c>
      <c r="Y205">
        <v>20503</v>
      </c>
      <c r="Z205">
        <v>2734</v>
      </c>
      <c r="AA205">
        <v>6410</v>
      </c>
      <c r="AB205">
        <v>0</v>
      </c>
      <c r="AC205">
        <v>0</v>
      </c>
      <c r="AD205">
        <v>0</v>
      </c>
      <c r="AE205">
        <v>0</v>
      </c>
      <c r="AF205">
        <v>0</v>
      </c>
      <c r="AG205">
        <v>0</v>
      </c>
      <c r="AH205">
        <v>0</v>
      </c>
      <c r="AI205">
        <v>0</v>
      </c>
      <c r="AJ205">
        <v>0</v>
      </c>
      <c r="AK205">
        <v>0</v>
      </c>
      <c r="AL205">
        <v>539</v>
      </c>
      <c r="AM205">
        <v>1</v>
      </c>
      <c r="AN205">
        <v>180</v>
      </c>
      <c r="AO205">
        <v>52</v>
      </c>
      <c r="AP205">
        <v>507</v>
      </c>
      <c r="AQ205">
        <v>293</v>
      </c>
      <c r="AR205">
        <v>560</v>
      </c>
      <c r="AS205">
        <v>525</v>
      </c>
      <c r="AT205">
        <v>-21</v>
      </c>
      <c r="AU205">
        <v>14</v>
      </c>
      <c r="AV205">
        <v>100</v>
      </c>
      <c r="AW205">
        <v>17</v>
      </c>
      <c r="AX205">
        <v>27.4</v>
      </c>
      <c r="AY205">
        <v>6.4</v>
      </c>
      <c r="AZ205">
        <v>66.5</v>
      </c>
      <c r="BA205">
        <v>42.4</v>
      </c>
      <c r="BB205">
        <v>89.8</v>
      </c>
      <c r="BC205">
        <v>76.2</v>
      </c>
      <c r="BD205">
        <v>10.199999999999999</v>
      </c>
      <c r="BE205">
        <v>23.8</v>
      </c>
      <c r="BF205">
        <v>100</v>
      </c>
      <c r="BG205">
        <v>17</v>
      </c>
      <c r="BH205">
        <v>27.4</v>
      </c>
      <c r="BI205">
        <v>6.4</v>
      </c>
      <c r="BJ205">
        <v>66.5</v>
      </c>
      <c r="BK205">
        <v>42.4</v>
      </c>
      <c r="BL205">
        <v>89.8</v>
      </c>
      <c r="BM205">
        <v>76.2</v>
      </c>
      <c r="BN205">
        <v>10.199999999999999</v>
      </c>
      <c r="BO205">
        <v>23.8</v>
      </c>
      <c r="BP205">
        <v>0</v>
      </c>
      <c r="BQ205">
        <v>0</v>
      </c>
      <c r="BR205">
        <v>0</v>
      </c>
      <c r="BS205">
        <v>0</v>
      </c>
      <c r="BT205">
        <v>0</v>
      </c>
      <c r="BU205">
        <v>0</v>
      </c>
      <c r="BV205">
        <v>0</v>
      </c>
      <c r="BW205">
        <v>0</v>
      </c>
      <c r="BX205">
        <v>0</v>
      </c>
      <c r="BY205">
        <v>0</v>
      </c>
      <c r="BZ205">
        <v>65</v>
      </c>
      <c r="CA205">
        <v>8</v>
      </c>
      <c r="CB205">
        <v>17</v>
      </c>
      <c r="CC205">
        <v>12</v>
      </c>
      <c r="CD205">
        <v>22</v>
      </c>
      <c r="CE205">
        <v>29</v>
      </c>
      <c r="CF205">
        <v>37</v>
      </c>
      <c r="CG205">
        <v>51</v>
      </c>
      <c r="CH205">
        <v>65</v>
      </c>
      <c r="CI205">
        <v>8</v>
      </c>
      <c r="CJ205">
        <v>17</v>
      </c>
      <c r="CK205">
        <v>12</v>
      </c>
      <c r="CL205">
        <v>22</v>
      </c>
      <c r="CM205">
        <v>29</v>
      </c>
      <c r="CN205">
        <v>37</v>
      </c>
      <c r="CO205">
        <v>51</v>
      </c>
      <c r="CP205">
        <v>0</v>
      </c>
      <c r="CQ205">
        <v>0</v>
      </c>
      <c r="CR205">
        <v>0</v>
      </c>
      <c r="CS205">
        <v>0</v>
      </c>
      <c r="CT205">
        <v>0</v>
      </c>
      <c r="CU205">
        <v>0</v>
      </c>
      <c r="CV205">
        <v>0</v>
      </c>
      <c r="CW205">
        <v>0</v>
      </c>
      <c r="CX205">
        <v>47.8</v>
      </c>
      <c r="CY205">
        <v>32.299999999999997</v>
      </c>
      <c r="CZ205">
        <v>63.5</v>
      </c>
      <c r="DA205">
        <v>49.3</v>
      </c>
      <c r="DB205">
        <v>47.6</v>
      </c>
      <c r="DC205">
        <v>32.299999999999997</v>
      </c>
      <c r="DD205">
        <v>61.1</v>
      </c>
      <c r="DE205">
        <v>49</v>
      </c>
      <c r="DF205">
        <v>47.8</v>
      </c>
      <c r="DG205">
        <v>32.299999999999997</v>
      </c>
      <c r="DH205">
        <v>63.5</v>
      </c>
      <c r="DI205">
        <v>49.3</v>
      </c>
      <c r="DJ205">
        <v>47.6</v>
      </c>
      <c r="DK205">
        <v>32.299999999999997</v>
      </c>
      <c r="DL205">
        <v>61.1</v>
      </c>
      <c r="DM205">
        <v>49</v>
      </c>
      <c r="DN205">
        <v>0</v>
      </c>
      <c r="DO205">
        <v>0</v>
      </c>
      <c r="DP205">
        <v>0</v>
      </c>
      <c r="DQ205">
        <v>0</v>
      </c>
      <c r="DR205">
        <v>0</v>
      </c>
      <c r="DS205">
        <v>0</v>
      </c>
      <c r="DT205">
        <v>0</v>
      </c>
      <c r="DU205">
        <v>0</v>
      </c>
      <c r="DV205" t="s">
        <v>408</v>
      </c>
    </row>
    <row r="206" spans="1:126" x14ac:dyDescent="0.35">
      <c r="A206" t="s">
        <v>439</v>
      </c>
      <c r="B206">
        <v>230110</v>
      </c>
      <c r="C206" s="1">
        <v>44936</v>
      </c>
      <c r="D206" t="s">
        <v>440</v>
      </c>
      <c r="E206" t="s">
        <v>402</v>
      </c>
      <c r="F206" t="s">
        <v>165</v>
      </c>
      <c r="G206" t="s">
        <v>438</v>
      </c>
      <c r="H206">
        <v>8973</v>
      </c>
      <c r="I206" s="17">
        <v>139</v>
      </c>
      <c r="J206" s="17">
        <v>2923</v>
      </c>
      <c r="K206">
        <v>63</v>
      </c>
      <c r="L206">
        <v>7937</v>
      </c>
      <c r="M206">
        <v>5264</v>
      </c>
      <c r="N206">
        <v>8139</v>
      </c>
      <c r="O206">
        <v>8250</v>
      </c>
      <c r="P206">
        <v>834</v>
      </c>
      <c r="Q206">
        <v>723</v>
      </c>
      <c r="R206">
        <v>8973</v>
      </c>
      <c r="S206">
        <v>139</v>
      </c>
      <c r="T206">
        <v>2923</v>
      </c>
      <c r="U206">
        <v>63</v>
      </c>
      <c r="V206">
        <v>7937</v>
      </c>
      <c r="W206">
        <v>5264</v>
      </c>
      <c r="X206">
        <v>8139</v>
      </c>
      <c r="Y206">
        <v>8250</v>
      </c>
      <c r="Z206">
        <v>834</v>
      </c>
      <c r="AA206">
        <v>723</v>
      </c>
      <c r="AB206">
        <v>0</v>
      </c>
      <c r="AC206">
        <v>0</v>
      </c>
      <c r="AD206">
        <v>0</v>
      </c>
      <c r="AE206">
        <v>0</v>
      </c>
      <c r="AF206">
        <v>0</v>
      </c>
      <c r="AG206">
        <v>0</v>
      </c>
      <c r="AH206">
        <v>0</v>
      </c>
      <c r="AI206">
        <v>0</v>
      </c>
      <c r="AJ206">
        <v>0</v>
      </c>
      <c r="AK206">
        <v>0</v>
      </c>
      <c r="AL206">
        <v>-1141</v>
      </c>
      <c r="AM206">
        <v>-5</v>
      </c>
      <c r="AN206">
        <v>-533</v>
      </c>
      <c r="AO206">
        <v>-5</v>
      </c>
      <c r="AP206">
        <v>-1078</v>
      </c>
      <c r="AQ206">
        <v>-531</v>
      </c>
      <c r="AR206">
        <v>-1088</v>
      </c>
      <c r="AS206">
        <v>-1069</v>
      </c>
      <c r="AT206">
        <v>-53</v>
      </c>
      <c r="AU206">
        <v>-72</v>
      </c>
      <c r="AV206">
        <v>100</v>
      </c>
      <c r="AW206">
        <v>1.5</v>
      </c>
      <c r="AX206">
        <v>32.6</v>
      </c>
      <c r="AY206">
        <v>0.7</v>
      </c>
      <c r="AZ206">
        <v>88.5</v>
      </c>
      <c r="BA206">
        <v>58.7</v>
      </c>
      <c r="BB206">
        <v>90.7</v>
      </c>
      <c r="BC206">
        <v>91.9</v>
      </c>
      <c r="BD206">
        <v>9.3000000000000007</v>
      </c>
      <c r="BE206">
        <v>8.1</v>
      </c>
      <c r="BF206">
        <v>100</v>
      </c>
      <c r="BG206">
        <v>1.5</v>
      </c>
      <c r="BH206">
        <v>32.6</v>
      </c>
      <c r="BI206">
        <v>0.7</v>
      </c>
      <c r="BJ206">
        <v>88.5</v>
      </c>
      <c r="BK206">
        <v>58.7</v>
      </c>
      <c r="BL206">
        <v>90.7</v>
      </c>
      <c r="BM206">
        <v>91.9</v>
      </c>
      <c r="BN206">
        <v>9.3000000000000007</v>
      </c>
      <c r="BO206">
        <v>8.1</v>
      </c>
      <c r="BP206">
        <v>0</v>
      </c>
      <c r="BQ206">
        <v>0</v>
      </c>
      <c r="BR206">
        <v>0</v>
      </c>
      <c r="BS206">
        <v>0</v>
      </c>
      <c r="BT206">
        <v>0</v>
      </c>
      <c r="BU206">
        <v>0</v>
      </c>
      <c r="BV206">
        <v>0</v>
      </c>
      <c r="BW206">
        <v>0</v>
      </c>
      <c r="BX206">
        <v>0</v>
      </c>
      <c r="BY206">
        <v>0</v>
      </c>
      <c r="BZ206">
        <v>43</v>
      </c>
      <c r="CA206">
        <v>1</v>
      </c>
      <c r="CB206">
        <v>9</v>
      </c>
      <c r="CC206">
        <v>4</v>
      </c>
      <c r="CD206">
        <v>27</v>
      </c>
      <c r="CE206">
        <v>15</v>
      </c>
      <c r="CF206">
        <v>32</v>
      </c>
      <c r="CG206">
        <v>24</v>
      </c>
      <c r="CH206">
        <v>43</v>
      </c>
      <c r="CI206">
        <v>1</v>
      </c>
      <c r="CJ206">
        <v>9</v>
      </c>
      <c r="CK206">
        <v>4</v>
      </c>
      <c r="CL206">
        <v>27</v>
      </c>
      <c r="CM206">
        <v>15</v>
      </c>
      <c r="CN206">
        <v>32</v>
      </c>
      <c r="CO206">
        <v>24</v>
      </c>
      <c r="CP206">
        <v>0</v>
      </c>
      <c r="CQ206">
        <v>0</v>
      </c>
      <c r="CR206">
        <v>0</v>
      </c>
      <c r="CS206">
        <v>0</v>
      </c>
      <c r="CT206">
        <v>0</v>
      </c>
      <c r="CU206">
        <v>0</v>
      </c>
      <c r="CV206">
        <v>0</v>
      </c>
      <c r="CW206">
        <v>0</v>
      </c>
      <c r="CX206">
        <v>37.200000000000003</v>
      </c>
      <c r="CY206">
        <v>36.1</v>
      </c>
      <c r="CZ206">
        <v>53.8</v>
      </c>
      <c r="DA206">
        <v>62</v>
      </c>
      <c r="DB206">
        <v>36.299999999999997</v>
      </c>
      <c r="DC206">
        <v>32.799999999999997</v>
      </c>
      <c r="DD206">
        <v>52.9</v>
      </c>
      <c r="DE206">
        <v>56.1</v>
      </c>
      <c r="DF206">
        <v>37.200000000000003</v>
      </c>
      <c r="DG206">
        <v>36.1</v>
      </c>
      <c r="DH206">
        <v>53.8</v>
      </c>
      <c r="DI206">
        <v>62</v>
      </c>
      <c r="DJ206">
        <v>36.299999999999997</v>
      </c>
      <c r="DK206">
        <v>32.799999999999997</v>
      </c>
      <c r="DL206">
        <v>52.9</v>
      </c>
      <c r="DM206">
        <v>56.1</v>
      </c>
      <c r="DN206">
        <v>0</v>
      </c>
      <c r="DO206">
        <v>0</v>
      </c>
      <c r="DP206">
        <v>0</v>
      </c>
      <c r="DQ206">
        <v>0</v>
      </c>
      <c r="DR206">
        <v>0</v>
      </c>
      <c r="DS206">
        <v>0</v>
      </c>
      <c r="DT206">
        <v>0</v>
      </c>
      <c r="DU206">
        <v>0</v>
      </c>
      <c r="DV206" t="s">
        <v>441</v>
      </c>
    </row>
    <row r="207" spans="1:126" x14ac:dyDescent="0.35">
      <c r="A207" t="s">
        <v>439</v>
      </c>
      <c r="B207">
        <v>230103</v>
      </c>
      <c r="C207" s="1">
        <v>44929</v>
      </c>
      <c r="D207" t="s">
        <v>440</v>
      </c>
      <c r="E207" t="s">
        <v>402</v>
      </c>
      <c r="F207" t="s">
        <v>165</v>
      </c>
      <c r="G207" t="s">
        <v>438</v>
      </c>
      <c r="H207">
        <v>10114</v>
      </c>
      <c r="I207" s="17">
        <v>144</v>
      </c>
      <c r="J207" s="17">
        <v>3456</v>
      </c>
      <c r="K207">
        <v>68</v>
      </c>
      <c r="L207">
        <v>9015</v>
      </c>
      <c r="M207">
        <v>5795</v>
      </c>
      <c r="N207">
        <v>9227</v>
      </c>
      <c r="O207">
        <v>9319</v>
      </c>
      <c r="P207">
        <v>887</v>
      </c>
      <c r="Q207">
        <v>795</v>
      </c>
      <c r="R207">
        <v>10114</v>
      </c>
      <c r="S207">
        <v>144</v>
      </c>
      <c r="T207">
        <v>3456</v>
      </c>
      <c r="U207">
        <v>68</v>
      </c>
      <c r="V207">
        <v>9015</v>
      </c>
      <c r="W207">
        <v>5795</v>
      </c>
      <c r="X207">
        <v>9227</v>
      </c>
      <c r="Y207">
        <v>9319</v>
      </c>
      <c r="Z207">
        <v>887</v>
      </c>
      <c r="AA207">
        <v>795</v>
      </c>
      <c r="AB207">
        <v>0</v>
      </c>
      <c r="AC207">
        <v>0</v>
      </c>
      <c r="AD207">
        <v>0</v>
      </c>
      <c r="AE207">
        <v>0</v>
      </c>
      <c r="AF207">
        <v>0</v>
      </c>
      <c r="AG207">
        <v>0</v>
      </c>
      <c r="AH207">
        <v>0</v>
      </c>
      <c r="AI207">
        <v>0</v>
      </c>
      <c r="AJ207">
        <v>0</v>
      </c>
      <c r="AK207">
        <v>0</v>
      </c>
      <c r="AL207">
        <v>327</v>
      </c>
      <c r="AM207">
        <v>0</v>
      </c>
      <c r="AN207">
        <v>158</v>
      </c>
      <c r="AO207">
        <v>-28</v>
      </c>
      <c r="AP207">
        <v>329</v>
      </c>
      <c r="AQ207">
        <v>189</v>
      </c>
      <c r="AR207">
        <v>301</v>
      </c>
      <c r="AS207">
        <v>319</v>
      </c>
      <c r="AT207">
        <v>26</v>
      </c>
      <c r="AU207">
        <v>8</v>
      </c>
      <c r="AV207">
        <v>100</v>
      </c>
      <c r="AW207">
        <v>1.4</v>
      </c>
      <c r="AX207">
        <v>34.200000000000003</v>
      </c>
      <c r="AY207">
        <v>0.7</v>
      </c>
      <c r="AZ207">
        <v>89.1</v>
      </c>
      <c r="BA207">
        <v>57.3</v>
      </c>
      <c r="BB207">
        <v>91.2</v>
      </c>
      <c r="BC207">
        <v>92.1</v>
      </c>
      <c r="BD207">
        <v>8.8000000000000007</v>
      </c>
      <c r="BE207">
        <v>7.9</v>
      </c>
      <c r="BF207">
        <v>100</v>
      </c>
      <c r="BG207">
        <v>1.4</v>
      </c>
      <c r="BH207">
        <v>34.200000000000003</v>
      </c>
      <c r="BI207">
        <v>0.7</v>
      </c>
      <c r="BJ207">
        <v>89.1</v>
      </c>
      <c r="BK207">
        <v>57.3</v>
      </c>
      <c r="BL207">
        <v>91.2</v>
      </c>
      <c r="BM207">
        <v>92.1</v>
      </c>
      <c r="BN207">
        <v>8.8000000000000007</v>
      </c>
      <c r="BO207">
        <v>7.9</v>
      </c>
      <c r="BP207">
        <v>0</v>
      </c>
      <c r="BQ207">
        <v>0</v>
      </c>
      <c r="BR207">
        <v>0</v>
      </c>
      <c r="BS207">
        <v>0</v>
      </c>
      <c r="BT207">
        <v>0</v>
      </c>
      <c r="BU207">
        <v>0</v>
      </c>
      <c r="BV207">
        <v>0</v>
      </c>
      <c r="BW207">
        <v>0</v>
      </c>
      <c r="BX207">
        <v>0</v>
      </c>
      <c r="BY207">
        <v>0</v>
      </c>
      <c r="BZ207">
        <v>43</v>
      </c>
      <c r="CA207">
        <v>1</v>
      </c>
      <c r="CB207">
        <v>8</v>
      </c>
      <c r="CC207">
        <v>4</v>
      </c>
      <c r="CD207">
        <v>31</v>
      </c>
      <c r="CE207">
        <v>18</v>
      </c>
      <c r="CF207">
        <v>36</v>
      </c>
      <c r="CG207">
        <v>26</v>
      </c>
      <c r="CH207">
        <v>43</v>
      </c>
      <c r="CI207">
        <v>1</v>
      </c>
      <c r="CJ207">
        <v>8</v>
      </c>
      <c r="CK207">
        <v>4</v>
      </c>
      <c r="CL207">
        <v>31</v>
      </c>
      <c r="CM207">
        <v>18</v>
      </c>
      <c r="CN207">
        <v>36</v>
      </c>
      <c r="CO207">
        <v>26</v>
      </c>
      <c r="CP207">
        <v>0</v>
      </c>
      <c r="CQ207">
        <v>0</v>
      </c>
      <c r="CR207">
        <v>0</v>
      </c>
      <c r="CS207">
        <v>0</v>
      </c>
      <c r="CT207">
        <v>0</v>
      </c>
      <c r="CU207">
        <v>0</v>
      </c>
      <c r="CV207">
        <v>0</v>
      </c>
      <c r="CW207">
        <v>0</v>
      </c>
      <c r="CX207">
        <v>35.1</v>
      </c>
      <c r="CY207">
        <v>34</v>
      </c>
      <c r="CZ207">
        <v>51.6</v>
      </c>
      <c r="DA207">
        <v>57.8</v>
      </c>
      <c r="DB207">
        <v>34.700000000000003</v>
      </c>
      <c r="DC207">
        <v>29.2</v>
      </c>
      <c r="DD207">
        <v>49.2</v>
      </c>
      <c r="DE207">
        <v>50</v>
      </c>
      <c r="DF207">
        <v>35.1</v>
      </c>
      <c r="DG207">
        <v>34</v>
      </c>
      <c r="DH207">
        <v>51.6</v>
      </c>
      <c r="DI207">
        <v>57.8</v>
      </c>
      <c r="DJ207">
        <v>34.700000000000003</v>
      </c>
      <c r="DK207">
        <v>29.2</v>
      </c>
      <c r="DL207">
        <v>49.2</v>
      </c>
      <c r="DM207">
        <v>50</v>
      </c>
      <c r="DN207">
        <v>0</v>
      </c>
      <c r="DO207">
        <v>0</v>
      </c>
      <c r="DP207">
        <v>0</v>
      </c>
      <c r="DQ207">
        <v>0</v>
      </c>
      <c r="DR207">
        <v>0</v>
      </c>
      <c r="DS207">
        <v>0</v>
      </c>
      <c r="DT207">
        <v>0</v>
      </c>
      <c r="DU207">
        <v>0</v>
      </c>
      <c r="DV207" t="s">
        <v>441</v>
      </c>
    </row>
    <row r="208" spans="1:126" x14ac:dyDescent="0.35">
      <c r="A208" t="s">
        <v>442</v>
      </c>
      <c r="B208">
        <v>230110</v>
      </c>
      <c r="C208" s="1">
        <v>44936</v>
      </c>
      <c r="D208" t="s">
        <v>443</v>
      </c>
      <c r="E208" t="s">
        <v>402</v>
      </c>
      <c r="F208" t="s">
        <v>165</v>
      </c>
      <c r="G208" t="s">
        <v>438</v>
      </c>
      <c r="H208">
        <v>7839</v>
      </c>
      <c r="I208" s="17">
        <v>2135</v>
      </c>
      <c r="J208" s="17">
        <v>670</v>
      </c>
      <c r="K208">
        <v>197</v>
      </c>
      <c r="L208">
        <v>5360</v>
      </c>
      <c r="M208">
        <v>6245</v>
      </c>
      <c r="N208">
        <v>7692</v>
      </c>
      <c r="O208">
        <v>7112</v>
      </c>
      <c r="P208">
        <v>147</v>
      </c>
      <c r="Q208">
        <v>727</v>
      </c>
      <c r="R208">
        <v>7839</v>
      </c>
      <c r="S208">
        <v>2135</v>
      </c>
      <c r="T208">
        <v>670</v>
      </c>
      <c r="U208">
        <v>197</v>
      </c>
      <c r="V208">
        <v>5360</v>
      </c>
      <c r="W208">
        <v>6245</v>
      </c>
      <c r="X208">
        <v>7692</v>
      </c>
      <c r="Y208">
        <v>7112</v>
      </c>
      <c r="Z208">
        <v>147</v>
      </c>
      <c r="AA208">
        <v>727</v>
      </c>
      <c r="AB208">
        <v>0</v>
      </c>
      <c r="AC208">
        <v>0</v>
      </c>
      <c r="AD208">
        <v>0</v>
      </c>
      <c r="AE208">
        <v>0</v>
      </c>
      <c r="AF208">
        <v>0</v>
      </c>
      <c r="AG208">
        <v>0</v>
      </c>
      <c r="AH208">
        <v>0</v>
      </c>
      <c r="AI208">
        <v>0</v>
      </c>
      <c r="AJ208">
        <v>0</v>
      </c>
      <c r="AK208">
        <v>0</v>
      </c>
      <c r="AL208">
        <v>-2241</v>
      </c>
      <c r="AM208">
        <v>-1606</v>
      </c>
      <c r="AN208">
        <v>-192</v>
      </c>
      <c r="AO208">
        <v>74</v>
      </c>
      <c r="AP208">
        <v>-685</v>
      </c>
      <c r="AQ208">
        <v>-2189</v>
      </c>
      <c r="AR208">
        <v>-2217</v>
      </c>
      <c r="AS208">
        <v>-2307</v>
      </c>
      <c r="AT208">
        <v>-24</v>
      </c>
      <c r="AU208">
        <v>66</v>
      </c>
      <c r="AV208">
        <v>100</v>
      </c>
      <c r="AW208">
        <v>27.2</v>
      </c>
      <c r="AX208">
        <v>8.5</v>
      </c>
      <c r="AY208">
        <v>2.5</v>
      </c>
      <c r="AZ208">
        <v>68.400000000000006</v>
      </c>
      <c r="BA208">
        <v>79.7</v>
      </c>
      <c r="BB208">
        <v>98.1</v>
      </c>
      <c r="BC208">
        <v>90.7</v>
      </c>
      <c r="BD208">
        <v>1.9</v>
      </c>
      <c r="BE208">
        <v>9.3000000000000007</v>
      </c>
      <c r="BF208">
        <v>100</v>
      </c>
      <c r="BG208">
        <v>27.2</v>
      </c>
      <c r="BH208">
        <v>8.5</v>
      </c>
      <c r="BI208">
        <v>2.5</v>
      </c>
      <c r="BJ208">
        <v>68.400000000000006</v>
      </c>
      <c r="BK208">
        <v>79.7</v>
      </c>
      <c r="BL208">
        <v>98.1</v>
      </c>
      <c r="BM208">
        <v>90.7</v>
      </c>
      <c r="BN208">
        <v>1.9</v>
      </c>
      <c r="BO208">
        <v>9.3000000000000007</v>
      </c>
      <c r="BP208">
        <v>0</v>
      </c>
      <c r="BQ208">
        <v>0</v>
      </c>
      <c r="BR208">
        <v>0</v>
      </c>
      <c r="BS208">
        <v>0</v>
      </c>
      <c r="BT208">
        <v>0</v>
      </c>
      <c r="BU208">
        <v>0</v>
      </c>
      <c r="BV208">
        <v>0</v>
      </c>
      <c r="BW208">
        <v>0</v>
      </c>
      <c r="BX208">
        <v>0</v>
      </c>
      <c r="BY208">
        <v>0</v>
      </c>
      <c r="BZ208">
        <v>27</v>
      </c>
      <c r="CA208">
        <v>4</v>
      </c>
      <c r="CB208">
        <v>2</v>
      </c>
      <c r="CC208">
        <v>4</v>
      </c>
      <c r="CD208">
        <v>9</v>
      </c>
      <c r="CE208">
        <v>13</v>
      </c>
      <c r="CF208">
        <v>14</v>
      </c>
      <c r="CG208">
        <v>18</v>
      </c>
      <c r="CH208">
        <v>27</v>
      </c>
      <c r="CI208">
        <v>4</v>
      </c>
      <c r="CJ208">
        <v>2</v>
      </c>
      <c r="CK208">
        <v>4</v>
      </c>
      <c r="CL208">
        <v>9</v>
      </c>
      <c r="CM208">
        <v>13</v>
      </c>
      <c r="CN208">
        <v>14</v>
      </c>
      <c r="CO208">
        <v>18</v>
      </c>
      <c r="CP208">
        <v>0</v>
      </c>
      <c r="CQ208">
        <v>0</v>
      </c>
      <c r="CR208">
        <v>0</v>
      </c>
      <c r="CS208">
        <v>0</v>
      </c>
      <c r="CT208">
        <v>0</v>
      </c>
      <c r="CU208">
        <v>0</v>
      </c>
      <c r="CV208">
        <v>0</v>
      </c>
      <c r="CW208">
        <v>0</v>
      </c>
      <c r="CX208">
        <v>60.9</v>
      </c>
      <c r="CY208">
        <v>66.8</v>
      </c>
      <c r="CZ208">
        <v>86</v>
      </c>
      <c r="DA208">
        <v>82.2</v>
      </c>
      <c r="DB208">
        <v>58.1</v>
      </c>
      <c r="DC208">
        <v>66.8</v>
      </c>
      <c r="DD208">
        <v>83.2</v>
      </c>
      <c r="DE208">
        <v>82.2</v>
      </c>
      <c r="DF208">
        <v>60.9</v>
      </c>
      <c r="DG208">
        <v>66.8</v>
      </c>
      <c r="DH208">
        <v>86</v>
      </c>
      <c r="DI208">
        <v>82.2</v>
      </c>
      <c r="DJ208">
        <v>58.1</v>
      </c>
      <c r="DK208">
        <v>66.8</v>
      </c>
      <c r="DL208">
        <v>83.2</v>
      </c>
      <c r="DM208">
        <v>82.2</v>
      </c>
      <c r="DN208">
        <v>0</v>
      </c>
      <c r="DO208">
        <v>0</v>
      </c>
      <c r="DP208">
        <v>0</v>
      </c>
      <c r="DQ208">
        <v>0</v>
      </c>
      <c r="DR208">
        <v>0</v>
      </c>
      <c r="DS208">
        <v>0</v>
      </c>
      <c r="DT208">
        <v>0</v>
      </c>
      <c r="DU208">
        <v>0</v>
      </c>
      <c r="DV208" t="s">
        <v>408</v>
      </c>
    </row>
    <row r="209" spans="1:126" x14ac:dyDescent="0.35">
      <c r="A209" t="s">
        <v>442</v>
      </c>
      <c r="B209">
        <v>230103</v>
      </c>
      <c r="C209" s="1">
        <v>44929</v>
      </c>
      <c r="D209" t="s">
        <v>443</v>
      </c>
      <c r="E209" t="s">
        <v>402</v>
      </c>
      <c r="F209" t="s">
        <v>165</v>
      </c>
      <c r="G209" t="s">
        <v>438</v>
      </c>
      <c r="H209">
        <v>10080</v>
      </c>
      <c r="I209" s="17">
        <v>3741</v>
      </c>
      <c r="J209" s="17">
        <v>862</v>
      </c>
      <c r="K209">
        <v>123</v>
      </c>
      <c r="L209">
        <v>6045</v>
      </c>
      <c r="M209">
        <v>8434</v>
      </c>
      <c r="N209">
        <v>9909</v>
      </c>
      <c r="O209">
        <v>9419</v>
      </c>
      <c r="P209">
        <v>171</v>
      </c>
      <c r="Q209">
        <v>661</v>
      </c>
      <c r="R209">
        <v>10080</v>
      </c>
      <c r="S209">
        <v>3741</v>
      </c>
      <c r="T209">
        <v>862</v>
      </c>
      <c r="U209">
        <v>123</v>
      </c>
      <c r="V209">
        <v>6045</v>
      </c>
      <c r="W209">
        <v>8434</v>
      </c>
      <c r="X209">
        <v>9909</v>
      </c>
      <c r="Y209">
        <v>9419</v>
      </c>
      <c r="Z209">
        <v>171</v>
      </c>
      <c r="AA209">
        <v>661</v>
      </c>
      <c r="AB209">
        <v>0</v>
      </c>
      <c r="AC209">
        <v>0</v>
      </c>
      <c r="AD209">
        <v>0</v>
      </c>
      <c r="AE209">
        <v>0</v>
      </c>
      <c r="AF209">
        <v>0</v>
      </c>
      <c r="AG209">
        <v>0</v>
      </c>
      <c r="AH209">
        <v>0</v>
      </c>
      <c r="AI209">
        <v>0</v>
      </c>
      <c r="AJ209">
        <v>0</v>
      </c>
      <c r="AK209">
        <v>0</v>
      </c>
      <c r="AL209">
        <v>90</v>
      </c>
      <c r="AM209">
        <v>47</v>
      </c>
      <c r="AN209">
        <v>107</v>
      </c>
      <c r="AO209">
        <v>2</v>
      </c>
      <c r="AP209">
        <v>30</v>
      </c>
      <c r="AQ209">
        <v>-4</v>
      </c>
      <c r="AR209">
        <v>79</v>
      </c>
      <c r="AS209">
        <v>105</v>
      </c>
      <c r="AT209">
        <v>11</v>
      </c>
      <c r="AU209">
        <v>-15</v>
      </c>
      <c r="AV209">
        <v>100</v>
      </c>
      <c r="AW209">
        <v>37.1</v>
      </c>
      <c r="AX209">
        <v>8.6</v>
      </c>
      <c r="AY209">
        <v>1.2</v>
      </c>
      <c r="AZ209">
        <v>60</v>
      </c>
      <c r="BA209">
        <v>83.7</v>
      </c>
      <c r="BB209">
        <v>98.3</v>
      </c>
      <c r="BC209">
        <v>93.4</v>
      </c>
      <c r="BD209">
        <v>1.7</v>
      </c>
      <c r="BE209">
        <v>6.6</v>
      </c>
      <c r="BF209">
        <v>100</v>
      </c>
      <c r="BG209">
        <v>37.1</v>
      </c>
      <c r="BH209">
        <v>8.6</v>
      </c>
      <c r="BI209">
        <v>1.2</v>
      </c>
      <c r="BJ209">
        <v>60</v>
      </c>
      <c r="BK209">
        <v>83.7</v>
      </c>
      <c r="BL209">
        <v>98.3</v>
      </c>
      <c r="BM209">
        <v>93.4</v>
      </c>
      <c r="BN209">
        <v>1.7</v>
      </c>
      <c r="BO209">
        <v>6.6</v>
      </c>
      <c r="BP209">
        <v>0</v>
      </c>
      <c r="BQ209">
        <v>0</v>
      </c>
      <c r="BR209">
        <v>0</v>
      </c>
      <c r="BS209">
        <v>0</v>
      </c>
      <c r="BT209">
        <v>0</v>
      </c>
      <c r="BU209">
        <v>0</v>
      </c>
      <c r="BV209">
        <v>0</v>
      </c>
      <c r="BW209">
        <v>0</v>
      </c>
      <c r="BX209">
        <v>0</v>
      </c>
      <c r="BY209">
        <v>0</v>
      </c>
      <c r="BZ209">
        <v>32</v>
      </c>
      <c r="CA209">
        <v>4</v>
      </c>
      <c r="CB209">
        <v>2</v>
      </c>
      <c r="CC209">
        <v>4</v>
      </c>
      <c r="CD209">
        <v>10</v>
      </c>
      <c r="CE209">
        <v>19</v>
      </c>
      <c r="CF209">
        <v>15</v>
      </c>
      <c r="CG209">
        <v>24</v>
      </c>
      <c r="CH209">
        <v>32</v>
      </c>
      <c r="CI209">
        <v>4</v>
      </c>
      <c r="CJ209">
        <v>2</v>
      </c>
      <c r="CK209">
        <v>4</v>
      </c>
      <c r="CL209">
        <v>10</v>
      </c>
      <c r="CM209">
        <v>19</v>
      </c>
      <c r="CN209">
        <v>15</v>
      </c>
      <c r="CO209">
        <v>24</v>
      </c>
      <c r="CP209">
        <v>0</v>
      </c>
      <c r="CQ209">
        <v>0</v>
      </c>
      <c r="CR209">
        <v>0</v>
      </c>
      <c r="CS209">
        <v>0</v>
      </c>
      <c r="CT209">
        <v>0</v>
      </c>
      <c r="CU209">
        <v>0</v>
      </c>
      <c r="CV209">
        <v>0</v>
      </c>
      <c r="CW209">
        <v>0</v>
      </c>
      <c r="CX209">
        <v>55.9</v>
      </c>
      <c r="CY209">
        <v>66.8</v>
      </c>
      <c r="CZ209">
        <v>84.5</v>
      </c>
      <c r="DA209">
        <v>80.599999999999994</v>
      </c>
      <c r="DB209">
        <v>54.6</v>
      </c>
      <c r="DC209">
        <v>66.8</v>
      </c>
      <c r="DD209">
        <v>82.7</v>
      </c>
      <c r="DE209">
        <v>80.599999999999994</v>
      </c>
      <c r="DF209">
        <v>55.9</v>
      </c>
      <c r="DG209">
        <v>66.8</v>
      </c>
      <c r="DH209">
        <v>84.5</v>
      </c>
      <c r="DI209">
        <v>80.599999999999994</v>
      </c>
      <c r="DJ209">
        <v>54.6</v>
      </c>
      <c r="DK209">
        <v>66.8</v>
      </c>
      <c r="DL209">
        <v>82.7</v>
      </c>
      <c r="DM209">
        <v>80.599999999999994</v>
      </c>
      <c r="DN209">
        <v>0</v>
      </c>
      <c r="DO209">
        <v>0</v>
      </c>
      <c r="DP209">
        <v>0</v>
      </c>
      <c r="DQ209">
        <v>0</v>
      </c>
      <c r="DR209">
        <v>0</v>
      </c>
      <c r="DS209">
        <v>0</v>
      </c>
      <c r="DT209">
        <v>0</v>
      </c>
      <c r="DU209">
        <v>0</v>
      </c>
      <c r="DV209" t="s">
        <v>408</v>
      </c>
    </row>
    <row r="210" spans="1:126" x14ac:dyDescent="0.35">
      <c r="A210" t="s">
        <v>444</v>
      </c>
      <c r="B210">
        <v>230110</v>
      </c>
      <c r="C210" s="1">
        <v>44936</v>
      </c>
      <c r="D210" t="s">
        <v>445</v>
      </c>
      <c r="E210" t="s">
        <v>402</v>
      </c>
      <c r="F210" t="s">
        <v>165</v>
      </c>
      <c r="G210" t="s">
        <v>446</v>
      </c>
      <c r="H210">
        <v>190005</v>
      </c>
      <c r="I210" s="17">
        <v>65146</v>
      </c>
      <c r="J210" s="17">
        <v>39377</v>
      </c>
      <c r="K210">
        <v>35868</v>
      </c>
      <c r="L210">
        <v>70042</v>
      </c>
      <c r="M210">
        <v>89400</v>
      </c>
      <c r="N210">
        <v>171056</v>
      </c>
      <c r="O210">
        <v>164645</v>
      </c>
      <c r="P210">
        <v>18949</v>
      </c>
      <c r="Q210">
        <v>25360</v>
      </c>
      <c r="R210">
        <v>182927</v>
      </c>
      <c r="S210">
        <v>64840</v>
      </c>
      <c r="T210">
        <v>40835</v>
      </c>
      <c r="U210">
        <v>33146</v>
      </c>
      <c r="V210">
        <v>67682</v>
      </c>
      <c r="W210">
        <v>84705</v>
      </c>
      <c r="X210">
        <v>165668</v>
      </c>
      <c r="Y210">
        <v>158686</v>
      </c>
      <c r="Z210">
        <v>17259</v>
      </c>
      <c r="AA210">
        <v>24241</v>
      </c>
      <c r="AB210">
        <v>7078</v>
      </c>
      <c r="AC210">
        <v>2194</v>
      </c>
      <c r="AD210">
        <v>430</v>
      </c>
      <c r="AE210">
        <v>834</v>
      </c>
      <c r="AF210">
        <v>2360</v>
      </c>
      <c r="AG210">
        <v>4695</v>
      </c>
      <c r="AH210">
        <v>5388</v>
      </c>
      <c r="AI210">
        <v>5959</v>
      </c>
      <c r="AJ210">
        <v>1690</v>
      </c>
      <c r="AK210">
        <v>1119</v>
      </c>
      <c r="AL210">
        <v>1154</v>
      </c>
      <c r="AM210">
        <v>-8687</v>
      </c>
      <c r="AN210">
        <v>9170</v>
      </c>
      <c r="AO210">
        <v>3669</v>
      </c>
      <c r="AP210">
        <v>1747</v>
      </c>
      <c r="AQ210">
        <v>-10566</v>
      </c>
      <c r="AR210">
        <v>-3271</v>
      </c>
      <c r="AS210">
        <v>2273</v>
      </c>
      <c r="AT210">
        <v>4425</v>
      </c>
      <c r="AU210">
        <v>-1119</v>
      </c>
      <c r="AV210">
        <v>100</v>
      </c>
      <c r="AW210">
        <v>34.299999999999997</v>
      </c>
      <c r="AX210">
        <v>20.7</v>
      </c>
      <c r="AY210">
        <v>18.899999999999999</v>
      </c>
      <c r="AZ210">
        <v>36.9</v>
      </c>
      <c r="BA210">
        <v>47.1</v>
      </c>
      <c r="BB210">
        <v>90</v>
      </c>
      <c r="BC210">
        <v>86.7</v>
      </c>
      <c r="BD210">
        <v>10</v>
      </c>
      <c r="BE210">
        <v>13.3</v>
      </c>
      <c r="BF210">
        <v>100</v>
      </c>
      <c r="BG210">
        <v>35.4</v>
      </c>
      <c r="BH210">
        <v>22.3</v>
      </c>
      <c r="BI210">
        <v>18.100000000000001</v>
      </c>
      <c r="BJ210">
        <v>37</v>
      </c>
      <c r="BK210">
        <v>46.3</v>
      </c>
      <c r="BL210">
        <v>90.6</v>
      </c>
      <c r="BM210">
        <v>86.7</v>
      </c>
      <c r="BN210">
        <v>9.4</v>
      </c>
      <c r="BO210">
        <v>13.3</v>
      </c>
      <c r="BP210">
        <v>100</v>
      </c>
      <c r="BQ210">
        <v>31</v>
      </c>
      <c r="BR210">
        <v>6.1</v>
      </c>
      <c r="BS210">
        <v>11.8</v>
      </c>
      <c r="BT210">
        <v>33.299999999999997</v>
      </c>
      <c r="BU210">
        <v>66.3</v>
      </c>
      <c r="BV210">
        <v>76.099999999999994</v>
      </c>
      <c r="BW210">
        <v>84.2</v>
      </c>
      <c r="BX210">
        <v>23.9</v>
      </c>
      <c r="BY210">
        <v>15.8</v>
      </c>
      <c r="BZ210">
        <v>285</v>
      </c>
      <c r="CA210">
        <v>77</v>
      </c>
      <c r="CB210">
        <v>87</v>
      </c>
      <c r="CC210">
        <v>103</v>
      </c>
      <c r="CD210">
        <v>63</v>
      </c>
      <c r="CE210">
        <v>91</v>
      </c>
      <c r="CF210">
        <v>203</v>
      </c>
      <c r="CG210">
        <v>233</v>
      </c>
      <c r="CH210">
        <v>284</v>
      </c>
      <c r="CI210">
        <v>73</v>
      </c>
      <c r="CJ210">
        <v>98</v>
      </c>
      <c r="CK210">
        <v>101</v>
      </c>
      <c r="CL210">
        <v>52</v>
      </c>
      <c r="CM210">
        <v>90</v>
      </c>
      <c r="CN210">
        <v>191</v>
      </c>
      <c r="CO210">
        <v>231</v>
      </c>
      <c r="CP210">
        <v>68</v>
      </c>
      <c r="CQ210">
        <v>22</v>
      </c>
      <c r="CR210">
        <v>7</v>
      </c>
      <c r="CS210">
        <v>16</v>
      </c>
      <c r="CT210">
        <v>21</v>
      </c>
      <c r="CU210">
        <v>29</v>
      </c>
      <c r="CV210">
        <v>47</v>
      </c>
      <c r="CW210">
        <v>50</v>
      </c>
      <c r="CX210">
        <v>18.399999999999999</v>
      </c>
      <c r="CY210">
        <v>16.2</v>
      </c>
      <c r="CZ210">
        <v>31.6</v>
      </c>
      <c r="DA210">
        <v>25.1</v>
      </c>
      <c r="DB210">
        <v>18.3</v>
      </c>
      <c r="DC210">
        <v>13.6</v>
      </c>
      <c r="DD210">
        <v>29.3</v>
      </c>
      <c r="DE210">
        <v>21.6</v>
      </c>
      <c r="DF210">
        <v>19.100000000000001</v>
      </c>
      <c r="DG210">
        <v>15.4</v>
      </c>
      <c r="DH210">
        <v>32.5</v>
      </c>
      <c r="DI210">
        <v>24.5</v>
      </c>
      <c r="DJ210">
        <v>19</v>
      </c>
      <c r="DK210">
        <v>12.7</v>
      </c>
      <c r="DL210">
        <v>29.9</v>
      </c>
      <c r="DM210">
        <v>20.9</v>
      </c>
      <c r="DN210">
        <v>32.700000000000003</v>
      </c>
      <c r="DO210">
        <v>50</v>
      </c>
      <c r="DP210">
        <v>48.2</v>
      </c>
      <c r="DQ210">
        <v>59.9</v>
      </c>
      <c r="DR210">
        <v>28.1</v>
      </c>
      <c r="DS210">
        <v>46.4</v>
      </c>
      <c r="DT210">
        <v>38.799999999999997</v>
      </c>
      <c r="DU210">
        <v>55.3</v>
      </c>
      <c r="DV210" t="s">
        <v>447</v>
      </c>
    </row>
    <row r="211" spans="1:126" x14ac:dyDescent="0.35">
      <c r="A211" t="s">
        <v>444</v>
      </c>
      <c r="B211">
        <v>230103</v>
      </c>
      <c r="C211" s="1">
        <v>44929</v>
      </c>
      <c r="D211" t="s">
        <v>445</v>
      </c>
      <c r="E211" t="s">
        <v>402</v>
      </c>
      <c r="F211" t="s">
        <v>165</v>
      </c>
      <c r="G211" t="s">
        <v>446</v>
      </c>
      <c r="H211">
        <v>188851</v>
      </c>
      <c r="I211" s="17">
        <v>73833</v>
      </c>
      <c r="J211" s="17">
        <v>30207</v>
      </c>
      <c r="K211">
        <v>32199</v>
      </c>
      <c r="L211">
        <v>68295</v>
      </c>
      <c r="M211">
        <v>99966</v>
      </c>
      <c r="N211">
        <v>174327</v>
      </c>
      <c r="O211">
        <v>162372</v>
      </c>
      <c r="P211">
        <v>14524</v>
      </c>
      <c r="Q211">
        <v>26479</v>
      </c>
      <c r="R211">
        <v>183233</v>
      </c>
      <c r="S211">
        <v>73638</v>
      </c>
      <c r="T211">
        <v>31112</v>
      </c>
      <c r="U211">
        <v>30673</v>
      </c>
      <c r="V211">
        <v>65982</v>
      </c>
      <c r="W211">
        <v>95908</v>
      </c>
      <c r="X211">
        <v>170293</v>
      </c>
      <c r="Y211">
        <v>157693</v>
      </c>
      <c r="Z211">
        <v>12940</v>
      </c>
      <c r="AA211">
        <v>25540</v>
      </c>
      <c r="AB211">
        <v>5618</v>
      </c>
      <c r="AC211">
        <v>1174</v>
      </c>
      <c r="AD211">
        <v>74</v>
      </c>
      <c r="AE211">
        <v>547</v>
      </c>
      <c r="AF211">
        <v>2313</v>
      </c>
      <c r="AG211">
        <v>4058</v>
      </c>
      <c r="AH211">
        <v>4034</v>
      </c>
      <c r="AI211">
        <v>4679</v>
      </c>
      <c r="AJ211">
        <v>1584</v>
      </c>
      <c r="AK211">
        <v>939</v>
      </c>
      <c r="AL211">
        <v>1557</v>
      </c>
      <c r="AM211">
        <v>-1750</v>
      </c>
      <c r="AN211">
        <v>-663</v>
      </c>
      <c r="AO211">
        <v>2575</v>
      </c>
      <c r="AP211">
        <v>1621</v>
      </c>
      <c r="AQ211">
        <v>192</v>
      </c>
      <c r="AR211">
        <v>2446</v>
      </c>
      <c r="AS211">
        <v>2104</v>
      </c>
      <c r="AT211">
        <v>-889</v>
      </c>
      <c r="AU211">
        <v>-547</v>
      </c>
      <c r="AV211">
        <v>100</v>
      </c>
      <c r="AW211">
        <v>39.1</v>
      </c>
      <c r="AX211">
        <v>16</v>
      </c>
      <c r="AY211">
        <v>17</v>
      </c>
      <c r="AZ211">
        <v>36.200000000000003</v>
      </c>
      <c r="BA211">
        <v>52.9</v>
      </c>
      <c r="BB211">
        <v>92.3</v>
      </c>
      <c r="BC211">
        <v>86</v>
      </c>
      <c r="BD211">
        <v>7.7</v>
      </c>
      <c r="BE211">
        <v>14</v>
      </c>
      <c r="BF211">
        <v>100</v>
      </c>
      <c r="BG211">
        <v>40.200000000000003</v>
      </c>
      <c r="BH211">
        <v>17</v>
      </c>
      <c r="BI211">
        <v>16.7</v>
      </c>
      <c r="BJ211">
        <v>36</v>
      </c>
      <c r="BK211">
        <v>52.3</v>
      </c>
      <c r="BL211">
        <v>92.9</v>
      </c>
      <c r="BM211">
        <v>86.1</v>
      </c>
      <c r="BN211">
        <v>7.1</v>
      </c>
      <c r="BO211">
        <v>13.9</v>
      </c>
      <c r="BP211">
        <v>100</v>
      </c>
      <c r="BQ211">
        <v>20.9</v>
      </c>
      <c r="BR211">
        <v>1.3</v>
      </c>
      <c r="BS211">
        <v>9.6999999999999993</v>
      </c>
      <c r="BT211">
        <v>41.2</v>
      </c>
      <c r="BU211">
        <v>72.2</v>
      </c>
      <c r="BV211">
        <v>71.8</v>
      </c>
      <c r="BW211">
        <v>83.3</v>
      </c>
      <c r="BX211">
        <v>28.2</v>
      </c>
      <c r="BY211">
        <v>16.7</v>
      </c>
      <c r="BZ211">
        <v>277</v>
      </c>
      <c r="CA211">
        <v>90</v>
      </c>
      <c r="CB211">
        <v>75</v>
      </c>
      <c r="CC211">
        <v>85</v>
      </c>
      <c r="CD211">
        <v>53</v>
      </c>
      <c r="CE211">
        <v>93</v>
      </c>
      <c r="CF211">
        <v>191</v>
      </c>
      <c r="CG211">
        <v>212</v>
      </c>
      <c r="CH211">
        <v>276</v>
      </c>
      <c r="CI211">
        <v>88</v>
      </c>
      <c r="CJ211">
        <v>81</v>
      </c>
      <c r="CK211">
        <v>85</v>
      </c>
      <c r="CL211">
        <v>44</v>
      </c>
      <c r="CM211">
        <v>92</v>
      </c>
      <c r="CN211">
        <v>182</v>
      </c>
      <c r="CO211">
        <v>211</v>
      </c>
      <c r="CP211">
        <v>55</v>
      </c>
      <c r="CQ211">
        <v>17</v>
      </c>
      <c r="CR211">
        <v>3</v>
      </c>
      <c r="CS211">
        <v>11</v>
      </c>
      <c r="CT211">
        <v>20</v>
      </c>
      <c r="CU211">
        <v>26</v>
      </c>
      <c r="CV211">
        <v>39</v>
      </c>
      <c r="CW211">
        <v>38</v>
      </c>
      <c r="CX211">
        <v>18.7</v>
      </c>
      <c r="CY211">
        <v>15.7</v>
      </c>
      <c r="CZ211">
        <v>31.1</v>
      </c>
      <c r="DA211">
        <v>25.8</v>
      </c>
      <c r="DB211">
        <v>18.600000000000001</v>
      </c>
      <c r="DC211">
        <v>15.1</v>
      </c>
      <c r="DD211">
        <v>28.7</v>
      </c>
      <c r="DE211">
        <v>23.9</v>
      </c>
      <c r="DF211">
        <v>19.3</v>
      </c>
      <c r="DG211">
        <v>15</v>
      </c>
      <c r="DH211">
        <v>31.8</v>
      </c>
      <c r="DI211">
        <v>25.3</v>
      </c>
      <c r="DJ211">
        <v>19.2</v>
      </c>
      <c r="DK211">
        <v>14.4</v>
      </c>
      <c r="DL211">
        <v>29</v>
      </c>
      <c r="DM211">
        <v>23.5</v>
      </c>
      <c r="DN211">
        <v>32.4</v>
      </c>
      <c r="DO211">
        <v>54.5</v>
      </c>
      <c r="DP211">
        <v>44.9</v>
      </c>
      <c r="DQ211">
        <v>63.9</v>
      </c>
      <c r="DR211">
        <v>28.4</v>
      </c>
      <c r="DS211">
        <v>50.9</v>
      </c>
      <c r="DT211">
        <v>38.6</v>
      </c>
      <c r="DU211">
        <v>58.7</v>
      </c>
      <c r="DV211" t="s">
        <v>447</v>
      </c>
    </row>
    <row r="212" spans="1:126" x14ac:dyDescent="0.35">
      <c r="A212" t="s">
        <v>448</v>
      </c>
      <c r="B212">
        <v>230110</v>
      </c>
      <c r="C212" s="1">
        <v>44936</v>
      </c>
      <c r="D212" t="s">
        <v>449</v>
      </c>
      <c r="E212" t="s">
        <v>402</v>
      </c>
      <c r="F212" t="s">
        <v>165</v>
      </c>
      <c r="G212" t="s">
        <v>450</v>
      </c>
      <c r="H212">
        <v>322340</v>
      </c>
      <c r="I212" s="17">
        <v>132029</v>
      </c>
      <c r="J212" s="17">
        <v>52035</v>
      </c>
      <c r="K212">
        <v>67893</v>
      </c>
      <c r="L212">
        <v>88511</v>
      </c>
      <c r="M212">
        <v>161473</v>
      </c>
      <c r="N212">
        <v>288433</v>
      </c>
      <c r="O212">
        <v>281401</v>
      </c>
      <c r="P212">
        <v>33907</v>
      </c>
      <c r="Q212">
        <v>40939</v>
      </c>
      <c r="R212">
        <v>322340</v>
      </c>
      <c r="S212">
        <v>132029</v>
      </c>
      <c r="T212">
        <v>52035</v>
      </c>
      <c r="U212">
        <v>67893</v>
      </c>
      <c r="V212">
        <v>88511</v>
      </c>
      <c r="W212">
        <v>161473</v>
      </c>
      <c r="X212">
        <v>288433</v>
      </c>
      <c r="Y212">
        <v>281401</v>
      </c>
      <c r="Z212">
        <v>33907</v>
      </c>
      <c r="AA212">
        <v>40939</v>
      </c>
      <c r="AB212">
        <v>0</v>
      </c>
      <c r="AC212">
        <v>0</v>
      </c>
      <c r="AD212">
        <v>0</v>
      </c>
      <c r="AE212">
        <v>0</v>
      </c>
      <c r="AF212">
        <v>0</v>
      </c>
      <c r="AG212">
        <v>0</v>
      </c>
      <c r="AH212">
        <v>0</v>
      </c>
      <c r="AI212">
        <v>0</v>
      </c>
      <c r="AJ212">
        <v>0</v>
      </c>
      <c r="AK212">
        <v>0</v>
      </c>
      <c r="AL212">
        <v>-10284</v>
      </c>
      <c r="AM212">
        <v>2901</v>
      </c>
      <c r="AN212">
        <v>-6604</v>
      </c>
      <c r="AO212">
        <v>-7878</v>
      </c>
      <c r="AP212">
        <v>-8842</v>
      </c>
      <c r="AQ212">
        <v>723</v>
      </c>
      <c r="AR212">
        <v>-13819</v>
      </c>
      <c r="AS212">
        <v>-13759</v>
      </c>
      <c r="AT212">
        <v>3535</v>
      </c>
      <c r="AU212">
        <v>3475</v>
      </c>
      <c r="AV212">
        <v>100</v>
      </c>
      <c r="AW212">
        <v>41</v>
      </c>
      <c r="AX212">
        <v>16.100000000000001</v>
      </c>
      <c r="AY212">
        <v>21.1</v>
      </c>
      <c r="AZ212">
        <v>27.5</v>
      </c>
      <c r="BA212">
        <v>50.1</v>
      </c>
      <c r="BB212">
        <v>89.5</v>
      </c>
      <c r="BC212">
        <v>87.3</v>
      </c>
      <c r="BD212">
        <v>10.5</v>
      </c>
      <c r="BE212">
        <v>12.7</v>
      </c>
      <c r="BF212">
        <v>100</v>
      </c>
      <c r="BG212">
        <v>41</v>
      </c>
      <c r="BH212">
        <v>16.100000000000001</v>
      </c>
      <c r="BI212">
        <v>21.1</v>
      </c>
      <c r="BJ212">
        <v>27.5</v>
      </c>
      <c r="BK212">
        <v>50.1</v>
      </c>
      <c r="BL212">
        <v>89.5</v>
      </c>
      <c r="BM212">
        <v>87.3</v>
      </c>
      <c r="BN212">
        <v>10.5</v>
      </c>
      <c r="BO212">
        <v>12.7</v>
      </c>
      <c r="BP212">
        <v>0</v>
      </c>
      <c r="BQ212">
        <v>0</v>
      </c>
      <c r="BR212">
        <v>0</v>
      </c>
      <c r="BS212">
        <v>0</v>
      </c>
      <c r="BT212">
        <v>0</v>
      </c>
      <c r="BU212">
        <v>0</v>
      </c>
      <c r="BV212">
        <v>0</v>
      </c>
      <c r="BW212">
        <v>0</v>
      </c>
      <c r="BX212">
        <v>0</v>
      </c>
      <c r="BY212">
        <v>0</v>
      </c>
      <c r="BZ212">
        <v>409</v>
      </c>
      <c r="CA212">
        <v>137</v>
      </c>
      <c r="CB212">
        <v>71</v>
      </c>
      <c r="CC212">
        <v>113</v>
      </c>
      <c r="CD212">
        <v>94</v>
      </c>
      <c r="CE212">
        <v>156</v>
      </c>
      <c r="CF212">
        <v>295</v>
      </c>
      <c r="CG212">
        <v>301</v>
      </c>
      <c r="CH212">
        <v>409</v>
      </c>
      <c r="CI212">
        <v>137</v>
      </c>
      <c r="CJ212">
        <v>71</v>
      </c>
      <c r="CK212">
        <v>113</v>
      </c>
      <c r="CL212">
        <v>94</v>
      </c>
      <c r="CM212">
        <v>156</v>
      </c>
      <c r="CN212">
        <v>295</v>
      </c>
      <c r="CO212">
        <v>301</v>
      </c>
      <c r="CP212">
        <v>0</v>
      </c>
      <c r="CQ212">
        <v>0</v>
      </c>
      <c r="CR212">
        <v>0</v>
      </c>
      <c r="CS212">
        <v>0</v>
      </c>
      <c r="CT212">
        <v>0</v>
      </c>
      <c r="CU212">
        <v>0</v>
      </c>
      <c r="CV212">
        <v>0</v>
      </c>
      <c r="CW212">
        <v>0</v>
      </c>
      <c r="CX212">
        <v>12.3</v>
      </c>
      <c r="CY212">
        <v>17.7</v>
      </c>
      <c r="CZ212">
        <v>21.3</v>
      </c>
      <c r="DA212">
        <v>27.6</v>
      </c>
      <c r="DB212">
        <v>12.2</v>
      </c>
      <c r="DC212">
        <v>15.5</v>
      </c>
      <c r="DD212">
        <v>20.7</v>
      </c>
      <c r="DE212">
        <v>23.5</v>
      </c>
      <c r="DF212">
        <v>12.3</v>
      </c>
      <c r="DG212">
        <v>17.7</v>
      </c>
      <c r="DH212">
        <v>21.3</v>
      </c>
      <c r="DI212">
        <v>27.6</v>
      </c>
      <c r="DJ212">
        <v>12.2</v>
      </c>
      <c r="DK212">
        <v>15.5</v>
      </c>
      <c r="DL212">
        <v>20.7</v>
      </c>
      <c r="DM212">
        <v>23.5</v>
      </c>
      <c r="DN212">
        <v>0</v>
      </c>
      <c r="DO212">
        <v>0</v>
      </c>
      <c r="DP212">
        <v>0</v>
      </c>
      <c r="DQ212">
        <v>0</v>
      </c>
      <c r="DR212">
        <v>0</v>
      </c>
      <c r="DS212">
        <v>0</v>
      </c>
      <c r="DT212">
        <v>0</v>
      </c>
      <c r="DU212">
        <v>0</v>
      </c>
      <c r="DV212" t="s">
        <v>447</v>
      </c>
    </row>
    <row r="213" spans="1:126" x14ac:dyDescent="0.35">
      <c r="A213" t="s">
        <v>448</v>
      </c>
      <c r="B213">
        <v>230103</v>
      </c>
      <c r="C213" s="1">
        <v>44929</v>
      </c>
      <c r="D213" t="s">
        <v>449</v>
      </c>
      <c r="E213" t="s">
        <v>402</v>
      </c>
      <c r="F213" t="s">
        <v>165</v>
      </c>
      <c r="G213" t="s">
        <v>450</v>
      </c>
      <c r="H213">
        <v>332624</v>
      </c>
      <c r="I213" s="17">
        <v>129128</v>
      </c>
      <c r="J213" s="17">
        <v>58639</v>
      </c>
      <c r="K213">
        <v>75771</v>
      </c>
      <c r="L213">
        <v>97353</v>
      </c>
      <c r="M213">
        <v>160750</v>
      </c>
      <c r="N213">
        <v>302252</v>
      </c>
      <c r="O213">
        <v>295160</v>
      </c>
      <c r="P213">
        <v>30372</v>
      </c>
      <c r="Q213">
        <v>37464</v>
      </c>
      <c r="R213">
        <v>332624</v>
      </c>
      <c r="S213">
        <v>129128</v>
      </c>
      <c r="T213">
        <v>58639</v>
      </c>
      <c r="U213">
        <v>75771</v>
      </c>
      <c r="V213">
        <v>97353</v>
      </c>
      <c r="W213">
        <v>160750</v>
      </c>
      <c r="X213">
        <v>302252</v>
      </c>
      <c r="Y213">
        <v>295160</v>
      </c>
      <c r="Z213">
        <v>30372</v>
      </c>
      <c r="AA213">
        <v>37464</v>
      </c>
      <c r="AB213">
        <v>0</v>
      </c>
      <c r="AC213">
        <v>0</v>
      </c>
      <c r="AD213">
        <v>0</v>
      </c>
      <c r="AE213">
        <v>0</v>
      </c>
      <c r="AF213">
        <v>0</v>
      </c>
      <c r="AG213">
        <v>0</v>
      </c>
      <c r="AH213">
        <v>0</v>
      </c>
      <c r="AI213">
        <v>0</v>
      </c>
      <c r="AJ213">
        <v>0</v>
      </c>
      <c r="AK213">
        <v>0</v>
      </c>
      <c r="AL213">
        <v>14380</v>
      </c>
      <c r="AM213">
        <v>4977</v>
      </c>
      <c r="AN213">
        <v>1689</v>
      </c>
      <c r="AO213">
        <v>9597</v>
      </c>
      <c r="AP213">
        <v>480</v>
      </c>
      <c r="AQ213">
        <v>1573</v>
      </c>
      <c r="AR213">
        <v>15054</v>
      </c>
      <c r="AS213">
        <v>12859</v>
      </c>
      <c r="AT213">
        <v>-674</v>
      </c>
      <c r="AU213">
        <v>1521</v>
      </c>
      <c r="AV213">
        <v>100</v>
      </c>
      <c r="AW213">
        <v>38.799999999999997</v>
      </c>
      <c r="AX213">
        <v>17.600000000000001</v>
      </c>
      <c r="AY213">
        <v>22.8</v>
      </c>
      <c r="AZ213">
        <v>29.3</v>
      </c>
      <c r="BA213">
        <v>48.3</v>
      </c>
      <c r="BB213">
        <v>90.9</v>
      </c>
      <c r="BC213">
        <v>88.7</v>
      </c>
      <c r="BD213">
        <v>9.1</v>
      </c>
      <c r="BE213">
        <v>11.3</v>
      </c>
      <c r="BF213">
        <v>100</v>
      </c>
      <c r="BG213">
        <v>38.799999999999997</v>
      </c>
      <c r="BH213">
        <v>17.600000000000001</v>
      </c>
      <c r="BI213">
        <v>22.8</v>
      </c>
      <c r="BJ213">
        <v>29.3</v>
      </c>
      <c r="BK213">
        <v>48.3</v>
      </c>
      <c r="BL213">
        <v>90.9</v>
      </c>
      <c r="BM213">
        <v>88.7</v>
      </c>
      <c r="BN213">
        <v>9.1</v>
      </c>
      <c r="BO213">
        <v>11.3</v>
      </c>
      <c r="BP213">
        <v>0</v>
      </c>
      <c r="BQ213">
        <v>0</v>
      </c>
      <c r="BR213">
        <v>0</v>
      </c>
      <c r="BS213">
        <v>0</v>
      </c>
      <c r="BT213">
        <v>0</v>
      </c>
      <c r="BU213">
        <v>0</v>
      </c>
      <c r="BV213">
        <v>0</v>
      </c>
      <c r="BW213">
        <v>0</v>
      </c>
      <c r="BX213">
        <v>0</v>
      </c>
      <c r="BY213">
        <v>0</v>
      </c>
      <c r="BZ213">
        <v>415</v>
      </c>
      <c r="CA213">
        <v>134</v>
      </c>
      <c r="CB213">
        <v>74</v>
      </c>
      <c r="CC213">
        <v>116</v>
      </c>
      <c r="CD213">
        <v>98</v>
      </c>
      <c r="CE213">
        <v>161</v>
      </c>
      <c r="CF213">
        <v>295</v>
      </c>
      <c r="CG213">
        <v>311</v>
      </c>
      <c r="CH213">
        <v>415</v>
      </c>
      <c r="CI213">
        <v>134</v>
      </c>
      <c r="CJ213">
        <v>74</v>
      </c>
      <c r="CK213">
        <v>116</v>
      </c>
      <c r="CL213">
        <v>98</v>
      </c>
      <c r="CM213">
        <v>161</v>
      </c>
      <c r="CN213">
        <v>295</v>
      </c>
      <c r="CO213">
        <v>311</v>
      </c>
      <c r="CP213">
        <v>0</v>
      </c>
      <c r="CQ213">
        <v>0</v>
      </c>
      <c r="CR213">
        <v>0</v>
      </c>
      <c r="CS213">
        <v>0</v>
      </c>
      <c r="CT213">
        <v>0</v>
      </c>
      <c r="CU213">
        <v>0</v>
      </c>
      <c r="CV213">
        <v>0</v>
      </c>
      <c r="CW213">
        <v>0</v>
      </c>
      <c r="CX213">
        <v>12.4</v>
      </c>
      <c r="CY213">
        <v>17</v>
      </c>
      <c r="CZ213">
        <v>21.4</v>
      </c>
      <c r="DA213">
        <v>26.6</v>
      </c>
      <c r="DB213">
        <v>12.4</v>
      </c>
      <c r="DC213">
        <v>14.7</v>
      </c>
      <c r="DD213">
        <v>20.7</v>
      </c>
      <c r="DE213">
        <v>22.9</v>
      </c>
      <c r="DF213">
        <v>12.4</v>
      </c>
      <c r="DG213">
        <v>17</v>
      </c>
      <c r="DH213">
        <v>21.4</v>
      </c>
      <c r="DI213">
        <v>26.6</v>
      </c>
      <c r="DJ213">
        <v>12.4</v>
      </c>
      <c r="DK213">
        <v>14.7</v>
      </c>
      <c r="DL213">
        <v>20.7</v>
      </c>
      <c r="DM213">
        <v>22.9</v>
      </c>
      <c r="DN213">
        <v>0</v>
      </c>
      <c r="DO213">
        <v>0</v>
      </c>
      <c r="DP213">
        <v>0</v>
      </c>
      <c r="DQ213">
        <v>0</v>
      </c>
      <c r="DR213">
        <v>0</v>
      </c>
      <c r="DS213">
        <v>0</v>
      </c>
      <c r="DT213">
        <v>0</v>
      </c>
      <c r="DU213">
        <v>0</v>
      </c>
      <c r="DV213" t="s">
        <v>447</v>
      </c>
    </row>
    <row r="214" spans="1:126" x14ac:dyDescent="0.35">
      <c r="A214" t="s">
        <v>451</v>
      </c>
      <c r="B214">
        <v>230110</v>
      </c>
      <c r="C214" s="1">
        <v>44936</v>
      </c>
      <c r="D214" t="s">
        <v>452</v>
      </c>
      <c r="E214" t="s">
        <v>402</v>
      </c>
      <c r="F214" t="s">
        <v>165</v>
      </c>
      <c r="G214" t="s">
        <v>453</v>
      </c>
      <c r="H214">
        <v>3182</v>
      </c>
      <c r="I214" s="17">
        <v>496</v>
      </c>
      <c r="J214" s="17">
        <v>2077</v>
      </c>
      <c r="K214">
        <v>163</v>
      </c>
      <c r="L214">
        <v>1359</v>
      </c>
      <c r="M214">
        <v>202</v>
      </c>
      <c r="N214">
        <v>2018</v>
      </c>
      <c r="O214">
        <v>2442</v>
      </c>
      <c r="P214">
        <v>1164</v>
      </c>
      <c r="Q214">
        <v>740</v>
      </c>
      <c r="R214">
        <v>3182</v>
      </c>
      <c r="S214">
        <v>496</v>
      </c>
      <c r="T214">
        <v>2077</v>
      </c>
      <c r="U214">
        <v>163</v>
      </c>
      <c r="V214">
        <v>1359</v>
      </c>
      <c r="W214">
        <v>202</v>
      </c>
      <c r="X214">
        <v>2018</v>
      </c>
      <c r="Y214">
        <v>2442</v>
      </c>
      <c r="Z214">
        <v>1164</v>
      </c>
      <c r="AA214">
        <v>740</v>
      </c>
      <c r="AB214">
        <v>0</v>
      </c>
      <c r="AC214">
        <v>0</v>
      </c>
      <c r="AD214">
        <v>0</v>
      </c>
      <c r="AE214">
        <v>0</v>
      </c>
      <c r="AF214">
        <v>0</v>
      </c>
      <c r="AG214">
        <v>0</v>
      </c>
      <c r="AH214">
        <v>0</v>
      </c>
      <c r="AI214">
        <v>0</v>
      </c>
      <c r="AJ214">
        <v>0</v>
      </c>
      <c r="AK214">
        <v>0</v>
      </c>
      <c r="AL214">
        <v>121</v>
      </c>
      <c r="AM214">
        <v>52</v>
      </c>
      <c r="AN214">
        <v>220</v>
      </c>
      <c r="AO214">
        <v>59</v>
      </c>
      <c r="AP214">
        <v>64</v>
      </c>
      <c r="AQ214">
        <v>-2</v>
      </c>
      <c r="AR214">
        <v>175</v>
      </c>
      <c r="AS214">
        <v>277</v>
      </c>
      <c r="AT214">
        <v>-54</v>
      </c>
      <c r="AU214">
        <v>-156</v>
      </c>
      <c r="AV214">
        <v>100</v>
      </c>
      <c r="AW214">
        <v>15.6</v>
      </c>
      <c r="AX214">
        <v>65.3</v>
      </c>
      <c r="AY214">
        <v>5.0999999999999996</v>
      </c>
      <c r="AZ214">
        <v>42.7</v>
      </c>
      <c r="BA214">
        <v>6.3</v>
      </c>
      <c r="BB214">
        <v>63.4</v>
      </c>
      <c r="BC214">
        <v>76.7</v>
      </c>
      <c r="BD214">
        <v>36.6</v>
      </c>
      <c r="BE214">
        <v>23.3</v>
      </c>
      <c r="BF214">
        <v>100</v>
      </c>
      <c r="BG214">
        <v>15.6</v>
      </c>
      <c r="BH214">
        <v>65.3</v>
      </c>
      <c r="BI214">
        <v>5.0999999999999996</v>
      </c>
      <c r="BJ214">
        <v>42.7</v>
      </c>
      <c r="BK214">
        <v>6.3</v>
      </c>
      <c r="BL214">
        <v>63.4</v>
      </c>
      <c r="BM214">
        <v>76.7</v>
      </c>
      <c r="BN214">
        <v>36.6</v>
      </c>
      <c r="BO214">
        <v>23.3</v>
      </c>
      <c r="BP214">
        <v>0</v>
      </c>
      <c r="BQ214">
        <v>0</v>
      </c>
      <c r="BR214">
        <v>0</v>
      </c>
      <c r="BS214">
        <v>0</v>
      </c>
      <c r="BT214">
        <v>0</v>
      </c>
      <c r="BU214">
        <v>0</v>
      </c>
      <c r="BV214">
        <v>0</v>
      </c>
      <c r="BW214">
        <v>0</v>
      </c>
      <c r="BX214">
        <v>0</v>
      </c>
      <c r="BY214">
        <v>0</v>
      </c>
      <c r="BZ214">
        <v>44</v>
      </c>
      <c r="CA214">
        <v>7</v>
      </c>
      <c r="CB214">
        <v>20</v>
      </c>
      <c r="CC214">
        <v>5</v>
      </c>
      <c r="CD214">
        <v>12</v>
      </c>
      <c r="CE214">
        <v>7</v>
      </c>
      <c r="CF214">
        <v>24</v>
      </c>
      <c r="CG214">
        <v>29</v>
      </c>
      <c r="CH214">
        <v>44</v>
      </c>
      <c r="CI214">
        <v>7</v>
      </c>
      <c r="CJ214">
        <v>20</v>
      </c>
      <c r="CK214">
        <v>5</v>
      </c>
      <c r="CL214">
        <v>12</v>
      </c>
      <c r="CM214">
        <v>7</v>
      </c>
      <c r="CN214">
        <v>24</v>
      </c>
      <c r="CO214">
        <v>29</v>
      </c>
      <c r="CP214">
        <v>0</v>
      </c>
      <c r="CQ214">
        <v>0</v>
      </c>
      <c r="CR214">
        <v>0</v>
      </c>
      <c r="CS214">
        <v>0</v>
      </c>
      <c r="CT214">
        <v>0</v>
      </c>
      <c r="CU214">
        <v>0</v>
      </c>
      <c r="CV214">
        <v>0</v>
      </c>
      <c r="CW214">
        <v>0</v>
      </c>
      <c r="CX214">
        <v>31</v>
      </c>
      <c r="CY214">
        <v>34.4</v>
      </c>
      <c r="CZ214">
        <v>42.9</v>
      </c>
      <c r="DA214">
        <v>51.2</v>
      </c>
      <c r="DB214">
        <v>30.8</v>
      </c>
      <c r="DC214">
        <v>34.4</v>
      </c>
      <c r="DD214">
        <v>42.6</v>
      </c>
      <c r="DE214">
        <v>51.2</v>
      </c>
      <c r="DF214">
        <v>31</v>
      </c>
      <c r="DG214">
        <v>34.4</v>
      </c>
      <c r="DH214">
        <v>42.9</v>
      </c>
      <c r="DI214">
        <v>51.2</v>
      </c>
      <c r="DJ214">
        <v>30.8</v>
      </c>
      <c r="DK214">
        <v>34.4</v>
      </c>
      <c r="DL214">
        <v>42.6</v>
      </c>
      <c r="DM214">
        <v>51.2</v>
      </c>
      <c r="DN214">
        <v>0</v>
      </c>
      <c r="DO214">
        <v>0</v>
      </c>
      <c r="DP214">
        <v>0</v>
      </c>
      <c r="DQ214">
        <v>0</v>
      </c>
      <c r="DR214">
        <v>0</v>
      </c>
      <c r="DS214">
        <v>0</v>
      </c>
      <c r="DT214">
        <v>0</v>
      </c>
      <c r="DU214">
        <v>0</v>
      </c>
      <c r="DV214" t="s">
        <v>454</v>
      </c>
    </row>
    <row r="215" spans="1:126" x14ac:dyDescent="0.35">
      <c r="A215" t="s">
        <v>451</v>
      </c>
      <c r="B215">
        <v>230103</v>
      </c>
      <c r="C215" s="1">
        <v>44929</v>
      </c>
      <c r="D215" t="s">
        <v>452</v>
      </c>
      <c r="E215" t="s">
        <v>402</v>
      </c>
      <c r="F215" t="s">
        <v>165</v>
      </c>
      <c r="G215" t="s">
        <v>453</v>
      </c>
      <c r="H215">
        <v>3061</v>
      </c>
      <c r="I215" s="17">
        <v>444</v>
      </c>
      <c r="J215" s="17">
        <v>1857</v>
      </c>
      <c r="K215">
        <v>104</v>
      </c>
      <c r="L215">
        <v>1295</v>
      </c>
      <c r="M215">
        <v>204</v>
      </c>
      <c r="N215">
        <v>1843</v>
      </c>
      <c r="O215">
        <v>2165</v>
      </c>
      <c r="P215">
        <v>1218</v>
      </c>
      <c r="Q215">
        <v>896</v>
      </c>
      <c r="R215">
        <v>3061</v>
      </c>
      <c r="S215">
        <v>444</v>
      </c>
      <c r="T215">
        <v>1857</v>
      </c>
      <c r="U215">
        <v>104</v>
      </c>
      <c r="V215">
        <v>1295</v>
      </c>
      <c r="W215">
        <v>204</v>
      </c>
      <c r="X215">
        <v>1843</v>
      </c>
      <c r="Y215">
        <v>2165</v>
      </c>
      <c r="Z215">
        <v>1218</v>
      </c>
      <c r="AA215">
        <v>896</v>
      </c>
      <c r="AB215">
        <v>0</v>
      </c>
      <c r="AC215">
        <v>0</v>
      </c>
      <c r="AD215">
        <v>0</v>
      </c>
      <c r="AE215">
        <v>0</v>
      </c>
      <c r="AF215">
        <v>0</v>
      </c>
      <c r="AG215">
        <v>0</v>
      </c>
      <c r="AH215">
        <v>0</v>
      </c>
      <c r="AI215">
        <v>0</v>
      </c>
      <c r="AJ215">
        <v>0</v>
      </c>
      <c r="AK215">
        <v>0</v>
      </c>
      <c r="AL215">
        <v>-29</v>
      </c>
      <c r="AM215">
        <v>-5</v>
      </c>
      <c r="AN215">
        <v>-38</v>
      </c>
      <c r="AO215">
        <v>-98</v>
      </c>
      <c r="AP215">
        <v>-11</v>
      </c>
      <c r="AQ215">
        <v>10</v>
      </c>
      <c r="AR215">
        <v>-114</v>
      </c>
      <c r="AS215">
        <v>-126</v>
      </c>
      <c r="AT215">
        <v>85</v>
      </c>
      <c r="AU215">
        <v>97</v>
      </c>
      <c r="AV215">
        <v>100</v>
      </c>
      <c r="AW215">
        <v>14.5</v>
      </c>
      <c r="AX215">
        <v>60.7</v>
      </c>
      <c r="AY215">
        <v>3.4</v>
      </c>
      <c r="AZ215">
        <v>42.3</v>
      </c>
      <c r="BA215">
        <v>6.7</v>
      </c>
      <c r="BB215">
        <v>60.2</v>
      </c>
      <c r="BC215">
        <v>70.7</v>
      </c>
      <c r="BD215">
        <v>39.799999999999997</v>
      </c>
      <c r="BE215">
        <v>29.3</v>
      </c>
      <c r="BF215">
        <v>100</v>
      </c>
      <c r="BG215">
        <v>14.5</v>
      </c>
      <c r="BH215">
        <v>60.7</v>
      </c>
      <c r="BI215">
        <v>3.4</v>
      </c>
      <c r="BJ215">
        <v>42.3</v>
      </c>
      <c r="BK215">
        <v>6.7</v>
      </c>
      <c r="BL215">
        <v>60.2</v>
      </c>
      <c r="BM215">
        <v>70.7</v>
      </c>
      <c r="BN215">
        <v>39.799999999999997</v>
      </c>
      <c r="BO215">
        <v>29.3</v>
      </c>
      <c r="BP215">
        <v>0</v>
      </c>
      <c r="BQ215">
        <v>0</v>
      </c>
      <c r="BR215">
        <v>0</v>
      </c>
      <c r="BS215">
        <v>0</v>
      </c>
      <c r="BT215">
        <v>0</v>
      </c>
      <c r="BU215">
        <v>0</v>
      </c>
      <c r="BV215">
        <v>0</v>
      </c>
      <c r="BW215">
        <v>0</v>
      </c>
      <c r="BX215">
        <v>0</v>
      </c>
      <c r="BY215">
        <v>0</v>
      </c>
      <c r="BZ215">
        <v>36</v>
      </c>
      <c r="CA215">
        <v>6</v>
      </c>
      <c r="CB215">
        <v>15</v>
      </c>
      <c r="CC215">
        <v>3</v>
      </c>
      <c r="CD215">
        <v>12</v>
      </c>
      <c r="CE215">
        <v>7</v>
      </c>
      <c r="CF215">
        <v>20</v>
      </c>
      <c r="CG215">
        <v>24</v>
      </c>
      <c r="CH215">
        <v>36</v>
      </c>
      <c r="CI215">
        <v>6</v>
      </c>
      <c r="CJ215">
        <v>15</v>
      </c>
      <c r="CK215">
        <v>3</v>
      </c>
      <c r="CL215">
        <v>12</v>
      </c>
      <c r="CM215">
        <v>7</v>
      </c>
      <c r="CN215">
        <v>20</v>
      </c>
      <c r="CO215">
        <v>24</v>
      </c>
      <c r="CP215">
        <v>0</v>
      </c>
      <c r="CQ215">
        <v>0</v>
      </c>
      <c r="CR215">
        <v>0</v>
      </c>
      <c r="CS215">
        <v>0</v>
      </c>
      <c r="CT215">
        <v>0</v>
      </c>
      <c r="CU215">
        <v>0</v>
      </c>
      <c r="CV215">
        <v>0</v>
      </c>
      <c r="CW215">
        <v>0</v>
      </c>
      <c r="CX215">
        <v>31.3</v>
      </c>
      <c r="CY215">
        <v>33.700000000000003</v>
      </c>
      <c r="CZ215">
        <v>43.6</v>
      </c>
      <c r="DA215">
        <v>49.8</v>
      </c>
      <c r="DB215">
        <v>31</v>
      </c>
      <c r="DC215">
        <v>33.700000000000003</v>
      </c>
      <c r="DD215">
        <v>43.1</v>
      </c>
      <c r="DE215">
        <v>49.8</v>
      </c>
      <c r="DF215">
        <v>31.3</v>
      </c>
      <c r="DG215">
        <v>33.700000000000003</v>
      </c>
      <c r="DH215">
        <v>43.6</v>
      </c>
      <c r="DI215">
        <v>49.8</v>
      </c>
      <c r="DJ215">
        <v>31</v>
      </c>
      <c r="DK215">
        <v>33.700000000000003</v>
      </c>
      <c r="DL215">
        <v>43.1</v>
      </c>
      <c r="DM215">
        <v>49.8</v>
      </c>
      <c r="DN215">
        <v>0</v>
      </c>
      <c r="DO215">
        <v>0</v>
      </c>
      <c r="DP215">
        <v>0</v>
      </c>
      <c r="DQ215">
        <v>0</v>
      </c>
      <c r="DR215">
        <v>0</v>
      </c>
      <c r="DS215">
        <v>0</v>
      </c>
      <c r="DT215">
        <v>0</v>
      </c>
      <c r="DU215">
        <v>0</v>
      </c>
      <c r="DV215" t="s">
        <v>454</v>
      </c>
    </row>
    <row r="216" spans="1:126" x14ac:dyDescent="0.35">
      <c r="A216" t="s">
        <v>455</v>
      </c>
      <c r="B216">
        <v>230110</v>
      </c>
      <c r="C216" s="1">
        <v>44936</v>
      </c>
      <c r="D216" t="s">
        <v>456</v>
      </c>
      <c r="E216" t="s">
        <v>402</v>
      </c>
      <c r="F216" t="s">
        <v>165</v>
      </c>
      <c r="G216" t="s">
        <v>457</v>
      </c>
      <c r="H216">
        <v>44389</v>
      </c>
      <c r="I216" s="17">
        <v>13273</v>
      </c>
      <c r="J216" s="17">
        <v>13504</v>
      </c>
      <c r="K216">
        <v>9055</v>
      </c>
      <c r="L216">
        <v>13165</v>
      </c>
      <c r="M216">
        <v>9111</v>
      </c>
      <c r="N216">
        <v>35493</v>
      </c>
      <c r="O216">
        <v>31670</v>
      </c>
      <c r="P216">
        <v>8896</v>
      </c>
      <c r="Q216">
        <v>12719</v>
      </c>
      <c r="R216">
        <v>44389</v>
      </c>
      <c r="S216">
        <v>13273</v>
      </c>
      <c r="T216">
        <v>13504</v>
      </c>
      <c r="U216">
        <v>9055</v>
      </c>
      <c r="V216">
        <v>13165</v>
      </c>
      <c r="W216">
        <v>9111</v>
      </c>
      <c r="X216">
        <v>35493</v>
      </c>
      <c r="Y216">
        <v>31670</v>
      </c>
      <c r="Z216">
        <v>8896</v>
      </c>
      <c r="AA216">
        <v>12719</v>
      </c>
      <c r="AB216">
        <v>0</v>
      </c>
      <c r="AC216">
        <v>0</v>
      </c>
      <c r="AD216">
        <v>0</v>
      </c>
      <c r="AE216">
        <v>0</v>
      </c>
      <c r="AF216">
        <v>0</v>
      </c>
      <c r="AG216">
        <v>0</v>
      </c>
      <c r="AH216">
        <v>0</v>
      </c>
      <c r="AI216">
        <v>0</v>
      </c>
      <c r="AJ216">
        <v>0</v>
      </c>
      <c r="AK216">
        <v>0</v>
      </c>
      <c r="AL216">
        <v>472</v>
      </c>
      <c r="AM216">
        <v>1076</v>
      </c>
      <c r="AN216">
        <v>607</v>
      </c>
      <c r="AO216">
        <v>192</v>
      </c>
      <c r="AP216">
        <v>-1175</v>
      </c>
      <c r="AQ216">
        <v>-786</v>
      </c>
      <c r="AR216">
        <v>93</v>
      </c>
      <c r="AS216">
        <v>13</v>
      </c>
      <c r="AT216">
        <v>379</v>
      </c>
      <c r="AU216">
        <v>459</v>
      </c>
      <c r="AV216">
        <v>100</v>
      </c>
      <c r="AW216">
        <v>29.9</v>
      </c>
      <c r="AX216">
        <v>30.4</v>
      </c>
      <c r="AY216">
        <v>20.399999999999999</v>
      </c>
      <c r="AZ216">
        <v>29.7</v>
      </c>
      <c r="BA216">
        <v>20.5</v>
      </c>
      <c r="BB216">
        <v>80</v>
      </c>
      <c r="BC216">
        <v>71.3</v>
      </c>
      <c r="BD216">
        <v>20</v>
      </c>
      <c r="BE216">
        <v>28.7</v>
      </c>
      <c r="BF216">
        <v>100</v>
      </c>
      <c r="BG216">
        <v>29.9</v>
      </c>
      <c r="BH216">
        <v>30.4</v>
      </c>
      <c r="BI216">
        <v>20.399999999999999</v>
      </c>
      <c r="BJ216">
        <v>29.7</v>
      </c>
      <c r="BK216">
        <v>20.5</v>
      </c>
      <c r="BL216">
        <v>80</v>
      </c>
      <c r="BM216">
        <v>71.3</v>
      </c>
      <c r="BN216">
        <v>20</v>
      </c>
      <c r="BO216">
        <v>28.7</v>
      </c>
      <c r="BP216">
        <v>0</v>
      </c>
      <c r="BQ216">
        <v>0</v>
      </c>
      <c r="BR216">
        <v>0</v>
      </c>
      <c r="BS216">
        <v>0</v>
      </c>
      <c r="BT216">
        <v>0</v>
      </c>
      <c r="BU216">
        <v>0</v>
      </c>
      <c r="BV216">
        <v>0</v>
      </c>
      <c r="BW216">
        <v>0</v>
      </c>
      <c r="BX216">
        <v>0</v>
      </c>
      <c r="BY216">
        <v>0</v>
      </c>
      <c r="BZ216">
        <v>182</v>
      </c>
      <c r="CA216">
        <v>58</v>
      </c>
      <c r="CB216">
        <v>46</v>
      </c>
      <c r="CC216">
        <v>58</v>
      </c>
      <c r="CD216">
        <v>45</v>
      </c>
      <c r="CE216">
        <v>47</v>
      </c>
      <c r="CF216">
        <v>143</v>
      </c>
      <c r="CG216">
        <v>122</v>
      </c>
      <c r="CH216">
        <v>182</v>
      </c>
      <c r="CI216">
        <v>58</v>
      </c>
      <c r="CJ216">
        <v>46</v>
      </c>
      <c r="CK216">
        <v>58</v>
      </c>
      <c r="CL216">
        <v>45</v>
      </c>
      <c r="CM216">
        <v>47</v>
      </c>
      <c r="CN216">
        <v>143</v>
      </c>
      <c r="CO216">
        <v>122</v>
      </c>
      <c r="CP216">
        <v>0</v>
      </c>
      <c r="CQ216">
        <v>0</v>
      </c>
      <c r="CR216">
        <v>0</v>
      </c>
      <c r="CS216">
        <v>0</v>
      </c>
      <c r="CT216">
        <v>0</v>
      </c>
      <c r="CU216">
        <v>0</v>
      </c>
      <c r="CV216">
        <v>0</v>
      </c>
      <c r="CW216">
        <v>0</v>
      </c>
      <c r="CX216">
        <v>12.7</v>
      </c>
      <c r="CY216">
        <v>14</v>
      </c>
      <c r="CZ216">
        <v>23.3</v>
      </c>
      <c r="DA216">
        <v>24.6</v>
      </c>
      <c r="DB216">
        <v>10.199999999999999</v>
      </c>
      <c r="DC216">
        <v>10.7</v>
      </c>
      <c r="DD216">
        <v>16.3</v>
      </c>
      <c r="DE216">
        <v>17.7</v>
      </c>
      <c r="DF216">
        <v>12.7</v>
      </c>
      <c r="DG216">
        <v>14</v>
      </c>
      <c r="DH216">
        <v>23.3</v>
      </c>
      <c r="DI216">
        <v>24.6</v>
      </c>
      <c r="DJ216">
        <v>10.199999999999999</v>
      </c>
      <c r="DK216">
        <v>10.7</v>
      </c>
      <c r="DL216">
        <v>16.3</v>
      </c>
      <c r="DM216">
        <v>17.7</v>
      </c>
      <c r="DN216">
        <v>0</v>
      </c>
      <c r="DO216">
        <v>0</v>
      </c>
      <c r="DP216">
        <v>0</v>
      </c>
      <c r="DQ216">
        <v>0</v>
      </c>
      <c r="DR216">
        <v>0</v>
      </c>
      <c r="DS216">
        <v>0</v>
      </c>
      <c r="DT216">
        <v>0</v>
      </c>
      <c r="DU216">
        <v>0</v>
      </c>
      <c r="DV216" t="s">
        <v>395</v>
      </c>
    </row>
    <row r="217" spans="1:126" x14ac:dyDescent="0.35">
      <c r="A217" t="s">
        <v>455</v>
      </c>
      <c r="B217">
        <v>230103</v>
      </c>
      <c r="C217" s="1">
        <v>44929</v>
      </c>
      <c r="D217" t="s">
        <v>456</v>
      </c>
      <c r="E217" t="s">
        <v>402</v>
      </c>
      <c r="F217" t="s">
        <v>165</v>
      </c>
      <c r="G217" t="s">
        <v>457</v>
      </c>
      <c r="H217">
        <v>43917</v>
      </c>
      <c r="I217" s="17">
        <v>12197</v>
      </c>
      <c r="J217" s="17">
        <v>12897</v>
      </c>
      <c r="K217">
        <v>8863</v>
      </c>
      <c r="L217">
        <v>14340</v>
      </c>
      <c r="M217">
        <v>9897</v>
      </c>
      <c r="N217">
        <v>35400</v>
      </c>
      <c r="O217">
        <v>31657</v>
      </c>
      <c r="P217">
        <v>8517</v>
      </c>
      <c r="Q217">
        <v>12260</v>
      </c>
      <c r="R217">
        <v>43917</v>
      </c>
      <c r="S217">
        <v>12197</v>
      </c>
      <c r="T217">
        <v>12897</v>
      </c>
      <c r="U217">
        <v>8863</v>
      </c>
      <c r="V217">
        <v>14340</v>
      </c>
      <c r="W217">
        <v>9897</v>
      </c>
      <c r="X217">
        <v>35400</v>
      </c>
      <c r="Y217">
        <v>31657</v>
      </c>
      <c r="Z217">
        <v>8517</v>
      </c>
      <c r="AA217">
        <v>12260</v>
      </c>
      <c r="AB217">
        <v>0</v>
      </c>
      <c r="AC217">
        <v>0</v>
      </c>
      <c r="AD217">
        <v>0</v>
      </c>
      <c r="AE217">
        <v>0</v>
      </c>
      <c r="AF217">
        <v>0</v>
      </c>
      <c r="AG217">
        <v>0</v>
      </c>
      <c r="AH217">
        <v>0</v>
      </c>
      <c r="AI217">
        <v>0</v>
      </c>
      <c r="AJ217">
        <v>0</v>
      </c>
      <c r="AK217">
        <v>0</v>
      </c>
      <c r="AL217">
        <v>174</v>
      </c>
      <c r="AM217">
        <v>885</v>
      </c>
      <c r="AN217">
        <v>82</v>
      </c>
      <c r="AO217">
        <v>-111</v>
      </c>
      <c r="AP217">
        <v>-941</v>
      </c>
      <c r="AQ217">
        <v>-436</v>
      </c>
      <c r="AR217">
        <v>-167</v>
      </c>
      <c r="AS217">
        <v>-465</v>
      </c>
      <c r="AT217">
        <v>341</v>
      </c>
      <c r="AU217">
        <v>639</v>
      </c>
      <c r="AV217">
        <v>100</v>
      </c>
      <c r="AW217">
        <v>27.8</v>
      </c>
      <c r="AX217">
        <v>29.4</v>
      </c>
      <c r="AY217">
        <v>20.2</v>
      </c>
      <c r="AZ217">
        <v>32.700000000000003</v>
      </c>
      <c r="BA217">
        <v>22.5</v>
      </c>
      <c r="BB217">
        <v>80.599999999999994</v>
      </c>
      <c r="BC217">
        <v>72.099999999999994</v>
      </c>
      <c r="BD217">
        <v>19.399999999999999</v>
      </c>
      <c r="BE217">
        <v>27.9</v>
      </c>
      <c r="BF217">
        <v>100</v>
      </c>
      <c r="BG217">
        <v>27.8</v>
      </c>
      <c r="BH217">
        <v>29.4</v>
      </c>
      <c r="BI217">
        <v>20.2</v>
      </c>
      <c r="BJ217">
        <v>32.700000000000003</v>
      </c>
      <c r="BK217">
        <v>22.5</v>
      </c>
      <c r="BL217">
        <v>80.599999999999994</v>
      </c>
      <c r="BM217">
        <v>72.099999999999994</v>
      </c>
      <c r="BN217">
        <v>19.399999999999999</v>
      </c>
      <c r="BO217">
        <v>27.9</v>
      </c>
      <c r="BP217">
        <v>0</v>
      </c>
      <c r="BQ217">
        <v>0</v>
      </c>
      <c r="BR217">
        <v>0</v>
      </c>
      <c r="BS217">
        <v>0</v>
      </c>
      <c r="BT217">
        <v>0</v>
      </c>
      <c r="BU217">
        <v>0</v>
      </c>
      <c r="BV217">
        <v>0</v>
      </c>
      <c r="BW217">
        <v>0</v>
      </c>
      <c r="BX217">
        <v>0</v>
      </c>
      <c r="BY217">
        <v>0</v>
      </c>
      <c r="BZ217">
        <v>179</v>
      </c>
      <c r="CA217">
        <v>47</v>
      </c>
      <c r="CB217">
        <v>51</v>
      </c>
      <c r="CC217">
        <v>54</v>
      </c>
      <c r="CD217">
        <v>50</v>
      </c>
      <c r="CE217">
        <v>46</v>
      </c>
      <c r="CF217">
        <v>134</v>
      </c>
      <c r="CG217">
        <v>124</v>
      </c>
      <c r="CH217">
        <v>179</v>
      </c>
      <c r="CI217">
        <v>47</v>
      </c>
      <c r="CJ217">
        <v>51</v>
      </c>
      <c r="CK217">
        <v>54</v>
      </c>
      <c r="CL217">
        <v>50</v>
      </c>
      <c r="CM217">
        <v>46</v>
      </c>
      <c r="CN217">
        <v>134</v>
      </c>
      <c r="CO217">
        <v>124</v>
      </c>
      <c r="CP217">
        <v>0</v>
      </c>
      <c r="CQ217">
        <v>0</v>
      </c>
      <c r="CR217">
        <v>0</v>
      </c>
      <c r="CS217">
        <v>0</v>
      </c>
      <c r="CT217">
        <v>0</v>
      </c>
      <c r="CU217">
        <v>0</v>
      </c>
      <c r="CV217">
        <v>0</v>
      </c>
      <c r="CW217">
        <v>0</v>
      </c>
      <c r="CX217">
        <v>15</v>
      </c>
      <c r="CY217">
        <v>16.3</v>
      </c>
      <c r="CZ217">
        <v>24.9</v>
      </c>
      <c r="DA217">
        <v>26.9</v>
      </c>
      <c r="DB217">
        <v>9.6</v>
      </c>
      <c r="DC217">
        <v>10.9</v>
      </c>
      <c r="DD217">
        <v>16.2</v>
      </c>
      <c r="DE217">
        <v>16.8</v>
      </c>
      <c r="DF217">
        <v>15</v>
      </c>
      <c r="DG217">
        <v>16.3</v>
      </c>
      <c r="DH217">
        <v>24.9</v>
      </c>
      <c r="DI217">
        <v>26.9</v>
      </c>
      <c r="DJ217">
        <v>9.6</v>
      </c>
      <c r="DK217">
        <v>10.9</v>
      </c>
      <c r="DL217">
        <v>16.2</v>
      </c>
      <c r="DM217">
        <v>16.8</v>
      </c>
      <c r="DN217">
        <v>0</v>
      </c>
      <c r="DO217">
        <v>0</v>
      </c>
      <c r="DP217">
        <v>0</v>
      </c>
      <c r="DQ217">
        <v>0</v>
      </c>
      <c r="DR217">
        <v>0</v>
      </c>
      <c r="DS217">
        <v>0</v>
      </c>
      <c r="DT217">
        <v>0</v>
      </c>
      <c r="DU217">
        <v>0</v>
      </c>
      <c r="DV217" t="s">
        <v>395</v>
      </c>
    </row>
    <row r="218" spans="1:126" x14ac:dyDescent="0.35">
      <c r="A218" t="s">
        <v>458</v>
      </c>
      <c r="B218">
        <v>230110</v>
      </c>
      <c r="C218" s="1">
        <v>44936</v>
      </c>
      <c r="D218" t="s">
        <v>459</v>
      </c>
      <c r="E218" t="s">
        <v>402</v>
      </c>
      <c r="F218" t="s">
        <v>165</v>
      </c>
      <c r="G218" t="s">
        <v>460</v>
      </c>
      <c r="H218">
        <v>15761</v>
      </c>
      <c r="I218" s="17">
        <v>1874</v>
      </c>
      <c r="J218" s="17">
        <v>6225</v>
      </c>
      <c r="K218">
        <v>587</v>
      </c>
      <c r="L218">
        <v>12812</v>
      </c>
      <c r="M218">
        <v>8407</v>
      </c>
      <c r="N218">
        <v>15273</v>
      </c>
      <c r="O218">
        <v>15219</v>
      </c>
      <c r="P218">
        <v>488</v>
      </c>
      <c r="Q218">
        <v>542</v>
      </c>
      <c r="R218">
        <v>15761</v>
      </c>
      <c r="S218">
        <v>1874</v>
      </c>
      <c r="T218">
        <v>6225</v>
      </c>
      <c r="U218">
        <v>587</v>
      </c>
      <c r="V218">
        <v>12812</v>
      </c>
      <c r="W218">
        <v>8407</v>
      </c>
      <c r="X218">
        <v>15273</v>
      </c>
      <c r="Y218">
        <v>15219</v>
      </c>
      <c r="Z218">
        <v>488</v>
      </c>
      <c r="AA218">
        <v>542</v>
      </c>
      <c r="AB218">
        <v>0</v>
      </c>
      <c r="AC218">
        <v>0</v>
      </c>
      <c r="AD218">
        <v>0</v>
      </c>
      <c r="AE218">
        <v>0</v>
      </c>
      <c r="AF218">
        <v>0</v>
      </c>
      <c r="AG218">
        <v>0</v>
      </c>
      <c r="AH218">
        <v>0</v>
      </c>
      <c r="AI218">
        <v>0</v>
      </c>
      <c r="AJ218">
        <v>0</v>
      </c>
      <c r="AK218">
        <v>0</v>
      </c>
      <c r="AL218">
        <v>-2408</v>
      </c>
      <c r="AM218">
        <v>-202</v>
      </c>
      <c r="AN218">
        <v>-604</v>
      </c>
      <c r="AO218">
        <v>-50</v>
      </c>
      <c r="AP218">
        <v>-2165</v>
      </c>
      <c r="AQ218">
        <v>-1720</v>
      </c>
      <c r="AR218">
        <v>-2417</v>
      </c>
      <c r="AS218">
        <v>-2374</v>
      </c>
      <c r="AT218">
        <v>9</v>
      </c>
      <c r="AU218">
        <v>-34</v>
      </c>
      <c r="AV218">
        <v>100</v>
      </c>
      <c r="AW218">
        <v>11.9</v>
      </c>
      <c r="AX218">
        <v>39.5</v>
      </c>
      <c r="AY218">
        <v>3.7</v>
      </c>
      <c r="AZ218">
        <v>81.3</v>
      </c>
      <c r="BA218">
        <v>53.3</v>
      </c>
      <c r="BB218">
        <v>96.9</v>
      </c>
      <c r="BC218">
        <v>96.6</v>
      </c>
      <c r="BD218">
        <v>3.1</v>
      </c>
      <c r="BE218">
        <v>3.4</v>
      </c>
      <c r="BF218">
        <v>100</v>
      </c>
      <c r="BG218">
        <v>11.9</v>
      </c>
      <c r="BH218">
        <v>39.5</v>
      </c>
      <c r="BI218">
        <v>3.7</v>
      </c>
      <c r="BJ218">
        <v>81.3</v>
      </c>
      <c r="BK218">
        <v>53.3</v>
      </c>
      <c r="BL218">
        <v>96.9</v>
      </c>
      <c r="BM218">
        <v>96.6</v>
      </c>
      <c r="BN218">
        <v>3.1</v>
      </c>
      <c r="BO218">
        <v>3.4</v>
      </c>
      <c r="BP218">
        <v>0</v>
      </c>
      <c r="BQ218">
        <v>0</v>
      </c>
      <c r="BR218">
        <v>0</v>
      </c>
      <c r="BS218">
        <v>0</v>
      </c>
      <c r="BT218">
        <v>0</v>
      </c>
      <c r="BU218">
        <v>0</v>
      </c>
      <c r="BV218">
        <v>0</v>
      </c>
      <c r="BW218">
        <v>0</v>
      </c>
      <c r="BX218">
        <v>0</v>
      </c>
      <c r="BY218">
        <v>0</v>
      </c>
      <c r="BZ218">
        <v>43</v>
      </c>
      <c r="CA218">
        <v>3</v>
      </c>
      <c r="CB218">
        <v>12</v>
      </c>
      <c r="CC218">
        <v>5</v>
      </c>
      <c r="CD218">
        <v>21</v>
      </c>
      <c r="CE218">
        <v>17</v>
      </c>
      <c r="CF218">
        <v>28</v>
      </c>
      <c r="CG218">
        <v>30</v>
      </c>
      <c r="CH218">
        <v>43</v>
      </c>
      <c r="CI218">
        <v>3</v>
      </c>
      <c r="CJ218">
        <v>12</v>
      </c>
      <c r="CK218">
        <v>5</v>
      </c>
      <c r="CL218">
        <v>21</v>
      </c>
      <c r="CM218">
        <v>17</v>
      </c>
      <c r="CN218">
        <v>28</v>
      </c>
      <c r="CO218">
        <v>30</v>
      </c>
      <c r="CP218">
        <v>0</v>
      </c>
      <c r="CQ218">
        <v>0</v>
      </c>
      <c r="CR218">
        <v>0</v>
      </c>
      <c r="CS218">
        <v>0</v>
      </c>
      <c r="CT218">
        <v>0</v>
      </c>
      <c r="CU218">
        <v>0</v>
      </c>
      <c r="CV218">
        <v>0</v>
      </c>
      <c r="CW218">
        <v>0</v>
      </c>
      <c r="CX218">
        <v>53.9</v>
      </c>
      <c r="CY218">
        <v>57</v>
      </c>
      <c r="CZ218">
        <v>78</v>
      </c>
      <c r="DA218">
        <v>74.900000000000006</v>
      </c>
      <c r="DB218">
        <v>53.8</v>
      </c>
      <c r="DC218">
        <v>56.8</v>
      </c>
      <c r="DD218">
        <v>76.599999999999994</v>
      </c>
      <c r="DE218">
        <v>74.599999999999994</v>
      </c>
      <c r="DF218">
        <v>53.9</v>
      </c>
      <c r="DG218">
        <v>57</v>
      </c>
      <c r="DH218">
        <v>78</v>
      </c>
      <c r="DI218">
        <v>74.900000000000006</v>
      </c>
      <c r="DJ218">
        <v>53.8</v>
      </c>
      <c r="DK218">
        <v>56.8</v>
      </c>
      <c r="DL218">
        <v>76.599999999999994</v>
      </c>
      <c r="DM218">
        <v>74.599999999999994</v>
      </c>
      <c r="DN218">
        <v>0</v>
      </c>
      <c r="DO218">
        <v>0</v>
      </c>
      <c r="DP218">
        <v>0</v>
      </c>
      <c r="DQ218">
        <v>0</v>
      </c>
      <c r="DR218">
        <v>0</v>
      </c>
      <c r="DS218">
        <v>0</v>
      </c>
      <c r="DT218">
        <v>0</v>
      </c>
      <c r="DU218">
        <v>0</v>
      </c>
      <c r="DV218" t="s">
        <v>435</v>
      </c>
    </row>
    <row r="219" spans="1:126" x14ac:dyDescent="0.35">
      <c r="A219" t="s">
        <v>458</v>
      </c>
      <c r="B219">
        <v>230103</v>
      </c>
      <c r="C219" s="1">
        <v>44929</v>
      </c>
      <c r="D219" t="s">
        <v>459</v>
      </c>
      <c r="E219" t="s">
        <v>402</v>
      </c>
      <c r="F219" t="s">
        <v>165</v>
      </c>
      <c r="G219" t="s">
        <v>460</v>
      </c>
      <c r="H219">
        <v>18169</v>
      </c>
      <c r="I219" s="17">
        <v>2076</v>
      </c>
      <c r="J219" s="17">
        <v>6829</v>
      </c>
      <c r="K219">
        <v>637</v>
      </c>
      <c r="L219">
        <v>14977</v>
      </c>
      <c r="M219">
        <v>10127</v>
      </c>
      <c r="N219">
        <v>17690</v>
      </c>
      <c r="O219">
        <v>17593</v>
      </c>
      <c r="P219">
        <v>479</v>
      </c>
      <c r="Q219">
        <v>576</v>
      </c>
      <c r="R219">
        <v>18169</v>
      </c>
      <c r="S219">
        <v>2076</v>
      </c>
      <c r="T219">
        <v>6829</v>
      </c>
      <c r="U219">
        <v>637</v>
      </c>
      <c r="V219">
        <v>14977</v>
      </c>
      <c r="W219">
        <v>10127</v>
      </c>
      <c r="X219">
        <v>17690</v>
      </c>
      <c r="Y219">
        <v>17593</v>
      </c>
      <c r="Z219">
        <v>479</v>
      </c>
      <c r="AA219">
        <v>576</v>
      </c>
      <c r="AB219">
        <v>0</v>
      </c>
      <c r="AC219">
        <v>0</v>
      </c>
      <c r="AD219">
        <v>0</v>
      </c>
      <c r="AE219">
        <v>0</v>
      </c>
      <c r="AF219">
        <v>0</v>
      </c>
      <c r="AG219">
        <v>0</v>
      </c>
      <c r="AH219">
        <v>0</v>
      </c>
      <c r="AI219">
        <v>0</v>
      </c>
      <c r="AJ219">
        <v>0</v>
      </c>
      <c r="AK219">
        <v>0</v>
      </c>
      <c r="AL219">
        <v>571</v>
      </c>
      <c r="AM219">
        <v>-5</v>
      </c>
      <c r="AN219">
        <v>422</v>
      </c>
      <c r="AO219">
        <v>-66</v>
      </c>
      <c r="AP219">
        <v>629</v>
      </c>
      <c r="AQ219">
        <v>202</v>
      </c>
      <c r="AR219">
        <v>558</v>
      </c>
      <c r="AS219">
        <v>558</v>
      </c>
      <c r="AT219">
        <v>13</v>
      </c>
      <c r="AU219">
        <v>13</v>
      </c>
      <c r="AV219">
        <v>100</v>
      </c>
      <c r="AW219">
        <v>11.4</v>
      </c>
      <c r="AX219">
        <v>37.6</v>
      </c>
      <c r="AY219">
        <v>3.5</v>
      </c>
      <c r="AZ219">
        <v>82.4</v>
      </c>
      <c r="BA219">
        <v>55.7</v>
      </c>
      <c r="BB219">
        <v>97.4</v>
      </c>
      <c r="BC219">
        <v>96.8</v>
      </c>
      <c r="BD219">
        <v>2.6</v>
      </c>
      <c r="BE219">
        <v>3.2</v>
      </c>
      <c r="BF219">
        <v>100</v>
      </c>
      <c r="BG219">
        <v>11.4</v>
      </c>
      <c r="BH219">
        <v>37.6</v>
      </c>
      <c r="BI219">
        <v>3.5</v>
      </c>
      <c r="BJ219">
        <v>82.4</v>
      </c>
      <c r="BK219">
        <v>55.7</v>
      </c>
      <c r="BL219">
        <v>97.4</v>
      </c>
      <c r="BM219">
        <v>96.8</v>
      </c>
      <c r="BN219">
        <v>2.6</v>
      </c>
      <c r="BO219">
        <v>3.2</v>
      </c>
      <c r="BP219">
        <v>0</v>
      </c>
      <c r="BQ219">
        <v>0</v>
      </c>
      <c r="BR219">
        <v>0</v>
      </c>
      <c r="BS219">
        <v>0</v>
      </c>
      <c r="BT219">
        <v>0</v>
      </c>
      <c r="BU219">
        <v>0</v>
      </c>
      <c r="BV219">
        <v>0</v>
      </c>
      <c r="BW219">
        <v>0</v>
      </c>
      <c r="BX219">
        <v>0</v>
      </c>
      <c r="BY219">
        <v>0</v>
      </c>
      <c r="BZ219">
        <v>47</v>
      </c>
      <c r="CA219">
        <v>3</v>
      </c>
      <c r="CB219">
        <v>12</v>
      </c>
      <c r="CC219">
        <v>6</v>
      </c>
      <c r="CD219">
        <v>24</v>
      </c>
      <c r="CE219">
        <v>22</v>
      </c>
      <c r="CF219">
        <v>32</v>
      </c>
      <c r="CG219">
        <v>35</v>
      </c>
      <c r="CH219">
        <v>47</v>
      </c>
      <c r="CI219">
        <v>3</v>
      </c>
      <c r="CJ219">
        <v>12</v>
      </c>
      <c r="CK219">
        <v>6</v>
      </c>
      <c r="CL219">
        <v>24</v>
      </c>
      <c r="CM219">
        <v>22</v>
      </c>
      <c r="CN219">
        <v>32</v>
      </c>
      <c r="CO219">
        <v>35</v>
      </c>
      <c r="CP219">
        <v>0</v>
      </c>
      <c r="CQ219">
        <v>0</v>
      </c>
      <c r="CR219">
        <v>0</v>
      </c>
      <c r="CS219">
        <v>0</v>
      </c>
      <c r="CT219">
        <v>0</v>
      </c>
      <c r="CU219">
        <v>0</v>
      </c>
      <c r="CV219">
        <v>0</v>
      </c>
      <c r="CW219">
        <v>0</v>
      </c>
      <c r="CX219">
        <v>53.2</v>
      </c>
      <c r="CY219">
        <v>56.1</v>
      </c>
      <c r="CZ219">
        <v>77.099999999999994</v>
      </c>
      <c r="DA219">
        <v>73.400000000000006</v>
      </c>
      <c r="DB219">
        <v>53</v>
      </c>
      <c r="DC219">
        <v>55.9</v>
      </c>
      <c r="DD219">
        <v>73.900000000000006</v>
      </c>
      <c r="DE219">
        <v>72.2</v>
      </c>
      <c r="DF219">
        <v>53.2</v>
      </c>
      <c r="DG219">
        <v>56.1</v>
      </c>
      <c r="DH219">
        <v>77.099999999999994</v>
      </c>
      <c r="DI219">
        <v>73.400000000000006</v>
      </c>
      <c r="DJ219">
        <v>53</v>
      </c>
      <c r="DK219">
        <v>55.9</v>
      </c>
      <c r="DL219">
        <v>73.900000000000006</v>
      </c>
      <c r="DM219">
        <v>72.2</v>
      </c>
      <c r="DN219">
        <v>0</v>
      </c>
      <c r="DO219">
        <v>0</v>
      </c>
      <c r="DP219">
        <v>0</v>
      </c>
      <c r="DQ219">
        <v>0</v>
      </c>
      <c r="DR219">
        <v>0</v>
      </c>
      <c r="DS219">
        <v>0</v>
      </c>
      <c r="DT219">
        <v>0</v>
      </c>
      <c r="DU219">
        <v>0</v>
      </c>
      <c r="DV219" t="s">
        <v>435</v>
      </c>
    </row>
    <row r="220" spans="1:126" x14ac:dyDescent="0.35">
      <c r="A220" t="s">
        <v>461</v>
      </c>
      <c r="B220">
        <v>230110</v>
      </c>
      <c r="C220" s="1">
        <v>44936</v>
      </c>
      <c r="D220" t="s">
        <v>462</v>
      </c>
      <c r="E220" t="s">
        <v>184</v>
      </c>
      <c r="F220" t="s">
        <v>185</v>
      </c>
      <c r="G220" t="s">
        <v>463</v>
      </c>
      <c r="H220">
        <v>25979</v>
      </c>
      <c r="I220" s="17">
        <v>604</v>
      </c>
      <c r="J220" s="17">
        <v>200</v>
      </c>
      <c r="K220">
        <v>0</v>
      </c>
      <c r="L220">
        <v>25239</v>
      </c>
      <c r="M220">
        <v>25754</v>
      </c>
      <c r="N220">
        <v>25843</v>
      </c>
      <c r="O220">
        <v>25954</v>
      </c>
      <c r="P220">
        <v>136</v>
      </c>
      <c r="Q220">
        <v>25</v>
      </c>
      <c r="R220">
        <v>25979</v>
      </c>
      <c r="S220">
        <v>604</v>
      </c>
      <c r="T220">
        <v>200</v>
      </c>
      <c r="U220">
        <v>0</v>
      </c>
      <c r="V220">
        <v>25239</v>
      </c>
      <c r="W220">
        <v>25754</v>
      </c>
      <c r="X220">
        <v>25843</v>
      </c>
      <c r="Y220">
        <v>25954</v>
      </c>
      <c r="Z220">
        <v>136</v>
      </c>
      <c r="AA220">
        <v>25</v>
      </c>
      <c r="AB220">
        <v>0</v>
      </c>
      <c r="AC220">
        <v>0</v>
      </c>
      <c r="AD220">
        <v>0</v>
      </c>
      <c r="AE220">
        <v>0</v>
      </c>
      <c r="AF220">
        <v>0</v>
      </c>
      <c r="AG220">
        <v>0</v>
      </c>
      <c r="AH220">
        <v>0</v>
      </c>
      <c r="AI220">
        <v>0</v>
      </c>
      <c r="AJ220">
        <v>0</v>
      </c>
      <c r="AK220">
        <v>0</v>
      </c>
      <c r="AL220">
        <v>735</v>
      </c>
      <c r="AM220">
        <v>15</v>
      </c>
      <c r="AN220">
        <v>200</v>
      </c>
      <c r="AO220">
        <v>0</v>
      </c>
      <c r="AP220">
        <v>725</v>
      </c>
      <c r="AQ220">
        <v>530</v>
      </c>
      <c r="AR220">
        <v>740</v>
      </c>
      <c r="AS220">
        <v>730</v>
      </c>
      <c r="AT220">
        <v>-5</v>
      </c>
      <c r="AU220">
        <v>5</v>
      </c>
      <c r="AV220">
        <v>100</v>
      </c>
      <c r="AW220">
        <v>2.2999999999999998</v>
      </c>
      <c r="AX220">
        <v>0.8</v>
      </c>
      <c r="AY220">
        <v>0</v>
      </c>
      <c r="AZ220">
        <v>97.2</v>
      </c>
      <c r="BA220">
        <v>99.1</v>
      </c>
      <c r="BB220">
        <v>99.5</v>
      </c>
      <c r="BC220">
        <v>99.9</v>
      </c>
      <c r="BD220">
        <v>0.5</v>
      </c>
      <c r="BE220">
        <v>0.1</v>
      </c>
      <c r="BF220">
        <v>100</v>
      </c>
      <c r="BG220">
        <v>2.2999999999999998</v>
      </c>
      <c r="BH220">
        <v>0.8</v>
      </c>
      <c r="BI220">
        <v>0</v>
      </c>
      <c r="BJ220">
        <v>97.2</v>
      </c>
      <c r="BK220">
        <v>99.1</v>
      </c>
      <c r="BL220">
        <v>99.5</v>
      </c>
      <c r="BM220">
        <v>99.9</v>
      </c>
      <c r="BN220">
        <v>0.5</v>
      </c>
      <c r="BO220">
        <v>0.1</v>
      </c>
      <c r="BP220">
        <v>0</v>
      </c>
      <c r="BQ220">
        <v>0</v>
      </c>
      <c r="BR220">
        <v>0</v>
      </c>
      <c r="BS220">
        <v>0</v>
      </c>
      <c r="BT220">
        <v>0</v>
      </c>
      <c r="BU220">
        <v>0</v>
      </c>
      <c r="BV220">
        <v>0</v>
      </c>
      <c r="BW220">
        <v>0</v>
      </c>
      <c r="BX220">
        <v>0</v>
      </c>
      <c r="BY220">
        <v>0</v>
      </c>
      <c r="BZ220">
        <v>34</v>
      </c>
      <c r="CA220">
        <v>6</v>
      </c>
      <c r="CB220">
        <v>1</v>
      </c>
      <c r="CC220">
        <v>0</v>
      </c>
      <c r="CD220">
        <v>22</v>
      </c>
      <c r="CE220">
        <v>22</v>
      </c>
      <c r="CF220">
        <v>28</v>
      </c>
      <c r="CG220">
        <v>23</v>
      </c>
      <c r="CH220">
        <v>34</v>
      </c>
      <c r="CI220">
        <v>6</v>
      </c>
      <c r="CJ220">
        <v>1</v>
      </c>
      <c r="CK220">
        <v>0</v>
      </c>
      <c r="CL220">
        <v>22</v>
      </c>
      <c r="CM220">
        <v>22</v>
      </c>
      <c r="CN220">
        <v>28</v>
      </c>
      <c r="CO220">
        <v>23</v>
      </c>
      <c r="CP220">
        <v>0</v>
      </c>
      <c r="CQ220">
        <v>0</v>
      </c>
      <c r="CR220">
        <v>0</v>
      </c>
      <c r="CS220">
        <v>0</v>
      </c>
      <c r="CT220">
        <v>0</v>
      </c>
      <c r="CU220">
        <v>0</v>
      </c>
      <c r="CV220">
        <v>0</v>
      </c>
      <c r="CW220">
        <v>0</v>
      </c>
      <c r="CX220">
        <v>70.5</v>
      </c>
      <c r="CY220">
        <v>50.9</v>
      </c>
      <c r="CZ220">
        <v>84.7</v>
      </c>
      <c r="DA220">
        <v>78.099999999999994</v>
      </c>
      <c r="DB220">
        <v>62.7</v>
      </c>
      <c r="DC220">
        <v>39.700000000000003</v>
      </c>
      <c r="DD220">
        <v>67.5</v>
      </c>
      <c r="DE220">
        <v>58.4</v>
      </c>
      <c r="DF220">
        <v>70.5</v>
      </c>
      <c r="DG220">
        <v>50.9</v>
      </c>
      <c r="DH220">
        <v>84.7</v>
      </c>
      <c r="DI220">
        <v>78.099999999999994</v>
      </c>
      <c r="DJ220">
        <v>62.7</v>
      </c>
      <c r="DK220">
        <v>39.700000000000003</v>
      </c>
      <c r="DL220">
        <v>67.5</v>
      </c>
      <c r="DM220">
        <v>58.4</v>
      </c>
      <c r="DN220">
        <v>0</v>
      </c>
      <c r="DO220">
        <v>0</v>
      </c>
      <c r="DP220">
        <v>0</v>
      </c>
      <c r="DQ220">
        <v>0</v>
      </c>
      <c r="DR220">
        <v>0</v>
      </c>
      <c r="DS220">
        <v>0</v>
      </c>
      <c r="DT220">
        <v>0</v>
      </c>
      <c r="DU220">
        <v>0</v>
      </c>
      <c r="DV220" t="s">
        <v>464</v>
      </c>
    </row>
    <row r="221" spans="1:126" x14ac:dyDescent="0.35">
      <c r="A221" t="s">
        <v>461</v>
      </c>
      <c r="B221">
        <v>230103</v>
      </c>
      <c r="C221" s="1">
        <v>44929</v>
      </c>
      <c r="D221" t="s">
        <v>462</v>
      </c>
      <c r="E221" t="s">
        <v>184</v>
      </c>
      <c r="F221" t="s">
        <v>185</v>
      </c>
      <c r="G221" t="s">
        <v>463</v>
      </c>
      <c r="H221">
        <v>25244</v>
      </c>
      <c r="I221" s="17">
        <v>589</v>
      </c>
      <c r="J221" s="17">
        <v>0</v>
      </c>
      <c r="K221">
        <v>0</v>
      </c>
      <c r="L221">
        <v>24514</v>
      </c>
      <c r="M221">
        <v>25224</v>
      </c>
      <c r="N221">
        <v>25103</v>
      </c>
      <c r="O221">
        <v>25224</v>
      </c>
      <c r="P221">
        <v>141</v>
      </c>
      <c r="Q221">
        <v>20</v>
      </c>
      <c r="R221">
        <v>25244</v>
      </c>
      <c r="S221">
        <v>589</v>
      </c>
      <c r="T221">
        <v>0</v>
      </c>
      <c r="U221">
        <v>0</v>
      </c>
      <c r="V221">
        <v>24514</v>
      </c>
      <c r="W221">
        <v>25224</v>
      </c>
      <c r="X221">
        <v>25103</v>
      </c>
      <c r="Y221">
        <v>25224</v>
      </c>
      <c r="Z221">
        <v>141</v>
      </c>
      <c r="AA221">
        <v>20</v>
      </c>
      <c r="AB221">
        <v>0</v>
      </c>
      <c r="AC221">
        <v>0</v>
      </c>
      <c r="AD221">
        <v>0</v>
      </c>
      <c r="AE221">
        <v>0</v>
      </c>
      <c r="AF221">
        <v>0</v>
      </c>
      <c r="AG221">
        <v>0</v>
      </c>
      <c r="AH221">
        <v>0</v>
      </c>
      <c r="AI221">
        <v>0</v>
      </c>
      <c r="AJ221">
        <v>0</v>
      </c>
      <c r="AK221">
        <v>0</v>
      </c>
      <c r="AL221">
        <v>-904</v>
      </c>
      <c r="AM221">
        <v>-26</v>
      </c>
      <c r="AN221">
        <v>-25</v>
      </c>
      <c r="AO221">
        <v>0</v>
      </c>
      <c r="AP221">
        <v>-893</v>
      </c>
      <c r="AQ221">
        <v>-863</v>
      </c>
      <c r="AR221">
        <v>-919</v>
      </c>
      <c r="AS221">
        <v>-888</v>
      </c>
      <c r="AT221">
        <v>15</v>
      </c>
      <c r="AU221">
        <v>-16</v>
      </c>
      <c r="AV221">
        <v>100</v>
      </c>
      <c r="AW221">
        <v>2.2999999999999998</v>
      </c>
      <c r="AX221">
        <v>0</v>
      </c>
      <c r="AY221">
        <v>0</v>
      </c>
      <c r="AZ221">
        <v>97.1</v>
      </c>
      <c r="BA221">
        <v>99.9</v>
      </c>
      <c r="BB221">
        <v>99.4</v>
      </c>
      <c r="BC221">
        <v>99.9</v>
      </c>
      <c r="BD221">
        <v>0.6</v>
      </c>
      <c r="BE221">
        <v>0.1</v>
      </c>
      <c r="BF221">
        <v>100</v>
      </c>
      <c r="BG221">
        <v>2.2999999999999998</v>
      </c>
      <c r="BH221">
        <v>0</v>
      </c>
      <c r="BI221">
        <v>0</v>
      </c>
      <c r="BJ221">
        <v>97.1</v>
      </c>
      <c r="BK221">
        <v>99.9</v>
      </c>
      <c r="BL221">
        <v>99.4</v>
      </c>
      <c r="BM221">
        <v>99.9</v>
      </c>
      <c r="BN221">
        <v>0.6</v>
      </c>
      <c r="BO221">
        <v>0.1</v>
      </c>
      <c r="BP221">
        <v>0</v>
      </c>
      <c r="BQ221">
        <v>0</v>
      </c>
      <c r="BR221">
        <v>0</v>
      </c>
      <c r="BS221">
        <v>0</v>
      </c>
      <c r="BT221">
        <v>0</v>
      </c>
      <c r="BU221">
        <v>0</v>
      </c>
      <c r="BV221">
        <v>0</v>
      </c>
      <c r="BW221">
        <v>0</v>
      </c>
      <c r="BX221">
        <v>0</v>
      </c>
      <c r="BY221">
        <v>0</v>
      </c>
      <c r="BZ221">
        <v>33</v>
      </c>
      <c r="CA221">
        <v>6</v>
      </c>
      <c r="CB221">
        <v>0</v>
      </c>
      <c r="CC221">
        <v>0</v>
      </c>
      <c r="CD221">
        <v>22</v>
      </c>
      <c r="CE221">
        <v>22</v>
      </c>
      <c r="CF221">
        <v>28</v>
      </c>
      <c r="CG221">
        <v>22</v>
      </c>
      <c r="CH221">
        <v>33</v>
      </c>
      <c r="CI221">
        <v>6</v>
      </c>
      <c r="CJ221">
        <v>0</v>
      </c>
      <c r="CK221">
        <v>0</v>
      </c>
      <c r="CL221">
        <v>22</v>
      </c>
      <c r="CM221">
        <v>22</v>
      </c>
      <c r="CN221">
        <v>28</v>
      </c>
      <c r="CO221">
        <v>22</v>
      </c>
      <c r="CP221">
        <v>0</v>
      </c>
      <c r="CQ221">
        <v>0</v>
      </c>
      <c r="CR221">
        <v>0</v>
      </c>
      <c r="CS221">
        <v>0</v>
      </c>
      <c r="CT221">
        <v>0</v>
      </c>
      <c r="CU221">
        <v>0</v>
      </c>
      <c r="CV221">
        <v>0</v>
      </c>
      <c r="CW221">
        <v>0</v>
      </c>
      <c r="CX221">
        <v>71.099999999999994</v>
      </c>
      <c r="CY221">
        <v>51</v>
      </c>
      <c r="CZ221">
        <v>86.4</v>
      </c>
      <c r="DA221">
        <v>78.900000000000006</v>
      </c>
      <c r="DB221">
        <v>63.4</v>
      </c>
      <c r="DC221">
        <v>40</v>
      </c>
      <c r="DD221">
        <v>68.5</v>
      </c>
      <c r="DE221">
        <v>60</v>
      </c>
      <c r="DF221">
        <v>71.099999999999994</v>
      </c>
      <c r="DG221">
        <v>51</v>
      </c>
      <c r="DH221">
        <v>86.4</v>
      </c>
      <c r="DI221">
        <v>78.900000000000006</v>
      </c>
      <c r="DJ221">
        <v>63.4</v>
      </c>
      <c r="DK221">
        <v>40</v>
      </c>
      <c r="DL221">
        <v>68.5</v>
      </c>
      <c r="DM221">
        <v>60</v>
      </c>
      <c r="DN221">
        <v>0</v>
      </c>
      <c r="DO221">
        <v>0</v>
      </c>
      <c r="DP221">
        <v>0</v>
      </c>
      <c r="DQ221">
        <v>0</v>
      </c>
      <c r="DR221">
        <v>0</v>
      </c>
      <c r="DS221">
        <v>0</v>
      </c>
      <c r="DT221">
        <v>0</v>
      </c>
      <c r="DU221">
        <v>0</v>
      </c>
      <c r="DV221" t="s">
        <v>464</v>
      </c>
    </row>
    <row r="222" spans="1:126" x14ac:dyDescent="0.35">
      <c r="A222" t="s">
        <v>465</v>
      </c>
      <c r="B222">
        <v>230110</v>
      </c>
      <c r="C222" s="1">
        <v>44936</v>
      </c>
      <c r="D222" t="s">
        <v>466</v>
      </c>
      <c r="E222" t="s">
        <v>184</v>
      </c>
      <c r="F222" t="s">
        <v>185</v>
      </c>
      <c r="G222" t="s">
        <v>463</v>
      </c>
      <c r="H222">
        <v>18531</v>
      </c>
      <c r="I222" s="17">
        <v>2145</v>
      </c>
      <c r="J222" s="17">
        <v>0</v>
      </c>
      <c r="K222">
        <v>97</v>
      </c>
      <c r="L222">
        <v>16289</v>
      </c>
      <c r="M222">
        <v>18434</v>
      </c>
      <c r="N222">
        <v>18531</v>
      </c>
      <c r="O222">
        <v>18531</v>
      </c>
      <c r="P222">
        <v>0</v>
      </c>
      <c r="Q222">
        <v>0</v>
      </c>
      <c r="R222">
        <v>18531</v>
      </c>
      <c r="S222">
        <v>2145</v>
      </c>
      <c r="T222">
        <v>0</v>
      </c>
      <c r="U222">
        <v>97</v>
      </c>
      <c r="V222">
        <v>16289</v>
      </c>
      <c r="W222">
        <v>18434</v>
      </c>
      <c r="X222">
        <v>18531</v>
      </c>
      <c r="Y222">
        <v>18531</v>
      </c>
      <c r="Z222">
        <v>0</v>
      </c>
      <c r="AA222">
        <v>0</v>
      </c>
      <c r="AB222">
        <v>0</v>
      </c>
      <c r="AC222">
        <v>0</v>
      </c>
      <c r="AD222">
        <v>0</v>
      </c>
      <c r="AE222">
        <v>0</v>
      </c>
      <c r="AF222">
        <v>0</v>
      </c>
      <c r="AG222">
        <v>0</v>
      </c>
      <c r="AH222">
        <v>0</v>
      </c>
      <c r="AI222">
        <v>0</v>
      </c>
      <c r="AJ222">
        <v>0</v>
      </c>
      <c r="AK222">
        <v>0</v>
      </c>
      <c r="AL222">
        <v>155</v>
      </c>
      <c r="AM222">
        <v>-55</v>
      </c>
      <c r="AN222">
        <v>0</v>
      </c>
      <c r="AO222">
        <v>60</v>
      </c>
      <c r="AP222">
        <v>150</v>
      </c>
      <c r="AQ222">
        <v>105</v>
      </c>
      <c r="AR222">
        <v>155</v>
      </c>
      <c r="AS222">
        <v>165</v>
      </c>
      <c r="AT222">
        <v>0</v>
      </c>
      <c r="AU222">
        <v>-10</v>
      </c>
      <c r="AV222">
        <v>100</v>
      </c>
      <c r="AW222">
        <v>11.6</v>
      </c>
      <c r="AX222">
        <v>0</v>
      </c>
      <c r="AY222">
        <v>0.5</v>
      </c>
      <c r="AZ222">
        <v>87.9</v>
      </c>
      <c r="BA222">
        <v>99.5</v>
      </c>
      <c r="BB222">
        <v>100</v>
      </c>
      <c r="BC222">
        <v>100</v>
      </c>
      <c r="BD222">
        <v>0</v>
      </c>
      <c r="BE222">
        <v>0</v>
      </c>
      <c r="BF222">
        <v>100</v>
      </c>
      <c r="BG222">
        <v>11.6</v>
      </c>
      <c r="BH222">
        <v>0</v>
      </c>
      <c r="BI222">
        <v>0.5</v>
      </c>
      <c r="BJ222">
        <v>87.9</v>
      </c>
      <c r="BK222">
        <v>99.5</v>
      </c>
      <c r="BL222">
        <v>100</v>
      </c>
      <c r="BM222">
        <v>100</v>
      </c>
      <c r="BN222">
        <v>0</v>
      </c>
      <c r="BO222">
        <v>0</v>
      </c>
      <c r="BP222">
        <v>0</v>
      </c>
      <c r="BQ222">
        <v>0</v>
      </c>
      <c r="BR222">
        <v>0</v>
      </c>
      <c r="BS222">
        <v>0</v>
      </c>
      <c r="BT222">
        <v>0</v>
      </c>
      <c r="BU222">
        <v>0</v>
      </c>
      <c r="BV222">
        <v>0</v>
      </c>
      <c r="BW222">
        <v>0</v>
      </c>
      <c r="BX222">
        <v>0</v>
      </c>
      <c r="BY222">
        <v>0</v>
      </c>
      <c r="BZ222">
        <v>29</v>
      </c>
      <c r="CA222">
        <v>3</v>
      </c>
      <c r="CB222">
        <v>0</v>
      </c>
      <c r="CC222">
        <v>2</v>
      </c>
      <c r="CD222">
        <v>19</v>
      </c>
      <c r="CE222">
        <v>18</v>
      </c>
      <c r="CF222">
        <v>23</v>
      </c>
      <c r="CG222">
        <v>20</v>
      </c>
      <c r="CH222">
        <v>29</v>
      </c>
      <c r="CI222">
        <v>3</v>
      </c>
      <c r="CJ222">
        <v>0</v>
      </c>
      <c r="CK222">
        <v>2</v>
      </c>
      <c r="CL222">
        <v>19</v>
      </c>
      <c r="CM222">
        <v>18</v>
      </c>
      <c r="CN222">
        <v>23</v>
      </c>
      <c r="CO222">
        <v>20</v>
      </c>
      <c r="CP222">
        <v>0</v>
      </c>
      <c r="CQ222">
        <v>0</v>
      </c>
      <c r="CR222">
        <v>0</v>
      </c>
      <c r="CS222">
        <v>0</v>
      </c>
      <c r="CT222">
        <v>0</v>
      </c>
      <c r="CU222">
        <v>0</v>
      </c>
      <c r="CV222">
        <v>0</v>
      </c>
      <c r="CW222">
        <v>0</v>
      </c>
      <c r="CX222">
        <v>47.4</v>
      </c>
      <c r="CY222">
        <v>61.7</v>
      </c>
      <c r="CZ222">
        <v>73.900000000000006</v>
      </c>
      <c r="DA222">
        <v>87.8</v>
      </c>
      <c r="DB222">
        <v>44.5</v>
      </c>
      <c r="DC222">
        <v>50.4</v>
      </c>
      <c r="DD222">
        <v>62.3</v>
      </c>
      <c r="DE222">
        <v>70.3</v>
      </c>
      <c r="DF222">
        <v>47.4</v>
      </c>
      <c r="DG222">
        <v>61.7</v>
      </c>
      <c r="DH222">
        <v>73.900000000000006</v>
      </c>
      <c r="DI222">
        <v>87.8</v>
      </c>
      <c r="DJ222">
        <v>44.5</v>
      </c>
      <c r="DK222">
        <v>50.4</v>
      </c>
      <c r="DL222">
        <v>62.3</v>
      </c>
      <c r="DM222">
        <v>70.3</v>
      </c>
      <c r="DN222">
        <v>0</v>
      </c>
      <c r="DO222">
        <v>0</v>
      </c>
      <c r="DP222">
        <v>0</v>
      </c>
      <c r="DQ222">
        <v>0</v>
      </c>
      <c r="DR222">
        <v>0</v>
      </c>
      <c r="DS222">
        <v>0</v>
      </c>
      <c r="DT222">
        <v>0</v>
      </c>
      <c r="DU222">
        <v>0</v>
      </c>
      <c r="DV222" t="s">
        <v>467</v>
      </c>
    </row>
    <row r="223" spans="1:126" x14ac:dyDescent="0.35">
      <c r="A223" t="s">
        <v>465</v>
      </c>
      <c r="B223">
        <v>230103</v>
      </c>
      <c r="C223" s="1">
        <v>44929</v>
      </c>
      <c r="D223" t="s">
        <v>466</v>
      </c>
      <c r="E223" t="s">
        <v>184</v>
      </c>
      <c r="F223" t="s">
        <v>185</v>
      </c>
      <c r="G223" t="s">
        <v>463</v>
      </c>
      <c r="H223">
        <v>18376</v>
      </c>
      <c r="I223" s="17">
        <v>2200</v>
      </c>
      <c r="J223" s="17">
        <v>0</v>
      </c>
      <c r="K223">
        <v>37</v>
      </c>
      <c r="L223">
        <v>16139</v>
      </c>
      <c r="M223">
        <v>18329</v>
      </c>
      <c r="N223">
        <v>18376</v>
      </c>
      <c r="O223">
        <v>18366</v>
      </c>
      <c r="P223">
        <v>0</v>
      </c>
      <c r="Q223">
        <v>10</v>
      </c>
      <c r="R223">
        <v>18376</v>
      </c>
      <c r="S223">
        <v>2200</v>
      </c>
      <c r="T223">
        <v>0</v>
      </c>
      <c r="U223">
        <v>37</v>
      </c>
      <c r="V223">
        <v>16139</v>
      </c>
      <c r="W223">
        <v>18329</v>
      </c>
      <c r="X223">
        <v>18376</v>
      </c>
      <c r="Y223">
        <v>18366</v>
      </c>
      <c r="Z223">
        <v>0</v>
      </c>
      <c r="AA223">
        <v>10</v>
      </c>
      <c r="AB223">
        <v>0</v>
      </c>
      <c r="AC223">
        <v>0</v>
      </c>
      <c r="AD223">
        <v>0</v>
      </c>
      <c r="AE223">
        <v>0</v>
      </c>
      <c r="AF223">
        <v>0</v>
      </c>
      <c r="AG223">
        <v>0</v>
      </c>
      <c r="AH223">
        <v>0</v>
      </c>
      <c r="AI223">
        <v>0</v>
      </c>
      <c r="AJ223">
        <v>0</v>
      </c>
      <c r="AK223">
        <v>0</v>
      </c>
      <c r="AL223">
        <v>-1042</v>
      </c>
      <c r="AM223">
        <v>273</v>
      </c>
      <c r="AN223">
        <v>0</v>
      </c>
      <c r="AO223">
        <v>-63</v>
      </c>
      <c r="AP223">
        <v>-1237</v>
      </c>
      <c r="AQ223">
        <v>-989</v>
      </c>
      <c r="AR223">
        <v>-1027</v>
      </c>
      <c r="AS223">
        <v>-1052</v>
      </c>
      <c r="AT223">
        <v>-15</v>
      </c>
      <c r="AU223">
        <v>10</v>
      </c>
      <c r="AV223">
        <v>100</v>
      </c>
      <c r="AW223">
        <v>12</v>
      </c>
      <c r="AX223">
        <v>0</v>
      </c>
      <c r="AY223">
        <v>0.2</v>
      </c>
      <c r="AZ223">
        <v>87.8</v>
      </c>
      <c r="BA223">
        <v>99.7</v>
      </c>
      <c r="BB223">
        <v>100</v>
      </c>
      <c r="BC223">
        <v>99.9</v>
      </c>
      <c r="BD223">
        <v>0</v>
      </c>
      <c r="BE223">
        <v>0.1</v>
      </c>
      <c r="BF223">
        <v>100</v>
      </c>
      <c r="BG223">
        <v>12</v>
      </c>
      <c r="BH223">
        <v>0</v>
      </c>
      <c r="BI223">
        <v>0.2</v>
      </c>
      <c r="BJ223">
        <v>87.8</v>
      </c>
      <c r="BK223">
        <v>99.7</v>
      </c>
      <c r="BL223">
        <v>100</v>
      </c>
      <c r="BM223">
        <v>99.9</v>
      </c>
      <c r="BN223">
        <v>0</v>
      </c>
      <c r="BO223">
        <v>0.1</v>
      </c>
      <c r="BP223">
        <v>0</v>
      </c>
      <c r="BQ223">
        <v>0</v>
      </c>
      <c r="BR223">
        <v>0</v>
      </c>
      <c r="BS223">
        <v>0</v>
      </c>
      <c r="BT223">
        <v>0</v>
      </c>
      <c r="BU223">
        <v>0</v>
      </c>
      <c r="BV223">
        <v>0</v>
      </c>
      <c r="BW223">
        <v>0</v>
      </c>
      <c r="BX223">
        <v>0</v>
      </c>
      <c r="BY223">
        <v>0</v>
      </c>
      <c r="BZ223">
        <v>28</v>
      </c>
      <c r="CA223">
        <v>3</v>
      </c>
      <c r="CB223">
        <v>0</v>
      </c>
      <c r="CC223">
        <v>1</v>
      </c>
      <c r="CD223">
        <v>19</v>
      </c>
      <c r="CE223">
        <v>18</v>
      </c>
      <c r="CF223">
        <v>22</v>
      </c>
      <c r="CG223">
        <v>19</v>
      </c>
      <c r="CH223">
        <v>28</v>
      </c>
      <c r="CI223">
        <v>3</v>
      </c>
      <c r="CJ223">
        <v>0</v>
      </c>
      <c r="CK223">
        <v>1</v>
      </c>
      <c r="CL223">
        <v>19</v>
      </c>
      <c r="CM223">
        <v>18</v>
      </c>
      <c r="CN223">
        <v>22</v>
      </c>
      <c r="CO223">
        <v>19</v>
      </c>
      <c r="CP223">
        <v>0</v>
      </c>
      <c r="CQ223">
        <v>0</v>
      </c>
      <c r="CR223">
        <v>0</v>
      </c>
      <c r="CS223">
        <v>0</v>
      </c>
      <c r="CT223">
        <v>0</v>
      </c>
      <c r="CU223">
        <v>0</v>
      </c>
      <c r="CV223">
        <v>0</v>
      </c>
      <c r="CW223">
        <v>0</v>
      </c>
      <c r="CX223">
        <v>46.3</v>
      </c>
      <c r="CY223">
        <v>61.6</v>
      </c>
      <c r="CZ223">
        <v>74</v>
      </c>
      <c r="DA223">
        <v>88.2</v>
      </c>
      <c r="DB223">
        <v>43.1</v>
      </c>
      <c r="DC223">
        <v>49.8</v>
      </c>
      <c r="DD223">
        <v>62.1</v>
      </c>
      <c r="DE223">
        <v>70.2</v>
      </c>
      <c r="DF223">
        <v>46.3</v>
      </c>
      <c r="DG223">
        <v>61.6</v>
      </c>
      <c r="DH223">
        <v>74</v>
      </c>
      <c r="DI223">
        <v>88.2</v>
      </c>
      <c r="DJ223">
        <v>43.1</v>
      </c>
      <c r="DK223">
        <v>49.8</v>
      </c>
      <c r="DL223">
        <v>62.1</v>
      </c>
      <c r="DM223">
        <v>70.2</v>
      </c>
      <c r="DN223">
        <v>0</v>
      </c>
      <c r="DO223">
        <v>0</v>
      </c>
      <c r="DP223">
        <v>0</v>
      </c>
      <c r="DQ223">
        <v>0</v>
      </c>
      <c r="DR223">
        <v>0</v>
      </c>
      <c r="DS223">
        <v>0</v>
      </c>
      <c r="DT223">
        <v>0</v>
      </c>
      <c r="DU223">
        <v>0</v>
      </c>
      <c r="DV223" t="s">
        <v>467</v>
      </c>
    </row>
    <row r="224" spans="1:126" x14ac:dyDescent="0.35">
      <c r="A224" t="s">
        <v>468</v>
      </c>
      <c r="B224">
        <v>230110</v>
      </c>
      <c r="C224" s="1">
        <v>44936</v>
      </c>
      <c r="D224" t="s">
        <v>469</v>
      </c>
      <c r="E224" t="s">
        <v>184</v>
      </c>
      <c r="F224" t="s">
        <v>185</v>
      </c>
      <c r="G224" t="s">
        <v>463</v>
      </c>
      <c r="H224">
        <v>199523</v>
      </c>
      <c r="I224" s="17">
        <v>43017</v>
      </c>
      <c r="J224" s="17">
        <v>5654</v>
      </c>
      <c r="K224">
        <v>11638</v>
      </c>
      <c r="L224">
        <v>144179</v>
      </c>
      <c r="M224">
        <v>181969</v>
      </c>
      <c r="N224">
        <v>198834</v>
      </c>
      <c r="O224">
        <v>199261</v>
      </c>
      <c r="P224">
        <v>689</v>
      </c>
      <c r="Q224">
        <v>262</v>
      </c>
      <c r="R224">
        <v>199523</v>
      </c>
      <c r="S224">
        <v>43017</v>
      </c>
      <c r="T224">
        <v>5654</v>
      </c>
      <c r="U224">
        <v>11638</v>
      </c>
      <c r="V224">
        <v>144179</v>
      </c>
      <c r="W224">
        <v>181969</v>
      </c>
      <c r="X224">
        <v>198834</v>
      </c>
      <c r="Y224">
        <v>199261</v>
      </c>
      <c r="Z224">
        <v>689</v>
      </c>
      <c r="AA224">
        <v>262</v>
      </c>
      <c r="AB224">
        <v>0</v>
      </c>
      <c r="AC224">
        <v>0</v>
      </c>
      <c r="AD224">
        <v>0</v>
      </c>
      <c r="AE224">
        <v>0</v>
      </c>
      <c r="AF224">
        <v>0</v>
      </c>
      <c r="AG224">
        <v>0</v>
      </c>
      <c r="AH224">
        <v>0</v>
      </c>
      <c r="AI224">
        <v>0</v>
      </c>
      <c r="AJ224">
        <v>0</v>
      </c>
      <c r="AK224">
        <v>0</v>
      </c>
      <c r="AL224">
        <v>-4818</v>
      </c>
      <c r="AM224">
        <v>-1103</v>
      </c>
      <c r="AN224">
        <v>-1527</v>
      </c>
      <c r="AO224">
        <v>755</v>
      </c>
      <c r="AP224">
        <v>-4431</v>
      </c>
      <c r="AQ224">
        <v>-4004</v>
      </c>
      <c r="AR224">
        <v>-4779</v>
      </c>
      <c r="AS224">
        <v>-4776</v>
      </c>
      <c r="AT224">
        <v>-39</v>
      </c>
      <c r="AU224">
        <v>-42</v>
      </c>
      <c r="AV224">
        <v>100</v>
      </c>
      <c r="AW224">
        <v>21.6</v>
      </c>
      <c r="AX224">
        <v>2.8</v>
      </c>
      <c r="AY224">
        <v>5.8</v>
      </c>
      <c r="AZ224">
        <v>72.3</v>
      </c>
      <c r="BA224">
        <v>91.2</v>
      </c>
      <c r="BB224">
        <v>99.7</v>
      </c>
      <c r="BC224">
        <v>99.9</v>
      </c>
      <c r="BD224">
        <v>0.3</v>
      </c>
      <c r="BE224">
        <v>0.1</v>
      </c>
      <c r="BF224">
        <v>100</v>
      </c>
      <c r="BG224">
        <v>21.6</v>
      </c>
      <c r="BH224">
        <v>2.8</v>
      </c>
      <c r="BI224">
        <v>5.8</v>
      </c>
      <c r="BJ224">
        <v>72.3</v>
      </c>
      <c r="BK224">
        <v>91.2</v>
      </c>
      <c r="BL224">
        <v>99.7</v>
      </c>
      <c r="BM224">
        <v>99.9</v>
      </c>
      <c r="BN224">
        <v>0.3</v>
      </c>
      <c r="BO224">
        <v>0.1</v>
      </c>
      <c r="BP224">
        <v>0</v>
      </c>
      <c r="BQ224">
        <v>0</v>
      </c>
      <c r="BR224">
        <v>0</v>
      </c>
      <c r="BS224">
        <v>0</v>
      </c>
      <c r="BT224">
        <v>0</v>
      </c>
      <c r="BU224">
        <v>0</v>
      </c>
      <c r="BV224">
        <v>0</v>
      </c>
      <c r="BW224">
        <v>0</v>
      </c>
      <c r="BX224">
        <v>0</v>
      </c>
      <c r="BY224">
        <v>0</v>
      </c>
      <c r="BZ224">
        <v>74</v>
      </c>
      <c r="CA224">
        <v>11</v>
      </c>
      <c r="CB224">
        <v>14</v>
      </c>
      <c r="CC224">
        <v>10</v>
      </c>
      <c r="CD224">
        <v>40</v>
      </c>
      <c r="CE224">
        <v>44</v>
      </c>
      <c r="CF224">
        <v>57</v>
      </c>
      <c r="CG224">
        <v>62</v>
      </c>
      <c r="CH224">
        <v>74</v>
      </c>
      <c r="CI224">
        <v>11</v>
      </c>
      <c r="CJ224">
        <v>14</v>
      </c>
      <c r="CK224">
        <v>10</v>
      </c>
      <c r="CL224">
        <v>40</v>
      </c>
      <c r="CM224">
        <v>44</v>
      </c>
      <c r="CN224">
        <v>57</v>
      </c>
      <c r="CO224">
        <v>62</v>
      </c>
      <c r="CP224">
        <v>0</v>
      </c>
      <c r="CQ224">
        <v>0</v>
      </c>
      <c r="CR224">
        <v>0</v>
      </c>
      <c r="CS224">
        <v>0</v>
      </c>
      <c r="CT224">
        <v>0</v>
      </c>
      <c r="CU224">
        <v>0</v>
      </c>
      <c r="CV224">
        <v>0</v>
      </c>
      <c r="CW224">
        <v>0</v>
      </c>
      <c r="CX224">
        <v>49.7</v>
      </c>
      <c r="CY224">
        <v>51.6</v>
      </c>
      <c r="CZ224">
        <v>67.099999999999994</v>
      </c>
      <c r="DA224">
        <v>69.5</v>
      </c>
      <c r="DB224">
        <v>43.9</v>
      </c>
      <c r="DC224">
        <v>42.2</v>
      </c>
      <c r="DD224">
        <v>58.7</v>
      </c>
      <c r="DE224">
        <v>52.9</v>
      </c>
      <c r="DF224">
        <v>49.7</v>
      </c>
      <c r="DG224">
        <v>51.6</v>
      </c>
      <c r="DH224">
        <v>67.099999999999994</v>
      </c>
      <c r="DI224">
        <v>69.5</v>
      </c>
      <c r="DJ224">
        <v>43.9</v>
      </c>
      <c r="DK224">
        <v>42.2</v>
      </c>
      <c r="DL224">
        <v>58.7</v>
      </c>
      <c r="DM224">
        <v>52.9</v>
      </c>
      <c r="DN224">
        <v>0</v>
      </c>
      <c r="DO224">
        <v>0</v>
      </c>
      <c r="DP224">
        <v>0</v>
      </c>
      <c r="DQ224">
        <v>0</v>
      </c>
      <c r="DR224">
        <v>0</v>
      </c>
      <c r="DS224">
        <v>0</v>
      </c>
      <c r="DT224">
        <v>0</v>
      </c>
      <c r="DU224">
        <v>0</v>
      </c>
      <c r="DV224" t="s">
        <v>470</v>
      </c>
    </row>
    <row r="225" spans="1:126" x14ac:dyDescent="0.35">
      <c r="A225" t="s">
        <v>468</v>
      </c>
      <c r="B225">
        <v>230103</v>
      </c>
      <c r="C225" s="1">
        <v>44929</v>
      </c>
      <c r="D225" t="s">
        <v>469</v>
      </c>
      <c r="E225" t="s">
        <v>184</v>
      </c>
      <c r="F225" t="s">
        <v>185</v>
      </c>
      <c r="G225" t="s">
        <v>463</v>
      </c>
      <c r="H225">
        <v>204341</v>
      </c>
      <c r="I225" s="17">
        <v>44120</v>
      </c>
      <c r="J225" s="17">
        <v>7181</v>
      </c>
      <c r="K225">
        <v>10883</v>
      </c>
      <c r="L225">
        <v>148610</v>
      </c>
      <c r="M225">
        <v>185973</v>
      </c>
      <c r="N225">
        <v>203613</v>
      </c>
      <c r="O225">
        <v>204037</v>
      </c>
      <c r="P225">
        <v>728</v>
      </c>
      <c r="Q225">
        <v>304</v>
      </c>
      <c r="R225">
        <v>204341</v>
      </c>
      <c r="S225">
        <v>44120</v>
      </c>
      <c r="T225">
        <v>7181</v>
      </c>
      <c r="U225">
        <v>10883</v>
      </c>
      <c r="V225">
        <v>148610</v>
      </c>
      <c r="W225">
        <v>185973</v>
      </c>
      <c r="X225">
        <v>203613</v>
      </c>
      <c r="Y225">
        <v>204037</v>
      </c>
      <c r="Z225">
        <v>728</v>
      </c>
      <c r="AA225">
        <v>304</v>
      </c>
      <c r="AB225">
        <v>0</v>
      </c>
      <c r="AC225">
        <v>0</v>
      </c>
      <c r="AD225">
        <v>0</v>
      </c>
      <c r="AE225">
        <v>0</v>
      </c>
      <c r="AF225">
        <v>0</v>
      </c>
      <c r="AG225">
        <v>0</v>
      </c>
      <c r="AH225">
        <v>0</v>
      </c>
      <c r="AI225">
        <v>0</v>
      </c>
      <c r="AJ225">
        <v>0</v>
      </c>
      <c r="AK225">
        <v>0</v>
      </c>
      <c r="AL225">
        <v>-507</v>
      </c>
      <c r="AM225">
        <v>-2830</v>
      </c>
      <c r="AN225">
        <v>361</v>
      </c>
      <c r="AO225">
        <v>757</v>
      </c>
      <c r="AP225">
        <v>1991</v>
      </c>
      <c r="AQ225">
        <v>-1432</v>
      </c>
      <c r="AR225">
        <v>-82</v>
      </c>
      <c r="AS225">
        <v>-314</v>
      </c>
      <c r="AT225">
        <v>-425</v>
      </c>
      <c r="AU225">
        <v>-193</v>
      </c>
      <c r="AV225">
        <v>100</v>
      </c>
      <c r="AW225">
        <v>21.6</v>
      </c>
      <c r="AX225">
        <v>3.5</v>
      </c>
      <c r="AY225">
        <v>5.3</v>
      </c>
      <c r="AZ225">
        <v>72.7</v>
      </c>
      <c r="BA225">
        <v>91</v>
      </c>
      <c r="BB225">
        <v>99.6</v>
      </c>
      <c r="BC225">
        <v>99.9</v>
      </c>
      <c r="BD225">
        <v>0.4</v>
      </c>
      <c r="BE225">
        <v>0.1</v>
      </c>
      <c r="BF225">
        <v>100</v>
      </c>
      <c r="BG225">
        <v>21.6</v>
      </c>
      <c r="BH225">
        <v>3.5</v>
      </c>
      <c r="BI225">
        <v>5.3</v>
      </c>
      <c r="BJ225">
        <v>72.7</v>
      </c>
      <c r="BK225">
        <v>91</v>
      </c>
      <c r="BL225">
        <v>99.6</v>
      </c>
      <c r="BM225">
        <v>99.9</v>
      </c>
      <c r="BN225">
        <v>0.4</v>
      </c>
      <c r="BO225">
        <v>0.1</v>
      </c>
      <c r="BP225">
        <v>0</v>
      </c>
      <c r="BQ225">
        <v>0</v>
      </c>
      <c r="BR225">
        <v>0</v>
      </c>
      <c r="BS225">
        <v>0</v>
      </c>
      <c r="BT225">
        <v>0</v>
      </c>
      <c r="BU225">
        <v>0</v>
      </c>
      <c r="BV225">
        <v>0</v>
      </c>
      <c r="BW225">
        <v>0</v>
      </c>
      <c r="BX225">
        <v>0</v>
      </c>
      <c r="BY225">
        <v>0</v>
      </c>
      <c r="BZ225">
        <v>74</v>
      </c>
      <c r="CA225">
        <v>11</v>
      </c>
      <c r="CB225">
        <v>15</v>
      </c>
      <c r="CC225">
        <v>11</v>
      </c>
      <c r="CD225">
        <v>40</v>
      </c>
      <c r="CE225">
        <v>43</v>
      </c>
      <c r="CF225">
        <v>57</v>
      </c>
      <c r="CG225">
        <v>63</v>
      </c>
      <c r="CH225">
        <v>74</v>
      </c>
      <c r="CI225">
        <v>11</v>
      </c>
      <c r="CJ225">
        <v>15</v>
      </c>
      <c r="CK225">
        <v>11</v>
      </c>
      <c r="CL225">
        <v>40</v>
      </c>
      <c r="CM225">
        <v>43</v>
      </c>
      <c r="CN225">
        <v>57</v>
      </c>
      <c r="CO225">
        <v>63</v>
      </c>
      <c r="CP225">
        <v>0</v>
      </c>
      <c r="CQ225">
        <v>0</v>
      </c>
      <c r="CR225">
        <v>0</v>
      </c>
      <c r="CS225">
        <v>0</v>
      </c>
      <c r="CT225">
        <v>0</v>
      </c>
      <c r="CU225">
        <v>0</v>
      </c>
      <c r="CV225">
        <v>0</v>
      </c>
      <c r="CW225">
        <v>0</v>
      </c>
      <c r="CX225">
        <v>45.9</v>
      </c>
      <c r="CY225">
        <v>51.6</v>
      </c>
      <c r="CZ225">
        <v>62.8</v>
      </c>
      <c r="DA225">
        <v>69.3</v>
      </c>
      <c r="DB225">
        <v>40.5</v>
      </c>
      <c r="DC225">
        <v>42.6</v>
      </c>
      <c r="DD225">
        <v>56.1</v>
      </c>
      <c r="DE225">
        <v>53.3</v>
      </c>
      <c r="DF225">
        <v>45.9</v>
      </c>
      <c r="DG225">
        <v>51.6</v>
      </c>
      <c r="DH225">
        <v>62.8</v>
      </c>
      <c r="DI225">
        <v>69.3</v>
      </c>
      <c r="DJ225">
        <v>40.5</v>
      </c>
      <c r="DK225">
        <v>42.6</v>
      </c>
      <c r="DL225">
        <v>56.1</v>
      </c>
      <c r="DM225">
        <v>53.3</v>
      </c>
      <c r="DN225">
        <v>0</v>
      </c>
      <c r="DO225">
        <v>0</v>
      </c>
      <c r="DP225">
        <v>0</v>
      </c>
      <c r="DQ225">
        <v>0</v>
      </c>
      <c r="DR225">
        <v>0</v>
      </c>
      <c r="DS225">
        <v>0</v>
      </c>
      <c r="DT225">
        <v>0</v>
      </c>
      <c r="DU225">
        <v>0</v>
      </c>
      <c r="DV225" t="s">
        <v>470</v>
      </c>
    </row>
    <row r="226" spans="1:126" x14ac:dyDescent="0.35">
      <c r="A226" t="s">
        <v>471</v>
      </c>
      <c r="B226">
        <v>230110</v>
      </c>
      <c r="C226" s="1">
        <v>44936</v>
      </c>
      <c r="D226" t="s">
        <v>472</v>
      </c>
      <c r="E226" t="s">
        <v>184</v>
      </c>
      <c r="F226" t="s">
        <v>185</v>
      </c>
      <c r="G226" t="s">
        <v>463</v>
      </c>
      <c r="H226">
        <v>73791</v>
      </c>
      <c r="I226" s="17">
        <v>2680</v>
      </c>
      <c r="J226" s="17">
        <v>2750</v>
      </c>
      <c r="K226">
        <v>2298</v>
      </c>
      <c r="L226">
        <v>68088</v>
      </c>
      <c r="M226">
        <v>68725</v>
      </c>
      <c r="N226">
        <v>73066</v>
      </c>
      <c r="O226">
        <v>73773</v>
      </c>
      <c r="P226">
        <v>725</v>
      </c>
      <c r="Q226">
        <v>18</v>
      </c>
      <c r="R226">
        <v>73791</v>
      </c>
      <c r="S226">
        <v>2680</v>
      </c>
      <c r="T226">
        <v>2750</v>
      </c>
      <c r="U226">
        <v>2298</v>
      </c>
      <c r="V226">
        <v>68088</v>
      </c>
      <c r="W226">
        <v>68725</v>
      </c>
      <c r="X226">
        <v>73066</v>
      </c>
      <c r="Y226">
        <v>73773</v>
      </c>
      <c r="Z226">
        <v>725</v>
      </c>
      <c r="AA226">
        <v>18</v>
      </c>
      <c r="AB226">
        <v>0</v>
      </c>
      <c r="AC226">
        <v>0</v>
      </c>
      <c r="AD226">
        <v>0</v>
      </c>
      <c r="AE226">
        <v>0</v>
      </c>
      <c r="AF226">
        <v>0</v>
      </c>
      <c r="AG226">
        <v>0</v>
      </c>
      <c r="AH226">
        <v>0</v>
      </c>
      <c r="AI226">
        <v>0</v>
      </c>
      <c r="AJ226">
        <v>0</v>
      </c>
      <c r="AK226">
        <v>0</v>
      </c>
      <c r="AL226">
        <v>-6751</v>
      </c>
      <c r="AM226">
        <v>798</v>
      </c>
      <c r="AN226">
        <v>-1084</v>
      </c>
      <c r="AO226">
        <v>-669</v>
      </c>
      <c r="AP226">
        <v>-6844</v>
      </c>
      <c r="AQ226">
        <v>-4978</v>
      </c>
      <c r="AR226">
        <v>-6715</v>
      </c>
      <c r="AS226">
        <v>-6731</v>
      </c>
      <c r="AT226">
        <v>-36</v>
      </c>
      <c r="AU226">
        <v>-20</v>
      </c>
      <c r="AV226">
        <v>100</v>
      </c>
      <c r="AW226">
        <v>3.6</v>
      </c>
      <c r="AX226">
        <v>3.7</v>
      </c>
      <c r="AY226">
        <v>3.1</v>
      </c>
      <c r="AZ226">
        <v>92.3</v>
      </c>
      <c r="BA226">
        <v>93.1</v>
      </c>
      <c r="BB226">
        <v>99</v>
      </c>
      <c r="BC226">
        <v>100</v>
      </c>
      <c r="BD226">
        <v>1</v>
      </c>
      <c r="BE226">
        <v>0</v>
      </c>
      <c r="BF226">
        <v>100</v>
      </c>
      <c r="BG226">
        <v>3.6</v>
      </c>
      <c r="BH226">
        <v>3.7</v>
      </c>
      <c r="BI226">
        <v>3.1</v>
      </c>
      <c r="BJ226">
        <v>92.3</v>
      </c>
      <c r="BK226">
        <v>93.1</v>
      </c>
      <c r="BL226">
        <v>99</v>
      </c>
      <c r="BM226">
        <v>100</v>
      </c>
      <c r="BN226">
        <v>1</v>
      </c>
      <c r="BO226">
        <v>0</v>
      </c>
      <c r="BP226">
        <v>0</v>
      </c>
      <c r="BQ226">
        <v>0</v>
      </c>
      <c r="BR226">
        <v>0</v>
      </c>
      <c r="BS226">
        <v>0</v>
      </c>
      <c r="BT226">
        <v>0</v>
      </c>
      <c r="BU226">
        <v>0</v>
      </c>
      <c r="BV226">
        <v>0</v>
      </c>
      <c r="BW226">
        <v>0</v>
      </c>
      <c r="BX226">
        <v>0</v>
      </c>
      <c r="BY226">
        <v>0</v>
      </c>
      <c r="BZ226">
        <v>42</v>
      </c>
      <c r="CA226">
        <v>7</v>
      </c>
      <c r="CB226">
        <v>4</v>
      </c>
      <c r="CC226">
        <v>7</v>
      </c>
      <c r="CD226">
        <v>24</v>
      </c>
      <c r="CE226">
        <v>19</v>
      </c>
      <c r="CF226">
        <v>34</v>
      </c>
      <c r="CG226">
        <v>28</v>
      </c>
      <c r="CH226">
        <v>42</v>
      </c>
      <c r="CI226">
        <v>7</v>
      </c>
      <c r="CJ226">
        <v>4</v>
      </c>
      <c r="CK226">
        <v>7</v>
      </c>
      <c r="CL226">
        <v>24</v>
      </c>
      <c r="CM226">
        <v>19</v>
      </c>
      <c r="CN226">
        <v>34</v>
      </c>
      <c r="CO226">
        <v>28</v>
      </c>
      <c r="CP226">
        <v>0</v>
      </c>
      <c r="CQ226">
        <v>0</v>
      </c>
      <c r="CR226">
        <v>0</v>
      </c>
      <c r="CS226">
        <v>0</v>
      </c>
      <c r="CT226">
        <v>0</v>
      </c>
      <c r="CU226">
        <v>0</v>
      </c>
      <c r="CV226">
        <v>0</v>
      </c>
      <c r="CW226">
        <v>0</v>
      </c>
      <c r="CX226">
        <v>64.5</v>
      </c>
      <c r="CY226">
        <v>61.9</v>
      </c>
      <c r="CZ226">
        <v>78.2</v>
      </c>
      <c r="DA226">
        <v>87.5</v>
      </c>
      <c r="DB226">
        <v>63.3</v>
      </c>
      <c r="DC226">
        <v>53.6</v>
      </c>
      <c r="DD226">
        <v>72.5</v>
      </c>
      <c r="DE226">
        <v>76.7</v>
      </c>
      <c r="DF226">
        <v>64.5</v>
      </c>
      <c r="DG226">
        <v>61.9</v>
      </c>
      <c r="DH226">
        <v>78.2</v>
      </c>
      <c r="DI226">
        <v>87.5</v>
      </c>
      <c r="DJ226">
        <v>63.3</v>
      </c>
      <c r="DK226">
        <v>53.6</v>
      </c>
      <c r="DL226">
        <v>72.5</v>
      </c>
      <c r="DM226">
        <v>76.7</v>
      </c>
      <c r="DN226">
        <v>0</v>
      </c>
      <c r="DO226">
        <v>0</v>
      </c>
      <c r="DP226">
        <v>0</v>
      </c>
      <c r="DQ226">
        <v>0</v>
      </c>
      <c r="DR226">
        <v>0</v>
      </c>
      <c r="DS226">
        <v>0</v>
      </c>
      <c r="DT226">
        <v>0</v>
      </c>
      <c r="DU226">
        <v>0</v>
      </c>
      <c r="DV226" t="s">
        <v>473</v>
      </c>
    </row>
    <row r="227" spans="1:126" x14ac:dyDescent="0.35">
      <c r="A227" t="s">
        <v>471</v>
      </c>
      <c r="B227">
        <v>230103</v>
      </c>
      <c r="C227" s="1">
        <v>44929</v>
      </c>
      <c r="D227" t="s">
        <v>472</v>
      </c>
      <c r="E227" t="s">
        <v>184</v>
      </c>
      <c r="F227" t="s">
        <v>185</v>
      </c>
      <c r="G227" t="s">
        <v>463</v>
      </c>
      <c r="H227">
        <v>80542</v>
      </c>
      <c r="I227" s="17">
        <v>1882</v>
      </c>
      <c r="J227" s="17">
        <v>3834</v>
      </c>
      <c r="K227">
        <v>2967</v>
      </c>
      <c r="L227">
        <v>74932</v>
      </c>
      <c r="M227">
        <v>73703</v>
      </c>
      <c r="N227">
        <v>79781</v>
      </c>
      <c r="O227">
        <v>80504</v>
      </c>
      <c r="P227">
        <v>761</v>
      </c>
      <c r="Q227">
        <v>38</v>
      </c>
      <c r="R227">
        <v>80542</v>
      </c>
      <c r="S227">
        <v>1882</v>
      </c>
      <c r="T227">
        <v>3834</v>
      </c>
      <c r="U227">
        <v>2967</v>
      </c>
      <c r="V227">
        <v>74932</v>
      </c>
      <c r="W227">
        <v>73703</v>
      </c>
      <c r="X227">
        <v>79781</v>
      </c>
      <c r="Y227">
        <v>80504</v>
      </c>
      <c r="Z227">
        <v>761</v>
      </c>
      <c r="AA227">
        <v>38</v>
      </c>
      <c r="AB227">
        <v>0</v>
      </c>
      <c r="AC227">
        <v>0</v>
      </c>
      <c r="AD227">
        <v>0</v>
      </c>
      <c r="AE227">
        <v>0</v>
      </c>
      <c r="AF227">
        <v>0</v>
      </c>
      <c r="AG227">
        <v>0</v>
      </c>
      <c r="AH227">
        <v>0</v>
      </c>
      <c r="AI227">
        <v>0</v>
      </c>
      <c r="AJ227">
        <v>0</v>
      </c>
      <c r="AK227">
        <v>0</v>
      </c>
      <c r="AL227">
        <v>-42</v>
      </c>
      <c r="AM227">
        <v>-256</v>
      </c>
      <c r="AN227">
        <v>220</v>
      </c>
      <c r="AO227">
        <v>40</v>
      </c>
      <c r="AP227">
        <v>162</v>
      </c>
      <c r="AQ227">
        <v>-298</v>
      </c>
      <c r="AR227">
        <v>-54</v>
      </c>
      <c r="AS227">
        <v>-38</v>
      </c>
      <c r="AT227">
        <v>12</v>
      </c>
      <c r="AU227">
        <v>-4</v>
      </c>
      <c r="AV227">
        <v>100</v>
      </c>
      <c r="AW227">
        <v>2.2999999999999998</v>
      </c>
      <c r="AX227">
        <v>4.8</v>
      </c>
      <c r="AY227">
        <v>3.7</v>
      </c>
      <c r="AZ227">
        <v>93</v>
      </c>
      <c r="BA227">
        <v>91.5</v>
      </c>
      <c r="BB227">
        <v>99.1</v>
      </c>
      <c r="BC227">
        <v>100</v>
      </c>
      <c r="BD227">
        <v>0.9</v>
      </c>
      <c r="BE227">
        <v>0</v>
      </c>
      <c r="BF227">
        <v>100</v>
      </c>
      <c r="BG227">
        <v>2.2999999999999998</v>
      </c>
      <c r="BH227">
        <v>4.8</v>
      </c>
      <c r="BI227">
        <v>3.7</v>
      </c>
      <c r="BJ227">
        <v>93</v>
      </c>
      <c r="BK227">
        <v>91.5</v>
      </c>
      <c r="BL227">
        <v>99.1</v>
      </c>
      <c r="BM227">
        <v>100</v>
      </c>
      <c r="BN227">
        <v>0.9</v>
      </c>
      <c r="BO227">
        <v>0</v>
      </c>
      <c r="BP227">
        <v>0</v>
      </c>
      <c r="BQ227">
        <v>0</v>
      </c>
      <c r="BR227">
        <v>0</v>
      </c>
      <c r="BS227">
        <v>0</v>
      </c>
      <c r="BT227">
        <v>0</v>
      </c>
      <c r="BU227">
        <v>0</v>
      </c>
      <c r="BV227">
        <v>0</v>
      </c>
      <c r="BW227">
        <v>0</v>
      </c>
      <c r="BX227">
        <v>0</v>
      </c>
      <c r="BY227">
        <v>0</v>
      </c>
      <c r="BZ227">
        <v>44</v>
      </c>
      <c r="CA227">
        <v>7</v>
      </c>
      <c r="CB227">
        <v>5</v>
      </c>
      <c r="CC227">
        <v>9</v>
      </c>
      <c r="CD227">
        <v>26</v>
      </c>
      <c r="CE227">
        <v>17</v>
      </c>
      <c r="CF227">
        <v>38</v>
      </c>
      <c r="CG227">
        <v>27</v>
      </c>
      <c r="CH227">
        <v>44</v>
      </c>
      <c r="CI227">
        <v>7</v>
      </c>
      <c r="CJ227">
        <v>5</v>
      </c>
      <c r="CK227">
        <v>9</v>
      </c>
      <c r="CL227">
        <v>26</v>
      </c>
      <c r="CM227">
        <v>17</v>
      </c>
      <c r="CN227">
        <v>38</v>
      </c>
      <c r="CO227">
        <v>27</v>
      </c>
      <c r="CP227">
        <v>0</v>
      </c>
      <c r="CQ227">
        <v>0</v>
      </c>
      <c r="CR227">
        <v>0</v>
      </c>
      <c r="CS227">
        <v>0</v>
      </c>
      <c r="CT227">
        <v>0</v>
      </c>
      <c r="CU227">
        <v>0</v>
      </c>
      <c r="CV227">
        <v>0</v>
      </c>
      <c r="CW227">
        <v>0</v>
      </c>
      <c r="CX227">
        <v>62.2</v>
      </c>
      <c r="CY227">
        <v>60.7</v>
      </c>
      <c r="CZ227">
        <v>78.5</v>
      </c>
      <c r="DA227">
        <v>86</v>
      </c>
      <c r="DB227">
        <v>62.2</v>
      </c>
      <c r="DC227">
        <v>52.2</v>
      </c>
      <c r="DD227">
        <v>73.5</v>
      </c>
      <c r="DE227">
        <v>74.599999999999994</v>
      </c>
      <c r="DF227">
        <v>62.2</v>
      </c>
      <c r="DG227">
        <v>60.7</v>
      </c>
      <c r="DH227">
        <v>78.5</v>
      </c>
      <c r="DI227">
        <v>86</v>
      </c>
      <c r="DJ227">
        <v>62.2</v>
      </c>
      <c r="DK227">
        <v>52.2</v>
      </c>
      <c r="DL227">
        <v>73.5</v>
      </c>
      <c r="DM227">
        <v>74.599999999999994</v>
      </c>
      <c r="DN227">
        <v>0</v>
      </c>
      <c r="DO227">
        <v>0</v>
      </c>
      <c r="DP227">
        <v>0</v>
      </c>
      <c r="DQ227">
        <v>0</v>
      </c>
      <c r="DR227">
        <v>0</v>
      </c>
      <c r="DS227">
        <v>0</v>
      </c>
      <c r="DT227">
        <v>0</v>
      </c>
      <c r="DU227">
        <v>0</v>
      </c>
      <c r="DV227" t="s">
        <v>473</v>
      </c>
    </row>
    <row r="228" spans="1:126" x14ac:dyDescent="0.35">
      <c r="A228" t="s">
        <v>474</v>
      </c>
      <c r="B228">
        <v>230110</v>
      </c>
      <c r="C228" s="1">
        <v>44936</v>
      </c>
      <c r="D228" t="s">
        <v>475</v>
      </c>
      <c r="E228" t="s">
        <v>184</v>
      </c>
      <c r="F228" t="s">
        <v>185</v>
      </c>
      <c r="G228" t="s">
        <v>463</v>
      </c>
      <c r="H228">
        <v>57640</v>
      </c>
      <c r="I228" s="17">
        <v>830</v>
      </c>
      <c r="J228" s="17">
        <v>6530</v>
      </c>
      <c r="K228">
        <v>1540</v>
      </c>
      <c r="L228">
        <v>54880</v>
      </c>
      <c r="M228">
        <v>49564</v>
      </c>
      <c r="N228">
        <v>57250</v>
      </c>
      <c r="O228">
        <v>57634</v>
      </c>
      <c r="P228">
        <v>390</v>
      </c>
      <c r="Q228">
        <v>6</v>
      </c>
      <c r="R228">
        <v>57640</v>
      </c>
      <c r="S228">
        <v>830</v>
      </c>
      <c r="T228">
        <v>6530</v>
      </c>
      <c r="U228">
        <v>1540</v>
      </c>
      <c r="V228">
        <v>54880</v>
      </c>
      <c r="W228">
        <v>49564</v>
      </c>
      <c r="X228">
        <v>57250</v>
      </c>
      <c r="Y228">
        <v>57634</v>
      </c>
      <c r="Z228">
        <v>390</v>
      </c>
      <c r="AA228">
        <v>6</v>
      </c>
      <c r="AB228">
        <v>0</v>
      </c>
      <c r="AC228">
        <v>0</v>
      </c>
      <c r="AD228">
        <v>0</v>
      </c>
      <c r="AE228">
        <v>0</v>
      </c>
      <c r="AF228">
        <v>0</v>
      </c>
      <c r="AG228">
        <v>0</v>
      </c>
      <c r="AH228">
        <v>0</v>
      </c>
      <c r="AI228">
        <v>0</v>
      </c>
      <c r="AJ228">
        <v>0</v>
      </c>
      <c r="AK228">
        <v>0</v>
      </c>
      <c r="AL228">
        <v>-2555</v>
      </c>
      <c r="AM228">
        <v>-298</v>
      </c>
      <c r="AN228">
        <v>-154</v>
      </c>
      <c r="AO228">
        <v>-299</v>
      </c>
      <c r="AP228">
        <v>-1950</v>
      </c>
      <c r="AQ228">
        <v>-2096</v>
      </c>
      <c r="AR228">
        <v>-2547</v>
      </c>
      <c r="AS228">
        <v>-2549</v>
      </c>
      <c r="AT228">
        <v>-8</v>
      </c>
      <c r="AU228">
        <v>-6</v>
      </c>
      <c r="AV228">
        <v>100</v>
      </c>
      <c r="AW228">
        <v>1.4</v>
      </c>
      <c r="AX228">
        <v>11.3</v>
      </c>
      <c r="AY228">
        <v>2.7</v>
      </c>
      <c r="AZ228">
        <v>95.2</v>
      </c>
      <c r="BA228">
        <v>86</v>
      </c>
      <c r="BB228">
        <v>99.3</v>
      </c>
      <c r="BC228">
        <v>100</v>
      </c>
      <c r="BD228">
        <v>0.7</v>
      </c>
      <c r="BE228">
        <v>0</v>
      </c>
      <c r="BF228">
        <v>100</v>
      </c>
      <c r="BG228">
        <v>1.4</v>
      </c>
      <c r="BH228">
        <v>11.3</v>
      </c>
      <c r="BI228">
        <v>2.7</v>
      </c>
      <c r="BJ228">
        <v>95.2</v>
      </c>
      <c r="BK228">
        <v>86</v>
      </c>
      <c r="BL228">
        <v>99.3</v>
      </c>
      <c r="BM228">
        <v>100</v>
      </c>
      <c r="BN228">
        <v>0.7</v>
      </c>
      <c r="BO228">
        <v>0</v>
      </c>
      <c r="BP228">
        <v>0</v>
      </c>
      <c r="BQ228">
        <v>0</v>
      </c>
      <c r="BR228">
        <v>0</v>
      </c>
      <c r="BS228">
        <v>0</v>
      </c>
      <c r="BT228">
        <v>0</v>
      </c>
      <c r="BU228">
        <v>0</v>
      </c>
      <c r="BV228">
        <v>0</v>
      </c>
      <c r="BW228">
        <v>0</v>
      </c>
      <c r="BX228">
        <v>0</v>
      </c>
      <c r="BY228">
        <v>0</v>
      </c>
      <c r="BZ228">
        <v>29</v>
      </c>
      <c r="CA228">
        <v>2</v>
      </c>
      <c r="CB228">
        <v>6</v>
      </c>
      <c r="CC228">
        <v>2</v>
      </c>
      <c r="CD228">
        <v>16</v>
      </c>
      <c r="CE228">
        <v>15</v>
      </c>
      <c r="CF228">
        <v>20</v>
      </c>
      <c r="CG228">
        <v>21</v>
      </c>
      <c r="CH228">
        <v>29</v>
      </c>
      <c r="CI228">
        <v>2</v>
      </c>
      <c r="CJ228">
        <v>6</v>
      </c>
      <c r="CK228">
        <v>2</v>
      </c>
      <c r="CL228">
        <v>16</v>
      </c>
      <c r="CM228">
        <v>15</v>
      </c>
      <c r="CN228">
        <v>20</v>
      </c>
      <c r="CO228">
        <v>21</v>
      </c>
      <c r="CP228">
        <v>0</v>
      </c>
      <c r="CQ228">
        <v>0</v>
      </c>
      <c r="CR228">
        <v>0</v>
      </c>
      <c r="CS228">
        <v>0</v>
      </c>
      <c r="CT228">
        <v>0</v>
      </c>
      <c r="CU228">
        <v>0</v>
      </c>
      <c r="CV228">
        <v>0</v>
      </c>
      <c r="CW228">
        <v>0</v>
      </c>
      <c r="CX228">
        <v>68.400000000000006</v>
      </c>
      <c r="CY228">
        <v>70.7</v>
      </c>
      <c r="CZ228">
        <v>85.3</v>
      </c>
      <c r="DA228">
        <v>91.3</v>
      </c>
      <c r="DB228">
        <v>67.8</v>
      </c>
      <c r="DC228">
        <v>63.8</v>
      </c>
      <c r="DD228">
        <v>81.400000000000006</v>
      </c>
      <c r="DE228">
        <v>82.1</v>
      </c>
      <c r="DF228">
        <v>68.400000000000006</v>
      </c>
      <c r="DG228">
        <v>70.7</v>
      </c>
      <c r="DH228">
        <v>85.3</v>
      </c>
      <c r="DI228">
        <v>91.3</v>
      </c>
      <c r="DJ228">
        <v>67.8</v>
      </c>
      <c r="DK228">
        <v>63.8</v>
      </c>
      <c r="DL228">
        <v>81.400000000000006</v>
      </c>
      <c r="DM228">
        <v>82.1</v>
      </c>
      <c r="DN228">
        <v>0</v>
      </c>
      <c r="DO228">
        <v>0</v>
      </c>
      <c r="DP228">
        <v>0</v>
      </c>
      <c r="DQ228">
        <v>0</v>
      </c>
      <c r="DR228">
        <v>0</v>
      </c>
      <c r="DS228">
        <v>0</v>
      </c>
      <c r="DT228">
        <v>0</v>
      </c>
      <c r="DU228">
        <v>0</v>
      </c>
      <c r="DV228" t="s">
        <v>476</v>
      </c>
    </row>
    <row r="229" spans="1:126" x14ac:dyDescent="0.35">
      <c r="A229" t="s">
        <v>474</v>
      </c>
      <c r="B229">
        <v>230103</v>
      </c>
      <c r="C229" s="1">
        <v>44929</v>
      </c>
      <c r="D229" t="s">
        <v>475</v>
      </c>
      <c r="E229" t="s">
        <v>184</v>
      </c>
      <c r="F229" t="s">
        <v>185</v>
      </c>
      <c r="G229" t="s">
        <v>463</v>
      </c>
      <c r="H229">
        <v>60195</v>
      </c>
      <c r="I229" s="17">
        <v>1128</v>
      </c>
      <c r="J229" s="17">
        <v>6684</v>
      </c>
      <c r="K229">
        <v>1839</v>
      </c>
      <c r="L229">
        <v>56830</v>
      </c>
      <c r="M229">
        <v>51660</v>
      </c>
      <c r="N229">
        <v>59797</v>
      </c>
      <c r="O229">
        <v>60183</v>
      </c>
      <c r="P229">
        <v>398</v>
      </c>
      <c r="Q229">
        <v>12</v>
      </c>
      <c r="R229">
        <v>60195</v>
      </c>
      <c r="S229">
        <v>1128</v>
      </c>
      <c r="T229">
        <v>6684</v>
      </c>
      <c r="U229">
        <v>1839</v>
      </c>
      <c r="V229">
        <v>56830</v>
      </c>
      <c r="W229">
        <v>51660</v>
      </c>
      <c r="X229">
        <v>59797</v>
      </c>
      <c r="Y229">
        <v>60183</v>
      </c>
      <c r="Z229">
        <v>398</v>
      </c>
      <c r="AA229">
        <v>12</v>
      </c>
      <c r="AB229">
        <v>0</v>
      </c>
      <c r="AC229">
        <v>0</v>
      </c>
      <c r="AD229">
        <v>0</v>
      </c>
      <c r="AE229">
        <v>0</v>
      </c>
      <c r="AF229">
        <v>0</v>
      </c>
      <c r="AG229">
        <v>0</v>
      </c>
      <c r="AH229">
        <v>0</v>
      </c>
      <c r="AI229">
        <v>0</v>
      </c>
      <c r="AJ229">
        <v>0</v>
      </c>
      <c r="AK229">
        <v>0</v>
      </c>
      <c r="AL229">
        <v>-50</v>
      </c>
      <c r="AM229">
        <v>-476</v>
      </c>
      <c r="AN229">
        <v>-204</v>
      </c>
      <c r="AO229">
        <v>76</v>
      </c>
      <c r="AP229">
        <v>354</v>
      </c>
      <c r="AQ229">
        <v>81</v>
      </c>
      <c r="AR229">
        <v>-46</v>
      </c>
      <c r="AS229">
        <v>-47</v>
      </c>
      <c r="AT229">
        <v>-4</v>
      </c>
      <c r="AU229">
        <v>-3</v>
      </c>
      <c r="AV229">
        <v>100</v>
      </c>
      <c r="AW229">
        <v>1.9</v>
      </c>
      <c r="AX229">
        <v>11.1</v>
      </c>
      <c r="AY229">
        <v>3.1</v>
      </c>
      <c r="AZ229">
        <v>94.4</v>
      </c>
      <c r="BA229">
        <v>85.8</v>
      </c>
      <c r="BB229">
        <v>99.3</v>
      </c>
      <c r="BC229">
        <v>100</v>
      </c>
      <c r="BD229">
        <v>0.7</v>
      </c>
      <c r="BE229">
        <v>0</v>
      </c>
      <c r="BF229">
        <v>100</v>
      </c>
      <c r="BG229">
        <v>1.9</v>
      </c>
      <c r="BH229">
        <v>11.1</v>
      </c>
      <c r="BI229">
        <v>3.1</v>
      </c>
      <c r="BJ229">
        <v>94.4</v>
      </c>
      <c r="BK229">
        <v>85.8</v>
      </c>
      <c r="BL229">
        <v>99.3</v>
      </c>
      <c r="BM229">
        <v>100</v>
      </c>
      <c r="BN229">
        <v>0.7</v>
      </c>
      <c r="BO229">
        <v>0</v>
      </c>
      <c r="BP229">
        <v>0</v>
      </c>
      <c r="BQ229">
        <v>0</v>
      </c>
      <c r="BR229">
        <v>0</v>
      </c>
      <c r="BS229">
        <v>0</v>
      </c>
      <c r="BT229">
        <v>0</v>
      </c>
      <c r="BU229">
        <v>0</v>
      </c>
      <c r="BV229">
        <v>0</v>
      </c>
      <c r="BW229">
        <v>0</v>
      </c>
      <c r="BX229">
        <v>0</v>
      </c>
      <c r="BY229">
        <v>0</v>
      </c>
      <c r="BZ229">
        <v>29</v>
      </c>
      <c r="CA229">
        <v>3</v>
      </c>
      <c r="CB229">
        <v>4</v>
      </c>
      <c r="CC229">
        <v>3</v>
      </c>
      <c r="CD229">
        <v>17</v>
      </c>
      <c r="CE229">
        <v>16</v>
      </c>
      <c r="CF229">
        <v>22</v>
      </c>
      <c r="CG229">
        <v>21</v>
      </c>
      <c r="CH229">
        <v>29</v>
      </c>
      <c r="CI229">
        <v>3</v>
      </c>
      <c r="CJ229">
        <v>4</v>
      </c>
      <c r="CK229">
        <v>3</v>
      </c>
      <c r="CL229">
        <v>17</v>
      </c>
      <c r="CM229">
        <v>16</v>
      </c>
      <c r="CN229">
        <v>22</v>
      </c>
      <c r="CO229">
        <v>21</v>
      </c>
      <c r="CP229">
        <v>0</v>
      </c>
      <c r="CQ229">
        <v>0</v>
      </c>
      <c r="CR229">
        <v>0</v>
      </c>
      <c r="CS229">
        <v>0</v>
      </c>
      <c r="CT229">
        <v>0</v>
      </c>
      <c r="CU229">
        <v>0</v>
      </c>
      <c r="CV229">
        <v>0</v>
      </c>
      <c r="CW229">
        <v>0</v>
      </c>
      <c r="CX229">
        <v>67</v>
      </c>
      <c r="CY229">
        <v>71.5</v>
      </c>
      <c r="CZ229">
        <v>83.7</v>
      </c>
      <c r="DA229">
        <v>90.6</v>
      </c>
      <c r="DB229">
        <v>66.400000000000006</v>
      </c>
      <c r="DC229">
        <v>64.900000000000006</v>
      </c>
      <c r="DD229">
        <v>79.8</v>
      </c>
      <c r="DE229">
        <v>81</v>
      </c>
      <c r="DF229">
        <v>67</v>
      </c>
      <c r="DG229">
        <v>71.5</v>
      </c>
      <c r="DH229">
        <v>83.7</v>
      </c>
      <c r="DI229">
        <v>90.6</v>
      </c>
      <c r="DJ229">
        <v>66.400000000000006</v>
      </c>
      <c r="DK229">
        <v>64.900000000000006</v>
      </c>
      <c r="DL229">
        <v>79.8</v>
      </c>
      <c r="DM229">
        <v>81</v>
      </c>
      <c r="DN229">
        <v>0</v>
      </c>
      <c r="DO229">
        <v>0</v>
      </c>
      <c r="DP229">
        <v>0</v>
      </c>
      <c r="DQ229">
        <v>0</v>
      </c>
      <c r="DR229">
        <v>0</v>
      </c>
      <c r="DS229">
        <v>0</v>
      </c>
      <c r="DT229">
        <v>0</v>
      </c>
      <c r="DU229">
        <v>0</v>
      </c>
      <c r="DV229" t="s">
        <v>476</v>
      </c>
    </row>
    <row r="230" spans="1:126" x14ac:dyDescent="0.35">
      <c r="A230" t="s">
        <v>477</v>
      </c>
      <c r="B230">
        <v>230110</v>
      </c>
      <c r="C230" s="1">
        <v>44936</v>
      </c>
      <c r="D230" t="s">
        <v>478</v>
      </c>
      <c r="E230" t="s">
        <v>184</v>
      </c>
      <c r="F230" t="s">
        <v>185</v>
      </c>
      <c r="G230" t="s">
        <v>463</v>
      </c>
      <c r="H230">
        <v>52284</v>
      </c>
      <c r="I230" s="17">
        <v>2747</v>
      </c>
      <c r="J230" s="17">
        <v>2827</v>
      </c>
      <c r="K230">
        <v>1766</v>
      </c>
      <c r="L230">
        <v>47094</v>
      </c>
      <c r="M230">
        <v>47464</v>
      </c>
      <c r="N230">
        <v>51607</v>
      </c>
      <c r="O230">
        <v>52057</v>
      </c>
      <c r="P230">
        <v>677</v>
      </c>
      <c r="Q230">
        <v>227</v>
      </c>
      <c r="R230">
        <v>52284</v>
      </c>
      <c r="S230">
        <v>2747</v>
      </c>
      <c r="T230">
        <v>2827</v>
      </c>
      <c r="U230">
        <v>1766</v>
      </c>
      <c r="V230">
        <v>47094</v>
      </c>
      <c r="W230">
        <v>47464</v>
      </c>
      <c r="X230">
        <v>51607</v>
      </c>
      <c r="Y230">
        <v>52057</v>
      </c>
      <c r="Z230">
        <v>677</v>
      </c>
      <c r="AA230">
        <v>227</v>
      </c>
      <c r="AB230">
        <v>0</v>
      </c>
      <c r="AC230">
        <v>0</v>
      </c>
      <c r="AD230">
        <v>0</v>
      </c>
      <c r="AE230">
        <v>0</v>
      </c>
      <c r="AF230">
        <v>0</v>
      </c>
      <c r="AG230">
        <v>0</v>
      </c>
      <c r="AH230">
        <v>0</v>
      </c>
      <c r="AI230">
        <v>0</v>
      </c>
      <c r="AJ230">
        <v>0</v>
      </c>
      <c r="AK230">
        <v>0</v>
      </c>
      <c r="AL230">
        <v>-1430</v>
      </c>
      <c r="AM230">
        <v>190</v>
      </c>
      <c r="AN230">
        <v>-25</v>
      </c>
      <c r="AO230">
        <v>-1709</v>
      </c>
      <c r="AP230">
        <v>106</v>
      </c>
      <c r="AQ230">
        <v>173</v>
      </c>
      <c r="AR230">
        <v>-1413</v>
      </c>
      <c r="AS230">
        <v>-1561</v>
      </c>
      <c r="AT230">
        <v>-17</v>
      </c>
      <c r="AU230">
        <v>131</v>
      </c>
      <c r="AV230">
        <v>100</v>
      </c>
      <c r="AW230">
        <v>5.3</v>
      </c>
      <c r="AX230">
        <v>5.4</v>
      </c>
      <c r="AY230">
        <v>3.4</v>
      </c>
      <c r="AZ230">
        <v>90.1</v>
      </c>
      <c r="BA230">
        <v>90.8</v>
      </c>
      <c r="BB230">
        <v>98.7</v>
      </c>
      <c r="BC230">
        <v>99.6</v>
      </c>
      <c r="BD230">
        <v>1.3</v>
      </c>
      <c r="BE230">
        <v>0.4</v>
      </c>
      <c r="BF230">
        <v>100</v>
      </c>
      <c r="BG230">
        <v>5.3</v>
      </c>
      <c r="BH230">
        <v>5.4</v>
      </c>
      <c r="BI230">
        <v>3.4</v>
      </c>
      <c r="BJ230">
        <v>90.1</v>
      </c>
      <c r="BK230">
        <v>90.8</v>
      </c>
      <c r="BL230">
        <v>98.7</v>
      </c>
      <c r="BM230">
        <v>99.6</v>
      </c>
      <c r="BN230">
        <v>1.3</v>
      </c>
      <c r="BO230">
        <v>0.4</v>
      </c>
      <c r="BP230">
        <v>0</v>
      </c>
      <c r="BQ230">
        <v>0</v>
      </c>
      <c r="BR230">
        <v>0</v>
      </c>
      <c r="BS230">
        <v>0</v>
      </c>
      <c r="BT230">
        <v>0</v>
      </c>
      <c r="BU230">
        <v>0</v>
      </c>
      <c r="BV230">
        <v>0</v>
      </c>
      <c r="BW230">
        <v>0</v>
      </c>
      <c r="BX230">
        <v>0</v>
      </c>
      <c r="BY230">
        <v>0</v>
      </c>
      <c r="BZ230">
        <v>33</v>
      </c>
      <c r="CA230">
        <v>3</v>
      </c>
      <c r="CB230">
        <v>2</v>
      </c>
      <c r="CC230">
        <v>3</v>
      </c>
      <c r="CD230">
        <v>28</v>
      </c>
      <c r="CE230">
        <v>21</v>
      </c>
      <c r="CF230">
        <v>33</v>
      </c>
      <c r="CG230">
        <v>24</v>
      </c>
      <c r="CH230">
        <v>33</v>
      </c>
      <c r="CI230">
        <v>3</v>
      </c>
      <c r="CJ230">
        <v>2</v>
      </c>
      <c r="CK230">
        <v>3</v>
      </c>
      <c r="CL230">
        <v>28</v>
      </c>
      <c r="CM230">
        <v>21</v>
      </c>
      <c r="CN230">
        <v>33</v>
      </c>
      <c r="CO230">
        <v>24</v>
      </c>
      <c r="CP230">
        <v>0</v>
      </c>
      <c r="CQ230">
        <v>0</v>
      </c>
      <c r="CR230">
        <v>0</v>
      </c>
      <c r="CS230">
        <v>0</v>
      </c>
      <c r="CT230">
        <v>0</v>
      </c>
      <c r="CU230">
        <v>0</v>
      </c>
      <c r="CV230">
        <v>0</v>
      </c>
      <c r="CW230">
        <v>0</v>
      </c>
      <c r="CX230">
        <v>37.799999999999997</v>
      </c>
      <c r="CY230">
        <v>56.3</v>
      </c>
      <c r="CZ230">
        <v>63.4</v>
      </c>
      <c r="DA230">
        <v>76</v>
      </c>
      <c r="DB230">
        <v>27.4</v>
      </c>
      <c r="DC230">
        <v>32.700000000000003</v>
      </c>
      <c r="DD230">
        <v>42.3</v>
      </c>
      <c r="DE230">
        <v>46.8</v>
      </c>
      <c r="DF230">
        <v>37.799999999999997</v>
      </c>
      <c r="DG230">
        <v>56.3</v>
      </c>
      <c r="DH230">
        <v>63.4</v>
      </c>
      <c r="DI230">
        <v>76</v>
      </c>
      <c r="DJ230">
        <v>27.4</v>
      </c>
      <c r="DK230">
        <v>32.700000000000003</v>
      </c>
      <c r="DL230">
        <v>42.3</v>
      </c>
      <c r="DM230">
        <v>46.8</v>
      </c>
      <c r="DN230">
        <v>0</v>
      </c>
      <c r="DO230">
        <v>0</v>
      </c>
      <c r="DP230">
        <v>0</v>
      </c>
      <c r="DQ230">
        <v>0</v>
      </c>
      <c r="DR230">
        <v>0</v>
      </c>
      <c r="DS230">
        <v>0</v>
      </c>
      <c r="DT230">
        <v>0</v>
      </c>
      <c r="DU230">
        <v>0</v>
      </c>
      <c r="DV230" t="s">
        <v>476</v>
      </c>
    </row>
    <row r="231" spans="1:126" x14ac:dyDescent="0.35">
      <c r="A231" t="s">
        <v>477</v>
      </c>
      <c r="B231">
        <v>230103</v>
      </c>
      <c r="C231" s="1">
        <v>44929</v>
      </c>
      <c r="D231" t="s">
        <v>478</v>
      </c>
      <c r="E231" t="s">
        <v>184</v>
      </c>
      <c r="F231" t="s">
        <v>185</v>
      </c>
      <c r="G231" t="s">
        <v>463</v>
      </c>
      <c r="H231">
        <v>53714</v>
      </c>
      <c r="I231" s="17">
        <v>2557</v>
      </c>
      <c r="J231" s="17">
        <v>2852</v>
      </c>
      <c r="K231">
        <v>3475</v>
      </c>
      <c r="L231">
        <v>46988</v>
      </c>
      <c r="M231">
        <v>47291</v>
      </c>
      <c r="N231">
        <v>53020</v>
      </c>
      <c r="O231">
        <v>53618</v>
      </c>
      <c r="P231">
        <v>694</v>
      </c>
      <c r="Q231">
        <v>96</v>
      </c>
      <c r="R231">
        <v>53714</v>
      </c>
      <c r="S231">
        <v>2557</v>
      </c>
      <c r="T231">
        <v>2852</v>
      </c>
      <c r="U231">
        <v>3475</v>
      </c>
      <c r="V231">
        <v>46988</v>
      </c>
      <c r="W231">
        <v>47291</v>
      </c>
      <c r="X231">
        <v>53020</v>
      </c>
      <c r="Y231">
        <v>53618</v>
      </c>
      <c r="Z231">
        <v>694</v>
      </c>
      <c r="AA231">
        <v>96</v>
      </c>
      <c r="AB231">
        <v>0</v>
      </c>
      <c r="AC231">
        <v>0</v>
      </c>
      <c r="AD231">
        <v>0</v>
      </c>
      <c r="AE231">
        <v>0</v>
      </c>
      <c r="AF231">
        <v>0</v>
      </c>
      <c r="AG231">
        <v>0</v>
      </c>
      <c r="AH231">
        <v>0</v>
      </c>
      <c r="AI231">
        <v>0</v>
      </c>
      <c r="AJ231">
        <v>0</v>
      </c>
      <c r="AK231">
        <v>0</v>
      </c>
      <c r="AL231">
        <v>834</v>
      </c>
      <c r="AM231">
        <v>0</v>
      </c>
      <c r="AN231">
        <v>-760</v>
      </c>
      <c r="AO231">
        <v>760</v>
      </c>
      <c r="AP231">
        <v>55</v>
      </c>
      <c r="AQ231">
        <v>816</v>
      </c>
      <c r="AR231">
        <v>815</v>
      </c>
      <c r="AS231">
        <v>816</v>
      </c>
      <c r="AT231">
        <v>19</v>
      </c>
      <c r="AU231">
        <v>18</v>
      </c>
      <c r="AV231">
        <v>100</v>
      </c>
      <c r="AW231">
        <v>4.8</v>
      </c>
      <c r="AX231">
        <v>5.3</v>
      </c>
      <c r="AY231">
        <v>6.5</v>
      </c>
      <c r="AZ231">
        <v>87.5</v>
      </c>
      <c r="BA231">
        <v>88</v>
      </c>
      <c r="BB231">
        <v>98.7</v>
      </c>
      <c r="BC231">
        <v>99.8</v>
      </c>
      <c r="BD231">
        <v>1.3</v>
      </c>
      <c r="BE231">
        <v>0.2</v>
      </c>
      <c r="BF231">
        <v>100</v>
      </c>
      <c r="BG231">
        <v>4.8</v>
      </c>
      <c r="BH231">
        <v>5.3</v>
      </c>
      <c r="BI231">
        <v>6.5</v>
      </c>
      <c r="BJ231">
        <v>87.5</v>
      </c>
      <c r="BK231">
        <v>88</v>
      </c>
      <c r="BL231">
        <v>98.7</v>
      </c>
      <c r="BM231">
        <v>99.8</v>
      </c>
      <c r="BN231">
        <v>1.3</v>
      </c>
      <c r="BO231">
        <v>0.2</v>
      </c>
      <c r="BP231">
        <v>0</v>
      </c>
      <c r="BQ231">
        <v>0</v>
      </c>
      <c r="BR231">
        <v>0</v>
      </c>
      <c r="BS231">
        <v>0</v>
      </c>
      <c r="BT231">
        <v>0</v>
      </c>
      <c r="BU231">
        <v>0</v>
      </c>
      <c r="BV231">
        <v>0</v>
      </c>
      <c r="BW231">
        <v>0</v>
      </c>
      <c r="BX231">
        <v>0</v>
      </c>
      <c r="BY231">
        <v>0</v>
      </c>
      <c r="BZ231">
        <v>38</v>
      </c>
      <c r="CA231">
        <v>3</v>
      </c>
      <c r="CB231">
        <v>4</v>
      </c>
      <c r="CC231">
        <v>6</v>
      </c>
      <c r="CD231">
        <v>29</v>
      </c>
      <c r="CE231">
        <v>25</v>
      </c>
      <c r="CF231">
        <v>36</v>
      </c>
      <c r="CG231">
        <v>31</v>
      </c>
      <c r="CH231">
        <v>38</v>
      </c>
      <c r="CI231">
        <v>3</v>
      </c>
      <c r="CJ231">
        <v>4</v>
      </c>
      <c r="CK231">
        <v>6</v>
      </c>
      <c r="CL231">
        <v>29</v>
      </c>
      <c r="CM231">
        <v>25</v>
      </c>
      <c r="CN231">
        <v>36</v>
      </c>
      <c r="CO231">
        <v>31</v>
      </c>
      <c r="CP231">
        <v>0</v>
      </c>
      <c r="CQ231">
        <v>0</v>
      </c>
      <c r="CR231">
        <v>0</v>
      </c>
      <c r="CS231">
        <v>0</v>
      </c>
      <c r="CT231">
        <v>0</v>
      </c>
      <c r="CU231">
        <v>0</v>
      </c>
      <c r="CV231">
        <v>0</v>
      </c>
      <c r="CW231">
        <v>0</v>
      </c>
      <c r="CX231">
        <v>36</v>
      </c>
      <c r="CY231">
        <v>53.1</v>
      </c>
      <c r="CZ231">
        <v>57.3</v>
      </c>
      <c r="DA231">
        <v>73.400000000000006</v>
      </c>
      <c r="DB231">
        <v>25.6</v>
      </c>
      <c r="DC231">
        <v>34.700000000000003</v>
      </c>
      <c r="DD231">
        <v>38.9</v>
      </c>
      <c r="DE231">
        <v>44.8</v>
      </c>
      <c r="DF231">
        <v>36</v>
      </c>
      <c r="DG231">
        <v>53.1</v>
      </c>
      <c r="DH231">
        <v>57.3</v>
      </c>
      <c r="DI231">
        <v>73.400000000000006</v>
      </c>
      <c r="DJ231">
        <v>25.6</v>
      </c>
      <c r="DK231">
        <v>34.700000000000003</v>
      </c>
      <c r="DL231">
        <v>38.9</v>
      </c>
      <c r="DM231">
        <v>44.8</v>
      </c>
      <c r="DN231">
        <v>0</v>
      </c>
      <c r="DO231">
        <v>0</v>
      </c>
      <c r="DP231">
        <v>0</v>
      </c>
      <c r="DQ231">
        <v>0</v>
      </c>
      <c r="DR231">
        <v>0</v>
      </c>
      <c r="DS231">
        <v>0</v>
      </c>
      <c r="DT231">
        <v>0</v>
      </c>
      <c r="DU231">
        <v>0</v>
      </c>
      <c r="DV231" t="s">
        <v>476</v>
      </c>
    </row>
    <row r="232" spans="1:126" x14ac:dyDescent="0.35">
      <c r="A232" t="s">
        <v>479</v>
      </c>
      <c r="B232">
        <v>230110</v>
      </c>
      <c r="C232" s="1">
        <v>44936</v>
      </c>
      <c r="D232" t="s">
        <v>480</v>
      </c>
      <c r="E232" t="s">
        <v>184</v>
      </c>
      <c r="F232" t="s">
        <v>185</v>
      </c>
      <c r="G232" t="s">
        <v>463</v>
      </c>
      <c r="H232">
        <v>61500</v>
      </c>
      <c r="I232" s="17">
        <v>118</v>
      </c>
      <c r="J232" s="17">
        <v>6532</v>
      </c>
      <c r="K232">
        <v>1885</v>
      </c>
      <c r="L232">
        <v>58696</v>
      </c>
      <c r="M232">
        <v>52966</v>
      </c>
      <c r="N232">
        <v>60699</v>
      </c>
      <c r="O232">
        <v>61383</v>
      </c>
      <c r="P232">
        <v>801</v>
      </c>
      <c r="Q232">
        <v>117</v>
      </c>
      <c r="R232">
        <v>61500</v>
      </c>
      <c r="S232">
        <v>118</v>
      </c>
      <c r="T232">
        <v>6532</v>
      </c>
      <c r="U232">
        <v>1885</v>
      </c>
      <c r="V232">
        <v>58696</v>
      </c>
      <c r="W232">
        <v>52966</v>
      </c>
      <c r="X232">
        <v>60699</v>
      </c>
      <c r="Y232">
        <v>61383</v>
      </c>
      <c r="Z232">
        <v>801</v>
      </c>
      <c r="AA232">
        <v>117</v>
      </c>
      <c r="AB232">
        <v>0</v>
      </c>
      <c r="AC232">
        <v>0</v>
      </c>
      <c r="AD232">
        <v>0</v>
      </c>
      <c r="AE232">
        <v>0</v>
      </c>
      <c r="AF232">
        <v>0</v>
      </c>
      <c r="AG232">
        <v>0</v>
      </c>
      <c r="AH232">
        <v>0</v>
      </c>
      <c r="AI232">
        <v>0</v>
      </c>
      <c r="AJ232">
        <v>0</v>
      </c>
      <c r="AK232">
        <v>0</v>
      </c>
      <c r="AL232">
        <v>-2036</v>
      </c>
      <c r="AM232">
        <v>-275</v>
      </c>
      <c r="AN232">
        <v>-116</v>
      </c>
      <c r="AO232">
        <v>-546</v>
      </c>
      <c r="AP232">
        <v>-1127</v>
      </c>
      <c r="AQ232">
        <v>-1358</v>
      </c>
      <c r="AR232">
        <v>-1948</v>
      </c>
      <c r="AS232">
        <v>-2020</v>
      </c>
      <c r="AT232">
        <v>-88</v>
      </c>
      <c r="AU232">
        <v>-16</v>
      </c>
      <c r="AV232">
        <v>100</v>
      </c>
      <c r="AW232">
        <v>0.2</v>
      </c>
      <c r="AX232">
        <v>10.6</v>
      </c>
      <c r="AY232">
        <v>3.1</v>
      </c>
      <c r="AZ232">
        <v>95.4</v>
      </c>
      <c r="BA232">
        <v>86.1</v>
      </c>
      <c r="BB232">
        <v>98.7</v>
      </c>
      <c r="BC232">
        <v>99.8</v>
      </c>
      <c r="BD232">
        <v>1.3</v>
      </c>
      <c r="BE232">
        <v>0.2</v>
      </c>
      <c r="BF232">
        <v>100</v>
      </c>
      <c r="BG232">
        <v>0.2</v>
      </c>
      <c r="BH232">
        <v>10.6</v>
      </c>
      <c r="BI232">
        <v>3.1</v>
      </c>
      <c r="BJ232">
        <v>95.4</v>
      </c>
      <c r="BK232">
        <v>86.1</v>
      </c>
      <c r="BL232">
        <v>98.7</v>
      </c>
      <c r="BM232">
        <v>99.8</v>
      </c>
      <c r="BN232">
        <v>1.3</v>
      </c>
      <c r="BO232">
        <v>0.2</v>
      </c>
      <c r="BP232">
        <v>0</v>
      </c>
      <c r="BQ232">
        <v>0</v>
      </c>
      <c r="BR232">
        <v>0</v>
      </c>
      <c r="BS232">
        <v>0</v>
      </c>
      <c r="BT232">
        <v>0</v>
      </c>
      <c r="BU232">
        <v>0</v>
      </c>
      <c r="BV232">
        <v>0</v>
      </c>
      <c r="BW232">
        <v>0</v>
      </c>
      <c r="BX232">
        <v>0</v>
      </c>
      <c r="BY232">
        <v>0</v>
      </c>
      <c r="BZ232">
        <v>43</v>
      </c>
      <c r="CA232">
        <v>2</v>
      </c>
      <c r="CB232">
        <v>10</v>
      </c>
      <c r="CC232">
        <v>5</v>
      </c>
      <c r="CD232">
        <v>29</v>
      </c>
      <c r="CE232">
        <v>23</v>
      </c>
      <c r="CF232">
        <v>36</v>
      </c>
      <c r="CG232">
        <v>34</v>
      </c>
      <c r="CH232">
        <v>43</v>
      </c>
      <c r="CI232">
        <v>2</v>
      </c>
      <c r="CJ232">
        <v>10</v>
      </c>
      <c r="CK232">
        <v>5</v>
      </c>
      <c r="CL232">
        <v>29</v>
      </c>
      <c r="CM232">
        <v>23</v>
      </c>
      <c r="CN232">
        <v>36</v>
      </c>
      <c r="CO232">
        <v>34</v>
      </c>
      <c r="CP232">
        <v>0</v>
      </c>
      <c r="CQ232">
        <v>0</v>
      </c>
      <c r="CR232">
        <v>0</v>
      </c>
      <c r="CS232">
        <v>0</v>
      </c>
      <c r="CT232">
        <v>0</v>
      </c>
      <c r="CU232">
        <v>0</v>
      </c>
      <c r="CV232">
        <v>0</v>
      </c>
      <c r="CW232">
        <v>0</v>
      </c>
      <c r="CX232">
        <v>38.700000000000003</v>
      </c>
      <c r="CY232">
        <v>48</v>
      </c>
      <c r="CZ232">
        <v>64.8</v>
      </c>
      <c r="DA232">
        <v>71.8</v>
      </c>
      <c r="DB232">
        <v>28.9</v>
      </c>
      <c r="DC232">
        <v>25.4</v>
      </c>
      <c r="DD232">
        <v>39</v>
      </c>
      <c r="DE232">
        <v>39.700000000000003</v>
      </c>
      <c r="DF232">
        <v>38.700000000000003</v>
      </c>
      <c r="DG232">
        <v>48</v>
      </c>
      <c r="DH232">
        <v>64.8</v>
      </c>
      <c r="DI232">
        <v>71.8</v>
      </c>
      <c r="DJ232">
        <v>28.9</v>
      </c>
      <c r="DK232">
        <v>25.4</v>
      </c>
      <c r="DL232">
        <v>39</v>
      </c>
      <c r="DM232">
        <v>39.700000000000003</v>
      </c>
      <c r="DN232">
        <v>0</v>
      </c>
      <c r="DO232">
        <v>0</v>
      </c>
      <c r="DP232">
        <v>0</v>
      </c>
      <c r="DQ232">
        <v>0</v>
      </c>
      <c r="DR232">
        <v>0</v>
      </c>
      <c r="DS232">
        <v>0</v>
      </c>
      <c r="DT232">
        <v>0</v>
      </c>
      <c r="DU232">
        <v>0</v>
      </c>
      <c r="DV232" t="s">
        <v>481</v>
      </c>
    </row>
    <row r="233" spans="1:126" x14ac:dyDescent="0.35">
      <c r="A233" t="s">
        <v>479</v>
      </c>
      <c r="B233">
        <v>230103</v>
      </c>
      <c r="C233" s="1">
        <v>44929</v>
      </c>
      <c r="D233" t="s">
        <v>480</v>
      </c>
      <c r="E233" t="s">
        <v>184</v>
      </c>
      <c r="F233" t="s">
        <v>185</v>
      </c>
      <c r="G233" t="s">
        <v>463</v>
      </c>
      <c r="H233">
        <v>63536</v>
      </c>
      <c r="I233" s="17">
        <v>393</v>
      </c>
      <c r="J233" s="17">
        <v>6648</v>
      </c>
      <c r="K233">
        <v>2431</v>
      </c>
      <c r="L233">
        <v>59823</v>
      </c>
      <c r="M233">
        <v>54324</v>
      </c>
      <c r="N233">
        <v>62647</v>
      </c>
      <c r="O233">
        <v>63403</v>
      </c>
      <c r="P233">
        <v>889</v>
      </c>
      <c r="Q233">
        <v>133</v>
      </c>
      <c r="R233">
        <v>63536</v>
      </c>
      <c r="S233">
        <v>393</v>
      </c>
      <c r="T233">
        <v>6648</v>
      </c>
      <c r="U233">
        <v>2431</v>
      </c>
      <c r="V233">
        <v>59823</v>
      </c>
      <c r="W233">
        <v>54324</v>
      </c>
      <c r="X233">
        <v>62647</v>
      </c>
      <c r="Y233">
        <v>63403</v>
      </c>
      <c r="Z233">
        <v>889</v>
      </c>
      <c r="AA233">
        <v>133</v>
      </c>
      <c r="AB233">
        <v>0</v>
      </c>
      <c r="AC233">
        <v>0</v>
      </c>
      <c r="AD233">
        <v>0</v>
      </c>
      <c r="AE233">
        <v>0</v>
      </c>
      <c r="AF233">
        <v>0</v>
      </c>
      <c r="AG233">
        <v>0</v>
      </c>
      <c r="AH233">
        <v>0</v>
      </c>
      <c r="AI233">
        <v>0</v>
      </c>
      <c r="AJ233">
        <v>0</v>
      </c>
      <c r="AK233">
        <v>0</v>
      </c>
      <c r="AL233">
        <v>485</v>
      </c>
      <c r="AM233">
        <v>1</v>
      </c>
      <c r="AN233">
        <v>-480</v>
      </c>
      <c r="AO233">
        <v>211</v>
      </c>
      <c r="AP233">
        <v>259</v>
      </c>
      <c r="AQ233">
        <v>747</v>
      </c>
      <c r="AR233">
        <v>471</v>
      </c>
      <c r="AS233">
        <v>478</v>
      </c>
      <c r="AT233">
        <v>14</v>
      </c>
      <c r="AU233">
        <v>7</v>
      </c>
      <c r="AV233">
        <v>100</v>
      </c>
      <c r="AW233">
        <v>0.6</v>
      </c>
      <c r="AX233">
        <v>10.5</v>
      </c>
      <c r="AY233">
        <v>3.8</v>
      </c>
      <c r="AZ233">
        <v>94.2</v>
      </c>
      <c r="BA233">
        <v>85.5</v>
      </c>
      <c r="BB233">
        <v>98.6</v>
      </c>
      <c r="BC233">
        <v>99.8</v>
      </c>
      <c r="BD233">
        <v>1.4</v>
      </c>
      <c r="BE233">
        <v>0.2</v>
      </c>
      <c r="BF233">
        <v>100</v>
      </c>
      <c r="BG233">
        <v>0.6</v>
      </c>
      <c r="BH233">
        <v>10.5</v>
      </c>
      <c r="BI233">
        <v>3.8</v>
      </c>
      <c r="BJ233">
        <v>94.2</v>
      </c>
      <c r="BK233">
        <v>85.5</v>
      </c>
      <c r="BL233">
        <v>98.6</v>
      </c>
      <c r="BM233">
        <v>99.8</v>
      </c>
      <c r="BN233">
        <v>1.4</v>
      </c>
      <c r="BO233">
        <v>0.2</v>
      </c>
      <c r="BP233">
        <v>0</v>
      </c>
      <c r="BQ233">
        <v>0</v>
      </c>
      <c r="BR233">
        <v>0</v>
      </c>
      <c r="BS233">
        <v>0</v>
      </c>
      <c r="BT233">
        <v>0</v>
      </c>
      <c r="BU233">
        <v>0</v>
      </c>
      <c r="BV233">
        <v>0</v>
      </c>
      <c r="BW233">
        <v>0</v>
      </c>
      <c r="BX233">
        <v>0</v>
      </c>
      <c r="BY233">
        <v>0</v>
      </c>
      <c r="BZ233">
        <v>47</v>
      </c>
      <c r="CA233">
        <v>3</v>
      </c>
      <c r="CB233">
        <v>11</v>
      </c>
      <c r="CC233">
        <v>7</v>
      </c>
      <c r="CD233">
        <v>30</v>
      </c>
      <c r="CE233">
        <v>29</v>
      </c>
      <c r="CF233">
        <v>39</v>
      </c>
      <c r="CG233">
        <v>41</v>
      </c>
      <c r="CH233">
        <v>47</v>
      </c>
      <c r="CI233">
        <v>3</v>
      </c>
      <c r="CJ233">
        <v>11</v>
      </c>
      <c r="CK233">
        <v>7</v>
      </c>
      <c r="CL233">
        <v>30</v>
      </c>
      <c r="CM233">
        <v>29</v>
      </c>
      <c r="CN233">
        <v>39</v>
      </c>
      <c r="CO233">
        <v>41</v>
      </c>
      <c r="CP233">
        <v>0</v>
      </c>
      <c r="CQ233">
        <v>0</v>
      </c>
      <c r="CR233">
        <v>0</v>
      </c>
      <c r="CS233">
        <v>0</v>
      </c>
      <c r="CT233">
        <v>0</v>
      </c>
      <c r="CU233">
        <v>0</v>
      </c>
      <c r="CV233">
        <v>0</v>
      </c>
      <c r="CW233">
        <v>0</v>
      </c>
      <c r="CX233">
        <v>39.1</v>
      </c>
      <c r="CY233">
        <v>45</v>
      </c>
      <c r="CZ233">
        <v>60.8</v>
      </c>
      <c r="DA233">
        <v>66.400000000000006</v>
      </c>
      <c r="DB233">
        <v>27.8</v>
      </c>
      <c r="DC233">
        <v>24.5</v>
      </c>
      <c r="DD233">
        <v>37.799999999999997</v>
      </c>
      <c r="DE233">
        <v>37</v>
      </c>
      <c r="DF233">
        <v>39.1</v>
      </c>
      <c r="DG233">
        <v>45</v>
      </c>
      <c r="DH233">
        <v>60.8</v>
      </c>
      <c r="DI233">
        <v>66.400000000000006</v>
      </c>
      <c r="DJ233">
        <v>27.8</v>
      </c>
      <c r="DK233">
        <v>24.5</v>
      </c>
      <c r="DL233">
        <v>37.799999999999997</v>
      </c>
      <c r="DM233">
        <v>37</v>
      </c>
      <c r="DN233">
        <v>0</v>
      </c>
      <c r="DO233">
        <v>0</v>
      </c>
      <c r="DP233">
        <v>0</v>
      </c>
      <c r="DQ233">
        <v>0</v>
      </c>
      <c r="DR233">
        <v>0</v>
      </c>
      <c r="DS233">
        <v>0</v>
      </c>
      <c r="DT233">
        <v>0</v>
      </c>
      <c r="DU233">
        <v>0</v>
      </c>
      <c r="DV233" t="s">
        <v>481</v>
      </c>
    </row>
    <row r="234" spans="1:126" x14ac:dyDescent="0.35">
      <c r="A234" t="s">
        <v>482</v>
      </c>
      <c r="B234">
        <v>230110</v>
      </c>
      <c r="C234" s="1">
        <v>44936</v>
      </c>
      <c r="D234" t="s">
        <v>483</v>
      </c>
      <c r="E234" t="s">
        <v>184</v>
      </c>
      <c r="F234" t="s">
        <v>185</v>
      </c>
      <c r="G234" t="s">
        <v>463</v>
      </c>
      <c r="H234">
        <v>67519</v>
      </c>
      <c r="I234" s="17">
        <v>860</v>
      </c>
      <c r="J234" s="17">
        <v>12147</v>
      </c>
      <c r="K234">
        <v>114</v>
      </c>
      <c r="L234">
        <v>66273</v>
      </c>
      <c r="M234">
        <v>55208</v>
      </c>
      <c r="N234">
        <v>67247</v>
      </c>
      <c r="O234">
        <v>67469</v>
      </c>
      <c r="P234">
        <v>272</v>
      </c>
      <c r="Q234">
        <v>50</v>
      </c>
      <c r="R234">
        <v>67519</v>
      </c>
      <c r="S234">
        <v>860</v>
      </c>
      <c r="T234">
        <v>12147</v>
      </c>
      <c r="U234">
        <v>114</v>
      </c>
      <c r="V234">
        <v>66273</v>
      </c>
      <c r="W234">
        <v>55208</v>
      </c>
      <c r="X234">
        <v>67247</v>
      </c>
      <c r="Y234">
        <v>67469</v>
      </c>
      <c r="Z234">
        <v>272</v>
      </c>
      <c r="AA234">
        <v>50</v>
      </c>
      <c r="AB234">
        <v>0</v>
      </c>
      <c r="AC234">
        <v>0</v>
      </c>
      <c r="AD234">
        <v>0</v>
      </c>
      <c r="AE234">
        <v>0</v>
      </c>
      <c r="AF234">
        <v>0</v>
      </c>
      <c r="AG234">
        <v>0</v>
      </c>
      <c r="AH234">
        <v>0</v>
      </c>
      <c r="AI234">
        <v>0</v>
      </c>
      <c r="AJ234">
        <v>0</v>
      </c>
      <c r="AK234">
        <v>0</v>
      </c>
      <c r="AL234">
        <v>-1134</v>
      </c>
      <c r="AM234">
        <v>55</v>
      </c>
      <c r="AN234">
        <v>-461</v>
      </c>
      <c r="AO234">
        <v>0</v>
      </c>
      <c r="AP234">
        <v>-1146</v>
      </c>
      <c r="AQ234">
        <v>-663</v>
      </c>
      <c r="AR234">
        <v>-1091</v>
      </c>
      <c r="AS234">
        <v>-1124</v>
      </c>
      <c r="AT234">
        <v>-43</v>
      </c>
      <c r="AU234">
        <v>-10</v>
      </c>
      <c r="AV234">
        <v>100</v>
      </c>
      <c r="AW234">
        <v>1.3</v>
      </c>
      <c r="AX234">
        <v>18</v>
      </c>
      <c r="AY234">
        <v>0.2</v>
      </c>
      <c r="AZ234">
        <v>98.2</v>
      </c>
      <c r="BA234">
        <v>81.8</v>
      </c>
      <c r="BB234">
        <v>99.6</v>
      </c>
      <c r="BC234">
        <v>99.9</v>
      </c>
      <c r="BD234">
        <v>0.4</v>
      </c>
      <c r="BE234">
        <v>0.1</v>
      </c>
      <c r="BF234">
        <v>100</v>
      </c>
      <c r="BG234">
        <v>1.3</v>
      </c>
      <c r="BH234">
        <v>18</v>
      </c>
      <c r="BI234">
        <v>0.2</v>
      </c>
      <c r="BJ234">
        <v>98.2</v>
      </c>
      <c r="BK234">
        <v>81.8</v>
      </c>
      <c r="BL234">
        <v>99.6</v>
      </c>
      <c r="BM234">
        <v>99.9</v>
      </c>
      <c r="BN234">
        <v>0.4</v>
      </c>
      <c r="BO234">
        <v>0.1</v>
      </c>
      <c r="BP234">
        <v>0</v>
      </c>
      <c r="BQ234">
        <v>0</v>
      </c>
      <c r="BR234">
        <v>0</v>
      </c>
      <c r="BS234">
        <v>0</v>
      </c>
      <c r="BT234">
        <v>0</v>
      </c>
      <c r="BU234">
        <v>0</v>
      </c>
      <c r="BV234">
        <v>0</v>
      </c>
      <c r="BW234">
        <v>0</v>
      </c>
      <c r="BX234">
        <v>0</v>
      </c>
      <c r="BY234">
        <v>0</v>
      </c>
      <c r="BZ234">
        <v>38</v>
      </c>
      <c r="CA234">
        <v>1</v>
      </c>
      <c r="CB234">
        <v>3</v>
      </c>
      <c r="CC234">
        <v>2</v>
      </c>
      <c r="CD234">
        <v>26</v>
      </c>
      <c r="CE234">
        <v>26</v>
      </c>
      <c r="CF234">
        <v>28</v>
      </c>
      <c r="CG234">
        <v>30</v>
      </c>
      <c r="CH234">
        <v>38</v>
      </c>
      <c r="CI234">
        <v>1</v>
      </c>
      <c r="CJ234">
        <v>3</v>
      </c>
      <c r="CK234">
        <v>2</v>
      </c>
      <c r="CL234">
        <v>26</v>
      </c>
      <c r="CM234">
        <v>26</v>
      </c>
      <c r="CN234">
        <v>28</v>
      </c>
      <c r="CO234">
        <v>30</v>
      </c>
      <c r="CP234">
        <v>0</v>
      </c>
      <c r="CQ234">
        <v>0</v>
      </c>
      <c r="CR234">
        <v>0</v>
      </c>
      <c r="CS234">
        <v>0</v>
      </c>
      <c r="CT234">
        <v>0</v>
      </c>
      <c r="CU234">
        <v>0</v>
      </c>
      <c r="CV234">
        <v>0</v>
      </c>
      <c r="CW234">
        <v>0</v>
      </c>
      <c r="CX234">
        <v>47.9</v>
      </c>
      <c r="CY234">
        <v>52.7</v>
      </c>
      <c r="CZ234">
        <v>70.8</v>
      </c>
      <c r="DA234">
        <v>74.7</v>
      </c>
      <c r="DB234">
        <v>43.1</v>
      </c>
      <c r="DC234">
        <v>48.9</v>
      </c>
      <c r="DD234">
        <v>63.6</v>
      </c>
      <c r="DE234">
        <v>69.2</v>
      </c>
      <c r="DF234">
        <v>47.9</v>
      </c>
      <c r="DG234">
        <v>52.7</v>
      </c>
      <c r="DH234">
        <v>70.8</v>
      </c>
      <c r="DI234">
        <v>74.7</v>
      </c>
      <c r="DJ234">
        <v>43.1</v>
      </c>
      <c r="DK234">
        <v>48.9</v>
      </c>
      <c r="DL234">
        <v>63.6</v>
      </c>
      <c r="DM234">
        <v>69.2</v>
      </c>
      <c r="DN234">
        <v>0</v>
      </c>
      <c r="DO234">
        <v>0</v>
      </c>
      <c r="DP234">
        <v>0</v>
      </c>
      <c r="DQ234">
        <v>0</v>
      </c>
      <c r="DR234">
        <v>0</v>
      </c>
      <c r="DS234">
        <v>0</v>
      </c>
      <c r="DT234">
        <v>0</v>
      </c>
      <c r="DU234">
        <v>0</v>
      </c>
      <c r="DV234" t="s">
        <v>484</v>
      </c>
    </row>
    <row r="235" spans="1:126" x14ac:dyDescent="0.35">
      <c r="A235" t="s">
        <v>482</v>
      </c>
      <c r="B235">
        <v>230103</v>
      </c>
      <c r="C235" s="1">
        <v>44929</v>
      </c>
      <c r="D235" t="s">
        <v>483</v>
      </c>
      <c r="E235" t="s">
        <v>184</v>
      </c>
      <c r="F235" t="s">
        <v>185</v>
      </c>
      <c r="G235" t="s">
        <v>463</v>
      </c>
      <c r="H235">
        <v>68653</v>
      </c>
      <c r="I235" s="17">
        <v>805</v>
      </c>
      <c r="J235" s="17">
        <v>12608</v>
      </c>
      <c r="K235">
        <v>114</v>
      </c>
      <c r="L235">
        <v>67419</v>
      </c>
      <c r="M235">
        <v>55871</v>
      </c>
      <c r="N235">
        <v>68338</v>
      </c>
      <c r="O235">
        <v>68593</v>
      </c>
      <c r="P235">
        <v>315</v>
      </c>
      <c r="Q235">
        <v>60</v>
      </c>
      <c r="R235">
        <v>68653</v>
      </c>
      <c r="S235">
        <v>805</v>
      </c>
      <c r="T235">
        <v>12608</v>
      </c>
      <c r="U235">
        <v>114</v>
      </c>
      <c r="V235">
        <v>67419</v>
      </c>
      <c r="W235">
        <v>55871</v>
      </c>
      <c r="X235">
        <v>68338</v>
      </c>
      <c r="Y235">
        <v>68593</v>
      </c>
      <c r="Z235">
        <v>315</v>
      </c>
      <c r="AA235">
        <v>60</v>
      </c>
      <c r="AB235">
        <v>0</v>
      </c>
      <c r="AC235">
        <v>0</v>
      </c>
      <c r="AD235">
        <v>0</v>
      </c>
      <c r="AE235">
        <v>0</v>
      </c>
      <c r="AF235">
        <v>0</v>
      </c>
      <c r="AG235">
        <v>0</v>
      </c>
      <c r="AH235">
        <v>0</v>
      </c>
      <c r="AI235">
        <v>0</v>
      </c>
      <c r="AJ235">
        <v>0</v>
      </c>
      <c r="AK235">
        <v>0</v>
      </c>
      <c r="AL235">
        <v>955</v>
      </c>
      <c r="AM235">
        <v>0</v>
      </c>
      <c r="AN235">
        <v>1319</v>
      </c>
      <c r="AO235">
        <v>0</v>
      </c>
      <c r="AP235">
        <v>925</v>
      </c>
      <c r="AQ235">
        <v>-364</v>
      </c>
      <c r="AR235">
        <v>925</v>
      </c>
      <c r="AS235">
        <v>955</v>
      </c>
      <c r="AT235">
        <v>30</v>
      </c>
      <c r="AU235">
        <v>0</v>
      </c>
      <c r="AV235">
        <v>100</v>
      </c>
      <c r="AW235">
        <v>1.2</v>
      </c>
      <c r="AX235">
        <v>18.399999999999999</v>
      </c>
      <c r="AY235">
        <v>0.2</v>
      </c>
      <c r="AZ235">
        <v>98.2</v>
      </c>
      <c r="BA235">
        <v>81.400000000000006</v>
      </c>
      <c r="BB235">
        <v>99.5</v>
      </c>
      <c r="BC235">
        <v>99.9</v>
      </c>
      <c r="BD235">
        <v>0.5</v>
      </c>
      <c r="BE235">
        <v>0.1</v>
      </c>
      <c r="BF235">
        <v>100</v>
      </c>
      <c r="BG235">
        <v>1.2</v>
      </c>
      <c r="BH235">
        <v>18.399999999999999</v>
      </c>
      <c r="BI235">
        <v>0.2</v>
      </c>
      <c r="BJ235">
        <v>98.2</v>
      </c>
      <c r="BK235">
        <v>81.400000000000006</v>
      </c>
      <c r="BL235">
        <v>99.5</v>
      </c>
      <c r="BM235">
        <v>99.9</v>
      </c>
      <c r="BN235">
        <v>0.5</v>
      </c>
      <c r="BO235">
        <v>0.1</v>
      </c>
      <c r="BP235">
        <v>0</v>
      </c>
      <c r="BQ235">
        <v>0</v>
      </c>
      <c r="BR235">
        <v>0</v>
      </c>
      <c r="BS235">
        <v>0</v>
      </c>
      <c r="BT235">
        <v>0</v>
      </c>
      <c r="BU235">
        <v>0</v>
      </c>
      <c r="BV235">
        <v>0</v>
      </c>
      <c r="BW235">
        <v>0</v>
      </c>
      <c r="BX235">
        <v>0</v>
      </c>
      <c r="BY235">
        <v>0</v>
      </c>
      <c r="BZ235">
        <v>41</v>
      </c>
      <c r="CA235">
        <v>1</v>
      </c>
      <c r="CB235">
        <v>5</v>
      </c>
      <c r="CC235">
        <v>2</v>
      </c>
      <c r="CD235">
        <v>26</v>
      </c>
      <c r="CE235">
        <v>30</v>
      </c>
      <c r="CF235">
        <v>28</v>
      </c>
      <c r="CG235">
        <v>36</v>
      </c>
      <c r="CH235">
        <v>41</v>
      </c>
      <c r="CI235">
        <v>1</v>
      </c>
      <c r="CJ235">
        <v>5</v>
      </c>
      <c r="CK235">
        <v>2</v>
      </c>
      <c r="CL235">
        <v>26</v>
      </c>
      <c r="CM235">
        <v>30</v>
      </c>
      <c r="CN235">
        <v>28</v>
      </c>
      <c r="CO235">
        <v>36</v>
      </c>
      <c r="CP235">
        <v>0</v>
      </c>
      <c r="CQ235">
        <v>0</v>
      </c>
      <c r="CR235">
        <v>0</v>
      </c>
      <c r="CS235">
        <v>0</v>
      </c>
      <c r="CT235">
        <v>0</v>
      </c>
      <c r="CU235">
        <v>0</v>
      </c>
      <c r="CV235">
        <v>0</v>
      </c>
      <c r="CW235">
        <v>0</v>
      </c>
      <c r="CX235">
        <v>47</v>
      </c>
      <c r="CY235">
        <v>51</v>
      </c>
      <c r="CZ235">
        <v>70</v>
      </c>
      <c r="DA235">
        <v>73.2</v>
      </c>
      <c r="DB235">
        <v>41.7</v>
      </c>
      <c r="DC235">
        <v>47.7</v>
      </c>
      <c r="DD235">
        <v>60.9</v>
      </c>
      <c r="DE235">
        <v>66.099999999999994</v>
      </c>
      <c r="DF235">
        <v>47</v>
      </c>
      <c r="DG235">
        <v>51</v>
      </c>
      <c r="DH235">
        <v>70</v>
      </c>
      <c r="DI235">
        <v>73.2</v>
      </c>
      <c r="DJ235">
        <v>41.7</v>
      </c>
      <c r="DK235">
        <v>47.7</v>
      </c>
      <c r="DL235">
        <v>60.9</v>
      </c>
      <c r="DM235">
        <v>66.099999999999994</v>
      </c>
      <c r="DN235">
        <v>0</v>
      </c>
      <c r="DO235">
        <v>0</v>
      </c>
      <c r="DP235">
        <v>0</v>
      </c>
      <c r="DQ235">
        <v>0</v>
      </c>
      <c r="DR235">
        <v>0</v>
      </c>
      <c r="DS235">
        <v>0</v>
      </c>
      <c r="DT235">
        <v>0</v>
      </c>
      <c r="DU235">
        <v>0</v>
      </c>
      <c r="DV235" t="s">
        <v>484</v>
      </c>
    </row>
    <row r="236" spans="1:126" x14ac:dyDescent="0.35">
      <c r="A236" t="s">
        <v>485</v>
      </c>
      <c r="B236">
        <v>230110</v>
      </c>
      <c r="C236" s="1">
        <v>44936</v>
      </c>
      <c r="D236" t="s">
        <v>486</v>
      </c>
      <c r="E236" t="s">
        <v>184</v>
      </c>
      <c r="F236" t="s">
        <v>185</v>
      </c>
      <c r="G236" t="s">
        <v>463</v>
      </c>
      <c r="H236">
        <v>86676</v>
      </c>
      <c r="I236" s="17">
        <v>1434</v>
      </c>
      <c r="J236" s="17">
        <v>12938</v>
      </c>
      <c r="K236">
        <v>113</v>
      </c>
      <c r="L236">
        <v>84782</v>
      </c>
      <c r="M236">
        <v>73264</v>
      </c>
      <c r="N236">
        <v>86329</v>
      </c>
      <c r="O236">
        <v>86315</v>
      </c>
      <c r="P236">
        <v>347</v>
      </c>
      <c r="Q236">
        <v>361</v>
      </c>
      <c r="R236">
        <v>86676</v>
      </c>
      <c r="S236">
        <v>1434</v>
      </c>
      <c r="T236">
        <v>12938</v>
      </c>
      <c r="U236">
        <v>113</v>
      </c>
      <c r="V236">
        <v>84782</v>
      </c>
      <c r="W236">
        <v>73264</v>
      </c>
      <c r="X236">
        <v>86329</v>
      </c>
      <c r="Y236">
        <v>86315</v>
      </c>
      <c r="Z236">
        <v>347</v>
      </c>
      <c r="AA236">
        <v>361</v>
      </c>
      <c r="AB236">
        <v>0</v>
      </c>
      <c r="AC236">
        <v>0</v>
      </c>
      <c r="AD236">
        <v>0</v>
      </c>
      <c r="AE236">
        <v>0</v>
      </c>
      <c r="AF236">
        <v>0</v>
      </c>
      <c r="AG236">
        <v>0</v>
      </c>
      <c r="AH236">
        <v>0</v>
      </c>
      <c r="AI236">
        <v>0</v>
      </c>
      <c r="AJ236">
        <v>0</v>
      </c>
      <c r="AK236">
        <v>0</v>
      </c>
      <c r="AL236">
        <v>-2726</v>
      </c>
      <c r="AM236">
        <v>34</v>
      </c>
      <c r="AN236">
        <v>-70</v>
      </c>
      <c r="AO236">
        <v>0</v>
      </c>
      <c r="AP236">
        <v>-2711</v>
      </c>
      <c r="AQ236">
        <v>-2654</v>
      </c>
      <c r="AR236">
        <v>-2677</v>
      </c>
      <c r="AS236">
        <v>-2724</v>
      </c>
      <c r="AT236">
        <v>-49</v>
      </c>
      <c r="AU236">
        <v>-2</v>
      </c>
      <c r="AV236">
        <v>100</v>
      </c>
      <c r="AW236">
        <v>1.7</v>
      </c>
      <c r="AX236">
        <v>14.9</v>
      </c>
      <c r="AY236">
        <v>0.1</v>
      </c>
      <c r="AZ236">
        <v>97.8</v>
      </c>
      <c r="BA236">
        <v>84.5</v>
      </c>
      <c r="BB236">
        <v>99.6</v>
      </c>
      <c r="BC236">
        <v>99.6</v>
      </c>
      <c r="BD236">
        <v>0.4</v>
      </c>
      <c r="BE236">
        <v>0.4</v>
      </c>
      <c r="BF236">
        <v>100</v>
      </c>
      <c r="BG236">
        <v>1.7</v>
      </c>
      <c r="BH236">
        <v>14.9</v>
      </c>
      <c r="BI236">
        <v>0.1</v>
      </c>
      <c r="BJ236">
        <v>97.8</v>
      </c>
      <c r="BK236">
        <v>84.5</v>
      </c>
      <c r="BL236">
        <v>99.6</v>
      </c>
      <c r="BM236">
        <v>99.6</v>
      </c>
      <c r="BN236">
        <v>0.4</v>
      </c>
      <c r="BO236">
        <v>0.4</v>
      </c>
      <c r="BP236">
        <v>0</v>
      </c>
      <c r="BQ236">
        <v>0</v>
      </c>
      <c r="BR236">
        <v>0</v>
      </c>
      <c r="BS236">
        <v>0</v>
      </c>
      <c r="BT236">
        <v>0</v>
      </c>
      <c r="BU236">
        <v>0</v>
      </c>
      <c r="BV236">
        <v>0</v>
      </c>
      <c r="BW236">
        <v>0</v>
      </c>
      <c r="BX236">
        <v>0</v>
      </c>
      <c r="BY236">
        <v>0</v>
      </c>
      <c r="BZ236">
        <v>40</v>
      </c>
      <c r="CA236">
        <v>1</v>
      </c>
      <c r="CB236">
        <v>4</v>
      </c>
      <c r="CC236">
        <v>1</v>
      </c>
      <c r="CD236">
        <v>26</v>
      </c>
      <c r="CE236">
        <v>25</v>
      </c>
      <c r="CF236">
        <v>28</v>
      </c>
      <c r="CG236">
        <v>29</v>
      </c>
      <c r="CH236">
        <v>40</v>
      </c>
      <c r="CI236">
        <v>1</v>
      </c>
      <c r="CJ236">
        <v>4</v>
      </c>
      <c r="CK236">
        <v>1</v>
      </c>
      <c r="CL236">
        <v>26</v>
      </c>
      <c r="CM236">
        <v>25</v>
      </c>
      <c r="CN236">
        <v>28</v>
      </c>
      <c r="CO236">
        <v>29</v>
      </c>
      <c r="CP236">
        <v>0</v>
      </c>
      <c r="CQ236">
        <v>0</v>
      </c>
      <c r="CR236">
        <v>0</v>
      </c>
      <c r="CS236">
        <v>0</v>
      </c>
      <c r="CT236">
        <v>0</v>
      </c>
      <c r="CU236">
        <v>0</v>
      </c>
      <c r="CV236">
        <v>0</v>
      </c>
      <c r="CW236">
        <v>0</v>
      </c>
      <c r="CX236">
        <v>48</v>
      </c>
      <c r="CY236">
        <v>55</v>
      </c>
      <c r="CZ236">
        <v>70.400000000000006</v>
      </c>
      <c r="DA236">
        <v>77.8</v>
      </c>
      <c r="DB236">
        <v>44.4</v>
      </c>
      <c r="DC236">
        <v>53.2</v>
      </c>
      <c r="DD236">
        <v>65.099999999999994</v>
      </c>
      <c r="DE236">
        <v>74.400000000000006</v>
      </c>
      <c r="DF236">
        <v>48</v>
      </c>
      <c r="DG236">
        <v>55</v>
      </c>
      <c r="DH236">
        <v>70.400000000000006</v>
      </c>
      <c r="DI236">
        <v>77.8</v>
      </c>
      <c r="DJ236">
        <v>44.4</v>
      </c>
      <c r="DK236">
        <v>53.2</v>
      </c>
      <c r="DL236">
        <v>65.099999999999994</v>
      </c>
      <c r="DM236">
        <v>74.400000000000006</v>
      </c>
      <c r="DN236">
        <v>0</v>
      </c>
      <c r="DO236">
        <v>0</v>
      </c>
      <c r="DP236">
        <v>0</v>
      </c>
      <c r="DQ236">
        <v>0</v>
      </c>
      <c r="DR236">
        <v>0</v>
      </c>
      <c r="DS236">
        <v>0</v>
      </c>
      <c r="DT236">
        <v>0</v>
      </c>
      <c r="DU236">
        <v>0</v>
      </c>
      <c r="DV236" t="s">
        <v>484</v>
      </c>
    </row>
    <row r="237" spans="1:126" x14ac:dyDescent="0.35">
      <c r="A237" t="s">
        <v>485</v>
      </c>
      <c r="B237">
        <v>230103</v>
      </c>
      <c r="C237" s="1">
        <v>44929</v>
      </c>
      <c r="D237" t="s">
        <v>486</v>
      </c>
      <c r="E237" t="s">
        <v>184</v>
      </c>
      <c r="F237" t="s">
        <v>185</v>
      </c>
      <c r="G237" t="s">
        <v>463</v>
      </c>
      <c r="H237">
        <v>89402</v>
      </c>
      <c r="I237" s="17">
        <v>1400</v>
      </c>
      <c r="J237" s="17">
        <v>13008</v>
      </c>
      <c r="K237">
        <v>113</v>
      </c>
      <c r="L237">
        <v>87493</v>
      </c>
      <c r="M237">
        <v>75918</v>
      </c>
      <c r="N237">
        <v>89006</v>
      </c>
      <c r="O237">
        <v>89039</v>
      </c>
      <c r="P237">
        <v>396</v>
      </c>
      <c r="Q237">
        <v>363</v>
      </c>
      <c r="R237">
        <v>89402</v>
      </c>
      <c r="S237">
        <v>1400</v>
      </c>
      <c r="T237">
        <v>13008</v>
      </c>
      <c r="U237">
        <v>113</v>
      </c>
      <c r="V237">
        <v>87493</v>
      </c>
      <c r="W237">
        <v>75918</v>
      </c>
      <c r="X237">
        <v>89006</v>
      </c>
      <c r="Y237">
        <v>89039</v>
      </c>
      <c r="Z237">
        <v>396</v>
      </c>
      <c r="AA237">
        <v>363</v>
      </c>
      <c r="AB237">
        <v>0</v>
      </c>
      <c r="AC237">
        <v>0</v>
      </c>
      <c r="AD237">
        <v>0</v>
      </c>
      <c r="AE237">
        <v>0</v>
      </c>
      <c r="AF237">
        <v>0</v>
      </c>
      <c r="AG237">
        <v>0</v>
      </c>
      <c r="AH237">
        <v>0</v>
      </c>
      <c r="AI237">
        <v>0</v>
      </c>
      <c r="AJ237">
        <v>0</v>
      </c>
      <c r="AK237">
        <v>0</v>
      </c>
      <c r="AL237">
        <v>966</v>
      </c>
      <c r="AM237">
        <v>0</v>
      </c>
      <c r="AN237">
        <v>1238</v>
      </c>
      <c r="AO237">
        <v>0</v>
      </c>
      <c r="AP237">
        <v>967</v>
      </c>
      <c r="AQ237">
        <v>-272</v>
      </c>
      <c r="AR237">
        <v>967</v>
      </c>
      <c r="AS237">
        <v>966</v>
      </c>
      <c r="AT237">
        <v>-1</v>
      </c>
      <c r="AU237">
        <v>0</v>
      </c>
      <c r="AV237">
        <v>100</v>
      </c>
      <c r="AW237">
        <v>1.6</v>
      </c>
      <c r="AX237">
        <v>14.6</v>
      </c>
      <c r="AY237">
        <v>0.1</v>
      </c>
      <c r="AZ237">
        <v>97.9</v>
      </c>
      <c r="BA237">
        <v>84.9</v>
      </c>
      <c r="BB237">
        <v>99.6</v>
      </c>
      <c r="BC237">
        <v>99.6</v>
      </c>
      <c r="BD237">
        <v>0.4</v>
      </c>
      <c r="BE237">
        <v>0.4</v>
      </c>
      <c r="BF237">
        <v>100</v>
      </c>
      <c r="BG237">
        <v>1.6</v>
      </c>
      <c r="BH237">
        <v>14.6</v>
      </c>
      <c r="BI237">
        <v>0.1</v>
      </c>
      <c r="BJ237">
        <v>97.9</v>
      </c>
      <c r="BK237">
        <v>84.9</v>
      </c>
      <c r="BL237">
        <v>99.6</v>
      </c>
      <c r="BM237">
        <v>99.6</v>
      </c>
      <c r="BN237">
        <v>0.4</v>
      </c>
      <c r="BO237">
        <v>0.4</v>
      </c>
      <c r="BP237">
        <v>0</v>
      </c>
      <c r="BQ237">
        <v>0</v>
      </c>
      <c r="BR237">
        <v>0</v>
      </c>
      <c r="BS237">
        <v>0</v>
      </c>
      <c r="BT237">
        <v>0</v>
      </c>
      <c r="BU237">
        <v>0</v>
      </c>
      <c r="BV237">
        <v>0</v>
      </c>
      <c r="BW237">
        <v>0</v>
      </c>
      <c r="BX237">
        <v>0</v>
      </c>
      <c r="BY237">
        <v>0</v>
      </c>
      <c r="BZ237">
        <v>43</v>
      </c>
      <c r="CA237">
        <v>1</v>
      </c>
      <c r="CB237">
        <v>5</v>
      </c>
      <c r="CC237">
        <v>1</v>
      </c>
      <c r="CD237">
        <v>29</v>
      </c>
      <c r="CE237">
        <v>30</v>
      </c>
      <c r="CF237">
        <v>31</v>
      </c>
      <c r="CG237">
        <v>35</v>
      </c>
      <c r="CH237">
        <v>43</v>
      </c>
      <c r="CI237">
        <v>1</v>
      </c>
      <c r="CJ237">
        <v>5</v>
      </c>
      <c r="CK237">
        <v>1</v>
      </c>
      <c r="CL237">
        <v>29</v>
      </c>
      <c r="CM237">
        <v>30</v>
      </c>
      <c r="CN237">
        <v>31</v>
      </c>
      <c r="CO237">
        <v>35</v>
      </c>
      <c r="CP237">
        <v>0</v>
      </c>
      <c r="CQ237">
        <v>0</v>
      </c>
      <c r="CR237">
        <v>0</v>
      </c>
      <c r="CS237">
        <v>0</v>
      </c>
      <c r="CT237">
        <v>0</v>
      </c>
      <c r="CU237">
        <v>0</v>
      </c>
      <c r="CV237">
        <v>0</v>
      </c>
      <c r="CW237">
        <v>0</v>
      </c>
      <c r="CX237">
        <v>47.6</v>
      </c>
      <c r="CY237">
        <v>53.5</v>
      </c>
      <c r="CZ237">
        <v>70</v>
      </c>
      <c r="DA237">
        <v>75.099999999999994</v>
      </c>
      <c r="DB237">
        <v>44.2</v>
      </c>
      <c r="DC237">
        <v>53.3</v>
      </c>
      <c r="DD237">
        <v>63.9</v>
      </c>
      <c r="DE237">
        <v>70.900000000000006</v>
      </c>
      <c r="DF237">
        <v>47.6</v>
      </c>
      <c r="DG237">
        <v>53.5</v>
      </c>
      <c r="DH237">
        <v>70</v>
      </c>
      <c r="DI237">
        <v>75.099999999999994</v>
      </c>
      <c r="DJ237">
        <v>44.2</v>
      </c>
      <c r="DK237">
        <v>53.3</v>
      </c>
      <c r="DL237">
        <v>63.9</v>
      </c>
      <c r="DM237">
        <v>70.900000000000006</v>
      </c>
      <c r="DN237">
        <v>0</v>
      </c>
      <c r="DO237">
        <v>0</v>
      </c>
      <c r="DP237">
        <v>0</v>
      </c>
      <c r="DQ237">
        <v>0</v>
      </c>
      <c r="DR237">
        <v>0</v>
      </c>
      <c r="DS237">
        <v>0</v>
      </c>
      <c r="DT237">
        <v>0</v>
      </c>
      <c r="DU237">
        <v>0</v>
      </c>
      <c r="DV237" t="s">
        <v>484</v>
      </c>
    </row>
    <row r="238" spans="1:126" x14ac:dyDescent="0.35">
      <c r="A238" t="s">
        <v>487</v>
      </c>
      <c r="B238">
        <v>230110</v>
      </c>
      <c r="C238" s="1">
        <v>44936</v>
      </c>
      <c r="D238" t="s">
        <v>488</v>
      </c>
      <c r="E238" t="s">
        <v>184</v>
      </c>
      <c r="F238" t="s">
        <v>185</v>
      </c>
      <c r="G238" t="s">
        <v>463</v>
      </c>
      <c r="H238">
        <v>33986</v>
      </c>
      <c r="I238" s="17">
        <v>0</v>
      </c>
      <c r="J238" s="17">
        <v>220</v>
      </c>
      <c r="K238">
        <v>0</v>
      </c>
      <c r="L238">
        <v>33734</v>
      </c>
      <c r="M238">
        <v>33520</v>
      </c>
      <c r="N238">
        <v>33734</v>
      </c>
      <c r="O238">
        <v>33740</v>
      </c>
      <c r="P238">
        <v>252</v>
      </c>
      <c r="Q238">
        <v>246</v>
      </c>
      <c r="R238">
        <v>33986</v>
      </c>
      <c r="S238">
        <v>0</v>
      </c>
      <c r="T238">
        <v>220</v>
      </c>
      <c r="U238">
        <v>0</v>
      </c>
      <c r="V238">
        <v>33734</v>
      </c>
      <c r="W238">
        <v>33520</v>
      </c>
      <c r="X238">
        <v>33734</v>
      </c>
      <c r="Y238">
        <v>33740</v>
      </c>
      <c r="Z238">
        <v>252</v>
      </c>
      <c r="AA238">
        <v>246</v>
      </c>
      <c r="AB238">
        <v>0</v>
      </c>
      <c r="AC238">
        <v>0</v>
      </c>
      <c r="AD238">
        <v>0</v>
      </c>
      <c r="AE238">
        <v>0</v>
      </c>
      <c r="AF238">
        <v>0</v>
      </c>
      <c r="AG238">
        <v>0</v>
      </c>
      <c r="AH238">
        <v>0</v>
      </c>
      <c r="AI238">
        <v>0</v>
      </c>
      <c r="AJ238">
        <v>0</v>
      </c>
      <c r="AK238">
        <v>0</v>
      </c>
      <c r="AL238">
        <v>-2124</v>
      </c>
      <c r="AM238">
        <v>0</v>
      </c>
      <c r="AN238">
        <v>-125</v>
      </c>
      <c r="AO238">
        <v>0</v>
      </c>
      <c r="AP238">
        <v>-2123</v>
      </c>
      <c r="AQ238">
        <v>-1974</v>
      </c>
      <c r="AR238">
        <v>-2123</v>
      </c>
      <c r="AS238">
        <v>-2099</v>
      </c>
      <c r="AT238">
        <v>-1</v>
      </c>
      <c r="AU238">
        <v>-25</v>
      </c>
      <c r="AV238">
        <v>100</v>
      </c>
      <c r="AW238">
        <v>0</v>
      </c>
      <c r="AX238">
        <v>0.6</v>
      </c>
      <c r="AY238">
        <v>0</v>
      </c>
      <c r="AZ238">
        <v>99.3</v>
      </c>
      <c r="BA238">
        <v>98.6</v>
      </c>
      <c r="BB238">
        <v>99.3</v>
      </c>
      <c r="BC238">
        <v>99.3</v>
      </c>
      <c r="BD238">
        <v>0.7</v>
      </c>
      <c r="BE238">
        <v>0.7</v>
      </c>
      <c r="BF238">
        <v>100</v>
      </c>
      <c r="BG238">
        <v>0</v>
      </c>
      <c r="BH238">
        <v>0.6</v>
      </c>
      <c r="BI238">
        <v>0</v>
      </c>
      <c r="BJ238">
        <v>99.3</v>
      </c>
      <c r="BK238">
        <v>98.6</v>
      </c>
      <c r="BL238">
        <v>99.3</v>
      </c>
      <c r="BM238">
        <v>99.3</v>
      </c>
      <c r="BN238">
        <v>0.7</v>
      </c>
      <c r="BO238">
        <v>0.7</v>
      </c>
      <c r="BP238">
        <v>0</v>
      </c>
      <c r="BQ238">
        <v>0</v>
      </c>
      <c r="BR238">
        <v>0</v>
      </c>
      <c r="BS238">
        <v>0</v>
      </c>
      <c r="BT238">
        <v>0</v>
      </c>
      <c r="BU238">
        <v>0</v>
      </c>
      <c r="BV238">
        <v>0</v>
      </c>
      <c r="BW238">
        <v>0</v>
      </c>
      <c r="BX238">
        <v>0</v>
      </c>
      <c r="BY238">
        <v>0</v>
      </c>
      <c r="BZ238">
        <v>20</v>
      </c>
      <c r="CA238">
        <v>0</v>
      </c>
      <c r="CB238">
        <v>1</v>
      </c>
      <c r="CC238">
        <v>0</v>
      </c>
      <c r="CD238">
        <v>15</v>
      </c>
      <c r="CE238">
        <v>12</v>
      </c>
      <c r="CF238">
        <v>15</v>
      </c>
      <c r="CG238">
        <v>13</v>
      </c>
      <c r="CH238">
        <v>20</v>
      </c>
      <c r="CI238">
        <v>0</v>
      </c>
      <c r="CJ238">
        <v>1</v>
      </c>
      <c r="CK238">
        <v>0</v>
      </c>
      <c r="CL238">
        <v>15</v>
      </c>
      <c r="CM238">
        <v>12</v>
      </c>
      <c r="CN238">
        <v>15</v>
      </c>
      <c r="CO238">
        <v>13</v>
      </c>
      <c r="CP238">
        <v>0</v>
      </c>
      <c r="CQ238">
        <v>0</v>
      </c>
      <c r="CR238">
        <v>0</v>
      </c>
      <c r="CS238">
        <v>0</v>
      </c>
      <c r="CT238">
        <v>0</v>
      </c>
      <c r="CU238">
        <v>0</v>
      </c>
      <c r="CV238">
        <v>0</v>
      </c>
      <c r="CW238">
        <v>0</v>
      </c>
      <c r="CX238">
        <v>73.7</v>
      </c>
      <c r="CY238">
        <v>79</v>
      </c>
      <c r="CZ238">
        <v>89.6</v>
      </c>
      <c r="DA238">
        <v>96.3</v>
      </c>
      <c r="DB238">
        <v>60.1</v>
      </c>
      <c r="DC238">
        <v>71</v>
      </c>
      <c r="DD238">
        <v>68.8</v>
      </c>
      <c r="DE238">
        <v>73.8</v>
      </c>
      <c r="DF238">
        <v>73.7</v>
      </c>
      <c r="DG238">
        <v>79</v>
      </c>
      <c r="DH238">
        <v>89.6</v>
      </c>
      <c r="DI238">
        <v>96.3</v>
      </c>
      <c r="DJ238">
        <v>60.1</v>
      </c>
      <c r="DK238">
        <v>71</v>
      </c>
      <c r="DL238">
        <v>68.8</v>
      </c>
      <c r="DM238">
        <v>73.8</v>
      </c>
      <c r="DN238">
        <v>0</v>
      </c>
      <c r="DO238">
        <v>0</v>
      </c>
      <c r="DP238">
        <v>0</v>
      </c>
      <c r="DQ238">
        <v>0</v>
      </c>
      <c r="DR238">
        <v>0</v>
      </c>
      <c r="DS238">
        <v>0</v>
      </c>
      <c r="DT238">
        <v>0</v>
      </c>
      <c r="DU238">
        <v>0</v>
      </c>
      <c r="DV238" t="s">
        <v>484</v>
      </c>
    </row>
    <row r="239" spans="1:126" x14ac:dyDescent="0.35">
      <c r="A239" t="s">
        <v>487</v>
      </c>
      <c r="B239">
        <v>230103</v>
      </c>
      <c r="C239" s="1">
        <v>44929</v>
      </c>
      <c r="D239" t="s">
        <v>488</v>
      </c>
      <c r="E239" t="s">
        <v>184</v>
      </c>
      <c r="F239" t="s">
        <v>185</v>
      </c>
      <c r="G239" t="s">
        <v>463</v>
      </c>
      <c r="H239">
        <v>36110</v>
      </c>
      <c r="I239" s="17">
        <v>0</v>
      </c>
      <c r="J239" s="17">
        <v>345</v>
      </c>
      <c r="K239">
        <v>0</v>
      </c>
      <c r="L239">
        <v>35857</v>
      </c>
      <c r="M239">
        <v>35494</v>
      </c>
      <c r="N239">
        <v>35857</v>
      </c>
      <c r="O239">
        <v>35839</v>
      </c>
      <c r="P239">
        <v>253</v>
      </c>
      <c r="Q239">
        <v>271</v>
      </c>
      <c r="R239">
        <v>36110</v>
      </c>
      <c r="S239">
        <v>0</v>
      </c>
      <c r="T239">
        <v>345</v>
      </c>
      <c r="U239">
        <v>0</v>
      </c>
      <c r="V239">
        <v>35857</v>
      </c>
      <c r="W239">
        <v>35494</v>
      </c>
      <c r="X239">
        <v>35857</v>
      </c>
      <c r="Y239">
        <v>35839</v>
      </c>
      <c r="Z239">
        <v>253</v>
      </c>
      <c r="AA239">
        <v>271</v>
      </c>
      <c r="AB239">
        <v>0</v>
      </c>
      <c r="AC239">
        <v>0</v>
      </c>
      <c r="AD239">
        <v>0</v>
      </c>
      <c r="AE239">
        <v>0</v>
      </c>
      <c r="AF239">
        <v>0</v>
      </c>
      <c r="AG239">
        <v>0</v>
      </c>
      <c r="AH239">
        <v>0</v>
      </c>
      <c r="AI239">
        <v>0</v>
      </c>
      <c r="AJ239">
        <v>0</v>
      </c>
      <c r="AK239">
        <v>0</v>
      </c>
      <c r="AL239">
        <v>175</v>
      </c>
      <c r="AM239">
        <v>0</v>
      </c>
      <c r="AN239">
        <v>170</v>
      </c>
      <c r="AO239">
        <v>0</v>
      </c>
      <c r="AP239">
        <v>175</v>
      </c>
      <c r="AQ239">
        <v>10</v>
      </c>
      <c r="AR239">
        <v>175</v>
      </c>
      <c r="AS239">
        <v>180</v>
      </c>
      <c r="AT239">
        <v>0</v>
      </c>
      <c r="AU239">
        <v>-5</v>
      </c>
      <c r="AV239">
        <v>100</v>
      </c>
      <c r="AW239">
        <v>0</v>
      </c>
      <c r="AX239">
        <v>1</v>
      </c>
      <c r="AY239">
        <v>0</v>
      </c>
      <c r="AZ239">
        <v>99.3</v>
      </c>
      <c r="BA239">
        <v>98.3</v>
      </c>
      <c r="BB239">
        <v>99.3</v>
      </c>
      <c r="BC239">
        <v>99.2</v>
      </c>
      <c r="BD239">
        <v>0.7</v>
      </c>
      <c r="BE239">
        <v>0.8</v>
      </c>
      <c r="BF239">
        <v>100</v>
      </c>
      <c r="BG239">
        <v>0</v>
      </c>
      <c r="BH239">
        <v>1</v>
      </c>
      <c r="BI239">
        <v>0</v>
      </c>
      <c r="BJ239">
        <v>99.3</v>
      </c>
      <c r="BK239">
        <v>98.3</v>
      </c>
      <c r="BL239">
        <v>99.3</v>
      </c>
      <c r="BM239">
        <v>99.2</v>
      </c>
      <c r="BN239">
        <v>0.7</v>
      </c>
      <c r="BO239">
        <v>0.8</v>
      </c>
      <c r="BP239">
        <v>0</v>
      </c>
      <c r="BQ239">
        <v>0</v>
      </c>
      <c r="BR239">
        <v>0</v>
      </c>
      <c r="BS239">
        <v>0</v>
      </c>
      <c r="BT239">
        <v>0</v>
      </c>
      <c r="BU239">
        <v>0</v>
      </c>
      <c r="BV239">
        <v>0</v>
      </c>
      <c r="BW239">
        <v>0</v>
      </c>
      <c r="BX239">
        <v>0</v>
      </c>
      <c r="BY239">
        <v>0</v>
      </c>
      <c r="BZ239">
        <v>23</v>
      </c>
      <c r="CA239">
        <v>0</v>
      </c>
      <c r="CB239">
        <v>2</v>
      </c>
      <c r="CC239">
        <v>0</v>
      </c>
      <c r="CD239">
        <v>18</v>
      </c>
      <c r="CE239">
        <v>16</v>
      </c>
      <c r="CF239">
        <v>18</v>
      </c>
      <c r="CG239">
        <v>18</v>
      </c>
      <c r="CH239">
        <v>23</v>
      </c>
      <c r="CI239">
        <v>0</v>
      </c>
      <c r="CJ239">
        <v>2</v>
      </c>
      <c r="CK239">
        <v>0</v>
      </c>
      <c r="CL239">
        <v>18</v>
      </c>
      <c r="CM239">
        <v>16</v>
      </c>
      <c r="CN239">
        <v>18</v>
      </c>
      <c r="CO239">
        <v>18</v>
      </c>
      <c r="CP239">
        <v>0</v>
      </c>
      <c r="CQ239">
        <v>0</v>
      </c>
      <c r="CR239">
        <v>0</v>
      </c>
      <c r="CS239">
        <v>0</v>
      </c>
      <c r="CT239">
        <v>0</v>
      </c>
      <c r="CU239">
        <v>0</v>
      </c>
      <c r="CV239">
        <v>0</v>
      </c>
      <c r="CW239">
        <v>0</v>
      </c>
      <c r="CX239">
        <v>74.599999999999994</v>
      </c>
      <c r="CY239">
        <v>79.7</v>
      </c>
      <c r="CZ239">
        <v>89.2</v>
      </c>
      <c r="DA239">
        <v>95.4</v>
      </c>
      <c r="DB239">
        <v>63.3</v>
      </c>
      <c r="DC239">
        <v>70.400000000000006</v>
      </c>
      <c r="DD239">
        <v>71</v>
      </c>
      <c r="DE239">
        <v>73.599999999999994</v>
      </c>
      <c r="DF239">
        <v>74.599999999999994</v>
      </c>
      <c r="DG239">
        <v>79.7</v>
      </c>
      <c r="DH239">
        <v>89.2</v>
      </c>
      <c r="DI239">
        <v>95.4</v>
      </c>
      <c r="DJ239">
        <v>63.3</v>
      </c>
      <c r="DK239">
        <v>70.400000000000006</v>
      </c>
      <c r="DL239">
        <v>71</v>
      </c>
      <c r="DM239">
        <v>73.599999999999994</v>
      </c>
      <c r="DN239">
        <v>0</v>
      </c>
      <c r="DO239">
        <v>0</v>
      </c>
      <c r="DP239">
        <v>0</v>
      </c>
      <c r="DQ239">
        <v>0</v>
      </c>
      <c r="DR239">
        <v>0</v>
      </c>
      <c r="DS239">
        <v>0</v>
      </c>
      <c r="DT239">
        <v>0</v>
      </c>
      <c r="DU239">
        <v>0</v>
      </c>
      <c r="DV239" t="s">
        <v>484</v>
      </c>
    </row>
    <row r="240" spans="1:126" x14ac:dyDescent="0.35">
      <c r="A240" t="s">
        <v>489</v>
      </c>
      <c r="B240">
        <v>230110</v>
      </c>
      <c r="C240" s="1">
        <v>44936</v>
      </c>
      <c r="D240" t="s">
        <v>490</v>
      </c>
      <c r="E240" t="s">
        <v>184</v>
      </c>
      <c r="F240" t="s">
        <v>185</v>
      </c>
      <c r="G240" t="s">
        <v>463</v>
      </c>
      <c r="H240">
        <v>39450</v>
      </c>
      <c r="I240" s="17">
        <v>389</v>
      </c>
      <c r="J240" s="17">
        <v>10785</v>
      </c>
      <c r="K240">
        <v>39</v>
      </c>
      <c r="L240">
        <v>39014</v>
      </c>
      <c r="M240">
        <v>28626</v>
      </c>
      <c r="N240">
        <v>39442</v>
      </c>
      <c r="O240">
        <v>39450</v>
      </c>
      <c r="P240">
        <v>8</v>
      </c>
      <c r="Q240">
        <v>0</v>
      </c>
      <c r="R240">
        <v>39450</v>
      </c>
      <c r="S240">
        <v>389</v>
      </c>
      <c r="T240">
        <v>10785</v>
      </c>
      <c r="U240">
        <v>39</v>
      </c>
      <c r="V240">
        <v>39014</v>
      </c>
      <c r="W240">
        <v>28626</v>
      </c>
      <c r="X240">
        <v>39442</v>
      </c>
      <c r="Y240">
        <v>39450</v>
      </c>
      <c r="Z240">
        <v>8</v>
      </c>
      <c r="AA240">
        <v>0</v>
      </c>
      <c r="AB240">
        <v>0</v>
      </c>
      <c r="AC240">
        <v>0</v>
      </c>
      <c r="AD240">
        <v>0</v>
      </c>
      <c r="AE240">
        <v>0</v>
      </c>
      <c r="AF240">
        <v>0</v>
      </c>
      <c r="AG240">
        <v>0</v>
      </c>
      <c r="AH240">
        <v>0</v>
      </c>
      <c r="AI240">
        <v>0</v>
      </c>
      <c r="AJ240">
        <v>0</v>
      </c>
      <c r="AK240">
        <v>0</v>
      </c>
      <c r="AL240">
        <v>-2682</v>
      </c>
      <c r="AM240">
        <v>0</v>
      </c>
      <c r="AN240">
        <v>-1035</v>
      </c>
      <c r="AO240">
        <v>0</v>
      </c>
      <c r="AP240">
        <v>-2651</v>
      </c>
      <c r="AQ240">
        <v>-1647</v>
      </c>
      <c r="AR240">
        <v>-2651</v>
      </c>
      <c r="AS240">
        <v>-2682</v>
      </c>
      <c r="AT240">
        <v>-31</v>
      </c>
      <c r="AU240">
        <v>0</v>
      </c>
      <c r="AV240">
        <v>100</v>
      </c>
      <c r="AW240">
        <v>1</v>
      </c>
      <c r="AX240">
        <v>27.3</v>
      </c>
      <c r="AY240">
        <v>0.1</v>
      </c>
      <c r="AZ240">
        <v>98.9</v>
      </c>
      <c r="BA240">
        <v>72.599999999999994</v>
      </c>
      <c r="BB240">
        <v>100</v>
      </c>
      <c r="BC240">
        <v>100</v>
      </c>
      <c r="BD240">
        <v>0</v>
      </c>
      <c r="BE240">
        <v>0</v>
      </c>
      <c r="BF240">
        <v>100</v>
      </c>
      <c r="BG240">
        <v>1</v>
      </c>
      <c r="BH240">
        <v>27.3</v>
      </c>
      <c r="BI240">
        <v>0.1</v>
      </c>
      <c r="BJ240">
        <v>98.9</v>
      </c>
      <c r="BK240">
        <v>72.599999999999994</v>
      </c>
      <c r="BL240">
        <v>100</v>
      </c>
      <c r="BM240">
        <v>100</v>
      </c>
      <c r="BN240">
        <v>0</v>
      </c>
      <c r="BO240">
        <v>0</v>
      </c>
      <c r="BP240">
        <v>0</v>
      </c>
      <c r="BQ240">
        <v>0</v>
      </c>
      <c r="BR240">
        <v>0</v>
      </c>
      <c r="BS240">
        <v>0</v>
      </c>
      <c r="BT240">
        <v>0</v>
      </c>
      <c r="BU240">
        <v>0</v>
      </c>
      <c r="BV240">
        <v>0</v>
      </c>
      <c r="BW240">
        <v>0</v>
      </c>
      <c r="BX240">
        <v>0</v>
      </c>
      <c r="BY240">
        <v>0</v>
      </c>
      <c r="BZ240">
        <v>28</v>
      </c>
      <c r="CA240">
        <v>2</v>
      </c>
      <c r="CB240">
        <v>4</v>
      </c>
      <c r="CC240">
        <v>2</v>
      </c>
      <c r="CD240">
        <v>20</v>
      </c>
      <c r="CE240">
        <v>15</v>
      </c>
      <c r="CF240">
        <v>23</v>
      </c>
      <c r="CG240">
        <v>20</v>
      </c>
      <c r="CH240">
        <v>28</v>
      </c>
      <c r="CI240">
        <v>2</v>
      </c>
      <c r="CJ240">
        <v>4</v>
      </c>
      <c r="CK240">
        <v>2</v>
      </c>
      <c r="CL240">
        <v>20</v>
      </c>
      <c r="CM240">
        <v>15</v>
      </c>
      <c r="CN240">
        <v>23</v>
      </c>
      <c r="CO240">
        <v>20</v>
      </c>
      <c r="CP240">
        <v>0</v>
      </c>
      <c r="CQ240">
        <v>0</v>
      </c>
      <c r="CR240">
        <v>0</v>
      </c>
      <c r="CS240">
        <v>0</v>
      </c>
      <c r="CT240">
        <v>0</v>
      </c>
      <c r="CU240">
        <v>0</v>
      </c>
      <c r="CV240">
        <v>0</v>
      </c>
      <c r="CW240">
        <v>0</v>
      </c>
      <c r="CX240">
        <v>59.8</v>
      </c>
      <c r="CY240">
        <v>68.400000000000006</v>
      </c>
      <c r="CZ240">
        <v>81.400000000000006</v>
      </c>
      <c r="DA240">
        <v>89.2</v>
      </c>
      <c r="DB240">
        <v>55.8</v>
      </c>
      <c r="DC240">
        <v>65.8</v>
      </c>
      <c r="DD240">
        <v>67.7</v>
      </c>
      <c r="DE240">
        <v>77.2</v>
      </c>
      <c r="DF240">
        <v>59.8</v>
      </c>
      <c r="DG240">
        <v>68.400000000000006</v>
      </c>
      <c r="DH240">
        <v>81.400000000000006</v>
      </c>
      <c r="DI240">
        <v>89.2</v>
      </c>
      <c r="DJ240">
        <v>55.8</v>
      </c>
      <c r="DK240">
        <v>65.8</v>
      </c>
      <c r="DL240">
        <v>67.7</v>
      </c>
      <c r="DM240">
        <v>77.2</v>
      </c>
      <c r="DN240">
        <v>0</v>
      </c>
      <c r="DO240">
        <v>0</v>
      </c>
      <c r="DP240">
        <v>0</v>
      </c>
      <c r="DQ240">
        <v>0</v>
      </c>
      <c r="DR240">
        <v>0</v>
      </c>
      <c r="DS240">
        <v>0</v>
      </c>
      <c r="DT240">
        <v>0</v>
      </c>
      <c r="DU240">
        <v>0</v>
      </c>
      <c r="DV240" t="s">
        <v>491</v>
      </c>
    </row>
    <row r="241" spans="1:126" x14ac:dyDescent="0.35">
      <c r="A241" t="s">
        <v>489</v>
      </c>
      <c r="B241">
        <v>230103</v>
      </c>
      <c r="C241" s="1">
        <v>44929</v>
      </c>
      <c r="D241" t="s">
        <v>490</v>
      </c>
      <c r="E241" t="s">
        <v>184</v>
      </c>
      <c r="F241" t="s">
        <v>185</v>
      </c>
      <c r="G241" t="s">
        <v>463</v>
      </c>
      <c r="H241">
        <v>42132</v>
      </c>
      <c r="I241" s="17">
        <v>389</v>
      </c>
      <c r="J241" s="17">
        <v>11820</v>
      </c>
      <c r="K241">
        <v>39</v>
      </c>
      <c r="L241">
        <v>41665</v>
      </c>
      <c r="M241">
        <v>30273</v>
      </c>
      <c r="N241">
        <v>42093</v>
      </c>
      <c r="O241">
        <v>42132</v>
      </c>
      <c r="P241">
        <v>39</v>
      </c>
      <c r="Q241">
        <v>0</v>
      </c>
      <c r="R241">
        <v>42132</v>
      </c>
      <c r="S241">
        <v>389</v>
      </c>
      <c r="T241">
        <v>11820</v>
      </c>
      <c r="U241">
        <v>39</v>
      </c>
      <c r="V241">
        <v>41665</v>
      </c>
      <c r="W241">
        <v>30273</v>
      </c>
      <c r="X241">
        <v>42093</v>
      </c>
      <c r="Y241">
        <v>42132</v>
      </c>
      <c r="Z241">
        <v>39</v>
      </c>
      <c r="AA241">
        <v>0</v>
      </c>
      <c r="AB241">
        <v>0</v>
      </c>
      <c r="AC241">
        <v>0</v>
      </c>
      <c r="AD241">
        <v>0</v>
      </c>
      <c r="AE241">
        <v>0</v>
      </c>
      <c r="AF241">
        <v>0</v>
      </c>
      <c r="AG241">
        <v>0</v>
      </c>
      <c r="AH241">
        <v>0</v>
      </c>
      <c r="AI241">
        <v>0</v>
      </c>
      <c r="AJ241">
        <v>0</v>
      </c>
      <c r="AK241">
        <v>0</v>
      </c>
      <c r="AL241">
        <v>120</v>
      </c>
      <c r="AM241">
        <v>1</v>
      </c>
      <c r="AN241">
        <v>0</v>
      </c>
      <c r="AO241">
        <v>0</v>
      </c>
      <c r="AP241">
        <v>119</v>
      </c>
      <c r="AQ241">
        <v>120</v>
      </c>
      <c r="AR241">
        <v>120</v>
      </c>
      <c r="AS241">
        <v>120</v>
      </c>
      <c r="AT241">
        <v>0</v>
      </c>
      <c r="AU241">
        <v>0</v>
      </c>
      <c r="AV241">
        <v>100</v>
      </c>
      <c r="AW241">
        <v>0.9</v>
      </c>
      <c r="AX241">
        <v>28.1</v>
      </c>
      <c r="AY241">
        <v>0.1</v>
      </c>
      <c r="AZ241">
        <v>98.9</v>
      </c>
      <c r="BA241">
        <v>71.900000000000006</v>
      </c>
      <c r="BB241">
        <v>99.9</v>
      </c>
      <c r="BC241">
        <v>100</v>
      </c>
      <c r="BD241">
        <v>0.1</v>
      </c>
      <c r="BE241">
        <v>0</v>
      </c>
      <c r="BF241">
        <v>100</v>
      </c>
      <c r="BG241">
        <v>0.9</v>
      </c>
      <c r="BH241">
        <v>28.1</v>
      </c>
      <c r="BI241">
        <v>0.1</v>
      </c>
      <c r="BJ241">
        <v>98.9</v>
      </c>
      <c r="BK241">
        <v>71.900000000000006</v>
      </c>
      <c r="BL241">
        <v>99.9</v>
      </c>
      <c r="BM241">
        <v>100</v>
      </c>
      <c r="BN241">
        <v>0.1</v>
      </c>
      <c r="BO241">
        <v>0</v>
      </c>
      <c r="BP241">
        <v>0</v>
      </c>
      <c r="BQ241">
        <v>0</v>
      </c>
      <c r="BR241">
        <v>0</v>
      </c>
      <c r="BS241">
        <v>0</v>
      </c>
      <c r="BT241">
        <v>0</v>
      </c>
      <c r="BU241">
        <v>0</v>
      </c>
      <c r="BV241">
        <v>0</v>
      </c>
      <c r="BW241">
        <v>0</v>
      </c>
      <c r="BX241">
        <v>0</v>
      </c>
      <c r="BY241">
        <v>0</v>
      </c>
      <c r="BZ241">
        <v>29</v>
      </c>
      <c r="CA241">
        <v>2</v>
      </c>
      <c r="CB241">
        <v>5</v>
      </c>
      <c r="CC241">
        <v>2</v>
      </c>
      <c r="CD241">
        <v>21</v>
      </c>
      <c r="CE241">
        <v>17</v>
      </c>
      <c r="CF241">
        <v>24</v>
      </c>
      <c r="CG241">
        <v>23</v>
      </c>
      <c r="CH241">
        <v>29</v>
      </c>
      <c r="CI241">
        <v>2</v>
      </c>
      <c r="CJ241">
        <v>5</v>
      </c>
      <c r="CK241">
        <v>2</v>
      </c>
      <c r="CL241">
        <v>21</v>
      </c>
      <c r="CM241">
        <v>17</v>
      </c>
      <c r="CN241">
        <v>24</v>
      </c>
      <c r="CO241">
        <v>23</v>
      </c>
      <c r="CP241">
        <v>0</v>
      </c>
      <c r="CQ241">
        <v>0</v>
      </c>
      <c r="CR241">
        <v>0</v>
      </c>
      <c r="CS241">
        <v>0</v>
      </c>
      <c r="CT241">
        <v>0</v>
      </c>
      <c r="CU241">
        <v>0</v>
      </c>
      <c r="CV241">
        <v>0</v>
      </c>
      <c r="CW241">
        <v>0</v>
      </c>
      <c r="CX241">
        <v>59.8</v>
      </c>
      <c r="CY241">
        <v>67.2</v>
      </c>
      <c r="CZ241">
        <v>80.900000000000006</v>
      </c>
      <c r="DA241">
        <v>86.7</v>
      </c>
      <c r="DB241">
        <v>52.7</v>
      </c>
      <c r="DC241">
        <v>64.5</v>
      </c>
      <c r="DD241">
        <v>64</v>
      </c>
      <c r="DE241">
        <v>74.5</v>
      </c>
      <c r="DF241">
        <v>59.8</v>
      </c>
      <c r="DG241">
        <v>67.2</v>
      </c>
      <c r="DH241">
        <v>80.900000000000006</v>
      </c>
      <c r="DI241">
        <v>86.7</v>
      </c>
      <c r="DJ241">
        <v>52.7</v>
      </c>
      <c r="DK241">
        <v>64.5</v>
      </c>
      <c r="DL241">
        <v>64</v>
      </c>
      <c r="DM241">
        <v>74.5</v>
      </c>
      <c r="DN241">
        <v>0</v>
      </c>
      <c r="DO241">
        <v>0</v>
      </c>
      <c r="DP241">
        <v>0</v>
      </c>
      <c r="DQ241">
        <v>0</v>
      </c>
      <c r="DR241">
        <v>0</v>
      </c>
      <c r="DS241">
        <v>0</v>
      </c>
      <c r="DT241">
        <v>0</v>
      </c>
      <c r="DU241">
        <v>0</v>
      </c>
      <c r="DV241" t="s">
        <v>491</v>
      </c>
    </row>
    <row r="242" spans="1:126" x14ac:dyDescent="0.35">
      <c r="A242" t="s">
        <v>492</v>
      </c>
      <c r="B242">
        <v>230110</v>
      </c>
      <c r="C242" s="1">
        <v>44936</v>
      </c>
      <c r="D242" t="s">
        <v>493</v>
      </c>
      <c r="E242" t="s">
        <v>184</v>
      </c>
      <c r="F242" t="s">
        <v>185</v>
      </c>
      <c r="G242" t="s">
        <v>463</v>
      </c>
      <c r="H242">
        <v>36717</v>
      </c>
      <c r="I242" s="17">
        <v>401</v>
      </c>
      <c r="J242" s="17">
        <v>8300</v>
      </c>
      <c r="K242">
        <v>350</v>
      </c>
      <c r="L242">
        <v>35756</v>
      </c>
      <c r="M242">
        <v>27955</v>
      </c>
      <c r="N242">
        <v>36507</v>
      </c>
      <c r="O242">
        <v>36605</v>
      </c>
      <c r="P242">
        <v>210</v>
      </c>
      <c r="Q242">
        <v>112</v>
      </c>
      <c r="R242">
        <v>36717</v>
      </c>
      <c r="S242">
        <v>401</v>
      </c>
      <c r="T242">
        <v>8300</v>
      </c>
      <c r="U242">
        <v>350</v>
      </c>
      <c r="V242">
        <v>35756</v>
      </c>
      <c r="W242">
        <v>27955</v>
      </c>
      <c r="X242">
        <v>36507</v>
      </c>
      <c r="Y242">
        <v>36605</v>
      </c>
      <c r="Z242">
        <v>210</v>
      </c>
      <c r="AA242">
        <v>112</v>
      </c>
      <c r="AB242">
        <v>0</v>
      </c>
      <c r="AC242">
        <v>0</v>
      </c>
      <c r="AD242">
        <v>0</v>
      </c>
      <c r="AE242">
        <v>0</v>
      </c>
      <c r="AF242">
        <v>0</v>
      </c>
      <c r="AG242">
        <v>0</v>
      </c>
      <c r="AH242">
        <v>0</v>
      </c>
      <c r="AI242">
        <v>0</v>
      </c>
      <c r="AJ242">
        <v>0</v>
      </c>
      <c r="AK242">
        <v>0</v>
      </c>
      <c r="AL242">
        <v>-1883</v>
      </c>
      <c r="AM242">
        <v>150</v>
      </c>
      <c r="AN242">
        <v>-1225</v>
      </c>
      <c r="AO242">
        <v>350</v>
      </c>
      <c r="AP242">
        <v>-2563</v>
      </c>
      <c r="AQ242">
        <v>-998</v>
      </c>
      <c r="AR242">
        <v>-2063</v>
      </c>
      <c r="AS242">
        <v>-1873</v>
      </c>
      <c r="AT242">
        <v>180</v>
      </c>
      <c r="AU242">
        <v>-10</v>
      </c>
      <c r="AV242">
        <v>100</v>
      </c>
      <c r="AW242">
        <v>1.1000000000000001</v>
      </c>
      <c r="AX242">
        <v>22.6</v>
      </c>
      <c r="AY242">
        <v>1</v>
      </c>
      <c r="AZ242">
        <v>97.4</v>
      </c>
      <c r="BA242">
        <v>76.099999999999994</v>
      </c>
      <c r="BB242">
        <v>99.4</v>
      </c>
      <c r="BC242">
        <v>99.7</v>
      </c>
      <c r="BD242">
        <v>0.6</v>
      </c>
      <c r="BE242">
        <v>0.3</v>
      </c>
      <c r="BF242">
        <v>100</v>
      </c>
      <c r="BG242">
        <v>1.1000000000000001</v>
      </c>
      <c r="BH242">
        <v>22.6</v>
      </c>
      <c r="BI242">
        <v>1</v>
      </c>
      <c r="BJ242">
        <v>97.4</v>
      </c>
      <c r="BK242">
        <v>76.099999999999994</v>
      </c>
      <c r="BL242">
        <v>99.4</v>
      </c>
      <c r="BM242">
        <v>99.7</v>
      </c>
      <c r="BN242">
        <v>0.6</v>
      </c>
      <c r="BO242">
        <v>0.3</v>
      </c>
      <c r="BP242">
        <v>0</v>
      </c>
      <c r="BQ242">
        <v>0</v>
      </c>
      <c r="BR242">
        <v>0</v>
      </c>
      <c r="BS242">
        <v>0</v>
      </c>
      <c r="BT242">
        <v>0</v>
      </c>
      <c r="BU242">
        <v>0</v>
      </c>
      <c r="BV242">
        <v>0</v>
      </c>
      <c r="BW242">
        <v>0</v>
      </c>
      <c r="BX242">
        <v>0</v>
      </c>
      <c r="BY242">
        <v>0</v>
      </c>
      <c r="BZ242">
        <v>24</v>
      </c>
      <c r="CA242">
        <v>2</v>
      </c>
      <c r="CB242">
        <v>2</v>
      </c>
      <c r="CC242">
        <v>1</v>
      </c>
      <c r="CD242">
        <v>19</v>
      </c>
      <c r="CE242">
        <v>12</v>
      </c>
      <c r="CF242">
        <v>21</v>
      </c>
      <c r="CG242">
        <v>15</v>
      </c>
      <c r="CH242">
        <v>24</v>
      </c>
      <c r="CI242">
        <v>2</v>
      </c>
      <c r="CJ242">
        <v>2</v>
      </c>
      <c r="CK242">
        <v>1</v>
      </c>
      <c r="CL242">
        <v>19</v>
      </c>
      <c r="CM242">
        <v>12</v>
      </c>
      <c r="CN242">
        <v>21</v>
      </c>
      <c r="CO242">
        <v>15</v>
      </c>
      <c r="CP242">
        <v>0</v>
      </c>
      <c r="CQ242">
        <v>0</v>
      </c>
      <c r="CR242">
        <v>0</v>
      </c>
      <c r="CS242">
        <v>0</v>
      </c>
      <c r="CT242">
        <v>0</v>
      </c>
      <c r="CU242">
        <v>0</v>
      </c>
      <c r="CV242">
        <v>0</v>
      </c>
      <c r="CW242">
        <v>0</v>
      </c>
      <c r="CX242">
        <v>62.3</v>
      </c>
      <c r="CY242">
        <v>74</v>
      </c>
      <c r="CZ242">
        <v>81.5</v>
      </c>
      <c r="DA242">
        <v>94</v>
      </c>
      <c r="DB242">
        <v>59.8</v>
      </c>
      <c r="DC242">
        <v>71.5</v>
      </c>
      <c r="DD242">
        <v>74</v>
      </c>
      <c r="DE242">
        <v>81.5</v>
      </c>
      <c r="DF242">
        <v>62.3</v>
      </c>
      <c r="DG242">
        <v>74</v>
      </c>
      <c r="DH242">
        <v>81.5</v>
      </c>
      <c r="DI242">
        <v>94</v>
      </c>
      <c r="DJ242">
        <v>59.8</v>
      </c>
      <c r="DK242">
        <v>71.5</v>
      </c>
      <c r="DL242">
        <v>74</v>
      </c>
      <c r="DM242">
        <v>81.5</v>
      </c>
      <c r="DN242">
        <v>0</v>
      </c>
      <c r="DO242">
        <v>0</v>
      </c>
      <c r="DP242">
        <v>0</v>
      </c>
      <c r="DQ242">
        <v>0</v>
      </c>
      <c r="DR242">
        <v>0</v>
      </c>
      <c r="DS242">
        <v>0</v>
      </c>
      <c r="DT242">
        <v>0</v>
      </c>
      <c r="DU242">
        <v>0</v>
      </c>
      <c r="DV242" t="s">
        <v>484</v>
      </c>
    </row>
    <row r="243" spans="1:126" x14ac:dyDescent="0.35">
      <c r="A243" t="s">
        <v>492</v>
      </c>
      <c r="B243">
        <v>230103</v>
      </c>
      <c r="C243" s="1">
        <v>44929</v>
      </c>
      <c r="D243" t="s">
        <v>493</v>
      </c>
      <c r="E243" t="s">
        <v>184</v>
      </c>
      <c r="F243" t="s">
        <v>185</v>
      </c>
      <c r="G243" t="s">
        <v>463</v>
      </c>
      <c r="H243">
        <v>38600</v>
      </c>
      <c r="I243" s="17">
        <v>251</v>
      </c>
      <c r="J243" s="17">
        <v>9525</v>
      </c>
      <c r="K243">
        <v>0</v>
      </c>
      <c r="L243">
        <v>38319</v>
      </c>
      <c r="M243">
        <v>28953</v>
      </c>
      <c r="N243">
        <v>38570</v>
      </c>
      <c r="O243">
        <v>38478</v>
      </c>
      <c r="P243">
        <v>30</v>
      </c>
      <c r="Q243">
        <v>122</v>
      </c>
      <c r="R243">
        <v>38600</v>
      </c>
      <c r="S243">
        <v>251</v>
      </c>
      <c r="T243">
        <v>9525</v>
      </c>
      <c r="U243">
        <v>0</v>
      </c>
      <c r="V243">
        <v>38319</v>
      </c>
      <c r="W243">
        <v>28953</v>
      </c>
      <c r="X243">
        <v>38570</v>
      </c>
      <c r="Y243">
        <v>38478</v>
      </c>
      <c r="Z243">
        <v>30</v>
      </c>
      <c r="AA243">
        <v>122</v>
      </c>
      <c r="AB243">
        <v>0</v>
      </c>
      <c r="AC243">
        <v>0</v>
      </c>
      <c r="AD243">
        <v>0</v>
      </c>
      <c r="AE243">
        <v>0</v>
      </c>
      <c r="AF243">
        <v>0</v>
      </c>
      <c r="AG243">
        <v>0</v>
      </c>
      <c r="AH243">
        <v>0</v>
      </c>
      <c r="AI243">
        <v>0</v>
      </c>
      <c r="AJ243">
        <v>0</v>
      </c>
      <c r="AK243">
        <v>0</v>
      </c>
      <c r="AL243">
        <v>60</v>
      </c>
      <c r="AM243">
        <v>1</v>
      </c>
      <c r="AN243">
        <v>0</v>
      </c>
      <c r="AO243">
        <v>0</v>
      </c>
      <c r="AP243">
        <v>59</v>
      </c>
      <c r="AQ243">
        <v>60</v>
      </c>
      <c r="AR243">
        <v>60</v>
      </c>
      <c r="AS243">
        <v>60</v>
      </c>
      <c r="AT243">
        <v>0</v>
      </c>
      <c r="AU243">
        <v>0</v>
      </c>
      <c r="AV243">
        <v>100</v>
      </c>
      <c r="AW243">
        <v>0.7</v>
      </c>
      <c r="AX243">
        <v>24.7</v>
      </c>
      <c r="AY243">
        <v>0</v>
      </c>
      <c r="AZ243">
        <v>99.3</v>
      </c>
      <c r="BA243">
        <v>75</v>
      </c>
      <c r="BB243">
        <v>99.9</v>
      </c>
      <c r="BC243">
        <v>99.7</v>
      </c>
      <c r="BD243">
        <v>0.1</v>
      </c>
      <c r="BE243">
        <v>0.3</v>
      </c>
      <c r="BF243">
        <v>100</v>
      </c>
      <c r="BG243">
        <v>0.7</v>
      </c>
      <c r="BH243">
        <v>24.7</v>
      </c>
      <c r="BI243">
        <v>0</v>
      </c>
      <c r="BJ243">
        <v>99.3</v>
      </c>
      <c r="BK243">
        <v>75</v>
      </c>
      <c r="BL243">
        <v>99.9</v>
      </c>
      <c r="BM243">
        <v>99.7</v>
      </c>
      <c r="BN243">
        <v>0.1</v>
      </c>
      <c r="BO243">
        <v>0.3</v>
      </c>
      <c r="BP243">
        <v>0</v>
      </c>
      <c r="BQ243">
        <v>0</v>
      </c>
      <c r="BR243">
        <v>0</v>
      </c>
      <c r="BS243">
        <v>0</v>
      </c>
      <c r="BT243">
        <v>0</v>
      </c>
      <c r="BU243">
        <v>0</v>
      </c>
      <c r="BV243">
        <v>0</v>
      </c>
      <c r="BW243">
        <v>0</v>
      </c>
      <c r="BX243">
        <v>0</v>
      </c>
      <c r="BY243">
        <v>0</v>
      </c>
      <c r="BZ243">
        <v>25</v>
      </c>
      <c r="CA243">
        <v>1</v>
      </c>
      <c r="CB243">
        <v>3</v>
      </c>
      <c r="CC243">
        <v>0</v>
      </c>
      <c r="CD243">
        <v>21</v>
      </c>
      <c r="CE243">
        <v>14</v>
      </c>
      <c r="CF243">
        <v>22</v>
      </c>
      <c r="CG243">
        <v>17</v>
      </c>
      <c r="CH243">
        <v>25</v>
      </c>
      <c r="CI243">
        <v>1</v>
      </c>
      <c r="CJ243">
        <v>3</v>
      </c>
      <c r="CK243">
        <v>0</v>
      </c>
      <c r="CL243">
        <v>21</v>
      </c>
      <c r="CM243">
        <v>14</v>
      </c>
      <c r="CN243">
        <v>22</v>
      </c>
      <c r="CO243">
        <v>17</v>
      </c>
      <c r="CP243">
        <v>0</v>
      </c>
      <c r="CQ243">
        <v>0</v>
      </c>
      <c r="CR243">
        <v>0</v>
      </c>
      <c r="CS243">
        <v>0</v>
      </c>
      <c r="CT243">
        <v>0</v>
      </c>
      <c r="CU243">
        <v>0</v>
      </c>
      <c r="CV243">
        <v>0</v>
      </c>
      <c r="CW243">
        <v>0</v>
      </c>
      <c r="CX243">
        <v>61.9</v>
      </c>
      <c r="CY243">
        <v>73.7</v>
      </c>
      <c r="CZ243">
        <v>82.6</v>
      </c>
      <c r="DA243">
        <v>92.5</v>
      </c>
      <c r="DB243">
        <v>57.8</v>
      </c>
      <c r="DC243">
        <v>70.599999999999994</v>
      </c>
      <c r="DD243">
        <v>71.400000000000006</v>
      </c>
      <c r="DE243">
        <v>77.8</v>
      </c>
      <c r="DF243">
        <v>61.9</v>
      </c>
      <c r="DG243">
        <v>73.7</v>
      </c>
      <c r="DH243">
        <v>82.6</v>
      </c>
      <c r="DI243">
        <v>92.5</v>
      </c>
      <c r="DJ243">
        <v>57.8</v>
      </c>
      <c r="DK243">
        <v>70.599999999999994</v>
      </c>
      <c r="DL243">
        <v>71.400000000000006</v>
      </c>
      <c r="DM243">
        <v>77.8</v>
      </c>
      <c r="DN243">
        <v>0</v>
      </c>
      <c r="DO243">
        <v>0</v>
      </c>
      <c r="DP243">
        <v>0</v>
      </c>
      <c r="DQ243">
        <v>0</v>
      </c>
      <c r="DR243">
        <v>0</v>
      </c>
      <c r="DS243">
        <v>0</v>
      </c>
      <c r="DT243">
        <v>0</v>
      </c>
      <c r="DU243">
        <v>0</v>
      </c>
      <c r="DV243" t="s">
        <v>484</v>
      </c>
    </row>
    <row r="244" spans="1:126" x14ac:dyDescent="0.35">
      <c r="A244" t="s">
        <v>494</v>
      </c>
      <c r="B244">
        <v>230110</v>
      </c>
      <c r="C244" s="1">
        <v>44936</v>
      </c>
      <c r="D244" t="s">
        <v>495</v>
      </c>
      <c r="E244" t="s">
        <v>184</v>
      </c>
      <c r="F244" t="s">
        <v>185</v>
      </c>
      <c r="G244" t="s">
        <v>463</v>
      </c>
      <c r="H244">
        <v>142812</v>
      </c>
      <c r="I244" s="17">
        <v>18467</v>
      </c>
      <c r="J244" s="17">
        <v>8059</v>
      </c>
      <c r="K244">
        <v>7641</v>
      </c>
      <c r="L244">
        <v>115903</v>
      </c>
      <c r="M244">
        <v>126970</v>
      </c>
      <c r="N244">
        <v>142011</v>
      </c>
      <c r="O244">
        <v>142670</v>
      </c>
      <c r="P244">
        <v>801</v>
      </c>
      <c r="Q244">
        <v>142</v>
      </c>
      <c r="R244">
        <v>142812</v>
      </c>
      <c r="S244">
        <v>18467</v>
      </c>
      <c r="T244">
        <v>8059</v>
      </c>
      <c r="U244">
        <v>7641</v>
      </c>
      <c r="V244">
        <v>115903</v>
      </c>
      <c r="W244">
        <v>126970</v>
      </c>
      <c r="X244">
        <v>142011</v>
      </c>
      <c r="Y244">
        <v>142670</v>
      </c>
      <c r="Z244">
        <v>801</v>
      </c>
      <c r="AA244">
        <v>142</v>
      </c>
      <c r="AB244">
        <v>0</v>
      </c>
      <c r="AC244">
        <v>0</v>
      </c>
      <c r="AD244">
        <v>0</v>
      </c>
      <c r="AE244">
        <v>0</v>
      </c>
      <c r="AF244">
        <v>0</v>
      </c>
      <c r="AG244">
        <v>0</v>
      </c>
      <c r="AH244">
        <v>0</v>
      </c>
      <c r="AI244">
        <v>0</v>
      </c>
      <c r="AJ244">
        <v>0</v>
      </c>
      <c r="AK244">
        <v>0</v>
      </c>
      <c r="AL244">
        <v>-3645</v>
      </c>
      <c r="AM244">
        <v>938</v>
      </c>
      <c r="AN244">
        <v>2079</v>
      </c>
      <c r="AO244">
        <v>-469</v>
      </c>
      <c r="AP244">
        <v>-4181</v>
      </c>
      <c r="AQ244">
        <v>-5234</v>
      </c>
      <c r="AR244">
        <v>-3712</v>
      </c>
      <c r="AS244">
        <v>-3624</v>
      </c>
      <c r="AT244">
        <v>67</v>
      </c>
      <c r="AU244">
        <v>-21</v>
      </c>
      <c r="AV244">
        <v>100</v>
      </c>
      <c r="AW244">
        <v>12.9</v>
      </c>
      <c r="AX244">
        <v>5.6</v>
      </c>
      <c r="AY244">
        <v>5.4</v>
      </c>
      <c r="AZ244">
        <v>81.2</v>
      </c>
      <c r="BA244">
        <v>88.9</v>
      </c>
      <c r="BB244">
        <v>99.4</v>
      </c>
      <c r="BC244">
        <v>99.9</v>
      </c>
      <c r="BD244">
        <v>0.6</v>
      </c>
      <c r="BE244">
        <v>0.1</v>
      </c>
      <c r="BF244">
        <v>100</v>
      </c>
      <c r="BG244">
        <v>12.9</v>
      </c>
      <c r="BH244">
        <v>5.6</v>
      </c>
      <c r="BI244">
        <v>5.4</v>
      </c>
      <c r="BJ244">
        <v>81.2</v>
      </c>
      <c r="BK244">
        <v>88.9</v>
      </c>
      <c r="BL244">
        <v>99.4</v>
      </c>
      <c r="BM244">
        <v>99.9</v>
      </c>
      <c r="BN244">
        <v>0.6</v>
      </c>
      <c r="BO244">
        <v>0.1</v>
      </c>
      <c r="BP244">
        <v>0</v>
      </c>
      <c r="BQ244">
        <v>0</v>
      </c>
      <c r="BR244">
        <v>0</v>
      </c>
      <c r="BS244">
        <v>0</v>
      </c>
      <c r="BT244">
        <v>0</v>
      </c>
      <c r="BU244">
        <v>0</v>
      </c>
      <c r="BV244">
        <v>0</v>
      </c>
      <c r="BW244">
        <v>0</v>
      </c>
      <c r="BX244">
        <v>0</v>
      </c>
      <c r="BY244">
        <v>0</v>
      </c>
      <c r="BZ244">
        <v>67</v>
      </c>
      <c r="CA244">
        <v>11</v>
      </c>
      <c r="CB244">
        <v>11</v>
      </c>
      <c r="CC244">
        <v>13</v>
      </c>
      <c r="CD244">
        <v>38</v>
      </c>
      <c r="CE244">
        <v>40</v>
      </c>
      <c r="CF244">
        <v>56</v>
      </c>
      <c r="CG244">
        <v>57</v>
      </c>
      <c r="CH244">
        <v>67</v>
      </c>
      <c r="CI244">
        <v>11</v>
      </c>
      <c r="CJ244">
        <v>11</v>
      </c>
      <c r="CK244">
        <v>13</v>
      </c>
      <c r="CL244">
        <v>38</v>
      </c>
      <c r="CM244">
        <v>40</v>
      </c>
      <c r="CN244">
        <v>56</v>
      </c>
      <c r="CO244">
        <v>57</v>
      </c>
      <c r="CP244">
        <v>0</v>
      </c>
      <c r="CQ244">
        <v>0</v>
      </c>
      <c r="CR244">
        <v>0</v>
      </c>
      <c r="CS244">
        <v>0</v>
      </c>
      <c r="CT244">
        <v>0</v>
      </c>
      <c r="CU244">
        <v>0</v>
      </c>
      <c r="CV244">
        <v>0</v>
      </c>
      <c r="CW244">
        <v>0</v>
      </c>
      <c r="CX244">
        <v>46.3</v>
      </c>
      <c r="CY244">
        <v>52.7</v>
      </c>
      <c r="CZ244">
        <v>65.099999999999994</v>
      </c>
      <c r="DA244">
        <v>69.7</v>
      </c>
      <c r="DB244">
        <v>37.700000000000003</v>
      </c>
      <c r="DC244">
        <v>41.6</v>
      </c>
      <c r="DD244">
        <v>45.6</v>
      </c>
      <c r="DE244">
        <v>49.6</v>
      </c>
      <c r="DF244">
        <v>46.3</v>
      </c>
      <c r="DG244">
        <v>52.7</v>
      </c>
      <c r="DH244">
        <v>65.099999999999994</v>
      </c>
      <c r="DI244">
        <v>69.7</v>
      </c>
      <c r="DJ244">
        <v>37.700000000000003</v>
      </c>
      <c r="DK244">
        <v>41.6</v>
      </c>
      <c r="DL244">
        <v>45.6</v>
      </c>
      <c r="DM244">
        <v>49.6</v>
      </c>
      <c r="DN244">
        <v>0</v>
      </c>
      <c r="DO244">
        <v>0</v>
      </c>
      <c r="DP244">
        <v>0</v>
      </c>
      <c r="DQ244">
        <v>0</v>
      </c>
      <c r="DR244">
        <v>0</v>
      </c>
      <c r="DS244">
        <v>0</v>
      </c>
      <c r="DT244">
        <v>0</v>
      </c>
      <c r="DU244">
        <v>0</v>
      </c>
      <c r="DV244" t="s">
        <v>496</v>
      </c>
    </row>
    <row r="245" spans="1:126" x14ac:dyDescent="0.35">
      <c r="A245" t="s">
        <v>494</v>
      </c>
      <c r="B245">
        <v>230103</v>
      </c>
      <c r="C245" s="1">
        <v>44929</v>
      </c>
      <c r="D245" t="s">
        <v>495</v>
      </c>
      <c r="E245" t="s">
        <v>184</v>
      </c>
      <c r="F245" t="s">
        <v>185</v>
      </c>
      <c r="G245" t="s">
        <v>463</v>
      </c>
      <c r="H245">
        <v>146457</v>
      </c>
      <c r="I245" s="17">
        <v>17529</v>
      </c>
      <c r="J245" s="17">
        <v>5980</v>
      </c>
      <c r="K245">
        <v>8110</v>
      </c>
      <c r="L245">
        <v>120084</v>
      </c>
      <c r="M245">
        <v>132204</v>
      </c>
      <c r="N245">
        <v>145723</v>
      </c>
      <c r="O245">
        <v>146294</v>
      </c>
      <c r="P245">
        <v>734</v>
      </c>
      <c r="Q245">
        <v>163</v>
      </c>
      <c r="R245">
        <v>146457</v>
      </c>
      <c r="S245">
        <v>17529</v>
      </c>
      <c r="T245">
        <v>5980</v>
      </c>
      <c r="U245">
        <v>8110</v>
      </c>
      <c r="V245">
        <v>120084</v>
      </c>
      <c r="W245">
        <v>132204</v>
      </c>
      <c r="X245">
        <v>145723</v>
      </c>
      <c r="Y245">
        <v>146294</v>
      </c>
      <c r="Z245">
        <v>734</v>
      </c>
      <c r="AA245">
        <v>163</v>
      </c>
      <c r="AB245">
        <v>0</v>
      </c>
      <c r="AC245">
        <v>0</v>
      </c>
      <c r="AD245">
        <v>0</v>
      </c>
      <c r="AE245">
        <v>0</v>
      </c>
      <c r="AF245">
        <v>0</v>
      </c>
      <c r="AG245">
        <v>0</v>
      </c>
      <c r="AH245">
        <v>0</v>
      </c>
      <c r="AI245">
        <v>0</v>
      </c>
      <c r="AJ245">
        <v>0</v>
      </c>
      <c r="AK245">
        <v>0</v>
      </c>
      <c r="AL245">
        <v>-189</v>
      </c>
      <c r="AM245">
        <v>-301</v>
      </c>
      <c r="AN245">
        <v>-27</v>
      </c>
      <c r="AO245">
        <v>53</v>
      </c>
      <c r="AP245">
        <v>54</v>
      </c>
      <c r="AQ245">
        <v>-184</v>
      </c>
      <c r="AR245">
        <v>-194</v>
      </c>
      <c r="AS245">
        <v>-158</v>
      </c>
      <c r="AT245">
        <v>5</v>
      </c>
      <c r="AU245">
        <v>-31</v>
      </c>
      <c r="AV245">
        <v>100</v>
      </c>
      <c r="AW245">
        <v>12</v>
      </c>
      <c r="AX245">
        <v>4.0999999999999996</v>
      </c>
      <c r="AY245">
        <v>5.5</v>
      </c>
      <c r="AZ245">
        <v>82</v>
      </c>
      <c r="BA245">
        <v>90.3</v>
      </c>
      <c r="BB245">
        <v>99.5</v>
      </c>
      <c r="BC245">
        <v>99.9</v>
      </c>
      <c r="BD245">
        <v>0.5</v>
      </c>
      <c r="BE245">
        <v>0.1</v>
      </c>
      <c r="BF245">
        <v>100</v>
      </c>
      <c r="BG245">
        <v>12</v>
      </c>
      <c r="BH245">
        <v>4.0999999999999996</v>
      </c>
      <c r="BI245">
        <v>5.5</v>
      </c>
      <c r="BJ245">
        <v>82</v>
      </c>
      <c r="BK245">
        <v>90.3</v>
      </c>
      <c r="BL245">
        <v>99.5</v>
      </c>
      <c r="BM245">
        <v>99.9</v>
      </c>
      <c r="BN245">
        <v>0.5</v>
      </c>
      <c r="BO245">
        <v>0.1</v>
      </c>
      <c r="BP245">
        <v>0</v>
      </c>
      <c r="BQ245">
        <v>0</v>
      </c>
      <c r="BR245">
        <v>0</v>
      </c>
      <c r="BS245">
        <v>0</v>
      </c>
      <c r="BT245">
        <v>0</v>
      </c>
      <c r="BU245">
        <v>0</v>
      </c>
      <c r="BV245">
        <v>0</v>
      </c>
      <c r="BW245">
        <v>0</v>
      </c>
      <c r="BX245">
        <v>0</v>
      </c>
      <c r="BY245">
        <v>0</v>
      </c>
      <c r="BZ245">
        <v>66</v>
      </c>
      <c r="CA245">
        <v>12</v>
      </c>
      <c r="CB245">
        <v>10</v>
      </c>
      <c r="CC245">
        <v>14</v>
      </c>
      <c r="CD245">
        <v>39</v>
      </c>
      <c r="CE245">
        <v>41</v>
      </c>
      <c r="CF245">
        <v>58</v>
      </c>
      <c r="CG245">
        <v>58</v>
      </c>
      <c r="CH245">
        <v>66</v>
      </c>
      <c r="CI245">
        <v>12</v>
      </c>
      <c r="CJ245">
        <v>10</v>
      </c>
      <c r="CK245">
        <v>14</v>
      </c>
      <c r="CL245">
        <v>39</v>
      </c>
      <c r="CM245">
        <v>41</v>
      </c>
      <c r="CN245">
        <v>58</v>
      </c>
      <c r="CO245">
        <v>58</v>
      </c>
      <c r="CP245">
        <v>0</v>
      </c>
      <c r="CQ245">
        <v>0</v>
      </c>
      <c r="CR245">
        <v>0</v>
      </c>
      <c r="CS245">
        <v>0</v>
      </c>
      <c r="CT245">
        <v>0</v>
      </c>
      <c r="CU245">
        <v>0</v>
      </c>
      <c r="CV245">
        <v>0</v>
      </c>
      <c r="CW245">
        <v>0</v>
      </c>
      <c r="CX245">
        <v>43.6</v>
      </c>
      <c r="CY245">
        <v>54.6</v>
      </c>
      <c r="CZ245">
        <v>63.9</v>
      </c>
      <c r="DA245">
        <v>71.2</v>
      </c>
      <c r="DB245">
        <v>36.200000000000003</v>
      </c>
      <c r="DC245">
        <v>41.6</v>
      </c>
      <c r="DD245">
        <v>44.3</v>
      </c>
      <c r="DE245">
        <v>48.5</v>
      </c>
      <c r="DF245">
        <v>43.6</v>
      </c>
      <c r="DG245">
        <v>54.6</v>
      </c>
      <c r="DH245">
        <v>63.9</v>
      </c>
      <c r="DI245">
        <v>71.2</v>
      </c>
      <c r="DJ245">
        <v>36.200000000000003</v>
      </c>
      <c r="DK245">
        <v>41.6</v>
      </c>
      <c r="DL245">
        <v>44.3</v>
      </c>
      <c r="DM245">
        <v>48.5</v>
      </c>
      <c r="DN245">
        <v>0</v>
      </c>
      <c r="DO245">
        <v>0</v>
      </c>
      <c r="DP245">
        <v>0</v>
      </c>
      <c r="DQ245">
        <v>0</v>
      </c>
      <c r="DR245">
        <v>0</v>
      </c>
      <c r="DS245">
        <v>0</v>
      </c>
      <c r="DT245">
        <v>0</v>
      </c>
      <c r="DU245">
        <v>0</v>
      </c>
      <c r="DV245" t="s">
        <v>496</v>
      </c>
    </row>
    <row r="246" spans="1:126" x14ac:dyDescent="0.35">
      <c r="A246" t="s">
        <v>497</v>
      </c>
      <c r="B246">
        <v>230110</v>
      </c>
      <c r="C246" s="1">
        <v>44936</v>
      </c>
      <c r="D246" t="s">
        <v>498</v>
      </c>
      <c r="E246" t="s">
        <v>184</v>
      </c>
      <c r="F246" t="s">
        <v>185</v>
      </c>
      <c r="G246" t="s">
        <v>463</v>
      </c>
      <c r="H246">
        <v>29659</v>
      </c>
      <c r="I246" s="17">
        <v>0</v>
      </c>
      <c r="J246" s="17">
        <v>1908</v>
      </c>
      <c r="K246">
        <v>0</v>
      </c>
      <c r="L246">
        <v>29003</v>
      </c>
      <c r="M246">
        <v>27511</v>
      </c>
      <c r="N246">
        <v>29003</v>
      </c>
      <c r="O246">
        <v>29419</v>
      </c>
      <c r="P246">
        <v>656</v>
      </c>
      <c r="Q246">
        <v>240</v>
      </c>
      <c r="R246">
        <v>29659</v>
      </c>
      <c r="S246">
        <v>0</v>
      </c>
      <c r="T246">
        <v>1908</v>
      </c>
      <c r="U246">
        <v>0</v>
      </c>
      <c r="V246">
        <v>29003</v>
      </c>
      <c r="W246">
        <v>27511</v>
      </c>
      <c r="X246">
        <v>29003</v>
      </c>
      <c r="Y246">
        <v>29419</v>
      </c>
      <c r="Z246">
        <v>656</v>
      </c>
      <c r="AA246">
        <v>240</v>
      </c>
      <c r="AB246">
        <v>0</v>
      </c>
      <c r="AC246">
        <v>0</v>
      </c>
      <c r="AD246">
        <v>0</v>
      </c>
      <c r="AE246">
        <v>0</v>
      </c>
      <c r="AF246">
        <v>0</v>
      </c>
      <c r="AG246">
        <v>0</v>
      </c>
      <c r="AH246">
        <v>0</v>
      </c>
      <c r="AI246">
        <v>0</v>
      </c>
      <c r="AJ246">
        <v>0</v>
      </c>
      <c r="AK246">
        <v>0</v>
      </c>
      <c r="AL246">
        <v>-780</v>
      </c>
      <c r="AM246">
        <v>0</v>
      </c>
      <c r="AN246">
        <v>-100</v>
      </c>
      <c r="AO246">
        <v>0</v>
      </c>
      <c r="AP246">
        <v>-762</v>
      </c>
      <c r="AQ246">
        <v>-679</v>
      </c>
      <c r="AR246">
        <v>-762</v>
      </c>
      <c r="AS246">
        <v>-779</v>
      </c>
      <c r="AT246">
        <v>-18</v>
      </c>
      <c r="AU246">
        <v>-1</v>
      </c>
      <c r="AV246">
        <v>100</v>
      </c>
      <c r="AW246">
        <v>0</v>
      </c>
      <c r="AX246">
        <v>6.4</v>
      </c>
      <c r="AY246">
        <v>0</v>
      </c>
      <c r="AZ246">
        <v>97.8</v>
      </c>
      <c r="BA246">
        <v>92.8</v>
      </c>
      <c r="BB246">
        <v>97.8</v>
      </c>
      <c r="BC246">
        <v>99.2</v>
      </c>
      <c r="BD246">
        <v>2.2000000000000002</v>
      </c>
      <c r="BE246">
        <v>0.8</v>
      </c>
      <c r="BF246">
        <v>100</v>
      </c>
      <c r="BG246">
        <v>0</v>
      </c>
      <c r="BH246">
        <v>6.4</v>
      </c>
      <c r="BI246">
        <v>0</v>
      </c>
      <c r="BJ246">
        <v>97.8</v>
      </c>
      <c r="BK246">
        <v>92.8</v>
      </c>
      <c r="BL246">
        <v>97.8</v>
      </c>
      <c r="BM246">
        <v>99.2</v>
      </c>
      <c r="BN246">
        <v>2.2000000000000002</v>
      </c>
      <c r="BO246">
        <v>0.8</v>
      </c>
      <c r="BP246">
        <v>0</v>
      </c>
      <c r="BQ246">
        <v>0</v>
      </c>
      <c r="BR246">
        <v>0</v>
      </c>
      <c r="BS246">
        <v>0</v>
      </c>
      <c r="BT246">
        <v>0</v>
      </c>
      <c r="BU246">
        <v>0</v>
      </c>
      <c r="BV246">
        <v>0</v>
      </c>
      <c r="BW246">
        <v>0</v>
      </c>
      <c r="BX246">
        <v>0</v>
      </c>
      <c r="BY246">
        <v>0</v>
      </c>
      <c r="BZ246">
        <v>21</v>
      </c>
      <c r="CA246">
        <v>0</v>
      </c>
      <c r="CB246">
        <v>1</v>
      </c>
      <c r="CC246">
        <v>0</v>
      </c>
      <c r="CD246">
        <v>15</v>
      </c>
      <c r="CE246">
        <v>17</v>
      </c>
      <c r="CF246">
        <v>15</v>
      </c>
      <c r="CG246">
        <v>18</v>
      </c>
      <c r="CH246">
        <v>21</v>
      </c>
      <c r="CI246">
        <v>0</v>
      </c>
      <c r="CJ246">
        <v>1</v>
      </c>
      <c r="CK246">
        <v>0</v>
      </c>
      <c r="CL246">
        <v>15</v>
      </c>
      <c r="CM246">
        <v>17</v>
      </c>
      <c r="CN246">
        <v>15</v>
      </c>
      <c r="CO246">
        <v>18</v>
      </c>
      <c r="CP246">
        <v>0</v>
      </c>
      <c r="CQ246">
        <v>0</v>
      </c>
      <c r="CR246">
        <v>0</v>
      </c>
      <c r="CS246">
        <v>0</v>
      </c>
      <c r="CT246">
        <v>0</v>
      </c>
      <c r="CU246">
        <v>0</v>
      </c>
      <c r="CV246">
        <v>0</v>
      </c>
      <c r="CW246">
        <v>0</v>
      </c>
      <c r="CX246">
        <v>54.6</v>
      </c>
      <c r="CY246">
        <v>54.1</v>
      </c>
      <c r="CZ246">
        <v>86.4</v>
      </c>
      <c r="DA246">
        <v>80.7</v>
      </c>
      <c r="DB246">
        <v>40.700000000000003</v>
      </c>
      <c r="DC246">
        <v>48.3</v>
      </c>
      <c r="DD246">
        <v>60.7</v>
      </c>
      <c r="DE246">
        <v>64.099999999999994</v>
      </c>
      <c r="DF246">
        <v>54.6</v>
      </c>
      <c r="DG246">
        <v>54.1</v>
      </c>
      <c r="DH246">
        <v>86.4</v>
      </c>
      <c r="DI246">
        <v>80.7</v>
      </c>
      <c r="DJ246">
        <v>40.700000000000003</v>
      </c>
      <c r="DK246">
        <v>48.3</v>
      </c>
      <c r="DL246">
        <v>60.7</v>
      </c>
      <c r="DM246">
        <v>64.099999999999994</v>
      </c>
      <c r="DN246">
        <v>0</v>
      </c>
      <c r="DO246">
        <v>0</v>
      </c>
      <c r="DP246">
        <v>0</v>
      </c>
      <c r="DQ246">
        <v>0</v>
      </c>
      <c r="DR246">
        <v>0</v>
      </c>
      <c r="DS246">
        <v>0</v>
      </c>
      <c r="DT246">
        <v>0</v>
      </c>
      <c r="DU246">
        <v>0</v>
      </c>
      <c r="DV246" t="s">
        <v>491</v>
      </c>
    </row>
    <row r="247" spans="1:126" x14ac:dyDescent="0.35">
      <c r="A247" t="s">
        <v>497</v>
      </c>
      <c r="B247">
        <v>230103</v>
      </c>
      <c r="C247" s="1">
        <v>44929</v>
      </c>
      <c r="D247" t="s">
        <v>498</v>
      </c>
      <c r="E247" t="s">
        <v>184</v>
      </c>
      <c r="F247" t="s">
        <v>185</v>
      </c>
      <c r="G247" t="s">
        <v>463</v>
      </c>
      <c r="H247">
        <v>30439</v>
      </c>
      <c r="I247" s="17">
        <v>0</v>
      </c>
      <c r="J247" s="17">
        <v>2008</v>
      </c>
      <c r="K247">
        <v>0</v>
      </c>
      <c r="L247">
        <v>29765</v>
      </c>
      <c r="M247">
        <v>28190</v>
      </c>
      <c r="N247">
        <v>29765</v>
      </c>
      <c r="O247">
        <v>30198</v>
      </c>
      <c r="P247">
        <v>674</v>
      </c>
      <c r="Q247">
        <v>241</v>
      </c>
      <c r="R247">
        <v>30439</v>
      </c>
      <c r="S247">
        <v>0</v>
      </c>
      <c r="T247">
        <v>2008</v>
      </c>
      <c r="U247">
        <v>0</v>
      </c>
      <c r="V247">
        <v>29765</v>
      </c>
      <c r="W247">
        <v>28190</v>
      </c>
      <c r="X247">
        <v>29765</v>
      </c>
      <c r="Y247">
        <v>30198</v>
      </c>
      <c r="Z247">
        <v>674</v>
      </c>
      <c r="AA247">
        <v>241</v>
      </c>
      <c r="AB247">
        <v>0</v>
      </c>
      <c r="AC247">
        <v>0</v>
      </c>
      <c r="AD247">
        <v>0</v>
      </c>
      <c r="AE247">
        <v>0</v>
      </c>
      <c r="AF247">
        <v>0</v>
      </c>
      <c r="AG247">
        <v>0</v>
      </c>
      <c r="AH247">
        <v>0</v>
      </c>
      <c r="AI247">
        <v>0</v>
      </c>
      <c r="AJ247">
        <v>0</v>
      </c>
      <c r="AK247">
        <v>0</v>
      </c>
      <c r="AL247">
        <v>63</v>
      </c>
      <c r="AM247">
        <v>0</v>
      </c>
      <c r="AN247">
        <v>0</v>
      </c>
      <c r="AO247">
        <v>0</v>
      </c>
      <c r="AP247">
        <v>43</v>
      </c>
      <c r="AQ247">
        <v>63</v>
      </c>
      <c r="AR247">
        <v>43</v>
      </c>
      <c r="AS247">
        <v>63</v>
      </c>
      <c r="AT247">
        <v>20</v>
      </c>
      <c r="AU247">
        <v>0</v>
      </c>
      <c r="AV247">
        <v>100</v>
      </c>
      <c r="AW247">
        <v>0</v>
      </c>
      <c r="AX247">
        <v>6.6</v>
      </c>
      <c r="AY247">
        <v>0</v>
      </c>
      <c r="AZ247">
        <v>97.8</v>
      </c>
      <c r="BA247">
        <v>92.6</v>
      </c>
      <c r="BB247">
        <v>97.8</v>
      </c>
      <c r="BC247">
        <v>99.2</v>
      </c>
      <c r="BD247">
        <v>2.2000000000000002</v>
      </c>
      <c r="BE247">
        <v>0.8</v>
      </c>
      <c r="BF247">
        <v>100</v>
      </c>
      <c r="BG247">
        <v>0</v>
      </c>
      <c r="BH247">
        <v>6.6</v>
      </c>
      <c r="BI247">
        <v>0</v>
      </c>
      <c r="BJ247">
        <v>97.8</v>
      </c>
      <c r="BK247">
        <v>92.6</v>
      </c>
      <c r="BL247">
        <v>97.8</v>
      </c>
      <c r="BM247">
        <v>99.2</v>
      </c>
      <c r="BN247">
        <v>2.2000000000000002</v>
      </c>
      <c r="BO247">
        <v>0.8</v>
      </c>
      <c r="BP247">
        <v>0</v>
      </c>
      <c r="BQ247">
        <v>0</v>
      </c>
      <c r="BR247">
        <v>0</v>
      </c>
      <c r="BS247">
        <v>0</v>
      </c>
      <c r="BT247">
        <v>0</v>
      </c>
      <c r="BU247">
        <v>0</v>
      </c>
      <c r="BV247">
        <v>0</v>
      </c>
      <c r="BW247">
        <v>0</v>
      </c>
      <c r="BX247">
        <v>0</v>
      </c>
      <c r="BY247">
        <v>0</v>
      </c>
      <c r="BZ247">
        <v>22</v>
      </c>
      <c r="CA247">
        <v>0</v>
      </c>
      <c r="CB247">
        <v>1</v>
      </c>
      <c r="CC247">
        <v>0</v>
      </c>
      <c r="CD247">
        <v>16</v>
      </c>
      <c r="CE247">
        <v>18</v>
      </c>
      <c r="CF247">
        <v>16</v>
      </c>
      <c r="CG247">
        <v>19</v>
      </c>
      <c r="CH247">
        <v>22</v>
      </c>
      <c r="CI247">
        <v>0</v>
      </c>
      <c r="CJ247">
        <v>1</v>
      </c>
      <c r="CK247">
        <v>0</v>
      </c>
      <c r="CL247">
        <v>16</v>
      </c>
      <c r="CM247">
        <v>18</v>
      </c>
      <c r="CN247">
        <v>16</v>
      </c>
      <c r="CO247">
        <v>19</v>
      </c>
      <c r="CP247">
        <v>0</v>
      </c>
      <c r="CQ247">
        <v>0</v>
      </c>
      <c r="CR247">
        <v>0</v>
      </c>
      <c r="CS247">
        <v>0</v>
      </c>
      <c r="CT247">
        <v>0</v>
      </c>
      <c r="CU247">
        <v>0</v>
      </c>
      <c r="CV247">
        <v>0</v>
      </c>
      <c r="CW247">
        <v>0</v>
      </c>
      <c r="CX247">
        <v>56.1</v>
      </c>
      <c r="CY247">
        <v>52.9</v>
      </c>
      <c r="CZ247">
        <v>85.4</v>
      </c>
      <c r="DA247">
        <v>79.400000000000006</v>
      </c>
      <c r="DB247">
        <v>41.4</v>
      </c>
      <c r="DC247">
        <v>47.5</v>
      </c>
      <c r="DD247">
        <v>59.9</v>
      </c>
      <c r="DE247">
        <v>63.4</v>
      </c>
      <c r="DF247">
        <v>56.1</v>
      </c>
      <c r="DG247">
        <v>52.9</v>
      </c>
      <c r="DH247">
        <v>85.4</v>
      </c>
      <c r="DI247">
        <v>79.400000000000006</v>
      </c>
      <c r="DJ247">
        <v>41.4</v>
      </c>
      <c r="DK247">
        <v>47.5</v>
      </c>
      <c r="DL247">
        <v>59.9</v>
      </c>
      <c r="DM247">
        <v>63.4</v>
      </c>
      <c r="DN247">
        <v>0</v>
      </c>
      <c r="DO247">
        <v>0</v>
      </c>
      <c r="DP247">
        <v>0</v>
      </c>
      <c r="DQ247">
        <v>0</v>
      </c>
      <c r="DR247">
        <v>0</v>
      </c>
      <c r="DS247">
        <v>0</v>
      </c>
      <c r="DT247">
        <v>0</v>
      </c>
      <c r="DU247">
        <v>0</v>
      </c>
      <c r="DV247" t="s">
        <v>491</v>
      </c>
    </row>
    <row r="248" spans="1:126" x14ac:dyDescent="0.35">
      <c r="A248" t="s">
        <v>499</v>
      </c>
      <c r="B248">
        <v>230110</v>
      </c>
      <c r="C248" s="1">
        <v>44936</v>
      </c>
      <c r="D248" t="s">
        <v>500</v>
      </c>
      <c r="E248" t="s">
        <v>184</v>
      </c>
      <c r="F248" t="s">
        <v>185</v>
      </c>
      <c r="G248" t="s">
        <v>463</v>
      </c>
      <c r="H248">
        <v>27664</v>
      </c>
      <c r="I248" s="17">
        <v>0</v>
      </c>
      <c r="J248" s="17">
        <v>1908</v>
      </c>
      <c r="K248">
        <v>0</v>
      </c>
      <c r="L248">
        <v>26956</v>
      </c>
      <c r="M248">
        <v>25516</v>
      </c>
      <c r="N248">
        <v>26956</v>
      </c>
      <c r="O248">
        <v>27424</v>
      </c>
      <c r="P248">
        <v>708</v>
      </c>
      <c r="Q248">
        <v>240</v>
      </c>
      <c r="R248">
        <v>27664</v>
      </c>
      <c r="S248">
        <v>0</v>
      </c>
      <c r="T248">
        <v>1908</v>
      </c>
      <c r="U248">
        <v>0</v>
      </c>
      <c r="V248">
        <v>26956</v>
      </c>
      <c r="W248">
        <v>25516</v>
      </c>
      <c r="X248">
        <v>26956</v>
      </c>
      <c r="Y248">
        <v>27424</v>
      </c>
      <c r="Z248">
        <v>708</v>
      </c>
      <c r="AA248">
        <v>240</v>
      </c>
      <c r="AB248">
        <v>0</v>
      </c>
      <c r="AC248">
        <v>0</v>
      </c>
      <c r="AD248">
        <v>0</v>
      </c>
      <c r="AE248">
        <v>0</v>
      </c>
      <c r="AF248">
        <v>0</v>
      </c>
      <c r="AG248">
        <v>0</v>
      </c>
      <c r="AH248">
        <v>0</v>
      </c>
      <c r="AI248">
        <v>0</v>
      </c>
      <c r="AJ248">
        <v>0</v>
      </c>
      <c r="AK248">
        <v>0</v>
      </c>
      <c r="AL248">
        <v>-740</v>
      </c>
      <c r="AM248">
        <v>0</v>
      </c>
      <c r="AN248">
        <v>-100</v>
      </c>
      <c r="AO248">
        <v>0</v>
      </c>
      <c r="AP248">
        <v>-794</v>
      </c>
      <c r="AQ248">
        <v>-639</v>
      </c>
      <c r="AR248">
        <v>-794</v>
      </c>
      <c r="AS248">
        <v>-739</v>
      </c>
      <c r="AT248">
        <v>54</v>
      </c>
      <c r="AU248">
        <v>-1</v>
      </c>
      <c r="AV248">
        <v>100</v>
      </c>
      <c r="AW248">
        <v>0</v>
      </c>
      <c r="AX248">
        <v>6.9</v>
      </c>
      <c r="AY248">
        <v>0</v>
      </c>
      <c r="AZ248">
        <v>97.4</v>
      </c>
      <c r="BA248">
        <v>92.2</v>
      </c>
      <c r="BB248">
        <v>97.4</v>
      </c>
      <c r="BC248">
        <v>99.1</v>
      </c>
      <c r="BD248">
        <v>2.6</v>
      </c>
      <c r="BE248">
        <v>0.9</v>
      </c>
      <c r="BF248">
        <v>100</v>
      </c>
      <c r="BG248">
        <v>0</v>
      </c>
      <c r="BH248">
        <v>6.9</v>
      </c>
      <c r="BI248">
        <v>0</v>
      </c>
      <c r="BJ248">
        <v>97.4</v>
      </c>
      <c r="BK248">
        <v>92.2</v>
      </c>
      <c r="BL248">
        <v>97.4</v>
      </c>
      <c r="BM248">
        <v>99.1</v>
      </c>
      <c r="BN248">
        <v>2.6</v>
      </c>
      <c r="BO248">
        <v>0.9</v>
      </c>
      <c r="BP248">
        <v>0</v>
      </c>
      <c r="BQ248">
        <v>0</v>
      </c>
      <c r="BR248">
        <v>0</v>
      </c>
      <c r="BS248">
        <v>0</v>
      </c>
      <c r="BT248">
        <v>0</v>
      </c>
      <c r="BU248">
        <v>0</v>
      </c>
      <c r="BV248">
        <v>0</v>
      </c>
      <c r="BW248">
        <v>0</v>
      </c>
      <c r="BX248">
        <v>0</v>
      </c>
      <c r="BY248">
        <v>0</v>
      </c>
      <c r="BZ248">
        <v>20</v>
      </c>
      <c r="CA248">
        <v>0</v>
      </c>
      <c r="CB248">
        <v>1</v>
      </c>
      <c r="CC248">
        <v>0</v>
      </c>
      <c r="CD248">
        <v>15</v>
      </c>
      <c r="CE248">
        <v>16</v>
      </c>
      <c r="CF248">
        <v>15</v>
      </c>
      <c r="CG248">
        <v>17</v>
      </c>
      <c r="CH248">
        <v>20</v>
      </c>
      <c r="CI248">
        <v>0</v>
      </c>
      <c r="CJ248">
        <v>1</v>
      </c>
      <c r="CK248">
        <v>0</v>
      </c>
      <c r="CL248">
        <v>15</v>
      </c>
      <c r="CM248">
        <v>16</v>
      </c>
      <c r="CN248">
        <v>15</v>
      </c>
      <c r="CO248">
        <v>17</v>
      </c>
      <c r="CP248">
        <v>0</v>
      </c>
      <c r="CQ248">
        <v>0</v>
      </c>
      <c r="CR248">
        <v>0</v>
      </c>
      <c r="CS248">
        <v>0</v>
      </c>
      <c r="CT248">
        <v>0</v>
      </c>
      <c r="CU248">
        <v>0</v>
      </c>
      <c r="CV248">
        <v>0</v>
      </c>
      <c r="CW248">
        <v>0</v>
      </c>
      <c r="CX248">
        <v>57</v>
      </c>
      <c r="CY248">
        <v>48.9</v>
      </c>
      <c r="CZ248">
        <v>86.8</v>
      </c>
      <c r="DA248">
        <v>78.5</v>
      </c>
      <c r="DB248">
        <v>43.7</v>
      </c>
      <c r="DC248">
        <v>44.5</v>
      </c>
      <c r="DD248">
        <v>62.2</v>
      </c>
      <c r="DE248">
        <v>61.4</v>
      </c>
      <c r="DF248">
        <v>57</v>
      </c>
      <c r="DG248">
        <v>48.9</v>
      </c>
      <c r="DH248">
        <v>86.8</v>
      </c>
      <c r="DI248">
        <v>78.5</v>
      </c>
      <c r="DJ248">
        <v>43.7</v>
      </c>
      <c r="DK248">
        <v>44.5</v>
      </c>
      <c r="DL248">
        <v>62.2</v>
      </c>
      <c r="DM248">
        <v>61.4</v>
      </c>
      <c r="DN248">
        <v>0</v>
      </c>
      <c r="DO248">
        <v>0</v>
      </c>
      <c r="DP248">
        <v>0</v>
      </c>
      <c r="DQ248">
        <v>0</v>
      </c>
      <c r="DR248">
        <v>0</v>
      </c>
      <c r="DS248">
        <v>0</v>
      </c>
      <c r="DT248">
        <v>0</v>
      </c>
      <c r="DU248">
        <v>0</v>
      </c>
      <c r="DV248" t="s">
        <v>484</v>
      </c>
    </row>
    <row r="249" spans="1:126" x14ac:dyDescent="0.35">
      <c r="A249" t="s">
        <v>499</v>
      </c>
      <c r="B249">
        <v>230103</v>
      </c>
      <c r="C249" s="1">
        <v>44929</v>
      </c>
      <c r="D249" t="s">
        <v>500</v>
      </c>
      <c r="E249" t="s">
        <v>184</v>
      </c>
      <c r="F249" t="s">
        <v>185</v>
      </c>
      <c r="G249" t="s">
        <v>463</v>
      </c>
      <c r="H249">
        <v>28404</v>
      </c>
      <c r="I249" s="17">
        <v>0</v>
      </c>
      <c r="J249" s="17">
        <v>2008</v>
      </c>
      <c r="K249">
        <v>0</v>
      </c>
      <c r="L249">
        <v>27750</v>
      </c>
      <c r="M249">
        <v>26155</v>
      </c>
      <c r="N249">
        <v>27750</v>
      </c>
      <c r="O249">
        <v>28163</v>
      </c>
      <c r="P249">
        <v>654</v>
      </c>
      <c r="Q249">
        <v>241</v>
      </c>
      <c r="R249">
        <v>28404</v>
      </c>
      <c r="S249">
        <v>0</v>
      </c>
      <c r="T249">
        <v>2008</v>
      </c>
      <c r="U249">
        <v>0</v>
      </c>
      <c r="V249">
        <v>27750</v>
      </c>
      <c r="W249">
        <v>26155</v>
      </c>
      <c r="X249">
        <v>27750</v>
      </c>
      <c r="Y249">
        <v>28163</v>
      </c>
      <c r="Z249">
        <v>654</v>
      </c>
      <c r="AA249">
        <v>241</v>
      </c>
      <c r="AB249">
        <v>0</v>
      </c>
      <c r="AC249">
        <v>0</v>
      </c>
      <c r="AD249">
        <v>0</v>
      </c>
      <c r="AE249">
        <v>0</v>
      </c>
      <c r="AF249">
        <v>0</v>
      </c>
      <c r="AG249">
        <v>0</v>
      </c>
      <c r="AH249">
        <v>0</v>
      </c>
      <c r="AI249">
        <v>0</v>
      </c>
      <c r="AJ249">
        <v>0</v>
      </c>
      <c r="AK249">
        <v>0</v>
      </c>
      <c r="AL249">
        <v>0</v>
      </c>
      <c r="AM249">
        <v>0</v>
      </c>
      <c r="AN249">
        <v>0</v>
      </c>
      <c r="AO249">
        <v>0</v>
      </c>
      <c r="AP249">
        <v>0</v>
      </c>
      <c r="AQ249">
        <v>0</v>
      </c>
      <c r="AR249">
        <v>0</v>
      </c>
      <c r="AS249">
        <v>0</v>
      </c>
      <c r="AT249">
        <v>0</v>
      </c>
      <c r="AU249">
        <v>0</v>
      </c>
      <c r="AV249">
        <v>100</v>
      </c>
      <c r="AW249">
        <v>0</v>
      </c>
      <c r="AX249">
        <v>7.1</v>
      </c>
      <c r="AY249">
        <v>0</v>
      </c>
      <c r="AZ249">
        <v>97.7</v>
      </c>
      <c r="BA249">
        <v>92.1</v>
      </c>
      <c r="BB249">
        <v>97.7</v>
      </c>
      <c r="BC249">
        <v>99.2</v>
      </c>
      <c r="BD249">
        <v>2.2999999999999998</v>
      </c>
      <c r="BE249">
        <v>0.8</v>
      </c>
      <c r="BF249">
        <v>100</v>
      </c>
      <c r="BG249">
        <v>0</v>
      </c>
      <c r="BH249">
        <v>7.1</v>
      </c>
      <c r="BI249">
        <v>0</v>
      </c>
      <c r="BJ249">
        <v>97.7</v>
      </c>
      <c r="BK249">
        <v>92.1</v>
      </c>
      <c r="BL249">
        <v>97.7</v>
      </c>
      <c r="BM249">
        <v>99.2</v>
      </c>
      <c r="BN249">
        <v>2.2999999999999998</v>
      </c>
      <c r="BO249">
        <v>0.8</v>
      </c>
      <c r="BP249">
        <v>0</v>
      </c>
      <c r="BQ249">
        <v>0</v>
      </c>
      <c r="BR249">
        <v>0</v>
      </c>
      <c r="BS249">
        <v>0</v>
      </c>
      <c r="BT249">
        <v>0</v>
      </c>
      <c r="BU249">
        <v>0</v>
      </c>
      <c r="BV249">
        <v>0</v>
      </c>
      <c r="BW249">
        <v>0</v>
      </c>
      <c r="BX249">
        <v>0</v>
      </c>
      <c r="BY249">
        <v>0</v>
      </c>
      <c r="BZ249">
        <v>22</v>
      </c>
      <c r="CA249">
        <v>0</v>
      </c>
      <c r="CB249">
        <v>1</v>
      </c>
      <c r="CC249">
        <v>0</v>
      </c>
      <c r="CD249">
        <v>16</v>
      </c>
      <c r="CE249">
        <v>17</v>
      </c>
      <c r="CF249">
        <v>16</v>
      </c>
      <c r="CG249">
        <v>18</v>
      </c>
      <c r="CH249">
        <v>22</v>
      </c>
      <c r="CI249">
        <v>0</v>
      </c>
      <c r="CJ249">
        <v>1</v>
      </c>
      <c r="CK249">
        <v>0</v>
      </c>
      <c r="CL249">
        <v>16</v>
      </c>
      <c r="CM249">
        <v>17</v>
      </c>
      <c r="CN249">
        <v>16</v>
      </c>
      <c r="CO249">
        <v>18</v>
      </c>
      <c r="CP249">
        <v>0</v>
      </c>
      <c r="CQ249">
        <v>0</v>
      </c>
      <c r="CR249">
        <v>0</v>
      </c>
      <c r="CS249">
        <v>0</v>
      </c>
      <c r="CT249">
        <v>0</v>
      </c>
      <c r="CU249">
        <v>0</v>
      </c>
      <c r="CV249">
        <v>0</v>
      </c>
      <c r="CW249">
        <v>0</v>
      </c>
      <c r="CX249">
        <v>58.4</v>
      </c>
      <c r="CY249">
        <v>47.8</v>
      </c>
      <c r="CZ249">
        <v>85.4</v>
      </c>
      <c r="DA249">
        <v>77.3</v>
      </c>
      <c r="DB249">
        <v>44.3</v>
      </c>
      <c r="DC249">
        <v>44.1</v>
      </c>
      <c r="DD249">
        <v>61.1</v>
      </c>
      <c r="DE249">
        <v>60.7</v>
      </c>
      <c r="DF249">
        <v>58.4</v>
      </c>
      <c r="DG249">
        <v>47.8</v>
      </c>
      <c r="DH249">
        <v>85.4</v>
      </c>
      <c r="DI249">
        <v>77.3</v>
      </c>
      <c r="DJ249">
        <v>44.3</v>
      </c>
      <c r="DK249">
        <v>44.1</v>
      </c>
      <c r="DL249">
        <v>61.1</v>
      </c>
      <c r="DM249">
        <v>60.7</v>
      </c>
      <c r="DN249">
        <v>0</v>
      </c>
      <c r="DO249">
        <v>0</v>
      </c>
      <c r="DP249">
        <v>0</v>
      </c>
      <c r="DQ249">
        <v>0</v>
      </c>
      <c r="DR249">
        <v>0</v>
      </c>
      <c r="DS249">
        <v>0</v>
      </c>
      <c r="DT249">
        <v>0</v>
      </c>
      <c r="DU249">
        <v>0</v>
      </c>
      <c r="DV249" t="s">
        <v>484</v>
      </c>
    </row>
    <row r="250" spans="1:126" x14ac:dyDescent="0.35">
      <c r="A250" t="s">
        <v>501</v>
      </c>
      <c r="B250">
        <v>230110</v>
      </c>
      <c r="C250" s="1">
        <v>44936</v>
      </c>
      <c r="D250" t="s">
        <v>502</v>
      </c>
      <c r="E250" t="s">
        <v>184</v>
      </c>
      <c r="F250" t="s">
        <v>185</v>
      </c>
      <c r="G250" t="s">
        <v>463</v>
      </c>
      <c r="H250">
        <v>43294</v>
      </c>
      <c r="I250" s="17">
        <v>0</v>
      </c>
      <c r="J250" s="17">
        <v>9559</v>
      </c>
      <c r="K250">
        <v>0</v>
      </c>
      <c r="L250">
        <v>42904</v>
      </c>
      <c r="M250">
        <v>33491</v>
      </c>
      <c r="N250">
        <v>42904</v>
      </c>
      <c r="O250">
        <v>43050</v>
      </c>
      <c r="P250">
        <v>390</v>
      </c>
      <c r="Q250">
        <v>244</v>
      </c>
      <c r="R250">
        <v>43294</v>
      </c>
      <c r="S250">
        <v>0</v>
      </c>
      <c r="T250">
        <v>9559</v>
      </c>
      <c r="U250">
        <v>0</v>
      </c>
      <c r="V250">
        <v>42904</v>
      </c>
      <c r="W250">
        <v>33491</v>
      </c>
      <c r="X250">
        <v>42904</v>
      </c>
      <c r="Y250">
        <v>43050</v>
      </c>
      <c r="Z250">
        <v>390</v>
      </c>
      <c r="AA250">
        <v>244</v>
      </c>
      <c r="AB250">
        <v>0</v>
      </c>
      <c r="AC250">
        <v>0</v>
      </c>
      <c r="AD250">
        <v>0</v>
      </c>
      <c r="AE250">
        <v>0</v>
      </c>
      <c r="AF250">
        <v>0</v>
      </c>
      <c r="AG250">
        <v>0</v>
      </c>
      <c r="AH250">
        <v>0</v>
      </c>
      <c r="AI250">
        <v>0</v>
      </c>
      <c r="AJ250">
        <v>0</v>
      </c>
      <c r="AK250">
        <v>0</v>
      </c>
      <c r="AL250">
        <v>-2649</v>
      </c>
      <c r="AM250">
        <v>0</v>
      </c>
      <c r="AN250">
        <v>-200</v>
      </c>
      <c r="AO250">
        <v>0</v>
      </c>
      <c r="AP250">
        <v>-3019</v>
      </c>
      <c r="AQ250">
        <v>-2589</v>
      </c>
      <c r="AR250">
        <v>-3019</v>
      </c>
      <c r="AS250">
        <v>-2789</v>
      </c>
      <c r="AT250">
        <v>370</v>
      </c>
      <c r="AU250">
        <v>140</v>
      </c>
      <c r="AV250">
        <v>100</v>
      </c>
      <c r="AW250">
        <v>0</v>
      </c>
      <c r="AX250">
        <v>22.1</v>
      </c>
      <c r="AY250">
        <v>0</v>
      </c>
      <c r="AZ250">
        <v>99.1</v>
      </c>
      <c r="BA250">
        <v>77.400000000000006</v>
      </c>
      <c r="BB250">
        <v>99.1</v>
      </c>
      <c r="BC250">
        <v>99.4</v>
      </c>
      <c r="BD250">
        <v>0.9</v>
      </c>
      <c r="BE250">
        <v>0.6</v>
      </c>
      <c r="BF250">
        <v>100</v>
      </c>
      <c r="BG250">
        <v>0</v>
      </c>
      <c r="BH250">
        <v>22.1</v>
      </c>
      <c r="BI250">
        <v>0</v>
      </c>
      <c r="BJ250">
        <v>99.1</v>
      </c>
      <c r="BK250">
        <v>77.400000000000006</v>
      </c>
      <c r="BL250">
        <v>99.1</v>
      </c>
      <c r="BM250">
        <v>99.4</v>
      </c>
      <c r="BN250">
        <v>0.9</v>
      </c>
      <c r="BO250">
        <v>0.6</v>
      </c>
      <c r="BP250">
        <v>0</v>
      </c>
      <c r="BQ250">
        <v>0</v>
      </c>
      <c r="BR250">
        <v>0</v>
      </c>
      <c r="BS250">
        <v>0</v>
      </c>
      <c r="BT250">
        <v>0</v>
      </c>
      <c r="BU250">
        <v>0</v>
      </c>
      <c r="BV250">
        <v>0</v>
      </c>
      <c r="BW250">
        <v>0</v>
      </c>
      <c r="BX250">
        <v>0</v>
      </c>
      <c r="BY250">
        <v>0</v>
      </c>
      <c r="BZ250">
        <v>24</v>
      </c>
      <c r="CA250">
        <v>0</v>
      </c>
      <c r="CB250">
        <v>3</v>
      </c>
      <c r="CC250">
        <v>0</v>
      </c>
      <c r="CD250">
        <v>19</v>
      </c>
      <c r="CE250">
        <v>15</v>
      </c>
      <c r="CF250">
        <v>19</v>
      </c>
      <c r="CG250">
        <v>18</v>
      </c>
      <c r="CH250">
        <v>24</v>
      </c>
      <c r="CI250">
        <v>0</v>
      </c>
      <c r="CJ250">
        <v>3</v>
      </c>
      <c r="CK250">
        <v>0</v>
      </c>
      <c r="CL250">
        <v>19</v>
      </c>
      <c r="CM250">
        <v>15</v>
      </c>
      <c r="CN250">
        <v>19</v>
      </c>
      <c r="CO250">
        <v>18</v>
      </c>
      <c r="CP250">
        <v>0</v>
      </c>
      <c r="CQ250">
        <v>0</v>
      </c>
      <c r="CR250">
        <v>0</v>
      </c>
      <c r="CS250">
        <v>0</v>
      </c>
      <c r="CT250">
        <v>0</v>
      </c>
      <c r="CU250">
        <v>0</v>
      </c>
      <c r="CV250">
        <v>0</v>
      </c>
      <c r="CW250">
        <v>0</v>
      </c>
      <c r="CX250">
        <v>71.400000000000006</v>
      </c>
      <c r="CY250">
        <v>52.8</v>
      </c>
      <c r="CZ250">
        <v>86</v>
      </c>
      <c r="DA250">
        <v>80.099999999999994</v>
      </c>
      <c r="DB250">
        <v>68.2</v>
      </c>
      <c r="DC250">
        <v>49.7</v>
      </c>
      <c r="DD250">
        <v>75.8</v>
      </c>
      <c r="DE250">
        <v>69.400000000000006</v>
      </c>
      <c r="DF250">
        <v>71.400000000000006</v>
      </c>
      <c r="DG250">
        <v>52.8</v>
      </c>
      <c r="DH250">
        <v>86</v>
      </c>
      <c r="DI250">
        <v>80.099999999999994</v>
      </c>
      <c r="DJ250">
        <v>68.2</v>
      </c>
      <c r="DK250">
        <v>49.7</v>
      </c>
      <c r="DL250">
        <v>75.8</v>
      </c>
      <c r="DM250">
        <v>69.400000000000006</v>
      </c>
      <c r="DN250">
        <v>0</v>
      </c>
      <c r="DO250">
        <v>0</v>
      </c>
      <c r="DP250">
        <v>0</v>
      </c>
      <c r="DQ250">
        <v>0</v>
      </c>
      <c r="DR250">
        <v>0</v>
      </c>
      <c r="DS250">
        <v>0</v>
      </c>
      <c r="DT250">
        <v>0</v>
      </c>
      <c r="DU250">
        <v>0</v>
      </c>
      <c r="DV250" t="s">
        <v>503</v>
      </c>
    </row>
    <row r="251" spans="1:126" x14ac:dyDescent="0.35">
      <c r="A251" t="s">
        <v>501</v>
      </c>
      <c r="B251">
        <v>230103</v>
      </c>
      <c r="C251" s="1">
        <v>44929</v>
      </c>
      <c r="D251" t="s">
        <v>502</v>
      </c>
      <c r="E251" t="s">
        <v>184</v>
      </c>
      <c r="F251" t="s">
        <v>185</v>
      </c>
      <c r="G251" t="s">
        <v>463</v>
      </c>
      <c r="H251">
        <v>45943</v>
      </c>
      <c r="I251" s="17">
        <v>0</v>
      </c>
      <c r="J251" s="17">
        <v>9759</v>
      </c>
      <c r="K251">
        <v>0</v>
      </c>
      <c r="L251">
        <v>45923</v>
      </c>
      <c r="M251">
        <v>36080</v>
      </c>
      <c r="N251">
        <v>45923</v>
      </c>
      <c r="O251">
        <v>45839</v>
      </c>
      <c r="P251">
        <v>20</v>
      </c>
      <c r="Q251">
        <v>104</v>
      </c>
      <c r="R251">
        <v>45943</v>
      </c>
      <c r="S251">
        <v>0</v>
      </c>
      <c r="T251">
        <v>9759</v>
      </c>
      <c r="U251">
        <v>0</v>
      </c>
      <c r="V251">
        <v>45923</v>
      </c>
      <c r="W251">
        <v>36080</v>
      </c>
      <c r="X251">
        <v>45923</v>
      </c>
      <c r="Y251">
        <v>45839</v>
      </c>
      <c r="Z251">
        <v>20</v>
      </c>
      <c r="AA251">
        <v>104</v>
      </c>
      <c r="AB251">
        <v>0</v>
      </c>
      <c r="AC251">
        <v>0</v>
      </c>
      <c r="AD251">
        <v>0</v>
      </c>
      <c r="AE251">
        <v>0</v>
      </c>
      <c r="AF251">
        <v>0</v>
      </c>
      <c r="AG251">
        <v>0</v>
      </c>
      <c r="AH251">
        <v>0</v>
      </c>
      <c r="AI251">
        <v>0</v>
      </c>
      <c r="AJ251">
        <v>0</v>
      </c>
      <c r="AK251">
        <v>0</v>
      </c>
      <c r="AL251">
        <v>0</v>
      </c>
      <c r="AM251">
        <v>0</v>
      </c>
      <c r="AN251">
        <v>-600</v>
      </c>
      <c r="AO251">
        <v>0</v>
      </c>
      <c r="AP251">
        <v>0</v>
      </c>
      <c r="AQ251">
        <v>600</v>
      </c>
      <c r="AR251">
        <v>0</v>
      </c>
      <c r="AS251">
        <v>0</v>
      </c>
      <c r="AT251">
        <v>0</v>
      </c>
      <c r="AU251">
        <v>0</v>
      </c>
      <c r="AV251">
        <v>100</v>
      </c>
      <c r="AW251">
        <v>0</v>
      </c>
      <c r="AX251">
        <v>21.2</v>
      </c>
      <c r="AY251">
        <v>0</v>
      </c>
      <c r="AZ251">
        <v>100</v>
      </c>
      <c r="BA251">
        <v>78.5</v>
      </c>
      <c r="BB251">
        <v>100</v>
      </c>
      <c r="BC251">
        <v>99.8</v>
      </c>
      <c r="BD251">
        <v>0</v>
      </c>
      <c r="BE251">
        <v>0.2</v>
      </c>
      <c r="BF251">
        <v>100</v>
      </c>
      <c r="BG251">
        <v>0</v>
      </c>
      <c r="BH251">
        <v>21.2</v>
      </c>
      <c r="BI251">
        <v>0</v>
      </c>
      <c r="BJ251">
        <v>100</v>
      </c>
      <c r="BK251">
        <v>78.5</v>
      </c>
      <c r="BL251">
        <v>100</v>
      </c>
      <c r="BM251">
        <v>99.8</v>
      </c>
      <c r="BN251">
        <v>0</v>
      </c>
      <c r="BO251">
        <v>0.2</v>
      </c>
      <c r="BP251">
        <v>0</v>
      </c>
      <c r="BQ251">
        <v>0</v>
      </c>
      <c r="BR251">
        <v>0</v>
      </c>
      <c r="BS251">
        <v>0</v>
      </c>
      <c r="BT251">
        <v>0</v>
      </c>
      <c r="BU251">
        <v>0</v>
      </c>
      <c r="BV251">
        <v>0</v>
      </c>
      <c r="BW251">
        <v>0</v>
      </c>
      <c r="BX251">
        <v>0</v>
      </c>
      <c r="BY251">
        <v>0</v>
      </c>
      <c r="BZ251">
        <v>27</v>
      </c>
      <c r="CA251">
        <v>0</v>
      </c>
      <c r="CB251">
        <v>3</v>
      </c>
      <c r="CC251">
        <v>0</v>
      </c>
      <c r="CD251">
        <v>21</v>
      </c>
      <c r="CE251">
        <v>17</v>
      </c>
      <c r="CF251">
        <v>21</v>
      </c>
      <c r="CG251">
        <v>20</v>
      </c>
      <c r="CH251">
        <v>27</v>
      </c>
      <c r="CI251">
        <v>0</v>
      </c>
      <c r="CJ251">
        <v>3</v>
      </c>
      <c r="CK251">
        <v>0</v>
      </c>
      <c r="CL251">
        <v>21</v>
      </c>
      <c r="CM251">
        <v>17</v>
      </c>
      <c r="CN251">
        <v>21</v>
      </c>
      <c r="CO251">
        <v>20</v>
      </c>
      <c r="CP251">
        <v>0</v>
      </c>
      <c r="CQ251">
        <v>0</v>
      </c>
      <c r="CR251">
        <v>0</v>
      </c>
      <c r="CS251">
        <v>0</v>
      </c>
      <c r="CT251">
        <v>0</v>
      </c>
      <c r="CU251">
        <v>0</v>
      </c>
      <c r="CV251">
        <v>0</v>
      </c>
      <c r="CW251">
        <v>0</v>
      </c>
      <c r="CX251">
        <v>70</v>
      </c>
      <c r="CY251">
        <v>52.9</v>
      </c>
      <c r="CZ251">
        <v>85.7</v>
      </c>
      <c r="DA251">
        <v>79.8</v>
      </c>
      <c r="DB251">
        <v>66.7</v>
      </c>
      <c r="DC251">
        <v>49.5</v>
      </c>
      <c r="DD251">
        <v>74.7</v>
      </c>
      <c r="DE251">
        <v>69.5</v>
      </c>
      <c r="DF251">
        <v>70</v>
      </c>
      <c r="DG251">
        <v>52.9</v>
      </c>
      <c r="DH251">
        <v>85.7</v>
      </c>
      <c r="DI251">
        <v>79.8</v>
      </c>
      <c r="DJ251">
        <v>66.7</v>
      </c>
      <c r="DK251">
        <v>49.5</v>
      </c>
      <c r="DL251">
        <v>74.7</v>
      </c>
      <c r="DM251">
        <v>69.5</v>
      </c>
      <c r="DN251">
        <v>0</v>
      </c>
      <c r="DO251">
        <v>0</v>
      </c>
      <c r="DP251">
        <v>0</v>
      </c>
      <c r="DQ251">
        <v>0</v>
      </c>
      <c r="DR251">
        <v>0</v>
      </c>
      <c r="DS251">
        <v>0</v>
      </c>
      <c r="DT251">
        <v>0</v>
      </c>
      <c r="DU251">
        <v>0</v>
      </c>
      <c r="DV251" t="s">
        <v>503</v>
      </c>
    </row>
    <row r="252" spans="1:126" x14ac:dyDescent="0.35">
      <c r="A252" t="s">
        <v>504</v>
      </c>
      <c r="B252">
        <v>230110</v>
      </c>
      <c r="C252" s="1">
        <v>44936</v>
      </c>
      <c r="D252" t="s">
        <v>505</v>
      </c>
      <c r="E252" t="s">
        <v>184</v>
      </c>
      <c r="F252" t="s">
        <v>185</v>
      </c>
      <c r="G252" t="s">
        <v>463</v>
      </c>
      <c r="H252">
        <v>39583</v>
      </c>
      <c r="I252" s="17">
        <v>0</v>
      </c>
      <c r="J252" s="17">
        <v>9609</v>
      </c>
      <c r="K252">
        <v>0</v>
      </c>
      <c r="L252">
        <v>39213</v>
      </c>
      <c r="M252">
        <v>29670</v>
      </c>
      <c r="N252">
        <v>39213</v>
      </c>
      <c r="O252">
        <v>39279</v>
      </c>
      <c r="P252">
        <v>370</v>
      </c>
      <c r="Q252">
        <v>304</v>
      </c>
      <c r="R252">
        <v>39583</v>
      </c>
      <c r="S252">
        <v>0</v>
      </c>
      <c r="T252">
        <v>9609</v>
      </c>
      <c r="U252">
        <v>0</v>
      </c>
      <c r="V252">
        <v>39213</v>
      </c>
      <c r="W252">
        <v>29670</v>
      </c>
      <c r="X252">
        <v>39213</v>
      </c>
      <c r="Y252">
        <v>39279</v>
      </c>
      <c r="Z252">
        <v>370</v>
      </c>
      <c r="AA252">
        <v>304</v>
      </c>
      <c r="AB252">
        <v>0</v>
      </c>
      <c r="AC252">
        <v>0</v>
      </c>
      <c r="AD252">
        <v>0</v>
      </c>
      <c r="AE252">
        <v>0</v>
      </c>
      <c r="AF252">
        <v>0</v>
      </c>
      <c r="AG252">
        <v>0</v>
      </c>
      <c r="AH252">
        <v>0</v>
      </c>
      <c r="AI252">
        <v>0</v>
      </c>
      <c r="AJ252">
        <v>0</v>
      </c>
      <c r="AK252">
        <v>0</v>
      </c>
      <c r="AL252">
        <v>-2318</v>
      </c>
      <c r="AM252">
        <v>0</v>
      </c>
      <c r="AN252">
        <v>-100</v>
      </c>
      <c r="AO252">
        <v>0</v>
      </c>
      <c r="AP252">
        <v>-2673</v>
      </c>
      <c r="AQ252">
        <v>-2418</v>
      </c>
      <c r="AR252">
        <v>-2673</v>
      </c>
      <c r="AS252">
        <v>-2518</v>
      </c>
      <c r="AT252">
        <v>355</v>
      </c>
      <c r="AU252">
        <v>200</v>
      </c>
      <c r="AV252">
        <v>100</v>
      </c>
      <c r="AW252">
        <v>0</v>
      </c>
      <c r="AX252">
        <v>24.3</v>
      </c>
      <c r="AY252">
        <v>0</v>
      </c>
      <c r="AZ252">
        <v>99.1</v>
      </c>
      <c r="BA252">
        <v>75</v>
      </c>
      <c r="BB252">
        <v>99.1</v>
      </c>
      <c r="BC252">
        <v>99.2</v>
      </c>
      <c r="BD252">
        <v>0.9</v>
      </c>
      <c r="BE252">
        <v>0.8</v>
      </c>
      <c r="BF252">
        <v>100</v>
      </c>
      <c r="BG252">
        <v>0</v>
      </c>
      <c r="BH252">
        <v>24.3</v>
      </c>
      <c r="BI252">
        <v>0</v>
      </c>
      <c r="BJ252">
        <v>99.1</v>
      </c>
      <c r="BK252">
        <v>75</v>
      </c>
      <c r="BL252">
        <v>99.1</v>
      </c>
      <c r="BM252">
        <v>99.2</v>
      </c>
      <c r="BN252">
        <v>0.9</v>
      </c>
      <c r="BO252">
        <v>0.8</v>
      </c>
      <c r="BP252">
        <v>0</v>
      </c>
      <c r="BQ252">
        <v>0</v>
      </c>
      <c r="BR252">
        <v>0</v>
      </c>
      <c r="BS252">
        <v>0</v>
      </c>
      <c r="BT252">
        <v>0</v>
      </c>
      <c r="BU252">
        <v>0</v>
      </c>
      <c r="BV252">
        <v>0</v>
      </c>
      <c r="BW252">
        <v>0</v>
      </c>
      <c r="BX252">
        <v>0</v>
      </c>
      <c r="BY252">
        <v>0</v>
      </c>
      <c r="BZ252">
        <v>26</v>
      </c>
      <c r="CA252">
        <v>0</v>
      </c>
      <c r="CB252">
        <v>4</v>
      </c>
      <c r="CC252">
        <v>0</v>
      </c>
      <c r="CD252">
        <v>19</v>
      </c>
      <c r="CE252">
        <v>17</v>
      </c>
      <c r="CF252">
        <v>19</v>
      </c>
      <c r="CG252">
        <v>21</v>
      </c>
      <c r="CH252">
        <v>26</v>
      </c>
      <c r="CI252">
        <v>0</v>
      </c>
      <c r="CJ252">
        <v>4</v>
      </c>
      <c r="CK252">
        <v>0</v>
      </c>
      <c r="CL252">
        <v>19</v>
      </c>
      <c r="CM252">
        <v>17</v>
      </c>
      <c r="CN252">
        <v>19</v>
      </c>
      <c r="CO252">
        <v>21</v>
      </c>
      <c r="CP252">
        <v>0</v>
      </c>
      <c r="CQ252">
        <v>0</v>
      </c>
      <c r="CR252">
        <v>0</v>
      </c>
      <c r="CS252">
        <v>0</v>
      </c>
      <c r="CT252">
        <v>0</v>
      </c>
      <c r="CU252">
        <v>0</v>
      </c>
      <c r="CV252">
        <v>0</v>
      </c>
      <c r="CW252">
        <v>0</v>
      </c>
      <c r="CX252">
        <v>67.3</v>
      </c>
      <c r="CY252">
        <v>55.6</v>
      </c>
      <c r="CZ252">
        <v>84.8</v>
      </c>
      <c r="DA252">
        <v>80.3</v>
      </c>
      <c r="DB252">
        <v>60</v>
      </c>
      <c r="DC252">
        <v>52</v>
      </c>
      <c r="DD252">
        <v>68.2</v>
      </c>
      <c r="DE252">
        <v>66.099999999999994</v>
      </c>
      <c r="DF252">
        <v>67.3</v>
      </c>
      <c r="DG252">
        <v>55.6</v>
      </c>
      <c r="DH252">
        <v>84.8</v>
      </c>
      <c r="DI252">
        <v>80.3</v>
      </c>
      <c r="DJ252">
        <v>60</v>
      </c>
      <c r="DK252">
        <v>52</v>
      </c>
      <c r="DL252">
        <v>68.2</v>
      </c>
      <c r="DM252">
        <v>66.099999999999994</v>
      </c>
      <c r="DN252">
        <v>0</v>
      </c>
      <c r="DO252">
        <v>0</v>
      </c>
      <c r="DP252">
        <v>0</v>
      </c>
      <c r="DQ252">
        <v>0</v>
      </c>
      <c r="DR252">
        <v>0</v>
      </c>
      <c r="DS252">
        <v>0</v>
      </c>
      <c r="DT252">
        <v>0</v>
      </c>
      <c r="DU252">
        <v>0</v>
      </c>
      <c r="DV252" t="s">
        <v>506</v>
      </c>
    </row>
    <row r="253" spans="1:126" x14ac:dyDescent="0.35">
      <c r="A253" t="s">
        <v>504</v>
      </c>
      <c r="B253">
        <v>230103</v>
      </c>
      <c r="C253" s="1">
        <v>44929</v>
      </c>
      <c r="D253" t="s">
        <v>505</v>
      </c>
      <c r="E253" t="s">
        <v>184</v>
      </c>
      <c r="F253" t="s">
        <v>185</v>
      </c>
      <c r="G253" t="s">
        <v>463</v>
      </c>
      <c r="H253">
        <v>41901</v>
      </c>
      <c r="I253" s="17">
        <v>0</v>
      </c>
      <c r="J253" s="17">
        <v>9709</v>
      </c>
      <c r="K253">
        <v>0</v>
      </c>
      <c r="L253">
        <v>41886</v>
      </c>
      <c r="M253">
        <v>32088</v>
      </c>
      <c r="N253">
        <v>41886</v>
      </c>
      <c r="O253">
        <v>41797</v>
      </c>
      <c r="P253">
        <v>15</v>
      </c>
      <c r="Q253">
        <v>104</v>
      </c>
      <c r="R253">
        <v>41901</v>
      </c>
      <c r="S253">
        <v>0</v>
      </c>
      <c r="T253">
        <v>9709</v>
      </c>
      <c r="U253">
        <v>0</v>
      </c>
      <c r="V253">
        <v>41886</v>
      </c>
      <c r="W253">
        <v>32088</v>
      </c>
      <c r="X253">
        <v>41886</v>
      </c>
      <c r="Y253">
        <v>41797</v>
      </c>
      <c r="Z253">
        <v>15</v>
      </c>
      <c r="AA253">
        <v>104</v>
      </c>
      <c r="AB253">
        <v>0</v>
      </c>
      <c r="AC253">
        <v>0</v>
      </c>
      <c r="AD253">
        <v>0</v>
      </c>
      <c r="AE253">
        <v>0</v>
      </c>
      <c r="AF253">
        <v>0</v>
      </c>
      <c r="AG253">
        <v>0</v>
      </c>
      <c r="AH253">
        <v>0</v>
      </c>
      <c r="AI253">
        <v>0</v>
      </c>
      <c r="AJ253">
        <v>0</v>
      </c>
      <c r="AK253">
        <v>0</v>
      </c>
      <c r="AL253">
        <v>0</v>
      </c>
      <c r="AM253">
        <v>0</v>
      </c>
      <c r="AN253">
        <v>-600</v>
      </c>
      <c r="AO253">
        <v>0</v>
      </c>
      <c r="AP253">
        <v>0</v>
      </c>
      <c r="AQ253">
        <v>600</v>
      </c>
      <c r="AR253">
        <v>0</v>
      </c>
      <c r="AS253">
        <v>0</v>
      </c>
      <c r="AT253">
        <v>0</v>
      </c>
      <c r="AU253">
        <v>0</v>
      </c>
      <c r="AV253">
        <v>100</v>
      </c>
      <c r="AW253">
        <v>0</v>
      </c>
      <c r="AX253">
        <v>23.2</v>
      </c>
      <c r="AY253">
        <v>0</v>
      </c>
      <c r="AZ253">
        <v>100</v>
      </c>
      <c r="BA253">
        <v>76.599999999999994</v>
      </c>
      <c r="BB253">
        <v>100</v>
      </c>
      <c r="BC253">
        <v>99.8</v>
      </c>
      <c r="BD253">
        <v>0</v>
      </c>
      <c r="BE253">
        <v>0.2</v>
      </c>
      <c r="BF253">
        <v>100</v>
      </c>
      <c r="BG253">
        <v>0</v>
      </c>
      <c r="BH253">
        <v>23.2</v>
      </c>
      <c r="BI253">
        <v>0</v>
      </c>
      <c r="BJ253">
        <v>100</v>
      </c>
      <c r="BK253">
        <v>76.599999999999994</v>
      </c>
      <c r="BL253">
        <v>100</v>
      </c>
      <c r="BM253">
        <v>99.8</v>
      </c>
      <c r="BN253">
        <v>0</v>
      </c>
      <c r="BO253">
        <v>0.2</v>
      </c>
      <c r="BP253">
        <v>0</v>
      </c>
      <c r="BQ253">
        <v>0</v>
      </c>
      <c r="BR253">
        <v>0</v>
      </c>
      <c r="BS253">
        <v>0</v>
      </c>
      <c r="BT253">
        <v>0</v>
      </c>
      <c r="BU253">
        <v>0</v>
      </c>
      <c r="BV253">
        <v>0</v>
      </c>
      <c r="BW253">
        <v>0</v>
      </c>
      <c r="BX253">
        <v>0</v>
      </c>
      <c r="BY253">
        <v>0</v>
      </c>
      <c r="BZ253">
        <v>27</v>
      </c>
      <c r="CA253">
        <v>0</v>
      </c>
      <c r="CB253">
        <v>3</v>
      </c>
      <c r="CC253">
        <v>0</v>
      </c>
      <c r="CD253">
        <v>21</v>
      </c>
      <c r="CE253">
        <v>18</v>
      </c>
      <c r="CF253">
        <v>21</v>
      </c>
      <c r="CG253">
        <v>21</v>
      </c>
      <c r="CH253">
        <v>27</v>
      </c>
      <c r="CI253">
        <v>0</v>
      </c>
      <c r="CJ253">
        <v>3</v>
      </c>
      <c r="CK253">
        <v>0</v>
      </c>
      <c r="CL253">
        <v>21</v>
      </c>
      <c r="CM253">
        <v>18</v>
      </c>
      <c r="CN253">
        <v>21</v>
      </c>
      <c r="CO253">
        <v>21</v>
      </c>
      <c r="CP253">
        <v>0</v>
      </c>
      <c r="CQ253">
        <v>0</v>
      </c>
      <c r="CR253">
        <v>0</v>
      </c>
      <c r="CS253">
        <v>0</v>
      </c>
      <c r="CT253">
        <v>0</v>
      </c>
      <c r="CU253">
        <v>0</v>
      </c>
      <c r="CV253">
        <v>0</v>
      </c>
      <c r="CW253">
        <v>0</v>
      </c>
      <c r="CX253">
        <v>66.2</v>
      </c>
      <c r="CY253">
        <v>54.2</v>
      </c>
      <c r="CZ253">
        <v>84</v>
      </c>
      <c r="DA253">
        <v>77.900000000000006</v>
      </c>
      <c r="DB253">
        <v>58.6</v>
      </c>
      <c r="DC253">
        <v>50.9</v>
      </c>
      <c r="DD253">
        <v>66.900000000000006</v>
      </c>
      <c r="DE253">
        <v>64.900000000000006</v>
      </c>
      <c r="DF253">
        <v>66.2</v>
      </c>
      <c r="DG253">
        <v>54.2</v>
      </c>
      <c r="DH253">
        <v>84</v>
      </c>
      <c r="DI253">
        <v>77.900000000000006</v>
      </c>
      <c r="DJ253">
        <v>58.6</v>
      </c>
      <c r="DK253">
        <v>50.9</v>
      </c>
      <c r="DL253">
        <v>66.900000000000006</v>
      </c>
      <c r="DM253">
        <v>64.900000000000006</v>
      </c>
      <c r="DN253">
        <v>0</v>
      </c>
      <c r="DO253">
        <v>0</v>
      </c>
      <c r="DP253">
        <v>0</v>
      </c>
      <c r="DQ253">
        <v>0</v>
      </c>
      <c r="DR253">
        <v>0</v>
      </c>
      <c r="DS253">
        <v>0</v>
      </c>
      <c r="DT253">
        <v>0</v>
      </c>
      <c r="DU253">
        <v>0</v>
      </c>
      <c r="DV253" t="s">
        <v>506</v>
      </c>
    </row>
    <row r="254" spans="1:126" x14ac:dyDescent="0.35">
      <c r="A254" t="s">
        <v>507</v>
      </c>
      <c r="B254">
        <v>230110</v>
      </c>
      <c r="C254" s="1">
        <v>44936</v>
      </c>
      <c r="D254" t="s">
        <v>508</v>
      </c>
      <c r="E254" t="s">
        <v>184</v>
      </c>
      <c r="F254" t="s">
        <v>185</v>
      </c>
      <c r="G254" t="s">
        <v>463</v>
      </c>
      <c r="H254">
        <v>108746</v>
      </c>
      <c r="I254" s="17">
        <v>19512</v>
      </c>
      <c r="J254" s="17">
        <v>2531</v>
      </c>
      <c r="K254">
        <v>1029</v>
      </c>
      <c r="L254">
        <v>87147</v>
      </c>
      <c r="M254">
        <v>104568</v>
      </c>
      <c r="N254">
        <v>107688</v>
      </c>
      <c r="O254">
        <v>108128</v>
      </c>
      <c r="P254">
        <v>1058</v>
      </c>
      <c r="Q254">
        <v>618</v>
      </c>
      <c r="R254">
        <v>108746</v>
      </c>
      <c r="S254">
        <v>19512</v>
      </c>
      <c r="T254">
        <v>2531</v>
      </c>
      <c r="U254">
        <v>1029</v>
      </c>
      <c r="V254">
        <v>87147</v>
      </c>
      <c r="W254">
        <v>104568</v>
      </c>
      <c r="X254">
        <v>107688</v>
      </c>
      <c r="Y254">
        <v>108128</v>
      </c>
      <c r="Z254">
        <v>1058</v>
      </c>
      <c r="AA254">
        <v>618</v>
      </c>
      <c r="AB254">
        <v>0</v>
      </c>
      <c r="AC254">
        <v>0</v>
      </c>
      <c r="AD254">
        <v>0</v>
      </c>
      <c r="AE254">
        <v>0</v>
      </c>
      <c r="AF254">
        <v>0</v>
      </c>
      <c r="AG254">
        <v>0</v>
      </c>
      <c r="AH254">
        <v>0</v>
      </c>
      <c r="AI254">
        <v>0</v>
      </c>
      <c r="AJ254">
        <v>0</v>
      </c>
      <c r="AK254">
        <v>0</v>
      </c>
      <c r="AL254">
        <v>-1378</v>
      </c>
      <c r="AM254">
        <v>-443</v>
      </c>
      <c r="AN254">
        <v>2050</v>
      </c>
      <c r="AO254">
        <v>-200</v>
      </c>
      <c r="AP254">
        <v>-831</v>
      </c>
      <c r="AQ254">
        <v>-3235</v>
      </c>
      <c r="AR254">
        <v>-1474</v>
      </c>
      <c r="AS254">
        <v>-1385</v>
      </c>
      <c r="AT254">
        <v>96</v>
      </c>
      <c r="AU254">
        <v>7</v>
      </c>
      <c r="AV254">
        <v>100</v>
      </c>
      <c r="AW254">
        <v>17.899999999999999</v>
      </c>
      <c r="AX254">
        <v>2.2999999999999998</v>
      </c>
      <c r="AY254">
        <v>0.9</v>
      </c>
      <c r="AZ254">
        <v>80.099999999999994</v>
      </c>
      <c r="BA254">
        <v>96.2</v>
      </c>
      <c r="BB254">
        <v>99</v>
      </c>
      <c r="BC254">
        <v>99.4</v>
      </c>
      <c r="BD254">
        <v>1</v>
      </c>
      <c r="BE254">
        <v>0.6</v>
      </c>
      <c r="BF254">
        <v>100</v>
      </c>
      <c r="BG254">
        <v>17.899999999999999</v>
      </c>
      <c r="BH254">
        <v>2.2999999999999998</v>
      </c>
      <c r="BI254">
        <v>0.9</v>
      </c>
      <c r="BJ254">
        <v>80.099999999999994</v>
      </c>
      <c r="BK254">
        <v>96.2</v>
      </c>
      <c r="BL254">
        <v>99</v>
      </c>
      <c r="BM254">
        <v>99.4</v>
      </c>
      <c r="BN254">
        <v>1</v>
      </c>
      <c r="BO254">
        <v>0.6</v>
      </c>
      <c r="BP254">
        <v>0</v>
      </c>
      <c r="BQ254">
        <v>0</v>
      </c>
      <c r="BR254">
        <v>0</v>
      </c>
      <c r="BS254">
        <v>0</v>
      </c>
      <c r="BT254">
        <v>0</v>
      </c>
      <c r="BU254">
        <v>0</v>
      </c>
      <c r="BV254">
        <v>0</v>
      </c>
      <c r="BW254">
        <v>0</v>
      </c>
      <c r="BX254">
        <v>0</v>
      </c>
      <c r="BY254">
        <v>0</v>
      </c>
      <c r="BZ254">
        <v>40</v>
      </c>
      <c r="CA254">
        <v>6</v>
      </c>
      <c r="CB254">
        <v>2</v>
      </c>
      <c r="CC254">
        <v>3</v>
      </c>
      <c r="CD254">
        <v>27</v>
      </c>
      <c r="CE254">
        <v>27</v>
      </c>
      <c r="CF254">
        <v>34</v>
      </c>
      <c r="CG254">
        <v>31</v>
      </c>
      <c r="CH254">
        <v>40</v>
      </c>
      <c r="CI254">
        <v>6</v>
      </c>
      <c r="CJ254">
        <v>2</v>
      </c>
      <c r="CK254">
        <v>3</v>
      </c>
      <c r="CL254">
        <v>27</v>
      </c>
      <c r="CM254">
        <v>27</v>
      </c>
      <c r="CN254">
        <v>34</v>
      </c>
      <c r="CO254">
        <v>31</v>
      </c>
      <c r="CP254">
        <v>0</v>
      </c>
      <c r="CQ254">
        <v>0</v>
      </c>
      <c r="CR254">
        <v>0</v>
      </c>
      <c r="CS254">
        <v>0</v>
      </c>
      <c r="CT254">
        <v>0</v>
      </c>
      <c r="CU254">
        <v>0</v>
      </c>
      <c r="CV254">
        <v>0</v>
      </c>
      <c r="CW254">
        <v>0</v>
      </c>
      <c r="CX254">
        <v>54.5</v>
      </c>
      <c r="CY254">
        <v>60.4</v>
      </c>
      <c r="CZ254">
        <v>72</v>
      </c>
      <c r="DA254">
        <v>80</v>
      </c>
      <c r="DB254">
        <v>50.5</v>
      </c>
      <c r="DC254">
        <v>53.8</v>
      </c>
      <c r="DD254">
        <v>62.5</v>
      </c>
      <c r="DE254">
        <v>65.900000000000006</v>
      </c>
      <c r="DF254">
        <v>54.5</v>
      </c>
      <c r="DG254">
        <v>60.4</v>
      </c>
      <c r="DH254">
        <v>72</v>
      </c>
      <c r="DI254">
        <v>80</v>
      </c>
      <c r="DJ254">
        <v>50.5</v>
      </c>
      <c r="DK254">
        <v>53.8</v>
      </c>
      <c r="DL254">
        <v>62.5</v>
      </c>
      <c r="DM254">
        <v>65.900000000000006</v>
      </c>
      <c r="DN254">
        <v>0</v>
      </c>
      <c r="DO254">
        <v>0</v>
      </c>
      <c r="DP254">
        <v>0</v>
      </c>
      <c r="DQ254">
        <v>0</v>
      </c>
      <c r="DR254">
        <v>0</v>
      </c>
      <c r="DS254">
        <v>0</v>
      </c>
      <c r="DT254">
        <v>0</v>
      </c>
      <c r="DU254">
        <v>0</v>
      </c>
      <c r="DV254" t="s">
        <v>509</v>
      </c>
    </row>
    <row r="255" spans="1:126" x14ac:dyDescent="0.35">
      <c r="A255" t="s">
        <v>507</v>
      </c>
      <c r="B255">
        <v>230103</v>
      </c>
      <c r="C255" s="1">
        <v>44929</v>
      </c>
      <c r="D255" t="s">
        <v>508</v>
      </c>
      <c r="E255" t="s">
        <v>184</v>
      </c>
      <c r="F255" t="s">
        <v>185</v>
      </c>
      <c r="G255" t="s">
        <v>463</v>
      </c>
      <c r="H255">
        <v>110124</v>
      </c>
      <c r="I255" s="17">
        <v>19955</v>
      </c>
      <c r="J255" s="17">
        <v>481</v>
      </c>
      <c r="K255">
        <v>1229</v>
      </c>
      <c r="L255">
        <v>87978</v>
      </c>
      <c r="M255">
        <v>107803</v>
      </c>
      <c r="N255">
        <v>109162</v>
      </c>
      <c r="O255">
        <v>109513</v>
      </c>
      <c r="P255">
        <v>962</v>
      </c>
      <c r="Q255">
        <v>611</v>
      </c>
      <c r="R255">
        <v>110124</v>
      </c>
      <c r="S255">
        <v>19955</v>
      </c>
      <c r="T255">
        <v>481</v>
      </c>
      <c r="U255">
        <v>1229</v>
      </c>
      <c r="V255">
        <v>87978</v>
      </c>
      <c r="W255">
        <v>107803</v>
      </c>
      <c r="X255">
        <v>109162</v>
      </c>
      <c r="Y255">
        <v>109513</v>
      </c>
      <c r="Z255">
        <v>962</v>
      </c>
      <c r="AA255">
        <v>611</v>
      </c>
      <c r="AB255">
        <v>0</v>
      </c>
      <c r="AC255">
        <v>0</v>
      </c>
      <c r="AD255">
        <v>0</v>
      </c>
      <c r="AE255">
        <v>0</v>
      </c>
      <c r="AF255">
        <v>0</v>
      </c>
      <c r="AG255">
        <v>0</v>
      </c>
      <c r="AH255">
        <v>0</v>
      </c>
      <c r="AI255">
        <v>0</v>
      </c>
      <c r="AJ255">
        <v>0</v>
      </c>
      <c r="AK255">
        <v>0</v>
      </c>
      <c r="AL255">
        <v>-286</v>
      </c>
      <c r="AM255">
        <v>-225</v>
      </c>
      <c r="AN255">
        <v>1</v>
      </c>
      <c r="AO255">
        <v>0</v>
      </c>
      <c r="AP255">
        <v>-61</v>
      </c>
      <c r="AQ255">
        <v>-287</v>
      </c>
      <c r="AR255">
        <v>-286</v>
      </c>
      <c r="AS255">
        <v>-286</v>
      </c>
      <c r="AT255">
        <v>0</v>
      </c>
      <c r="AU255">
        <v>0</v>
      </c>
      <c r="AV255">
        <v>100</v>
      </c>
      <c r="AW255">
        <v>18.100000000000001</v>
      </c>
      <c r="AX255">
        <v>0.4</v>
      </c>
      <c r="AY255">
        <v>1.1000000000000001</v>
      </c>
      <c r="AZ255">
        <v>79.900000000000006</v>
      </c>
      <c r="BA255">
        <v>97.9</v>
      </c>
      <c r="BB255">
        <v>99.1</v>
      </c>
      <c r="BC255">
        <v>99.4</v>
      </c>
      <c r="BD255">
        <v>0.9</v>
      </c>
      <c r="BE255">
        <v>0.6</v>
      </c>
      <c r="BF255">
        <v>100</v>
      </c>
      <c r="BG255">
        <v>18.100000000000001</v>
      </c>
      <c r="BH255">
        <v>0.4</v>
      </c>
      <c r="BI255">
        <v>1.1000000000000001</v>
      </c>
      <c r="BJ255">
        <v>79.900000000000006</v>
      </c>
      <c r="BK255">
        <v>97.9</v>
      </c>
      <c r="BL255">
        <v>99.1</v>
      </c>
      <c r="BM255">
        <v>99.4</v>
      </c>
      <c r="BN255">
        <v>0.9</v>
      </c>
      <c r="BO255">
        <v>0.6</v>
      </c>
      <c r="BP255">
        <v>0</v>
      </c>
      <c r="BQ255">
        <v>0</v>
      </c>
      <c r="BR255">
        <v>0</v>
      </c>
      <c r="BS255">
        <v>0</v>
      </c>
      <c r="BT255">
        <v>0</v>
      </c>
      <c r="BU255">
        <v>0</v>
      </c>
      <c r="BV255">
        <v>0</v>
      </c>
      <c r="BW255">
        <v>0</v>
      </c>
      <c r="BX255">
        <v>0</v>
      </c>
      <c r="BY255">
        <v>0</v>
      </c>
      <c r="BZ255">
        <v>43</v>
      </c>
      <c r="CA255">
        <v>7</v>
      </c>
      <c r="CB255">
        <v>3</v>
      </c>
      <c r="CC255">
        <v>4</v>
      </c>
      <c r="CD255">
        <v>27</v>
      </c>
      <c r="CE255">
        <v>29</v>
      </c>
      <c r="CF255">
        <v>35</v>
      </c>
      <c r="CG255">
        <v>35</v>
      </c>
      <c r="CH255">
        <v>43</v>
      </c>
      <c r="CI255">
        <v>7</v>
      </c>
      <c r="CJ255">
        <v>3</v>
      </c>
      <c r="CK255">
        <v>4</v>
      </c>
      <c r="CL255">
        <v>27</v>
      </c>
      <c r="CM255">
        <v>29</v>
      </c>
      <c r="CN255">
        <v>35</v>
      </c>
      <c r="CO255">
        <v>35</v>
      </c>
      <c r="CP255">
        <v>0</v>
      </c>
      <c r="CQ255">
        <v>0</v>
      </c>
      <c r="CR255">
        <v>0</v>
      </c>
      <c r="CS255">
        <v>0</v>
      </c>
      <c r="CT255">
        <v>0</v>
      </c>
      <c r="CU255">
        <v>0</v>
      </c>
      <c r="CV255">
        <v>0</v>
      </c>
      <c r="CW255">
        <v>0</v>
      </c>
      <c r="CX255">
        <v>52.9</v>
      </c>
      <c r="CY255">
        <v>60.5</v>
      </c>
      <c r="CZ255">
        <v>70.5</v>
      </c>
      <c r="DA255">
        <v>79.7</v>
      </c>
      <c r="DB255">
        <v>48.8</v>
      </c>
      <c r="DC255">
        <v>54</v>
      </c>
      <c r="DD255">
        <v>61.7</v>
      </c>
      <c r="DE255">
        <v>65.599999999999994</v>
      </c>
      <c r="DF255">
        <v>52.9</v>
      </c>
      <c r="DG255">
        <v>60.5</v>
      </c>
      <c r="DH255">
        <v>70.5</v>
      </c>
      <c r="DI255">
        <v>79.7</v>
      </c>
      <c r="DJ255">
        <v>48.8</v>
      </c>
      <c r="DK255">
        <v>54</v>
      </c>
      <c r="DL255">
        <v>61.7</v>
      </c>
      <c r="DM255">
        <v>65.599999999999994</v>
      </c>
      <c r="DN255">
        <v>0</v>
      </c>
      <c r="DO255">
        <v>0</v>
      </c>
      <c r="DP255">
        <v>0</v>
      </c>
      <c r="DQ255">
        <v>0</v>
      </c>
      <c r="DR255">
        <v>0</v>
      </c>
      <c r="DS255">
        <v>0</v>
      </c>
      <c r="DT255">
        <v>0</v>
      </c>
      <c r="DU255">
        <v>0</v>
      </c>
      <c r="DV255" t="s">
        <v>509</v>
      </c>
    </row>
    <row r="256" spans="1:126" x14ac:dyDescent="0.35">
      <c r="A256" t="s">
        <v>510</v>
      </c>
      <c r="B256">
        <v>230110</v>
      </c>
      <c r="C256" s="1">
        <v>44936</v>
      </c>
      <c r="D256" t="s">
        <v>511</v>
      </c>
      <c r="E256" t="s">
        <v>184</v>
      </c>
      <c r="F256" t="s">
        <v>185</v>
      </c>
      <c r="G256" t="s">
        <v>463</v>
      </c>
      <c r="H256">
        <v>40536</v>
      </c>
      <c r="I256" s="17">
        <v>0</v>
      </c>
      <c r="J256" s="17">
        <v>220</v>
      </c>
      <c r="K256">
        <v>0</v>
      </c>
      <c r="L256">
        <v>40211</v>
      </c>
      <c r="M256">
        <v>40052</v>
      </c>
      <c r="N256">
        <v>40211</v>
      </c>
      <c r="O256">
        <v>40272</v>
      </c>
      <c r="P256">
        <v>325</v>
      </c>
      <c r="Q256">
        <v>264</v>
      </c>
      <c r="R256">
        <v>40536</v>
      </c>
      <c r="S256">
        <v>0</v>
      </c>
      <c r="T256">
        <v>220</v>
      </c>
      <c r="U256">
        <v>0</v>
      </c>
      <c r="V256">
        <v>40211</v>
      </c>
      <c r="W256">
        <v>40052</v>
      </c>
      <c r="X256">
        <v>40211</v>
      </c>
      <c r="Y256">
        <v>40272</v>
      </c>
      <c r="Z256">
        <v>325</v>
      </c>
      <c r="AA256">
        <v>264</v>
      </c>
      <c r="AB256">
        <v>0</v>
      </c>
      <c r="AC256">
        <v>0</v>
      </c>
      <c r="AD256">
        <v>0</v>
      </c>
      <c r="AE256">
        <v>0</v>
      </c>
      <c r="AF256">
        <v>0</v>
      </c>
      <c r="AG256">
        <v>0</v>
      </c>
      <c r="AH256">
        <v>0</v>
      </c>
      <c r="AI256">
        <v>0</v>
      </c>
      <c r="AJ256">
        <v>0</v>
      </c>
      <c r="AK256">
        <v>0</v>
      </c>
      <c r="AL256">
        <v>-1950</v>
      </c>
      <c r="AM256">
        <v>0</v>
      </c>
      <c r="AN256">
        <v>-30</v>
      </c>
      <c r="AO256">
        <v>-50</v>
      </c>
      <c r="AP256">
        <v>-1870</v>
      </c>
      <c r="AQ256">
        <v>-1832</v>
      </c>
      <c r="AR256">
        <v>-1920</v>
      </c>
      <c r="AS256">
        <v>-1912</v>
      </c>
      <c r="AT256">
        <v>-30</v>
      </c>
      <c r="AU256">
        <v>-38</v>
      </c>
      <c r="AV256">
        <v>100</v>
      </c>
      <c r="AW256">
        <v>0</v>
      </c>
      <c r="AX256">
        <v>0.5</v>
      </c>
      <c r="AY256">
        <v>0</v>
      </c>
      <c r="AZ256">
        <v>99.2</v>
      </c>
      <c r="BA256">
        <v>98.8</v>
      </c>
      <c r="BB256">
        <v>99.2</v>
      </c>
      <c r="BC256">
        <v>99.3</v>
      </c>
      <c r="BD256">
        <v>0.8</v>
      </c>
      <c r="BE256">
        <v>0.7</v>
      </c>
      <c r="BF256">
        <v>100</v>
      </c>
      <c r="BG256">
        <v>0</v>
      </c>
      <c r="BH256">
        <v>0.5</v>
      </c>
      <c r="BI256">
        <v>0</v>
      </c>
      <c r="BJ256">
        <v>99.2</v>
      </c>
      <c r="BK256">
        <v>98.8</v>
      </c>
      <c r="BL256">
        <v>99.2</v>
      </c>
      <c r="BM256">
        <v>99.3</v>
      </c>
      <c r="BN256">
        <v>0.8</v>
      </c>
      <c r="BO256">
        <v>0.7</v>
      </c>
      <c r="BP256">
        <v>0</v>
      </c>
      <c r="BQ256">
        <v>0</v>
      </c>
      <c r="BR256">
        <v>0</v>
      </c>
      <c r="BS256">
        <v>0</v>
      </c>
      <c r="BT256">
        <v>0</v>
      </c>
      <c r="BU256">
        <v>0</v>
      </c>
      <c r="BV256">
        <v>0</v>
      </c>
      <c r="BW256">
        <v>0</v>
      </c>
      <c r="BX256">
        <v>0</v>
      </c>
      <c r="BY256">
        <v>0</v>
      </c>
      <c r="BZ256">
        <v>25</v>
      </c>
      <c r="CA256">
        <v>0</v>
      </c>
      <c r="CB256">
        <v>1</v>
      </c>
      <c r="CC256">
        <v>0</v>
      </c>
      <c r="CD256">
        <v>20</v>
      </c>
      <c r="CE256">
        <v>14</v>
      </c>
      <c r="CF256">
        <v>20</v>
      </c>
      <c r="CG256">
        <v>15</v>
      </c>
      <c r="CH256">
        <v>25</v>
      </c>
      <c r="CI256">
        <v>0</v>
      </c>
      <c r="CJ256">
        <v>1</v>
      </c>
      <c r="CK256">
        <v>0</v>
      </c>
      <c r="CL256">
        <v>20</v>
      </c>
      <c r="CM256">
        <v>14</v>
      </c>
      <c r="CN256">
        <v>20</v>
      </c>
      <c r="CO256">
        <v>15</v>
      </c>
      <c r="CP256">
        <v>0</v>
      </c>
      <c r="CQ256">
        <v>0</v>
      </c>
      <c r="CR256">
        <v>0</v>
      </c>
      <c r="CS256">
        <v>0</v>
      </c>
      <c r="CT256">
        <v>0</v>
      </c>
      <c r="CU256">
        <v>0</v>
      </c>
      <c r="CV256">
        <v>0</v>
      </c>
      <c r="CW256">
        <v>0</v>
      </c>
      <c r="CX256">
        <v>69.599999999999994</v>
      </c>
      <c r="CY256">
        <v>73.7</v>
      </c>
      <c r="CZ256">
        <v>86.8</v>
      </c>
      <c r="DA256">
        <v>94.2</v>
      </c>
      <c r="DB256">
        <v>57</v>
      </c>
      <c r="DC256">
        <v>73.7</v>
      </c>
      <c r="DD256">
        <v>70.5</v>
      </c>
      <c r="DE256">
        <v>77.8</v>
      </c>
      <c r="DF256">
        <v>69.599999999999994</v>
      </c>
      <c r="DG256">
        <v>73.7</v>
      </c>
      <c r="DH256">
        <v>86.8</v>
      </c>
      <c r="DI256">
        <v>94.2</v>
      </c>
      <c r="DJ256">
        <v>57</v>
      </c>
      <c r="DK256">
        <v>73.7</v>
      </c>
      <c r="DL256">
        <v>70.5</v>
      </c>
      <c r="DM256">
        <v>77.8</v>
      </c>
      <c r="DN256">
        <v>0</v>
      </c>
      <c r="DO256">
        <v>0</v>
      </c>
      <c r="DP256">
        <v>0</v>
      </c>
      <c r="DQ256">
        <v>0</v>
      </c>
      <c r="DR256">
        <v>0</v>
      </c>
      <c r="DS256">
        <v>0</v>
      </c>
      <c r="DT256">
        <v>0</v>
      </c>
      <c r="DU256">
        <v>0</v>
      </c>
      <c r="DV256" t="s">
        <v>484</v>
      </c>
    </row>
    <row r="257" spans="1:126" x14ac:dyDescent="0.35">
      <c r="A257" t="s">
        <v>510</v>
      </c>
      <c r="B257">
        <v>230103</v>
      </c>
      <c r="C257" s="1">
        <v>44929</v>
      </c>
      <c r="D257" t="s">
        <v>511</v>
      </c>
      <c r="E257" t="s">
        <v>184</v>
      </c>
      <c r="F257" t="s">
        <v>185</v>
      </c>
      <c r="G257" t="s">
        <v>463</v>
      </c>
      <c r="H257">
        <v>42486</v>
      </c>
      <c r="I257" s="17">
        <v>0</v>
      </c>
      <c r="J257" s="17">
        <v>250</v>
      </c>
      <c r="K257">
        <v>50</v>
      </c>
      <c r="L257">
        <v>42081</v>
      </c>
      <c r="M257">
        <v>41884</v>
      </c>
      <c r="N257">
        <v>42131</v>
      </c>
      <c r="O257">
        <v>42184</v>
      </c>
      <c r="P257">
        <v>355</v>
      </c>
      <c r="Q257">
        <v>302</v>
      </c>
      <c r="R257">
        <v>42486</v>
      </c>
      <c r="S257">
        <v>0</v>
      </c>
      <c r="T257">
        <v>250</v>
      </c>
      <c r="U257">
        <v>50</v>
      </c>
      <c r="V257">
        <v>42081</v>
      </c>
      <c r="W257">
        <v>41884</v>
      </c>
      <c r="X257">
        <v>42131</v>
      </c>
      <c r="Y257">
        <v>42184</v>
      </c>
      <c r="Z257">
        <v>355</v>
      </c>
      <c r="AA257">
        <v>302</v>
      </c>
      <c r="AB257">
        <v>0</v>
      </c>
      <c r="AC257">
        <v>0</v>
      </c>
      <c r="AD257">
        <v>0</v>
      </c>
      <c r="AE257">
        <v>0</v>
      </c>
      <c r="AF257">
        <v>0</v>
      </c>
      <c r="AG257">
        <v>0</v>
      </c>
      <c r="AH257">
        <v>0</v>
      </c>
      <c r="AI257">
        <v>0</v>
      </c>
      <c r="AJ257">
        <v>0</v>
      </c>
      <c r="AK257">
        <v>0</v>
      </c>
      <c r="AL257">
        <v>391</v>
      </c>
      <c r="AM257">
        <v>0</v>
      </c>
      <c r="AN257">
        <v>170</v>
      </c>
      <c r="AO257">
        <v>0</v>
      </c>
      <c r="AP257">
        <v>391</v>
      </c>
      <c r="AQ257">
        <v>221</v>
      </c>
      <c r="AR257">
        <v>391</v>
      </c>
      <c r="AS257">
        <v>391</v>
      </c>
      <c r="AT257">
        <v>0</v>
      </c>
      <c r="AU257">
        <v>0</v>
      </c>
      <c r="AV257">
        <v>100</v>
      </c>
      <c r="AW257">
        <v>0</v>
      </c>
      <c r="AX257">
        <v>0.6</v>
      </c>
      <c r="AY257">
        <v>0.1</v>
      </c>
      <c r="AZ257">
        <v>99</v>
      </c>
      <c r="BA257">
        <v>98.6</v>
      </c>
      <c r="BB257">
        <v>99.2</v>
      </c>
      <c r="BC257">
        <v>99.3</v>
      </c>
      <c r="BD257">
        <v>0.8</v>
      </c>
      <c r="BE257">
        <v>0.7</v>
      </c>
      <c r="BF257">
        <v>100</v>
      </c>
      <c r="BG257">
        <v>0</v>
      </c>
      <c r="BH257">
        <v>0.6</v>
      </c>
      <c r="BI257">
        <v>0.1</v>
      </c>
      <c r="BJ257">
        <v>99</v>
      </c>
      <c r="BK257">
        <v>98.6</v>
      </c>
      <c r="BL257">
        <v>99.2</v>
      </c>
      <c r="BM257">
        <v>99.3</v>
      </c>
      <c r="BN257">
        <v>0.8</v>
      </c>
      <c r="BO257">
        <v>0.7</v>
      </c>
      <c r="BP257">
        <v>0</v>
      </c>
      <c r="BQ257">
        <v>0</v>
      </c>
      <c r="BR257">
        <v>0</v>
      </c>
      <c r="BS257">
        <v>0</v>
      </c>
      <c r="BT257">
        <v>0</v>
      </c>
      <c r="BU257">
        <v>0</v>
      </c>
      <c r="BV257">
        <v>0</v>
      </c>
      <c r="BW257">
        <v>0</v>
      </c>
      <c r="BX257">
        <v>0</v>
      </c>
      <c r="BY257">
        <v>0</v>
      </c>
      <c r="BZ257">
        <v>27</v>
      </c>
      <c r="CA257">
        <v>0</v>
      </c>
      <c r="CB257">
        <v>2</v>
      </c>
      <c r="CC257">
        <v>1</v>
      </c>
      <c r="CD257">
        <v>23</v>
      </c>
      <c r="CE257">
        <v>15</v>
      </c>
      <c r="CF257">
        <v>24</v>
      </c>
      <c r="CG257">
        <v>17</v>
      </c>
      <c r="CH257">
        <v>27</v>
      </c>
      <c r="CI257">
        <v>0</v>
      </c>
      <c r="CJ257">
        <v>2</v>
      </c>
      <c r="CK257">
        <v>1</v>
      </c>
      <c r="CL257">
        <v>23</v>
      </c>
      <c r="CM257">
        <v>15</v>
      </c>
      <c r="CN257">
        <v>24</v>
      </c>
      <c r="CO257">
        <v>17</v>
      </c>
      <c r="CP257">
        <v>0</v>
      </c>
      <c r="CQ257">
        <v>0</v>
      </c>
      <c r="CR257">
        <v>0</v>
      </c>
      <c r="CS257">
        <v>0</v>
      </c>
      <c r="CT257">
        <v>0</v>
      </c>
      <c r="CU257">
        <v>0</v>
      </c>
      <c r="CV257">
        <v>0</v>
      </c>
      <c r="CW257">
        <v>0</v>
      </c>
      <c r="CX257">
        <v>69.400000000000006</v>
      </c>
      <c r="CY257">
        <v>74.2</v>
      </c>
      <c r="CZ257">
        <v>86.2</v>
      </c>
      <c r="DA257">
        <v>93.7</v>
      </c>
      <c r="DB257">
        <v>57.5</v>
      </c>
      <c r="DC257">
        <v>72.8</v>
      </c>
      <c r="DD257">
        <v>71.2</v>
      </c>
      <c r="DE257">
        <v>76.900000000000006</v>
      </c>
      <c r="DF257">
        <v>69.400000000000006</v>
      </c>
      <c r="DG257">
        <v>74.2</v>
      </c>
      <c r="DH257">
        <v>86.2</v>
      </c>
      <c r="DI257">
        <v>93.7</v>
      </c>
      <c r="DJ257">
        <v>57.5</v>
      </c>
      <c r="DK257">
        <v>72.8</v>
      </c>
      <c r="DL257">
        <v>71.2</v>
      </c>
      <c r="DM257">
        <v>76.900000000000006</v>
      </c>
      <c r="DN257">
        <v>0</v>
      </c>
      <c r="DO257">
        <v>0</v>
      </c>
      <c r="DP257">
        <v>0</v>
      </c>
      <c r="DQ257">
        <v>0</v>
      </c>
      <c r="DR257">
        <v>0</v>
      </c>
      <c r="DS257">
        <v>0</v>
      </c>
      <c r="DT257">
        <v>0</v>
      </c>
      <c r="DU257">
        <v>0</v>
      </c>
      <c r="DV257" t="s">
        <v>484</v>
      </c>
    </row>
    <row r="258" spans="1:126" x14ac:dyDescent="0.35">
      <c r="A258" t="s">
        <v>512</v>
      </c>
      <c r="B258">
        <v>230110</v>
      </c>
      <c r="C258" s="1">
        <v>44936</v>
      </c>
      <c r="D258" t="s">
        <v>513</v>
      </c>
      <c r="E258" t="s">
        <v>184</v>
      </c>
      <c r="F258" t="s">
        <v>185</v>
      </c>
      <c r="G258" t="s">
        <v>463</v>
      </c>
      <c r="H258">
        <v>47312</v>
      </c>
      <c r="I258" s="17">
        <v>775</v>
      </c>
      <c r="J258" s="17">
        <v>150</v>
      </c>
      <c r="K258">
        <v>78</v>
      </c>
      <c r="L258">
        <v>46102</v>
      </c>
      <c r="M258">
        <v>47033</v>
      </c>
      <c r="N258">
        <v>46955</v>
      </c>
      <c r="O258">
        <v>47261</v>
      </c>
      <c r="P258">
        <v>357</v>
      </c>
      <c r="Q258">
        <v>51</v>
      </c>
      <c r="R258">
        <v>47312</v>
      </c>
      <c r="S258">
        <v>775</v>
      </c>
      <c r="T258">
        <v>150</v>
      </c>
      <c r="U258">
        <v>78</v>
      </c>
      <c r="V258">
        <v>46102</v>
      </c>
      <c r="W258">
        <v>47033</v>
      </c>
      <c r="X258">
        <v>46955</v>
      </c>
      <c r="Y258">
        <v>47261</v>
      </c>
      <c r="Z258">
        <v>357</v>
      </c>
      <c r="AA258">
        <v>51</v>
      </c>
      <c r="AB258">
        <v>0</v>
      </c>
      <c r="AC258">
        <v>0</v>
      </c>
      <c r="AD258">
        <v>0</v>
      </c>
      <c r="AE258">
        <v>0</v>
      </c>
      <c r="AF258">
        <v>0</v>
      </c>
      <c r="AG258">
        <v>0</v>
      </c>
      <c r="AH258">
        <v>0</v>
      </c>
      <c r="AI258">
        <v>0</v>
      </c>
      <c r="AJ258">
        <v>0</v>
      </c>
      <c r="AK258">
        <v>0</v>
      </c>
      <c r="AL258">
        <v>-2669</v>
      </c>
      <c r="AM258">
        <v>196</v>
      </c>
      <c r="AN258">
        <v>-78</v>
      </c>
      <c r="AO258">
        <v>23</v>
      </c>
      <c r="AP258">
        <v>-2890</v>
      </c>
      <c r="AQ258">
        <v>-2580</v>
      </c>
      <c r="AR258">
        <v>-2671</v>
      </c>
      <c r="AS258">
        <v>-2635</v>
      </c>
      <c r="AT258">
        <v>2</v>
      </c>
      <c r="AU258">
        <v>-34</v>
      </c>
      <c r="AV258">
        <v>100</v>
      </c>
      <c r="AW258">
        <v>1.6</v>
      </c>
      <c r="AX258">
        <v>0.3</v>
      </c>
      <c r="AY258">
        <v>0.2</v>
      </c>
      <c r="AZ258">
        <v>97.4</v>
      </c>
      <c r="BA258">
        <v>99.4</v>
      </c>
      <c r="BB258">
        <v>99.2</v>
      </c>
      <c r="BC258">
        <v>99.9</v>
      </c>
      <c r="BD258">
        <v>0.8</v>
      </c>
      <c r="BE258">
        <v>0.1</v>
      </c>
      <c r="BF258">
        <v>100</v>
      </c>
      <c r="BG258">
        <v>1.6</v>
      </c>
      <c r="BH258">
        <v>0.3</v>
      </c>
      <c r="BI258">
        <v>0.2</v>
      </c>
      <c r="BJ258">
        <v>97.4</v>
      </c>
      <c r="BK258">
        <v>99.4</v>
      </c>
      <c r="BL258">
        <v>99.2</v>
      </c>
      <c r="BM258">
        <v>99.9</v>
      </c>
      <c r="BN258">
        <v>0.8</v>
      </c>
      <c r="BO258">
        <v>0.1</v>
      </c>
      <c r="BP258">
        <v>0</v>
      </c>
      <c r="BQ258">
        <v>0</v>
      </c>
      <c r="BR258">
        <v>0</v>
      </c>
      <c r="BS258">
        <v>0</v>
      </c>
      <c r="BT258">
        <v>0</v>
      </c>
      <c r="BU258">
        <v>0</v>
      </c>
      <c r="BV258">
        <v>0</v>
      </c>
      <c r="BW258">
        <v>0</v>
      </c>
      <c r="BX258">
        <v>0</v>
      </c>
      <c r="BY258">
        <v>0</v>
      </c>
      <c r="BZ258">
        <v>24</v>
      </c>
      <c r="CA258">
        <v>2</v>
      </c>
      <c r="CB258">
        <v>2</v>
      </c>
      <c r="CC258">
        <v>3</v>
      </c>
      <c r="CD258">
        <v>18</v>
      </c>
      <c r="CE258">
        <v>16</v>
      </c>
      <c r="CF258">
        <v>21</v>
      </c>
      <c r="CG258">
        <v>20</v>
      </c>
      <c r="CH258">
        <v>24</v>
      </c>
      <c r="CI258">
        <v>2</v>
      </c>
      <c r="CJ258">
        <v>2</v>
      </c>
      <c r="CK258">
        <v>3</v>
      </c>
      <c r="CL258">
        <v>18</v>
      </c>
      <c r="CM258">
        <v>16</v>
      </c>
      <c r="CN258">
        <v>21</v>
      </c>
      <c r="CO258">
        <v>20</v>
      </c>
      <c r="CP258">
        <v>0</v>
      </c>
      <c r="CQ258">
        <v>0</v>
      </c>
      <c r="CR258">
        <v>0</v>
      </c>
      <c r="CS258">
        <v>0</v>
      </c>
      <c r="CT258">
        <v>0</v>
      </c>
      <c r="CU258">
        <v>0</v>
      </c>
      <c r="CV258">
        <v>0</v>
      </c>
      <c r="CW258">
        <v>0</v>
      </c>
      <c r="CX258">
        <v>52.2</v>
      </c>
      <c r="CY258">
        <v>73.2</v>
      </c>
      <c r="CZ258">
        <v>80</v>
      </c>
      <c r="DA258">
        <v>91</v>
      </c>
      <c r="DB258">
        <v>42.2</v>
      </c>
      <c r="DC258">
        <v>57.6</v>
      </c>
      <c r="DD258">
        <v>54.4</v>
      </c>
      <c r="DE258">
        <v>59.8</v>
      </c>
      <c r="DF258">
        <v>52.2</v>
      </c>
      <c r="DG258">
        <v>73.2</v>
      </c>
      <c r="DH258">
        <v>80</v>
      </c>
      <c r="DI258">
        <v>91</v>
      </c>
      <c r="DJ258">
        <v>42.2</v>
      </c>
      <c r="DK258">
        <v>57.6</v>
      </c>
      <c r="DL258">
        <v>54.4</v>
      </c>
      <c r="DM258">
        <v>59.8</v>
      </c>
      <c r="DN258">
        <v>0</v>
      </c>
      <c r="DO258">
        <v>0</v>
      </c>
      <c r="DP258">
        <v>0</v>
      </c>
      <c r="DQ258">
        <v>0</v>
      </c>
      <c r="DR258">
        <v>0</v>
      </c>
      <c r="DS258">
        <v>0</v>
      </c>
      <c r="DT258">
        <v>0</v>
      </c>
      <c r="DU258">
        <v>0</v>
      </c>
      <c r="DV258" t="s">
        <v>514</v>
      </c>
    </row>
    <row r="259" spans="1:126" x14ac:dyDescent="0.35">
      <c r="A259" t="s">
        <v>512</v>
      </c>
      <c r="B259">
        <v>230103</v>
      </c>
      <c r="C259" s="1">
        <v>44929</v>
      </c>
      <c r="D259" t="s">
        <v>513</v>
      </c>
      <c r="E259" t="s">
        <v>184</v>
      </c>
      <c r="F259" t="s">
        <v>185</v>
      </c>
      <c r="G259" t="s">
        <v>463</v>
      </c>
      <c r="H259">
        <v>49981</v>
      </c>
      <c r="I259" s="17">
        <v>579</v>
      </c>
      <c r="J259" s="17">
        <v>228</v>
      </c>
      <c r="K259">
        <v>55</v>
      </c>
      <c r="L259">
        <v>48992</v>
      </c>
      <c r="M259">
        <v>49613</v>
      </c>
      <c r="N259">
        <v>49626</v>
      </c>
      <c r="O259">
        <v>49896</v>
      </c>
      <c r="P259">
        <v>355</v>
      </c>
      <c r="Q259">
        <v>85</v>
      </c>
      <c r="R259">
        <v>49981</v>
      </c>
      <c r="S259">
        <v>579</v>
      </c>
      <c r="T259">
        <v>228</v>
      </c>
      <c r="U259">
        <v>55</v>
      </c>
      <c r="V259">
        <v>48992</v>
      </c>
      <c r="W259">
        <v>49613</v>
      </c>
      <c r="X259">
        <v>49626</v>
      </c>
      <c r="Y259">
        <v>49896</v>
      </c>
      <c r="Z259">
        <v>355</v>
      </c>
      <c r="AA259">
        <v>85</v>
      </c>
      <c r="AB259">
        <v>0</v>
      </c>
      <c r="AC259">
        <v>0</v>
      </c>
      <c r="AD259">
        <v>0</v>
      </c>
      <c r="AE259">
        <v>0</v>
      </c>
      <c r="AF259">
        <v>0</v>
      </c>
      <c r="AG259">
        <v>0</v>
      </c>
      <c r="AH259">
        <v>0</v>
      </c>
      <c r="AI259">
        <v>0</v>
      </c>
      <c r="AJ259">
        <v>0</v>
      </c>
      <c r="AK259">
        <v>0</v>
      </c>
      <c r="AL259">
        <v>267</v>
      </c>
      <c r="AM259">
        <v>494</v>
      </c>
      <c r="AN259">
        <v>-170</v>
      </c>
      <c r="AO259">
        <v>-225</v>
      </c>
      <c r="AP259">
        <v>-2</v>
      </c>
      <c r="AQ259">
        <v>662</v>
      </c>
      <c r="AR259">
        <v>267</v>
      </c>
      <c r="AS259">
        <v>267</v>
      </c>
      <c r="AT259">
        <v>0</v>
      </c>
      <c r="AU259">
        <v>0</v>
      </c>
      <c r="AV259">
        <v>100</v>
      </c>
      <c r="AW259">
        <v>1.2</v>
      </c>
      <c r="AX259">
        <v>0.5</v>
      </c>
      <c r="AY259">
        <v>0.1</v>
      </c>
      <c r="AZ259">
        <v>98</v>
      </c>
      <c r="BA259">
        <v>99.3</v>
      </c>
      <c r="BB259">
        <v>99.3</v>
      </c>
      <c r="BC259">
        <v>99.8</v>
      </c>
      <c r="BD259">
        <v>0.7</v>
      </c>
      <c r="BE259">
        <v>0.2</v>
      </c>
      <c r="BF259">
        <v>100</v>
      </c>
      <c r="BG259">
        <v>1.2</v>
      </c>
      <c r="BH259">
        <v>0.5</v>
      </c>
      <c r="BI259">
        <v>0.1</v>
      </c>
      <c r="BJ259">
        <v>98</v>
      </c>
      <c r="BK259">
        <v>99.3</v>
      </c>
      <c r="BL259">
        <v>99.3</v>
      </c>
      <c r="BM259">
        <v>99.8</v>
      </c>
      <c r="BN259">
        <v>0.7</v>
      </c>
      <c r="BO259">
        <v>0.2</v>
      </c>
      <c r="BP259">
        <v>0</v>
      </c>
      <c r="BQ259">
        <v>0</v>
      </c>
      <c r="BR259">
        <v>0</v>
      </c>
      <c r="BS259">
        <v>0</v>
      </c>
      <c r="BT259">
        <v>0</v>
      </c>
      <c r="BU259">
        <v>0</v>
      </c>
      <c r="BV259">
        <v>0</v>
      </c>
      <c r="BW259">
        <v>0</v>
      </c>
      <c r="BX259">
        <v>0</v>
      </c>
      <c r="BY259">
        <v>0</v>
      </c>
      <c r="BZ259">
        <v>23</v>
      </c>
      <c r="CA259">
        <v>1</v>
      </c>
      <c r="CB259">
        <v>2</v>
      </c>
      <c r="CC259">
        <v>1</v>
      </c>
      <c r="CD259">
        <v>18</v>
      </c>
      <c r="CE259">
        <v>16</v>
      </c>
      <c r="CF259">
        <v>19</v>
      </c>
      <c r="CG259">
        <v>19</v>
      </c>
      <c r="CH259">
        <v>23</v>
      </c>
      <c r="CI259">
        <v>1</v>
      </c>
      <c r="CJ259">
        <v>2</v>
      </c>
      <c r="CK259">
        <v>1</v>
      </c>
      <c r="CL259">
        <v>18</v>
      </c>
      <c r="CM259">
        <v>16</v>
      </c>
      <c r="CN259">
        <v>19</v>
      </c>
      <c r="CO259">
        <v>19</v>
      </c>
      <c r="CP259">
        <v>0</v>
      </c>
      <c r="CQ259">
        <v>0</v>
      </c>
      <c r="CR259">
        <v>0</v>
      </c>
      <c r="CS259">
        <v>0</v>
      </c>
      <c r="CT259">
        <v>0</v>
      </c>
      <c r="CU259">
        <v>0</v>
      </c>
      <c r="CV259">
        <v>0</v>
      </c>
      <c r="CW259">
        <v>0</v>
      </c>
      <c r="CX259">
        <v>51.2</v>
      </c>
      <c r="CY259">
        <v>73.3</v>
      </c>
      <c r="CZ259">
        <v>78.8</v>
      </c>
      <c r="DA259">
        <v>90.4</v>
      </c>
      <c r="DB259">
        <v>40.4</v>
      </c>
      <c r="DC259">
        <v>56.3</v>
      </c>
      <c r="DD259">
        <v>54.2</v>
      </c>
      <c r="DE259">
        <v>58.6</v>
      </c>
      <c r="DF259">
        <v>51.2</v>
      </c>
      <c r="DG259">
        <v>73.3</v>
      </c>
      <c r="DH259">
        <v>78.8</v>
      </c>
      <c r="DI259">
        <v>90.4</v>
      </c>
      <c r="DJ259">
        <v>40.4</v>
      </c>
      <c r="DK259">
        <v>56.3</v>
      </c>
      <c r="DL259">
        <v>54.2</v>
      </c>
      <c r="DM259">
        <v>58.6</v>
      </c>
      <c r="DN259">
        <v>0</v>
      </c>
      <c r="DO259">
        <v>0</v>
      </c>
      <c r="DP259">
        <v>0</v>
      </c>
      <c r="DQ259">
        <v>0</v>
      </c>
      <c r="DR259">
        <v>0</v>
      </c>
      <c r="DS259">
        <v>0</v>
      </c>
      <c r="DT259">
        <v>0</v>
      </c>
      <c r="DU259">
        <v>0</v>
      </c>
      <c r="DV259" t="s">
        <v>514</v>
      </c>
    </row>
    <row r="260" spans="1:126" x14ac:dyDescent="0.35">
      <c r="A260" t="s">
        <v>515</v>
      </c>
      <c r="B260">
        <v>230110</v>
      </c>
      <c r="C260" s="1">
        <v>44936</v>
      </c>
      <c r="D260" t="s">
        <v>516</v>
      </c>
      <c r="E260" t="s">
        <v>184</v>
      </c>
      <c r="F260" t="s">
        <v>185</v>
      </c>
      <c r="G260" t="s">
        <v>463</v>
      </c>
      <c r="H260">
        <v>41001</v>
      </c>
      <c r="I260" s="17">
        <v>1682</v>
      </c>
      <c r="J260" s="17">
        <v>1240</v>
      </c>
      <c r="K260">
        <v>0</v>
      </c>
      <c r="L260">
        <v>39037</v>
      </c>
      <c r="M260">
        <v>39236</v>
      </c>
      <c r="N260">
        <v>40719</v>
      </c>
      <c r="O260">
        <v>40476</v>
      </c>
      <c r="P260">
        <v>282</v>
      </c>
      <c r="Q260">
        <v>525</v>
      </c>
      <c r="R260">
        <v>41001</v>
      </c>
      <c r="S260">
        <v>1682</v>
      </c>
      <c r="T260">
        <v>1240</v>
      </c>
      <c r="U260">
        <v>0</v>
      </c>
      <c r="V260">
        <v>39037</v>
      </c>
      <c r="W260">
        <v>39236</v>
      </c>
      <c r="X260">
        <v>40719</v>
      </c>
      <c r="Y260">
        <v>40476</v>
      </c>
      <c r="Z260">
        <v>282</v>
      </c>
      <c r="AA260">
        <v>525</v>
      </c>
      <c r="AB260">
        <v>0</v>
      </c>
      <c r="AC260">
        <v>0</v>
      </c>
      <c r="AD260">
        <v>0</v>
      </c>
      <c r="AE260">
        <v>0</v>
      </c>
      <c r="AF260">
        <v>0</v>
      </c>
      <c r="AG260">
        <v>0</v>
      </c>
      <c r="AH260">
        <v>0</v>
      </c>
      <c r="AI260">
        <v>0</v>
      </c>
      <c r="AJ260">
        <v>0</v>
      </c>
      <c r="AK260">
        <v>0</v>
      </c>
      <c r="AL260">
        <v>-3371</v>
      </c>
      <c r="AM260">
        <v>-181</v>
      </c>
      <c r="AN260">
        <v>-100</v>
      </c>
      <c r="AO260">
        <v>0</v>
      </c>
      <c r="AP260">
        <v>-3177</v>
      </c>
      <c r="AQ260">
        <v>-3266</v>
      </c>
      <c r="AR260">
        <v>-3358</v>
      </c>
      <c r="AS260">
        <v>-3366</v>
      </c>
      <c r="AT260">
        <v>-13</v>
      </c>
      <c r="AU260">
        <v>-5</v>
      </c>
      <c r="AV260">
        <v>100</v>
      </c>
      <c r="AW260">
        <v>4.0999999999999996</v>
      </c>
      <c r="AX260">
        <v>3</v>
      </c>
      <c r="AY260">
        <v>0</v>
      </c>
      <c r="AZ260">
        <v>95.2</v>
      </c>
      <c r="BA260">
        <v>95.7</v>
      </c>
      <c r="BB260">
        <v>99.3</v>
      </c>
      <c r="BC260">
        <v>98.7</v>
      </c>
      <c r="BD260">
        <v>0.7</v>
      </c>
      <c r="BE260">
        <v>1.3</v>
      </c>
      <c r="BF260">
        <v>100</v>
      </c>
      <c r="BG260">
        <v>4.0999999999999996</v>
      </c>
      <c r="BH260">
        <v>3</v>
      </c>
      <c r="BI260">
        <v>0</v>
      </c>
      <c r="BJ260">
        <v>95.2</v>
      </c>
      <c r="BK260">
        <v>95.7</v>
      </c>
      <c r="BL260">
        <v>99.3</v>
      </c>
      <c r="BM260">
        <v>98.7</v>
      </c>
      <c r="BN260">
        <v>0.7</v>
      </c>
      <c r="BO260">
        <v>1.3</v>
      </c>
      <c r="BP260">
        <v>0</v>
      </c>
      <c r="BQ260">
        <v>0</v>
      </c>
      <c r="BR260">
        <v>0</v>
      </c>
      <c r="BS260">
        <v>0</v>
      </c>
      <c r="BT260">
        <v>0</v>
      </c>
      <c r="BU260">
        <v>0</v>
      </c>
      <c r="BV260">
        <v>0</v>
      </c>
      <c r="BW260">
        <v>0</v>
      </c>
      <c r="BX260">
        <v>0</v>
      </c>
      <c r="BY260">
        <v>0</v>
      </c>
      <c r="BZ260">
        <v>33</v>
      </c>
      <c r="CA260">
        <v>2</v>
      </c>
      <c r="CB260">
        <v>2</v>
      </c>
      <c r="CC260">
        <v>0</v>
      </c>
      <c r="CD260">
        <v>23</v>
      </c>
      <c r="CE260">
        <v>19</v>
      </c>
      <c r="CF260">
        <v>25</v>
      </c>
      <c r="CG260">
        <v>21</v>
      </c>
      <c r="CH260">
        <v>33</v>
      </c>
      <c r="CI260">
        <v>2</v>
      </c>
      <c r="CJ260">
        <v>2</v>
      </c>
      <c r="CK260">
        <v>0</v>
      </c>
      <c r="CL260">
        <v>23</v>
      </c>
      <c r="CM260">
        <v>19</v>
      </c>
      <c r="CN260">
        <v>25</v>
      </c>
      <c r="CO260">
        <v>21</v>
      </c>
      <c r="CP260">
        <v>0</v>
      </c>
      <c r="CQ260">
        <v>0</v>
      </c>
      <c r="CR260">
        <v>0</v>
      </c>
      <c r="CS260">
        <v>0</v>
      </c>
      <c r="CT260">
        <v>0</v>
      </c>
      <c r="CU260">
        <v>0</v>
      </c>
      <c r="CV260">
        <v>0</v>
      </c>
      <c r="CW260">
        <v>0</v>
      </c>
      <c r="CX260">
        <v>46.8</v>
      </c>
      <c r="CY260">
        <v>83.2</v>
      </c>
      <c r="CZ260">
        <v>69.400000000000006</v>
      </c>
      <c r="DA260">
        <v>90.7</v>
      </c>
      <c r="DB260">
        <v>44.6</v>
      </c>
      <c r="DC260">
        <v>82.4</v>
      </c>
      <c r="DD260">
        <v>64.400000000000006</v>
      </c>
      <c r="DE260">
        <v>87</v>
      </c>
      <c r="DF260">
        <v>46.8</v>
      </c>
      <c r="DG260">
        <v>83.2</v>
      </c>
      <c r="DH260">
        <v>69.400000000000006</v>
      </c>
      <c r="DI260">
        <v>90.7</v>
      </c>
      <c r="DJ260">
        <v>44.6</v>
      </c>
      <c r="DK260">
        <v>82.4</v>
      </c>
      <c r="DL260">
        <v>64.400000000000006</v>
      </c>
      <c r="DM260">
        <v>87</v>
      </c>
      <c r="DN260">
        <v>0</v>
      </c>
      <c r="DO260">
        <v>0</v>
      </c>
      <c r="DP260">
        <v>0</v>
      </c>
      <c r="DQ260">
        <v>0</v>
      </c>
      <c r="DR260">
        <v>0</v>
      </c>
      <c r="DS260">
        <v>0</v>
      </c>
      <c r="DT260">
        <v>0</v>
      </c>
      <c r="DU260">
        <v>0</v>
      </c>
      <c r="DV260" t="s">
        <v>484</v>
      </c>
    </row>
    <row r="261" spans="1:126" x14ac:dyDescent="0.35">
      <c r="A261" t="s">
        <v>515</v>
      </c>
      <c r="B261">
        <v>230103</v>
      </c>
      <c r="C261" s="1">
        <v>44929</v>
      </c>
      <c r="D261" t="s">
        <v>516</v>
      </c>
      <c r="E261" t="s">
        <v>184</v>
      </c>
      <c r="F261" t="s">
        <v>185</v>
      </c>
      <c r="G261" t="s">
        <v>463</v>
      </c>
      <c r="H261">
        <v>44372</v>
      </c>
      <c r="I261" s="17">
        <v>1863</v>
      </c>
      <c r="J261" s="17">
        <v>1340</v>
      </c>
      <c r="K261">
        <v>0</v>
      </c>
      <c r="L261">
        <v>42214</v>
      </c>
      <c r="M261">
        <v>42502</v>
      </c>
      <c r="N261">
        <v>44077</v>
      </c>
      <c r="O261">
        <v>43842</v>
      </c>
      <c r="P261">
        <v>295</v>
      </c>
      <c r="Q261">
        <v>530</v>
      </c>
      <c r="R261">
        <v>44372</v>
      </c>
      <c r="S261">
        <v>1863</v>
      </c>
      <c r="T261">
        <v>1340</v>
      </c>
      <c r="U261">
        <v>0</v>
      </c>
      <c r="V261">
        <v>42214</v>
      </c>
      <c r="W261">
        <v>42502</v>
      </c>
      <c r="X261">
        <v>44077</v>
      </c>
      <c r="Y261">
        <v>43842</v>
      </c>
      <c r="Z261">
        <v>295</v>
      </c>
      <c r="AA261">
        <v>530</v>
      </c>
      <c r="AB261">
        <v>0</v>
      </c>
      <c r="AC261">
        <v>0</v>
      </c>
      <c r="AD261">
        <v>0</v>
      </c>
      <c r="AE261">
        <v>0</v>
      </c>
      <c r="AF261">
        <v>0</v>
      </c>
      <c r="AG261">
        <v>0</v>
      </c>
      <c r="AH261">
        <v>0</v>
      </c>
      <c r="AI261">
        <v>0</v>
      </c>
      <c r="AJ261">
        <v>0</v>
      </c>
      <c r="AK261">
        <v>0</v>
      </c>
      <c r="AL261">
        <v>55</v>
      </c>
      <c r="AM261">
        <v>60</v>
      </c>
      <c r="AN261">
        <v>40</v>
      </c>
      <c r="AO261">
        <v>0</v>
      </c>
      <c r="AP261">
        <v>-5</v>
      </c>
      <c r="AQ261">
        <v>15</v>
      </c>
      <c r="AR261">
        <v>55</v>
      </c>
      <c r="AS261">
        <v>55</v>
      </c>
      <c r="AT261">
        <v>0</v>
      </c>
      <c r="AU261">
        <v>0</v>
      </c>
      <c r="AV261">
        <v>100</v>
      </c>
      <c r="AW261">
        <v>4.2</v>
      </c>
      <c r="AX261">
        <v>3</v>
      </c>
      <c r="AY261">
        <v>0</v>
      </c>
      <c r="AZ261">
        <v>95.1</v>
      </c>
      <c r="BA261">
        <v>95.8</v>
      </c>
      <c r="BB261">
        <v>99.3</v>
      </c>
      <c r="BC261">
        <v>98.8</v>
      </c>
      <c r="BD261">
        <v>0.7</v>
      </c>
      <c r="BE261">
        <v>1.2</v>
      </c>
      <c r="BF261">
        <v>100</v>
      </c>
      <c r="BG261">
        <v>4.2</v>
      </c>
      <c r="BH261">
        <v>3</v>
      </c>
      <c r="BI261">
        <v>0</v>
      </c>
      <c r="BJ261">
        <v>95.1</v>
      </c>
      <c r="BK261">
        <v>95.8</v>
      </c>
      <c r="BL261">
        <v>99.3</v>
      </c>
      <c r="BM261">
        <v>98.8</v>
      </c>
      <c r="BN261">
        <v>0.7</v>
      </c>
      <c r="BO261">
        <v>1.2</v>
      </c>
      <c r="BP261">
        <v>0</v>
      </c>
      <c r="BQ261">
        <v>0</v>
      </c>
      <c r="BR261">
        <v>0</v>
      </c>
      <c r="BS261">
        <v>0</v>
      </c>
      <c r="BT261">
        <v>0</v>
      </c>
      <c r="BU261">
        <v>0</v>
      </c>
      <c r="BV261">
        <v>0</v>
      </c>
      <c r="BW261">
        <v>0</v>
      </c>
      <c r="BX261">
        <v>0</v>
      </c>
      <c r="BY261">
        <v>0</v>
      </c>
      <c r="BZ261">
        <v>37</v>
      </c>
      <c r="CA261">
        <v>3</v>
      </c>
      <c r="CB261">
        <v>3</v>
      </c>
      <c r="CC261">
        <v>0</v>
      </c>
      <c r="CD261">
        <v>25</v>
      </c>
      <c r="CE261">
        <v>21</v>
      </c>
      <c r="CF261">
        <v>28</v>
      </c>
      <c r="CG261">
        <v>24</v>
      </c>
      <c r="CH261">
        <v>37</v>
      </c>
      <c r="CI261">
        <v>3</v>
      </c>
      <c r="CJ261">
        <v>3</v>
      </c>
      <c r="CK261">
        <v>0</v>
      </c>
      <c r="CL261">
        <v>25</v>
      </c>
      <c r="CM261">
        <v>21</v>
      </c>
      <c r="CN261">
        <v>28</v>
      </c>
      <c r="CO261">
        <v>24</v>
      </c>
      <c r="CP261">
        <v>0</v>
      </c>
      <c r="CQ261">
        <v>0</v>
      </c>
      <c r="CR261">
        <v>0</v>
      </c>
      <c r="CS261">
        <v>0</v>
      </c>
      <c r="CT261">
        <v>0</v>
      </c>
      <c r="CU261">
        <v>0</v>
      </c>
      <c r="CV261">
        <v>0</v>
      </c>
      <c r="CW261">
        <v>0</v>
      </c>
      <c r="CX261">
        <v>45.4</v>
      </c>
      <c r="CY261">
        <v>81.3</v>
      </c>
      <c r="CZ261">
        <v>70.3</v>
      </c>
      <c r="DA261">
        <v>89.3</v>
      </c>
      <c r="DB261">
        <v>43.3</v>
      </c>
      <c r="DC261">
        <v>80.099999999999994</v>
      </c>
      <c r="DD261">
        <v>64.8</v>
      </c>
      <c r="DE261">
        <v>85.3</v>
      </c>
      <c r="DF261">
        <v>45.4</v>
      </c>
      <c r="DG261">
        <v>81.3</v>
      </c>
      <c r="DH261">
        <v>70.3</v>
      </c>
      <c r="DI261">
        <v>89.3</v>
      </c>
      <c r="DJ261">
        <v>43.3</v>
      </c>
      <c r="DK261">
        <v>80.099999999999994</v>
      </c>
      <c r="DL261">
        <v>64.8</v>
      </c>
      <c r="DM261">
        <v>85.3</v>
      </c>
      <c r="DN261">
        <v>0</v>
      </c>
      <c r="DO261">
        <v>0</v>
      </c>
      <c r="DP261">
        <v>0</v>
      </c>
      <c r="DQ261">
        <v>0</v>
      </c>
      <c r="DR261">
        <v>0</v>
      </c>
      <c r="DS261">
        <v>0</v>
      </c>
      <c r="DT261">
        <v>0</v>
      </c>
      <c r="DU261">
        <v>0</v>
      </c>
      <c r="DV261" t="s">
        <v>484</v>
      </c>
    </row>
    <row r="262" spans="1:126" x14ac:dyDescent="0.35">
      <c r="A262" t="s">
        <v>517</v>
      </c>
      <c r="B262">
        <v>230110</v>
      </c>
      <c r="C262" s="1">
        <v>44936</v>
      </c>
      <c r="D262" t="s">
        <v>518</v>
      </c>
      <c r="E262" t="s">
        <v>184</v>
      </c>
      <c r="F262" t="s">
        <v>185</v>
      </c>
      <c r="G262" t="s">
        <v>463</v>
      </c>
      <c r="H262">
        <v>45018</v>
      </c>
      <c r="I262" s="17">
        <v>1770</v>
      </c>
      <c r="J262" s="17">
        <v>2918</v>
      </c>
      <c r="K262">
        <v>0</v>
      </c>
      <c r="L262">
        <v>42966</v>
      </c>
      <c r="M262">
        <v>41860</v>
      </c>
      <c r="N262">
        <v>44736</v>
      </c>
      <c r="O262">
        <v>44778</v>
      </c>
      <c r="P262">
        <v>282</v>
      </c>
      <c r="Q262">
        <v>240</v>
      </c>
      <c r="R262">
        <v>45018</v>
      </c>
      <c r="S262">
        <v>1770</v>
      </c>
      <c r="T262">
        <v>2918</v>
      </c>
      <c r="U262">
        <v>0</v>
      </c>
      <c r="V262">
        <v>42966</v>
      </c>
      <c r="W262">
        <v>41860</v>
      </c>
      <c r="X262">
        <v>44736</v>
      </c>
      <c r="Y262">
        <v>44778</v>
      </c>
      <c r="Z262">
        <v>282</v>
      </c>
      <c r="AA262">
        <v>240</v>
      </c>
      <c r="AB262">
        <v>0</v>
      </c>
      <c r="AC262">
        <v>0</v>
      </c>
      <c r="AD262">
        <v>0</v>
      </c>
      <c r="AE262">
        <v>0</v>
      </c>
      <c r="AF262">
        <v>0</v>
      </c>
      <c r="AG262">
        <v>0</v>
      </c>
      <c r="AH262">
        <v>0</v>
      </c>
      <c r="AI262">
        <v>0</v>
      </c>
      <c r="AJ262">
        <v>0</v>
      </c>
      <c r="AK262">
        <v>0</v>
      </c>
      <c r="AL262">
        <v>-3558</v>
      </c>
      <c r="AM262">
        <v>-136</v>
      </c>
      <c r="AN262">
        <v>-76</v>
      </c>
      <c r="AO262">
        <v>0</v>
      </c>
      <c r="AP262">
        <v>-3407</v>
      </c>
      <c r="AQ262">
        <v>-3477</v>
      </c>
      <c r="AR262">
        <v>-3543</v>
      </c>
      <c r="AS262">
        <v>-3553</v>
      </c>
      <c r="AT262">
        <v>-15</v>
      </c>
      <c r="AU262">
        <v>-5</v>
      </c>
      <c r="AV262">
        <v>100</v>
      </c>
      <c r="AW262">
        <v>3.9</v>
      </c>
      <c r="AX262">
        <v>6.5</v>
      </c>
      <c r="AY262">
        <v>0</v>
      </c>
      <c r="AZ262">
        <v>95.4</v>
      </c>
      <c r="BA262">
        <v>93</v>
      </c>
      <c r="BB262">
        <v>99.4</v>
      </c>
      <c r="BC262">
        <v>99.5</v>
      </c>
      <c r="BD262">
        <v>0.6</v>
      </c>
      <c r="BE262">
        <v>0.5</v>
      </c>
      <c r="BF262">
        <v>100</v>
      </c>
      <c r="BG262">
        <v>3.9</v>
      </c>
      <c r="BH262">
        <v>6.5</v>
      </c>
      <c r="BI262">
        <v>0</v>
      </c>
      <c r="BJ262">
        <v>95.4</v>
      </c>
      <c r="BK262">
        <v>93</v>
      </c>
      <c r="BL262">
        <v>99.4</v>
      </c>
      <c r="BM262">
        <v>99.5</v>
      </c>
      <c r="BN262">
        <v>0.6</v>
      </c>
      <c r="BO262">
        <v>0.5</v>
      </c>
      <c r="BP262">
        <v>0</v>
      </c>
      <c r="BQ262">
        <v>0</v>
      </c>
      <c r="BR262">
        <v>0</v>
      </c>
      <c r="BS262">
        <v>0</v>
      </c>
      <c r="BT262">
        <v>0</v>
      </c>
      <c r="BU262">
        <v>0</v>
      </c>
      <c r="BV262">
        <v>0</v>
      </c>
      <c r="BW262">
        <v>0</v>
      </c>
      <c r="BX262">
        <v>0</v>
      </c>
      <c r="BY262">
        <v>0</v>
      </c>
      <c r="BZ262">
        <v>34</v>
      </c>
      <c r="CA262">
        <v>2</v>
      </c>
      <c r="CB262">
        <v>3</v>
      </c>
      <c r="CC262">
        <v>0</v>
      </c>
      <c r="CD262">
        <v>24</v>
      </c>
      <c r="CE262">
        <v>23</v>
      </c>
      <c r="CF262">
        <v>26</v>
      </c>
      <c r="CG262">
        <v>26</v>
      </c>
      <c r="CH262">
        <v>34</v>
      </c>
      <c r="CI262">
        <v>2</v>
      </c>
      <c r="CJ262">
        <v>3</v>
      </c>
      <c r="CK262">
        <v>0</v>
      </c>
      <c r="CL262">
        <v>24</v>
      </c>
      <c r="CM262">
        <v>23</v>
      </c>
      <c r="CN262">
        <v>26</v>
      </c>
      <c r="CO262">
        <v>26</v>
      </c>
      <c r="CP262">
        <v>0</v>
      </c>
      <c r="CQ262">
        <v>0</v>
      </c>
      <c r="CR262">
        <v>0</v>
      </c>
      <c r="CS262">
        <v>0</v>
      </c>
      <c r="CT262">
        <v>0</v>
      </c>
      <c r="CU262">
        <v>0</v>
      </c>
      <c r="CV262">
        <v>0</v>
      </c>
      <c r="CW262">
        <v>0</v>
      </c>
      <c r="CX262">
        <v>47.5</v>
      </c>
      <c r="CY262">
        <v>81.3</v>
      </c>
      <c r="CZ262">
        <v>72.599999999999994</v>
      </c>
      <c r="DA262">
        <v>91.6</v>
      </c>
      <c r="DB262">
        <v>46.8</v>
      </c>
      <c r="DC262">
        <v>81.3</v>
      </c>
      <c r="DD262">
        <v>70</v>
      </c>
      <c r="DE262">
        <v>88.3</v>
      </c>
      <c r="DF262">
        <v>47.5</v>
      </c>
      <c r="DG262">
        <v>81.3</v>
      </c>
      <c r="DH262">
        <v>72.599999999999994</v>
      </c>
      <c r="DI262">
        <v>91.6</v>
      </c>
      <c r="DJ262">
        <v>46.8</v>
      </c>
      <c r="DK262">
        <v>81.3</v>
      </c>
      <c r="DL262">
        <v>70</v>
      </c>
      <c r="DM262">
        <v>88.3</v>
      </c>
      <c r="DN262">
        <v>0</v>
      </c>
      <c r="DO262">
        <v>0</v>
      </c>
      <c r="DP262">
        <v>0</v>
      </c>
      <c r="DQ262">
        <v>0</v>
      </c>
      <c r="DR262">
        <v>0</v>
      </c>
      <c r="DS262">
        <v>0</v>
      </c>
      <c r="DT262">
        <v>0</v>
      </c>
      <c r="DU262">
        <v>0</v>
      </c>
      <c r="DV262" t="s">
        <v>484</v>
      </c>
    </row>
    <row r="263" spans="1:126" x14ac:dyDescent="0.35">
      <c r="A263" t="s">
        <v>517</v>
      </c>
      <c r="B263">
        <v>230103</v>
      </c>
      <c r="C263" s="1">
        <v>44929</v>
      </c>
      <c r="D263" t="s">
        <v>518</v>
      </c>
      <c r="E263" t="s">
        <v>184</v>
      </c>
      <c r="F263" t="s">
        <v>185</v>
      </c>
      <c r="G263" t="s">
        <v>463</v>
      </c>
      <c r="H263">
        <v>48576</v>
      </c>
      <c r="I263" s="17">
        <v>1906</v>
      </c>
      <c r="J263" s="17">
        <v>2994</v>
      </c>
      <c r="K263">
        <v>0</v>
      </c>
      <c r="L263">
        <v>46373</v>
      </c>
      <c r="M263">
        <v>45337</v>
      </c>
      <c r="N263">
        <v>48279</v>
      </c>
      <c r="O263">
        <v>48331</v>
      </c>
      <c r="P263">
        <v>297</v>
      </c>
      <c r="Q263">
        <v>245</v>
      </c>
      <c r="R263">
        <v>48576</v>
      </c>
      <c r="S263">
        <v>1906</v>
      </c>
      <c r="T263">
        <v>2994</v>
      </c>
      <c r="U263">
        <v>0</v>
      </c>
      <c r="V263">
        <v>46373</v>
      </c>
      <c r="W263">
        <v>45337</v>
      </c>
      <c r="X263">
        <v>48279</v>
      </c>
      <c r="Y263">
        <v>48331</v>
      </c>
      <c r="Z263">
        <v>297</v>
      </c>
      <c r="AA263">
        <v>245</v>
      </c>
      <c r="AB263">
        <v>0</v>
      </c>
      <c r="AC263">
        <v>0</v>
      </c>
      <c r="AD263">
        <v>0</v>
      </c>
      <c r="AE263">
        <v>0</v>
      </c>
      <c r="AF263">
        <v>0</v>
      </c>
      <c r="AG263">
        <v>0</v>
      </c>
      <c r="AH263">
        <v>0</v>
      </c>
      <c r="AI263">
        <v>0</v>
      </c>
      <c r="AJ263">
        <v>0</v>
      </c>
      <c r="AK263">
        <v>0</v>
      </c>
      <c r="AL263">
        <v>844</v>
      </c>
      <c r="AM263">
        <v>80</v>
      </c>
      <c r="AN263">
        <v>1390</v>
      </c>
      <c r="AO263">
        <v>0</v>
      </c>
      <c r="AP263">
        <v>764</v>
      </c>
      <c r="AQ263">
        <v>-546</v>
      </c>
      <c r="AR263">
        <v>844</v>
      </c>
      <c r="AS263">
        <v>844</v>
      </c>
      <c r="AT263">
        <v>0</v>
      </c>
      <c r="AU263">
        <v>0</v>
      </c>
      <c r="AV263">
        <v>100</v>
      </c>
      <c r="AW263">
        <v>3.9</v>
      </c>
      <c r="AX263">
        <v>6.2</v>
      </c>
      <c r="AY263">
        <v>0</v>
      </c>
      <c r="AZ263">
        <v>95.5</v>
      </c>
      <c r="BA263">
        <v>93.3</v>
      </c>
      <c r="BB263">
        <v>99.4</v>
      </c>
      <c r="BC263">
        <v>99.5</v>
      </c>
      <c r="BD263">
        <v>0.6</v>
      </c>
      <c r="BE263">
        <v>0.5</v>
      </c>
      <c r="BF263">
        <v>100</v>
      </c>
      <c r="BG263">
        <v>3.9</v>
      </c>
      <c r="BH263">
        <v>6.2</v>
      </c>
      <c r="BI263">
        <v>0</v>
      </c>
      <c r="BJ263">
        <v>95.5</v>
      </c>
      <c r="BK263">
        <v>93.3</v>
      </c>
      <c r="BL263">
        <v>99.4</v>
      </c>
      <c r="BM263">
        <v>99.5</v>
      </c>
      <c r="BN263">
        <v>0.6</v>
      </c>
      <c r="BO263">
        <v>0.5</v>
      </c>
      <c r="BP263">
        <v>0</v>
      </c>
      <c r="BQ263">
        <v>0</v>
      </c>
      <c r="BR263">
        <v>0</v>
      </c>
      <c r="BS263">
        <v>0</v>
      </c>
      <c r="BT263">
        <v>0</v>
      </c>
      <c r="BU263">
        <v>0</v>
      </c>
      <c r="BV263">
        <v>0</v>
      </c>
      <c r="BW263">
        <v>0</v>
      </c>
      <c r="BX263">
        <v>0</v>
      </c>
      <c r="BY263">
        <v>0</v>
      </c>
      <c r="BZ263">
        <v>38</v>
      </c>
      <c r="CA263">
        <v>2</v>
      </c>
      <c r="CB263">
        <v>3</v>
      </c>
      <c r="CC263">
        <v>0</v>
      </c>
      <c r="CD263">
        <v>26</v>
      </c>
      <c r="CE263">
        <v>27</v>
      </c>
      <c r="CF263">
        <v>28</v>
      </c>
      <c r="CG263">
        <v>30</v>
      </c>
      <c r="CH263">
        <v>38</v>
      </c>
      <c r="CI263">
        <v>2</v>
      </c>
      <c r="CJ263">
        <v>3</v>
      </c>
      <c r="CK263">
        <v>0</v>
      </c>
      <c r="CL263">
        <v>26</v>
      </c>
      <c r="CM263">
        <v>27</v>
      </c>
      <c r="CN263">
        <v>28</v>
      </c>
      <c r="CO263">
        <v>30</v>
      </c>
      <c r="CP263">
        <v>0</v>
      </c>
      <c r="CQ263">
        <v>0</v>
      </c>
      <c r="CR263">
        <v>0</v>
      </c>
      <c r="CS263">
        <v>0</v>
      </c>
      <c r="CT263">
        <v>0</v>
      </c>
      <c r="CU263">
        <v>0</v>
      </c>
      <c r="CV263">
        <v>0</v>
      </c>
      <c r="CW263">
        <v>0</v>
      </c>
      <c r="CX263">
        <v>46.1</v>
      </c>
      <c r="CY263">
        <v>78.3</v>
      </c>
      <c r="CZ263">
        <v>70.3</v>
      </c>
      <c r="DA263">
        <v>88.6</v>
      </c>
      <c r="DB263">
        <v>45.1</v>
      </c>
      <c r="DC263">
        <v>78.3</v>
      </c>
      <c r="DD263">
        <v>65.7</v>
      </c>
      <c r="DE263">
        <v>84.5</v>
      </c>
      <c r="DF263">
        <v>46.1</v>
      </c>
      <c r="DG263">
        <v>78.3</v>
      </c>
      <c r="DH263">
        <v>70.3</v>
      </c>
      <c r="DI263">
        <v>88.6</v>
      </c>
      <c r="DJ263">
        <v>45.1</v>
      </c>
      <c r="DK263">
        <v>78.3</v>
      </c>
      <c r="DL263">
        <v>65.7</v>
      </c>
      <c r="DM263">
        <v>84.5</v>
      </c>
      <c r="DN263">
        <v>0</v>
      </c>
      <c r="DO263">
        <v>0</v>
      </c>
      <c r="DP263">
        <v>0</v>
      </c>
      <c r="DQ263">
        <v>0</v>
      </c>
      <c r="DR263">
        <v>0</v>
      </c>
      <c r="DS263">
        <v>0</v>
      </c>
      <c r="DT263">
        <v>0</v>
      </c>
      <c r="DU263">
        <v>0</v>
      </c>
      <c r="DV263" t="s">
        <v>484</v>
      </c>
    </row>
    <row r="264" spans="1:126" x14ac:dyDescent="0.35">
      <c r="A264" t="s">
        <v>519</v>
      </c>
      <c r="B264">
        <v>230110</v>
      </c>
      <c r="C264" s="1">
        <v>44936</v>
      </c>
      <c r="D264" t="s">
        <v>520</v>
      </c>
      <c r="E264" t="s">
        <v>184</v>
      </c>
      <c r="F264" t="s">
        <v>185</v>
      </c>
      <c r="G264" t="s">
        <v>463</v>
      </c>
      <c r="H264">
        <v>66794</v>
      </c>
      <c r="I264" s="17">
        <v>488</v>
      </c>
      <c r="J264" s="17">
        <v>3660</v>
      </c>
      <c r="K264">
        <v>204</v>
      </c>
      <c r="L264">
        <v>65611</v>
      </c>
      <c r="M264">
        <v>62332</v>
      </c>
      <c r="N264">
        <v>66303</v>
      </c>
      <c r="O264">
        <v>66196</v>
      </c>
      <c r="P264">
        <v>491</v>
      </c>
      <c r="Q264">
        <v>598</v>
      </c>
      <c r="R264">
        <v>66794</v>
      </c>
      <c r="S264">
        <v>488</v>
      </c>
      <c r="T264">
        <v>3660</v>
      </c>
      <c r="U264">
        <v>204</v>
      </c>
      <c r="V264">
        <v>65611</v>
      </c>
      <c r="W264">
        <v>62332</v>
      </c>
      <c r="X264">
        <v>66303</v>
      </c>
      <c r="Y264">
        <v>66196</v>
      </c>
      <c r="Z264">
        <v>491</v>
      </c>
      <c r="AA264">
        <v>598</v>
      </c>
      <c r="AB264">
        <v>0</v>
      </c>
      <c r="AC264">
        <v>0</v>
      </c>
      <c r="AD264">
        <v>0</v>
      </c>
      <c r="AE264">
        <v>0</v>
      </c>
      <c r="AF264">
        <v>0</v>
      </c>
      <c r="AG264">
        <v>0</v>
      </c>
      <c r="AH264">
        <v>0</v>
      </c>
      <c r="AI264">
        <v>0</v>
      </c>
      <c r="AJ264">
        <v>0</v>
      </c>
      <c r="AK264">
        <v>0</v>
      </c>
      <c r="AL264">
        <v>-3754</v>
      </c>
      <c r="AM264">
        <v>-173</v>
      </c>
      <c r="AN264">
        <v>-43</v>
      </c>
      <c r="AO264">
        <v>18</v>
      </c>
      <c r="AP264">
        <v>-3575</v>
      </c>
      <c r="AQ264">
        <v>-3733</v>
      </c>
      <c r="AR264">
        <v>-3730</v>
      </c>
      <c r="AS264">
        <v>-3758</v>
      </c>
      <c r="AT264">
        <v>-24</v>
      </c>
      <c r="AU264">
        <v>4</v>
      </c>
      <c r="AV264">
        <v>100</v>
      </c>
      <c r="AW264">
        <v>0.7</v>
      </c>
      <c r="AX264">
        <v>5.5</v>
      </c>
      <c r="AY264">
        <v>0.3</v>
      </c>
      <c r="AZ264">
        <v>98.2</v>
      </c>
      <c r="BA264">
        <v>93.3</v>
      </c>
      <c r="BB264">
        <v>99.3</v>
      </c>
      <c r="BC264">
        <v>99.1</v>
      </c>
      <c r="BD264">
        <v>0.7</v>
      </c>
      <c r="BE264">
        <v>0.9</v>
      </c>
      <c r="BF264">
        <v>100</v>
      </c>
      <c r="BG264">
        <v>0.7</v>
      </c>
      <c r="BH264">
        <v>5.5</v>
      </c>
      <c r="BI264">
        <v>0.3</v>
      </c>
      <c r="BJ264">
        <v>98.2</v>
      </c>
      <c r="BK264">
        <v>93.3</v>
      </c>
      <c r="BL264">
        <v>99.3</v>
      </c>
      <c r="BM264">
        <v>99.1</v>
      </c>
      <c r="BN264">
        <v>0.7</v>
      </c>
      <c r="BO264">
        <v>0.9</v>
      </c>
      <c r="BP264">
        <v>0</v>
      </c>
      <c r="BQ264">
        <v>0</v>
      </c>
      <c r="BR264">
        <v>0</v>
      </c>
      <c r="BS264">
        <v>0</v>
      </c>
      <c r="BT264">
        <v>0</v>
      </c>
      <c r="BU264">
        <v>0</v>
      </c>
      <c r="BV264">
        <v>0</v>
      </c>
      <c r="BW264">
        <v>0</v>
      </c>
      <c r="BX264">
        <v>0</v>
      </c>
      <c r="BY264">
        <v>0</v>
      </c>
      <c r="BZ264">
        <v>38</v>
      </c>
      <c r="CA264">
        <v>3</v>
      </c>
      <c r="CB264">
        <v>4</v>
      </c>
      <c r="CC264">
        <v>1</v>
      </c>
      <c r="CD264">
        <v>23</v>
      </c>
      <c r="CE264">
        <v>26</v>
      </c>
      <c r="CF264">
        <v>26</v>
      </c>
      <c r="CG264">
        <v>31</v>
      </c>
      <c r="CH264">
        <v>38</v>
      </c>
      <c r="CI264">
        <v>3</v>
      </c>
      <c r="CJ264">
        <v>4</v>
      </c>
      <c r="CK264">
        <v>1</v>
      </c>
      <c r="CL264">
        <v>23</v>
      </c>
      <c r="CM264">
        <v>26</v>
      </c>
      <c r="CN264">
        <v>26</v>
      </c>
      <c r="CO264">
        <v>31</v>
      </c>
      <c r="CP264">
        <v>0</v>
      </c>
      <c r="CQ264">
        <v>0</v>
      </c>
      <c r="CR264">
        <v>0</v>
      </c>
      <c r="CS264">
        <v>0</v>
      </c>
      <c r="CT264">
        <v>0</v>
      </c>
      <c r="CU264">
        <v>0</v>
      </c>
      <c r="CV264">
        <v>0</v>
      </c>
      <c r="CW264">
        <v>0</v>
      </c>
      <c r="CX264">
        <v>71.5</v>
      </c>
      <c r="CY264">
        <v>59.6</v>
      </c>
      <c r="CZ264">
        <v>85.7</v>
      </c>
      <c r="DA264">
        <v>80.099999999999994</v>
      </c>
      <c r="DB264">
        <v>70.3</v>
      </c>
      <c r="DC264">
        <v>57.5</v>
      </c>
      <c r="DD264">
        <v>81.8</v>
      </c>
      <c r="DE264">
        <v>77.400000000000006</v>
      </c>
      <c r="DF264">
        <v>71.5</v>
      </c>
      <c r="DG264">
        <v>59.6</v>
      </c>
      <c r="DH264">
        <v>85.7</v>
      </c>
      <c r="DI264">
        <v>80.099999999999994</v>
      </c>
      <c r="DJ264">
        <v>70.3</v>
      </c>
      <c r="DK264">
        <v>57.5</v>
      </c>
      <c r="DL264">
        <v>81.8</v>
      </c>
      <c r="DM264">
        <v>77.400000000000006</v>
      </c>
      <c r="DN264">
        <v>0</v>
      </c>
      <c r="DO264">
        <v>0</v>
      </c>
      <c r="DP264">
        <v>0</v>
      </c>
      <c r="DQ264">
        <v>0</v>
      </c>
      <c r="DR264">
        <v>0</v>
      </c>
      <c r="DS264">
        <v>0</v>
      </c>
      <c r="DT264">
        <v>0</v>
      </c>
      <c r="DU264">
        <v>0</v>
      </c>
      <c r="DV264" t="s">
        <v>521</v>
      </c>
    </row>
    <row r="265" spans="1:126" x14ac:dyDescent="0.35">
      <c r="A265" t="s">
        <v>519</v>
      </c>
      <c r="B265">
        <v>230103</v>
      </c>
      <c r="C265" s="1">
        <v>44929</v>
      </c>
      <c r="D265" t="s">
        <v>520</v>
      </c>
      <c r="E265" t="s">
        <v>184</v>
      </c>
      <c r="F265" t="s">
        <v>185</v>
      </c>
      <c r="G265" t="s">
        <v>463</v>
      </c>
      <c r="H265">
        <v>70548</v>
      </c>
      <c r="I265" s="17">
        <v>661</v>
      </c>
      <c r="J265" s="17">
        <v>3703</v>
      </c>
      <c r="K265">
        <v>186</v>
      </c>
      <c r="L265">
        <v>69186</v>
      </c>
      <c r="M265">
        <v>66065</v>
      </c>
      <c r="N265">
        <v>70033</v>
      </c>
      <c r="O265">
        <v>69954</v>
      </c>
      <c r="P265">
        <v>515</v>
      </c>
      <c r="Q265">
        <v>594</v>
      </c>
      <c r="R265">
        <v>70548</v>
      </c>
      <c r="S265">
        <v>661</v>
      </c>
      <c r="T265">
        <v>3703</v>
      </c>
      <c r="U265">
        <v>186</v>
      </c>
      <c r="V265">
        <v>69186</v>
      </c>
      <c r="W265">
        <v>66065</v>
      </c>
      <c r="X265">
        <v>70033</v>
      </c>
      <c r="Y265">
        <v>69954</v>
      </c>
      <c r="Z265">
        <v>515</v>
      </c>
      <c r="AA265">
        <v>594</v>
      </c>
      <c r="AB265">
        <v>0</v>
      </c>
      <c r="AC265">
        <v>0</v>
      </c>
      <c r="AD265">
        <v>0</v>
      </c>
      <c r="AE265">
        <v>0</v>
      </c>
      <c r="AF265">
        <v>0</v>
      </c>
      <c r="AG265">
        <v>0</v>
      </c>
      <c r="AH265">
        <v>0</v>
      </c>
      <c r="AI265">
        <v>0</v>
      </c>
      <c r="AJ265">
        <v>0</v>
      </c>
      <c r="AK265">
        <v>0</v>
      </c>
      <c r="AL265">
        <v>474</v>
      </c>
      <c r="AM265">
        <v>-100</v>
      </c>
      <c r="AN265">
        <v>80</v>
      </c>
      <c r="AO265">
        <v>32</v>
      </c>
      <c r="AP265">
        <v>539</v>
      </c>
      <c r="AQ265">
        <v>351</v>
      </c>
      <c r="AR265">
        <v>471</v>
      </c>
      <c r="AS265">
        <v>463</v>
      </c>
      <c r="AT265">
        <v>3</v>
      </c>
      <c r="AU265">
        <v>11</v>
      </c>
      <c r="AV265">
        <v>100</v>
      </c>
      <c r="AW265">
        <v>0.9</v>
      </c>
      <c r="AX265">
        <v>5.2</v>
      </c>
      <c r="AY265">
        <v>0.3</v>
      </c>
      <c r="AZ265">
        <v>98.1</v>
      </c>
      <c r="BA265">
        <v>93.6</v>
      </c>
      <c r="BB265">
        <v>99.3</v>
      </c>
      <c r="BC265">
        <v>99.2</v>
      </c>
      <c r="BD265">
        <v>0.7</v>
      </c>
      <c r="BE265">
        <v>0.8</v>
      </c>
      <c r="BF265">
        <v>100</v>
      </c>
      <c r="BG265">
        <v>0.9</v>
      </c>
      <c r="BH265">
        <v>5.2</v>
      </c>
      <c r="BI265">
        <v>0.3</v>
      </c>
      <c r="BJ265">
        <v>98.1</v>
      </c>
      <c r="BK265">
        <v>93.6</v>
      </c>
      <c r="BL265">
        <v>99.3</v>
      </c>
      <c r="BM265">
        <v>99.2</v>
      </c>
      <c r="BN265">
        <v>0.7</v>
      </c>
      <c r="BO265">
        <v>0.8</v>
      </c>
      <c r="BP265">
        <v>0</v>
      </c>
      <c r="BQ265">
        <v>0</v>
      </c>
      <c r="BR265">
        <v>0</v>
      </c>
      <c r="BS265">
        <v>0</v>
      </c>
      <c r="BT265">
        <v>0</v>
      </c>
      <c r="BU265">
        <v>0</v>
      </c>
      <c r="BV265">
        <v>0</v>
      </c>
      <c r="BW265">
        <v>0</v>
      </c>
      <c r="BX265">
        <v>0</v>
      </c>
      <c r="BY265">
        <v>0</v>
      </c>
      <c r="BZ265">
        <v>42</v>
      </c>
      <c r="CA265">
        <v>3</v>
      </c>
      <c r="CB265">
        <v>4</v>
      </c>
      <c r="CC265">
        <v>1</v>
      </c>
      <c r="CD265">
        <v>25</v>
      </c>
      <c r="CE265">
        <v>28</v>
      </c>
      <c r="CF265">
        <v>28</v>
      </c>
      <c r="CG265">
        <v>33</v>
      </c>
      <c r="CH265">
        <v>42</v>
      </c>
      <c r="CI265">
        <v>3</v>
      </c>
      <c r="CJ265">
        <v>4</v>
      </c>
      <c r="CK265">
        <v>1</v>
      </c>
      <c r="CL265">
        <v>25</v>
      </c>
      <c r="CM265">
        <v>28</v>
      </c>
      <c r="CN265">
        <v>28</v>
      </c>
      <c r="CO265">
        <v>33</v>
      </c>
      <c r="CP265">
        <v>0</v>
      </c>
      <c r="CQ265">
        <v>0</v>
      </c>
      <c r="CR265">
        <v>0</v>
      </c>
      <c r="CS265">
        <v>0</v>
      </c>
      <c r="CT265">
        <v>0</v>
      </c>
      <c r="CU265">
        <v>0</v>
      </c>
      <c r="CV265">
        <v>0</v>
      </c>
      <c r="CW265">
        <v>0</v>
      </c>
      <c r="CX265">
        <v>69</v>
      </c>
      <c r="CY265">
        <v>60.3</v>
      </c>
      <c r="CZ265">
        <v>84.5</v>
      </c>
      <c r="DA265">
        <v>79.900000000000006</v>
      </c>
      <c r="DB265">
        <v>68</v>
      </c>
      <c r="DC265">
        <v>58.6</v>
      </c>
      <c r="DD265">
        <v>81.400000000000006</v>
      </c>
      <c r="DE265">
        <v>77.2</v>
      </c>
      <c r="DF265">
        <v>69</v>
      </c>
      <c r="DG265">
        <v>60.3</v>
      </c>
      <c r="DH265">
        <v>84.5</v>
      </c>
      <c r="DI265">
        <v>79.900000000000006</v>
      </c>
      <c r="DJ265">
        <v>68</v>
      </c>
      <c r="DK265">
        <v>58.6</v>
      </c>
      <c r="DL265">
        <v>81.400000000000006</v>
      </c>
      <c r="DM265">
        <v>77.2</v>
      </c>
      <c r="DN265">
        <v>0</v>
      </c>
      <c r="DO265">
        <v>0</v>
      </c>
      <c r="DP265">
        <v>0</v>
      </c>
      <c r="DQ265">
        <v>0</v>
      </c>
      <c r="DR265">
        <v>0</v>
      </c>
      <c r="DS265">
        <v>0</v>
      </c>
      <c r="DT265">
        <v>0</v>
      </c>
      <c r="DU265">
        <v>0</v>
      </c>
      <c r="DV265" t="s">
        <v>521</v>
      </c>
    </row>
    <row r="266" spans="1:126" x14ac:dyDescent="0.35">
      <c r="A266" t="s">
        <v>522</v>
      </c>
      <c r="B266">
        <v>230110</v>
      </c>
      <c r="C266" s="1">
        <v>44936</v>
      </c>
      <c r="D266" t="s">
        <v>523</v>
      </c>
      <c r="E266" t="s">
        <v>184</v>
      </c>
      <c r="F266" t="s">
        <v>185</v>
      </c>
      <c r="G266" t="s">
        <v>463</v>
      </c>
      <c r="H266">
        <v>81651</v>
      </c>
      <c r="I266" s="17">
        <v>1009</v>
      </c>
      <c r="J266" s="17">
        <v>5353</v>
      </c>
      <c r="K266">
        <v>700</v>
      </c>
      <c r="L266">
        <v>79390</v>
      </c>
      <c r="M266">
        <v>75051</v>
      </c>
      <c r="N266">
        <v>81099</v>
      </c>
      <c r="O266">
        <v>81104</v>
      </c>
      <c r="P266">
        <v>552</v>
      </c>
      <c r="Q266">
        <v>547</v>
      </c>
      <c r="R266">
        <v>81651</v>
      </c>
      <c r="S266">
        <v>1009</v>
      </c>
      <c r="T266">
        <v>5353</v>
      </c>
      <c r="U266">
        <v>700</v>
      </c>
      <c r="V266">
        <v>79390</v>
      </c>
      <c r="W266">
        <v>75051</v>
      </c>
      <c r="X266">
        <v>81099</v>
      </c>
      <c r="Y266">
        <v>81104</v>
      </c>
      <c r="Z266">
        <v>552</v>
      </c>
      <c r="AA266">
        <v>547</v>
      </c>
      <c r="AB266">
        <v>0</v>
      </c>
      <c r="AC266">
        <v>0</v>
      </c>
      <c r="AD266">
        <v>0</v>
      </c>
      <c r="AE266">
        <v>0</v>
      </c>
      <c r="AF266">
        <v>0</v>
      </c>
      <c r="AG266">
        <v>0</v>
      </c>
      <c r="AH266">
        <v>0</v>
      </c>
      <c r="AI266">
        <v>0</v>
      </c>
      <c r="AJ266">
        <v>0</v>
      </c>
      <c r="AK266">
        <v>0</v>
      </c>
      <c r="AL266">
        <v>-5322</v>
      </c>
      <c r="AM266">
        <v>-147</v>
      </c>
      <c r="AN266">
        <v>-291</v>
      </c>
      <c r="AO266">
        <v>82</v>
      </c>
      <c r="AP266">
        <v>-5144</v>
      </c>
      <c r="AQ266">
        <v>-5081</v>
      </c>
      <c r="AR266">
        <v>-5209</v>
      </c>
      <c r="AS266">
        <v>-5290</v>
      </c>
      <c r="AT266">
        <v>-113</v>
      </c>
      <c r="AU266">
        <v>-32</v>
      </c>
      <c r="AV266">
        <v>100</v>
      </c>
      <c r="AW266">
        <v>1.2</v>
      </c>
      <c r="AX266">
        <v>6.6</v>
      </c>
      <c r="AY266">
        <v>0.9</v>
      </c>
      <c r="AZ266">
        <v>97.2</v>
      </c>
      <c r="BA266">
        <v>91.9</v>
      </c>
      <c r="BB266">
        <v>99.3</v>
      </c>
      <c r="BC266">
        <v>99.3</v>
      </c>
      <c r="BD266">
        <v>0.7</v>
      </c>
      <c r="BE266">
        <v>0.7</v>
      </c>
      <c r="BF266">
        <v>100</v>
      </c>
      <c r="BG266">
        <v>1.2</v>
      </c>
      <c r="BH266">
        <v>6.6</v>
      </c>
      <c r="BI266">
        <v>0.9</v>
      </c>
      <c r="BJ266">
        <v>97.2</v>
      </c>
      <c r="BK266">
        <v>91.9</v>
      </c>
      <c r="BL266">
        <v>99.3</v>
      </c>
      <c r="BM266">
        <v>99.3</v>
      </c>
      <c r="BN266">
        <v>0.7</v>
      </c>
      <c r="BO266">
        <v>0.7</v>
      </c>
      <c r="BP266">
        <v>0</v>
      </c>
      <c r="BQ266">
        <v>0</v>
      </c>
      <c r="BR266">
        <v>0</v>
      </c>
      <c r="BS266">
        <v>0</v>
      </c>
      <c r="BT266">
        <v>0</v>
      </c>
      <c r="BU266">
        <v>0</v>
      </c>
      <c r="BV266">
        <v>0</v>
      </c>
      <c r="BW266">
        <v>0</v>
      </c>
      <c r="BX266">
        <v>0</v>
      </c>
      <c r="BY266">
        <v>0</v>
      </c>
      <c r="BZ266">
        <v>50</v>
      </c>
      <c r="CA266">
        <v>5</v>
      </c>
      <c r="CB266">
        <v>7</v>
      </c>
      <c r="CC266">
        <v>8</v>
      </c>
      <c r="CD266">
        <v>29</v>
      </c>
      <c r="CE266">
        <v>31</v>
      </c>
      <c r="CF266">
        <v>38</v>
      </c>
      <c r="CG266">
        <v>42</v>
      </c>
      <c r="CH266">
        <v>50</v>
      </c>
      <c r="CI266">
        <v>5</v>
      </c>
      <c r="CJ266">
        <v>7</v>
      </c>
      <c r="CK266">
        <v>8</v>
      </c>
      <c r="CL266">
        <v>29</v>
      </c>
      <c r="CM266">
        <v>31</v>
      </c>
      <c r="CN266">
        <v>38</v>
      </c>
      <c r="CO266">
        <v>42</v>
      </c>
      <c r="CP266">
        <v>0</v>
      </c>
      <c r="CQ266">
        <v>0</v>
      </c>
      <c r="CR266">
        <v>0</v>
      </c>
      <c r="CS266">
        <v>0</v>
      </c>
      <c r="CT266">
        <v>0</v>
      </c>
      <c r="CU266">
        <v>0</v>
      </c>
      <c r="CV266">
        <v>0</v>
      </c>
      <c r="CW266">
        <v>0</v>
      </c>
      <c r="CX266">
        <v>68.2</v>
      </c>
      <c r="CY266">
        <v>55.8</v>
      </c>
      <c r="CZ266">
        <v>83.3</v>
      </c>
      <c r="DA266">
        <v>74.900000000000006</v>
      </c>
      <c r="DB266">
        <v>66.7</v>
      </c>
      <c r="DC266">
        <v>54.7</v>
      </c>
      <c r="DD266">
        <v>79.099999999999994</v>
      </c>
      <c r="DE266">
        <v>70.599999999999994</v>
      </c>
      <c r="DF266">
        <v>68.2</v>
      </c>
      <c r="DG266">
        <v>55.8</v>
      </c>
      <c r="DH266">
        <v>83.3</v>
      </c>
      <c r="DI266">
        <v>74.900000000000006</v>
      </c>
      <c r="DJ266">
        <v>66.7</v>
      </c>
      <c r="DK266">
        <v>54.7</v>
      </c>
      <c r="DL266">
        <v>79.099999999999994</v>
      </c>
      <c r="DM266">
        <v>70.599999999999994</v>
      </c>
      <c r="DN266">
        <v>0</v>
      </c>
      <c r="DO266">
        <v>0</v>
      </c>
      <c r="DP266">
        <v>0</v>
      </c>
      <c r="DQ266">
        <v>0</v>
      </c>
      <c r="DR266">
        <v>0</v>
      </c>
      <c r="DS266">
        <v>0</v>
      </c>
      <c r="DT266">
        <v>0</v>
      </c>
      <c r="DU266">
        <v>0</v>
      </c>
      <c r="DV266" t="s">
        <v>481</v>
      </c>
    </row>
    <row r="267" spans="1:126" x14ac:dyDescent="0.35">
      <c r="A267" t="s">
        <v>522</v>
      </c>
      <c r="B267">
        <v>230103</v>
      </c>
      <c r="C267" s="1">
        <v>44929</v>
      </c>
      <c r="D267" t="s">
        <v>523</v>
      </c>
      <c r="E267" t="s">
        <v>184</v>
      </c>
      <c r="F267" t="s">
        <v>185</v>
      </c>
      <c r="G267" t="s">
        <v>463</v>
      </c>
      <c r="H267">
        <v>86973</v>
      </c>
      <c r="I267" s="17">
        <v>1156</v>
      </c>
      <c r="J267" s="17">
        <v>5644</v>
      </c>
      <c r="K267">
        <v>618</v>
      </c>
      <c r="L267">
        <v>84534</v>
      </c>
      <c r="M267">
        <v>80132</v>
      </c>
      <c r="N267">
        <v>86308</v>
      </c>
      <c r="O267">
        <v>86394</v>
      </c>
      <c r="P267">
        <v>665</v>
      </c>
      <c r="Q267">
        <v>579</v>
      </c>
      <c r="R267">
        <v>86973</v>
      </c>
      <c r="S267">
        <v>1156</v>
      </c>
      <c r="T267">
        <v>5644</v>
      </c>
      <c r="U267">
        <v>618</v>
      </c>
      <c r="V267">
        <v>84534</v>
      </c>
      <c r="W267">
        <v>80132</v>
      </c>
      <c r="X267">
        <v>86308</v>
      </c>
      <c r="Y267">
        <v>86394</v>
      </c>
      <c r="Z267">
        <v>665</v>
      </c>
      <c r="AA267">
        <v>579</v>
      </c>
      <c r="AB267">
        <v>0</v>
      </c>
      <c r="AC267">
        <v>0</v>
      </c>
      <c r="AD267">
        <v>0</v>
      </c>
      <c r="AE267">
        <v>0</v>
      </c>
      <c r="AF267">
        <v>0</v>
      </c>
      <c r="AG267">
        <v>0</v>
      </c>
      <c r="AH267">
        <v>0</v>
      </c>
      <c r="AI267">
        <v>0</v>
      </c>
      <c r="AJ267">
        <v>0</v>
      </c>
      <c r="AK267">
        <v>0</v>
      </c>
      <c r="AL267">
        <v>712</v>
      </c>
      <c r="AM267">
        <v>-197</v>
      </c>
      <c r="AN267">
        <v>872</v>
      </c>
      <c r="AO267">
        <v>185</v>
      </c>
      <c r="AP267">
        <v>706</v>
      </c>
      <c r="AQ267">
        <v>-379</v>
      </c>
      <c r="AR267">
        <v>694</v>
      </c>
      <c r="AS267">
        <v>678</v>
      </c>
      <c r="AT267">
        <v>18</v>
      </c>
      <c r="AU267">
        <v>34</v>
      </c>
      <c r="AV267">
        <v>100</v>
      </c>
      <c r="AW267">
        <v>1.3</v>
      </c>
      <c r="AX267">
        <v>6.5</v>
      </c>
      <c r="AY267">
        <v>0.7</v>
      </c>
      <c r="AZ267">
        <v>97.2</v>
      </c>
      <c r="BA267">
        <v>92.1</v>
      </c>
      <c r="BB267">
        <v>99.2</v>
      </c>
      <c r="BC267">
        <v>99.3</v>
      </c>
      <c r="BD267">
        <v>0.8</v>
      </c>
      <c r="BE267">
        <v>0.7</v>
      </c>
      <c r="BF267">
        <v>100</v>
      </c>
      <c r="BG267">
        <v>1.3</v>
      </c>
      <c r="BH267">
        <v>6.5</v>
      </c>
      <c r="BI267">
        <v>0.7</v>
      </c>
      <c r="BJ267">
        <v>97.2</v>
      </c>
      <c r="BK267">
        <v>92.1</v>
      </c>
      <c r="BL267">
        <v>99.2</v>
      </c>
      <c r="BM267">
        <v>99.3</v>
      </c>
      <c r="BN267">
        <v>0.8</v>
      </c>
      <c r="BO267">
        <v>0.7</v>
      </c>
      <c r="BP267">
        <v>0</v>
      </c>
      <c r="BQ267">
        <v>0</v>
      </c>
      <c r="BR267">
        <v>0</v>
      </c>
      <c r="BS267">
        <v>0</v>
      </c>
      <c r="BT267">
        <v>0</v>
      </c>
      <c r="BU267">
        <v>0</v>
      </c>
      <c r="BV267">
        <v>0</v>
      </c>
      <c r="BW267">
        <v>0</v>
      </c>
      <c r="BX267">
        <v>0</v>
      </c>
      <c r="BY267">
        <v>0</v>
      </c>
      <c r="BZ267">
        <v>53</v>
      </c>
      <c r="CA267">
        <v>5</v>
      </c>
      <c r="CB267">
        <v>7</v>
      </c>
      <c r="CC267">
        <v>8</v>
      </c>
      <c r="CD267">
        <v>29</v>
      </c>
      <c r="CE267">
        <v>33</v>
      </c>
      <c r="CF267">
        <v>38</v>
      </c>
      <c r="CG267">
        <v>44</v>
      </c>
      <c r="CH267">
        <v>53</v>
      </c>
      <c r="CI267">
        <v>5</v>
      </c>
      <c r="CJ267">
        <v>7</v>
      </c>
      <c r="CK267">
        <v>8</v>
      </c>
      <c r="CL267">
        <v>29</v>
      </c>
      <c r="CM267">
        <v>33</v>
      </c>
      <c r="CN267">
        <v>38</v>
      </c>
      <c r="CO267">
        <v>44</v>
      </c>
      <c r="CP267">
        <v>0</v>
      </c>
      <c r="CQ267">
        <v>0</v>
      </c>
      <c r="CR267">
        <v>0</v>
      </c>
      <c r="CS267">
        <v>0</v>
      </c>
      <c r="CT267">
        <v>0</v>
      </c>
      <c r="CU267">
        <v>0</v>
      </c>
      <c r="CV267">
        <v>0</v>
      </c>
      <c r="CW267">
        <v>0</v>
      </c>
      <c r="CX267">
        <v>66.400000000000006</v>
      </c>
      <c r="CY267">
        <v>55.7</v>
      </c>
      <c r="CZ267">
        <v>83.1</v>
      </c>
      <c r="DA267">
        <v>74.5</v>
      </c>
      <c r="DB267">
        <v>65</v>
      </c>
      <c r="DC267">
        <v>54.4</v>
      </c>
      <c r="DD267">
        <v>79.3</v>
      </c>
      <c r="DE267">
        <v>70.099999999999994</v>
      </c>
      <c r="DF267">
        <v>66.400000000000006</v>
      </c>
      <c r="DG267">
        <v>55.7</v>
      </c>
      <c r="DH267">
        <v>83.1</v>
      </c>
      <c r="DI267">
        <v>74.5</v>
      </c>
      <c r="DJ267">
        <v>65</v>
      </c>
      <c r="DK267">
        <v>54.4</v>
      </c>
      <c r="DL267">
        <v>79.3</v>
      </c>
      <c r="DM267">
        <v>70.099999999999994</v>
      </c>
      <c r="DN267">
        <v>0</v>
      </c>
      <c r="DO267">
        <v>0</v>
      </c>
      <c r="DP267">
        <v>0</v>
      </c>
      <c r="DQ267">
        <v>0</v>
      </c>
      <c r="DR267">
        <v>0</v>
      </c>
      <c r="DS267">
        <v>0</v>
      </c>
      <c r="DT267">
        <v>0</v>
      </c>
      <c r="DU267">
        <v>0</v>
      </c>
      <c r="DV267" t="s">
        <v>481</v>
      </c>
    </row>
    <row r="268" spans="1:126" x14ac:dyDescent="0.35">
      <c r="A268" t="s">
        <v>524</v>
      </c>
      <c r="B268">
        <v>230110</v>
      </c>
      <c r="C268" s="1">
        <v>44936</v>
      </c>
      <c r="D268" t="s">
        <v>525</v>
      </c>
      <c r="E268" t="s">
        <v>184</v>
      </c>
      <c r="F268" t="s">
        <v>185</v>
      </c>
      <c r="G268" t="s">
        <v>463</v>
      </c>
      <c r="H268">
        <v>35595</v>
      </c>
      <c r="I268" s="17">
        <v>60</v>
      </c>
      <c r="J268" s="17">
        <v>1822</v>
      </c>
      <c r="K268">
        <v>1143</v>
      </c>
      <c r="L268">
        <v>34197</v>
      </c>
      <c r="M268">
        <v>32620</v>
      </c>
      <c r="N268">
        <v>35400</v>
      </c>
      <c r="O268">
        <v>35585</v>
      </c>
      <c r="P268">
        <v>195</v>
      </c>
      <c r="Q268">
        <v>10</v>
      </c>
      <c r="R268">
        <v>35595</v>
      </c>
      <c r="S268">
        <v>60</v>
      </c>
      <c r="T268">
        <v>1822</v>
      </c>
      <c r="U268">
        <v>1143</v>
      </c>
      <c r="V268">
        <v>34197</v>
      </c>
      <c r="W268">
        <v>32620</v>
      </c>
      <c r="X268">
        <v>35400</v>
      </c>
      <c r="Y268">
        <v>35585</v>
      </c>
      <c r="Z268">
        <v>195</v>
      </c>
      <c r="AA268">
        <v>10</v>
      </c>
      <c r="AB268">
        <v>0</v>
      </c>
      <c r="AC268">
        <v>0</v>
      </c>
      <c r="AD268">
        <v>0</v>
      </c>
      <c r="AE268">
        <v>0</v>
      </c>
      <c r="AF268">
        <v>0</v>
      </c>
      <c r="AG268">
        <v>0</v>
      </c>
      <c r="AH268">
        <v>0</v>
      </c>
      <c r="AI268">
        <v>0</v>
      </c>
      <c r="AJ268">
        <v>0</v>
      </c>
      <c r="AK268">
        <v>0</v>
      </c>
      <c r="AL268">
        <v>-6004</v>
      </c>
      <c r="AM268">
        <v>47</v>
      </c>
      <c r="AN268">
        <v>-301</v>
      </c>
      <c r="AO268">
        <v>-217</v>
      </c>
      <c r="AP268">
        <v>-5819</v>
      </c>
      <c r="AQ268">
        <v>-5476</v>
      </c>
      <c r="AR268">
        <v>-5989</v>
      </c>
      <c r="AS268">
        <v>-5994</v>
      </c>
      <c r="AT268">
        <v>-15</v>
      </c>
      <c r="AU268">
        <v>-10</v>
      </c>
      <c r="AV268">
        <v>100</v>
      </c>
      <c r="AW268">
        <v>0.2</v>
      </c>
      <c r="AX268">
        <v>5.0999999999999996</v>
      </c>
      <c r="AY268">
        <v>3.2</v>
      </c>
      <c r="AZ268">
        <v>96.1</v>
      </c>
      <c r="BA268">
        <v>91.6</v>
      </c>
      <c r="BB268">
        <v>99.5</v>
      </c>
      <c r="BC268">
        <v>100</v>
      </c>
      <c r="BD268">
        <v>0.5</v>
      </c>
      <c r="BE268">
        <v>0</v>
      </c>
      <c r="BF268">
        <v>100</v>
      </c>
      <c r="BG268">
        <v>0.2</v>
      </c>
      <c r="BH268">
        <v>5.0999999999999996</v>
      </c>
      <c r="BI268">
        <v>3.2</v>
      </c>
      <c r="BJ268">
        <v>96.1</v>
      </c>
      <c r="BK268">
        <v>91.6</v>
      </c>
      <c r="BL268">
        <v>99.5</v>
      </c>
      <c r="BM268">
        <v>100</v>
      </c>
      <c r="BN268">
        <v>0.5</v>
      </c>
      <c r="BO268">
        <v>0</v>
      </c>
      <c r="BP268">
        <v>0</v>
      </c>
      <c r="BQ268">
        <v>0</v>
      </c>
      <c r="BR268">
        <v>0</v>
      </c>
      <c r="BS268">
        <v>0</v>
      </c>
      <c r="BT268">
        <v>0</v>
      </c>
      <c r="BU268">
        <v>0</v>
      </c>
      <c r="BV268">
        <v>0</v>
      </c>
      <c r="BW268">
        <v>0</v>
      </c>
      <c r="BX268">
        <v>0</v>
      </c>
      <c r="BY268">
        <v>0</v>
      </c>
      <c r="BZ268">
        <v>29</v>
      </c>
      <c r="CA268">
        <v>1</v>
      </c>
      <c r="CB268">
        <v>5</v>
      </c>
      <c r="CC268">
        <v>2</v>
      </c>
      <c r="CD268">
        <v>17</v>
      </c>
      <c r="CE268">
        <v>15</v>
      </c>
      <c r="CF268">
        <v>20</v>
      </c>
      <c r="CG268">
        <v>21</v>
      </c>
      <c r="CH268">
        <v>29</v>
      </c>
      <c r="CI268">
        <v>1</v>
      </c>
      <c r="CJ268">
        <v>5</v>
      </c>
      <c r="CK268">
        <v>2</v>
      </c>
      <c r="CL268">
        <v>17</v>
      </c>
      <c r="CM268">
        <v>15</v>
      </c>
      <c r="CN268">
        <v>20</v>
      </c>
      <c r="CO268">
        <v>21</v>
      </c>
      <c r="CP268">
        <v>0</v>
      </c>
      <c r="CQ268">
        <v>0</v>
      </c>
      <c r="CR268">
        <v>0</v>
      </c>
      <c r="CS268">
        <v>0</v>
      </c>
      <c r="CT268">
        <v>0</v>
      </c>
      <c r="CU268">
        <v>0</v>
      </c>
      <c r="CV268">
        <v>0</v>
      </c>
      <c r="CW268">
        <v>0</v>
      </c>
      <c r="CX268">
        <v>76.400000000000006</v>
      </c>
      <c r="CY268">
        <v>81.099999999999994</v>
      </c>
      <c r="CZ268">
        <v>90</v>
      </c>
      <c r="DA268">
        <v>93.7</v>
      </c>
      <c r="DB268">
        <v>75.5</v>
      </c>
      <c r="DC268">
        <v>78</v>
      </c>
      <c r="DD268">
        <v>85.6</v>
      </c>
      <c r="DE268">
        <v>86.4</v>
      </c>
      <c r="DF268">
        <v>76.400000000000006</v>
      </c>
      <c r="DG268">
        <v>81.099999999999994</v>
      </c>
      <c r="DH268">
        <v>90</v>
      </c>
      <c r="DI268">
        <v>93.7</v>
      </c>
      <c r="DJ268">
        <v>75.5</v>
      </c>
      <c r="DK268">
        <v>78</v>
      </c>
      <c r="DL268">
        <v>85.6</v>
      </c>
      <c r="DM268">
        <v>86.4</v>
      </c>
      <c r="DN268">
        <v>0</v>
      </c>
      <c r="DO268">
        <v>0</v>
      </c>
      <c r="DP268">
        <v>0</v>
      </c>
      <c r="DQ268">
        <v>0</v>
      </c>
      <c r="DR268">
        <v>0</v>
      </c>
      <c r="DS268">
        <v>0</v>
      </c>
      <c r="DT268">
        <v>0</v>
      </c>
      <c r="DU268">
        <v>0</v>
      </c>
      <c r="DV268" t="s">
        <v>526</v>
      </c>
    </row>
    <row r="269" spans="1:126" x14ac:dyDescent="0.35">
      <c r="A269" t="s">
        <v>524</v>
      </c>
      <c r="B269">
        <v>230103</v>
      </c>
      <c r="C269" s="1">
        <v>44929</v>
      </c>
      <c r="D269" t="s">
        <v>525</v>
      </c>
      <c r="E269" t="s">
        <v>184</v>
      </c>
      <c r="F269" t="s">
        <v>185</v>
      </c>
      <c r="G269" t="s">
        <v>463</v>
      </c>
      <c r="H269">
        <v>41599</v>
      </c>
      <c r="I269" s="17">
        <v>13</v>
      </c>
      <c r="J269" s="17">
        <v>2123</v>
      </c>
      <c r="K269">
        <v>1360</v>
      </c>
      <c r="L269">
        <v>40016</v>
      </c>
      <c r="M269">
        <v>38096</v>
      </c>
      <c r="N269">
        <v>41389</v>
      </c>
      <c r="O269">
        <v>41579</v>
      </c>
      <c r="P269">
        <v>210</v>
      </c>
      <c r="Q269">
        <v>20</v>
      </c>
      <c r="R269">
        <v>41599</v>
      </c>
      <c r="S269">
        <v>13</v>
      </c>
      <c r="T269">
        <v>2123</v>
      </c>
      <c r="U269">
        <v>1360</v>
      </c>
      <c r="V269">
        <v>40016</v>
      </c>
      <c r="W269">
        <v>38096</v>
      </c>
      <c r="X269">
        <v>41389</v>
      </c>
      <c r="Y269">
        <v>41579</v>
      </c>
      <c r="Z269">
        <v>210</v>
      </c>
      <c r="AA269">
        <v>20</v>
      </c>
      <c r="AB269">
        <v>0</v>
      </c>
      <c r="AC269">
        <v>0</v>
      </c>
      <c r="AD269">
        <v>0</v>
      </c>
      <c r="AE269">
        <v>0</v>
      </c>
      <c r="AF269">
        <v>0</v>
      </c>
      <c r="AG269">
        <v>0</v>
      </c>
      <c r="AH269">
        <v>0</v>
      </c>
      <c r="AI269">
        <v>0</v>
      </c>
      <c r="AJ269">
        <v>0</v>
      </c>
      <c r="AK269">
        <v>0</v>
      </c>
      <c r="AL269">
        <v>70</v>
      </c>
      <c r="AM269">
        <v>13</v>
      </c>
      <c r="AN269">
        <v>-2</v>
      </c>
      <c r="AO269">
        <v>17</v>
      </c>
      <c r="AP269">
        <v>40</v>
      </c>
      <c r="AQ269">
        <v>45</v>
      </c>
      <c r="AR269">
        <v>70</v>
      </c>
      <c r="AS269">
        <v>60</v>
      </c>
      <c r="AT269">
        <v>0</v>
      </c>
      <c r="AU269">
        <v>10</v>
      </c>
      <c r="AV269">
        <v>100</v>
      </c>
      <c r="AW269">
        <v>0</v>
      </c>
      <c r="AX269">
        <v>5.0999999999999996</v>
      </c>
      <c r="AY269">
        <v>3.3</v>
      </c>
      <c r="AZ269">
        <v>96.2</v>
      </c>
      <c r="BA269">
        <v>91.6</v>
      </c>
      <c r="BB269">
        <v>99.5</v>
      </c>
      <c r="BC269">
        <v>100</v>
      </c>
      <c r="BD269">
        <v>0.5</v>
      </c>
      <c r="BE269">
        <v>0</v>
      </c>
      <c r="BF269">
        <v>100</v>
      </c>
      <c r="BG269">
        <v>0</v>
      </c>
      <c r="BH269">
        <v>5.0999999999999996</v>
      </c>
      <c r="BI269">
        <v>3.3</v>
      </c>
      <c r="BJ269">
        <v>96.2</v>
      </c>
      <c r="BK269">
        <v>91.6</v>
      </c>
      <c r="BL269">
        <v>99.5</v>
      </c>
      <c r="BM269">
        <v>100</v>
      </c>
      <c r="BN269">
        <v>0.5</v>
      </c>
      <c r="BO269">
        <v>0</v>
      </c>
      <c r="BP269">
        <v>0</v>
      </c>
      <c r="BQ269">
        <v>0</v>
      </c>
      <c r="BR269">
        <v>0</v>
      </c>
      <c r="BS269">
        <v>0</v>
      </c>
      <c r="BT269">
        <v>0</v>
      </c>
      <c r="BU269">
        <v>0</v>
      </c>
      <c r="BV269">
        <v>0</v>
      </c>
      <c r="BW269">
        <v>0</v>
      </c>
      <c r="BX269">
        <v>0</v>
      </c>
      <c r="BY269">
        <v>0</v>
      </c>
      <c r="BZ269">
        <v>32</v>
      </c>
      <c r="CA269">
        <v>1</v>
      </c>
      <c r="CB269">
        <v>5</v>
      </c>
      <c r="CC269">
        <v>4</v>
      </c>
      <c r="CD269">
        <v>20</v>
      </c>
      <c r="CE269">
        <v>18</v>
      </c>
      <c r="CF269">
        <v>24</v>
      </c>
      <c r="CG269">
        <v>25</v>
      </c>
      <c r="CH269">
        <v>32</v>
      </c>
      <c r="CI269">
        <v>1</v>
      </c>
      <c r="CJ269">
        <v>5</v>
      </c>
      <c r="CK269">
        <v>4</v>
      </c>
      <c r="CL269">
        <v>20</v>
      </c>
      <c r="CM269">
        <v>18</v>
      </c>
      <c r="CN269">
        <v>24</v>
      </c>
      <c r="CO269">
        <v>25</v>
      </c>
      <c r="CP269">
        <v>0</v>
      </c>
      <c r="CQ269">
        <v>0</v>
      </c>
      <c r="CR269">
        <v>0</v>
      </c>
      <c r="CS269">
        <v>0</v>
      </c>
      <c r="CT269">
        <v>0</v>
      </c>
      <c r="CU269">
        <v>0</v>
      </c>
      <c r="CV269">
        <v>0</v>
      </c>
      <c r="CW269">
        <v>0</v>
      </c>
      <c r="CX269">
        <v>75.599999999999994</v>
      </c>
      <c r="CY269">
        <v>84.4</v>
      </c>
      <c r="CZ269">
        <v>90.1</v>
      </c>
      <c r="DA269">
        <v>93.1</v>
      </c>
      <c r="DB269">
        <v>73.2</v>
      </c>
      <c r="DC269">
        <v>81.2</v>
      </c>
      <c r="DD269">
        <v>85</v>
      </c>
      <c r="DE269">
        <v>86</v>
      </c>
      <c r="DF269">
        <v>75.599999999999994</v>
      </c>
      <c r="DG269">
        <v>84.4</v>
      </c>
      <c r="DH269">
        <v>90.1</v>
      </c>
      <c r="DI269">
        <v>93.1</v>
      </c>
      <c r="DJ269">
        <v>73.2</v>
      </c>
      <c r="DK269">
        <v>81.2</v>
      </c>
      <c r="DL269">
        <v>85</v>
      </c>
      <c r="DM269">
        <v>86</v>
      </c>
      <c r="DN269">
        <v>0</v>
      </c>
      <c r="DO269">
        <v>0</v>
      </c>
      <c r="DP269">
        <v>0</v>
      </c>
      <c r="DQ269">
        <v>0</v>
      </c>
      <c r="DR269">
        <v>0</v>
      </c>
      <c r="DS269">
        <v>0</v>
      </c>
      <c r="DT269">
        <v>0</v>
      </c>
      <c r="DU269">
        <v>0</v>
      </c>
      <c r="DV269" t="s">
        <v>526</v>
      </c>
    </row>
    <row r="270" spans="1:126" x14ac:dyDescent="0.35">
      <c r="A270" t="s">
        <v>527</v>
      </c>
      <c r="B270">
        <v>230110</v>
      </c>
      <c r="C270" s="1">
        <v>44936</v>
      </c>
      <c r="D270" t="s">
        <v>528</v>
      </c>
      <c r="E270" t="s">
        <v>184</v>
      </c>
      <c r="F270" t="s">
        <v>185</v>
      </c>
      <c r="G270" t="s">
        <v>463</v>
      </c>
      <c r="H270">
        <v>38834</v>
      </c>
      <c r="I270" s="17">
        <v>0</v>
      </c>
      <c r="J270" s="17">
        <v>2190</v>
      </c>
      <c r="K270">
        <v>325</v>
      </c>
      <c r="L270">
        <v>38314</v>
      </c>
      <c r="M270">
        <v>36319</v>
      </c>
      <c r="N270">
        <v>38639</v>
      </c>
      <c r="O270">
        <v>38834</v>
      </c>
      <c r="P270">
        <v>195</v>
      </c>
      <c r="Q270">
        <v>0</v>
      </c>
      <c r="R270">
        <v>38834</v>
      </c>
      <c r="S270">
        <v>0</v>
      </c>
      <c r="T270">
        <v>2190</v>
      </c>
      <c r="U270">
        <v>325</v>
      </c>
      <c r="V270">
        <v>38314</v>
      </c>
      <c r="W270">
        <v>36319</v>
      </c>
      <c r="X270">
        <v>38639</v>
      </c>
      <c r="Y270">
        <v>38834</v>
      </c>
      <c r="Z270">
        <v>195</v>
      </c>
      <c r="AA270">
        <v>0</v>
      </c>
      <c r="AB270">
        <v>0</v>
      </c>
      <c r="AC270">
        <v>0</v>
      </c>
      <c r="AD270">
        <v>0</v>
      </c>
      <c r="AE270">
        <v>0</v>
      </c>
      <c r="AF270">
        <v>0</v>
      </c>
      <c r="AG270">
        <v>0</v>
      </c>
      <c r="AH270">
        <v>0</v>
      </c>
      <c r="AI270">
        <v>0</v>
      </c>
      <c r="AJ270">
        <v>0</v>
      </c>
      <c r="AK270">
        <v>0</v>
      </c>
      <c r="AL270">
        <v>-2585</v>
      </c>
      <c r="AM270">
        <v>0</v>
      </c>
      <c r="AN270">
        <v>-215</v>
      </c>
      <c r="AO270">
        <v>0</v>
      </c>
      <c r="AP270">
        <v>-2580</v>
      </c>
      <c r="AQ270">
        <v>-2370</v>
      </c>
      <c r="AR270">
        <v>-2580</v>
      </c>
      <c r="AS270">
        <v>-2585</v>
      </c>
      <c r="AT270">
        <v>-5</v>
      </c>
      <c r="AU270">
        <v>0</v>
      </c>
      <c r="AV270">
        <v>100</v>
      </c>
      <c r="AW270">
        <v>0</v>
      </c>
      <c r="AX270">
        <v>5.6</v>
      </c>
      <c r="AY270">
        <v>0.8</v>
      </c>
      <c r="AZ270">
        <v>98.7</v>
      </c>
      <c r="BA270">
        <v>93.5</v>
      </c>
      <c r="BB270">
        <v>99.5</v>
      </c>
      <c r="BC270">
        <v>100</v>
      </c>
      <c r="BD270">
        <v>0.5</v>
      </c>
      <c r="BE270">
        <v>0</v>
      </c>
      <c r="BF270">
        <v>100</v>
      </c>
      <c r="BG270">
        <v>0</v>
      </c>
      <c r="BH270">
        <v>5.6</v>
      </c>
      <c r="BI270">
        <v>0.8</v>
      </c>
      <c r="BJ270">
        <v>98.7</v>
      </c>
      <c r="BK270">
        <v>93.5</v>
      </c>
      <c r="BL270">
        <v>99.5</v>
      </c>
      <c r="BM270">
        <v>100</v>
      </c>
      <c r="BN270">
        <v>0.5</v>
      </c>
      <c r="BO270">
        <v>0</v>
      </c>
      <c r="BP270">
        <v>0</v>
      </c>
      <c r="BQ270">
        <v>0</v>
      </c>
      <c r="BR270">
        <v>0</v>
      </c>
      <c r="BS270">
        <v>0</v>
      </c>
      <c r="BT270">
        <v>0</v>
      </c>
      <c r="BU270">
        <v>0</v>
      </c>
      <c r="BV270">
        <v>0</v>
      </c>
      <c r="BW270">
        <v>0</v>
      </c>
      <c r="BX270">
        <v>0</v>
      </c>
      <c r="BY270">
        <v>0</v>
      </c>
      <c r="BZ270">
        <v>21</v>
      </c>
      <c r="CA270">
        <v>0</v>
      </c>
      <c r="CB270">
        <v>3</v>
      </c>
      <c r="CC270">
        <v>1</v>
      </c>
      <c r="CD270">
        <v>14</v>
      </c>
      <c r="CE270">
        <v>11</v>
      </c>
      <c r="CF270">
        <v>15</v>
      </c>
      <c r="CG270">
        <v>14</v>
      </c>
      <c r="CH270">
        <v>21</v>
      </c>
      <c r="CI270">
        <v>0</v>
      </c>
      <c r="CJ270">
        <v>3</v>
      </c>
      <c r="CK270">
        <v>1</v>
      </c>
      <c r="CL270">
        <v>14</v>
      </c>
      <c r="CM270">
        <v>11</v>
      </c>
      <c r="CN270">
        <v>15</v>
      </c>
      <c r="CO270">
        <v>14</v>
      </c>
      <c r="CP270">
        <v>0</v>
      </c>
      <c r="CQ270">
        <v>0</v>
      </c>
      <c r="CR270">
        <v>0</v>
      </c>
      <c r="CS270">
        <v>0</v>
      </c>
      <c r="CT270">
        <v>0</v>
      </c>
      <c r="CU270">
        <v>0</v>
      </c>
      <c r="CV270">
        <v>0</v>
      </c>
      <c r="CW270">
        <v>0</v>
      </c>
      <c r="CX270">
        <v>86.5</v>
      </c>
      <c r="CY270">
        <v>89.6</v>
      </c>
      <c r="CZ270">
        <v>96</v>
      </c>
      <c r="DA270">
        <v>97.5</v>
      </c>
      <c r="DB270">
        <v>78.5</v>
      </c>
      <c r="DC270">
        <v>79.8</v>
      </c>
      <c r="DD270">
        <v>85.6</v>
      </c>
      <c r="DE270">
        <v>86.5</v>
      </c>
      <c r="DF270">
        <v>86.5</v>
      </c>
      <c r="DG270">
        <v>89.6</v>
      </c>
      <c r="DH270">
        <v>96</v>
      </c>
      <c r="DI270">
        <v>97.5</v>
      </c>
      <c r="DJ270">
        <v>78.5</v>
      </c>
      <c r="DK270">
        <v>79.8</v>
      </c>
      <c r="DL270">
        <v>85.6</v>
      </c>
      <c r="DM270">
        <v>86.5</v>
      </c>
      <c r="DN270">
        <v>0</v>
      </c>
      <c r="DO270">
        <v>0</v>
      </c>
      <c r="DP270">
        <v>0</v>
      </c>
      <c r="DQ270">
        <v>0</v>
      </c>
      <c r="DR270">
        <v>0</v>
      </c>
      <c r="DS270">
        <v>0</v>
      </c>
      <c r="DT270">
        <v>0</v>
      </c>
      <c r="DU270">
        <v>0</v>
      </c>
      <c r="DV270" t="s">
        <v>476</v>
      </c>
    </row>
    <row r="271" spans="1:126" x14ac:dyDescent="0.35">
      <c r="A271" t="s">
        <v>527</v>
      </c>
      <c r="B271">
        <v>230103</v>
      </c>
      <c r="C271" s="1">
        <v>44929</v>
      </c>
      <c r="D271" t="s">
        <v>528</v>
      </c>
      <c r="E271" t="s">
        <v>184</v>
      </c>
      <c r="F271" t="s">
        <v>185</v>
      </c>
      <c r="G271" t="s">
        <v>463</v>
      </c>
      <c r="H271">
        <v>41419</v>
      </c>
      <c r="I271" s="17">
        <v>0</v>
      </c>
      <c r="J271" s="17">
        <v>2405</v>
      </c>
      <c r="K271">
        <v>325</v>
      </c>
      <c r="L271">
        <v>40894</v>
      </c>
      <c r="M271">
        <v>38689</v>
      </c>
      <c r="N271">
        <v>41219</v>
      </c>
      <c r="O271">
        <v>41419</v>
      </c>
      <c r="P271">
        <v>200</v>
      </c>
      <c r="Q271">
        <v>0</v>
      </c>
      <c r="R271">
        <v>41419</v>
      </c>
      <c r="S271">
        <v>0</v>
      </c>
      <c r="T271">
        <v>2405</v>
      </c>
      <c r="U271">
        <v>325</v>
      </c>
      <c r="V271">
        <v>40894</v>
      </c>
      <c r="W271">
        <v>38689</v>
      </c>
      <c r="X271">
        <v>41219</v>
      </c>
      <c r="Y271">
        <v>41419</v>
      </c>
      <c r="Z271">
        <v>200</v>
      </c>
      <c r="AA271">
        <v>0</v>
      </c>
      <c r="AB271">
        <v>0</v>
      </c>
      <c r="AC271">
        <v>0</v>
      </c>
      <c r="AD271">
        <v>0</v>
      </c>
      <c r="AE271">
        <v>0</v>
      </c>
      <c r="AF271">
        <v>0</v>
      </c>
      <c r="AG271">
        <v>0</v>
      </c>
      <c r="AH271">
        <v>0</v>
      </c>
      <c r="AI271">
        <v>0</v>
      </c>
      <c r="AJ271">
        <v>0</v>
      </c>
      <c r="AK271">
        <v>0</v>
      </c>
      <c r="AL271">
        <v>360</v>
      </c>
      <c r="AM271">
        <v>0</v>
      </c>
      <c r="AN271">
        <v>70</v>
      </c>
      <c r="AO271">
        <v>-25</v>
      </c>
      <c r="AP271">
        <v>385</v>
      </c>
      <c r="AQ271">
        <v>315</v>
      </c>
      <c r="AR271">
        <v>360</v>
      </c>
      <c r="AS271">
        <v>360</v>
      </c>
      <c r="AT271">
        <v>0</v>
      </c>
      <c r="AU271">
        <v>0</v>
      </c>
      <c r="AV271">
        <v>100</v>
      </c>
      <c r="AW271">
        <v>0</v>
      </c>
      <c r="AX271">
        <v>5.8</v>
      </c>
      <c r="AY271">
        <v>0.8</v>
      </c>
      <c r="AZ271">
        <v>98.7</v>
      </c>
      <c r="BA271">
        <v>93.4</v>
      </c>
      <c r="BB271">
        <v>99.5</v>
      </c>
      <c r="BC271">
        <v>100</v>
      </c>
      <c r="BD271">
        <v>0.5</v>
      </c>
      <c r="BE271">
        <v>0</v>
      </c>
      <c r="BF271">
        <v>100</v>
      </c>
      <c r="BG271">
        <v>0</v>
      </c>
      <c r="BH271">
        <v>5.8</v>
      </c>
      <c r="BI271">
        <v>0.8</v>
      </c>
      <c r="BJ271">
        <v>98.7</v>
      </c>
      <c r="BK271">
        <v>93.4</v>
      </c>
      <c r="BL271">
        <v>99.5</v>
      </c>
      <c r="BM271">
        <v>100</v>
      </c>
      <c r="BN271">
        <v>0.5</v>
      </c>
      <c r="BO271">
        <v>0</v>
      </c>
      <c r="BP271">
        <v>0</v>
      </c>
      <c r="BQ271">
        <v>0</v>
      </c>
      <c r="BR271">
        <v>0</v>
      </c>
      <c r="BS271">
        <v>0</v>
      </c>
      <c r="BT271">
        <v>0</v>
      </c>
      <c r="BU271">
        <v>0</v>
      </c>
      <c r="BV271">
        <v>0</v>
      </c>
      <c r="BW271">
        <v>0</v>
      </c>
      <c r="BX271">
        <v>0</v>
      </c>
      <c r="BY271">
        <v>0</v>
      </c>
      <c r="BZ271">
        <v>24</v>
      </c>
      <c r="CA271">
        <v>0</v>
      </c>
      <c r="CB271">
        <v>3</v>
      </c>
      <c r="CC271">
        <v>1</v>
      </c>
      <c r="CD271">
        <v>15</v>
      </c>
      <c r="CE271">
        <v>13</v>
      </c>
      <c r="CF271">
        <v>16</v>
      </c>
      <c r="CG271">
        <v>16</v>
      </c>
      <c r="CH271">
        <v>24</v>
      </c>
      <c r="CI271">
        <v>0</v>
      </c>
      <c r="CJ271">
        <v>3</v>
      </c>
      <c r="CK271">
        <v>1</v>
      </c>
      <c r="CL271">
        <v>15</v>
      </c>
      <c r="CM271">
        <v>13</v>
      </c>
      <c r="CN271">
        <v>16</v>
      </c>
      <c r="CO271">
        <v>16</v>
      </c>
      <c r="CP271">
        <v>0</v>
      </c>
      <c r="CQ271">
        <v>0</v>
      </c>
      <c r="CR271">
        <v>0</v>
      </c>
      <c r="CS271">
        <v>0</v>
      </c>
      <c r="CT271">
        <v>0</v>
      </c>
      <c r="CU271">
        <v>0</v>
      </c>
      <c r="CV271">
        <v>0</v>
      </c>
      <c r="CW271">
        <v>0</v>
      </c>
      <c r="CX271">
        <v>86.3</v>
      </c>
      <c r="CY271">
        <v>89.2</v>
      </c>
      <c r="CZ271">
        <v>96.1</v>
      </c>
      <c r="DA271">
        <v>97.2</v>
      </c>
      <c r="DB271">
        <v>78.5</v>
      </c>
      <c r="DC271">
        <v>79.3</v>
      </c>
      <c r="DD271">
        <v>85.8</v>
      </c>
      <c r="DE271">
        <v>86.3</v>
      </c>
      <c r="DF271">
        <v>86.3</v>
      </c>
      <c r="DG271">
        <v>89.2</v>
      </c>
      <c r="DH271">
        <v>96.1</v>
      </c>
      <c r="DI271">
        <v>97.2</v>
      </c>
      <c r="DJ271">
        <v>78.5</v>
      </c>
      <c r="DK271">
        <v>79.3</v>
      </c>
      <c r="DL271">
        <v>85.8</v>
      </c>
      <c r="DM271">
        <v>86.3</v>
      </c>
      <c r="DN271">
        <v>0</v>
      </c>
      <c r="DO271">
        <v>0</v>
      </c>
      <c r="DP271">
        <v>0</v>
      </c>
      <c r="DQ271">
        <v>0</v>
      </c>
      <c r="DR271">
        <v>0</v>
      </c>
      <c r="DS271">
        <v>0</v>
      </c>
      <c r="DT271">
        <v>0</v>
      </c>
      <c r="DU271">
        <v>0</v>
      </c>
      <c r="DV271" t="s">
        <v>476</v>
      </c>
    </row>
    <row r="272" spans="1:126" x14ac:dyDescent="0.35">
      <c r="A272" t="s">
        <v>529</v>
      </c>
      <c r="B272">
        <v>230110</v>
      </c>
      <c r="C272" s="1">
        <v>44936</v>
      </c>
      <c r="D272" t="s">
        <v>530</v>
      </c>
      <c r="E272" t="s">
        <v>184</v>
      </c>
      <c r="F272" t="s">
        <v>185</v>
      </c>
      <c r="G272" t="s">
        <v>463</v>
      </c>
      <c r="H272">
        <v>47743</v>
      </c>
      <c r="I272" s="17">
        <v>3431</v>
      </c>
      <c r="J272" s="17">
        <v>1749</v>
      </c>
      <c r="K272">
        <v>974</v>
      </c>
      <c r="L272">
        <v>42499</v>
      </c>
      <c r="M272">
        <v>44182</v>
      </c>
      <c r="N272">
        <v>46904</v>
      </c>
      <c r="O272">
        <v>46905</v>
      </c>
      <c r="P272">
        <v>839</v>
      </c>
      <c r="Q272">
        <v>838</v>
      </c>
      <c r="R272">
        <v>47743</v>
      </c>
      <c r="S272">
        <v>3431</v>
      </c>
      <c r="T272">
        <v>1749</v>
      </c>
      <c r="U272">
        <v>974</v>
      </c>
      <c r="V272">
        <v>42499</v>
      </c>
      <c r="W272">
        <v>44182</v>
      </c>
      <c r="X272">
        <v>46904</v>
      </c>
      <c r="Y272">
        <v>46905</v>
      </c>
      <c r="Z272">
        <v>839</v>
      </c>
      <c r="AA272">
        <v>838</v>
      </c>
      <c r="AB272">
        <v>0</v>
      </c>
      <c r="AC272">
        <v>0</v>
      </c>
      <c r="AD272">
        <v>0</v>
      </c>
      <c r="AE272">
        <v>0</v>
      </c>
      <c r="AF272">
        <v>0</v>
      </c>
      <c r="AG272">
        <v>0</v>
      </c>
      <c r="AH272">
        <v>0</v>
      </c>
      <c r="AI272">
        <v>0</v>
      </c>
      <c r="AJ272">
        <v>0</v>
      </c>
      <c r="AK272">
        <v>0</v>
      </c>
      <c r="AL272">
        <v>-2212</v>
      </c>
      <c r="AM272">
        <v>66</v>
      </c>
      <c r="AN272">
        <v>3</v>
      </c>
      <c r="AO272">
        <v>-266</v>
      </c>
      <c r="AP272">
        <v>-2080</v>
      </c>
      <c r="AQ272">
        <v>-2176</v>
      </c>
      <c r="AR272">
        <v>-2280</v>
      </c>
      <c r="AS272">
        <v>-2439</v>
      </c>
      <c r="AT272">
        <v>68</v>
      </c>
      <c r="AU272">
        <v>227</v>
      </c>
      <c r="AV272">
        <v>100</v>
      </c>
      <c r="AW272">
        <v>7.2</v>
      </c>
      <c r="AX272">
        <v>3.7</v>
      </c>
      <c r="AY272">
        <v>2</v>
      </c>
      <c r="AZ272">
        <v>89</v>
      </c>
      <c r="BA272">
        <v>92.5</v>
      </c>
      <c r="BB272">
        <v>98.2</v>
      </c>
      <c r="BC272">
        <v>98.2</v>
      </c>
      <c r="BD272">
        <v>1.8</v>
      </c>
      <c r="BE272">
        <v>1.8</v>
      </c>
      <c r="BF272">
        <v>100</v>
      </c>
      <c r="BG272">
        <v>7.2</v>
      </c>
      <c r="BH272">
        <v>3.7</v>
      </c>
      <c r="BI272">
        <v>2</v>
      </c>
      <c r="BJ272">
        <v>89</v>
      </c>
      <c r="BK272">
        <v>92.5</v>
      </c>
      <c r="BL272">
        <v>98.2</v>
      </c>
      <c r="BM272">
        <v>98.2</v>
      </c>
      <c r="BN272">
        <v>1.8</v>
      </c>
      <c r="BO272">
        <v>1.8</v>
      </c>
      <c r="BP272">
        <v>0</v>
      </c>
      <c r="BQ272">
        <v>0</v>
      </c>
      <c r="BR272">
        <v>0</v>
      </c>
      <c r="BS272">
        <v>0</v>
      </c>
      <c r="BT272">
        <v>0</v>
      </c>
      <c r="BU272">
        <v>0</v>
      </c>
      <c r="BV272">
        <v>0</v>
      </c>
      <c r="BW272">
        <v>0</v>
      </c>
      <c r="BX272">
        <v>0</v>
      </c>
      <c r="BY272">
        <v>0</v>
      </c>
      <c r="BZ272">
        <v>29</v>
      </c>
      <c r="CA272">
        <v>2</v>
      </c>
      <c r="CB272">
        <v>2</v>
      </c>
      <c r="CC272">
        <v>1</v>
      </c>
      <c r="CD272">
        <v>23</v>
      </c>
      <c r="CE272">
        <v>23</v>
      </c>
      <c r="CF272">
        <v>25</v>
      </c>
      <c r="CG272">
        <v>26</v>
      </c>
      <c r="CH272">
        <v>29</v>
      </c>
      <c r="CI272">
        <v>2</v>
      </c>
      <c r="CJ272">
        <v>2</v>
      </c>
      <c r="CK272">
        <v>1</v>
      </c>
      <c r="CL272">
        <v>23</v>
      </c>
      <c r="CM272">
        <v>23</v>
      </c>
      <c r="CN272">
        <v>25</v>
      </c>
      <c r="CO272">
        <v>26</v>
      </c>
      <c r="CP272">
        <v>0</v>
      </c>
      <c r="CQ272">
        <v>0</v>
      </c>
      <c r="CR272">
        <v>0</v>
      </c>
      <c r="CS272">
        <v>0</v>
      </c>
      <c r="CT272">
        <v>0</v>
      </c>
      <c r="CU272">
        <v>0</v>
      </c>
      <c r="CV272">
        <v>0</v>
      </c>
      <c r="CW272">
        <v>0</v>
      </c>
      <c r="CX272">
        <v>65.599999999999994</v>
      </c>
      <c r="CY272">
        <v>69.599999999999994</v>
      </c>
      <c r="CZ272">
        <v>83.5</v>
      </c>
      <c r="DA272">
        <v>84.1</v>
      </c>
      <c r="DB272">
        <v>30.5</v>
      </c>
      <c r="DC272">
        <v>40</v>
      </c>
      <c r="DD272">
        <v>44.1</v>
      </c>
      <c r="DE272">
        <v>48.9</v>
      </c>
      <c r="DF272">
        <v>65.599999999999994</v>
      </c>
      <c r="DG272">
        <v>69.599999999999994</v>
      </c>
      <c r="DH272">
        <v>83.5</v>
      </c>
      <c r="DI272">
        <v>84.1</v>
      </c>
      <c r="DJ272">
        <v>30.5</v>
      </c>
      <c r="DK272">
        <v>40</v>
      </c>
      <c r="DL272">
        <v>44.1</v>
      </c>
      <c r="DM272">
        <v>48.9</v>
      </c>
      <c r="DN272">
        <v>0</v>
      </c>
      <c r="DO272">
        <v>0</v>
      </c>
      <c r="DP272">
        <v>0</v>
      </c>
      <c r="DQ272">
        <v>0</v>
      </c>
      <c r="DR272">
        <v>0</v>
      </c>
      <c r="DS272">
        <v>0</v>
      </c>
      <c r="DT272">
        <v>0</v>
      </c>
      <c r="DU272">
        <v>0</v>
      </c>
      <c r="DV272" t="s">
        <v>476</v>
      </c>
    </row>
    <row r="273" spans="1:126" x14ac:dyDescent="0.35">
      <c r="A273" t="s">
        <v>529</v>
      </c>
      <c r="B273">
        <v>230103</v>
      </c>
      <c r="C273" s="1">
        <v>44929</v>
      </c>
      <c r="D273" t="s">
        <v>530</v>
      </c>
      <c r="E273" t="s">
        <v>184</v>
      </c>
      <c r="F273" t="s">
        <v>185</v>
      </c>
      <c r="G273" t="s">
        <v>463</v>
      </c>
      <c r="H273">
        <v>49955</v>
      </c>
      <c r="I273" s="17">
        <v>3365</v>
      </c>
      <c r="J273" s="17">
        <v>1746</v>
      </c>
      <c r="K273">
        <v>1240</v>
      </c>
      <c r="L273">
        <v>44579</v>
      </c>
      <c r="M273">
        <v>46358</v>
      </c>
      <c r="N273">
        <v>49184</v>
      </c>
      <c r="O273">
        <v>49344</v>
      </c>
      <c r="P273">
        <v>771</v>
      </c>
      <c r="Q273">
        <v>611</v>
      </c>
      <c r="R273">
        <v>49955</v>
      </c>
      <c r="S273">
        <v>3365</v>
      </c>
      <c r="T273">
        <v>1746</v>
      </c>
      <c r="U273">
        <v>1240</v>
      </c>
      <c r="V273">
        <v>44579</v>
      </c>
      <c r="W273">
        <v>46358</v>
      </c>
      <c r="X273">
        <v>49184</v>
      </c>
      <c r="Y273">
        <v>49344</v>
      </c>
      <c r="Z273">
        <v>771</v>
      </c>
      <c r="AA273">
        <v>611</v>
      </c>
      <c r="AB273">
        <v>0</v>
      </c>
      <c r="AC273">
        <v>0</v>
      </c>
      <c r="AD273">
        <v>0</v>
      </c>
      <c r="AE273">
        <v>0</v>
      </c>
      <c r="AF273">
        <v>0</v>
      </c>
      <c r="AG273">
        <v>0</v>
      </c>
      <c r="AH273">
        <v>0</v>
      </c>
      <c r="AI273">
        <v>0</v>
      </c>
      <c r="AJ273">
        <v>0</v>
      </c>
      <c r="AK273">
        <v>0</v>
      </c>
      <c r="AL273">
        <v>-48</v>
      </c>
      <c r="AM273">
        <v>0</v>
      </c>
      <c r="AN273">
        <v>66</v>
      </c>
      <c r="AO273">
        <v>0</v>
      </c>
      <c r="AP273">
        <v>-48</v>
      </c>
      <c r="AQ273">
        <v>-114</v>
      </c>
      <c r="AR273">
        <v>-48</v>
      </c>
      <c r="AS273">
        <v>-48</v>
      </c>
      <c r="AT273">
        <v>0</v>
      </c>
      <c r="AU273">
        <v>0</v>
      </c>
      <c r="AV273">
        <v>100</v>
      </c>
      <c r="AW273">
        <v>6.7</v>
      </c>
      <c r="AX273">
        <v>3.5</v>
      </c>
      <c r="AY273">
        <v>2.5</v>
      </c>
      <c r="AZ273">
        <v>89.2</v>
      </c>
      <c r="BA273">
        <v>92.8</v>
      </c>
      <c r="BB273">
        <v>98.5</v>
      </c>
      <c r="BC273">
        <v>98.8</v>
      </c>
      <c r="BD273">
        <v>1.5</v>
      </c>
      <c r="BE273">
        <v>1.2</v>
      </c>
      <c r="BF273">
        <v>100</v>
      </c>
      <c r="BG273">
        <v>6.7</v>
      </c>
      <c r="BH273">
        <v>3.5</v>
      </c>
      <c r="BI273">
        <v>2.5</v>
      </c>
      <c r="BJ273">
        <v>89.2</v>
      </c>
      <c r="BK273">
        <v>92.8</v>
      </c>
      <c r="BL273">
        <v>98.5</v>
      </c>
      <c r="BM273">
        <v>98.8</v>
      </c>
      <c r="BN273">
        <v>1.5</v>
      </c>
      <c r="BO273">
        <v>1.2</v>
      </c>
      <c r="BP273">
        <v>0</v>
      </c>
      <c r="BQ273">
        <v>0</v>
      </c>
      <c r="BR273">
        <v>0</v>
      </c>
      <c r="BS273">
        <v>0</v>
      </c>
      <c r="BT273">
        <v>0</v>
      </c>
      <c r="BU273">
        <v>0</v>
      </c>
      <c r="BV273">
        <v>0</v>
      </c>
      <c r="BW273">
        <v>0</v>
      </c>
      <c r="BX273">
        <v>0</v>
      </c>
      <c r="BY273">
        <v>0</v>
      </c>
      <c r="BZ273">
        <v>34</v>
      </c>
      <c r="CA273">
        <v>4</v>
      </c>
      <c r="CB273">
        <v>2</v>
      </c>
      <c r="CC273">
        <v>2</v>
      </c>
      <c r="CD273">
        <v>26</v>
      </c>
      <c r="CE273">
        <v>26</v>
      </c>
      <c r="CF273">
        <v>30</v>
      </c>
      <c r="CG273">
        <v>30</v>
      </c>
      <c r="CH273">
        <v>34</v>
      </c>
      <c r="CI273">
        <v>4</v>
      </c>
      <c r="CJ273">
        <v>2</v>
      </c>
      <c r="CK273">
        <v>2</v>
      </c>
      <c r="CL273">
        <v>26</v>
      </c>
      <c r="CM273">
        <v>26</v>
      </c>
      <c r="CN273">
        <v>30</v>
      </c>
      <c r="CO273">
        <v>30</v>
      </c>
      <c r="CP273">
        <v>0</v>
      </c>
      <c r="CQ273">
        <v>0</v>
      </c>
      <c r="CR273">
        <v>0</v>
      </c>
      <c r="CS273">
        <v>0</v>
      </c>
      <c r="CT273">
        <v>0</v>
      </c>
      <c r="CU273">
        <v>0</v>
      </c>
      <c r="CV273">
        <v>0</v>
      </c>
      <c r="CW273">
        <v>0</v>
      </c>
      <c r="CX273">
        <v>60.4</v>
      </c>
      <c r="CY273">
        <v>66.2</v>
      </c>
      <c r="CZ273">
        <v>77.8</v>
      </c>
      <c r="DA273">
        <v>80.900000000000006</v>
      </c>
      <c r="DB273">
        <v>25.7</v>
      </c>
      <c r="DC273">
        <v>37.299999999999997</v>
      </c>
      <c r="DD273">
        <v>38.700000000000003</v>
      </c>
      <c r="DE273">
        <v>46.3</v>
      </c>
      <c r="DF273">
        <v>60.4</v>
      </c>
      <c r="DG273">
        <v>66.2</v>
      </c>
      <c r="DH273">
        <v>77.8</v>
      </c>
      <c r="DI273">
        <v>80.900000000000006</v>
      </c>
      <c r="DJ273">
        <v>25.7</v>
      </c>
      <c r="DK273">
        <v>37.299999999999997</v>
      </c>
      <c r="DL273">
        <v>38.700000000000003</v>
      </c>
      <c r="DM273">
        <v>46.3</v>
      </c>
      <c r="DN273">
        <v>0</v>
      </c>
      <c r="DO273">
        <v>0</v>
      </c>
      <c r="DP273">
        <v>0</v>
      </c>
      <c r="DQ273">
        <v>0</v>
      </c>
      <c r="DR273">
        <v>0</v>
      </c>
      <c r="DS273">
        <v>0</v>
      </c>
      <c r="DT273">
        <v>0</v>
      </c>
      <c r="DU273">
        <v>0</v>
      </c>
      <c r="DV273" t="s">
        <v>476</v>
      </c>
    </row>
    <row r="274" spans="1:126" x14ac:dyDescent="0.35">
      <c r="A274" t="s">
        <v>531</v>
      </c>
      <c r="B274">
        <v>230110</v>
      </c>
      <c r="C274" s="1">
        <v>44936</v>
      </c>
      <c r="D274" t="s">
        <v>532</v>
      </c>
      <c r="E274" t="s">
        <v>184</v>
      </c>
      <c r="F274" t="s">
        <v>185</v>
      </c>
      <c r="G274" t="s">
        <v>463</v>
      </c>
      <c r="H274">
        <v>42682</v>
      </c>
      <c r="I274" s="17">
        <v>816</v>
      </c>
      <c r="J274" s="17">
        <v>2665</v>
      </c>
      <c r="K274">
        <v>2136</v>
      </c>
      <c r="L274">
        <v>39140</v>
      </c>
      <c r="M274">
        <v>37384</v>
      </c>
      <c r="N274">
        <v>42092</v>
      </c>
      <c r="O274">
        <v>42185</v>
      </c>
      <c r="P274">
        <v>590</v>
      </c>
      <c r="Q274">
        <v>497</v>
      </c>
      <c r="R274">
        <v>42682</v>
      </c>
      <c r="S274">
        <v>816</v>
      </c>
      <c r="T274">
        <v>2665</v>
      </c>
      <c r="U274">
        <v>2136</v>
      </c>
      <c r="V274">
        <v>39140</v>
      </c>
      <c r="W274">
        <v>37384</v>
      </c>
      <c r="X274">
        <v>42092</v>
      </c>
      <c r="Y274">
        <v>42185</v>
      </c>
      <c r="Z274">
        <v>590</v>
      </c>
      <c r="AA274">
        <v>497</v>
      </c>
      <c r="AB274">
        <v>0</v>
      </c>
      <c r="AC274">
        <v>0</v>
      </c>
      <c r="AD274">
        <v>0</v>
      </c>
      <c r="AE274">
        <v>0</v>
      </c>
      <c r="AF274">
        <v>0</v>
      </c>
      <c r="AG274">
        <v>0</v>
      </c>
      <c r="AH274">
        <v>0</v>
      </c>
      <c r="AI274">
        <v>0</v>
      </c>
      <c r="AJ274">
        <v>0</v>
      </c>
      <c r="AK274">
        <v>0</v>
      </c>
      <c r="AL274">
        <v>-2757</v>
      </c>
      <c r="AM274">
        <v>-109</v>
      </c>
      <c r="AN274">
        <v>-17</v>
      </c>
      <c r="AO274">
        <v>-1095</v>
      </c>
      <c r="AP274">
        <v>-1598</v>
      </c>
      <c r="AQ274">
        <v>-1682</v>
      </c>
      <c r="AR274">
        <v>-2802</v>
      </c>
      <c r="AS274">
        <v>-2794</v>
      </c>
      <c r="AT274">
        <v>45</v>
      </c>
      <c r="AU274">
        <v>37</v>
      </c>
      <c r="AV274">
        <v>100</v>
      </c>
      <c r="AW274">
        <v>1.9</v>
      </c>
      <c r="AX274">
        <v>6.2</v>
      </c>
      <c r="AY274">
        <v>5</v>
      </c>
      <c r="AZ274">
        <v>91.7</v>
      </c>
      <c r="BA274">
        <v>87.6</v>
      </c>
      <c r="BB274">
        <v>98.6</v>
      </c>
      <c r="BC274">
        <v>98.8</v>
      </c>
      <c r="BD274">
        <v>1.4</v>
      </c>
      <c r="BE274">
        <v>1.2</v>
      </c>
      <c r="BF274">
        <v>100</v>
      </c>
      <c r="BG274">
        <v>1.9</v>
      </c>
      <c r="BH274">
        <v>6.2</v>
      </c>
      <c r="BI274">
        <v>5</v>
      </c>
      <c r="BJ274">
        <v>91.7</v>
      </c>
      <c r="BK274">
        <v>87.6</v>
      </c>
      <c r="BL274">
        <v>98.6</v>
      </c>
      <c r="BM274">
        <v>98.8</v>
      </c>
      <c r="BN274">
        <v>1.4</v>
      </c>
      <c r="BO274">
        <v>1.2</v>
      </c>
      <c r="BP274">
        <v>0</v>
      </c>
      <c r="BQ274">
        <v>0</v>
      </c>
      <c r="BR274">
        <v>0</v>
      </c>
      <c r="BS274">
        <v>0</v>
      </c>
      <c r="BT274">
        <v>0</v>
      </c>
      <c r="BU274">
        <v>0</v>
      </c>
      <c r="BV274">
        <v>0</v>
      </c>
      <c r="BW274">
        <v>0</v>
      </c>
      <c r="BX274">
        <v>0</v>
      </c>
      <c r="BY274">
        <v>0</v>
      </c>
      <c r="BZ274">
        <v>38</v>
      </c>
      <c r="CA274">
        <v>4</v>
      </c>
      <c r="CB274">
        <v>5</v>
      </c>
      <c r="CC274">
        <v>2</v>
      </c>
      <c r="CD274">
        <v>26</v>
      </c>
      <c r="CE274">
        <v>28</v>
      </c>
      <c r="CF274">
        <v>31</v>
      </c>
      <c r="CG274">
        <v>34</v>
      </c>
      <c r="CH274">
        <v>38</v>
      </c>
      <c r="CI274">
        <v>4</v>
      </c>
      <c r="CJ274">
        <v>5</v>
      </c>
      <c r="CK274">
        <v>2</v>
      </c>
      <c r="CL274">
        <v>26</v>
      </c>
      <c r="CM274">
        <v>28</v>
      </c>
      <c r="CN274">
        <v>31</v>
      </c>
      <c r="CO274">
        <v>34</v>
      </c>
      <c r="CP274">
        <v>0</v>
      </c>
      <c r="CQ274">
        <v>0</v>
      </c>
      <c r="CR274">
        <v>0</v>
      </c>
      <c r="CS274">
        <v>0</v>
      </c>
      <c r="CT274">
        <v>0</v>
      </c>
      <c r="CU274">
        <v>0</v>
      </c>
      <c r="CV274">
        <v>0</v>
      </c>
      <c r="CW274">
        <v>0</v>
      </c>
      <c r="CX274">
        <v>61.2</v>
      </c>
      <c r="CY274">
        <v>52.6</v>
      </c>
      <c r="CZ274">
        <v>78.3</v>
      </c>
      <c r="DA274">
        <v>74.5</v>
      </c>
      <c r="DB274">
        <v>38.299999999999997</v>
      </c>
      <c r="DC274">
        <v>38.5</v>
      </c>
      <c r="DD274">
        <v>49.9</v>
      </c>
      <c r="DE274">
        <v>47.8</v>
      </c>
      <c r="DF274">
        <v>61.2</v>
      </c>
      <c r="DG274">
        <v>52.6</v>
      </c>
      <c r="DH274">
        <v>78.3</v>
      </c>
      <c r="DI274">
        <v>74.5</v>
      </c>
      <c r="DJ274">
        <v>38.299999999999997</v>
      </c>
      <c r="DK274">
        <v>38.5</v>
      </c>
      <c r="DL274">
        <v>49.9</v>
      </c>
      <c r="DM274">
        <v>47.8</v>
      </c>
      <c r="DN274">
        <v>0</v>
      </c>
      <c r="DO274">
        <v>0</v>
      </c>
      <c r="DP274">
        <v>0</v>
      </c>
      <c r="DQ274">
        <v>0</v>
      </c>
      <c r="DR274">
        <v>0</v>
      </c>
      <c r="DS274">
        <v>0</v>
      </c>
      <c r="DT274">
        <v>0</v>
      </c>
      <c r="DU274">
        <v>0</v>
      </c>
      <c r="DV274" t="s">
        <v>533</v>
      </c>
    </row>
    <row r="275" spans="1:126" x14ac:dyDescent="0.35">
      <c r="A275" t="s">
        <v>531</v>
      </c>
      <c r="B275">
        <v>230103</v>
      </c>
      <c r="C275" s="1">
        <v>44929</v>
      </c>
      <c r="D275" t="s">
        <v>532</v>
      </c>
      <c r="E275" t="s">
        <v>184</v>
      </c>
      <c r="F275" t="s">
        <v>185</v>
      </c>
      <c r="G275" t="s">
        <v>463</v>
      </c>
      <c r="H275">
        <v>45439</v>
      </c>
      <c r="I275" s="17">
        <v>925</v>
      </c>
      <c r="J275" s="17">
        <v>2682</v>
      </c>
      <c r="K275">
        <v>3231</v>
      </c>
      <c r="L275">
        <v>40738</v>
      </c>
      <c r="M275">
        <v>39066</v>
      </c>
      <c r="N275">
        <v>44894</v>
      </c>
      <c r="O275">
        <v>44979</v>
      </c>
      <c r="P275">
        <v>545</v>
      </c>
      <c r="Q275">
        <v>460</v>
      </c>
      <c r="R275">
        <v>45439</v>
      </c>
      <c r="S275">
        <v>925</v>
      </c>
      <c r="T275">
        <v>2682</v>
      </c>
      <c r="U275">
        <v>3231</v>
      </c>
      <c r="V275">
        <v>40738</v>
      </c>
      <c r="W275">
        <v>39066</v>
      </c>
      <c r="X275">
        <v>44894</v>
      </c>
      <c r="Y275">
        <v>44979</v>
      </c>
      <c r="Z275">
        <v>545</v>
      </c>
      <c r="AA275">
        <v>460</v>
      </c>
      <c r="AB275">
        <v>0</v>
      </c>
      <c r="AC275">
        <v>0</v>
      </c>
      <c r="AD275">
        <v>0</v>
      </c>
      <c r="AE275">
        <v>0</v>
      </c>
      <c r="AF275">
        <v>0</v>
      </c>
      <c r="AG275">
        <v>0</v>
      </c>
      <c r="AH275">
        <v>0</v>
      </c>
      <c r="AI275">
        <v>0</v>
      </c>
      <c r="AJ275">
        <v>0</v>
      </c>
      <c r="AK275">
        <v>0</v>
      </c>
      <c r="AL275">
        <v>133</v>
      </c>
      <c r="AM275">
        <v>75</v>
      </c>
      <c r="AN275">
        <v>-1253</v>
      </c>
      <c r="AO275">
        <v>756</v>
      </c>
      <c r="AP275">
        <v>-701</v>
      </c>
      <c r="AQ275">
        <v>630</v>
      </c>
      <c r="AR275">
        <v>130</v>
      </c>
      <c r="AS275">
        <v>133</v>
      </c>
      <c r="AT275">
        <v>3</v>
      </c>
      <c r="AU275">
        <v>0</v>
      </c>
      <c r="AV275">
        <v>100</v>
      </c>
      <c r="AW275">
        <v>2</v>
      </c>
      <c r="AX275">
        <v>5.9</v>
      </c>
      <c r="AY275">
        <v>7.1</v>
      </c>
      <c r="AZ275">
        <v>89.7</v>
      </c>
      <c r="BA275">
        <v>86</v>
      </c>
      <c r="BB275">
        <v>98.8</v>
      </c>
      <c r="BC275">
        <v>99</v>
      </c>
      <c r="BD275">
        <v>1.2</v>
      </c>
      <c r="BE275">
        <v>1</v>
      </c>
      <c r="BF275">
        <v>100</v>
      </c>
      <c r="BG275">
        <v>2</v>
      </c>
      <c r="BH275">
        <v>5.9</v>
      </c>
      <c r="BI275">
        <v>7.1</v>
      </c>
      <c r="BJ275">
        <v>89.7</v>
      </c>
      <c r="BK275">
        <v>86</v>
      </c>
      <c r="BL275">
        <v>98.8</v>
      </c>
      <c r="BM275">
        <v>99</v>
      </c>
      <c r="BN275">
        <v>1.2</v>
      </c>
      <c r="BO275">
        <v>1</v>
      </c>
      <c r="BP275">
        <v>0</v>
      </c>
      <c r="BQ275">
        <v>0</v>
      </c>
      <c r="BR275">
        <v>0</v>
      </c>
      <c r="BS275">
        <v>0</v>
      </c>
      <c r="BT275">
        <v>0</v>
      </c>
      <c r="BU275">
        <v>0</v>
      </c>
      <c r="BV275">
        <v>0</v>
      </c>
      <c r="BW275">
        <v>0</v>
      </c>
      <c r="BX275">
        <v>0</v>
      </c>
      <c r="BY275">
        <v>0</v>
      </c>
      <c r="BZ275">
        <v>41</v>
      </c>
      <c r="CA275">
        <v>4</v>
      </c>
      <c r="CB275">
        <v>5</v>
      </c>
      <c r="CC275">
        <v>5</v>
      </c>
      <c r="CD275">
        <v>28</v>
      </c>
      <c r="CE275">
        <v>29</v>
      </c>
      <c r="CF275">
        <v>36</v>
      </c>
      <c r="CG275">
        <v>36</v>
      </c>
      <c r="CH275">
        <v>41</v>
      </c>
      <c r="CI275">
        <v>4</v>
      </c>
      <c r="CJ275">
        <v>5</v>
      </c>
      <c r="CK275">
        <v>5</v>
      </c>
      <c r="CL275">
        <v>28</v>
      </c>
      <c r="CM275">
        <v>29</v>
      </c>
      <c r="CN275">
        <v>36</v>
      </c>
      <c r="CO275">
        <v>36</v>
      </c>
      <c r="CP275">
        <v>0</v>
      </c>
      <c r="CQ275">
        <v>0</v>
      </c>
      <c r="CR275">
        <v>0</v>
      </c>
      <c r="CS275">
        <v>0</v>
      </c>
      <c r="CT275">
        <v>0</v>
      </c>
      <c r="CU275">
        <v>0</v>
      </c>
      <c r="CV275">
        <v>0</v>
      </c>
      <c r="CW275">
        <v>0</v>
      </c>
      <c r="CX275">
        <v>58.3</v>
      </c>
      <c r="CY275">
        <v>50.1</v>
      </c>
      <c r="CZ275">
        <v>74.599999999999994</v>
      </c>
      <c r="DA275">
        <v>72.5</v>
      </c>
      <c r="DB275">
        <v>35.700000000000003</v>
      </c>
      <c r="DC275">
        <v>35.799999999999997</v>
      </c>
      <c r="DD275">
        <v>46.7</v>
      </c>
      <c r="DE275">
        <v>45.4</v>
      </c>
      <c r="DF275">
        <v>58.3</v>
      </c>
      <c r="DG275">
        <v>50.1</v>
      </c>
      <c r="DH275">
        <v>74.599999999999994</v>
      </c>
      <c r="DI275">
        <v>72.5</v>
      </c>
      <c r="DJ275">
        <v>35.700000000000003</v>
      </c>
      <c r="DK275">
        <v>35.799999999999997</v>
      </c>
      <c r="DL275">
        <v>46.7</v>
      </c>
      <c r="DM275">
        <v>45.4</v>
      </c>
      <c r="DN275">
        <v>0</v>
      </c>
      <c r="DO275">
        <v>0</v>
      </c>
      <c r="DP275">
        <v>0</v>
      </c>
      <c r="DQ275">
        <v>0</v>
      </c>
      <c r="DR275">
        <v>0</v>
      </c>
      <c r="DS275">
        <v>0</v>
      </c>
      <c r="DT275">
        <v>0</v>
      </c>
      <c r="DU275">
        <v>0</v>
      </c>
      <c r="DV275" t="s">
        <v>533</v>
      </c>
    </row>
    <row r="276" spans="1:126" x14ac:dyDescent="0.35">
      <c r="A276" t="s">
        <v>534</v>
      </c>
      <c r="B276">
        <v>230103</v>
      </c>
      <c r="C276" s="1">
        <v>44929</v>
      </c>
      <c r="D276" t="s">
        <v>535</v>
      </c>
      <c r="E276" t="s">
        <v>184</v>
      </c>
      <c r="F276" t="s">
        <v>185</v>
      </c>
      <c r="G276" t="s">
        <v>463</v>
      </c>
      <c r="H276">
        <v>13917</v>
      </c>
      <c r="I276" s="17">
        <v>348</v>
      </c>
      <c r="J276" s="17">
        <v>42</v>
      </c>
      <c r="K276">
        <v>0</v>
      </c>
      <c r="L276">
        <v>13117</v>
      </c>
      <c r="M276">
        <v>13450</v>
      </c>
      <c r="N276">
        <v>13465</v>
      </c>
      <c r="O276">
        <v>13492</v>
      </c>
      <c r="P276">
        <v>452</v>
      </c>
      <c r="Q276">
        <v>425</v>
      </c>
      <c r="R276">
        <v>13917</v>
      </c>
      <c r="S276">
        <v>348</v>
      </c>
      <c r="T276">
        <v>42</v>
      </c>
      <c r="U276">
        <v>0</v>
      </c>
      <c r="V276">
        <v>13117</v>
      </c>
      <c r="W276">
        <v>13450</v>
      </c>
      <c r="X276">
        <v>13465</v>
      </c>
      <c r="Y276">
        <v>13492</v>
      </c>
      <c r="Z276">
        <v>452</v>
      </c>
      <c r="AA276">
        <v>425</v>
      </c>
      <c r="AB276">
        <v>0</v>
      </c>
      <c r="AC276">
        <v>0</v>
      </c>
      <c r="AD276">
        <v>0</v>
      </c>
      <c r="AE276">
        <v>0</v>
      </c>
      <c r="AF276">
        <v>0</v>
      </c>
      <c r="AG276">
        <v>0</v>
      </c>
      <c r="AH276">
        <v>0</v>
      </c>
      <c r="AI276">
        <v>0</v>
      </c>
      <c r="AJ276">
        <v>0</v>
      </c>
      <c r="AK276">
        <v>0</v>
      </c>
      <c r="AL276">
        <v>-12</v>
      </c>
      <c r="AM276">
        <v>0</v>
      </c>
      <c r="AN276">
        <v>0</v>
      </c>
      <c r="AO276">
        <v>0</v>
      </c>
      <c r="AP276">
        <v>-14</v>
      </c>
      <c r="AQ276">
        <v>0</v>
      </c>
      <c r="AR276">
        <v>-14</v>
      </c>
      <c r="AS276">
        <v>0</v>
      </c>
      <c r="AT276">
        <v>2</v>
      </c>
      <c r="AU276">
        <v>-12</v>
      </c>
      <c r="AV276">
        <v>100</v>
      </c>
      <c r="AW276">
        <v>2.5</v>
      </c>
      <c r="AX276">
        <v>0.3</v>
      </c>
      <c r="AY276">
        <v>0</v>
      </c>
      <c r="AZ276">
        <v>94.3</v>
      </c>
      <c r="BA276">
        <v>96.6</v>
      </c>
      <c r="BB276">
        <v>96.8</v>
      </c>
      <c r="BC276">
        <v>96.9</v>
      </c>
      <c r="BD276">
        <v>3.2</v>
      </c>
      <c r="BE276">
        <v>3.1</v>
      </c>
      <c r="BF276">
        <v>100</v>
      </c>
      <c r="BG276">
        <v>2.5</v>
      </c>
      <c r="BH276">
        <v>0.3</v>
      </c>
      <c r="BI276">
        <v>0</v>
      </c>
      <c r="BJ276">
        <v>94.3</v>
      </c>
      <c r="BK276">
        <v>96.6</v>
      </c>
      <c r="BL276">
        <v>96.8</v>
      </c>
      <c r="BM276">
        <v>96.9</v>
      </c>
      <c r="BN276">
        <v>3.2</v>
      </c>
      <c r="BO276">
        <v>3.1</v>
      </c>
      <c r="BP276">
        <v>0</v>
      </c>
      <c r="BQ276">
        <v>0</v>
      </c>
      <c r="BR276">
        <v>0</v>
      </c>
      <c r="BS276">
        <v>0</v>
      </c>
      <c r="BT276">
        <v>0</v>
      </c>
      <c r="BU276">
        <v>0</v>
      </c>
      <c r="BV276">
        <v>0</v>
      </c>
      <c r="BW276">
        <v>0</v>
      </c>
      <c r="BX276">
        <v>0</v>
      </c>
      <c r="BY276">
        <v>0</v>
      </c>
      <c r="BZ276">
        <v>21</v>
      </c>
      <c r="CA276">
        <v>1</v>
      </c>
      <c r="CB276">
        <v>1</v>
      </c>
      <c r="CC276">
        <v>0</v>
      </c>
      <c r="CD276">
        <v>16</v>
      </c>
      <c r="CE276">
        <v>13</v>
      </c>
      <c r="CF276">
        <v>17</v>
      </c>
      <c r="CG276">
        <v>14</v>
      </c>
      <c r="CH276">
        <v>21</v>
      </c>
      <c r="CI276">
        <v>1</v>
      </c>
      <c r="CJ276">
        <v>1</v>
      </c>
      <c r="CK276">
        <v>0</v>
      </c>
      <c r="CL276">
        <v>16</v>
      </c>
      <c r="CM276">
        <v>13</v>
      </c>
      <c r="CN276">
        <v>17</v>
      </c>
      <c r="CO276">
        <v>14</v>
      </c>
      <c r="CP276">
        <v>0</v>
      </c>
      <c r="CQ276">
        <v>0</v>
      </c>
      <c r="CR276">
        <v>0</v>
      </c>
      <c r="CS276">
        <v>0</v>
      </c>
      <c r="CT276">
        <v>0</v>
      </c>
      <c r="CU276">
        <v>0</v>
      </c>
      <c r="CV276">
        <v>0</v>
      </c>
      <c r="CW276">
        <v>0</v>
      </c>
      <c r="CX276">
        <v>62.5</v>
      </c>
      <c r="CY276">
        <v>72.099999999999994</v>
      </c>
      <c r="CZ276">
        <v>86.4</v>
      </c>
      <c r="DA276">
        <v>95.2</v>
      </c>
      <c r="DB276">
        <v>46.5</v>
      </c>
      <c r="DC276">
        <v>71.900000000000006</v>
      </c>
      <c r="DD276">
        <v>69</v>
      </c>
      <c r="DE276">
        <v>78.400000000000006</v>
      </c>
      <c r="DF276">
        <v>62.5</v>
      </c>
      <c r="DG276">
        <v>72.099999999999994</v>
      </c>
      <c r="DH276">
        <v>86.4</v>
      </c>
      <c r="DI276">
        <v>95.2</v>
      </c>
      <c r="DJ276">
        <v>46.5</v>
      </c>
      <c r="DK276">
        <v>71.900000000000006</v>
      </c>
      <c r="DL276">
        <v>69</v>
      </c>
      <c r="DM276">
        <v>78.400000000000006</v>
      </c>
      <c r="DN276">
        <v>0</v>
      </c>
      <c r="DO276">
        <v>0</v>
      </c>
      <c r="DP276">
        <v>0</v>
      </c>
      <c r="DQ276">
        <v>0</v>
      </c>
      <c r="DR276">
        <v>0</v>
      </c>
      <c r="DS276">
        <v>0</v>
      </c>
      <c r="DT276">
        <v>0</v>
      </c>
      <c r="DU276">
        <v>0</v>
      </c>
      <c r="DV276" t="s">
        <v>481</v>
      </c>
    </row>
    <row r="277" spans="1:126" x14ac:dyDescent="0.35">
      <c r="A277" t="s">
        <v>536</v>
      </c>
      <c r="B277">
        <v>230110</v>
      </c>
      <c r="C277" s="1">
        <v>44936</v>
      </c>
      <c r="D277" t="s">
        <v>537</v>
      </c>
      <c r="E277" t="s">
        <v>184</v>
      </c>
      <c r="F277" t="s">
        <v>185</v>
      </c>
      <c r="G277" t="s">
        <v>463</v>
      </c>
      <c r="H277">
        <v>31524</v>
      </c>
      <c r="I277" s="17">
        <v>697</v>
      </c>
      <c r="J277" s="17">
        <v>50</v>
      </c>
      <c r="K277">
        <v>166</v>
      </c>
      <c r="L277">
        <v>29720</v>
      </c>
      <c r="M277">
        <v>31044</v>
      </c>
      <c r="N277">
        <v>30583</v>
      </c>
      <c r="O277">
        <v>31260</v>
      </c>
      <c r="P277">
        <v>941</v>
      </c>
      <c r="Q277">
        <v>264</v>
      </c>
      <c r="R277">
        <v>31524</v>
      </c>
      <c r="S277">
        <v>697</v>
      </c>
      <c r="T277">
        <v>50</v>
      </c>
      <c r="U277">
        <v>166</v>
      </c>
      <c r="V277">
        <v>29720</v>
      </c>
      <c r="W277">
        <v>31044</v>
      </c>
      <c r="X277">
        <v>30583</v>
      </c>
      <c r="Y277">
        <v>31260</v>
      </c>
      <c r="Z277">
        <v>941</v>
      </c>
      <c r="AA277">
        <v>264</v>
      </c>
      <c r="AB277">
        <v>0</v>
      </c>
      <c r="AC277">
        <v>0</v>
      </c>
      <c r="AD277">
        <v>0</v>
      </c>
      <c r="AE277">
        <v>0</v>
      </c>
      <c r="AF277">
        <v>0</v>
      </c>
      <c r="AG277">
        <v>0</v>
      </c>
      <c r="AH277">
        <v>0</v>
      </c>
      <c r="AI277">
        <v>0</v>
      </c>
      <c r="AJ277">
        <v>0</v>
      </c>
      <c r="AK277">
        <v>0</v>
      </c>
      <c r="AL277">
        <v>-2225</v>
      </c>
      <c r="AM277">
        <v>-138</v>
      </c>
      <c r="AN277">
        <v>-113</v>
      </c>
      <c r="AO277">
        <v>31</v>
      </c>
      <c r="AP277">
        <v>-2296</v>
      </c>
      <c r="AQ277">
        <v>-2151</v>
      </c>
      <c r="AR277">
        <v>-2403</v>
      </c>
      <c r="AS277">
        <v>-2233</v>
      </c>
      <c r="AT277">
        <v>178</v>
      </c>
      <c r="AU277">
        <v>8</v>
      </c>
      <c r="AV277">
        <v>100</v>
      </c>
      <c r="AW277">
        <v>2.2000000000000002</v>
      </c>
      <c r="AX277">
        <v>0.2</v>
      </c>
      <c r="AY277">
        <v>0.5</v>
      </c>
      <c r="AZ277">
        <v>94.3</v>
      </c>
      <c r="BA277">
        <v>98.5</v>
      </c>
      <c r="BB277">
        <v>97</v>
      </c>
      <c r="BC277">
        <v>99.2</v>
      </c>
      <c r="BD277">
        <v>3</v>
      </c>
      <c r="BE277">
        <v>0.8</v>
      </c>
      <c r="BF277">
        <v>100</v>
      </c>
      <c r="BG277">
        <v>2.2000000000000002</v>
      </c>
      <c r="BH277">
        <v>0.2</v>
      </c>
      <c r="BI277">
        <v>0.5</v>
      </c>
      <c r="BJ277">
        <v>94.3</v>
      </c>
      <c r="BK277">
        <v>98.5</v>
      </c>
      <c r="BL277">
        <v>97</v>
      </c>
      <c r="BM277">
        <v>99.2</v>
      </c>
      <c r="BN277">
        <v>3</v>
      </c>
      <c r="BO277">
        <v>0.8</v>
      </c>
      <c r="BP277">
        <v>0</v>
      </c>
      <c r="BQ277">
        <v>0</v>
      </c>
      <c r="BR277">
        <v>0</v>
      </c>
      <c r="BS277">
        <v>0</v>
      </c>
      <c r="BT277">
        <v>0</v>
      </c>
      <c r="BU277">
        <v>0</v>
      </c>
      <c r="BV277">
        <v>0</v>
      </c>
      <c r="BW277">
        <v>0</v>
      </c>
      <c r="BX277">
        <v>0</v>
      </c>
      <c r="BY277">
        <v>0</v>
      </c>
      <c r="BZ277">
        <v>27</v>
      </c>
      <c r="CA277">
        <v>3</v>
      </c>
      <c r="CB277">
        <v>1</v>
      </c>
      <c r="CC277">
        <v>2</v>
      </c>
      <c r="CD277">
        <v>20</v>
      </c>
      <c r="CE277">
        <v>17</v>
      </c>
      <c r="CF277">
        <v>24</v>
      </c>
      <c r="CG277">
        <v>19</v>
      </c>
      <c r="CH277">
        <v>27</v>
      </c>
      <c r="CI277">
        <v>3</v>
      </c>
      <c r="CJ277">
        <v>1</v>
      </c>
      <c r="CK277">
        <v>2</v>
      </c>
      <c r="CL277">
        <v>20</v>
      </c>
      <c r="CM277">
        <v>17</v>
      </c>
      <c r="CN277">
        <v>24</v>
      </c>
      <c r="CO277">
        <v>19</v>
      </c>
      <c r="CP277">
        <v>0</v>
      </c>
      <c r="CQ277">
        <v>0</v>
      </c>
      <c r="CR277">
        <v>0</v>
      </c>
      <c r="CS277">
        <v>0</v>
      </c>
      <c r="CT277">
        <v>0</v>
      </c>
      <c r="CU277">
        <v>0</v>
      </c>
      <c r="CV277">
        <v>0</v>
      </c>
      <c r="CW277">
        <v>0</v>
      </c>
      <c r="CX277">
        <v>74.099999999999994</v>
      </c>
      <c r="CY277">
        <v>85.2</v>
      </c>
      <c r="CZ277">
        <v>87.1</v>
      </c>
      <c r="DA277">
        <v>93.8</v>
      </c>
      <c r="DB277">
        <v>71</v>
      </c>
      <c r="DC277">
        <v>78.2</v>
      </c>
      <c r="DD277">
        <v>79.8</v>
      </c>
      <c r="DE277">
        <v>84.1</v>
      </c>
      <c r="DF277">
        <v>74.099999999999994</v>
      </c>
      <c r="DG277">
        <v>85.2</v>
      </c>
      <c r="DH277">
        <v>87.1</v>
      </c>
      <c r="DI277">
        <v>93.8</v>
      </c>
      <c r="DJ277">
        <v>71</v>
      </c>
      <c r="DK277">
        <v>78.2</v>
      </c>
      <c r="DL277">
        <v>79.8</v>
      </c>
      <c r="DM277">
        <v>84.1</v>
      </c>
      <c r="DN277">
        <v>0</v>
      </c>
      <c r="DO277">
        <v>0</v>
      </c>
      <c r="DP277">
        <v>0</v>
      </c>
      <c r="DQ277">
        <v>0</v>
      </c>
      <c r="DR277">
        <v>0</v>
      </c>
      <c r="DS277">
        <v>0</v>
      </c>
      <c r="DT277">
        <v>0</v>
      </c>
      <c r="DU277">
        <v>0</v>
      </c>
      <c r="DV277" t="s">
        <v>481</v>
      </c>
    </row>
    <row r="278" spans="1:126" x14ac:dyDescent="0.35">
      <c r="A278" t="s">
        <v>536</v>
      </c>
      <c r="B278">
        <v>230103</v>
      </c>
      <c r="C278" s="1">
        <v>44929</v>
      </c>
      <c r="D278" t="s">
        <v>537</v>
      </c>
      <c r="E278" t="s">
        <v>184</v>
      </c>
      <c r="F278" t="s">
        <v>185</v>
      </c>
      <c r="G278" t="s">
        <v>463</v>
      </c>
      <c r="H278">
        <v>33749</v>
      </c>
      <c r="I278" s="17">
        <v>835</v>
      </c>
      <c r="J278" s="17">
        <v>163</v>
      </c>
      <c r="K278">
        <v>135</v>
      </c>
      <c r="L278">
        <v>32016</v>
      </c>
      <c r="M278">
        <v>33195</v>
      </c>
      <c r="N278">
        <v>32986</v>
      </c>
      <c r="O278">
        <v>33493</v>
      </c>
      <c r="P278">
        <v>763</v>
      </c>
      <c r="Q278">
        <v>256</v>
      </c>
      <c r="R278">
        <v>33749</v>
      </c>
      <c r="S278">
        <v>835</v>
      </c>
      <c r="T278">
        <v>163</v>
      </c>
      <c r="U278">
        <v>135</v>
      </c>
      <c r="V278">
        <v>32016</v>
      </c>
      <c r="W278">
        <v>33195</v>
      </c>
      <c r="X278">
        <v>32986</v>
      </c>
      <c r="Y278">
        <v>33493</v>
      </c>
      <c r="Z278">
        <v>763</v>
      </c>
      <c r="AA278">
        <v>256</v>
      </c>
      <c r="AB278">
        <v>0</v>
      </c>
      <c r="AC278">
        <v>0</v>
      </c>
      <c r="AD278">
        <v>0</v>
      </c>
      <c r="AE278">
        <v>0</v>
      </c>
      <c r="AF278">
        <v>0</v>
      </c>
      <c r="AG278">
        <v>0</v>
      </c>
      <c r="AH278">
        <v>0</v>
      </c>
      <c r="AI278">
        <v>0</v>
      </c>
      <c r="AJ278">
        <v>0</v>
      </c>
      <c r="AK278">
        <v>0</v>
      </c>
      <c r="AL278">
        <v>-2124</v>
      </c>
      <c r="AM278">
        <v>25</v>
      </c>
      <c r="AN278">
        <v>-244</v>
      </c>
      <c r="AO278">
        <v>-5</v>
      </c>
      <c r="AP278">
        <v>-2175</v>
      </c>
      <c r="AQ278">
        <v>-1860</v>
      </c>
      <c r="AR278">
        <v>-2155</v>
      </c>
      <c r="AS278">
        <v>-2109</v>
      </c>
      <c r="AT278">
        <v>31</v>
      </c>
      <c r="AU278">
        <v>-15</v>
      </c>
      <c r="AV278">
        <v>100</v>
      </c>
      <c r="AW278">
        <v>2.5</v>
      </c>
      <c r="AX278">
        <v>0.5</v>
      </c>
      <c r="AY278">
        <v>0.4</v>
      </c>
      <c r="AZ278">
        <v>94.9</v>
      </c>
      <c r="BA278">
        <v>98.4</v>
      </c>
      <c r="BB278">
        <v>97.7</v>
      </c>
      <c r="BC278">
        <v>99.2</v>
      </c>
      <c r="BD278">
        <v>2.2999999999999998</v>
      </c>
      <c r="BE278">
        <v>0.8</v>
      </c>
      <c r="BF278">
        <v>100</v>
      </c>
      <c r="BG278">
        <v>2.5</v>
      </c>
      <c r="BH278">
        <v>0.5</v>
      </c>
      <c r="BI278">
        <v>0.4</v>
      </c>
      <c r="BJ278">
        <v>94.9</v>
      </c>
      <c r="BK278">
        <v>98.4</v>
      </c>
      <c r="BL278">
        <v>97.7</v>
      </c>
      <c r="BM278">
        <v>99.2</v>
      </c>
      <c r="BN278">
        <v>2.2999999999999998</v>
      </c>
      <c r="BO278">
        <v>0.8</v>
      </c>
      <c r="BP278">
        <v>0</v>
      </c>
      <c r="BQ278">
        <v>0</v>
      </c>
      <c r="BR278">
        <v>0</v>
      </c>
      <c r="BS278">
        <v>0</v>
      </c>
      <c r="BT278">
        <v>0</v>
      </c>
      <c r="BU278">
        <v>0</v>
      </c>
      <c r="BV278">
        <v>0</v>
      </c>
      <c r="BW278">
        <v>0</v>
      </c>
      <c r="BX278">
        <v>0</v>
      </c>
      <c r="BY278">
        <v>0</v>
      </c>
      <c r="BZ278">
        <v>32</v>
      </c>
      <c r="CA278">
        <v>2</v>
      </c>
      <c r="CB278">
        <v>3</v>
      </c>
      <c r="CC278">
        <v>2</v>
      </c>
      <c r="CD278">
        <v>23</v>
      </c>
      <c r="CE278">
        <v>21</v>
      </c>
      <c r="CF278">
        <v>27</v>
      </c>
      <c r="CG278">
        <v>24</v>
      </c>
      <c r="CH278">
        <v>32</v>
      </c>
      <c r="CI278">
        <v>2</v>
      </c>
      <c r="CJ278">
        <v>3</v>
      </c>
      <c r="CK278">
        <v>2</v>
      </c>
      <c r="CL278">
        <v>23</v>
      </c>
      <c r="CM278">
        <v>21</v>
      </c>
      <c r="CN278">
        <v>27</v>
      </c>
      <c r="CO278">
        <v>24</v>
      </c>
      <c r="CP278">
        <v>0</v>
      </c>
      <c r="CQ278">
        <v>0</v>
      </c>
      <c r="CR278">
        <v>0</v>
      </c>
      <c r="CS278">
        <v>0</v>
      </c>
      <c r="CT278">
        <v>0</v>
      </c>
      <c r="CU278">
        <v>0</v>
      </c>
      <c r="CV278">
        <v>0</v>
      </c>
      <c r="CW278">
        <v>0</v>
      </c>
      <c r="CX278">
        <v>71.599999999999994</v>
      </c>
      <c r="CY278">
        <v>85.5</v>
      </c>
      <c r="CZ278">
        <v>84.1</v>
      </c>
      <c r="DA278">
        <v>93.4</v>
      </c>
      <c r="DB278">
        <v>70.099999999999994</v>
      </c>
      <c r="DC278">
        <v>78.400000000000006</v>
      </c>
      <c r="DD278">
        <v>79</v>
      </c>
      <c r="DE278">
        <v>85.2</v>
      </c>
      <c r="DF278">
        <v>71.599999999999994</v>
      </c>
      <c r="DG278">
        <v>85.5</v>
      </c>
      <c r="DH278">
        <v>84.1</v>
      </c>
      <c r="DI278">
        <v>93.4</v>
      </c>
      <c r="DJ278">
        <v>70.099999999999994</v>
      </c>
      <c r="DK278">
        <v>78.400000000000006</v>
      </c>
      <c r="DL278">
        <v>79</v>
      </c>
      <c r="DM278">
        <v>85.2</v>
      </c>
      <c r="DN278">
        <v>0</v>
      </c>
      <c r="DO278">
        <v>0</v>
      </c>
      <c r="DP278">
        <v>0</v>
      </c>
      <c r="DQ278">
        <v>0</v>
      </c>
      <c r="DR278">
        <v>0</v>
      </c>
      <c r="DS278">
        <v>0</v>
      </c>
      <c r="DT278">
        <v>0</v>
      </c>
      <c r="DU278">
        <v>0</v>
      </c>
      <c r="DV278" t="s">
        <v>481</v>
      </c>
    </row>
    <row r="279" spans="1:126" x14ac:dyDescent="0.35">
      <c r="A279" t="s">
        <v>538</v>
      </c>
      <c r="B279">
        <v>230110</v>
      </c>
      <c r="C279" s="1">
        <v>44936</v>
      </c>
      <c r="D279" t="s">
        <v>539</v>
      </c>
      <c r="E279" t="s">
        <v>184</v>
      </c>
      <c r="F279" t="s">
        <v>185</v>
      </c>
      <c r="G279" t="s">
        <v>463</v>
      </c>
      <c r="H279">
        <v>25823</v>
      </c>
      <c r="I279" s="17">
        <v>172</v>
      </c>
      <c r="J279" s="17">
        <v>77</v>
      </c>
      <c r="K279">
        <v>0</v>
      </c>
      <c r="L279">
        <v>25059</v>
      </c>
      <c r="M279">
        <v>25546</v>
      </c>
      <c r="N279">
        <v>25231</v>
      </c>
      <c r="O279">
        <v>25623</v>
      </c>
      <c r="P279">
        <v>592</v>
      </c>
      <c r="Q279">
        <v>200</v>
      </c>
      <c r="R279">
        <v>25823</v>
      </c>
      <c r="S279">
        <v>172</v>
      </c>
      <c r="T279">
        <v>77</v>
      </c>
      <c r="U279">
        <v>0</v>
      </c>
      <c r="V279">
        <v>25059</v>
      </c>
      <c r="W279">
        <v>25546</v>
      </c>
      <c r="X279">
        <v>25231</v>
      </c>
      <c r="Y279">
        <v>25623</v>
      </c>
      <c r="Z279">
        <v>592</v>
      </c>
      <c r="AA279">
        <v>200</v>
      </c>
      <c r="AB279">
        <v>0</v>
      </c>
      <c r="AC279">
        <v>0</v>
      </c>
      <c r="AD279">
        <v>0</v>
      </c>
      <c r="AE279">
        <v>0</v>
      </c>
      <c r="AF279">
        <v>0</v>
      </c>
      <c r="AG279">
        <v>0</v>
      </c>
      <c r="AH279">
        <v>0</v>
      </c>
      <c r="AI279">
        <v>0</v>
      </c>
      <c r="AJ279">
        <v>0</v>
      </c>
      <c r="AK279">
        <v>0</v>
      </c>
      <c r="AL279">
        <v>-1692</v>
      </c>
      <c r="AM279">
        <v>15</v>
      </c>
      <c r="AN279">
        <v>-45</v>
      </c>
      <c r="AO279">
        <v>0</v>
      </c>
      <c r="AP279">
        <v>-1979</v>
      </c>
      <c r="AQ279">
        <v>-1626</v>
      </c>
      <c r="AR279">
        <v>-1964</v>
      </c>
      <c r="AS279">
        <v>-1671</v>
      </c>
      <c r="AT279">
        <v>272</v>
      </c>
      <c r="AU279">
        <v>-21</v>
      </c>
      <c r="AV279">
        <v>100</v>
      </c>
      <c r="AW279">
        <v>0.7</v>
      </c>
      <c r="AX279">
        <v>0.3</v>
      </c>
      <c r="AY279">
        <v>0</v>
      </c>
      <c r="AZ279">
        <v>97</v>
      </c>
      <c r="BA279">
        <v>98.9</v>
      </c>
      <c r="BB279">
        <v>97.7</v>
      </c>
      <c r="BC279">
        <v>99.2</v>
      </c>
      <c r="BD279">
        <v>2.2999999999999998</v>
      </c>
      <c r="BE279">
        <v>0.8</v>
      </c>
      <c r="BF279">
        <v>100</v>
      </c>
      <c r="BG279">
        <v>0.7</v>
      </c>
      <c r="BH279">
        <v>0.3</v>
      </c>
      <c r="BI279">
        <v>0</v>
      </c>
      <c r="BJ279">
        <v>97</v>
      </c>
      <c r="BK279">
        <v>98.9</v>
      </c>
      <c r="BL279">
        <v>97.7</v>
      </c>
      <c r="BM279">
        <v>99.2</v>
      </c>
      <c r="BN279">
        <v>2.2999999999999998</v>
      </c>
      <c r="BO279">
        <v>0.8</v>
      </c>
      <c r="BP279">
        <v>0</v>
      </c>
      <c r="BQ279">
        <v>0</v>
      </c>
      <c r="BR279">
        <v>0</v>
      </c>
      <c r="BS279">
        <v>0</v>
      </c>
      <c r="BT279">
        <v>0</v>
      </c>
      <c r="BU279">
        <v>0</v>
      </c>
      <c r="BV279">
        <v>0</v>
      </c>
      <c r="BW279">
        <v>0</v>
      </c>
      <c r="BX279">
        <v>0</v>
      </c>
      <c r="BY279">
        <v>0</v>
      </c>
      <c r="BZ279">
        <v>27</v>
      </c>
      <c r="CA279">
        <v>2</v>
      </c>
      <c r="CB279">
        <v>1</v>
      </c>
      <c r="CC279">
        <v>0</v>
      </c>
      <c r="CD279">
        <v>19</v>
      </c>
      <c r="CE279">
        <v>17</v>
      </c>
      <c r="CF279">
        <v>21</v>
      </c>
      <c r="CG279">
        <v>18</v>
      </c>
      <c r="CH279">
        <v>27</v>
      </c>
      <c r="CI279">
        <v>2</v>
      </c>
      <c r="CJ279">
        <v>1</v>
      </c>
      <c r="CK279">
        <v>0</v>
      </c>
      <c r="CL279">
        <v>19</v>
      </c>
      <c r="CM279">
        <v>17</v>
      </c>
      <c r="CN279">
        <v>21</v>
      </c>
      <c r="CO279">
        <v>18</v>
      </c>
      <c r="CP279">
        <v>0</v>
      </c>
      <c r="CQ279">
        <v>0</v>
      </c>
      <c r="CR279">
        <v>0</v>
      </c>
      <c r="CS279">
        <v>0</v>
      </c>
      <c r="CT279">
        <v>0</v>
      </c>
      <c r="CU279">
        <v>0</v>
      </c>
      <c r="CV279">
        <v>0</v>
      </c>
      <c r="CW279">
        <v>0</v>
      </c>
      <c r="CX279">
        <v>75.3</v>
      </c>
      <c r="CY279">
        <v>85.3</v>
      </c>
      <c r="CZ279">
        <v>89.6</v>
      </c>
      <c r="DA279">
        <v>93.9</v>
      </c>
      <c r="DB279">
        <v>74.8</v>
      </c>
      <c r="DC279">
        <v>78.400000000000006</v>
      </c>
      <c r="DD279">
        <v>80.099999999999994</v>
      </c>
      <c r="DE279">
        <v>83.6</v>
      </c>
      <c r="DF279">
        <v>75.3</v>
      </c>
      <c r="DG279">
        <v>85.3</v>
      </c>
      <c r="DH279">
        <v>89.6</v>
      </c>
      <c r="DI279">
        <v>93.9</v>
      </c>
      <c r="DJ279">
        <v>74.8</v>
      </c>
      <c r="DK279">
        <v>78.400000000000006</v>
      </c>
      <c r="DL279">
        <v>80.099999999999994</v>
      </c>
      <c r="DM279">
        <v>83.6</v>
      </c>
      <c r="DN279">
        <v>0</v>
      </c>
      <c r="DO279">
        <v>0</v>
      </c>
      <c r="DP279">
        <v>0</v>
      </c>
      <c r="DQ279">
        <v>0</v>
      </c>
      <c r="DR279">
        <v>0</v>
      </c>
      <c r="DS279">
        <v>0</v>
      </c>
      <c r="DT279">
        <v>0</v>
      </c>
      <c r="DU279">
        <v>0</v>
      </c>
      <c r="DV279" t="s">
        <v>540</v>
      </c>
    </row>
    <row r="280" spans="1:126" x14ac:dyDescent="0.35">
      <c r="A280" t="s">
        <v>538</v>
      </c>
      <c r="B280">
        <v>230103</v>
      </c>
      <c r="C280" s="1">
        <v>44929</v>
      </c>
      <c r="D280" t="s">
        <v>539</v>
      </c>
      <c r="E280" t="s">
        <v>184</v>
      </c>
      <c r="F280" t="s">
        <v>185</v>
      </c>
      <c r="G280" t="s">
        <v>463</v>
      </c>
      <c r="H280">
        <v>27515</v>
      </c>
      <c r="I280" s="17">
        <v>157</v>
      </c>
      <c r="J280" s="17">
        <v>122</v>
      </c>
      <c r="K280">
        <v>0</v>
      </c>
      <c r="L280">
        <v>27038</v>
      </c>
      <c r="M280">
        <v>27172</v>
      </c>
      <c r="N280">
        <v>27195</v>
      </c>
      <c r="O280">
        <v>27294</v>
      </c>
      <c r="P280">
        <v>320</v>
      </c>
      <c r="Q280">
        <v>221</v>
      </c>
      <c r="R280">
        <v>27515</v>
      </c>
      <c r="S280">
        <v>157</v>
      </c>
      <c r="T280">
        <v>122</v>
      </c>
      <c r="U280">
        <v>0</v>
      </c>
      <c r="V280">
        <v>27038</v>
      </c>
      <c r="W280">
        <v>27172</v>
      </c>
      <c r="X280">
        <v>27195</v>
      </c>
      <c r="Y280">
        <v>27294</v>
      </c>
      <c r="Z280">
        <v>320</v>
      </c>
      <c r="AA280">
        <v>221</v>
      </c>
      <c r="AB280">
        <v>0</v>
      </c>
      <c r="AC280">
        <v>0</v>
      </c>
      <c r="AD280">
        <v>0</v>
      </c>
      <c r="AE280">
        <v>0</v>
      </c>
      <c r="AF280">
        <v>0</v>
      </c>
      <c r="AG280">
        <v>0</v>
      </c>
      <c r="AH280">
        <v>0</v>
      </c>
      <c r="AI280">
        <v>0</v>
      </c>
      <c r="AJ280">
        <v>0</v>
      </c>
      <c r="AK280">
        <v>0</v>
      </c>
      <c r="AL280">
        <v>-547</v>
      </c>
      <c r="AM280">
        <v>50</v>
      </c>
      <c r="AN280">
        <v>-250</v>
      </c>
      <c r="AO280">
        <v>-50</v>
      </c>
      <c r="AP280">
        <v>-547</v>
      </c>
      <c r="AQ280">
        <v>-247</v>
      </c>
      <c r="AR280">
        <v>-547</v>
      </c>
      <c r="AS280">
        <v>-547</v>
      </c>
      <c r="AT280">
        <v>0</v>
      </c>
      <c r="AU280">
        <v>0</v>
      </c>
      <c r="AV280">
        <v>100</v>
      </c>
      <c r="AW280">
        <v>0.6</v>
      </c>
      <c r="AX280">
        <v>0.4</v>
      </c>
      <c r="AY280">
        <v>0</v>
      </c>
      <c r="AZ280">
        <v>98.3</v>
      </c>
      <c r="BA280">
        <v>98.8</v>
      </c>
      <c r="BB280">
        <v>98.8</v>
      </c>
      <c r="BC280">
        <v>99.2</v>
      </c>
      <c r="BD280">
        <v>1.2</v>
      </c>
      <c r="BE280">
        <v>0.8</v>
      </c>
      <c r="BF280">
        <v>100</v>
      </c>
      <c r="BG280">
        <v>0.6</v>
      </c>
      <c r="BH280">
        <v>0.4</v>
      </c>
      <c r="BI280">
        <v>0</v>
      </c>
      <c r="BJ280">
        <v>98.3</v>
      </c>
      <c r="BK280">
        <v>98.8</v>
      </c>
      <c r="BL280">
        <v>98.8</v>
      </c>
      <c r="BM280">
        <v>99.2</v>
      </c>
      <c r="BN280">
        <v>1.2</v>
      </c>
      <c r="BO280">
        <v>0.8</v>
      </c>
      <c r="BP280">
        <v>0</v>
      </c>
      <c r="BQ280">
        <v>0</v>
      </c>
      <c r="BR280">
        <v>0</v>
      </c>
      <c r="BS280">
        <v>0</v>
      </c>
      <c r="BT280">
        <v>0</v>
      </c>
      <c r="BU280">
        <v>0</v>
      </c>
      <c r="BV280">
        <v>0</v>
      </c>
      <c r="BW280">
        <v>0</v>
      </c>
      <c r="BX280">
        <v>0</v>
      </c>
      <c r="BY280">
        <v>0</v>
      </c>
      <c r="BZ280">
        <v>29</v>
      </c>
      <c r="CA280">
        <v>3</v>
      </c>
      <c r="CB280">
        <v>1</v>
      </c>
      <c r="CC280">
        <v>0</v>
      </c>
      <c r="CD280">
        <v>21</v>
      </c>
      <c r="CE280">
        <v>18</v>
      </c>
      <c r="CF280">
        <v>24</v>
      </c>
      <c r="CG280">
        <v>19</v>
      </c>
      <c r="CH280">
        <v>29</v>
      </c>
      <c r="CI280">
        <v>3</v>
      </c>
      <c r="CJ280">
        <v>1</v>
      </c>
      <c r="CK280">
        <v>0</v>
      </c>
      <c r="CL280">
        <v>21</v>
      </c>
      <c r="CM280">
        <v>18</v>
      </c>
      <c r="CN280">
        <v>24</v>
      </c>
      <c r="CO280">
        <v>19</v>
      </c>
      <c r="CP280">
        <v>0</v>
      </c>
      <c r="CQ280">
        <v>0</v>
      </c>
      <c r="CR280">
        <v>0</v>
      </c>
      <c r="CS280">
        <v>0</v>
      </c>
      <c r="CT280">
        <v>0</v>
      </c>
      <c r="CU280">
        <v>0</v>
      </c>
      <c r="CV280">
        <v>0</v>
      </c>
      <c r="CW280">
        <v>0</v>
      </c>
      <c r="CX280">
        <v>75.2</v>
      </c>
      <c r="CY280">
        <v>85.4</v>
      </c>
      <c r="CZ280">
        <v>89.7</v>
      </c>
      <c r="DA280">
        <v>94.7</v>
      </c>
      <c r="DB280">
        <v>75.2</v>
      </c>
      <c r="DC280">
        <v>79</v>
      </c>
      <c r="DD280">
        <v>81.3</v>
      </c>
      <c r="DE280">
        <v>84.3</v>
      </c>
      <c r="DF280">
        <v>75.2</v>
      </c>
      <c r="DG280">
        <v>85.4</v>
      </c>
      <c r="DH280">
        <v>89.7</v>
      </c>
      <c r="DI280">
        <v>94.7</v>
      </c>
      <c r="DJ280">
        <v>75.2</v>
      </c>
      <c r="DK280">
        <v>79</v>
      </c>
      <c r="DL280">
        <v>81.3</v>
      </c>
      <c r="DM280">
        <v>84.3</v>
      </c>
      <c r="DN280">
        <v>0</v>
      </c>
      <c r="DO280">
        <v>0</v>
      </c>
      <c r="DP280">
        <v>0</v>
      </c>
      <c r="DQ280">
        <v>0</v>
      </c>
      <c r="DR280">
        <v>0</v>
      </c>
      <c r="DS280">
        <v>0</v>
      </c>
      <c r="DT280">
        <v>0</v>
      </c>
      <c r="DU280">
        <v>0</v>
      </c>
      <c r="DV280" t="s">
        <v>540</v>
      </c>
    </row>
    <row r="281" spans="1:126" x14ac:dyDescent="0.35">
      <c r="A281" t="s">
        <v>541</v>
      </c>
      <c r="B281">
        <v>230110</v>
      </c>
      <c r="C281" s="1">
        <v>44936</v>
      </c>
      <c r="D281" t="s">
        <v>542</v>
      </c>
      <c r="E281" t="s">
        <v>184</v>
      </c>
      <c r="F281" t="s">
        <v>185</v>
      </c>
      <c r="G281" t="s">
        <v>463</v>
      </c>
      <c r="H281">
        <v>27226</v>
      </c>
      <c r="I281" s="17">
        <v>0</v>
      </c>
      <c r="J281" s="17">
        <v>2711</v>
      </c>
      <c r="K281">
        <v>137</v>
      </c>
      <c r="L281">
        <v>26199</v>
      </c>
      <c r="M281">
        <v>24032</v>
      </c>
      <c r="N281">
        <v>26336</v>
      </c>
      <c r="O281">
        <v>26880</v>
      </c>
      <c r="P281">
        <v>890</v>
      </c>
      <c r="Q281">
        <v>346</v>
      </c>
      <c r="R281">
        <v>27226</v>
      </c>
      <c r="S281">
        <v>0</v>
      </c>
      <c r="T281">
        <v>2711</v>
      </c>
      <c r="U281">
        <v>137</v>
      </c>
      <c r="V281">
        <v>26199</v>
      </c>
      <c r="W281">
        <v>24032</v>
      </c>
      <c r="X281">
        <v>26336</v>
      </c>
      <c r="Y281">
        <v>26880</v>
      </c>
      <c r="Z281">
        <v>890</v>
      </c>
      <c r="AA281">
        <v>346</v>
      </c>
      <c r="AB281">
        <v>0</v>
      </c>
      <c r="AC281">
        <v>0</v>
      </c>
      <c r="AD281">
        <v>0</v>
      </c>
      <c r="AE281">
        <v>0</v>
      </c>
      <c r="AF281">
        <v>0</v>
      </c>
      <c r="AG281">
        <v>0</v>
      </c>
      <c r="AH281">
        <v>0</v>
      </c>
      <c r="AI281">
        <v>0</v>
      </c>
      <c r="AJ281">
        <v>0</v>
      </c>
      <c r="AK281">
        <v>0</v>
      </c>
      <c r="AL281">
        <v>-2844</v>
      </c>
      <c r="AM281">
        <v>-200</v>
      </c>
      <c r="AN281">
        <v>-15</v>
      </c>
      <c r="AO281">
        <v>40</v>
      </c>
      <c r="AP281">
        <v>-2987</v>
      </c>
      <c r="AQ281">
        <v>-3001</v>
      </c>
      <c r="AR281">
        <v>-3147</v>
      </c>
      <c r="AS281">
        <v>-2976</v>
      </c>
      <c r="AT281">
        <v>303</v>
      </c>
      <c r="AU281">
        <v>132</v>
      </c>
      <c r="AV281">
        <v>100</v>
      </c>
      <c r="AW281">
        <v>0</v>
      </c>
      <c r="AX281">
        <v>10</v>
      </c>
      <c r="AY281">
        <v>0.5</v>
      </c>
      <c r="AZ281">
        <v>96.2</v>
      </c>
      <c r="BA281">
        <v>88.3</v>
      </c>
      <c r="BB281">
        <v>96.7</v>
      </c>
      <c r="BC281">
        <v>98.7</v>
      </c>
      <c r="BD281">
        <v>3.3</v>
      </c>
      <c r="BE281">
        <v>1.3</v>
      </c>
      <c r="BF281">
        <v>100</v>
      </c>
      <c r="BG281">
        <v>0</v>
      </c>
      <c r="BH281">
        <v>10</v>
      </c>
      <c r="BI281">
        <v>0.5</v>
      </c>
      <c r="BJ281">
        <v>96.2</v>
      </c>
      <c r="BK281">
        <v>88.3</v>
      </c>
      <c r="BL281">
        <v>96.7</v>
      </c>
      <c r="BM281">
        <v>98.7</v>
      </c>
      <c r="BN281">
        <v>3.3</v>
      </c>
      <c r="BO281">
        <v>1.3</v>
      </c>
      <c r="BP281">
        <v>0</v>
      </c>
      <c r="BQ281">
        <v>0</v>
      </c>
      <c r="BR281">
        <v>0</v>
      </c>
      <c r="BS281">
        <v>0</v>
      </c>
      <c r="BT281">
        <v>0</v>
      </c>
      <c r="BU281">
        <v>0</v>
      </c>
      <c r="BV281">
        <v>0</v>
      </c>
      <c r="BW281">
        <v>0</v>
      </c>
      <c r="BX281">
        <v>0</v>
      </c>
      <c r="BY281">
        <v>0</v>
      </c>
      <c r="BZ281">
        <v>35</v>
      </c>
      <c r="CA281">
        <v>0</v>
      </c>
      <c r="CB281">
        <v>7</v>
      </c>
      <c r="CC281">
        <v>2</v>
      </c>
      <c r="CD281">
        <v>25</v>
      </c>
      <c r="CE281">
        <v>22</v>
      </c>
      <c r="CF281">
        <v>27</v>
      </c>
      <c r="CG281">
        <v>29</v>
      </c>
      <c r="CH281">
        <v>35</v>
      </c>
      <c r="CI281">
        <v>0</v>
      </c>
      <c r="CJ281">
        <v>7</v>
      </c>
      <c r="CK281">
        <v>2</v>
      </c>
      <c r="CL281">
        <v>25</v>
      </c>
      <c r="CM281">
        <v>22</v>
      </c>
      <c r="CN281">
        <v>27</v>
      </c>
      <c r="CO281">
        <v>29</v>
      </c>
      <c r="CP281">
        <v>0</v>
      </c>
      <c r="CQ281">
        <v>0</v>
      </c>
      <c r="CR281">
        <v>0</v>
      </c>
      <c r="CS281">
        <v>0</v>
      </c>
      <c r="CT281">
        <v>0</v>
      </c>
      <c r="CU281">
        <v>0</v>
      </c>
      <c r="CV281">
        <v>0</v>
      </c>
      <c r="CW281">
        <v>0</v>
      </c>
      <c r="CX281">
        <v>52.1</v>
      </c>
      <c r="CY281">
        <v>68.599999999999994</v>
      </c>
      <c r="CZ281">
        <v>70</v>
      </c>
      <c r="DA281">
        <v>81.3</v>
      </c>
      <c r="DB281">
        <v>38.5</v>
      </c>
      <c r="DC281">
        <v>58.6</v>
      </c>
      <c r="DD281">
        <v>54.5</v>
      </c>
      <c r="DE281">
        <v>68.400000000000006</v>
      </c>
      <c r="DF281">
        <v>52.1</v>
      </c>
      <c r="DG281">
        <v>68.599999999999994</v>
      </c>
      <c r="DH281">
        <v>70</v>
      </c>
      <c r="DI281">
        <v>81.3</v>
      </c>
      <c r="DJ281">
        <v>38.5</v>
      </c>
      <c r="DK281">
        <v>58.6</v>
      </c>
      <c r="DL281">
        <v>54.5</v>
      </c>
      <c r="DM281">
        <v>68.400000000000006</v>
      </c>
      <c r="DN281">
        <v>0</v>
      </c>
      <c r="DO281">
        <v>0</v>
      </c>
      <c r="DP281">
        <v>0</v>
      </c>
      <c r="DQ281">
        <v>0</v>
      </c>
      <c r="DR281">
        <v>0</v>
      </c>
      <c r="DS281">
        <v>0</v>
      </c>
      <c r="DT281">
        <v>0</v>
      </c>
      <c r="DU281">
        <v>0</v>
      </c>
      <c r="DV281" t="s">
        <v>481</v>
      </c>
    </row>
    <row r="282" spans="1:126" x14ac:dyDescent="0.35">
      <c r="A282" t="s">
        <v>541</v>
      </c>
      <c r="B282">
        <v>230103</v>
      </c>
      <c r="C282" s="1">
        <v>44929</v>
      </c>
      <c r="D282" t="s">
        <v>542</v>
      </c>
      <c r="E282" t="s">
        <v>184</v>
      </c>
      <c r="F282" t="s">
        <v>185</v>
      </c>
      <c r="G282" t="s">
        <v>463</v>
      </c>
      <c r="H282">
        <v>30070</v>
      </c>
      <c r="I282" s="17">
        <v>200</v>
      </c>
      <c r="J282" s="17">
        <v>2726</v>
      </c>
      <c r="K282">
        <v>97</v>
      </c>
      <c r="L282">
        <v>29186</v>
      </c>
      <c r="M282">
        <v>27033</v>
      </c>
      <c r="N282">
        <v>29483</v>
      </c>
      <c r="O282">
        <v>29856</v>
      </c>
      <c r="P282">
        <v>587</v>
      </c>
      <c r="Q282">
        <v>214</v>
      </c>
      <c r="R282">
        <v>30070</v>
      </c>
      <c r="S282">
        <v>200</v>
      </c>
      <c r="T282">
        <v>2726</v>
      </c>
      <c r="U282">
        <v>97</v>
      </c>
      <c r="V282">
        <v>29186</v>
      </c>
      <c r="W282">
        <v>27033</v>
      </c>
      <c r="X282">
        <v>29483</v>
      </c>
      <c r="Y282">
        <v>29856</v>
      </c>
      <c r="Z282">
        <v>587</v>
      </c>
      <c r="AA282">
        <v>214</v>
      </c>
      <c r="AB282">
        <v>0</v>
      </c>
      <c r="AC282">
        <v>0</v>
      </c>
      <c r="AD282">
        <v>0</v>
      </c>
      <c r="AE282">
        <v>0</v>
      </c>
      <c r="AF282">
        <v>0</v>
      </c>
      <c r="AG282">
        <v>0</v>
      </c>
      <c r="AH282">
        <v>0</v>
      </c>
      <c r="AI282">
        <v>0</v>
      </c>
      <c r="AJ282">
        <v>0</v>
      </c>
      <c r="AK282">
        <v>0</v>
      </c>
      <c r="AL282">
        <v>-199</v>
      </c>
      <c r="AM282">
        <v>0</v>
      </c>
      <c r="AN282">
        <v>103</v>
      </c>
      <c r="AO282">
        <v>-8</v>
      </c>
      <c r="AP282">
        <v>-168</v>
      </c>
      <c r="AQ282">
        <v>-320</v>
      </c>
      <c r="AR282">
        <v>-176</v>
      </c>
      <c r="AS282">
        <v>-225</v>
      </c>
      <c r="AT282">
        <v>-23</v>
      </c>
      <c r="AU282">
        <v>26</v>
      </c>
      <c r="AV282">
        <v>100</v>
      </c>
      <c r="AW282">
        <v>0.7</v>
      </c>
      <c r="AX282">
        <v>9.1</v>
      </c>
      <c r="AY282">
        <v>0.3</v>
      </c>
      <c r="AZ282">
        <v>97.1</v>
      </c>
      <c r="BA282">
        <v>89.9</v>
      </c>
      <c r="BB282">
        <v>98</v>
      </c>
      <c r="BC282">
        <v>99.3</v>
      </c>
      <c r="BD282">
        <v>2</v>
      </c>
      <c r="BE282">
        <v>0.7</v>
      </c>
      <c r="BF282">
        <v>100</v>
      </c>
      <c r="BG282">
        <v>0.7</v>
      </c>
      <c r="BH282">
        <v>9.1</v>
      </c>
      <c r="BI282">
        <v>0.3</v>
      </c>
      <c r="BJ282">
        <v>97.1</v>
      </c>
      <c r="BK282">
        <v>89.9</v>
      </c>
      <c r="BL282">
        <v>98</v>
      </c>
      <c r="BM282">
        <v>99.3</v>
      </c>
      <c r="BN282">
        <v>2</v>
      </c>
      <c r="BO282">
        <v>0.7</v>
      </c>
      <c r="BP282">
        <v>0</v>
      </c>
      <c r="BQ282">
        <v>0</v>
      </c>
      <c r="BR282">
        <v>0</v>
      </c>
      <c r="BS282">
        <v>0</v>
      </c>
      <c r="BT282">
        <v>0</v>
      </c>
      <c r="BU282">
        <v>0</v>
      </c>
      <c r="BV282">
        <v>0</v>
      </c>
      <c r="BW282">
        <v>0</v>
      </c>
      <c r="BX282">
        <v>0</v>
      </c>
      <c r="BY282">
        <v>0</v>
      </c>
      <c r="BZ282">
        <v>39</v>
      </c>
      <c r="CA282">
        <v>2</v>
      </c>
      <c r="CB282">
        <v>6</v>
      </c>
      <c r="CC282">
        <v>3</v>
      </c>
      <c r="CD282">
        <v>28</v>
      </c>
      <c r="CE282">
        <v>23</v>
      </c>
      <c r="CF282">
        <v>33</v>
      </c>
      <c r="CG282">
        <v>29</v>
      </c>
      <c r="CH282">
        <v>39</v>
      </c>
      <c r="CI282">
        <v>2</v>
      </c>
      <c r="CJ282">
        <v>6</v>
      </c>
      <c r="CK282">
        <v>3</v>
      </c>
      <c r="CL282">
        <v>28</v>
      </c>
      <c r="CM282">
        <v>23</v>
      </c>
      <c r="CN282">
        <v>33</v>
      </c>
      <c r="CO282">
        <v>29</v>
      </c>
      <c r="CP282">
        <v>0</v>
      </c>
      <c r="CQ282">
        <v>0</v>
      </c>
      <c r="CR282">
        <v>0</v>
      </c>
      <c r="CS282">
        <v>0</v>
      </c>
      <c r="CT282">
        <v>0</v>
      </c>
      <c r="CU282">
        <v>0</v>
      </c>
      <c r="CV282">
        <v>0</v>
      </c>
      <c r="CW282">
        <v>0</v>
      </c>
      <c r="CX282">
        <v>51.2</v>
      </c>
      <c r="CY282">
        <v>66.7</v>
      </c>
      <c r="CZ282">
        <v>68.7</v>
      </c>
      <c r="DA282">
        <v>80.599999999999994</v>
      </c>
      <c r="DB282">
        <v>35.4</v>
      </c>
      <c r="DC282">
        <v>53.8</v>
      </c>
      <c r="DD282">
        <v>50.8</v>
      </c>
      <c r="DE282">
        <v>63.2</v>
      </c>
      <c r="DF282">
        <v>51.2</v>
      </c>
      <c r="DG282">
        <v>66.7</v>
      </c>
      <c r="DH282">
        <v>68.7</v>
      </c>
      <c r="DI282">
        <v>80.599999999999994</v>
      </c>
      <c r="DJ282">
        <v>35.4</v>
      </c>
      <c r="DK282">
        <v>53.8</v>
      </c>
      <c r="DL282">
        <v>50.8</v>
      </c>
      <c r="DM282">
        <v>63.2</v>
      </c>
      <c r="DN282">
        <v>0</v>
      </c>
      <c r="DO282">
        <v>0</v>
      </c>
      <c r="DP282">
        <v>0</v>
      </c>
      <c r="DQ282">
        <v>0</v>
      </c>
      <c r="DR282">
        <v>0</v>
      </c>
      <c r="DS282">
        <v>0</v>
      </c>
      <c r="DT282">
        <v>0</v>
      </c>
      <c r="DU282">
        <v>0</v>
      </c>
      <c r="DV282" t="s">
        <v>481</v>
      </c>
    </row>
    <row r="283" spans="1:126" x14ac:dyDescent="0.35">
      <c r="A283" t="s">
        <v>543</v>
      </c>
      <c r="B283">
        <v>230110</v>
      </c>
      <c r="C283" s="1">
        <v>44936</v>
      </c>
      <c r="D283" t="s">
        <v>544</v>
      </c>
      <c r="E283" t="s">
        <v>184</v>
      </c>
      <c r="F283" t="s">
        <v>185</v>
      </c>
      <c r="G283" t="s">
        <v>463</v>
      </c>
      <c r="H283">
        <v>18611</v>
      </c>
      <c r="I283" s="17">
        <v>969</v>
      </c>
      <c r="J283" s="17">
        <v>268</v>
      </c>
      <c r="K283">
        <v>252</v>
      </c>
      <c r="L283">
        <v>16707</v>
      </c>
      <c r="M283">
        <v>17374</v>
      </c>
      <c r="N283">
        <v>17928</v>
      </c>
      <c r="O283">
        <v>17894</v>
      </c>
      <c r="P283">
        <v>683</v>
      </c>
      <c r="Q283">
        <v>717</v>
      </c>
      <c r="R283">
        <v>18611</v>
      </c>
      <c r="S283">
        <v>969</v>
      </c>
      <c r="T283">
        <v>268</v>
      </c>
      <c r="U283">
        <v>252</v>
      </c>
      <c r="V283">
        <v>16707</v>
      </c>
      <c r="W283">
        <v>17374</v>
      </c>
      <c r="X283">
        <v>17928</v>
      </c>
      <c r="Y283">
        <v>17894</v>
      </c>
      <c r="Z283">
        <v>683</v>
      </c>
      <c r="AA283">
        <v>717</v>
      </c>
      <c r="AB283">
        <v>0</v>
      </c>
      <c r="AC283">
        <v>0</v>
      </c>
      <c r="AD283">
        <v>0</v>
      </c>
      <c r="AE283">
        <v>0</v>
      </c>
      <c r="AF283">
        <v>0</v>
      </c>
      <c r="AG283">
        <v>0</v>
      </c>
      <c r="AH283">
        <v>0</v>
      </c>
      <c r="AI283">
        <v>0</v>
      </c>
      <c r="AJ283">
        <v>0</v>
      </c>
      <c r="AK283">
        <v>0</v>
      </c>
      <c r="AL283">
        <v>-2101</v>
      </c>
      <c r="AM283">
        <v>13</v>
      </c>
      <c r="AN283">
        <v>-315</v>
      </c>
      <c r="AO283">
        <v>-56</v>
      </c>
      <c r="AP283">
        <v>-2279</v>
      </c>
      <c r="AQ283">
        <v>-2056</v>
      </c>
      <c r="AR283">
        <v>-2322</v>
      </c>
      <c r="AS283">
        <v>-2427</v>
      </c>
      <c r="AT283">
        <v>221</v>
      </c>
      <c r="AU283">
        <v>326</v>
      </c>
      <c r="AV283">
        <v>100</v>
      </c>
      <c r="AW283">
        <v>5.2</v>
      </c>
      <c r="AX283">
        <v>1.4</v>
      </c>
      <c r="AY283">
        <v>1.4</v>
      </c>
      <c r="AZ283">
        <v>89.8</v>
      </c>
      <c r="BA283">
        <v>93.4</v>
      </c>
      <c r="BB283">
        <v>96.3</v>
      </c>
      <c r="BC283">
        <v>96.1</v>
      </c>
      <c r="BD283">
        <v>3.7</v>
      </c>
      <c r="BE283">
        <v>3.9</v>
      </c>
      <c r="BF283">
        <v>100</v>
      </c>
      <c r="BG283">
        <v>5.2</v>
      </c>
      <c r="BH283">
        <v>1.4</v>
      </c>
      <c r="BI283">
        <v>1.4</v>
      </c>
      <c r="BJ283">
        <v>89.8</v>
      </c>
      <c r="BK283">
        <v>93.4</v>
      </c>
      <c r="BL283">
        <v>96.3</v>
      </c>
      <c r="BM283">
        <v>96.1</v>
      </c>
      <c r="BN283">
        <v>3.7</v>
      </c>
      <c r="BO283">
        <v>3.9</v>
      </c>
      <c r="BP283">
        <v>0</v>
      </c>
      <c r="BQ283">
        <v>0</v>
      </c>
      <c r="BR283">
        <v>0</v>
      </c>
      <c r="BS283">
        <v>0</v>
      </c>
      <c r="BT283">
        <v>0</v>
      </c>
      <c r="BU283">
        <v>0</v>
      </c>
      <c r="BV283">
        <v>0</v>
      </c>
      <c r="BW283">
        <v>0</v>
      </c>
      <c r="BX283">
        <v>0</v>
      </c>
      <c r="BY283">
        <v>0</v>
      </c>
      <c r="BZ283">
        <v>27</v>
      </c>
      <c r="CA283">
        <v>3</v>
      </c>
      <c r="CB283">
        <v>2</v>
      </c>
      <c r="CC283">
        <v>2</v>
      </c>
      <c r="CD283">
        <v>20</v>
      </c>
      <c r="CE283">
        <v>16</v>
      </c>
      <c r="CF283">
        <v>23</v>
      </c>
      <c r="CG283">
        <v>20</v>
      </c>
      <c r="CH283">
        <v>27</v>
      </c>
      <c r="CI283">
        <v>3</v>
      </c>
      <c r="CJ283">
        <v>2</v>
      </c>
      <c r="CK283">
        <v>2</v>
      </c>
      <c r="CL283">
        <v>20</v>
      </c>
      <c r="CM283">
        <v>16</v>
      </c>
      <c r="CN283">
        <v>23</v>
      </c>
      <c r="CO283">
        <v>20</v>
      </c>
      <c r="CP283">
        <v>0</v>
      </c>
      <c r="CQ283">
        <v>0</v>
      </c>
      <c r="CR283">
        <v>0</v>
      </c>
      <c r="CS283">
        <v>0</v>
      </c>
      <c r="CT283">
        <v>0</v>
      </c>
      <c r="CU283">
        <v>0</v>
      </c>
      <c r="CV283">
        <v>0</v>
      </c>
      <c r="CW283">
        <v>0</v>
      </c>
      <c r="CX283">
        <v>53.9</v>
      </c>
      <c r="CY283">
        <v>75.599999999999994</v>
      </c>
      <c r="CZ283">
        <v>72</v>
      </c>
      <c r="DA283">
        <v>86</v>
      </c>
      <c r="DB283">
        <v>32.4</v>
      </c>
      <c r="DC283">
        <v>57.1</v>
      </c>
      <c r="DD283">
        <v>47.9</v>
      </c>
      <c r="DE283">
        <v>61.6</v>
      </c>
      <c r="DF283">
        <v>53.9</v>
      </c>
      <c r="DG283">
        <v>75.599999999999994</v>
      </c>
      <c r="DH283">
        <v>72</v>
      </c>
      <c r="DI283">
        <v>86</v>
      </c>
      <c r="DJ283">
        <v>32.4</v>
      </c>
      <c r="DK283">
        <v>57.1</v>
      </c>
      <c r="DL283">
        <v>47.9</v>
      </c>
      <c r="DM283">
        <v>61.6</v>
      </c>
      <c r="DN283">
        <v>0</v>
      </c>
      <c r="DO283">
        <v>0</v>
      </c>
      <c r="DP283">
        <v>0</v>
      </c>
      <c r="DQ283">
        <v>0</v>
      </c>
      <c r="DR283">
        <v>0</v>
      </c>
      <c r="DS283">
        <v>0</v>
      </c>
      <c r="DT283">
        <v>0</v>
      </c>
      <c r="DU283">
        <v>0</v>
      </c>
      <c r="DV283" t="s">
        <v>540</v>
      </c>
    </row>
    <row r="284" spans="1:126" x14ac:dyDescent="0.35">
      <c r="A284" t="s">
        <v>543</v>
      </c>
      <c r="B284">
        <v>230103</v>
      </c>
      <c r="C284" s="1">
        <v>44929</v>
      </c>
      <c r="D284" t="s">
        <v>544</v>
      </c>
      <c r="E284" t="s">
        <v>184</v>
      </c>
      <c r="F284" t="s">
        <v>185</v>
      </c>
      <c r="G284" t="s">
        <v>463</v>
      </c>
      <c r="H284">
        <v>20712</v>
      </c>
      <c r="I284" s="17">
        <v>956</v>
      </c>
      <c r="J284" s="17">
        <v>583</v>
      </c>
      <c r="K284">
        <v>308</v>
      </c>
      <c r="L284">
        <v>18986</v>
      </c>
      <c r="M284">
        <v>19430</v>
      </c>
      <c r="N284">
        <v>20250</v>
      </c>
      <c r="O284">
        <v>20321</v>
      </c>
      <c r="P284">
        <v>462</v>
      </c>
      <c r="Q284">
        <v>391</v>
      </c>
      <c r="R284">
        <v>20712</v>
      </c>
      <c r="S284">
        <v>956</v>
      </c>
      <c r="T284">
        <v>583</v>
      </c>
      <c r="U284">
        <v>308</v>
      </c>
      <c r="V284">
        <v>18986</v>
      </c>
      <c r="W284">
        <v>19430</v>
      </c>
      <c r="X284">
        <v>20250</v>
      </c>
      <c r="Y284">
        <v>20321</v>
      </c>
      <c r="Z284">
        <v>462</v>
      </c>
      <c r="AA284">
        <v>391</v>
      </c>
      <c r="AB284">
        <v>0</v>
      </c>
      <c r="AC284">
        <v>0</v>
      </c>
      <c r="AD284">
        <v>0</v>
      </c>
      <c r="AE284">
        <v>0</v>
      </c>
      <c r="AF284">
        <v>0</v>
      </c>
      <c r="AG284">
        <v>0</v>
      </c>
      <c r="AH284">
        <v>0</v>
      </c>
      <c r="AI284">
        <v>0</v>
      </c>
      <c r="AJ284">
        <v>0</v>
      </c>
      <c r="AK284">
        <v>0</v>
      </c>
      <c r="AL284">
        <v>136</v>
      </c>
      <c r="AM284">
        <v>0</v>
      </c>
      <c r="AN284">
        <v>125</v>
      </c>
      <c r="AO284">
        <v>5</v>
      </c>
      <c r="AP284">
        <v>136</v>
      </c>
      <c r="AQ284">
        <v>41</v>
      </c>
      <c r="AR284">
        <v>141</v>
      </c>
      <c r="AS284">
        <v>171</v>
      </c>
      <c r="AT284">
        <v>-5</v>
      </c>
      <c r="AU284">
        <v>-35</v>
      </c>
      <c r="AV284">
        <v>100</v>
      </c>
      <c r="AW284">
        <v>4.5999999999999996</v>
      </c>
      <c r="AX284">
        <v>2.8</v>
      </c>
      <c r="AY284">
        <v>1.5</v>
      </c>
      <c r="AZ284">
        <v>91.7</v>
      </c>
      <c r="BA284">
        <v>93.8</v>
      </c>
      <c r="BB284">
        <v>97.8</v>
      </c>
      <c r="BC284">
        <v>98.1</v>
      </c>
      <c r="BD284">
        <v>2.2000000000000002</v>
      </c>
      <c r="BE284">
        <v>1.9</v>
      </c>
      <c r="BF284">
        <v>100</v>
      </c>
      <c r="BG284">
        <v>4.5999999999999996</v>
      </c>
      <c r="BH284">
        <v>2.8</v>
      </c>
      <c r="BI284">
        <v>1.5</v>
      </c>
      <c r="BJ284">
        <v>91.7</v>
      </c>
      <c r="BK284">
        <v>93.8</v>
      </c>
      <c r="BL284">
        <v>97.8</v>
      </c>
      <c r="BM284">
        <v>98.1</v>
      </c>
      <c r="BN284">
        <v>2.2000000000000002</v>
      </c>
      <c r="BO284">
        <v>1.9</v>
      </c>
      <c r="BP284">
        <v>0</v>
      </c>
      <c r="BQ284">
        <v>0</v>
      </c>
      <c r="BR284">
        <v>0</v>
      </c>
      <c r="BS284">
        <v>0</v>
      </c>
      <c r="BT284">
        <v>0</v>
      </c>
      <c r="BU284">
        <v>0</v>
      </c>
      <c r="BV284">
        <v>0</v>
      </c>
      <c r="BW284">
        <v>0</v>
      </c>
      <c r="BX284">
        <v>0</v>
      </c>
      <c r="BY284">
        <v>0</v>
      </c>
      <c r="BZ284">
        <v>34</v>
      </c>
      <c r="CA284">
        <v>3</v>
      </c>
      <c r="CB284">
        <v>4</v>
      </c>
      <c r="CC284">
        <v>4</v>
      </c>
      <c r="CD284">
        <v>25</v>
      </c>
      <c r="CE284">
        <v>19</v>
      </c>
      <c r="CF284">
        <v>30</v>
      </c>
      <c r="CG284">
        <v>25</v>
      </c>
      <c r="CH284">
        <v>34</v>
      </c>
      <c r="CI284">
        <v>3</v>
      </c>
      <c r="CJ284">
        <v>4</v>
      </c>
      <c r="CK284">
        <v>4</v>
      </c>
      <c r="CL284">
        <v>25</v>
      </c>
      <c r="CM284">
        <v>19</v>
      </c>
      <c r="CN284">
        <v>30</v>
      </c>
      <c r="CO284">
        <v>25</v>
      </c>
      <c r="CP284">
        <v>0</v>
      </c>
      <c r="CQ284">
        <v>0</v>
      </c>
      <c r="CR284">
        <v>0</v>
      </c>
      <c r="CS284">
        <v>0</v>
      </c>
      <c r="CT284">
        <v>0</v>
      </c>
      <c r="CU284">
        <v>0</v>
      </c>
      <c r="CV284">
        <v>0</v>
      </c>
      <c r="CW284">
        <v>0</v>
      </c>
      <c r="CX284">
        <v>52.7</v>
      </c>
      <c r="CY284">
        <v>73.099999999999994</v>
      </c>
      <c r="CZ284">
        <v>71</v>
      </c>
      <c r="DA284">
        <v>87.2</v>
      </c>
      <c r="DB284">
        <v>31.4</v>
      </c>
      <c r="DC284">
        <v>54.9</v>
      </c>
      <c r="DD284">
        <v>46.1</v>
      </c>
      <c r="DE284">
        <v>60</v>
      </c>
      <c r="DF284">
        <v>52.7</v>
      </c>
      <c r="DG284">
        <v>73.099999999999994</v>
      </c>
      <c r="DH284">
        <v>71</v>
      </c>
      <c r="DI284">
        <v>87.2</v>
      </c>
      <c r="DJ284">
        <v>31.4</v>
      </c>
      <c r="DK284">
        <v>54.9</v>
      </c>
      <c r="DL284">
        <v>46.1</v>
      </c>
      <c r="DM284">
        <v>60</v>
      </c>
      <c r="DN284">
        <v>0</v>
      </c>
      <c r="DO284">
        <v>0</v>
      </c>
      <c r="DP284">
        <v>0</v>
      </c>
      <c r="DQ284">
        <v>0</v>
      </c>
      <c r="DR284">
        <v>0</v>
      </c>
      <c r="DS284">
        <v>0</v>
      </c>
      <c r="DT284">
        <v>0</v>
      </c>
      <c r="DU284">
        <v>0</v>
      </c>
      <c r="DV284" t="s">
        <v>540</v>
      </c>
    </row>
    <row r="285" spans="1:126" x14ac:dyDescent="0.35">
      <c r="A285" t="s">
        <v>545</v>
      </c>
      <c r="B285">
        <v>230110</v>
      </c>
      <c r="C285" s="1">
        <v>44936</v>
      </c>
      <c r="D285" t="s">
        <v>546</v>
      </c>
      <c r="E285" t="s">
        <v>184</v>
      </c>
      <c r="F285" t="s">
        <v>185</v>
      </c>
      <c r="G285" t="s">
        <v>463</v>
      </c>
      <c r="H285">
        <v>12587</v>
      </c>
      <c r="I285" s="17">
        <v>290</v>
      </c>
      <c r="J285" s="17">
        <v>0</v>
      </c>
      <c r="K285">
        <v>430</v>
      </c>
      <c r="L285">
        <v>11747</v>
      </c>
      <c r="M285">
        <v>12145</v>
      </c>
      <c r="N285">
        <v>12467</v>
      </c>
      <c r="O285">
        <v>12575</v>
      </c>
      <c r="P285">
        <v>120</v>
      </c>
      <c r="Q285">
        <v>12</v>
      </c>
      <c r="R285">
        <v>12587</v>
      </c>
      <c r="S285">
        <v>290</v>
      </c>
      <c r="T285">
        <v>0</v>
      </c>
      <c r="U285">
        <v>430</v>
      </c>
      <c r="V285">
        <v>11747</v>
      </c>
      <c r="W285">
        <v>12145</v>
      </c>
      <c r="X285">
        <v>12467</v>
      </c>
      <c r="Y285">
        <v>12575</v>
      </c>
      <c r="Z285">
        <v>120</v>
      </c>
      <c r="AA285">
        <v>12</v>
      </c>
      <c r="AB285">
        <v>0</v>
      </c>
      <c r="AC285">
        <v>0</v>
      </c>
      <c r="AD285">
        <v>0</v>
      </c>
      <c r="AE285">
        <v>0</v>
      </c>
      <c r="AF285">
        <v>0</v>
      </c>
      <c r="AG285">
        <v>0</v>
      </c>
      <c r="AH285">
        <v>0</v>
      </c>
      <c r="AI285">
        <v>0</v>
      </c>
      <c r="AJ285">
        <v>0</v>
      </c>
      <c r="AK285">
        <v>0</v>
      </c>
      <c r="AL285">
        <v>-16</v>
      </c>
      <c r="AM285">
        <v>-125</v>
      </c>
      <c r="AN285">
        <v>0</v>
      </c>
      <c r="AO285">
        <v>50</v>
      </c>
      <c r="AP285">
        <v>59</v>
      </c>
      <c r="AQ285">
        <v>-66</v>
      </c>
      <c r="AR285">
        <v>-16</v>
      </c>
      <c r="AS285">
        <v>-16</v>
      </c>
      <c r="AT285">
        <v>0</v>
      </c>
      <c r="AU285">
        <v>0</v>
      </c>
      <c r="AV285">
        <v>100</v>
      </c>
      <c r="AW285">
        <v>2.2999999999999998</v>
      </c>
      <c r="AX285">
        <v>0</v>
      </c>
      <c r="AY285">
        <v>3.4</v>
      </c>
      <c r="AZ285">
        <v>93.3</v>
      </c>
      <c r="BA285">
        <v>96.5</v>
      </c>
      <c r="BB285">
        <v>99</v>
      </c>
      <c r="BC285">
        <v>99.9</v>
      </c>
      <c r="BD285">
        <v>1</v>
      </c>
      <c r="BE285">
        <v>0.1</v>
      </c>
      <c r="BF285">
        <v>100</v>
      </c>
      <c r="BG285">
        <v>2.2999999999999998</v>
      </c>
      <c r="BH285">
        <v>0</v>
      </c>
      <c r="BI285">
        <v>3.4</v>
      </c>
      <c r="BJ285">
        <v>93.3</v>
      </c>
      <c r="BK285">
        <v>96.5</v>
      </c>
      <c r="BL285">
        <v>99</v>
      </c>
      <c r="BM285">
        <v>99.9</v>
      </c>
      <c r="BN285">
        <v>1</v>
      </c>
      <c r="BO285">
        <v>0.1</v>
      </c>
      <c r="BP285">
        <v>0</v>
      </c>
      <c r="BQ285">
        <v>0</v>
      </c>
      <c r="BR285">
        <v>0</v>
      </c>
      <c r="BS285">
        <v>0</v>
      </c>
      <c r="BT285">
        <v>0</v>
      </c>
      <c r="BU285">
        <v>0</v>
      </c>
      <c r="BV285">
        <v>0</v>
      </c>
      <c r="BW285">
        <v>0</v>
      </c>
      <c r="BX285">
        <v>0</v>
      </c>
      <c r="BY285">
        <v>0</v>
      </c>
      <c r="BZ285">
        <v>26</v>
      </c>
      <c r="CA285">
        <v>3</v>
      </c>
      <c r="CB285">
        <v>0</v>
      </c>
      <c r="CC285">
        <v>1</v>
      </c>
      <c r="CD285">
        <v>16</v>
      </c>
      <c r="CE285">
        <v>17</v>
      </c>
      <c r="CF285">
        <v>19</v>
      </c>
      <c r="CG285">
        <v>18</v>
      </c>
      <c r="CH285">
        <v>26</v>
      </c>
      <c r="CI285">
        <v>3</v>
      </c>
      <c r="CJ285">
        <v>0</v>
      </c>
      <c r="CK285">
        <v>1</v>
      </c>
      <c r="CL285">
        <v>16</v>
      </c>
      <c r="CM285">
        <v>17</v>
      </c>
      <c r="CN285">
        <v>19</v>
      </c>
      <c r="CO285">
        <v>18</v>
      </c>
      <c r="CP285">
        <v>0</v>
      </c>
      <c r="CQ285">
        <v>0</v>
      </c>
      <c r="CR285">
        <v>0</v>
      </c>
      <c r="CS285">
        <v>0</v>
      </c>
      <c r="CT285">
        <v>0</v>
      </c>
      <c r="CU285">
        <v>0</v>
      </c>
      <c r="CV285">
        <v>0</v>
      </c>
      <c r="CW285">
        <v>0</v>
      </c>
      <c r="CX285">
        <v>67.599999999999994</v>
      </c>
      <c r="CY285">
        <v>75.400000000000006</v>
      </c>
      <c r="CZ285">
        <v>85.5</v>
      </c>
      <c r="DA285">
        <v>88.6</v>
      </c>
      <c r="DB285">
        <v>63.1</v>
      </c>
      <c r="DC285">
        <v>68.5</v>
      </c>
      <c r="DD285">
        <v>70.8</v>
      </c>
      <c r="DE285">
        <v>75.3</v>
      </c>
      <c r="DF285">
        <v>67.599999999999994</v>
      </c>
      <c r="DG285">
        <v>75.400000000000006</v>
      </c>
      <c r="DH285">
        <v>85.5</v>
      </c>
      <c r="DI285">
        <v>88.6</v>
      </c>
      <c r="DJ285">
        <v>63.1</v>
      </c>
      <c r="DK285">
        <v>68.5</v>
      </c>
      <c r="DL285">
        <v>70.8</v>
      </c>
      <c r="DM285">
        <v>75.3</v>
      </c>
      <c r="DN285">
        <v>0</v>
      </c>
      <c r="DO285">
        <v>0</v>
      </c>
      <c r="DP285">
        <v>0</v>
      </c>
      <c r="DQ285">
        <v>0</v>
      </c>
      <c r="DR285">
        <v>0</v>
      </c>
      <c r="DS285">
        <v>0</v>
      </c>
      <c r="DT285">
        <v>0</v>
      </c>
      <c r="DU285">
        <v>0</v>
      </c>
      <c r="DV285" t="s">
        <v>526</v>
      </c>
    </row>
    <row r="286" spans="1:126" x14ac:dyDescent="0.35">
      <c r="A286" t="s">
        <v>545</v>
      </c>
      <c r="B286">
        <v>230103</v>
      </c>
      <c r="C286" s="1">
        <v>44929</v>
      </c>
      <c r="D286" t="s">
        <v>546</v>
      </c>
      <c r="E286" t="s">
        <v>184</v>
      </c>
      <c r="F286" t="s">
        <v>185</v>
      </c>
      <c r="G286" t="s">
        <v>463</v>
      </c>
      <c r="H286">
        <v>12603</v>
      </c>
      <c r="I286" s="17">
        <v>415</v>
      </c>
      <c r="J286" s="17">
        <v>0</v>
      </c>
      <c r="K286">
        <v>380</v>
      </c>
      <c r="L286">
        <v>11688</v>
      </c>
      <c r="M286">
        <v>12211</v>
      </c>
      <c r="N286">
        <v>12483</v>
      </c>
      <c r="O286">
        <v>12591</v>
      </c>
      <c r="P286">
        <v>120</v>
      </c>
      <c r="Q286">
        <v>12</v>
      </c>
      <c r="R286">
        <v>12603</v>
      </c>
      <c r="S286">
        <v>415</v>
      </c>
      <c r="T286">
        <v>0</v>
      </c>
      <c r="U286">
        <v>380</v>
      </c>
      <c r="V286">
        <v>11688</v>
      </c>
      <c r="W286">
        <v>12211</v>
      </c>
      <c r="X286">
        <v>12483</v>
      </c>
      <c r="Y286">
        <v>12591</v>
      </c>
      <c r="Z286">
        <v>120</v>
      </c>
      <c r="AA286">
        <v>12</v>
      </c>
      <c r="AB286">
        <v>0</v>
      </c>
      <c r="AC286">
        <v>0</v>
      </c>
      <c r="AD286">
        <v>0</v>
      </c>
      <c r="AE286">
        <v>0</v>
      </c>
      <c r="AF286">
        <v>0</v>
      </c>
      <c r="AG286">
        <v>0</v>
      </c>
      <c r="AH286">
        <v>0</v>
      </c>
      <c r="AI286">
        <v>0</v>
      </c>
      <c r="AJ286">
        <v>0</v>
      </c>
      <c r="AK286">
        <v>0</v>
      </c>
      <c r="AL286">
        <v>-725</v>
      </c>
      <c r="AM286">
        <v>-98</v>
      </c>
      <c r="AN286">
        <v>0</v>
      </c>
      <c r="AO286">
        <v>0</v>
      </c>
      <c r="AP286">
        <v>-620</v>
      </c>
      <c r="AQ286">
        <v>-725</v>
      </c>
      <c r="AR286">
        <v>-718</v>
      </c>
      <c r="AS286">
        <v>-725</v>
      </c>
      <c r="AT286">
        <v>-7</v>
      </c>
      <c r="AU286">
        <v>0</v>
      </c>
      <c r="AV286">
        <v>100</v>
      </c>
      <c r="AW286">
        <v>3.3</v>
      </c>
      <c r="AX286">
        <v>0</v>
      </c>
      <c r="AY286">
        <v>3</v>
      </c>
      <c r="AZ286">
        <v>92.7</v>
      </c>
      <c r="BA286">
        <v>96.9</v>
      </c>
      <c r="BB286">
        <v>99</v>
      </c>
      <c r="BC286">
        <v>99.9</v>
      </c>
      <c r="BD286">
        <v>1</v>
      </c>
      <c r="BE286">
        <v>0.1</v>
      </c>
      <c r="BF286">
        <v>100</v>
      </c>
      <c r="BG286">
        <v>3.3</v>
      </c>
      <c r="BH286">
        <v>0</v>
      </c>
      <c r="BI286">
        <v>3</v>
      </c>
      <c r="BJ286">
        <v>92.7</v>
      </c>
      <c r="BK286">
        <v>96.9</v>
      </c>
      <c r="BL286">
        <v>99</v>
      </c>
      <c r="BM286">
        <v>99.9</v>
      </c>
      <c r="BN286">
        <v>1</v>
      </c>
      <c r="BO286">
        <v>0.1</v>
      </c>
      <c r="BP286">
        <v>0</v>
      </c>
      <c r="BQ286">
        <v>0</v>
      </c>
      <c r="BR286">
        <v>0</v>
      </c>
      <c r="BS286">
        <v>0</v>
      </c>
      <c r="BT286">
        <v>0</v>
      </c>
      <c r="BU286">
        <v>0</v>
      </c>
      <c r="BV286">
        <v>0</v>
      </c>
      <c r="BW286">
        <v>0</v>
      </c>
      <c r="BX286">
        <v>0</v>
      </c>
      <c r="BY286">
        <v>0</v>
      </c>
      <c r="BZ286">
        <v>26</v>
      </c>
      <c r="CA286">
        <v>3</v>
      </c>
      <c r="CB286">
        <v>0</v>
      </c>
      <c r="CC286">
        <v>1</v>
      </c>
      <c r="CD286">
        <v>16</v>
      </c>
      <c r="CE286">
        <v>16</v>
      </c>
      <c r="CF286">
        <v>19</v>
      </c>
      <c r="CG286">
        <v>17</v>
      </c>
      <c r="CH286">
        <v>26</v>
      </c>
      <c r="CI286">
        <v>3</v>
      </c>
      <c r="CJ286">
        <v>0</v>
      </c>
      <c r="CK286">
        <v>1</v>
      </c>
      <c r="CL286">
        <v>16</v>
      </c>
      <c r="CM286">
        <v>16</v>
      </c>
      <c r="CN286">
        <v>19</v>
      </c>
      <c r="CO286">
        <v>17</v>
      </c>
      <c r="CP286">
        <v>0</v>
      </c>
      <c r="CQ286">
        <v>0</v>
      </c>
      <c r="CR286">
        <v>0</v>
      </c>
      <c r="CS286">
        <v>0</v>
      </c>
      <c r="CT286">
        <v>0</v>
      </c>
      <c r="CU286">
        <v>0</v>
      </c>
      <c r="CV286">
        <v>0</v>
      </c>
      <c r="CW286">
        <v>0</v>
      </c>
      <c r="CX286">
        <v>67.5</v>
      </c>
      <c r="CY286">
        <v>75.900000000000006</v>
      </c>
      <c r="CZ286">
        <v>84.6</v>
      </c>
      <c r="DA286">
        <v>88.6</v>
      </c>
      <c r="DB286">
        <v>63</v>
      </c>
      <c r="DC286">
        <v>69</v>
      </c>
      <c r="DD286">
        <v>71.900000000000006</v>
      </c>
      <c r="DE286">
        <v>75.8</v>
      </c>
      <c r="DF286">
        <v>67.5</v>
      </c>
      <c r="DG286">
        <v>75.900000000000006</v>
      </c>
      <c r="DH286">
        <v>84.6</v>
      </c>
      <c r="DI286">
        <v>88.6</v>
      </c>
      <c r="DJ286">
        <v>63</v>
      </c>
      <c r="DK286">
        <v>69</v>
      </c>
      <c r="DL286">
        <v>71.900000000000006</v>
      </c>
      <c r="DM286">
        <v>75.8</v>
      </c>
      <c r="DN286">
        <v>0</v>
      </c>
      <c r="DO286">
        <v>0</v>
      </c>
      <c r="DP286">
        <v>0</v>
      </c>
      <c r="DQ286">
        <v>0</v>
      </c>
      <c r="DR286">
        <v>0</v>
      </c>
      <c r="DS286">
        <v>0</v>
      </c>
      <c r="DT286">
        <v>0</v>
      </c>
      <c r="DU286">
        <v>0</v>
      </c>
      <c r="DV286" t="s">
        <v>526</v>
      </c>
    </row>
    <row r="287" spans="1:126" x14ac:dyDescent="0.35">
      <c r="A287" t="s">
        <v>547</v>
      </c>
      <c r="B287">
        <v>230110</v>
      </c>
      <c r="C287" s="1">
        <v>44936</v>
      </c>
      <c r="D287" t="s">
        <v>548</v>
      </c>
      <c r="E287" t="s">
        <v>184</v>
      </c>
      <c r="F287" t="s">
        <v>185</v>
      </c>
      <c r="G287" t="s">
        <v>463</v>
      </c>
      <c r="H287">
        <v>11410</v>
      </c>
      <c r="I287" s="17">
        <v>505</v>
      </c>
      <c r="J287" s="17">
        <v>380</v>
      </c>
      <c r="K287">
        <v>0</v>
      </c>
      <c r="L287">
        <v>10900</v>
      </c>
      <c r="M287">
        <v>11030</v>
      </c>
      <c r="N287">
        <v>11405</v>
      </c>
      <c r="O287">
        <v>11410</v>
      </c>
      <c r="P287">
        <v>5</v>
      </c>
      <c r="Q287">
        <v>0</v>
      </c>
      <c r="R287">
        <v>11410</v>
      </c>
      <c r="S287">
        <v>505</v>
      </c>
      <c r="T287">
        <v>380</v>
      </c>
      <c r="U287">
        <v>0</v>
      </c>
      <c r="V287">
        <v>10900</v>
      </c>
      <c r="W287">
        <v>11030</v>
      </c>
      <c r="X287">
        <v>11405</v>
      </c>
      <c r="Y287">
        <v>11410</v>
      </c>
      <c r="Z287">
        <v>5</v>
      </c>
      <c r="AA287">
        <v>0</v>
      </c>
      <c r="AB287">
        <v>0</v>
      </c>
      <c r="AC287">
        <v>0</v>
      </c>
      <c r="AD287">
        <v>0</v>
      </c>
      <c r="AE287">
        <v>0</v>
      </c>
      <c r="AF287">
        <v>0</v>
      </c>
      <c r="AG287">
        <v>0</v>
      </c>
      <c r="AH287">
        <v>0</v>
      </c>
      <c r="AI287">
        <v>0</v>
      </c>
      <c r="AJ287">
        <v>0</v>
      </c>
      <c r="AK287">
        <v>0</v>
      </c>
      <c r="AL287">
        <v>0</v>
      </c>
      <c r="AM287">
        <v>0</v>
      </c>
      <c r="AN287">
        <v>0</v>
      </c>
      <c r="AO287">
        <v>0</v>
      </c>
      <c r="AP287">
        <v>0</v>
      </c>
      <c r="AQ287">
        <v>0</v>
      </c>
      <c r="AR287">
        <v>0</v>
      </c>
      <c r="AS287">
        <v>0</v>
      </c>
      <c r="AT287">
        <v>0</v>
      </c>
      <c r="AU287">
        <v>0</v>
      </c>
      <c r="AV287">
        <v>100</v>
      </c>
      <c r="AW287">
        <v>4.4000000000000004</v>
      </c>
      <c r="AX287">
        <v>3.3</v>
      </c>
      <c r="AY287">
        <v>0</v>
      </c>
      <c r="AZ287">
        <v>95.5</v>
      </c>
      <c r="BA287">
        <v>96.7</v>
      </c>
      <c r="BB287">
        <v>100</v>
      </c>
      <c r="BC287">
        <v>100</v>
      </c>
      <c r="BD287">
        <v>0</v>
      </c>
      <c r="BE287">
        <v>0</v>
      </c>
      <c r="BF287">
        <v>100</v>
      </c>
      <c r="BG287">
        <v>4.4000000000000004</v>
      </c>
      <c r="BH287">
        <v>3.3</v>
      </c>
      <c r="BI287">
        <v>0</v>
      </c>
      <c r="BJ287">
        <v>95.5</v>
      </c>
      <c r="BK287">
        <v>96.7</v>
      </c>
      <c r="BL287">
        <v>100</v>
      </c>
      <c r="BM287">
        <v>100</v>
      </c>
      <c r="BN287">
        <v>0</v>
      </c>
      <c r="BO287">
        <v>0</v>
      </c>
      <c r="BP287">
        <v>0</v>
      </c>
      <c r="BQ287">
        <v>0</v>
      </c>
      <c r="BR287">
        <v>0</v>
      </c>
      <c r="BS287">
        <v>0</v>
      </c>
      <c r="BT287">
        <v>0</v>
      </c>
      <c r="BU287">
        <v>0</v>
      </c>
      <c r="BV287">
        <v>0</v>
      </c>
      <c r="BW287">
        <v>0</v>
      </c>
      <c r="BX287">
        <v>0</v>
      </c>
      <c r="BY287">
        <v>0</v>
      </c>
      <c r="BZ287">
        <v>20</v>
      </c>
      <c r="CA287">
        <v>2</v>
      </c>
      <c r="CB287">
        <v>1</v>
      </c>
      <c r="CC287">
        <v>0</v>
      </c>
      <c r="CD287">
        <v>11</v>
      </c>
      <c r="CE287">
        <v>9</v>
      </c>
      <c r="CF287">
        <v>13</v>
      </c>
      <c r="CG287">
        <v>10</v>
      </c>
      <c r="CH287">
        <v>20</v>
      </c>
      <c r="CI287">
        <v>2</v>
      </c>
      <c r="CJ287">
        <v>1</v>
      </c>
      <c r="CK287">
        <v>0</v>
      </c>
      <c r="CL287">
        <v>11</v>
      </c>
      <c r="CM287">
        <v>9</v>
      </c>
      <c r="CN287">
        <v>13</v>
      </c>
      <c r="CO287">
        <v>10</v>
      </c>
      <c r="CP287">
        <v>0</v>
      </c>
      <c r="CQ287">
        <v>0</v>
      </c>
      <c r="CR287">
        <v>0</v>
      </c>
      <c r="CS287">
        <v>0</v>
      </c>
      <c r="CT287">
        <v>0</v>
      </c>
      <c r="CU287">
        <v>0</v>
      </c>
      <c r="CV287">
        <v>0</v>
      </c>
      <c r="CW287">
        <v>0</v>
      </c>
      <c r="CX287">
        <v>70.400000000000006</v>
      </c>
      <c r="CY287">
        <v>87.1</v>
      </c>
      <c r="CZ287">
        <v>91.8</v>
      </c>
      <c r="DA287">
        <v>98.9</v>
      </c>
      <c r="DB287">
        <v>70.400000000000006</v>
      </c>
      <c r="DC287">
        <v>85.4</v>
      </c>
      <c r="DD287">
        <v>88.8</v>
      </c>
      <c r="DE287">
        <v>94.6</v>
      </c>
      <c r="DF287">
        <v>70.400000000000006</v>
      </c>
      <c r="DG287">
        <v>87.1</v>
      </c>
      <c r="DH287">
        <v>91.8</v>
      </c>
      <c r="DI287">
        <v>98.9</v>
      </c>
      <c r="DJ287">
        <v>70.400000000000006</v>
      </c>
      <c r="DK287">
        <v>85.4</v>
      </c>
      <c r="DL287">
        <v>88.8</v>
      </c>
      <c r="DM287">
        <v>94.6</v>
      </c>
      <c r="DN287">
        <v>0</v>
      </c>
      <c r="DO287">
        <v>0</v>
      </c>
      <c r="DP287">
        <v>0</v>
      </c>
      <c r="DQ287">
        <v>0</v>
      </c>
      <c r="DR287">
        <v>0</v>
      </c>
      <c r="DS287">
        <v>0</v>
      </c>
      <c r="DT287">
        <v>0</v>
      </c>
      <c r="DU287">
        <v>0</v>
      </c>
      <c r="DV287" t="s">
        <v>549</v>
      </c>
    </row>
    <row r="288" spans="1:126" x14ac:dyDescent="0.35">
      <c r="A288" t="s">
        <v>547</v>
      </c>
      <c r="B288">
        <v>230103</v>
      </c>
      <c r="C288" s="1">
        <v>44929</v>
      </c>
      <c r="D288" t="s">
        <v>548</v>
      </c>
      <c r="E288" t="s">
        <v>184</v>
      </c>
      <c r="F288" t="s">
        <v>185</v>
      </c>
      <c r="G288" t="s">
        <v>463</v>
      </c>
      <c r="H288">
        <v>11410</v>
      </c>
      <c r="I288" s="17">
        <v>505</v>
      </c>
      <c r="J288" s="17">
        <v>380</v>
      </c>
      <c r="K288">
        <v>0</v>
      </c>
      <c r="L288">
        <v>10900</v>
      </c>
      <c r="M288">
        <v>11030</v>
      </c>
      <c r="N288">
        <v>11405</v>
      </c>
      <c r="O288">
        <v>11410</v>
      </c>
      <c r="P288">
        <v>5</v>
      </c>
      <c r="Q288">
        <v>0</v>
      </c>
      <c r="R288">
        <v>11410</v>
      </c>
      <c r="S288">
        <v>505</v>
      </c>
      <c r="T288">
        <v>380</v>
      </c>
      <c r="U288">
        <v>0</v>
      </c>
      <c r="V288">
        <v>10900</v>
      </c>
      <c r="W288">
        <v>11030</v>
      </c>
      <c r="X288">
        <v>11405</v>
      </c>
      <c r="Y288">
        <v>11410</v>
      </c>
      <c r="Z288">
        <v>5</v>
      </c>
      <c r="AA288">
        <v>0</v>
      </c>
      <c r="AB288">
        <v>0</v>
      </c>
      <c r="AC288">
        <v>0</v>
      </c>
      <c r="AD288">
        <v>0</v>
      </c>
      <c r="AE288">
        <v>0</v>
      </c>
      <c r="AF288">
        <v>0</v>
      </c>
      <c r="AG288">
        <v>0</v>
      </c>
      <c r="AH288">
        <v>0</v>
      </c>
      <c r="AI288">
        <v>0</v>
      </c>
      <c r="AJ288">
        <v>0</v>
      </c>
      <c r="AK288">
        <v>0</v>
      </c>
      <c r="AL288">
        <v>-795</v>
      </c>
      <c r="AM288">
        <v>-133</v>
      </c>
      <c r="AN288">
        <v>-210</v>
      </c>
      <c r="AO288">
        <v>-25</v>
      </c>
      <c r="AP288">
        <v>-635</v>
      </c>
      <c r="AQ288">
        <v>-560</v>
      </c>
      <c r="AR288">
        <v>-793</v>
      </c>
      <c r="AS288">
        <v>-795</v>
      </c>
      <c r="AT288">
        <v>-2</v>
      </c>
      <c r="AU288">
        <v>0</v>
      </c>
      <c r="AV288">
        <v>100</v>
      </c>
      <c r="AW288">
        <v>4.4000000000000004</v>
      </c>
      <c r="AX288">
        <v>3.3</v>
      </c>
      <c r="AY288">
        <v>0</v>
      </c>
      <c r="AZ288">
        <v>95.5</v>
      </c>
      <c r="BA288">
        <v>96.7</v>
      </c>
      <c r="BB288">
        <v>100</v>
      </c>
      <c r="BC288">
        <v>100</v>
      </c>
      <c r="BD288">
        <v>0</v>
      </c>
      <c r="BE288">
        <v>0</v>
      </c>
      <c r="BF288">
        <v>100</v>
      </c>
      <c r="BG288">
        <v>4.4000000000000004</v>
      </c>
      <c r="BH288">
        <v>3.3</v>
      </c>
      <c r="BI288">
        <v>0</v>
      </c>
      <c r="BJ288">
        <v>95.5</v>
      </c>
      <c r="BK288">
        <v>96.7</v>
      </c>
      <c r="BL288">
        <v>100</v>
      </c>
      <c r="BM288">
        <v>100</v>
      </c>
      <c r="BN288">
        <v>0</v>
      </c>
      <c r="BO288">
        <v>0</v>
      </c>
      <c r="BP288">
        <v>0</v>
      </c>
      <c r="BQ288">
        <v>0</v>
      </c>
      <c r="BR288">
        <v>0</v>
      </c>
      <c r="BS288">
        <v>0</v>
      </c>
      <c r="BT288">
        <v>0</v>
      </c>
      <c r="BU288">
        <v>0</v>
      </c>
      <c r="BV288">
        <v>0</v>
      </c>
      <c r="BW288">
        <v>0</v>
      </c>
      <c r="BX288">
        <v>0</v>
      </c>
      <c r="BY288">
        <v>0</v>
      </c>
      <c r="BZ288">
        <v>20</v>
      </c>
      <c r="CA288">
        <v>2</v>
      </c>
      <c r="CB288">
        <v>1</v>
      </c>
      <c r="CC288">
        <v>0</v>
      </c>
      <c r="CD288">
        <v>11</v>
      </c>
      <c r="CE288">
        <v>9</v>
      </c>
      <c r="CF288">
        <v>13</v>
      </c>
      <c r="CG288">
        <v>10</v>
      </c>
      <c r="CH288">
        <v>20</v>
      </c>
      <c r="CI288">
        <v>2</v>
      </c>
      <c r="CJ288">
        <v>1</v>
      </c>
      <c r="CK288">
        <v>0</v>
      </c>
      <c r="CL288">
        <v>11</v>
      </c>
      <c r="CM288">
        <v>9</v>
      </c>
      <c r="CN288">
        <v>13</v>
      </c>
      <c r="CO288">
        <v>10</v>
      </c>
      <c r="CP288">
        <v>0</v>
      </c>
      <c r="CQ288">
        <v>0</v>
      </c>
      <c r="CR288">
        <v>0</v>
      </c>
      <c r="CS288">
        <v>0</v>
      </c>
      <c r="CT288">
        <v>0</v>
      </c>
      <c r="CU288">
        <v>0</v>
      </c>
      <c r="CV288">
        <v>0</v>
      </c>
      <c r="CW288">
        <v>0</v>
      </c>
      <c r="CX288">
        <v>70.400000000000006</v>
      </c>
      <c r="CY288">
        <v>87.1</v>
      </c>
      <c r="CZ288">
        <v>91.8</v>
      </c>
      <c r="DA288">
        <v>98.9</v>
      </c>
      <c r="DB288">
        <v>70.400000000000006</v>
      </c>
      <c r="DC288">
        <v>85.4</v>
      </c>
      <c r="DD288">
        <v>88.8</v>
      </c>
      <c r="DE288">
        <v>94.6</v>
      </c>
      <c r="DF288">
        <v>70.400000000000006</v>
      </c>
      <c r="DG288">
        <v>87.1</v>
      </c>
      <c r="DH288">
        <v>91.8</v>
      </c>
      <c r="DI288">
        <v>98.9</v>
      </c>
      <c r="DJ288">
        <v>70.400000000000006</v>
      </c>
      <c r="DK288">
        <v>85.4</v>
      </c>
      <c r="DL288">
        <v>88.8</v>
      </c>
      <c r="DM288">
        <v>94.6</v>
      </c>
      <c r="DN288">
        <v>0</v>
      </c>
      <c r="DO288">
        <v>0</v>
      </c>
      <c r="DP288">
        <v>0</v>
      </c>
      <c r="DQ288">
        <v>0</v>
      </c>
      <c r="DR288">
        <v>0</v>
      </c>
      <c r="DS288">
        <v>0</v>
      </c>
      <c r="DT288">
        <v>0</v>
      </c>
      <c r="DU288">
        <v>0</v>
      </c>
      <c r="DV288" t="s">
        <v>549</v>
      </c>
    </row>
    <row r="289" spans="1:126" x14ac:dyDescent="0.35">
      <c r="A289" t="s">
        <v>550</v>
      </c>
      <c r="B289">
        <v>230110</v>
      </c>
      <c r="C289" s="1">
        <v>44936</v>
      </c>
      <c r="D289" t="s">
        <v>551</v>
      </c>
      <c r="E289" t="s">
        <v>184</v>
      </c>
      <c r="F289" t="s">
        <v>185</v>
      </c>
      <c r="G289" t="s">
        <v>463</v>
      </c>
      <c r="H289">
        <v>44112</v>
      </c>
      <c r="I289" s="17">
        <v>1660</v>
      </c>
      <c r="J289" s="17">
        <v>75</v>
      </c>
      <c r="K289">
        <v>0</v>
      </c>
      <c r="L289">
        <v>41414</v>
      </c>
      <c r="M289">
        <v>43849</v>
      </c>
      <c r="N289">
        <v>43074</v>
      </c>
      <c r="O289">
        <v>43924</v>
      </c>
      <c r="P289">
        <v>1038</v>
      </c>
      <c r="Q289">
        <v>188</v>
      </c>
      <c r="R289">
        <v>44112</v>
      </c>
      <c r="S289">
        <v>1660</v>
      </c>
      <c r="T289">
        <v>75</v>
      </c>
      <c r="U289">
        <v>0</v>
      </c>
      <c r="V289">
        <v>41414</v>
      </c>
      <c r="W289">
        <v>43849</v>
      </c>
      <c r="X289">
        <v>43074</v>
      </c>
      <c r="Y289">
        <v>43924</v>
      </c>
      <c r="Z289">
        <v>1038</v>
      </c>
      <c r="AA289">
        <v>188</v>
      </c>
      <c r="AB289">
        <v>0</v>
      </c>
      <c r="AC289">
        <v>0</v>
      </c>
      <c r="AD289">
        <v>0</v>
      </c>
      <c r="AE289">
        <v>0</v>
      </c>
      <c r="AF289">
        <v>0</v>
      </c>
      <c r="AG289">
        <v>0</v>
      </c>
      <c r="AH289">
        <v>0</v>
      </c>
      <c r="AI289">
        <v>0</v>
      </c>
      <c r="AJ289">
        <v>0</v>
      </c>
      <c r="AK289">
        <v>0</v>
      </c>
      <c r="AL289">
        <v>-1576</v>
      </c>
      <c r="AM289">
        <v>-175</v>
      </c>
      <c r="AN289">
        <v>-10</v>
      </c>
      <c r="AO289">
        <v>0</v>
      </c>
      <c r="AP289">
        <v>-1744</v>
      </c>
      <c r="AQ289">
        <v>-1556</v>
      </c>
      <c r="AR289">
        <v>-1919</v>
      </c>
      <c r="AS289">
        <v>-1566</v>
      </c>
      <c r="AT289">
        <v>343</v>
      </c>
      <c r="AU289">
        <v>-10</v>
      </c>
      <c r="AV289">
        <v>100</v>
      </c>
      <c r="AW289">
        <v>3.8</v>
      </c>
      <c r="AX289">
        <v>0.2</v>
      </c>
      <c r="AY289">
        <v>0</v>
      </c>
      <c r="AZ289">
        <v>93.9</v>
      </c>
      <c r="BA289">
        <v>99.4</v>
      </c>
      <c r="BB289">
        <v>97.6</v>
      </c>
      <c r="BC289">
        <v>99.6</v>
      </c>
      <c r="BD289">
        <v>2.4</v>
      </c>
      <c r="BE289">
        <v>0.4</v>
      </c>
      <c r="BF289">
        <v>100</v>
      </c>
      <c r="BG289">
        <v>3.8</v>
      </c>
      <c r="BH289">
        <v>0.2</v>
      </c>
      <c r="BI289">
        <v>0</v>
      </c>
      <c r="BJ289">
        <v>93.9</v>
      </c>
      <c r="BK289">
        <v>99.4</v>
      </c>
      <c r="BL289">
        <v>97.6</v>
      </c>
      <c r="BM289">
        <v>99.6</v>
      </c>
      <c r="BN289">
        <v>2.4</v>
      </c>
      <c r="BO289">
        <v>0.4</v>
      </c>
      <c r="BP289">
        <v>0</v>
      </c>
      <c r="BQ289">
        <v>0</v>
      </c>
      <c r="BR289">
        <v>0</v>
      </c>
      <c r="BS289">
        <v>0</v>
      </c>
      <c r="BT289">
        <v>0</v>
      </c>
      <c r="BU289">
        <v>0</v>
      </c>
      <c r="BV289">
        <v>0</v>
      </c>
      <c r="BW289">
        <v>0</v>
      </c>
      <c r="BX289">
        <v>0</v>
      </c>
      <c r="BY289">
        <v>0</v>
      </c>
      <c r="BZ289">
        <v>21</v>
      </c>
      <c r="CA289">
        <v>3</v>
      </c>
      <c r="CB289">
        <v>1</v>
      </c>
      <c r="CC289">
        <v>0</v>
      </c>
      <c r="CD289">
        <v>13</v>
      </c>
      <c r="CE289">
        <v>12</v>
      </c>
      <c r="CF289">
        <v>16</v>
      </c>
      <c r="CG289">
        <v>13</v>
      </c>
      <c r="CH289">
        <v>21</v>
      </c>
      <c r="CI289">
        <v>3</v>
      </c>
      <c r="CJ289">
        <v>1</v>
      </c>
      <c r="CK289">
        <v>0</v>
      </c>
      <c r="CL289">
        <v>13</v>
      </c>
      <c r="CM289">
        <v>12</v>
      </c>
      <c r="CN289">
        <v>16</v>
      </c>
      <c r="CO289">
        <v>13</v>
      </c>
      <c r="CP289">
        <v>0</v>
      </c>
      <c r="CQ289">
        <v>0</v>
      </c>
      <c r="CR289">
        <v>0</v>
      </c>
      <c r="CS289">
        <v>0</v>
      </c>
      <c r="CT289">
        <v>0</v>
      </c>
      <c r="CU289">
        <v>0</v>
      </c>
      <c r="CV289">
        <v>0</v>
      </c>
      <c r="CW289">
        <v>0</v>
      </c>
      <c r="CX289">
        <v>75.7</v>
      </c>
      <c r="CY289">
        <v>93</v>
      </c>
      <c r="CZ289">
        <v>89.2</v>
      </c>
      <c r="DA289">
        <v>98.5</v>
      </c>
      <c r="DB289">
        <v>72.099999999999994</v>
      </c>
      <c r="DC289">
        <v>91</v>
      </c>
      <c r="DD289">
        <v>83.8</v>
      </c>
      <c r="DE289">
        <v>91.1</v>
      </c>
      <c r="DF289">
        <v>75.7</v>
      </c>
      <c r="DG289">
        <v>93</v>
      </c>
      <c r="DH289">
        <v>89.2</v>
      </c>
      <c r="DI289">
        <v>98.5</v>
      </c>
      <c r="DJ289">
        <v>72.099999999999994</v>
      </c>
      <c r="DK289">
        <v>91</v>
      </c>
      <c r="DL289">
        <v>83.8</v>
      </c>
      <c r="DM289">
        <v>91.1</v>
      </c>
      <c r="DN289">
        <v>0</v>
      </c>
      <c r="DO289">
        <v>0</v>
      </c>
      <c r="DP289">
        <v>0</v>
      </c>
      <c r="DQ289">
        <v>0</v>
      </c>
      <c r="DR289">
        <v>0</v>
      </c>
      <c r="DS289">
        <v>0</v>
      </c>
      <c r="DT289">
        <v>0</v>
      </c>
      <c r="DU289">
        <v>0</v>
      </c>
      <c r="DV289" t="s">
        <v>484</v>
      </c>
    </row>
    <row r="290" spans="1:126" x14ac:dyDescent="0.35">
      <c r="A290" t="s">
        <v>550</v>
      </c>
      <c r="B290">
        <v>230103</v>
      </c>
      <c r="C290" s="1">
        <v>44929</v>
      </c>
      <c r="D290" t="s">
        <v>551</v>
      </c>
      <c r="E290" t="s">
        <v>184</v>
      </c>
      <c r="F290" t="s">
        <v>185</v>
      </c>
      <c r="G290" t="s">
        <v>463</v>
      </c>
      <c r="H290">
        <v>45688</v>
      </c>
      <c r="I290" s="17">
        <v>1835</v>
      </c>
      <c r="J290" s="17">
        <v>85</v>
      </c>
      <c r="K290">
        <v>0</v>
      </c>
      <c r="L290">
        <v>43158</v>
      </c>
      <c r="M290">
        <v>45405</v>
      </c>
      <c r="N290">
        <v>44993</v>
      </c>
      <c r="O290">
        <v>45490</v>
      </c>
      <c r="P290">
        <v>695</v>
      </c>
      <c r="Q290">
        <v>198</v>
      </c>
      <c r="R290">
        <v>45688</v>
      </c>
      <c r="S290">
        <v>1835</v>
      </c>
      <c r="T290">
        <v>85</v>
      </c>
      <c r="U290">
        <v>0</v>
      </c>
      <c r="V290">
        <v>43158</v>
      </c>
      <c r="W290">
        <v>45405</v>
      </c>
      <c r="X290">
        <v>44993</v>
      </c>
      <c r="Y290">
        <v>45490</v>
      </c>
      <c r="Z290">
        <v>695</v>
      </c>
      <c r="AA290">
        <v>198</v>
      </c>
      <c r="AB290">
        <v>0</v>
      </c>
      <c r="AC290">
        <v>0</v>
      </c>
      <c r="AD290">
        <v>0</v>
      </c>
      <c r="AE290">
        <v>0</v>
      </c>
      <c r="AF290">
        <v>0</v>
      </c>
      <c r="AG290">
        <v>0</v>
      </c>
      <c r="AH290">
        <v>0</v>
      </c>
      <c r="AI290">
        <v>0</v>
      </c>
      <c r="AJ290">
        <v>0</v>
      </c>
      <c r="AK290">
        <v>0</v>
      </c>
      <c r="AL290">
        <v>0</v>
      </c>
      <c r="AM290">
        <v>0</v>
      </c>
      <c r="AN290">
        <v>0</v>
      </c>
      <c r="AO290">
        <v>0</v>
      </c>
      <c r="AP290">
        <v>0</v>
      </c>
      <c r="AQ290">
        <v>0</v>
      </c>
      <c r="AR290">
        <v>0</v>
      </c>
      <c r="AS290">
        <v>0</v>
      </c>
      <c r="AT290">
        <v>0</v>
      </c>
      <c r="AU290">
        <v>0</v>
      </c>
      <c r="AV290">
        <v>100</v>
      </c>
      <c r="AW290">
        <v>4</v>
      </c>
      <c r="AX290">
        <v>0.2</v>
      </c>
      <c r="AY290">
        <v>0</v>
      </c>
      <c r="AZ290">
        <v>94.5</v>
      </c>
      <c r="BA290">
        <v>99.4</v>
      </c>
      <c r="BB290">
        <v>98.5</v>
      </c>
      <c r="BC290">
        <v>99.6</v>
      </c>
      <c r="BD290">
        <v>1.5</v>
      </c>
      <c r="BE290">
        <v>0.4</v>
      </c>
      <c r="BF290">
        <v>100</v>
      </c>
      <c r="BG290">
        <v>4</v>
      </c>
      <c r="BH290">
        <v>0.2</v>
      </c>
      <c r="BI290">
        <v>0</v>
      </c>
      <c r="BJ290">
        <v>94.5</v>
      </c>
      <c r="BK290">
        <v>99.4</v>
      </c>
      <c r="BL290">
        <v>98.5</v>
      </c>
      <c r="BM290">
        <v>99.6</v>
      </c>
      <c r="BN290">
        <v>1.5</v>
      </c>
      <c r="BO290">
        <v>0.4</v>
      </c>
      <c r="BP290">
        <v>0</v>
      </c>
      <c r="BQ290">
        <v>0</v>
      </c>
      <c r="BR290">
        <v>0</v>
      </c>
      <c r="BS290">
        <v>0</v>
      </c>
      <c r="BT290">
        <v>0</v>
      </c>
      <c r="BU290">
        <v>0</v>
      </c>
      <c r="BV290">
        <v>0</v>
      </c>
      <c r="BW290">
        <v>0</v>
      </c>
      <c r="BX290">
        <v>0</v>
      </c>
      <c r="BY290">
        <v>0</v>
      </c>
      <c r="BZ290">
        <v>28</v>
      </c>
      <c r="CA290">
        <v>4</v>
      </c>
      <c r="CB290">
        <v>1</v>
      </c>
      <c r="CC290">
        <v>0</v>
      </c>
      <c r="CD290">
        <v>18</v>
      </c>
      <c r="CE290">
        <v>14</v>
      </c>
      <c r="CF290">
        <v>22</v>
      </c>
      <c r="CG290">
        <v>15</v>
      </c>
      <c r="CH290">
        <v>28</v>
      </c>
      <c r="CI290">
        <v>4</v>
      </c>
      <c r="CJ290">
        <v>1</v>
      </c>
      <c r="CK290">
        <v>0</v>
      </c>
      <c r="CL290">
        <v>18</v>
      </c>
      <c r="CM290">
        <v>14</v>
      </c>
      <c r="CN290">
        <v>22</v>
      </c>
      <c r="CO290">
        <v>15</v>
      </c>
      <c r="CP290">
        <v>0</v>
      </c>
      <c r="CQ290">
        <v>0</v>
      </c>
      <c r="CR290">
        <v>0</v>
      </c>
      <c r="CS290">
        <v>0</v>
      </c>
      <c r="CT290">
        <v>0</v>
      </c>
      <c r="CU290">
        <v>0</v>
      </c>
      <c r="CV290">
        <v>0</v>
      </c>
      <c r="CW290">
        <v>0</v>
      </c>
      <c r="CX290">
        <v>74.5</v>
      </c>
      <c r="CY290">
        <v>93</v>
      </c>
      <c r="CZ290">
        <v>88.5</v>
      </c>
      <c r="DA290">
        <v>98.4</v>
      </c>
      <c r="DB290">
        <v>70.2</v>
      </c>
      <c r="DC290">
        <v>90.5</v>
      </c>
      <c r="DD290">
        <v>82.9</v>
      </c>
      <c r="DE290">
        <v>90.7</v>
      </c>
      <c r="DF290">
        <v>74.5</v>
      </c>
      <c r="DG290">
        <v>93</v>
      </c>
      <c r="DH290">
        <v>88.5</v>
      </c>
      <c r="DI290">
        <v>98.4</v>
      </c>
      <c r="DJ290">
        <v>70.2</v>
      </c>
      <c r="DK290">
        <v>90.5</v>
      </c>
      <c r="DL290">
        <v>82.9</v>
      </c>
      <c r="DM290">
        <v>90.7</v>
      </c>
      <c r="DN290">
        <v>0</v>
      </c>
      <c r="DO290">
        <v>0</v>
      </c>
      <c r="DP290">
        <v>0</v>
      </c>
      <c r="DQ290">
        <v>0</v>
      </c>
      <c r="DR290">
        <v>0</v>
      </c>
      <c r="DS290">
        <v>0</v>
      </c>
      <c r="DT290">
        <v>0</v>
      </c>
      <c r="DU290">
        <v>0</v>
      </c>
      <c r="DV290" t="s">
        <v>484</v>
      </c>
    </row>
    <row r="291" spans="1:126" x14ac:dyDescent="0.35">
      <c r="A291" t="s">
        <v>552</v>
      </c>
      <c r="B291">
        <v>230110</v>
      </c>
      <c r="C291" s="1">
        <v>44936</v>
      </c>
      <c r="D291" t="s">
        <v>553</v>
      </c>
      <c r="E291" t="s">
        <v>184</v>
      </c>
      <c r="F291" t="s">
        <v>185</v>
      </c>
      <c r="G291" t="s">
        <v>463</v>
      </c>
      <c r="H291">
        <v>46256</v>
      </c>
      <c r="I291" s="17">
        <v>1600</v>
      </c>
      <c r="J291" s="17">
        <v>75</v>
      </c>
      <c r="K291">
        <v>0</v>
      </c>
      <c r="L291">
        <v>44076</v>
      </c>
      <c r="M291">
        <v>46163</v>
      </c>
      <c r="N291">
        <v>45676</v>
      </c>
      <c r="O291">
        <v>46238</v>
      </c>
      <c r="P291">
        <v>580</v>
      </c>
      <c r="Q291">
        <v>18</v>
      </c>
      <c r="R291">
        <v>46256</v>
      </c>
      <c r="S291">
        <v>1600</v>
      </c>
      <c r="T291">
        <v>75</v>
      </c>
      <c r="U291">
        <v>0</v>
      </c>
      <c r="V291">
        <v>44076</v>
      </c>
      <c r="W291">
        <v>46163</v>
      </c>
      <c r="X291">
        <v>45676</v>
      </c>
      <c r="Y291">
        <v>46238</v>
      </c>
      <c r="Z291">
        <v>580</v>
      </c>
      <c r="AA291">
        <v>18</v>
      </c>
      <c r="AB291">
        <v>0</v>
      </c>
      <c r="AC291">
        <v>0</v>
      </c>
      <c r="AD291">
        <v>0</v>
      </c>
      <c r="AE291">
        <v>0</v>
      </c>
      <c r="AF291">
        <v>0</v>
      </c>
      <c r="AG291">
        <v>0</v>
      </c>
      <c r="AH291">
        <v>0</v>
      </c>
      <c r="AI291">
        <v>0</v>
      </c>
      <c r="AJ291">
        <v>0</v>
      </c>
      <c r="AK291">
        <v>0</v>
      </c>
      <c r="AL291">
        <v>-1786</v>
      </c>
      <c r="AM291">
        <v>-170</v>
      </c>
      <c r="AN291">
        <v>-10</v>
      </c>
      <c r="AO291">
        <v>0</v>
      </c>
      <c r="AP291">
        <v>-1974</v>
      </c>
      <c r="AQ291">
        <v>-1776</v>
      </c>
      <c r="AR291">
        <v>-2144</v>
      </c>
      <c r="AS291">
        <v>-1786</v>
      </c>
      <c r="AT291">
        <v>358</v>
      </c>
      <c r="AU291">
        <v>0</v>
      </c>
      <c r="AV291">
        <v>100</v>
      </c>
      <c r="AW291">
        <v>3.5</v>
      </c>
      <c r="AX291">
        <v>0.2</v>
      </c>
      <c r="AY291">
        <v>0</v>
      </c>
      <c r="AZ291">
        <v>95.3</v>
      </c>
      <c r="BA291">
        <v>99.8</v>
      </c>
      <c r="BB291">
        <v>98.7</v>
      </c>
      <c r="BC291">
        <v>100</v>
      </c>
      <c r="BD291">
        <v>1.3</v>
      </c>
      <c r="BE291">
        <v>0</v>
      </c>
      <c r="BF291">
        <v>100</v>
      </c>
      <c r="BG291">
        <v>3.5</v>
      </c>
      <c r="BH291">
        <v>0.2</v>
      </c>
      <c r="BI291">
        <v>0</v>
      </c>
      <c r="BJ291">
        <v>95.3</v>
      </c>
      <c r="BK291">
        <v>99.8</v>
      </c>
      <c r="BL291">
        <v>98.7</v>
      </c>
      <c r="BM291">
        <v>100</v>
      </c>
      <c r="BN291">
        <v>1.3</v>
      </c>
      <c r="BO291">
        <v>0</v>
      </c>
      <c r="BP291">
        <v>0</v>
      </c>
      <c r="BQ291">
        <v>0</v>
      </c>
      <c r="BR291">
        <v>0</v>
      </c>
      <c r="BS291">
        <v>0</v>
      </c>
      <c r="BT291">
        <v>0</v>
      </c>
      <c r="BU291">
        <v>0</v>
      </c>
      <c r="BV291">
        <v>0</v>
      </c>
      <c r="BW291">
        <v>0</v>
      </c>
      <c r="BX291">
        <v>0</v>
      </c>
      <c r="BY291">
        <v>0</v>
      </c>
      <c r="BZ291">
        <v>23</v>
      </c>
      <c r="CA291">
        <v>3</v>
      </c>
      <c r="CB291">
        <v>1</v>
      </c>
      <c r="CC291">
        <v>0</v>
      </c>
      <c r="CD291">
        <v>15</v>
      </c>
      <c r="CE291">
        <v>12</v>
      </c>
      <c r="CF291">
        <v>18</v>
      </c>
      <c r="CG291">
        <v>13</v>
      </c>
      <c r="CH291">
        <v>23</v>
      </c>
      <c r="CI291">
        <v>3</v>
      </c>
      <c r="CJ291">
        <v>1</v>
      </c>
      <c r="CK291">
        <v>0</v>
      </c>
      <c r="CL291">
        <v>15</v>
      </c>
      <c r="CM291">
        <v>12</v>
      </c>
      <c r="CN291">
        <v>18</v>
      </c>
      <c r="CO291">
        <v>13</v>
      </c>
      <c r="CP291">
        <v>0</v>
      </c>
      <c r="CQ291">
        <v>0</v>
      </c>
      <c r="CR291">
        <v>0</v>
      </c>
      <c r="CS291">
        <v>0</v>
      </c>
      <c r="CT291">
        <v>0</v>
      </c>
      <c r="CU291">
        <v>0</v>
      </c>
      <c r="CV291">
        <v>0</v>
      </c>
      <c r="CW291">
        <v>0</v>
      </c>
      <c r="CX291">
        <v>77.2</v>
      </c>
      <c r="CY291">
        <v>94</v>
      </c>
      <c r="CZ291">
        <v>90.2</v>
      </c>
      <c r="DA291">
        <v>98.9</v>
      </c>
      <c r="DB291">
        <v>73.7</v>
      </c>
      <c r="DC291">
        <v>92.4</v>
      </c>
      <c r="DD291">
        <v>84.3</v>
      </c>
      <c r="DE291">
        <v>92.6</v>
      </c>
      <c r="DF291">
        <v>77.2</v>
      </c>
      <c r="DG291">
        <v>94</v>
      </c>
      <c r="DH291">
        <v>90.2</v>
      </c>
      <c r="DI291">
        <v>98.9</v>
      </c>
      <c r="DJ291">
        <v>73.7</v>
      </c>
      <c r="DK291">
        <v>92.4</v>
      </c>
      <c r="DL291">
        <v>84.3</v>
      </c>
      <c r="DM291">
        <v>92.6</v>
      </c>
      <c r="DN291">
        <v>0</v>
      </c>
      <c r="DO291">
        <v>0</v>
      </c>
      <c r="DP291">
        <v>0</v>
      </c>
      <c r="DQ291">
        <v>0</v>
      </c>
      <c r="DR291">
        <v>0</v>
      </c>
      <c r="DS291">
        <v>0</v>
      </c>
      <c r="DT291">
        <v>0</v>
      </c>
      <c r="DU291">
        <v>0</v>
      </c>
      <c r="DV291" t="s">
        <v>484</v>
      </c>
    </row>
    <row r="292" spans="1:126" x14ac:dyDescent="0.35">
      <c r="A292" t="s">
        <v>552</v>
      </c>
      <c r="B292">
        <v>230103</v>
      </c>
      <c r="C292" s="1">
        <v>44929</v>
      </c>
      <c r="D292" t="s">
        <v>553</v>
      </c>
      <c r="E292" t="s">
        <v>184</v>
      </c>
      <c r="F292" t="s">
        <v>185</v>
      </c>
      <c r="G292" t="s">
        <v>463</v>
      </c>
      <c r="H292">
        <v>48042</v>
      </c>
      <c r="I292" s="17">
        <v>1770</v>
      </c>
      <c r="J292" s="17">
        <v>85</v>
      </c>
      <c r="K292">
        <v>0</v>
      </c>
      <c r="L292">
        <v>46050</v>
      </c>
      <c r="M292">
        <v>47939</v>
      </c>
      <c r="N292">
        <v>47820</v>
      </c>
      <c r="O292">
        <v>48024</v>
      </c>
      <c r="P292">
        <v>222</v>
      </c>
      <c r="Q292">
        <v>18</v>
      </c>
      <c r="R292">
        <v>48042</v>
      </c>
      <c r="S292">
        <v>1770</v>
      </c>
      <c r="T292">
        <v>85</v>
      </c>
      <c r="U292">
        <v>0</v>
      </c>
      <c r="V292">
        <v>46050</v>
      </c>
      <c r="W292">
        <v>47939</v>
      </c>
      <c r="X292">
        <v>47820</v>
      </c>
      <c r="Y292">
        <v>48024</v>
      </c>
      <c r="Z292">
        <v>222</v>
      </c>
      <c r="AA292">
        <v>18</v>
      </c>
      <c r="AB292">
        <v>0</v>
      </c>
      <c r="AC292">
        <v>0</v>
      </c>
      <c r="AD292">
        <v>0</v>
      </c>
      <c r="AE292">
        <v>0</v>
      </c>
      <c r="AF292">
        <v>0</v>
      </c>
      <c r="AG292">
        <v>0</v>
      </c>
      <c r="AH292">
        <v>0</v>
      </c>
      <c r="AI292">
        <v>0</v>
      </c>
      <c r="AJ292">
        <v>0</v>
      </c>
      <c r="AK292">
        <v>0</v>
      </c>
      <c r="AL292">
        <v>0</v>
      </c>
      <c r="AM292">
        <v>0</v>
      </c>
      <c r="AN292">
        <v>0</v>
      </c>
      <c r="AO292">
        <v>0</v>
      </c>
      <c r="AP292">
        <v>0</v>
      </c>
      <c r="AQ292">
        <v>0</v>
      </c>
      <c r="AR292">
        <v>0</v>
      </c>
      <c r="AS292">
        <v>0</v>
      </c>
      <c r="AT292">
        <v>0</v>
      </c>
      <c r="AU292">
        <v>0</v>
      </c>
      <c r="AV292">
        <v>100</v>
      </c>
      <c r="AW292">
        <v>3.7</v>
      </c>
      <c r="AX292">
        <v>0.2</v>
      </c>
      <c r="AY292">
        <v>0</v>
      </c>
      <c r="AZ292">
        <v>95.9</v>
      </c>
      <c r="BA292">
        <v>99.8</v>
      </c>
      <c r="BB292">
        <v>99.5</v>
      </c>
      <c r="BC292">
        <v>100</v>
      </c>
      <c r="BD292">
        <v>0.5</v>
      </c>
      <c r="BE292">
        <v>0</v>
      </c>
      <c r="BF292">
        <v>100</v>
      </c>
      <c r="BG292">
        <v>3.7</v>
      </c>
      <c r="BH292">
        <v>0.2</v>
      </c>
      <c r="BI292">
        <v>0</v>
      </c>
      <c r="BJ292">
        <v>95.9</v>
      </c>
      <c r="BK292">
        <v>99.8</v>
      </c>
      <c r="BL292">
        <v>99.5</v>
      </c>
      <c r="BM292">
        <v>100</v>
      </c>
      <c r="BN292">
        <v>0.5</v>
      </c>
      <c r="BO292">
        <v>0</v>
      </c>
      <c r="BP292">
        <v>0</v>
      </c>
      <c r="BQ292">
        <v>0</v>
      </c>
      <c r="BR292">
        <v>0</v>
      </c>
      <c r="BS292">
        <v>0</v>
      </c>
      <c r="BT292">
        <v>0</v>
      </c>
      <c r="BU292">
        <v>0</v>
      </c>
      <c r="BV292">
        <v>0</v>
      </c>
      <c r="BW292">
        <v>0</v>
      </c>
      <c r="BX292">
        <v>0</v>
      </c>
      <c r="BY292">
        <v>0</v>
      </c>
      <c r="BZ292">
        <v>30</v>
      </c>
      <c r="CA292">
        <v>4</v>
      </c>
      <c r="CB292">
        <v>1</v>
      </c>
      <c r="CC292">
        <v>0</v>
      </c>
      <c r="CD292">
        <v>20</v>
      </c>
      <c r="CE292">
        <v>14</v>
      </c>
      <c r="CF292">
        <v>24</v>
      </c>
      <c r="CG292">
        <v>15</v>
      </c>
      <c r="CH292">
        <v>30</v>
      </c>
      <c r="CI292">
        <v>4</v>
      </c>
      <c r="CJ292">
        <v>1</v>
      </c>
      <c r="CK292">
        <v>0</v>
      </c>
      <c r="CL292">
        <v>20</v>
      </c>
      <c r="CM292">
        <v>14</v>
      </c>
      <c r="CN292">
        <v>24</v>
      </c>
      <c r="CO292">
        <v>15</v>
      </c>
      <c r="CP292">
        <v>0</v>
      </c>
      <c r="CQ292">
        <v>0</v>
      </c>
      <c r="CR292">
        <v>0</v>
      </c>
      <c r="CS292">
        <v>0</v>
      </c>
      <c r="CT292">
        <v>0</v>
      </c>
      <c r="CU292">
        <v>0</v>
      </c>
      <c r="CV292">
        <v>0</v>
      </c>
      <c r="CW292">
        <v>0</v>
      </c>
      <c r="CX292">
        <v>75.900000000000006</v>
      </c>
      <c r="CY292">
        <v>94</v>
      </c>
      <c r="CZ292">
        <v>89.5</v>
      </c>
      <c r="DA292">
        <v>98.8</v>
      </c>
      <c r="DB292">
        <v>72.2</v>
      </c>
      <c r="DC292">
        <v>92</v>
      </c>
      <c r="DD292">
        <v>83.4</v>
      </c>
      <c r="DE292">
        <v>92.3</v>
      </c>
      <c r="DF292">
        <v>75.900000000000006</v>
      </c>
      <c r="DG292">
        <v>94</v>
      </c>
      <c r="DH292">
        <v>89.5</v>
      </c>
      <c r="DI292">
        <v>98.8</v>
      </c>
      <c r="DJ292">
        <v>72.2</v>
      </c>
      <c r="DK292">
        <v>92</v>
      </c>
      <c r="DL292">
        <v>83.4</v>
      </c>
      <c r="DM292">
        <v>92.3</v>
      </c>
      <c r="DN292">
        <v>0</v>
      </c>
      <c r="DO292">
        <v>0</v>
      </c>
      <c r="DP292">
        <v>0</v>
      </c>
      <c r="DQ292">
        <v>0</v>
      </c>
      <c r="DR292">
        <v>0</v>
      </c>
      <c r="DS292">
        <v>0</v>
      </c>
      <c r="DT292">
        <v>0</v>
      </c>
      <c r="DU292">
        <v>0</v>
      </c>
      <c r="DV292" t="s">
        <v>484</v>
      </c>
    </row>
    <row r="293" spans="1:126" x14ac:dyDescent="0.35">
      <c r="A293" t="s">
        <v>554</v>
      </c>
      <c r="B293">
        <v>230110</v>
      </c>
      <c r="C293" s="1">
        <v>44936</v>
      </c>
      <c r="D293" t="s">
        <v>555</v>
      </c>
      <c r="E293" t="s">
        <v>184</v>
      </c>
      <c r="F293" t="s">
        <v>185</v>
      </c>
      <c r="G293" t="s">
        <v>463</v>
      </c>
      <c r="H293">
        <v>83912</v>
      </c>
      <c r="I293" s="17">
        <v>8714</v>
      </c>
      <c r="J293" s="17">
        <v>3707</v>
      </c>
      <c r="K293">
        <v>218</v>
      </c>
      <c r="L293">
        <v>74591</v>
      </c>
      <c r="M293">
        <v>79684</v>
      </c>
      <c r="N293">
        <v>83523</v>
      </c>
      <c r="O293">
        <v>83609</v>
      </c>
      <c r="P293">
        <v>389</v>
      </c>
      <c r="Q293">
        <v>303</v>
      </c>
      <c r="R293">
        <v>83912</v>
      </c>
      <c r="S293">
        <v>8714</v>
      </c>
      <c r="T293">
        <v>3707</v>
      </c>
      <c r="U293">
        <v>218</v>
      </c>
      <c r="V293">
        <v>74591</v>
      </c>
      <c r="W293">
        <v>79684</v>
      </c>
      <c r="X293">
        <v>83523</v>
      </c>
      <c r="Y293">
        <v>83609</v>
      </c>
      <c r="Z293">
        <v>389</v>
      </c>
      <c r="AA293">
        <v>303</v>
      </c>
      <c r="AB293">
        <v>0</v>
      </c>
      <c r="AC293">
        <v>0</v>
      </c>
      <c r="AD293">
        <v>0</v>
      </c>
      <c r="AE293">
        <v>0</v>
      </c>
      <c r="AF293">
        <v>0</v>
      </c>
      <c r="AG293">
        <v>0</v>
      </c>
      <c r="AH293">
        <v>0</v>
      </c>
      <c r="AI293">
        <v>0</v>
      </c>
      <c r="AJ293">
        <v>0</v>
      </c>
      <c r="AK293">
        <v>0</v>
      </c>
      <c r="AL293">
        <v>-3114</v>
      </c>
      <c r="AM293">
        <v>337</v>
      </c>
      <c r="AN293">
        <v>-98</v>
      </c>
      <c r="AO293">
        <v>-62</v>
      </c>
      <c r="AP293">
        <v>-3352</v>
      </c>
      <c r="AQ293">
        <v>-2913</v>
      </c>
      <c r="AR293">
        <v>-3077</v>
      </c>
      <c r="AS293">
        <v>-3073</v>
      </c>
      <c r="AT293">
        <v>-37</v>
      </c>
      <c r="AU293">
        <v>-41</v>
      </c>
      <c r="AV293">
        <v>100</v>
      </c>
      <c r="AW293">
        <v>10.4</v>
      </c>
      <c r="AX293">
        <v>4.4000000000000004</v>
      </c>
      <c r="AY293">
        <v>0.3</v>
      </c>
      <c r="AZ293">
        <v>88.9</v>
      </c>
      <c r="BA293">
        <v>95</v>
      </c>
      <c r="BB293">
        <v>99.5</v>
      </c>
      <c r="BC293">
        <v>99.6</v>
      </c>
      <c r="BD293">
        <v>0.5</v>
      </c>
      <c r="BE293">
        <v>0.4</v>
      </c>
      <c r="BF293">
        <v>100</v>
      </c>
      <c r="BG293">
        <v>10.4</v>
      </c>
      <c r="BH293">
        <v>4.4000000000000004</v>
      </c>
      <c r="BI293">
        <v>0.3</v>
      </c>
      <c r="BJ293">
        <v>88.9</v>
      </c>
      <c r="BK293">
        <v>95</v>
      </c>
      <c r="BL293">
        <v>99.5</v>
      </c>
      <c r="BM293">
        <v>99.6</v>
      </c>
      <c r="BN293">
        <v>0.5</v>
      </c>
      <c r="BO293">
        <v>0.4</v>
      </c>
      <c r="BP293">
        <v>0</v>
      </c>
      <c r="BQ293">
        <v>0</v>
      </c>
      <c r="BR293">
        <v>0</v>
      </c>
      <c r="BS293">
        <v>0</v>
      </c>
      <c r="BT293">
        <v>0</v>
      </c>
      <c r="BU293">
        <v>0</v>
      </c>
      <c r="BV293">
        <v>0</v>
      </c>
      <c r="BW293">
        <v>0</v>
      </c>
      <c r="BX293">
        <v>0</v>
      </c>
      <c r="BY293">
        <v>0</v>
      </c>
      <c r="BZ293">
        <v>57</v>
      </c>
      <c r="CA293">
        <v>3</v>
      </c>
      <c r="CB293">
        <v>8</v>
      </c>
      <c r="CC293">
        <v>3</v>
      </c>
      <c r="CD293">
        <v>36</v>
      </c>
      <c r="CE293">
        <v>38</v>
      </c>
      <c r="CF293">
        <v>42</v>
      </c>
      <c r="CG293">
        <v>46</v>
      </c>
      <c r="CH293">
        <v>57</v>
      </c>
      <c r="CI293">
        <v>3</v>
      </c>
      <c r="CJ293">
        <v>8</v>
      </c>
      <c r="CK293">
        <v>3</v>
      </c>
      <c r="CL293">
        <v>36</v>
      </c>
      <c r="CM293">
        <v>38</v>
      </c>
      <c r="CN293">
        <v>42</v>
      </c>
      <c r="CO293">
        <v>46</v>
      </c>
      <c r="CP293">
        <v>0</v>
      </c>
      <c r="CQ293">
        <v>0</v>
      </c>
      <c r="CR293">
        <v>0</v>
      </c>
      <c r="CS293">
        <v>0</v>
      </c>
      <c r="CT293">
        <v>0</v>
      </c>
      <c r="CU293">
        <v>0</v>
      </c>
      <c r="CV293">
        <v>0</v>
      </c>
      <c r="CW293">
        <v>0</v>
      </c>
      <c r="CX293">
        <v>47.8</v>
      </c>
      <c r="CY293">
        <v>46.9</v>
      </c>
      <c r="CZ293">
        <v>67.900000000000006</v>
      </c>
      <c r="DA293">
        <v>65.900000000000006</v>
      </c>
      <c r="DB293">
        <v>36.299999999999997</v>
      </c>
      <c r="DC293">
        <v>31.9</v>
      </c>
      <c r="DD293">
        <v>48.9</v>
      </c>
      <c r="DE293">
        <v>43.1</v>
      </c>
      <c r="DF293">
        <v>47.8</v>
      </c>
      <c r="DG293">
        <v>46.9</v>
      </c>
      <c r="DH293">
        <v>67.900000000000006</v>
      </c>
      <c r="DI293">
        <v>65.900000000000006</v>
      </c>
      <c r="DJ293">
        <v>36.299999999999997</v>
      </c>
      <c r="DK293">
        <v>31.9</v>
      </c>
      <c r="DL293">
        <v>48.9</v>
      </c>
      <c r="DM293">
        <v>43.1</v>
      </c>
      <c r="DN293">
        <v>0</v>
      </c>
      <c r="DO293">
        <v>0</v>
      </c>
      <c r="DP293">
        <v>0</v>
      </c>
      <c r="DQ293">
        <v>0</v>
      </c>
      <c r="DR293">
        <v>0</v>
      </c>
      <c r="DS293">
        <v>0</v>
      </c>
      <c r="DT293">
        <v>0</v>
      </c>
      <c r="DU293">
        <v>0</v>
      </c>
      <c r="DV293" t="s">
        <v>484</v>
      </c>
    </row>
    <row r="294" spans="1:126" x14ac:dyDescent="0.35">
      <c r="A294" t="s">
        <v>554</v>
      </c>
      <c r="B294">
        <v>230103</v>
      </c>
      <c r="C294" s="1">
        <v>44929</v>
      </c>
      <c r="D294" t="s">
        <v>555</v>
      </c>
      <c r="E294" t="s">
        <v>184</v>
      </c>
      <c r="F294" t="s">
        <v>185</v>
      </c>
      <c r="G294" t="s">
        <v>463</v>
      </c>
      <c r="H294">
        <v>87026</v>
      </c>
      <c r="I294" s="17">
        <v>8377</v>
      </c>
      <c r="J294" s="17">
        <v>3805</v>
      </c>
      <c r="K294">
        <v>280</v>
      </c>
      <c r="L294">
        <v>77943</v>
      </c>
      <c r="M294">
        <v>82597</v>
      </c>
      <c r="N294">
        <v>86600</v>
      </c>
      <c r="O294">
        <v>86682</v>
      </c>
      <c r="P294">
        <v>426</v>
      </c>
      <c r="Q294">
        <v>344</v>
      </c>
      <c r="R294">
        <v>87026</v>
      </c>
      <c r="S294">
        <v>8377</v>
      </c>
      <c r="T294">
        <v>3805</v>
      </c>
      <c r="U294">
        <v>280</v>
      </c>
      <c r="V294">
        <v>77943</v>
      </c>
      <c r="W294">
        <v>82597</v>
      </c>
      <c r="X294">
        <v>86600</v>
      </c>
      <c r="Y294">
        <v>86682</v>
      </c>
      <c r="Z294">
        <v>426</v>
      </c>
      <c r="AA294">
        <v>344</v>
      </c>
      <c r="AB294">
        <v>0</v>
      </c>
      <c r="AC294">
        <v>0</v>
      </c>
      <c r="AD294">
        <v>0</v>
      </c>
      <c r="AE294">
        <v>0</v>
      </c>
      <c r="AF294">
        <v>0</v>
      </c>
      <c r="AG294">
        <v>0</v>
      </c>
      <c r="AH294">
        <v>0</v>
      </c>
      <c r="AI294">
        <v>0</v>
      </c>
      <c r="AJ294">
        <v>0</v>
      </c>
      <c r="AK294">
        <v>0</v>
      </c>
      <c r="AL294">
        <v>1151</v>
      </c>
      <c r="AM294">
        <v>8</v>
      </c>
      <c r="AN294">
        <v>744</v>
      </c>
      <c r="AO294">
        <v>0</v>
      </c>
      <c r="AP294">
        <v>1103</v>
      </c>
      <c r="AQ294">
        <v>401</v>
      </c>
      <c r="AR294">
        <v>1111</v>
      </c>
      <c r="AS294">
        <v>1145</v>
      </c>
      <c r="AT294">
        <v>40</v>
      </c>
      <c r="AU294">
        <v>6</v>
      </c>
      <c r="AV294">
        <v>100</v>
      </c>
      <c r="AW294">
        <v>9.6</v>
      </c>
      <c r="AX294">
        <v>4.4000000000000004</v>
      </c>
      <c r="AY294">
        <v>0.3</v>
      </c>
      <c r="AZ294">
        <v>89.6</v>
      </c>
      <c r="BA294">
        <v>94.9</v>
      </c>
      <c r="BB294">
        <v>99.5</v>
      </c>
      <c r="BC294">
        <v>99.6</v>
      </c>
      <c r="BD294">
        <v>0.5</v>
      </c>
      <c r="BE294">
        <v>0.4</v>
      </c>
      <c r="BF294">
        <v>100</v>
      </c>
      <c r="BG294">
        <v>9.6</v>
      </c>
      <c r="BH294">
        <v>4.4000000000000004</v>
      </c>
      <c r="BI294">
        <v>0.3</v>
      </c>
      <c r="BJ294">
        <v>89.6</v>
      </c>
      <c r="BK294">
        <v>94.9</v>
      </c>
      <c r="BL294">
        <v>99.5</v>
      </c>
      <c r="BM294">
        <v>99.6</v>
      </c>
      <c r="BN294">
        <v>0.5</v>
      </c>
      <c r="BO294">
        <v>0.4</v>
      </c>
      <c r="BP294">
        <v>0</v>
      </c>
      <c r="BQ294">
        <v>0</v>
      </c>
      <c r="BR294">
        <v>0</v>
      </c>
      <c r="BS294">
        <v>0</v>
      </c>
      <c r="BT294">
        <v>0</v>
      </c>
      <c r="BU294">
        <v>0</v>
      </c>
      <c r="BV294">
        <v>0</v>
      </c>
      <c r="BW294">
        <v>0</v>
      </c>
      <c r="BX294">
        <v>0</v>
      </c>
      <c r="BY294">
        <v>0</v>
      </c>
      <c r="BZ294">
        <v>60</v>
      </c>
      <c r="CA294">
        <v>5</v>
      </c>
      <c r="CB294">
        <v>8</v>
      </c>
      <c r="CC294">
        <v>5</v>
      </c>
      <c r="CD294">
        <v>39</v>
      </c>
      <c r="CE294">
        <v>40</v>
      </c>
      <c r="CF294">
        <v>47</v>
      </c>
      <c r="CG294">
        <v>50</v>
      </c>
      <c r="CH294">
        <v>60</v>
      </c>
      <c r="CI294">
        <v>5</v>
      </c>
      <c r="CJ294">
        <v>8</v>
      </c>
      <c r="CK294">
        <v>5</v>
      </c>
      <c r="CL294">
        <v>39</v>
      </c>
      <c r="CM294">
        <v>40</v>
      </c>
      <c r="CN294">
        <v>47</v>
      </c>
      <c r="CO294">
        <v>50</v>
      </c>
      <c r="CP294">
        <v>0</v>
      </c>
      <c r="CQ294">
        <v>0</v>
      </c>
      <c r="CR294">
        <v>0</v>
      </c>
      <c r="CS294">
        <v>0</v>
      </c>
      <c r="CT294">
        <v>0</v>
      </c>
      <c r="CU294">
        <v>0</v>
      </c>
      <c r="CV294">
        <v>0</v>
      </c>
      <c r="CW294">
        <v>0</v>
      </c>
      <c r="CX294">
        <v>45.9</v>
      </c>
      <c r="CY294">
        <v>45.8</v>
      </c>
      <c r="CZ294">
        <v>67.099999999999994</v>
      </c>
      <c r="DA294">
        <v>65.3</v>
      </c>
      <c r="DB294">
        <v>33.5</v>
      </c>
      <c r="DC294">
        <v>33</v>
      </c>
      <c r="DD294">
        <v>48.6</v>
      </c>
      <c r="DE294">
        <v>43.4</v>
      </c>
      <c r="DF294">
        <v>45.9</v>
      </c>
      <c r="DG294">
        <v>45.8</v>
      </c>
      <c r="DH294">
        <v>67.099999999999994</v>
      </c>
      <c r="DI294">
        <v>65.3</v>
      </c>
      <c r="DJ294">
        <v>33.5</v>
      </c>
      <c r="DK294">
        <v>33</v>
      </c>
      <c r="DL294">
        <v>48.6</v>
      </c>
      <c r="DM294">
        <v>43.4</v>
      </c>
      <c r="DN294">
        <v>0</v>
      </c>
      <c r="DO294">
        <v>0</v>
      </c>
      <c r="DP294">
        <v>0</v>
      </c>
      <c r="DQ294">
        <v>0</v>
      </c>
      <c r="DR294">
        <v>0</v>
      </c>
      <c r="DS294">
        <v>0</v>
      </c>
      <c r="DT294">
        <v>0</v>
      </c>
      <c r="DU294">
        <v>0</v>
      </c>
      <c r="DV294" t="s">
        <v>484</v>
      </c>
    </row>
    <row r="295" spans="1:126" x14ac:dyDescent="0.35">
      <c r="A295" t="s">
        <v>556</v>
      </c>
      <c r="B295">
        <v>230110</v>
      </c>
      <c r="C295" s="1">
        <v>44936</v>
      </c>
      <c r="D295" t="s">
        <v>557</v>
      </c>
      <c r="E295" t="s">
        <v>184</v>
      </c>
      <c r="F295" t="s">
        <v>185</v>
      </c>
      <c r="G295" t="s">
        <v>463</v>
      </c>
      <c r="H295">
        <v>90631</v>
      </c>
      <c r="I295" s="17">
        <v>11626</v>
      </c>
      <c r="J295" s="17">
        <v>13082</v>
      </c>
      <c r="K295">
        <v>272</v>
      </c>
      <c r="L295">
        <v>78368</v>
      </c>
      <c r="M295">
        <v>77102</v>
      </c>
      <c r="N295">
        <v>90266</v>
      </c>
      <c r="O295">
        <v>90456</v>
      </c>
      <c r="P295">
        <v>365</v>
      </c>
      <c r="Q295">
        <v>175</v>
      </c>
      <c r="R295">
        <v>90631</v>
      </c>
      <c r="S295">
        <v>11626</v>
      </c>
      <c r="T295">
        <v>13082</v>
      </c>
      <c r="U295">
        <v>272</v>
      </c>
      <c r="V295">
        <v>78368</v>
      </c>
      <c r="W295">
        <v>77102</v>
      </c>
      <c r="X295">
        <v>90266</v>
      </c>
      <c r="Y295">
        <v>90456</v>
      </c>
      <c r="Z295">
        <v>365</v>
      </c>
      <c r="AA295">
        <v>175</v>
      </c>
      <c r="AB295">
        <v>0</v>
      </c>
      <c r="AC295">
        <v>0</v>
      </c>
      <c r="AD295">
        <v>0</v>
      </c>
      <c r="AE295">
        <v>0</v>
      </c>
      <c r="AF295">
        <v>0</v>
      </c>
      <c r="AG295">
        <v>0</v>
      </c>
      <c r="AH295">
        <v>0</v>
      </c>
      <c r="AI295">
        <v>0</v>
      </c>
      <c r="AJ295">
        <v>0</v>
      </c>
      <c r="AK295">
        <v>0</v>
      </c>
      <c r="AL295">
        <v>-5305</v>
      </c>
      <c r="AM295">
        <v>353</v>
      </c>
      <c r="AN295">
        <v>-452</v>
      </c>
      <c r="AO295">
        <v>-247</v>
      </c>
      <c r="AP295">
        <v>-5358</v>
      </c>
      <c r="AQ295">
        <v>-4581</v>
      </c>
      <c r="AR295">
        <v>-5252</v>
      </c>
      <c r="AS295">
        <v>-5280</v>
      </c>
      <c r="AT295">
        <v>-53</v>
      </c>
      <c r="AU295">
        <v>-25</v>
      </c>
      <c r="AV295">
        <v>100</v>
      </c>
      <c r="AW295">
        <v>12.8</v>
      </c>
      <c r="AX295">
        <v>14.4</v>
      </c>
      <c r="AY295">
        <v>0.3</v>
      </c>
      <c r="AZ295">
        <v>86.5</v>
      </c>
      <c r="BA295">
        <v>85.1</v>
      </c>
      <c r="BB295">
        <v>99.6</v>
      </c>
      <c r="BC295">
        <v>99.8</v>
      </c>
      <c r="BD295">
        <v>0.4</v>
      </c>
      <c r="BE295">
        <v>0.2</v>
      </c>
      <c r="BF295">
        <v>100</v>
      </c>
      <c r="BG295">
        <v>12.8</v>
      </c>
      <c r="BH295">
        <v>14.4</v>
      </c>
      <c r="BI295">
        <v>0.3</v>
      </c>
      <c r="BJ295">
        <v>86.5</v>
      </c>
      <c r="BK295">
        <v>85.1</v>
      </c>
      <c r="BL295">
        <v>99.6</v>
      </c>
      <c r="BM295">
        <v>99.8</v>
      </c>
      <c r="BN295">
        <v>0.4</v>
      </c>
      <c r="BO295">
        <v>0.2</v>
      </c>
      <c r="BP295">
        <v>0</v>
      </c>
      <c r="BQ295">
        <v>0</v>
      </c>
      <c r="BR295">
        <v>0</v>
      </c>
      <c r="BS295">
        <v>0</v>
      </c>
      <c r="BT295">
        <v>0</v>
      </c>
      <c r="BU295">
        <v>0</v>
      </c>
      <c r="BV295">
        <v>0</v>
      </c>
      <c r="BW295">
        <v>0</v>
      </c>
      <c r="BX295">
        <v>0</v>
      </c>
      <c r="BY295">
        <v>0</v>
      </c>
      <c r="BZ295">
        <v>66</v>
      </c>
      <c r="CA295">
        <v>8</v>
      </c>
      <c r="CB295">
        <v>7</v>
      </c>
      <c r="CC295">
        <v>5</v>
      </c>
      <c r="CD295">
        <v>42</v>
      </c>
      <c r="CE295">
        <v>41</v>
      </c>
      <c r="CF295">
        <v>52</v>
      </c>
      <c r="CG295">
        <v>51</v>
      </c>
      <c r="CH295">
        <v>66</v>
      </c>
      <c r="CI295">
        <v>8</v>
      </c>
      <c r="CJ295">
        <v>7</v>
      </c>
      <c r="CK295">
        <v>5</v>
      </c>
      <c r="CL295">
        <v>42</v>
      </c>
      <c r="CM295">
        <v>41</v>
      </c>
      <c r="CN295">
        <v>52</v>
      </c>
      <c r="CO295">
        <v>51</v>
      </c>
      <c r="CP295">
        <v>0</v>
      </c>
      <c r="CQ295">
        <v>0</v>
      </c>
      <c r="CR295">
        <v>0</v>
      </c>
      <c r="CS295">
        <v>0</v>
      </c>
      <c r="CT295">
        <v>0</v>
      </c>
      <c r="CU295">
        <v>0</v>
      </c>
      <c r="CV295">
        <v>0</v>
      </c>
      <c r="CW295">
        <v>0</v>
      </c>
      <c r="CX295">
        <v>44.6</v>
      </c>
      <c r="CY295">
        <v>47.1</v>
      </c>
      <c r="CZ295">
        <v>63.1</v>
      </c>
      <c r="DA295">
        <v>67.5</v>
      </c>
      <c r="DB295">
        <v>36.1</v>
      </c>
      <c r="DC295">
        <v>38</v>
      </c>
      <c r="DD295">
        <v>48</v>
      </c>
      <c r="DE295">
        <v>47.2</v>
      </c>
      <c r="DF295">
        <v>44.6</v>
      </c>
      <c r="DG295">
        <v>47.1</v>
      </c>
      <c r="DH295">
        <v>63.1</v>
      </c>
      <c r="DI295">
        <v>67.5</v>
      </c>
      <c r="DJ295">
        <v>36.1</v>
      </c>
      <c r="DK295">
        <v>38</v>
      </c>
      <c r="DL295">
        <v>48</v>
      </c>
      <c r="DM295">
        <v>47.2</v>
      </c>
      <c r="DN295">
        <v>0</v>
      </c>
      <c r="DO295">
        <v>0</v>
      </c>
      <c r="DP295">
        <v>0</v>
      </c>
      <c r="DQ295">
        <v>0</v>
      </c>
      <c r="DR295">
        <v>0</v>
      </c>
      <c r="DS295">
        <v>0</v>
      </c>
      <c r="DT295">
        <v>0</v>
      </c>
      <c r="DU295">
        <v>0</v>
      </c>
      <c r="DV295" t="s">
        <v>558</v>
      </c>
    </row>
    <row r="296" spans="1:126" x14ac:dyDescent="0.35">
      <c r="A296" t="s">
        <v>556</v>
      </c>
      <c r="B296">
        <v>230103</v>
      </c>
      <c r="C296" s="1">
        <v>44929</v>
      </c>
      <c r="D296" t="s">
        <v>557</v>
      </c>
      <c r="E296" t="s">
        <v>184</v>
      </c>
      <c r="F296" t="s">
        <v>185</v>
      </c>
      <c r="G296" t="s">
        <v>463</v>
      </c>
      <c r="H296">
        <v>95936</v>
      </c>
      <c r="I296" s="17">
        <v>11273</v>
      </c>
      <c r="J296" s="17">
        <v>13534</v>
      </c>
      <c r="K296">
        <v>519</v>
      </c>
      <c r="L296">
        <v>83726</v>
      </c>
      <c r="M296">
        <v>81683</v>
      </c>
      <c r="N296">
        <v>95518</v>
      </c>
      <c r="O296">
        <v>95736</v>
      </c>
      <c r="P296">
        <v>418</v>
      </c>
      <c r="Q296">
        <v>200</v>
      </c>
      <c r="R296">
        <v>95936</v>
      </c>
      <c r="S296">
        <v>11273</v>
      </c>
      <c r="T296">
        <v>13534</v>
      </c>
      <c r="U296">
        <v>519</v>
      </c>
      <c r="V296">
        <v>83726</v>
      </c>
      <c r="W296">
        <v>81683</v>
      </c>
      <c r="X296">
        <v>95518</v>
      </c>
      <c r="Y296">
        <v>95736</v>
      </c>
      <c r="Z296">
        <v>418</v>
      </c>
      <c r="AA296">
        <v>200</v>
      </c>
      <c r="AB296">
        <v>0</v>
      </c>
      <c r="AC296">
        <v>0</v>
      </c>
      <c r="AD296">
        <v>0</v>
      </c>
      <c r="AE296">
        <v>0</v>
      </c>
      <c r="AF296">
        <v>0</v>
      </c>
      <c r="AG296">
        <v>0</v>
      </c>
      <c r="AH296">
        <v>0</v>
      </c>
      <c r="AI296">
        <v>0</v>
      </c>
      <c r="AJ296">
        <v>0</v>
      </c>
      <c r="AK296">
        <v>0</v>
      </c>
      <c r="AL296">
        <v>1391</v>
      </c>
      <c r="AM296">
        <v>255</v>
      </c>
      <c r="AN296">
        <v>798</v>
      </c>
      <c r="AO296">
        <v>29</v>
      </c>
      <c r="AP296">
        <v>1112</v>
      </c>
      <c r="AQ296">
        <v>569</v>
      </c>
      <c r="AR296">
        <v>1396</v>
      </c>
      <c r="AS296">
        <v>1396</v>
      </c>
      <c r="AT296">
        <v>-5</v>
      </c>
      <c r="AU296">
        <v>-5</v>
      </c>
      <c r="AV296">
        <v>100</v>
      </c>
      <c r="AW296">
        <v>11.8</v>
      </c>
      <c r="AX296">
        <v>14.1</v>
      </c>
      <c r="AY296">
        <v>0.5</v>
      </c>
      <c r="AZ296">
        <v>87.3</v>
      </c>
      <c r="BA296">
        <v>85.1</v>
      </c>
      <c r="BB296">
        <v>99.6</v>
      </c>
      <c r="BC296">
        <v>99.8</v>
      </c>
      <c r="BD296">
        <v>0.4</v>
      </c>
      <c r="BE296">
        <v>0.2</v>
      </c>
      <c r="BF296">
        <v>100</v>
      </c>
      <c r="BG296">
        <v>11.8</v>
      </c>
      <c r="BH296">
        <v>14.1</v>
      </c>
      <c r="BI296">
        <v>0.5</v>
      </c>
      <c r="BJ296">
        <v>87.3</v>
      </c>
      <c r="BK296">
        <v>85.1</v>
      </c>
      <c r="BL296">
        <v>99.6</v>
      </c>
      <c r="BM296">
        <v>99.8</v>
      </c>
      <c r="BN296">
        <v>0.4</v>
      </c>
      <c r="BO296">
        <v>0.2</v>
      </c>
      <c r="BP296">
        <v>0</v>
      </c>
      <c r="BQ296">
        <v>0</v>
      </c>
      <c r="BR296">
        <v>0</v>
      </c>
      <c r="BS296">
        <v>0</v>
      </c>
      <c r="BT296">
        <v>0</v>
      </c>
      <c r="BU296">
        <v>0</v>
      </c>
      <c r="BV296">
        <v>0</v>
      </c>
      <c r="BW296">
        <v>0</v>
      </c>
      <c r="BX296">
        <v>0</v>
      </c>
      <c r="BY296">
        <v>0</v>
      </c>
      <c r="BZ296">
        <v>70</v>
      </c>
      <c r="CA296">
        <v>9</v>
      </c>
      <c r="CB296">
        <v>10</v>
      </c>
      <c r="CC296">
        <v>7</v>
      </c>
      <c r="CD296">
        <v>44</v>
      </c>
      <c r="CE296">
        <v>41</v>
      </c>
      <c r="CF296">
        <v>56</v>
      </c>
      <c r="CG296">
        <v>55</v>
      </c>
      <c r="CH296">
        <v>70</v>
      </c>
      <c r="CI296">
        <v>9</v>
      </c>
      <c r="CJ296">
        <v>10</v>
      </c>
      <c r="CK296">
        <v>7</v>
      </c>
      <c r="CL296">
        <v>44</v>
      </c>
      <c r="CM296">
        <v>41</v>
      </c>
      <c r="CN296">
        <v>56</v>
      </c>
      <c r="CO296">
        <v>55</v>
      </c>
      <c r="CP296">
        <v>0</v>
      </c>
      <c r="CQ296">
        <v>0</v>
      </c>
      <c r="CR296">
        <v>0</v>
      </c>
      <c r="CS296">
        <v>0</v>
      </c>
      <c r="CT296">
        <v>0</v>
      </c>
      <c r="CU296">
        <v>0</v>
      </c>
      <c r="CV296">
        <v>0</v>
      </c>
      <c r="CW296">
        <v>0</v>
      </c>
      <c r="CX296">
        <v>42.9</v>
      </c>
      <c r="CY296">
        <v>44.2</v>
      </c>
      <c r="CZ296">
        <v>61.5</v>
      </c>
      <c r="DA296">
        <v>65.5</v>
      </c>
      <c r="DB296">
        <v>33.200000000000003</v>
      </c>
      <c r="DC296">
        <v>36.799999999999997</v>
      </c>
      <c r="DD296">
        <v>45.8</v>
      </c>
      <c r="DE296">
        <v>47</v>
      </c>
      <c r="DF296">
        <v>42.9</v>
      </c>
      <c r="DG296">
        <v>44.2</v>
      </c>
      <c r="DH296">
        <v>61.5</v>
      </c>
      <c r="DI296">
        <v>65.5</v>
      </c>
      <c r="DJ296">
        <v>33.200000000000003</v>
      </c>
      <c r="DK296">
        <v>36.799999999999997</v>
      </c>
      <c r="DL296">
        <v>45.8</v>
      </c>
      <c r="DM296">
        <v>47</v>
      </c>
      <c r="DN296">
        <v>0</v>
      </c>
      <c r="DO296">
        <v>0</v>
      </c>
      <c r="DP296">
        <v>0</v>
      </c>
      <c r="DQ296">
        <v>0</v>
      </c>
      <c r="DR296">
        <v>0</v>
      </c>
      <c r="DS296">
        <v>0</v>
      </c>
      <c r="DT296">
        <v>0</v>
      </c>
      <c r="DU296">
        <v>0</v>
      </c>
      <c r="DV296" t="s">
        <v>558</v>
      </c>
    </row>
    <row r="297" spans="1:126" x14ac:dyDescent="0.35">
      <c r="A297" t="s">
        <v>559</v>
      </c>
      <c r="B297">
        <v>230110</v>
      </c>
      <c r="C297" s="1">
        <v>44936</v>
      </c>
      <c r="D297" t="s">
        <v>560</v>
      </c>
      <c r="E297" t="s">
        <v>184</v>
      </c>
      <c r="F297" t="s">
        <v>185</v>
      </c>
      <c r="G297" t="s">
        <v>463</v>
      </c>
      <c r="H297">
        <v>294051</v>
      </c>
      <c r="I297" s="17">
        <v>36420</v>
      </c>
      <c r="J297" s="17">
        <v>38327</v>
      </c>
      <c r="K297">
        <v>41431</v>
      </c>
      <c r="L297">
        <v>214686</v>
      </c>
      <c r="M297">
        <v>213457</v>
      </c>
      <c r="N297">
        <v>292537</v>
      </c>
      <c r="O297">
        <v>293215</v>
      </c>
      <c r="P297">
        <v>1514</v>
      </c>
      <c r="Q297">
        <v>836</v>
      </c>
      <c r="R297">
        <v>294051</v>
      </c>
      <c r="S297">
        <v>36420</v>
      </c>
      <c r="T297">
        <v>38327</v>
      </c>
      <c r="U297">
        <v>41431</v>
      </c>
      <c r="V297">
        <v>214686</v>
      </c>
      <c r="W297">
        <v>213457</v>
      </c>
      <c r="X297">
        <v>292537</v>
      </c>
      <c r="Y297">
        <v>293215</v>
      </c>
      <c r="Z297">
        <v>1514</v>
      </c>
      <c r="AA297">
        <v>836</v>
      </c>
      <c r="AB297">
        <v>0</v>
      </c>
      <c r="AC297">
        <v>0</v>
      </c>
      <c r="AD297">
        <v>0</v>
      </c>
      <c r="AE297">
        <v>0</v>
      </c>
      <c r="AF297">
        <v>0</v>
      </c>
      <c r="AG297">
        <v>0</v>
      </c>
      <c r="AH297">
        <v>0</v>
      </c>
      <c r="AI297">
        <v>0</v>
      </c>
      <c r="AJ297">
        <v>0</v>
      </c>
      <c r="AK297">
        <v>0</v>
      </c>
      <c r="AL297">
        <v>1425</v>
      </c>
      <c r="AM297">
        <v>967</v>
      </c>
      <c r="AN297">
        <v>1312</v>
      </c>
      <c r="AO297">
        <v>3463</v>
      </c>
      <c r="AP297">
        <v>-3888</v>
      </c>
      <c r="AQ297">
        <v>-3644</v>
      </c>
      <c r="AR297">
        <v>542</v>
      </c>
      <c r="AS297">
        <v>1131</v>
      </c>
      <c r="AT297">
        <v>883</v>
      </c>
      <c r="AU297">
        <v>294</v>
      </c>
      <c r="AV297">
        <v>100</v>
      </c>
      <c r="AW297">
        <v>12.4</v>
      </c>
      <c r="AX297">
        <v>13</v>
      </c>
      <c r="AY297">
        <v>14.1</v>
      </c>
      <c r="AZ297">
        <v>73</v>
      </c>
      <c r="BA297">
        <v>72.599999999999994</v>
      </c>
      <c r="BB297">
        <v>99.5</v>
      </c>
      <c r="BC297">
        <v>99.7</v>
      </c>
      <c r="BD297">
        <v>0.5</v>
      </c>
      <c r="BE297">
        <v>0.3</v>
      </c>
      <c r="BF297">
        <v>100</v>
      </c>
      <c r="BG297">
        <v>12.4</v>
      </c>
      <c r="BH297">
        <v>13</v>
      </c>
      <c r="BI297">
        <v>14.1</v>
      </c>
      <c r="BJ297">
        <v>73</v>
      </c>
      <c r="BK297">
        <v>72.599999999999994</v>
      </c>
      <c r="BL297">
        <v>99.5</v>
      </c>
      <c r="BM297">
        <v>99.7</v>
      </c>
      <c r="BN297">
        <v>0.5</v>
      </c>
      <c r="BO297">
        <v>0.3</v>
      </c>
      <c r="BP297">
        <v>0</v>
      </c>
      <c r="BQ297">
        <v>0</v>
      </c>
      <c r="BR297">
        <v>0</v>
      </c>
      <c r="BS297">
        <v>0</v>
      </c>
      <c r="BT297">
        <v>0</v>
      </c>
      <c r="BU297">
        <v>0</v>
      </c>
      <c r="BV297">
        <v>0</v>
      </c>
      <c r="BW297">
        <v>0</v>
      </c>
      <c r="BX297">
        <v>0</v>
      </c>
      <c r="BY297">
        <v>0</v>
      </c>
      <c r="BZ297">
        <v>101</v>
      </c>
      <c r="CA297">
        <v>26</v>
      </c>
      <c r="CB297">
        <v>24</v>
      </c>
      <c r="CC297">
        <v>30</v>
      </c>
      <c r="CD297">
        <v>46</v>
      </c>
      <c r="CE297">
        <v>43</v>
      </c>
      <c r="CF297">
        <v>82</v>
      </c>
      <c r="CG297">
        <v>87</v>
      </c>
      <c r="CH297">
        <v>101</v>
      </c>
      <c r="CI297">
        <v>26</v>
      </c>
      <c r="CJ297">
        <v>24</v>
      </c>
      <c r="CK297">
        <v>30</v>
      </c>
      <c r="CL297">
        <v>46</v>
      </c>
      <c r="CM297">
        <v>43</v>
      </c>
      <c r="CN297">
        <v>82</v>
      </c>
      <c r="CO297">
        <v>87</v>
      </c>
      <c r="CP297">
        <v>0</v>
      </c>
      <c r="CQ297">
        <v>0</v>
      </c>
      <c r="CR297">
        <v>0</v>
      </c>
      <c r="CS297">
        <v>0</v>
      </c>
      <c r="CT297">
        <v>0</v>
      </c>
      <c r="CU297">
        <v>0</v>
      </c>
      <c r="CV297">
        <v>0</v>
      </c>
      <c r="CW297">
        <v>0</v>
      </c>
      <c r="CX297">
        <v>35.1</v>
      </c>
      <c r="CY297">
        <v>52</v>
      </c>
      <c r="CZ297">
        <v>56</v>
      </c>
      <c r="DA297">
        <v>66</v>
      </c>
      <c r="DB297">
        <v>31.2</v>
      </c>
      <c r="DC297">
        <v>34.9</v>
      </c>
      <c r="DD297">
        <v>39.700000000000003</v>
      </c>
      <c r="DE297">
        <v>42.4</v>
      </c>
      <c r="DF297">
        <v>35.1</v>
      </c>
      <c r="DG297">
        <v>52</v>
      </c>
      <c r="DH297">
        <v>56</v>
      </c>
      <c r="DI297">
        <v>66</v>
      </c>
      <c r="DJ297">
        <v>31.2</v>
      </c>
      <c r="DK297">
        <v>34.9</v>
      </c>
      <c r="DL297">
        <v>39.700000000000003</v>
      </c>
      <c r="DM297">
        <v>42.4</v>
      </c>
      <c r="DN297">
        <v>0</v>
      </c>
      <c r="DO297">
        <v>0</v>
      </c>
      <c r="DP297">
        <v>0</v>
      </c>
      <c r="DQ297">
        <v>0</v>
      </c>
      <c r="DR297">
        <v>0</v>
      </c>
      <c r="DS297">
        <v>0</v>
      </c>
      <c r="DT297">
        <v>0</v>
      </c>
      <c r="DU297">
        <v>0</v>
      </c>
      <c r="DV297" t="s">
        <v>484</v>
      </c>
    </row>
    <row r="298" spans="1:126" x14ac:dyDescent="0.35">
      <c r="A298" t="s">
        <v>559</v>
      </c>
      <c r="B298">
        <v>230103</v>
      </c>
      <c r="C298" s="1">
        <v>44929</v>
      </c>
      <c r="D298" t="s">
        <v>560</v>
      </c>
      <c r="E298" t="s">
        <v>184</v>
      </c>
      <c r="F298" t="s">
        <v>185</v>
      </c>
      <c r="G298" t="s">
        <v>463</v>
      </c>
      <c r="H298">
        <v>292626</v>
      </c>
      <c r="I298" s="17">
        <v>35453</v>
      </c>
      <c r="J298" s="17">
        <v>37015</v>
      </c>
      <c r="K298">
        <v>37968</v>
      </c>
      <c r="L298">
        <v>218574</v>
      </c>
      <c r="M298">
        <v>217101</v>
      </c>
      <c r="N298">
        <v>291995</v>
      </c>
      <c r="O298">
        <v>292084</v>
      </c>
      <c r="P298">
        <v>631</v>
      </c>
      <c r="Q298">
        <v>542</v>
      </c>
      <c r="R298">
        <v>292626</v>
      </c>
      <c r="S298">
        <v>35453</v>
      </c>
      <c r="T298">
        <v>37015</v>
      </c>
      <c r="U298">
        <v>37968</v>
      </c>
      <c r="V298">
        <v>218574</v>
      </c>
      <c r="W298">
        <v>217101</v>
      </c>
      <c r="X298">
        <v>291995</v>
      </c>
      <c r="Y298">
        <v>292084</v>
      </c>
      <c r="Z298">
        <v>631</v>
      </c>
      <c r="AA298">
        <v>542</v>
      </c>
      <c r="AB298">
        <v>0</v>
      </c>
      <c r="AC298">
        <v>0</v>
      </c>
      <c r="AD298">
        <v>0</v>
      </c>
      <c r="AE298">
        <v>0</v>
      </c>
      <c r="AF298">
        <v>0</v>
      </c>
      <c r="AG298">
        <v>0</v>
      </c>
      <c r="AH298">
        <v>0</v>
      </c>
      <c r="AI298">
        <v>0</v>
      </c>
      <c r="AJ298">
        <v>0</v>
      </c>
      <c r="AK298">
        <v>0</v>
      </c>
      <c r="AL298">
        <v>4148</v>
      </c>
      <c r="AM298">
        <v>886</v>
      </c>
      <c r="AN298">
        <v>4258</v>
      </c>
      <c r="AO298">
        <v>507</v>
      </c>
      <c r="AP298">
        <v>3121</v>
      </c>
      <c r="AQ298">
        <v>-611</v>
      </c>
      <c r="AR298">
        <v>4514</v>
      </c>
      <c r="AS298">
        <v>4154</v>
      </c>
      <c r="AT298">
        <v>-366</v>
      </c>
      <c r="AU298">
        <v>-6</v>
      </c>
      <c r="AV298">
        <v>100</v>
      </c>
      <c r="AW298">
        <v>12.1</v>
      </c>
      <c r="AX298">
        <v>12.6</v>
      </c>
      <c r="AY298">
        <v>13</v>
      </c>
      <c r="AZ298">
        <v>74.7</v>
      </c>
      <c r="BA298">
        <v>74.2</v>
      </c>
      <c r="BB298">
        <v>99.8</v>
      </c>
      <c r="BC298">
        <v>99.8</v>
      </c>
      <c r="BD298">
        <v>0.2</v>
      </c>
      <c r="BE298">
        <v>0.2</v>
      </c>
      <c r="BF298">
        <v>100</v>
      </c>
      <c r="BG298">
        <v>12.1</v>
      </c>
      <c r="BH298">
        <v>12.6</v>
      </c>
      <c r="BI298">
        <v>13</v>
      </c>
      <c r="BJ298">
        <v>74.7</v>
      </c>
      <c r="BK298">
        <v>74.2</v>
      </c>
      <c r="BL298">
        <v>99.8</v>
      </c>
      <c r="BM298">
        <v>99.8</v>
      </c>
      <c r="BN298">
        <v>0.2</v>
      </c>
      <c r="BO298">
        <v>0.2</v>
      </c>
      <c r="BP298">
        <v>0</v>
      </c>
      <c r="BQ298">
        <v>0</v>
      </c>
      <c r="BR298">
        <v>0</v>
      </c>
      <c r="BS298">
        <v>0</v>
      </c>
      <c r="BT298">
        <v>0</v>
      </c>
      <c r="BU298">
        <v>0</v>
      </c>
      <c r="BV298">
        <v>0</v>
      </c>
      <c r="BW298">
        <v>0</v>
      </c>
      <c r="BX298">
        <v>0</v>
      </c>
      <c r="BY298">
        <v>0</v>
      </c>
      <c r="BZ298">
        <v>104</v>
      </c>
      <c r="CA298">
        <v>25</v>
      </c>
      <c r="CB298">
        <v>28</v>
      </c>
      <c r="CC298">
        <v>28</v>
      </c>
      <c r="CD298">
        <v>45</v>
      </c>
      <c r="CE298">
        <v>45</v>
      </c>
      <c r="CF298">
        <v>81</v>
      </c>
      <c r="CG298">
        <v>90</v>
      </c>
      <c r="CH298">
        <v>104</v>
      </c>
      <c r="CI298">
        <v>25</v>
      </c>
      <c r="CJ298">
        <v>28</v>
      </c>
      <c r="CK298">
        <v>28</v>
      </c>
      <c r="CL298">
        <v>45</v>
      </c>
      <c r="CM298">
        <v>45</v>
      </c>
      <c r="CN298">
        <v>81</v>
      </c>
      <c r="CO298">
        <v>90</v>
      </c>
      <c r="CP298">
        <v>0</v>
      </c>
      <c r="CQ298">
        <v>0</v>
      </c>
      <c r="CR298">
        <v>0</v>
      </c>
      <c r="CS298">
        <v>0</v>
      </c>
      <c r="CT298">
        <v>0</v>
      </c>
      <c r="CU298">
        <v>0</v>
      </c>
      <c r="CV298">
        <v>0</v>
      </c>
      <c r="CW298">
        <v>0</v>
      </c>
      <c r="CX298">
        <v>36.1</v>
      </c>
      <c r="CY298">
        <v>50.5</v>
      </c>
      <c r="CZ298">
        <v>56.6</v>
      </c>
      <c r="DA298">
        <v>63.9</v>
      </c>
      <c r="DB298">
        <v>30.6</v>
      </c>
      <c r="DC298">
        <v>34.1</v>
      </c>
      <c r="DD298">
        <v>39.200000000000003</v>
      </c>
      <c r="DE298">
        <v>41.3</v>
      </c>
      <c r="DF298">
        <v>36.1</v>
      </c>
      <c r="DG298">
        <v>50.5</v>
      </c>
      <c r="DH298">
        <v>56.6</v>
      </c>
      <c r="DI298">
        <v>63.9</v>
      </c>
      <c r="DJ298">
        <v>30.6</v>
      </c>
      <c r="DK298">
        <v>34.1</v>
      </c>
      <c r="DL298">
        <v>39.200000000000003</v>
      </c>
      <c r="DM298">
        <v>41.3</v>
      </c>
      <c r="DN298">
        <v>0</v>
      </c>
      <c r="DO298">
        <v>0</v>
      </c>
      <c r="DP298">
        <v>0</v>
      </c>
      <c r="DQ298">
        <v>0</v>
      </c>
      <c r="DR298">
        <v>0</v>
      </c>
      <c r="DS298">
        <v>0</v>
      </c>
      <c r="DT298">
        <v>0</v>
      </c>
      <c r="DU298">
        <v>0</v>
      </c>
      <c r="DV298" t="s">
        <v>484</v>
      </c>
    </row>
    <row r="299" spans="1:126" x14ac:dyDescent="0.35">
      <c r="A299" t="s">
        <v>561</v>
      </c>
      <c r="B299">
        <v>230110</v>
      </c>
      <c r="C299" s="1">
        <v>44936</v>
      </c>
      <c r="D299" t="s">
        <v>562</v>
      </c>
      <c r="E299" t="s">
        <v>184</v>
      </c>
      <c r="F299" t="s">
        <v>185</v>
      </c>
      <c r="G299" t="s">
        <v>463</v>
      </c>
      <c r="H299">
        <v>21203</v>
      </c>
      <c r="I299" s="17">
        <v>2264</v>
      </c>
      <c r="J299" s="17">
        <v>0</v>
      </c>
      <c r="K299">
        <v>40</v>
      </c>
      <c r="L299">
        <v>18410</v>
      </c>
      <c r="M299">
        <v>21163</v>
      </c>
      <c r="N299">
        <v>20714</v>
      </c>
      <c r="O299">
        <v>21203</v>
      </c>
      <c r="P299">
        <v>489</v>
      </c>
      <c r="Q299">
        <v>0</v>
      </c>
      <c r="R299">
        <v>21203</v>
      </c>
      <c r="S299">
        <v>2264</v>
      </c>
      <c r="T299">
        <v>0</v>
      </c>
      <c r="U299">
        <v>40</v>
      </c>
      <c r="V299">
        <v>18410</v>
      </c>
      <c r="W299">
        <v>21163</v>
      </c>
      <c r="X299">
        <v>20714</v>
      </c>
      <c r="Y299">
        <v>21203</v>
      </c>
      <c r="Z299">
        <v>489</v>
      </c>
      <c r="AA299">
        <v>0</v>
      </c>
      <c r="AB299">
        <v>0</v>
      </c>
      <c r="AC299">
        <v>0</v>
      </c>
      <c r="AD299">
        <v>0</v>
      </c>
      <c r="AE299">
        <v>0</v>
      </c>
      <c r="AF299">
        <v>0</v>
      </c>
      <c r="AG299">
        <v>0</v>
      </c>
      <c r="AH299">
        <v>0</v>
      </c>
      <c r="AI299">
        <v>0</v>
      </c>
      <c r="AJ299">
        <v>0</v>
      </c>
      <c r="AK299">
        <v>0</v>
      </c>
      <c r="AL299">
        <v>-959</v>
      </c>
      <c r="AM299">
        <v>-143</v>
      </c>
      <c r="AN299">
        <v>-25</v>
      </c>
      <c r="AO299">
        <v>0</v>
      </c>
      <c r="AP299">
        <v>-854</v>
      </c>
      <c r="AQ299">
        <v>-934</v>
      </c>
      <c r="AR299">
        <v>-997</v>
      </c>
      <c r="AS299">
        <v>-959</v>
      </c>
      <c r="AT299">
        <v>38</v>
      </c>
      <c r="AU299">
        <v>0</v>
      </c>
      <c r="AV299">
        <v>100</v>
      </c>
      <c r="AW299">
        <v>10.7</v>
      </c>
      <c r="AX299">
        <v>0</v>
      </c>
      <c r="AY299">
        <v>0.2</v>
      </c>
      <c r="AZ299">
        <v>86.8</v>
      </c>
      <c r="BA299">
        <v>99.8</v>
      </c>
      <c r="BB299">
        <v>97.7</v>
      </c>
      <c r="BC299">
        <v>100</v>
      </c>
      <c r="BD299">
        <v>2.2999999999999998</v>
      </c>
      <c r="BE299">
        <v>0</v>
      </c>
      <c r="BF299">
        <v>100</v>
      </c>
      <c r="BG299">
        <v>10.7</v>
      </c>
      <c r="BH299">
        <v>0</v>
      </c>
      <c r="BI299">
        <v>0.2</v>
      </c>
      <c r="BJ299">
        <v>86.8</v>
      </c>
      <c r="BK299">
        <v>99.8</v>
      </c>
      <c r="BL299">
        <v>97.7</v>
      </c>
      <c r="BM299">
        <v>100</v>
      </c>
      <c r="BN299">
        <v>2.2999999999999998</v>
      </c>
      <c r="BO299">
        <v>0</v>
      </c>
      <c r="BP299">
        <v>0</v>
      </c>
      <c r="BQ299">
        <v>0</v>
      </c>
      <c r="BR299">
        <v>0</v>
      </c>
      <c r="BS299">
        <v>0</v>
      </c>
      <c r="BT299">
        <v>0</v>
      </c>
      <c r="BU299">
        <v>0</v>
      </c>
      <c r="BV299">
        <v>0</v>
      </c>
      <c r="BW299">
        <v>0</v>
      </c>
      <c r="BX299">
        <v>0</v>
      </c>
      <c r="BY299">
        <v>0</v>
      </c>
      <c r="BZ299">
        <v>23</v>
      </c>
      <c r="CA299">
        <v>2</v>
      </c>
      <c r="CB299">
        <v>0</v>
      </c>
      <c r="CC299">
        <v>1</v>
      </c>
      <c r="CD299">
        <v>19</v>
      </c>
      <c r="CE299">
        <v>15</v>
      </c>
      <c r="CF299">
        <v>21</v>
      </c>
      <c r="CG299">
        <v>16</v>
      </c>
      <c r="CH299">
        <v>23</v>
      </c>
      <c r="CI299">
        <v>2</v>
      </c>
      <c r="CJ299">
        <v>0</v>
      </c>
      <c r="CK299">
        <v>1</v>
      </c>
      <c r="CL299">
        <v>19</v>
      </c>
      <c r="CM299">
        <v>15</v>
      </c>
      <c r="CN299">
        <v>21</v>
      </c>
      <c r="CO299">
        <v>16</v>
      </c>
      <c r="CP299">
        <v>0</v>
      </c>
      <c r="CQ299">
        <v>0</v>
      </c>
      <c r="CR299">
        <v>0</v>
      </c>
      <c r="CS299">
        <v>0</v>
      </c>
      <c r="CT299">
        <v>0</v>
      </c>
      <c r="CU299">
        <v>0</v>
      </c>
      <c r="CV299">
        <v>0</v>
      </c>
      <c r="CW299">
        <v>0</v>
      </c>
      <c r="CX299">
        <v>54.5</v>
      </c>
      <c r="CY299">
        <v>76.099999999999994</v>
      </c>
      <c r="CZ299">
        <v>80.2</v>
      </c>
      <c r="DA299">
        <v>92.8</v>
      </c>
      <c r="DB299">
        <v>53.2</v>
      </c>
      <c r="DC299">
        <v>66.400000000000006</v>
      </c>
      <c r="DD299">
        <v>71.7</v>
      </c>
      <c r="DE299">
        <v>78.3</v>
      </c>
      <c r="DF299">
        <v>54.5</v>
      </c>
      <c r="DG299">
        <v>76.099999999999994</v>
      </c>
      <c r="DH299">
        <v>80.2</v>
      </c>
      <c r="DI299">
        <v>92.8</v>
      </c>
      <c r="DJ299">
        <v>53.2</v>
      </c>
      <c r="DK299">
        <v>66.400000000000006</v>
      </c>
      <c r="DL299">
        <v>71.7</v>
      </c>
      <c r="DM299">
        <v>78.3</v>
      </c>
      <c r="DN299">
        <v>0</v>
      </c>
      <c r="DO299">
        <v>0</v>
      </c>
      <c r="DP299">
        <v>0</v>
      </c>
      <c r="DQ299">
        <v>0</v>
      </c>
      <c r="DR299">
        <v>0</v>
      </c>
      <c r="DS299">
        <v>0</v>
      </c>
      <c r="DT299">
        <v>0</v>
      </c>
      <c r="DU299">
        <v>0</v>
      </c>
      <c r="DV299" t="s">
        <v>484</v>
      </c>
    </row>
    <row r="300" spans="1:126" x14ac:dyDescent="0.35">
      <c r="A300" t="s">
        <v>561</v>
      </c>
      <c r="B300">
        <v>230103</v>
      </c>
      <c r="C300" s="1">
        <v>44929</v>
      </c>
      <c r="D300" t="s">
        <v>562</v>
      </c>
      <c r="E300" t="s">
        <v>184</v>
      </c>
      <c r="F300" t="s">
        <v>185</v>
      </c>
      <c r="G300" t="s">
        <v>463</v>
      </c>
      <c r="H300">
        <v>22162</v>
      </c>
      <c r="I300" s="17">
        <v>2407</v>
      </c>
      <c r="J300" s="17">
        <v>25</v>
      </c>
      <c r="K300">
        <v>40</v>
      </c>
      <c r="L300">
        <v>19264</v>
      </c>
      <c r="M300">
        <v>22097</v>
      </c>
      <c r="N300">
        <v>21711</v>
      </c>
      <c r="O300">
        <v>22162</v>
      </c>
      <c r="P300">
        <v>451</v>
      </c>
      <c r="Q300">
        <v>0</v>
      </c>
      <c r="R300">
        <v>22162</v>
      </c>
      <c r="S300">
        <v>2407</v>
      </c>
      <c r="T300">
        <v>25</v>
      </c>
      <c r="U300">
        <v>40</v>
      </c>
      <c r="V300">
        <v>19264</v>
      </c>
      <c r="W300">
        <v>22097</v>
      </c>
      <c r="X300">
        <v>21711</v>
      </c>
      <c r="Y300">
        <v>22162</v>
      </c>
      <c r="Z300">
        <v>451</v>
      </c>
      <c r="AA300">
        <v>0</v>
      </c>
      <c r="AB300">
        <v>0</v>
      </c>
      <c r="AC300">
        <v>0</v>
      </c>
      <c r="AD300">
        <v>0</v>
      </c>
      <c r="AE300">
        <v>0</v>
      </c>
      <c r="AF300">
        <v>0</v>
      </c>
      <c r="AG300">
        <v>0</v>
      </c>
      <c r="AH300">
        <v>0</v>
      </c>
      <c r="AI300">
        <v>0</v>
      </c>
      <c r="AJ300">
        <v>0</v>
      </c>
      <c r="AK300">
        <v>0</v>
      </c>
      <c r="AL300">
        <v>0</v>
      </c>
      <c r="AM300">
        <v>0</v>
      </c>
      <c r="AN300">
        <v>0</v>
      </c>
      <c r="AO300">
        <v>0</v>
      </c>
      <c r="AP300">
        <v>0</v>
      </c>
      <c r="AQ300">
        <v>0</v>
      </c>
      <c r="AR300">
        <v>0</v>
      </c>
      <c r="AS300">
        <v>0</v>
      </c>
      <c r="AT300">
        <v>0</v>
      </c>
      <c r="AU300">
        <v>0</v>
      </c>
      <c r="AV300">
        <v>100</v>
      </c>
      <c r="AW300">
        <v>10.9</v>
      </c>
      <c r="AX300">
        <v>0.1</v>
      </c>
      <c r="AY300">
        <v>0.2</v>
      </c>
      <c r="AZ300">
        <v>86.9</v>
      </c>
      <c r="BA300">
        <v>99.7</v>
      </c>
      <c r="BB300">
        <v>98</v>
      </c>
      <c r="BC300">
        <v>100</v>
      </c>
      <c r="BD300">
        <v>2</v>
      </c>
      <c r="BE300">
        <v>0</v>
      </c>
      <c r="BF300">
        <v>100</v>
      </c>
      <c r="BG300">
        <v>10.9</v>
      </c>
      <c r="BH300">
        <v>0.1</v>
      </c>
      <c r="BI300">
        <v>0.2</v>
      </c>
      <c r="BJ300">
        <v>86.9</v>
      </c>
      <c r="BK300">
        <v>99.7</v>
      </c>
      <c r="BL300">
        <v>98</v>
      </c>
      <c r="BM300">
        <v>100</v>
      </c>
      <c r="BN300">
        <v>2</v>
      </c>
      <c r="BO300">
        <v>0</v>
      </c>
      <c r="BP300">
        <v>0</v>
      </c>
      <c r="BQ300">
        <v>0</v>
      </c>
      <c r="BR300">
        <v>0</v>
      </c>
      <c r="BS300">
        <v>0</v>
      </c>
      <c r="BT300">
        <v>0</v>
      </c>
      <c r="BU300">
        <v>0</v>
      </c>
      <c r="BV300">
        <v>0</v>
      </c>
      <c r="BW300">
        <v>0</v>
      </c>
      <c r="BX300">
        <v>0</v>
      </c>
      <c r="BY300">
        <v>0</v>
      </c>
      <c r="BZ300">
        <v>25</v>
      </c>
      <c r="CA300">
        <v>2</v>
      </c>
      <c r="CB300">
        <v>1</v>
      </c>
      <c r="CC300">
        <v>1</v>
      </c>
      <c r="CD300">
        <v>20</v>
      </c>
      <c r="CE300">
        <v>16</v>
      </c>
      <c r="CF300">
        <v>22</v>
      </c>
      <c r="CG300">
        <v>18</v>
      </c>
      <c r="CH300">
        <v>25</v>
      </c>
      <c r="CI300">
        <v>2</v>
      </c>
      <c r="CJ300">
        <v>1</v>
      </c>
      <c r="CK300">
        <v>1</v>
      </c>
      <c r="CL300">
        <v>20</v>
      </c>
      <c r="CM300">
        <v>16</v>
      </c>
      <c r="CN300">
        <v>22</v>
      </c>
      <c r="CO300">
        <v>18</v>
      </c>
      <c r="CP300">
        <v>0</v>
      </c>
      <c r="CQ300">
        <v>0</v>
      </c>
      <c r="CR300">
        <v>0</v>
      </c>
      <c r="CS300">
        <v>0</v>
      </c>
      <c r="CT300">
        <v>0</v>
      </c>
      <c r="CU300">
        <v>0</v>
      </c>
      <c r="CV300">
        <v>0</v>
      </c>
      <c r="CW300">
        <v>0</v>
      </c>
      <c r="CX300">
        <v>54.6</v>
      </c>
      <c r="CY300">
        <v>75.099999999999994</v>
      </c>
      <c r="CZ300">
        <v>79.7</v>
      </c>
      <c r="DA300">
        <v>91.5</v>
      </c>
      <c r="DB300">
        <v>53.4</v>
      </c>
      <c r="DC300">
        <v>65.900000000000006</v>
      </c>
      <c r="DD300">
        <v>71.3</v>
      </c>
      <c r="DE300">
        <v>77.3</v>
      </c>
      <c r="DF300">
        <v>54.6</v>
      </c>
      <c r="DG300">
        <v>75.099999999999994</v>
      </c>
      <c r="DH300">
        <v>79.7</v>
      </c>
      <c r="DI300">
        <v>91.5</v>
      </c>
      <c r="DJ300">
        <v>53.4</v>
      </c>
      <c r="DK300">
        <v>65.900000000000006</v>
      </c>
      <c r="DL300">
        <v>71.3</v>
      </c>
      <c r="DM300">
        <v>77.3</v>
      </c>
      <c r="DN300">
        <v>0</v>
      </c>
      <c r="DO300">
        <v>0</v>
      </c>
      <c r="DP300">
        <v>0</v>
      </c>
      <c r="DQ300">
        <v>0</v>
      </c>
      <c r="DR300">
        <v>0</v>
      </c>
      <c r="DS300">
        <v>0</v>
      </c>
      <c r="DT300">
        <v>0</v>
      </c>
      <c r="DU300">
        <v>0</v>
      </c>
      <c r="DV300" t="s">
        <v>484</v>
      </c>
    </row>
    <row r="301" spans="1:126" x14ac:dyDescent="0.35">
      <c r="A301" t="s">
        <v>563</v>
      </c>
      <c r="B301">
        <v>230110</v>
      </c>
      <c r="C301" s="1">
        <v>44936</v>
      </c>
      <c r="D301" t="s">
        <v>564</v>
      </c>
      <c r="E301" t="s">
        <v>184</v>
      </c>
      <c r="F301" t="s">
        <v>185</v>
      </c>
      <c r="G301" t="s">
        <v>463</v>
      </c>
      <c r="H301">
        <v>21296</v>
      </c>
      <c r="I301" s="17">
        <v>1775</v>
      </c>
      <c r="J301" s="17">
        <v>0</v>
      </c>
      <c r="K301">
        <v>5</v>
      </c>
      <c r="L301">
        <v>18847</v>
      </c>
      <c r="M301">
        <v>21291</v>
      </c>
      <c r="N301">
        <v>20627</v>
      </c>
      <c r="O301">
        <v>21296</v>
      </c>
      <c r="P301">
        <v>669</v>
      </c>
      <c r="Q301">
        <v>0</v>
      </c>
      <c r="R301">
        <v>21296</v>
      </c>
      <c r="S301">
        <v>1775</v>
      </c>
      <c r="T301">
        <v>0</v>
      </c>
      <c r="U301">
        <v>5</v>
      </c>
      <c r="V301">
        <v>18847</v>
      </c>
      <c r="W301">
        <v>21291</v>
      </c>
      <c r="X301">
        <v>20627</v>
      </c>
      <c r="Y301">
        <v>21296</v>
      </c>
      <c r="Z301">
        <v>669</v>
      </c>
      <c r="AA301">
        <v>0</v>
      </c>
      <c r="AB301">
        <v>0</v>
      </c>
      <c r="AC301">
        <v>0</v>
      </c>
      <c r="AD301">
        <v>0</v>
      </c>
      <c r="AE301">
        <v>0</v>
      </c>
      <c r="AF301">
        <v>0</v>
      </c>
      <c r="AG301">
        <v>0</v>
      </c>
      <c r="AH301">
        <v>0</v>
      </c>
      <c r="AI301">
        <v>0</v>
      </c>
      <c r="AJ301">
        <v>0</v>
      </c>
      <c r="AK301">
        <v>0</v>
      </c>
      <c r="AL301">
        <v>-888</v>
      </c>
      <c r="AM301">
        <v>-64</v>
      </c>
      <c r="AN301">
        <v>0</v>
      </c>
      <c r="AO301">
        <v>0</v>
      </c>
      <c r="AP301">
        <v>-802</v>
      </c>
      <c r="AQ301">
        <v>-888</v>
      </c>
      <c r="AR301">
        <v>-866</v>
      </c>
      <c r="AS301">
        <v>-888</v>
      </c>
      <c r="AT301">
        <v>-22</v>
      </c>
      <c r="AU301">
        <v>0</v>
      </c>
      <c r="AV301">
        <v>100</v>
      </c>
      <c r="AW301">
        <v>8.3000000000000007</v>
      </c>
      <c r="AX301">
        <v>0</v>
      </c>
      <c r="AY301">
        <v>0</v>
      </c>
      <c r="AZ301">
        <v>88.5</v>
      </c>
      <c r="BA301">
        <v>100</v>
      </c>
      <c r="BB301">
        <v>96.9</v>
      </c>
      <c r="BC301">
        <v>100</v>
      </c>
      <c r="BD301">
        <v>3.1</v>
      </c>
      <c r="BE301">
        <v>0</v>
      </c>
      <c r="BF301">
        <v>100</v>
      </c>
      <c r="BG301">
        <v>8.3000000000000007</v>
      </c>
      <c r="BH301">
        <v>0</v>
      </c>
      <c r="BI301">
        <v>0</v>
      </c>
      <c r="BJ301">
        <v>88.5</v>
      </c>
      <c r="BK301">
        <v>100</v>
      </c>
      <c r="BL301">
        <v>96.9</v>
      </c>
      <c r="BM301">
        <v>100</v>
      </c>
      <c r="BN301">
        <v>3.1</v>
      </c>
      <c r="BO301">
        <v>0</v>
      </c>
      <c r="BP301">
        <v>0</v>
      </c>
      <c r="BQ301">
        <v>0</v>
      </c>
      <c r="BR301">
        <v>0</v>
      </c>
      <c r="BS301">
        <v>0</v>
      </c>
      <c r="BT301">
        <v>0</v>
      </c>
      <c r="BU301">
        <v>0</v>
      </c>
      <c r="BV301">
        <v>0</v>
      </c>
      <c r="BW301">
        <v>0</v>
      </c>
      <c r="BX301">
        <v>0</v>
      </c>
      <c r="BY301">
        <v>0</v>
      </c>
      <c r="BZ301">
        <v>23</v>
      </c>
      <c r="CA301">
        <v>2</v>
      </c>
      <c r="CB301">
        <v>0</v>
      </c>
      <c r="CC301">
        <v>1</v>
      </c>
      <c r="CD301">
        <v>19</v>
      </c>
      <c r="CE301">
        <v>15</v>
      </c>
      <c r="CF301">
        <v>21</v>
      </c>
      <c r="CG301">
        <v>16</v>
      </c>
      <c r="CH301">
        <v>23</v>
      </c>
      <c r="CI301">
        <v>2</v>
      </c>
      <c r="CJ301">
        <v>0</v>
      </c>
      <c r="CK301">
        <v>1</v>
      </c>
      <c r="CL301">
        <v>19</v>
      </c>
      <c r="CM301">
        <v>15</v>
      </c>
      <c r="CN301">
        <v>21</v>
      </c>
      <c r="CO301">
        <v>16</v>
      </c>
      <c r="CP301">
        <v>0</v>
      </c>
      <c r="CQ301">
        <v>0</v>
      </c>
      <c r="CR301">
        <v>0</v>
      </c>
      <c r="CS301">
        <v>0</v>
      </c>
      <c r="CT301">
        <v>0</v>
      </c>
      <c r="CU301">
        <v>0</v>
      </c>
      <c r="CV301">
        <v>0</v>
      </c>
      <c r="CW301">
        <v>0</v>
      </c>
      <c r="CX301">
        <v>52.2</v>
      </c>
      <c r="CY301">
        <v>81.900000000000006</v>
      </c>
      <c r="CZ301">
        <v>78.099999999999994</v>
      </c>
      <c r="DA301">
        <v>94.4</v>
      </c>
      <c r="DB301">
        <v>51.9</v>
      </c>
      <c r="DC301">
        <v>75.8</v>
      </c>
      <c r="DD301">
        <v>72.2</v>
      </c>
      <c r="DE301">
        <v>83.3</v>
      </c>
      <c r="DF301">
        <v>52.2</v>
      </c>
      <c r="DG301">
        <v>81.900000000000006</v>
      </c>
      <c r="DH301">
        <v>78.099999999999994</v>
      </c>
      <c r="DI301">
        <v>94.4</v>
      </c>
      <c r="DJ301">
        <v>51.9</v>
      </c>
      <c r="DK301">
        <v>75.8</v>
      </c>
      <c r="DL301">
        <v>72.2</v>
      </c>
      <c r="DM301">
        <v>83.3</v>
      </c>
      <c r="DN301">
        <v>0</v>
      </c>
      <c r="DO301">
        <v>0</v>
      </c>
      <c r="DP301">
        <v>0</v>
      </c>
      <c r="DQ301">
        <v>0</v>
      </c>
      <c r="DR301">
        <v>0</v>
      </c>
      <c r="DS301">
        <v>0</v>
      </c>
      <c r="DT301">
        <v>0</v>
      </c>
      <c r="DU301">
        <v>0</v>
      </c>
      <c r="DV301" t="s">
        <v>484</v>
      </c>
    </row>
    <row r="302" spans="1:126" x14ac:dyDescent="0.35">
      <c r="A302" t="s">
        <v>563</v>
      </c>
      <c r="B302">
        <v>230103</v>
      </c>
      <c r="C302" s="1">
        <v>44929</v>
      </c>
      <c r="D302" t="s">
        <v>564</v>
      </c>
      <c r="E302" t="s">
        <v>184</v>
      </c>
      <c r="F302" t="s">
        <v>185</v>
      </c>
      <c r="G302" t="s">
        <v>463</v>
      </c>
      <c r="H302">
        <v>22184</v>
      </c>
      <c r="I302" s="17">
        <v>1839</v>
      </c>
      <c r="J302" s="17">
        <v>0</v>
      </c>
      <c r="K302">
        <v>5</v>
      </c>
      <c r="L302">
        <v>19649</v>
      </c>
      <c r="M302">
        <v>22179</v>
      </c>
      <c r="N302">
        <v>21493</v>
      </c>
      <c r="O302">
        <v>22184</v>
      </c>
      <c r="P302">
        <v>691</v>
      </c>
      <c r="Q302">
        <v>0</v>
      </c>
      <c r="R302">
        <v>22184</v>
      </c>
      <c r="S302">
        <v>1839</v>
      </c>
      <c r="T302">
        <v>0</v>
      </c>
      <c r="U302">
        <v>5</v>
      </c>
      <c r="V302">
        <v>19649</v>
      </c>
      <c r="W302">
        <v>22179</v>
      </c>
      <c r="X302">
        <v>21493</v>
      </c>
      <c r="Y302">
        <v>22184</v>
      </c>
      <c r="Z302">
        <v>691</v>
      </c>
      <c r="AA302">
        <v>0</v>
      </c>
      <c r="AB302">
        <v>0</v>
      </c>
      <c r="AC302">
        <v>0</v>
      </c>
      <c r="AD302">
        <v>0</v>
      </c>
      <c r="AE302">
        <v>0</v>
      </c>
      <c r="AF302">
        <v>0</v>
      </c>
      <c r="AG302">
        <v>0</v>
      </c>
      <c r="AH302">
        <v>0</v>
      </c>
      <c r="AI302">
        <v>0</v>
      </c>
      <c r="AJ302">
        <v>0</v>
      </c>
      <c r="AK302">
        <v>0</v>
      </c>
      <c r="AL302">
        <v>0</v>
      </c>
      <c r="AM302">
        <v>0</v>
      </c>
      <c r="AN302">
        <v>0</v>
      </c>
      <c r="AO302">
        <v>0</v>
      </c>
      <c r="AP302">
        <v>0</v>
      </c>
      <c r="AQ302">
        <v>0</v>
      </c>
      <c r="AR302">
        <v>0</v>
      </c>
      <c r="AS302">
        <v>0</v>
      </c>
      <c r="AT302">
        <v>0</v>
      </c>
      <c r="AU302">
        <v>0</v>
      </c>
      <c r="AV302">
        <v>100</v>
      </c>
      <c r="AW302">
        <v>8.3000000000000007</v>
      </c>
      <c r="AX302">
        <v>0</v>
      </c>
      <c r="AY302">
        <v>0</v>
      </c>
      <c r="AZ302">
        <v>88.6</v>
      </c>
      <c r="BA302">
        <v>100</v>
      </c>
      <c r="BB302">
        <v>96.9</v>
      </c>
      <c r="BC302">
        <v>100</v>
      </c>
      <c r="BD302">
        <v>3.1</v>
      </c>
      <c r="BE302">
        <v>0</v>
      </c>
      <c r="BF302">
        <v>100</v>
      </c>
      <c r="BG302">
        <v>8.3000000000000007</v>
      </c>
      <c r="BH302">
        <v>0</v>
      </c>
      <c r="BI302">
        <v>0</v>
      </c>
      <c r="BJ302">
        <v>88.6</v>
      </c>
      <c r="BK302">
        <v>100</v>
      </c>
      <c r="BL302">
        <v>96.9</v>
      </c>
      <c r="BM302">
        <v>100</v>
      </c>
      <c r="BN302">
        <v>3.1</v>
      </c>
      <c r="BO302">
        <v>0</v>
      </c>
      <c r="BP302">
        <v>0</v>
      </c>
      <c r="BQ302">
        <v>0</v>
      </c>
      <c r="BR302">
        <v>0</v>
      </c>
      <c r="BS302">
        <v>0</v>
      </c>
      <c r="BT302">
        <v>0</v>
      </c>
      <c r="BU302">
        <v>0</v>
      </c>
      <c r="BV302">
        <v>0</v>
      </c>
      <c r="BW302">
        <v>0</v>
      </c>
      <c r="BX302">
        <v>0</v>
      </c>
      <c r="BY302">
        <v>0</v>
      </c>
      <c r="BZ302">
        <v>23</v>
      </c>
      <c r="CA302">
        <v>2</v>
      </c>
      <c r="CB302">
        <v>0</v>
      </c>
      <c r="CC302">
        <v>1</v>
      </c>
      <c r="CD302">
        <v>19</v>
      </c>
      <c r="CE302">
        <v>16</v>
      </c>
      <c r="CF302">
        <v>21</v>
      </c>
      <c r="CG302">
        <v>17</v>
      </c>
      <c r="CH302">
        <v>23</v>
      </c>
      <c r="CI302">
        <v>2</v>
      </c>
      <c r="CJ302">
        <v>0</v>
      </c>
      <c r="CK302">
        <v>1</v>
      </c>
      <c r="CL302">
        <v>19</v>
      </c>
      <c r="CM302">
        <v>16</v>
      </c>
      <c r="CN302">
        <v>21</v>
      </c>
      <c r="CO302">
        <v>17</v>
      </c>
      <c r="CP302">
        <v>0</v>
      </c>
      <c r="CQ302">
        <v>0</v>
      </c>
      <c r="CR302">
        <v>0</v>
      </c>
      <c r="CS302">
        <v>0</v>
      </c>
      <c r="CT302">
        <v>0</v>
      </c>
      <c r="CU302">
        <v>0</v>
      </c>
      <c r="CV302">
        <v>0</v>
      </c>
      <c r="CW302">
        <v>0</v>
      </c>
      <c r="CX302">
        <v>52.4</v>
      </c>
      <c r="CY302">
        <v>81.2</v>
      </c>
      <c r="CZ302">
        <v>78.400000000000006</v>
      </c>
      <c r="DA302">
        <v>93.8</v>
      </c>
      <c r="DB302">
        <v>52.1</v>
      </c>
      <c r="DC302">
        <v>75.5</v>
      </c>
      <c r="DD302">
        <v>72.8</v>
      </c>
      <c r="DE302">
        <v>83.3</v>
      </c>
      <c r="DF302">
        <v>52.4</v>
      </c>
      <c r="DG302">
        <v>81.2</v>
      </c>
      <c r="DH302">
        <v>78.400000000000006</v>
      </c>
      <c r="DI302">
        <v>93.8</v>
      </c>
      <c r="DJ302">
        <v>52.1</v>
      </c>
      <c r="DK302">
        <v>75.5</v>
      </c>
      <c r="DL302">
        <v>72.8</v>
      </c>
      <c r="DM302">
        <v>83.3</v>
      </c>
      <c r="DN302">
        <v>0</v>
      </c>
      <c r="DO302">
        <v>0</v>
      </c>
      <c r="DP302">
        <v>0</v>
      </c>
      <c r="DQ302">
        <v>0</v>
      </c>
      <c r="DR302">
        <v>0</v>
      </c>
      <c r="DS302">
        <v>0</v>
      </c>
      <c r="DT302">
        <v>0</v>
      </c>
      <c r="DU302">
        <v>0</v>
      </c>
      <c r="DV302" t="s">
        <v>484</v>
      </c>
    </row>
    <row r="303" spans="1:126" x14ac:dyDescent="0.35">
      <c r="A303" t="s">
        <v>565</v>
      </c>
      <c r="B303">
        <v>230103</v>
      </c>
      <c r="C303" s="1">
        <v>44929</v>
      </c>
      <c r="D303" t="s">
        <v>566</v>
      </c>
      <c r="E303" t="s">
        <v>184</v>
      </c>
      <c r="F303" t="s">
        <v>185</v>
      </c>
      <c r="G303" t="s">
        <v>463</v>
      </c>
      <c r="H303">
        <v>9170</v>
      </c>
      <c r="I303" s="17">
        <v>1410</v>
      </c>
      <c r="J303" s="17">
        <v>1295</v>
      </c>
      <c r="K303">
        <v>420</v>
      </c>
      <c r="L303">
        <v>6815</v>
      </c>
      <c r="M303">
        <v>7240</v>
      </c>
      <c r="N303">
        <v>8645</v>
      </c>
      <c r="O303">
        <v>8955</v>
      </c>
      <c r="P303">
        <v>525</v>
      </c>
      <c r="Q303">
        <v>215</v>
      </c>
      <c r="R303">
        <v>9170</v>
      </c>
      <c r="S303">
        <v>1410</v>
      </c>
      <c r="T303">
        <v>1295</v>
      </c>
      <c r="U303">
        <v>420</v>
      </c>
      <c r="V303">
        <v>6815</v>
      </c>
      <c r="W303">
        <v>7240</v>
      </c>
      <c r="X303">
        <v>8645</v>
      </c>
      <c r="Y303">
        <v>8955</v>
      </c>
      <c r="Z303">
        <v>525</v>
      </c>
      <c r="AA303">
        <v>215</v>
      </c>
      <c r="AB303">
        <v>0</v>
      </c>
      <c r="AC303">
        <v>0</v>
      </c>
      <c r="AD303">
        <v>0</v>
      </c>
      <c r="AE303">
        <v>0</v>
      </c>
      <c r="AF303">
        <v>0</v>
      </c>
      <c r="AG303">
        <v>0</v>
      </c>
      <c r="AH303">
        <v>0</v>
      </c>
      <c r="AI303">
        <v>0</v>
      </c>
      <c r="AJ303">
        <v>0</v>
      </c>
      <c r="AK303">
        <v>0</v>
      </c>
      <c r="AL303">
        <v>-5785</v>
      </c>
      <c r="AM303">
        <v>-2110</v>
      </c>
      <c r="AN303">
        <v>-385</v>
      </c>
      <c r="AO303">
        <v>-395</v>
      </c>
      <c r="AP303">
        <v>-3145</v>
      </c>
      <c r="AQ303">
        <v>-5010</v>
      </c>
      <c r="AR303">
        <v>-5650</v>
      </c>
      <c r="AS303">
        <v>-5790</v>
      </c>
      <c r="AT303">
        <v>-135</v>
      </c>
      <c r="AU303">
        <v>5</v>
      </c>
      <c r="AV303">
        <v>100</v>
      </c>
      <c r="AW303">
        <v>15.4</v>
      </c>
      <c r="AX303">
        <v>14.1</v>
      </c>
      <c r="AY303">
        <v>4.5999999999999996</v>
      </c>
      <c r="AZ303">
        <v>74.3</v>
      </c>
      <c r="BA303">
        <v>79</v>
      </c>
      <c r="BB303">
        <v>94.3</v>
      </c>
      <c r="BC303">
        <v>97.7</v>
      </c>
      <c r="BD303">
        <v>5.7</v>
      </c>
      <c r="BE303">
        <v>2.2999999999999998</v>
      </c>
      <c r="BF303">
        <v>100</v>
      </c>
      <c r="BG303">
        <v>15.4</v>
      </c>
      <c r="BH303">
        <v>14.1</v>
      </c>
      <c r="BI303">
        <v>4.5999999999999996</v>
      </c>
      <c r="BJ303">
        <v>74.3</v>
      </c>
      <c r="BK303">
        <v>79</v>
      </c>
      <c r="BL303">
        <v>94.3</v>
      </c>
      <c r="BM303">
        <v>97.7</v>
      </c>
      <c r="BN303">
        <v>5.7</v>
      </c>
      <c r="BO303">
        <v>2.2999999999999998</v>
      </c>
      <c r="BP303">
        <v>0</v>
      </c>
      <c r="BQ303">
        <v>0</v>
      </c>
      <c r="BR303">
        <v>0</v>
      </c>
      <c r="BS303">
        <v>0</v>
      </c>
      <c r="BT303">
        <v>0</v>
      </c>
      <c r="BU303">
        <v>0</v>
      </c>
      <c r="BV303">
        <v>0</v>
      </c>
      <c r="BW303">
        <v>0</v>
      </c>
      <c r="BX303">
        <v>0</v>
      </c>
      <c r="BY303">
        <v>0</v>
      </c>
      <c r="BZ303">
        <v>49</v>
      </c>
      <c r="CA303">
        <v>8</v>
      </c>
      <c r="CB303">
        <v>6</v>
      </c>
      <c r="CC303">
        <v>6</v>
      </c>
      <c r="CD303">
        <v>24</v>
      </c>
      <c r="CE303">
        <v>25</v>
      </c>
      <c r="CF303">
        <v>34</v>
      </c>
      <c r="CG303">
        <v>36</v>
      </c>
      <c r="CH303">
        <v>49</v>
      </c>
      <c r="CI303">
        <v>8</v>
      </c>
      <c r="CJ303">
        <v>6</v>
      </c>
      <c r="CK303">
        <v>6</v>
      </c>
      <c r="CL303">
        <v>24</v>
      </c>
      <c r="CM303">
        <v>25</v>
      </c>
      <c r="CN303">
        <v>34</v>
      </c>
      <c r="CO303">
        <v>36</v>
      </c>
      <c r="CP303">
        <v>0</v>
      </c>
      <c r="CQ303">
        <v>0</v>
      </c>
      <c r="CR303">
        <v>0</v>
      </c>
      <c r="CS303">
        <v>0</v>
      </c>
      <c r="CT303">
        <v>0</v>
      </c>
      <c r="CU303">
        <v>0</v>
      </c>
      <c r="CV303">
        <v>0</v>
      </c>
      <c r="CW303">
        <v>0</v>
      </c>
      <c r="CX303">
        <v>43.9</v>
      </c>
      <c r="CY303">
        <v>44.1</v>
      </c>
      <c r="CZ303">
        <v>60.5</v>
      </c>
      <c r="DA303">
        <v>68.3</v>
      </c>
      <c r="DB303">
        <v>42.3</v>
      </c>
      <c r="DC303">
        <v>41.3</v>
      </c>
      <c r="DD303">
        <v>58</v>
      </c>
      <c r="DE303">
        <v>64</v>
      </c>
      <c r="DF303">
        <v>43.9</v>
      </c>
      <c r="DG303">
        <v>44.1</v>
      </c>
      <c r="DH303">
        <v>60.5</v>
      </c>
      <c r="DI303">
        <v>68.3</v>
      </c>
      <c r="DJ303">
        <v>42.3</v>
      </c>
      <c r="DK303">
        <v>41.3</v>
      </c>
      <c r="DL303">
        <v>58</v>
      </c>
      <c r="DM303">
        <v>64</v>
      </c>
      <c r="DN303">
        <v>0</v>
      </c>
      <c r="DO303">
        <v>0</v>
      </c>
      <c r="DP303">
        <v>0</v>
      </c>
      <c r="DQ303">
        <v>0</v>
      </c>
      <c r="DR303">
        <v>0</v>
      </c>
      <c r="DS303">
        <v>0</v>
      </c>
      <c r="DT303">
        <v>0</v>
      </c>
      <c r="DU303">
        <v>0</v>
      </c>
      <c r="DV303" t="s">
        <v>567</v>
      </c>
    </row>
    <row r="304" spans="1:126" x14ac:dyDescent="0.35">
      <c r="A304" t="s">
        <v>568</v>
      </c>
      <c r="B304">
        <v>230110</v>
      </c>
      <c r="C304" s="1">
        <v>44936</v>
      </c>
      <c r="D304" t="s">
        <v>569</v>
      </c>
      <c r="E304" t="s">
        <v>184</v>
      </c>
      <c r="F304" t="s">
        <v>185</v>
      </c>
      <c r="G304" t="s">
        <v>463</v>
      </c>
      <c r="H304">
        <v>58125</v>
      </c>
      <c r="I304" s="17">
        <v>1499</v>
      </c>
      <c r="J304" s="17">
        <v>8057</v>
      </c>
      <c r="K304">
        <v>3180</v>
      </c>
      <c r="L304">
        <v>53028</v>
      </c>
      <c r="M304">
        <v>46771</v>
      </c>
      <c r="N304">
        <v>57707</v>
      </c>
      <c r="O304">
        <v>58008</v>
      </c>
      <c r="P304">
        <v>418</v>
      </c>
      <c r="Q304">
        <v>117</v>
      </c>
      <c r="R304">
        <v>58125</v>
      </c>
      <c r="S304">
        <v>1499</v>
      </c>
      <c r="T304">
        <v>8057</v>
      </c>
      <c r="U304">
        <v>3180</v>
      </c>
      <c r="V304">
        <v>53028</v>
      </c>
      <c r="W304">
        <v>46771</v>
      </c>
      <c r="X304">
        <v>57707</v>
      </c>
      <c r="Y304">
        <v>58008</v>
      </c>
      <c r="Z304">
        <v>418</v>
      </c>
      <c r="AA304">
        <v>117</v>
      </c>
      <c r="AB304">
        <v>0</v>
      </c>
      <c r="AC304">
        <v>0</v>
      </c>
      <c r="AD304">
        <v>0</v>
      </c>
      <c r="AE304">
        <v>0</v>
      </c>
      <c r="AF304">
        <v>0</v>
      </c>
      <c r="AG304">
        <v>0</v>
      </c>
      <c r="AH304">
        <v>0</v>
      </c>
      <c r="AI304">
        <v>0</v>
      </c>
      <c r="AJ304">
        <v>0</v>
      </c>
      <c r="AK304">
        <v>0</v>
      </c>
      <c r="AL304">
        <v>-2275</v>
      </c>
      <c r="AM304">
        <v>0</v>
      </c>
      <c r="AN304">
        <v>170</v>
      </c>
      <c r="AO304">
        <v>-470</v>
      </c>
      <c r="AP304">
        <v>-1738</v>
      </c>
      <c r="AQ304">
        <v>-1985</v>
      </c>
      <c r="AR304">
        <v>-2208</v>
      </c>
      <c r="AS304">
        <v>-2285</v>
      </c>
      <c r="AT304">
        <v>-67</v>
      </c>
      <c r="AU304">
        <v>10</v>
      </c>
      <c r="AV304">
        <v>100</v>
      </c>
      <c r="AW304">
        <v>2.6</v>
      </c>
      <c r="AX304">
        <v>13.9</v>
      </c>
      <c r="AY304">
        <v>5.5</v>
      </c>
      <c r="AZ304">
        <v>91.2</v>
      </c>
      <c r="BA304">
        <v>80.5</v>
      </c>
      <c r="BB304">
        <v>99.3</v>
      </c>
      <c r="BC304">
        <v>99.8</v>
      </c>
      <c r="BD304">
        <v>0.7</v>
      </c>
      <c r="BE304">
        <v>0.2</v>
      </c>
      <c r="BF304">
        <v>100</v>
      </c>
      <c r="BG304">
        <v>2.6</v>
      </c>
      <c r="BH304">
        <v>13.9</v>
      </c>
      <c r="BI304">
        <v>5.5</v>
      </c>
      <c r="BJ304">
        <v>91.2</v>
      </c>
      <c r="BK304">
        <v>80.5</v>
      </c>
      <c r="BL304">
        <v>99.3</v>
      </c>
      <c r="BM304">
        <v>99.8</v>
      </c>
      <c r="BN304">
        <v>0.7</v>
      </c>
      <c r="BO304">
        <v>0.2</v>
      </c>
      <c r="BP304">
        <v>0</v>
      </c>
      <c r="BQ304">
        <v>0</v>
      </c>
      <c r="BR304">
        <v>0</v>
      </c>
      <c r="BS304">
        <v>0</v>
      </c>
      <c r="BT304">
        <v>0</v>
      </c>
      <c r="BU304">
        <v>0</v>
      </c>
      <c r="BV304">
        <v>0</v>
      </c>
      <c r="BW304">
        <v>0</v>
      </c>
      <c r="BX304">
        <v>0</v>
      </c>
      <c r="BY304">
        <v>0</v>
      </c>
      <c r="BZ304">
        <v>39</v>
      </c>
      <c r="CA304">
        <v>3</v>
      </c>
      <c r="CB304">
        <v>4</v>
      </c>
      <c r="CC304">
        <v>3</v>
      </c>
      <c r="CD304">
        <v>29</v>
      </c>
      <c r="CE304">
        <v>20</v>
      </c>
      <c r="CF304">
        <v>34</v>
      </c>
      <c r="CG304">
        <v>25</v>
      </c>
      <c r="CH304">
        <v>39</v>
      </c>
      <c r="CI304">
        <v>3</v>
      </c>
      <c r="CJ304">
        <v>4</v>
      </c>
      <c r="CK304">
        <v>3</v>
      </c>
      <c r="CL304">
        <v>29</v>
      </c>
      <c r="CM304">
        <v>20</v>
      </c>
      <c r="CN304">
        <v>34</v>
      </c>
      <c r="CO304">
        <v>25</v>
      </c>
      <c r="CP304">
        <v>0</v>
      </c>
      <c r="CQ304">
        <v>0</v>
      </c>
      <c r="CR304">
        <v>0</v>
      </c>
      <c r="CS304">
        <v>0</v>
      </c>
      <c r="CT304">
        <v>0</v>
      </c>
      <c r="CU304">
        <v>0</v>
      </c>
      <c r="CV304">
        <v>0</v>
      </c>
      <c r="CW304">
        <v>0</v>
      </c>
      <c r="CX304">
        <v>48.3</v>
      </c>
      <c r="CY304">
        <v>47</v>
      </c>
      <c r="CZ304">
        <v>69</v>
      </c>
      <c r="DA304">
        <v>75.7</v>
      </c>
      <c r="DB304">
        <v>43.1</v>
      </c>
      <c r="DC304">
        <v>38.9</v>
      </c>
      <c r="DD304">
        <v>60.2</v>
      </c>
      <c r="DE304">
        <v>59.9</v>
      </c>
      <c r="DF304">
        <v>48.3</v>
      </c>
      <c r="DG304">
        <v>47</v>
      </c>
      <c r="DH304">
        <v>69</v>
      </c>
      <c r="DI304">
        <v>75.7</v>
      </c>
      <c r="DJ304">
        <v>43.1</v>
      </c>
      <c r="DK304">
        <v>38.9</v>
      </c>
      <c r="DL304">
        <v>60.2</v>
      </c>
      <c r="DM304">
        <v>59.9</v>
      </c>
      <c r="DN304">
        <v>0</v>
      </c>
      <c r="DO304">
        <v>0</v>
      </c>
      <c r="DP304">
        <v>0</v>
      </c>
      <c r="DQ304">
        <v>0</v>
      </c>
      <c r="DR304">
        <v>0</v>
      </c>
      <c r="DS304">
        <v>0</v>
      </c>
      <c r="DT304">
        <v>0</v>
      </c>
      <c r="DU304">
        <v>0</v>
      </c>
      <c r="DV304" t="s">
        <v>570</v>
      </c>
    </row>
    <row r="305" spans="1:126" x14ac:dyDescent="0.35">
      <c r="A305" t="s">
        <v>568</v>
      </c>
      <c r="B305">
        <v>230103</v>
      </c>
      <c r="C305" s="1">
        <v>44929</v>
      </c>
      <c r="D305" t="s">
        <v>569</v>
      </c>
      <c r="E305" t="s">
        <v>184</v>
      </c>
      <c r="F305" t="s">
        <v>185</v>
      </c>
      <c r="G305" t="s">
        <v>463</v>
      </c>
      <c r="H305">
        <v>60400</v>
      </c>
      <c r="I305" s="17">
        <v>1499</v>
      </c>
      <c r="J305" s="17">
        <v>7887</v>
      </c>
      <c r="K305">
        <v>3650</v>
      </c>
      <c r="L305">
        <v>54766</v>
      </c>
      <c r="M305">
        <v>48756</v>
      </c>
      <c r="N305">
        <v>59915</v>
      </c>
      <c r="O305">
        <v>60293</v>
      </c>
      <c r="P305">
        <v>485</v>
      </c>
      <c r="Q305">
        <v>107</v>
      </c>
      <c r="R305">
        <v>60400</v>
      </c>
      <c r="S305">
        <v>1499</v>
      </c>
      <c r="T305">
        <v>7887</v>
      </c>
      <c r="U305">
        <v>3650</v>
      </c>
      <c r="V305">
        <v>54766</v>
      </c>
      <c r="W305">
        <v>48756</v>
      </c>
      <c r="X305">
        <v>59915</v>
      </c>
      <c r="Y305">
        <v>60293</v>
      </c>
      <c r="Z305">
        <v>485</v>
      </c>
      <c r="AA305">
        <v>107</v>
      </c>
      <c r="AB305">
        <v>0</v>
      </c>
      <c r="AC305">
        <v>0</v>
      </c>
      <c r="AD305">
        <v>0</v>
      </c>
      <c r="AE305">
        <v>0</v>
      </c>
      <c r="AF305">
        <v>0</v>
      </c>
      <c r="AG305">
        <v>0</v>
      </c>
      <c r="AH305">
        <v>0</v>
      </c>
      <c r="AI305">
        <v>0</v>
      </c>
      <c r="AJ305">
        <v>0</v>
      </c>
      <c r="AK305">
        <v>0</v>
      </c>
      <c r="AL305">
        <v>62</v>
      </c>
      <c r="AM305">
        <v>0</v>
      </c>
      <c r="AN305">
        <v>0</v>
      </c>
      <c r="AO305">
        <v>0</v>
      </c>
      <c r="AP305">
        <v>58</v>
      </c>
      <c r="AQ305">
        <v>61</v>
      </c>
      <c r="AR305">
        <v>58</v>
      </c>
      <c r="AS305">
        <v>61</v>
      </c>
      <c r="AT305">
        <v>4</v>
      </c>
      <c r="AU305">
        <v>1</v>
      </c>
      <c r="AV305">
        <v>100</v>
      </c>
      <c r="AW305">
        <v>2.5</v>
      </c>
      <c r="AX305">
        <v>13.1</v>
      </c>
      <c r="AY305">
        <v>6</v>
      </c>
      <c r="AZ305">
        <v>90.7</v>
      </c>
      <c r="BA305">
        <v>80.7</v>
      </c>
      <c r="BB305">
        <v>99.2</v>
      </c>
      <c r="BC305">
        <v>99.8</v>
      </c>
      <c r="BD305">
        <v>0.8</v>
      </c>
      <c r="BE305">
        <v>0.2</v>
      </c>
      <c r="BF305">
        <v>100</v>
      </c>
      <c r="BG305">
        <v>2.5</v>
      </c>
      <c r="BH305">
        <v>13.1</v>
      </c>
      <c r="BI305">
        <v>6</v>
      </c>
      <c r="BJ305">
        <v>90.7</v>
      </c>
      <c r="BK305">
        <v>80.7</v>
      </c>
      <c r="BL305">
        <v>99.2</v>
      </c>
      <c r="BM305">
        <v>99.8</v>
      </c>
      <c r="BN305">
        <v>0.8</v>
      </c>
      <c r="BO305">
        <v>0.2</v>
      </c>
      <c r="BP305">
        <v>0</v>
      </c>
      <c r="BQ305">
        <v>0</v>
      </c>
      <c r="BR305">
        <v>0</v>
      </c>
      <c r="BS305">
        <v>0</v>
      </c>
      <c r="BT305">
        <v>0</v>
      </c>
      <c r="BU305">
        <v>0</v>
      </c>
      <c r="BV305">
        <v>0</v>
      </c>
      <c r="BW305">
        <v>0</v>
      </c>
      <c r="BX305">
        <v>0</v>
      </c>
      <c r="BY305">
        <v>0</v>
      </c>
      <c r="BZ305">
        <v>38</v>
      </c>
      <c r="CA305">
        <v>3</v>
      </c>
      <c r="CB305">
        <v>3</v>
      </c>
      <c r="CC305">
        <v>4</v>
      </c>
      <c r="CD305">
        <v>30</v>
      </c>
      <c r="CE305">
        <v>22</v>
      </c>
      <c r="CF305">
        <v>36</v>
      </c>
      <c r="CG305">
        <v>26</v>
      </c>
      <c r="CH305">
        <v>38</v>
      </c>
      <c r="CI305">
        <v>3</v>
      </c>
      <c r="CJ305">
        <v>3</v>
      </c>
      <c r="CK305">
        <v>4</v>
      </c>
      <c r="CL305">
        <v>30</v>
      </c>
      <c r="CM305">
        <v>22</v>
      </c>
      <c r="CN305">
        <v>36</v>
      </c>
      <c r="CO305">
        <v>26</v>
      </c>
      <c r="CP305">
        <v>0</v>
      </c>
      <c r="CQ305">
        <v>0</v>
      </c>
      <c r="CR305">
        <v>0</v>
      </c>
      <c r="CS305">
        <v>0</v>
      </c>
      <c r="CT305">
        <v>0</v>
      </c>
      <c r="CU305">
        <v>0</v>
      </c>
      <c r="CV305">
        <v>0</v>
      </c>
      <c r="CW305">
        <v>0</v>
      </c>
      <c r="CX305">
        <v>48.6</v>
      </c>
      <c r="CY305">
        <v>49.9</v>
      </c>
      <c r="CZ305">
        <v>70.099999999999994</v>
      </c>
      <c r="DA305">
        <v>77.099999999999994</v>
      </c>
      <c r="DB305">
        <v>43.5</v>
      </c>
      <c r="DC305">
        <v>42.6</v>
      </c>
      <c r="DD305">
        <v>60.3</v>
      </c>
      <c r="DE305">
        <v>61.8</v>
      </c>
      <c r="DF305">
        <v>48.6</v>
      </c>
      <c r="DG305">
        <v>49.9</v>
      </c>
      <c r="DH305">
        <v>70.099999999999994</v>
      </c>
      <c r="DI305">
        <v>77.099999999999994</v>
      </c>
      <c r="DJ305">
        <v>43.5</v>
      </c>
      <c r="DK305">
        <v>42.6</v>
      </c>
      <c r="DL305">
        <v>60.3</v>
      </c>
      <c r="DM305">
        <v>61.8</v>
      </c>
      <c r="DN305">
        <v>0</v>
      </c>
      <c r="DO305">
        <v>0</v>
      </c>
      <c r="DP305">
        <v>0</v>
      </c>
      <c r="DQ305">
        <v>0</v>
      </c>
      <c r="DR305">
        <v>0</v>
      </c>
      <c r="DS305">
        <v>0</v>
      </c>
      <c r="DT305">
        <v>0</v>
      </c>
      <c r="DU305">
        <v>0</v>
      </c>
      <c r="DV305" t="s">
        <v>570</v>
      </c>
    </row>
    <row r="306" spans="1:126" x14ac:dyDescent="0.35">
      <c r="A306" t="s">
        <v>571</v>
      </c>
      <c r="B306">
        <v>230110</v>
      </c>
      <c r="C306" s="1">
        <v>44936</v>
      </c>
      <c r="D306" t="s">
        <v>572</v>
      </c>
      <c r="E306" t="s">
        <v>184</v>
      </c>
      <c r="F306" t="s">
        <v>185</v>
      </c>
      <c r="G306" t="s">
        <v>463</v>
      </c>
      <c r="H306">
        <v>52412</v>
      </c>
      <c r="I306" s="17">
        <v>8992</v>
      </c>
      <c r="J306" s="17">
        <v>8215</v>
      </c>
      <c r="K306">
        <v>0</v>
      </c>
      <c r="L306">
        <v>43306</v>
      </c>
      <c r="M306">
        <v>44017</v>
      </c>
      <c r="N306">
        <v>52298</v>
      </c>
      <c r="O306">
        <v>52232</v>
      </c>
      <c r="P306">
        <v>114</v>
      </c>
      <c r="Q306">
        <v>180</v>
      </c>
      <c r="R306">
        <v>52412</v>
      </c>
      <c r="S306">
        <v>8992</v>
      </c>
      <c r="T306">
        <v>8215</v>
      </c>
      <c r="U306">
        <v>0</v>
      </c>
      <c r="V306">
        <v>43306</v>
      </c>
      <c r="W306">
        <v>44017</v>
      </c>
      <c r="X306">
        <v>52298</v>
      </c>
      <c r="Y306">
        <v>52232</v>
      </c>
      <c r="Z306">
        <v>114</v>
      </c>
      <c r="AA306">
        <v>180</v>
      </c>
      <c r="AB306">
        <v>0</v>
      </c>
      <c r="AC306">
        <v>0</v>
      </c>
      <c r="AD306">
        <v>0</v>
      </c>
      <c r="AE306">
        <v>0</v>
      </c>
      <c r="AF306">
        <v>0</v>
      </c>
      <c r="AG306">
        <v>0</v>
      </c>
      <c r="AH306">
        <v>0</v>
      </c>
      <c r="AI306">
        <v>0</v>
      </c>
      <c r="AJ306">
        <v>0</v>
      </c>
      <c r="AK306">
        <v>0</v>
      </c>
      <c r="AL306">
        <v>318</v>
      </c>
      <c r="AM306">
        <v>3292</v>
      </c>
      <c r="AN306">
        <v>-390</v>
      </c>
      <c r="AO306">
        <v>-100</v>
      </c>
      <c r="AP306">
        <v>-2772</v>
      </c>
      <c r="AQ306">
        <v>824</v>
      </c>
      <c r="AR306">
        <v>420</v>
      </c>
      <c r="AS306">
        <v>334</v>
      </c>
      <c r="AT306">
        <v>-102</v>
      </c>
      <c r="AU306">
        <v>-16</v>
      </c>
      <c r="AV306">
        <v>100</v>
      </c>
      <c r="AW306">
        <v>17.2</v>
      </c>
      <c r="AX306">
        <v>15.7</v>
      </c>
      <c r="AY306">
        <v>0</v>
      </c>
      <c r="AZ306">
        <v>82.6</v>
      </c>
      <c r="BA306">
        <v>84</v>
      </c>
      <c r="BB306">
        <v>99.8</v>
      </c>
      <c r="BC306">
        <v>99.7</v>
      </c>
      <c r="BD306">
        <v>0.2</v>
      </c>
      <c r="BE306">
        <v>0.3</v>
      </c>
      <c r="BF306">
        <v>100</v>
      </c>
      <c r="BG306">
        <v>17.2</v>
      </c>
      <c r="BH306">
        <v>15.7</v>
      </c>
      <c r="BI306">
        <v>0</v>
      </c>
      <c r="BJ306">
        <v>82.6</v>
      </c>
      <c r="BK306">
        <v>84</v>
      </c>
      <c r="BL306">
        <v>99.8</v>
      </c>
      <c r="BM306">
        <v>99.7</v>
      </c>
      <c r="BN306">
        <v>0.2</v>
      </c>
      <c r="BO306">
        <v>0.3</v>
      </c>
      <c r="BP306">
        <v>0</v>
      </c>
      <c r="BQ306">
        <v>0</v>
      </c>
      <c r="BR306">
        <v>0</v>
      </c>
      <c r="BS306">
        <v>0</v>
      </c>
      <c r="BT306">
        <v>0</v>
      </c>
      <c r="BU306">
        <v>0</v>
      </c>
      <c r="BV306">
        <v>0</v>
      </c>
      <c r="BW306">
        <v>0</v>
      </c>
      <c r="BX306">
        <v>0</v>
      </c>
      <c r="BY306">
        <v>0</v>
      </c>
      <c r="BZ306">
        <v>33</v>
      </c>
      <c r="CA306">
        <v>6</v>
      </c>
      <c r="CB306">
        <v>1</v>
      </c>
      <c r="CC306">
        <v>0</v>
      </c>
      <c r="CD306">
        <v>19</v>
      </c>
      <c r="CE306">
        <v>23</v>
      </c>
      <c r="CF306">
        <v>25</v>
      </c>
      <c r="CG306">
        <v>24</v>
      </c>
      <c r="CH306">
        <v>33</v>
      </c>
      <c r="CI306">
        <v>6</v>
      </c>
      <c r="CJ306">
        <v>1</v>
      </c>
      <c r="CK306">
        <v>0</v>
      </c>
      <c r="CL306">
        <v>19</v>
      </c>
      <c r="CM306">
        <v>23</v>
      </c>
      <c r="CN306">
        <v>25</v>
      </c>
      <c r="CO306">
        <v>24</v>
      </c>
      <c r="CP306">
        <v>0</v>
      </c>
      <c r="CQ306">
        <v>0</v>
      </c>
      <c r="CR306">
        <v>0</v>
      </c>
      <c r="CS306">
        <v>0</v>
      </c>
      <c r="CT306">
        <v>0</v>
      </c>
      <c r="CU306">
        <v>0</v>
      </c>
      <c r="CV306">
        <v>0</v>
      </c>
      <c r="CW306">
        <v>0</v>
      </c>
      <c r="CX306">
        <v>46.7</v>
      </c>
      <c r="CY306">
        <v>47</v>
      </c>
      <c r="CZ306">
        <v>74.7</v>
      </c>
      <c r="DA306">
        <v>75.3</v>
      </c>
      <c r="DB306">
        <v>39.6</v>
      </c>
      <c r="DC306">
        <v>45.7</v>
      </c>
      <c r="DD306">
        <v>55</v>
      </c>
      <c r="DE306">
        <v>61.5</v>
      </c>
      <c r="DF306">
        <v>46.7</v>
      </c>
      <c r="DG306">
        <v>47</v>
      </c>
      <c r="DH306">
        <v>74.7</v>
      </c>
      <c r="DI306">
        <v>75.3</v>
      </c>
      <c r="DJ306">
        <v>39.6</v>
      </c>
      <c r="DK306">
        <v>45.7</v>
      </c>
      <c r="DL306">
        <v>55</v>
      </c>
      <c r="DM306">
        <v>61.5</v>
      </c>
      <c r="DN306">
        <v>0</v>
      </c>
      <c r="DO306">
        <v>0</v>
      </c>
      <c r="DP306">
        <v>0</v>
      </c>
      <c r="DQ306">
        <v>0</v>
      </c>
      <c r="DR306">
        <v>0</v>
      </c>
      <c r="DS306">
        <v>0</v>
      </c>
      <c r="DT306">
        <v>0</v>
      </c>
      <c r="DU306">
        <v>0</v>
      </c>
      <c r="DV306" t="s">
        <v>570</v>
      </c>
    </row>
    <row r="307" spans="1:126" x14ac:dyDescent="0.35">
      <c r="A307" t="s">
        <v>571</v>
      </c>
      <c r="B307">
        <v>230103</v>
      </c>
      <c r="C307" s="1">
        <v>44929</v>
      </c>
      <c r="D307" t="s">
        <v>572</v>
      </c>
      <c r="E307" t="s">
        <v>184</v>
      </c>
      <c r="F307" t="s">
        <v>185</v>
      </c>
      <c r="G307" t="s">
        <v>463</v>
      </c>
      <c r="H307">
        <v>52094</v>
      </c>
      <c r="I307" s="17">
        <v>5700</v>
      </c>
      <c r="J307" s="17">
        <v>8605</v>
      </c>
      <c r="K307">
        <v>100</v>
      </c>
      <c r="L307">
        <v>46078</v>
      </c>
      <c r="M307">
        <v>43193</v>
      </c>
      <c r="N307">
        <v>51878</v>
      </c>
      <c r="O307">
        <v>51898</v>
      </c>
      <c r="P307">
        <v>216</v>
      </c>
      <c r="Q307">
        <v>196</v>
      </c>
      <c r="R307">
        <v>52094</v>
      </c>
      <c r="S307">
        <v>5700</v>
      </c>
      <c r="T307">
        <v>8605</v>
      </c>
      <c r="U307">
        <v>100</v>
      </c>
      <c r="V307">
        <v>46078</v>
      </c>
      <c r="W307">
        <v>43193</v>
      </c>
      <c r="X307">
        <v>51878</v>
      </c>
      <c r="Y307">
        <v>51898</v>
      </c>
      <c r="Z307">
        <v>216</v>
      </c>
      <c r="AA307">
        <v>196</v>
      </c>
      <c r="AB307">
        <v>0</v>
      </c>
      <c r="AC307">
        <v>0</v>
      </c>
      <c r="AD307">
        <v>0</v>
      </c>
      <c r="AE307">
        <v>0</v>
      </c>
      <c r="AF307">
        <v>0</v>
      </c>
      <c r="AG307">
        <v>0</v>
      </c>
      <c r="AH307">
        <v>0</v>
      </c>
      <c r="AI307">
        <v>0</v>
      </c>
      <c r="AJ307">
        <v>0</v>
      </c>
      <c r="AK307">
        <v>0</v>
      </c>
      <c r="AL307">
        <v>4</v>
      </c>
      <c r="AM307">
        <v>0</v>
      </c>
      <c r="AN307">
        <v>0</v>
      </c>
      <c r="AO307">
        <v>0</v>
      </c>
      <c r="AP307">
        <v>-6</v>
      </c>
      <c r="AQ307">
        <v>4</v>
      </c>
      <c r="AR307">
        <v>-6</v>
      </c>
      <c r="AS307">
        <v>4</v>
      </c>
      <c r="AT307">
        <v>10</v>
      </c>
      <c r="AU307">
        <v>0</v>
      </c>
      <c r="AV307">
        <v>100</v>
      </c>
      <c r="AW307">
        <v>10.9</v>
      </c>
      <c r="AX307">
        <v>16.5</v>
      </c>
      <c r="AY307">
        <v>0.2</v>
      </c>
      <c r="AZ307">
        <v>88.5</v>
      </c>
      <c r="BA307">
        <v>82.9</v>
      </c>
      <c r="BB307">
        <v>99.6</v>
      </c>
      <c r="BC307">
        <v>99.6</v>
      </c>
      <c r="BD307">
        <v>0.4</v>
      </c>
      <c r="BE307">
        <v>0.4</v>
      </c>
      <c r="BF307">
        <v>100</v>
      </c>
      <c r="BG307">
        <v>10.9</v>
      </c>
      <c r="BH307">
        <v>16.5</v>
      </c>
      <c r="BI307">
        <v>0.2</v>
      </c>
      <c r="BJ307">
        <v>88.5</v>
      </c>
      <c r="BK307">
        <v>82.9</v>
      </c>
      <c r="BL307">
        <v>99.6</v>
      </c>
      <c r="BM307">
        <v>99.6</v>
      </c>
      <c r="BN307">
        <v>0.4</v>
      </c>
      <c r="BO307">
        <v>0.4</v>
      </c>
      <c r="BP307">
        <v>0</v>
      </c>
      <c r="BQ307">
        <v>0</v>
      </c>
      <c r="BR307">
        <v>0</v>
      </c>
      <c r="BS307">
        <v>0</v>
      </c>
      <c r="BT307">
        <v>0</v>
      </c>
      <c r="BU307">
        <v>0</v>
      </c>
      <c r="BV307">
        <v>0</v>
      </c>
      <c r="BW307">
        <v>0</v>
      </c>
      <c r="BX307">
        <v>0</v>
      </c>
      <c r="BY307">
        <v>0</v>
      </c>
      <c r="BZ307">
        <v>32</v>
      </c>
      <c r="CA307">
        <v>3</v>
      </c>
      <c r="CB307">
        <v>3</v>
      </c>
      <c r="CC307">
        <v>1</v>
      </c>
      <c r="CD307">
        <v>19</v>
      </c>
      <c r="CE307">
        <v>23</v>
      </c>
      <c r="CF307">
        <v>22</v>
      </c>
      <c r="CG307">
        <v>27</v>
      </c>
      <c r="CH307">
        <v>32</v>
      </c>
      <c r="CI307">
        <v>3</v>
      </c>
      <c r="CJ307">
        <v>3</v>
      </c>
      <c r="CK307">
        <v>1</v>
      </c>
      <c r="CL307">
        <v>19</v>
      </c>
      <c r="CM307">
        <v>23</v>
      </c>
      <c r="CN307">
        <v>22</v>
      </c>
      <c r="CO307">
        <v>27</v>
      </c>
      <c r="CP307">
        <v>0</v>
      </c>
      <c r="CQ307">
        <v>0</v>
      </c>
      <c r="CR307">
        <v>0</v>
      </c>
      <c r="CS307">
        <v>0</v>
      </c>
      <c r="CT307">
        <v>0</v>
      </c>
      <c r="CU307">
        <v>0</v>
      </c>
      <c r="CV307">
        <v>0</v>
      </c>
      <c r="CW307">
        <v>0</v>
      </c>
      <c r="CX307">
        <v>54.7</v>
      </c>
      <c r="CY307">
        <v>51.4</v>
      </c>
      <c r="CZ307">
        <v>82.2</v>
      </c>
      <c r="DA307">
        <v>78</v>
      </c>
      <c r="DB307">
        <v>43.9</v>
      </c>
      <c r="DC307">
        <v>51.4</v>
      </c>
      <c r="DD307">
        <v>60.8</v>
      </c>
      <c r="DE307">
        <v>65.400000000000006</v>
      </c>
      <c r="DF307">
        <v>54.7</v>
      </c>
      <c r="DG307">
        <v>51.4</v>
      </c>
      <c r="DH307">
        <v>82.2</v>
      </c>
      <c r="DI307">
        <v>78</v>
      </c>
      <c r="DJ307">
        <v>43.9</v>
      </c>
      <c r="DK307">
        <v>51.4</v>
      </c>
      <c r="DL307">
        <v>60.8</v>
      </c>
      <c r="DM307">
        <v>65.400000000000006</v>
      </c>
      <c r="DN307">
        <v>0</v>
      </c>
      <c r="DO307">
        <v>0</v>
      </c>
      <c r="DP307">
        <v>0</v>
      </c>
      <c r="DQ307">
        <v>0</v>
      </c>
      <c r="DR307">
        <v>0</v>
      </c>
      <c r="DS307">
        <v>0</v>
      </c>
      <c r="DT307">
        <v>0</v>
      </c>
      <c r="DU307">
        <v>0</v>
      </c>
      <c r="DV307" t="s">
        <v>570</v>
      </c>
    </row>
    <row r="308" spans="1:126" x14ac:dyDescent="0.35">
      <c r="A308" t="s">
        <v>573</v>
      </c>
      <c r="B308">
        <v>230110</v>
      </c>
      <c r="C308" s="1">
        <v>44936</v>
      </c>
      <c r="D308" t="s">
        <v>574</v>
      </c>
      <c r="E308" t="s">
        <v>231</v>
      </c>
      <c r="F308" t="s">
        <v>185</v>
      </c>
      <c r="G308" t="s">
        <v>463</v>
      </c>
      <c r="H308">
        <v>85814</v>
      </c>
      <c r="I308" s="17">
        <v>1776</v>
      </c>
      <c r="J308" s="17">
        <v>432</v>
      </c>
      <c r="K308">
        <v>201</v>
      </c>
      <c r="L308">
        <v>77546</v>
      </c>
      <c r="M308">
        <v>78471</v>
      </c>
      <c r="N308">
        <v>79523</v>
      </c>
      <c r="O308">
        <v>79104</v>
      </c>
      <c r="P308">
        <v>6291</v>
      </c>
      <c r="Q308">
        <v>6710</v>
      </c>
      <c r="R308">
        <v>85814</v>
      </c>
      <c r="S308">
        <v>1776</v>
      </c>
      <c r="T308">
        <v>432</v>
      </c>
      <c r="U308">
        <v>201</v>
      </c>
      <c r="V308">
        <v>77546</v>
      </c>
      <c r="W308">
        <v>78471</v>
      </c>
      <c r="X308">
        <v>79523</v>
      </c>
      <c r="Y308">
        <v>79104</v>
      </c>
      <c r="Z308">
        <v>6291</v>
      </c>
      <c r="AA308">
        <v>6710</v>
      </c>
      <c r="AB308">
        <v>0</v>
      </c>
      <c r="AC308">
        <v>0</v>
      </c>
      <c r="AD308">
        <v>0</v>
      </c>
      <c r="AE308">
        <v>0</v>
      </c>
      <c r="AF308">
        <v>0</v>
      </c>
      <c r="AG308">
        <v>0</v>
      </c>
      <c r="AH308">
        <v>0</v>
      </c>
      <c r="AI308">
        <v>0</v>
      </c>
      <c r="AJ308">
        <v>0</v>
      </c>
      <c r="AK308">
        <v>0</v>
      </c>
      <c r="AL308">
        <v>-4511</v>
      </c>
      <c r="AM308">
        <v>-340</v>
      </c>
      <c r="AN308">
        <v>-100</v>
      </c>
      <c r="AO308">
        <v>0</v>
      </c>
      <c r="AP308">
        <v>-3953</v>
      </c>
      <c r="AQ308">
        <v>-4193</v>
      </c>
      <c r="AR308">
        <v>-4293</v>
      </c>
      <c r="AS308">
        <v>-4293</v>
      </c>
      <c r="AT308">
        <v>-218</v>
      </c>
      <c r="AU308">
        <v>-218</v>
      </c>
      <c r="AV308">
        <v>100</v>
      </c>
      <c r="AW308">
        <v>2.1</v>
      </c>
      <c r="AX308">
        <v>0.5</v>
      </c>
      <c r="AY308">
        <v>0.2</v>
      </c>
      <c r="AZ308">
        <v>90.4</v>
      </c>
      <c r="BA308">
        <v>91.4</v>
      </c>
      <c r="BB308">
        <v>92.7</v>
      </c>
      <c r="BC308">
        <v>92.2</v>
      </c>
      <c r="BD308">
        <v>7.3</v>
      </c>
      <c r="BE308">
        <v>7.8</v>
      </c>
      <c r="BF308">
        <v>100</v>
      </c>
      <c r="BG308">
        <v>2.1</v>
      </c>
      <c r="BH308">
        <v>0.5</v>
      </c>
      <c r="BI308">
        <v>0.2</v>
      </c>
      <c r="BJ308">
        <v>90.4</v>
      </c>
      <c r="BK308">
        <v>91.4</v>
      </c>
      <c r="BL308">
        <v>92.7</v>
      </c>
      <c r="BM308">
        <v>92.2</v>
      </c>
      <c r="BN308">
        <v>7.3</v>
      </c>
      <c r="BO308">
        <v>7.8</v>
      </c>
      <c r="BP308">
        <v>0</v>
      </c>
      <c r="BQ308">
        <v>0</v>
      </c>
      <c r="BR308">
        <v>0</v>
      </c>
      <c r="BS308">
        <v>0</v>
      </c>
      <c r="BT308">
        <v>0</v>
      </c>
      <c r="BU308">
        <v>0</v>
      </c>
      <c r="BV308">
        <v>0</v>
      </c>
      <c r="BW308">
        <v>0</v>
      </c>
      <c r="BX308">
        <v>0</v>
      </c>
      <c r="BY308">
        <v>0</v>
      </c>
      <c r="BZ308">
        <v>22</v>
      </c>
      <c r="CA308">
        <v>2</v>
      </c>
      <c r="CB308">
        <v>1</v>
      </c>
      <c r="CC308">
        <v>2</v>
      </c>
      <c r="CD308">
        <v>18</v>
      </c>
      <c r="CE308">
        <v>15</v>
      </c>
      <c r="CF308">
        <v>21</v>
      </c>
      <c r="CG308">
        <v>17</v>
      </c>
      <c r="CH308">
        <v>22</v>
      </c>
      <c r="CI308">
        <v>2</v>
      </c>
      <c r="CJ308">
        <v>1</v>
      </c>
      <c r="CK308">
        <v>2</v>
      </c>
      <c r="CL308">
        <v>18</v>
      </c>
      <c r="CM308">
        <v>15</v>
      </c>
      <c r="CN308">
        <v>21</v>
      </c>
      <c r="CO308">
        <v>17</v>
      </c>
      <c r="CP308">
        <v>0</v>
      </c>
      <c r="CQ308">
        <v>0</v>
      </c>
      <c r="CR308">
        <v>0</v>
      </c>
      <c r="CS308">
        <v>0</v>
      </c>
      <c r="CT308">
        <v>0</v>
      </c>
      <c r="CU308">
        <v>0</v>
      </c>
      <c r="CV308">
        <v>0</v>
      </c>
      <c r="CW308">
        <v>0</v>
      </c>
      <c r="CX308">
        <v>72.400000000000006</v>
      </c>
      <c r="CY308">
        <v>66.599999999999994</v>
      </c>
      <c r="CZ308">
        <v>85.9</v>
      </c>
      <c r="DA308">
        <v>83.9</v>
      </c>
      <c r="DB308">
        <v>67.400000000000006</v>
      </c>
      <c r="DC308">
        <v>63.8</v>
      </c>
      <c r="DD308">
        <v>79.900000000000006</v>
      </c>
      <c r="DE308">
        <v>80.599999999999994</v>
      </c>
      <c r="DF308">
        <v>72.400000000000006</v>
      </c>
      <c r="DG308">
        <v>66.599999999999994</v>
      </c>
      <c r="DH308">
        <v>85.9</v>
      </c>
      <c r="DI308">
        <v>83.9</v>
      </c>
      <c r="DJ308">
        <v>67.400000000000006</v>
      </c>
      <c r="DK308">
        <v>63.8</v>
      </c>
      <c r="DL308">
        <v>79.900000000000006</v>
      </c>
      <c r="DM308">
        <v>80.599999999999994</v>
      </c>
      <c r="DN308">
        <v>0</v>
      </c>
      <c r="DO308">
        <v>0</v>
      </c>
      <c r="DP308">
        <v>0</v>
      </c>
      <c r="DQ308">
        <v>0</v>
      </c>
      <c r="DR308">
        <v>0</v>
      </c>
      <c r="DS308">
        <v>0</v>
      </c>
      <c r="DT308">
        <v>0</v>
      </c>
      <c r="DU308">
        <v>0</v>
      </c>
      <c r="DV308" t="s">
        <v>575</v>
      </c>
    </row>
    <row r="309" spans="1:126" x14ac:dyDescent="0.35">
      <c r="A309" t="s">
        <v>573</v>
      </c>
      <c r="B309">
        <v>230103</v>
      </c>
      <c r="C309" s="1">
        <v>44929</v>
      </c>
      <c r="D309" t="s">
        <v>574</v>
      </c>
      <c r="E309" t="s">
        <v>231</v>
      </c>
      <c r="F309" t="s">
        <v>185</v>
      </c>
      <c r="G309" t="s">
        <v>463</v>
      </c>
      <c r="H309">
        <v>90325</v>
      </c>
      <c r="I309" s="17">
        <v>2116</v>
      </c>
      <c r="J309" s="17">
        <v>532</v>
      </c>
      <c r="K309">
        <v>201</v>
      </c>
      <c r="L309">
        <v>81499</v>
      </c>
      <c r="M309">
        <v>82664</v>
      </c>
      <c r="N309">
        <v>83816</v>
      </c>
      <c r="O309">
        <v>83397</v>
      </c>
      <c r="P309">
        <v>6509</v>
      </c>
      <c r="Q309">
        <v>6928</v>
      </c>
      <c r="R309">
        <v>90325</v>
      </c>
      <c r="S309">
        <v>2116</v>
      </c>
      <c r="T309">
        <v>532</v>
      </c>
      <c r="U309">
        <v>201</v>
      </c>
      <c r="V309">
        <v>81499</v>
      </c>
      <c r="W309">
        <v>82664</v>
      </c>
      <c r="X309">
        <v>83816</v>
      </c>
      <c r="Y309">
        <v>83397</v>
      </c>
      <c r="Z309">
        <v>6509</v>
      </c>
      <c r="AA309">
        <v>6928</v>
      </c>
      <c r="AB309">
        <v>0</v>
      </c>
      <c r="AC309">
        <v>0</v>
      </c>
      <c r="AD309">
        <v>0</v>
      </c>
      <c r="AE309">
        <v>0</v>
      </c>
      <c r="AF309">
        <v>0</v>
      </c>
      <c r="AG309">
        <v>0</v>
      </c>
      <c r="AH309">
        <v>0</v>
      </c>
      <c r="AI309">
        <v>0</v>
      </c>
      <c r="AJ309">
        <v>0</v>
      </c>
      <c r="AK309">
        <v>0</v>
      </c>
      <c r="AL309">
        <v>150</v>
      </c>
      <c r="AM309">
        <v>0</v>
      </c>
      <c r="AN309">
        <v>0</v>
      </c>
      <c r="AO309">
        <v>0</v>
      </c>
      <c r="AP309">
        <v>150</v>
      </c>
      <c r="AQ309">
        <v>150</v>
      </c>
      <c r="AR309">
        <v>150</v>
      </c>
      <c r="AS309">
        <v>150</v>
      </c>
      <c r="AT309">
        <v>0</v>
      </c>
      <c r="AU309">
        <v>0</v>
      </c>
      <c r="AV309">
        <v>100</v>
      </c>
      <c r="AW309">
        <v>2.2999999999999998</v>
      </c>
      <c r="AX309">
        <v>0.6</v>
      </c>
      <c r="AY309">
        <v>0.2</v>
      </c>
      <c r="AZ309">
        <v>90.2</v>
      </c>
      <c r="BA309">
        <v>91.5</v>
      </c>
      <c r="BB309">
        <v>92.8</v>
      </c>
      <c r="BC309">
        <v>92.3</v>
      </c>
      <c r="BD309">
        <v>7.2</v>
      </c>
      <c r="BE309">
        <v>7.7</v>
      </c>
      <c r="BF309">
        <v>100</v>
      </c>
      <c r="BG309">
        <v>2.2999999999999998</v>
      </c>
      <c r="BH309">
        <v>0.6</v>
      </c>
      <c r="BI309">
        <v>0.2</v>
      </c>
      <c r="BJ309">
        <v>90.2</v>
      </c>
      <c r="BK309">
        <v>91.5</v>
      </c>
      <c r="BL309">
        <v>92.8</v>
      </c>
      <c r="BM309">
        <v>92.3</v>
      </c>
      <c r="BN309">
        <v>7.2</v>
      </c>
      <c r="BO309">
        <v>7.7</v>
      </c>
      <c r="BP309">
        <v>0</v>
      </c>
      <c r="BQ309">
        <v>0</v>
      </c>
      <c r="BR309">
        <v>0</v>
      </c>
      <c r="BS309">
        <v>0</v>
      </c>
      <c r="BT309">
        <v>0</v>
      </c>
      <c r="BU309">
        <v>0</v>
      </c>
      <c r="BV309">
        <v>0</v>
      </c>
      <c r="BW309">
        <v>0</v>
      </c>
      <c r="BX309">
        <v>0</v>
      </c>
      <c r="BY309">
        <v>0</v>
      </c>
      <c r="BZ309">
        <v>23</v>
      </c>
      <c r="CA309">
        <v>2</v>
      </c>
      <c r="CB309">
        <v>1</v>
      </c>
      <c r="CC309">
        <v>2</v>
      </c>
      <c r="CD309">
        <v>20</v>
      </c>
      <c r="CE309">
        <v>16</v>
      </c>
      <c r="CF309">
        <v>23</v>
      </c>
      <c r="CG309">
        <v>18</v>
      </c>
      <c r="CH309">
        <v>23</v>
      </c>
      <c r="CI309">
        <v>2</v>
      </c>
      <c r="CJ309">
        <v>1</v>
      </c>
      <c r="CK309">
        <v>2</v>
      </c>
      <c r="CL309">
        <v>20</v>
      </c>
      <c r="CM309">
        <v>16</v>
      </c>
      <c r="CN309">
        <v>23</v>
      </c>
      <c r="CO309">
        <v>18</v>
      </c>
      <c r="CP309">
        <v>0</v>
      </c>
      <c r="CQ309">
        <v>0</v>
      </c>
      <c r="CR309">
        <v>0</v>
      </c>
      <c r="CS309">
        <v>0</v>
      </c>
      <c r="CT309">
        <v>0</v>
      </c>
      <c r="CU309">
        <v>0</v>
      </c>
      <c r="CV309">
        <v>0</v>
      </c>
      <c r="CW309">
        <v>0</v>
      </c>
      <c r="CX309">
        <v>73.599999999999994</v>
      </c>
      <c r="CY309">
        <v>67</v>
      </c>
      <c r="CZ309">
        <v>86.3</v>
      </c>
      <c r="DA309">
        <v>84.5</v>
      </c>
      <c r="DB309">
        <v>68.900000000000006</v>
      </c>
      <c r="DC309">
        <v>64.3</v>
      </c>
      <c r="DD309">
        <v>80.400000000000006</v>
      </c>
      <c r="DE309">
        <v>81.3</v>
      </c>
      <c r="DF309">
        <v>73.599999999999994</v>
      </c>
      <c r="DG309">
        <v>67</v>
      </c>
      <c r="DH309">
        <v>86.3</v>
      </c>
      <c r="DI309">
        <v>84.5</v>
      </c>
      <c r="DJ309">
        <v>68.900000000000006</v>
      </c>
      <c r="DK309">
        <v>64.3</v>
      </c>
      <c r="DL309">
        <v>80.400000000000006</v>
      </c>
      <c r="DM309">
        <v>81.3</v>
      </c>
      <c r="DN309">
        <v>0</v>
      </c>
      <c r="DO309">
        <v>0</v>
      </c>
      <c r="DP309">
        <v>0</v>
      </c>
      <c r="DQ309">
        <v>0</v>
      </c>
      <c r="DR309">
        <v>0</v>
      </c>
      <c r="DS309">
        <v>0</v>
      </c>
      <c r="DT309">
        <v>0</v>
      </c>
      <c r="DU309">
        <v>0</v>
      </c>
      <c r="DV309" t="s">
        <v>575</v>
      </c>
    </row>
    <row r="310" spans="1:126" x14ac:dyDescent="0.35">
      <c r="A310" t="s">
        <v>576</v>
      </c>
      <c r="B310">
        <v>230103</v>
      </c>
      <c r="C310" s="1">
        <v>44929</v>
      </c>
      <c r="D310" t="s">
        <v>577</v>
      </c>
      <c r="E310" t="s">
        <v>231</v>
      </c>
      <c r="F310" t="s">
        <v>185</v>
      </c>
      <c r="G310" t="s">
        <v>463</v>
      </c>
      <c r="H310">
        <v>73383</v>
      </c>
      <c r="I310" s="17">
        <v>1613</v>
      </c>
      <c r="J310" s="17">
        <v>319</v>
      </c>
      <c r="K310">
        <v>0</v>
      </c>
      <c r="L310">
        <v>66147</v>
      </c>
      <c r="M310">
        <v>67286</v>
      </c>
      <c r="N310">
        <v>67760</v>
      </c>
      <c r="O310">
        <v>67605</v>
      </c>
      <c r="P310">
        <v>5623</v>
      </c>
      <c r="Q310">
        <v>5778</v>
      </c>
      <c r="R310">
        <v>73383</v>
      </c>
      <c r="S310">
        <v>1613</v>
      </c>
      <c r="T310">
        <v>319</v>
      </c>
      <c r="U310">
        <v>0</v>
      </c>
      <c r="V310">
        <v>66147</v>
      </c>
      <c r="W310">
        <v>67286</v>
      </c>
      <c r="X310">
        <v>67760</v>
      </c>
      <c r="Y310">
        <v>67605</v>
      </c>
      <c r="Z310">
        <v>5623</v>
      </c>
      <c r="AA310">
        <v>5778</v>
      </c>
      <c r="AB310">
        <v>0</v>
      </c>
      <c r="AC310">
        <v>0</v>
      </c>
      <c r="AD310">
        <v>0</v>
      </c>
      <c r="AE310">
        <v>0</v>
      </c>
      <c r="AF310">
        <v>0</v>
      </c>
      <c r="AG310">
        <v>0</v>
      </c>
      <c r="AH310">
        <v>0</v>
      </c>
      <c r="AI310">
        <v>0</v>
      </c>
      <c r="AJ310">
        <v>0</v>
      </c>
      <c r="AK310">
        <v>0</v>
      </c>
      <c r="AL310">
        <v>175</v>
      </c>
      <c r="AM310">
        <v>0</v>
      </c>
      <c r="AN310">
        <v>0</v>
      </c>
      <c r="AO310">
        <v>0</v>
      </c>
      <c r="AP310">
        <v>190</v>
      </c>
      <c r="AQ310">
        <v>190</v>
      </c>
      <c r="AR310">
        <v>190</v>
      </c>
      <c r="AS310">
        <v>190</v>
      </c>
      <c r="AT310">
        <v>-15</v>
      </c>
      <c r="AU310">
        <v>-15</v>
      </c>
      <c r="AV310">
        <v>100</v>
      </c>
      <c r="AW310">
        <v>2.2000000000000002</v>
      </c>
      <c r="AX310">
        <v>0.4</v>
      </c>
      <c r="AY310">
        <v>0</v>
      </c>
      <c r="AZ310">
        <v>90.1</v>
      </c>
      <c r="BA310">
        <v>91.7</v>
      </c>
      <c r="BB310">
        <v>92.3</v>
      </c>
      <c r="BC310">
        <v>92.1</v>
      </c>
      <c r="BD310">
        <v>7.7</v>
      </c>
      <c r="BE310">
        <v>7.9</v>
      </c>
      <c r="BF310">
        <v>100</v>
      </c>
      <c r="BG310">
        <v>2.2000000000000002</v>
      </c>
      <c r="BH310">
        <v>0.4</v>
      </c>
      <c r="BI310">
        <v>0</v>
      </c>
      <c r="BJ310">
        <v>90.1</v>
      </c>
      <c r="BK310">
        <v>91.7</v>
      </c>
      <c r="BL310">
        <v>92.3</v>
      </c>
      <c r="BM310">
        <v>92.1</v>
      </c>
      <c r="BN310">
        <v>7.7</v>
      </c>
      <c r="BO310">
        <v>7.9</v>
      </c>
      <c r="BP310">
        <v>0</v>
      </c>
      <c r="BQ310">
        <v>0</v>
      </c>
      <c r="BR310">
        <v>0</v>
      </c>
      <c r="BS310">
        <v>0</v>
      </c>
      <c r="BT310">
        <v>0</v>
      </c>
      <c r="BU310">
        <v>0</v>
      </c>
      <c r="BV310">
        <v>0</v>
      </c>
      <c r="BW310">
        <v>0</v>
      </c>
      <c r="BX310">
        <v>0</v>
      </c>
      <c r="BY310">
        <v>0</v>
      </c>
      <c r="BZ310">
        <v>21</v>
      </c>
      <c r="CA310">
        <v>1</v>
      </c>
      <c r="CB310">
        <v>1</v>
      </c>
      <c r="CC310">
        <v>0</v>
      </c>
      <c r="CD310">
        <v>19</v>
      </c>
      <c r="CE310">
        <v>14</v>
      </c>
      <c r="CF310">
        <v>20</v>
      </c>
      <c r="CG310">
        <v>15</v>
      </c>
      <c r="CH310">
        <v>21</v>
      </c>
      <c r="CI310">
        <v>1</v>
      </c>
      <c r="CJ310">
        <v>1</v>
      </c>
      <c r="CK310">
        <v>0</v>
      </c>
      <c r="CL310">
        <v>19</v>
      </c>
      <c r="CM310">
        <v>14</v>
      </c>
      <c r="CN310">
        <v>20</v>
      </c>
      <c r="CO310">
        <v>15</v>
      </c>
      <c r="CP310">
        <v>0</v>
      </c>
      <c r="CQ310">
        <v>0</v>
      </c>
      <c r="CR310">
        <v>0</v>
      </c>
      <c r="CS310">
        <v>0</v>
      </c>
      <c r="CT310">
        <v>0</v>
      </c>
      <c r="CU310">
        <v>0</v>
      </c>
      <c r="CV310">
        <v>0</v>
      </c>
      <c r="CW310">
        <v>0</v>
      </c>
      <c r="CX310">
        <v>71</v>
      </c>
      <c r="CY310">
        <v>64.5</v>
      </c>
      <c r="CZ310">
        <v>84.5</v>
      </c>
      <c r="DA310">
        <v>84.4</v>
      </c>
      <c r="DB310">
        <v>66.3</v>
      </c>
      <c r="DC310">
        <v>60.8</v>
      </c>
      <c r="DD310">
        <v>76.400000000000006</v>
      </c>
      <c r="DE310">
        <v>77.900000000000006</v>
      </c>
      <c r="DF310">
        <v>71</v>
      </c>
      <c r="DG310">
        <v>64.5</v>
      </c>
      <c r="DH310">
        <v>84.5</v>
      </c>
      <c r="DI310">
        <v>84.4</v>
      </c>
      <c r="DJ310">
        <v>66.3</v>
      </c>
      <c r="DK310">
        <v>60.8</v>
      </c>
      <c r="DL310">
        <v>76.400000000000006</v>
      </c>
      <c r="DM310">
        <v>77.900000000000006</v>
      </c>
      <c r="DN310">
        <v>0</v>
      </c>
      <c r="DO310">
        <v>0</v>
      </c>
      <c r="DP310">
        <v>0</v>
      </c>
      <c r="DQ310">
        <v>0</v>
      </c>
      <c r="DR310">
        <v>0</v>
      </c>
      <c r="DS310">
        <v>0</v>
      </c>
      <c r="DT310">
        <v>0</v>
      </c>
      <c r="DU310">
        <v>0</v>
      </c>
      <c r="DV310" t="s">
        <v>575</v>
      </c>
    </row>
    <row r="311" spans="1:126" x14ac:dyDescent="0.35">
      <c r="A311" t="s">
        <v>578</v>
      </c>
      <c r="B311">
        <v>230110</v>
      </c>
      <c r="C311" s="1">
        <v>44936</v>
      </c>
      <c r="D311" t="s">
        <v>579</v>
      </c>
      <c r="E311" t="s">
        <v>231</v>
      </c>
      <c r="F311" t="s">
        <v>185</v>
      </c>
      <c r="G311" t="s">
        <v>463</v>
      </c>
      <c r="H311">
        <v>24970</v>
      </c>
      <c r="I311" s="17">
        <v>2990</v>
      </c>
      <c r="J311" s="17">
        <v>0</v>
      </c>
      <c r="K311">
        <v>60</v>
      </c>
      <c r="L311">
        <v>17535</v>
      </c>
      <c r="M311">
        <v>20311</v>
      </c>
      <c r="N311">
        <v>20585</v>
      </c>
      <c r="O311">
        <v>20371</v>
      </c>
      <c r="P311">
        <v>4385</v>
      </c>
      <c r="Q311">
        <v>4599</v>
      </c>
      <c r="R311">
        <v>24970</v>
      </c>
      <c r="S311">
        <v>2990</v>
      </c>
      <c r="T311">
        <v>0</v>
      </c>
      <c r="U311">
        <v>60</v>
      </c>
      <c r="V311">
        <v>17535</v>
      </c>
      <c r="W311">
        <v>20311</v>
      </c>
      <c r="X311">
        <v>20585</v>
      </c>
      <c r="Y311">
        <v>20371</v>
      </c>
      <c r="Z311">
        <v>4385</v>
      </c>
      <c r="AA311">
        <v>4599</v>
      </c>
      <c r="AB311">
        <v>0</v>
      </c>
      <c r="AC311">
        <v>0</v>
      </c>
      <c r="AD311">
        <v>0</v>
      </c>
      <c r="AE311">
        <v>0</v>
      </c>
      <c r="AF311">
        <v>0</v>
      </c>
      <c r="AG311">
        <v>0</v>
      </c>
      <c r="AH311">
        <v>0</v>
      </c>
      <c r="AI311">
        <v>0</v>
      </c>
      <c r="AJ311">
        <v>0</v>
      </c>
      <c r="AK311">
        <v>0</v>
      </c>
      <c r="AL311">
        <v>820</v>
      </c>
      <c r="AM311">
        <v>-60</v>
      </c>
      <c r="AN311">
        <v>0</v>
      </c>
      <c r="AO311">
        <v>0</v>
      </c>
      <c r="AP311">
        <v>535</v>
      </c>
      <c r="AQ311">
        <v>508</v>
      </c>
      <c r="AR311">
        <v>475</v>
      </c>
      <c r="AS311">
        <v>508</v>
      </c>
      <c r="AT311">
        <v>345</v>
      </c>
      <c r="AU311">
        <v>312</v>
      </c>
      <c r="AV311">
        <v>100</v>
      </c>
      <c r="AW311">
        <v>12</v>
      </c>
      <c r="AX311">
        <v>0</v>
      </c>
      <c r="AY311">
        <v>0.2</v>
      </c>
      <c r="AZ311">
        <v>70.2</v>
      </c>
      <c r="BA311">
        <v>81.3</v>
      </c>
      <c r="BB311">
        <v>82.4</v>
      </c>
      <c r="BC311">
        <v>81.599999999999994</v>
      </c>
      <c r="BD311">
        <v>17.600000000000001</v>
      </c>
      <c r="BE311">
        <v>18.399999999999999</v>
      </c>
      <c r="BF311">
        <v>100</v>
      </c>
      <c r="BG311">
        <v>12</v>
      </c>
      <c r="BH311">
        <v>0</v>
      </c>
      <c r="BI311">
        <v>0.2</v>
      </c>
      <c r="BJ311">
        <v>70.2</v>
      </c>
      <c r="BK311">
        <v>81.3</v>
      </c>
      <c r="BL311">
        <v>82.4</v>
      </c>
      <c r="BM311">
        <v>81.599999999999994</v>
      </c>
      <c r="BN311">
        <v>17.600000000000001</v>
      </c>
      <c r="BO311">
        <v>18.399999999999999</v>
      </c>
      <c r="BP311">
        <v>0</v>
      </c>
      <c r="BQ311">
        <v>0</v>
      </c>
      <c r="BR311">
        <v>0</v>
      </c>
      <c r="BS311">
        <v>0</v>
      </c>
      <c r="BT311">
        <v>0</v>
      </c>
      <c r="BU311">
        <v>0</v>
      </c>
      <c r="BV311">
        <v>0</v>
      </c>
      <c r="BW311">
        <v>0</v>
      </c>
      <c r="BX311">
        <v>0</v>
      </c>
      <c r="BY311">
        <v>0</v>
      </c>
      <c r="BZ311">
        <v>21</v>
      </c>
      <c r="CA311">
        <v>2</v>
      </c>
      <c r="CB311">
        <v>0</v>
      </c>
      <c r="CC311">
        <v>1</v>
      </c>
      <c r="CD311">
        <v>16</v>
      </c>
      <c r="CE311">
        <v>15</v>
      </c>
      <c r="CF311">
        <v>18</v>
      </c>
      <c r="CG311">
        <v>16</v>
      </c>
      <c r="CH311">
        <v>21</v>
      </c>
      <c r="CI311">
        <v>2</v>
      </c>
      <c r="CJ311">
        <v>0</v>
      </c>
      <c r="CK311">
        <v>1</v>
      </c>
      <c r="CL311">
        <v>16</v>
      </c>
      <c r="CM311">
        <v>15</v>
      </c>
      <c r="CN311">
        <v>18</v>
      </c>
      <c r="CO311">
        <v>16</v>
      </c>
      <c r="CP311">
        <v>0</v>
      </c>
      <c r="CQ311">
        <v>0</v>
      </c>
      <c r="CR311">
        <v>0</v>
      </c>
      <c r="CS311">
        <v>0</v>
      </c>
      <c r="CT311">
        <v>0</v>
      </c>
      <c r="CU311">
        <v>0</v>
      </c>
      <c r="CV311">
        <v>0</v>
      </c>
      <c r="CW311">
        <v>0</v>
      </c>
      <c r="CX311">
        <v>55.8</v>
      </c>
      <c r="CY311">
        <v>61.4</v>
      </c>
      <c r="CZ311">
        <v>77.8</v>
      </c>
      <c r="DA311">
        <v>75.900000000000006</v>
      </c>
      <c r="DB311">
        <v>52.6</v>
      </c>
      <c r="DC311">
        <v>59.6</v>
      </c>
      <c r="DD311">
        <v>70</v>
      </c>
      <c r="DE311">
        <v>70.7</v>
      </c>
      <c r="DF311">
        <v>55.8</v>
      </c>
      <c r="DG311">
        <v>61.4</v>
      </c>
      <c r="DH311">
        <v>77.8</v>
      </c>
      <c r="DI311">
        <v>75.900000000000006</v>
      </c>
      <c r="DJ311">
        <v>52.6</v>
      </c>
      <c r="DK311">
        <v>59.6</v>
      </c>
      <c r="DL311">
        <v>70</v>
      </c>
      <c r="DM311">
        <v>70.7</v>
      </c>
      <c r="DN311">
        <v>0</v>
      </c>
      <c r="DO311">
        <v>0</v>
      </c>
      <c r="DP311">
        <v>0</v>
      </c>
      <c r="DQ311">
        <v>0</v>
      </c>
      <c r="DR311">
        <v>0</v>
      </c>
      <c r="DS311">
        <v>0</v>
      </c>
      <c r="DT311">
        <v>0</v>
      </c>
      <c r="DU311">
        <v>0</v>
      </c>
      <c r="DV311" t="s">
        <v>575</v>
      </c>
    </row>
    <row r="312" spans="1:126" x14ac:dyDescent="0.35">
      <c r="A312" t="s">
        <v>578</v>
      </c>
      <c r="B312">
        <v>230103</v>
      </c>
      <c r="C312" s="1">
        <v>44929</v>
      </c>
      <c r="D312" t="s">
        <v>579</v>
      </c>
      <c r="E312" t="s">
        <v>231</v>
      </c>
      <c r="F312" t="s">
        <v>185</v>
      </c>
      <c r="G312" t="s">
        <v>463</v>
      </c>
      <c r="H312">
        <v>24150</v>
      </c>
      <c r="I312" s="17">
        <v>3050</v>
      </c>
      <c r="J312" s="17">
        <v>0</v>
      </c>
      <c r="K312">
        <v>60</v>
      </c>
      <c r="L312">
        <v>17000</v>
      </c>
      <c r="M312">
        <v>19803</v>
      </c>
      <c r="N312">
        <v>20110</v>
      </c>
      <c r="O312">
        <v>19863</v>
      </c>
      <c r="P312">
        <v>4040</v>
      </c>
      <c r="Q312">
        <v>4287</v>
      </c>
      <c r="R312">
        <v>24150</v>
      </c>
      <c r="S312">
        <v>3050</v>
      </c>
      <c r="T312">
        <v>0</v>
      </c>
      <c r="U312">
        <v>60</v>
      </c>
      <c r="V312">
        <v>17000</v>
      </c>
      <c r="W312">
        <v>19803</v>
      </c>
      <c r="X312">
        <v>20110</v>
      </c>
      <c r="Y312">
        <v>19863</v>
      </c>
      <c r="Z312">
        <v>4040</v>
      </c>
      <c r="AA312">
        <v>4287</v>
      </c>
      <c r="AB312">
        <v>0</v>
      </c>
      <c r="AC312">
        <v>0</v>
      </c>
      <c r="AD312">
        <v>0</v>
      </c>
      <c r="AE312">
        <v>0</v>
      </c>
      <c r="AF312">
        <v>0</v>
      </c>
      <c r="AG312">
        <v>0</v>
      </c>
      <c r="AH312">
        <v>0</v>
      </c>
      <c r="AI312">
        <v>0</v>
      </c>
      <c r="AJ312">
        <v>0</v>
      </c>
      <c r="AK312">
        <v>0</v>
      </c>
      <c r="AL312">
        <v>375</v>
      </c>
      <c r="AM312">
        <v>0</v>
      </c>
      <c r="AN312">
        <v>0</v>
      </c>
      <c r="AO312">
        <v>0</v>
      </c>
      <c r="AP312">
        <v>375</v>
      </c>
      <c r="AQ312">
        <v>375</v>
      </c>
      <c r="AR312">
        <v>375</v>
      </c>
      <c r="AS312">
        <v>375</v>
      </c>
      <c r="AT312">
        <v>0</v>
      </c>
      <c r="AU312">
        <v>0</v>
      </c>
      <c r="AV312">
        <v>100</v>
      </c>
      <c r="AW312">
        <v>12.6</v>
      </c>
      <c r="AX312">
        <v>0</v>
      </c>
      <c r="AY312">
        <v>0.2</v>
      </c>
      <c r="AZ312">
        <v>70.400000000000006</v>
      </c>
      <c r="BA312">
        <v>82</v>
      </c>
      <c r="BB312">
        <v>83.3</v>
      </c>
      <c r="BC312">
        <v>82.2</v>
      </c>
      <c r="BD312">
        <v>16.7</v>
      </c>
      <c r="BE312">
        <v>17.8</v>
      </c>
      <c r="BF312">
        <v>100</v>
      </c>
      <c r="BG312">
        <v>12.6</v>
      </c>
      <c r="BH312">
        <v>0</v>
      </c>
      <c r="BI312">
        <v>0.2</v>
      </c>
      <c r="BJ312">
        <v>70.400000000000006</v>
      </c>
      <c r="BK312">
        <v>82</v>
      </c>
      <c r="BL312">
        <v>83.3</v>
      </c>
      <c r="BM312">
        <v>82.2</v>
      </c>
      <c r="BN312">
        <v>16.7</v>
      </c>
      <c r="BO312">
        <v>17.8</v>
      </c>
      <c r="BP312">
        <v>0</v>
      </c>
      <c r="BQ312">
        <v>0</v>
      </c>
      <c r="BR312">
        <v>0</v>
      </c>
      <c r="BS312">
        <v>0</v>
      </c>
      <c r="BT312">
        <v>0</v>
      </c>
      <c r="BU312">
        <v>0</v>
      </c>
      <c r="BV312">
        <v>0</v>
      </c>
      <c r="BW312">
        <v>0</v>
      </c>
      <c r="BX312">
        <v>0</v>
      </c>
      <c r="BY312">
        <v>0</v>
      </c>
      <c r="BZ312">
        <v>22</v>
      </c>
      <c r="CA312">
        <v>2</v>
      </c>
      <c r="CB312">
        <v>0</v>
      </c>
      <c r="CC312">
        <v>1</v>
      </c>
      <c r="CD312">
        <v>16</v>
      </c>
      <c r="CE312">
        <v>15</v>
      </c>
      <c r="CF312">
        <v>18</v>
      </c>
      <c r="CG312">
        <v>16</v>
      </c>
      <c r="CH312">
        <v>22</v>
      </c>
      <c r="CI312">
        <v>2</v>
      </c>
      <c r="CJ312">
        <v>0</v>
      </c>
      <c r="CK312">
        <v>1</v>
      </c>
      <c r="CL312">
        <v>16</v>
      </c>
      <c r="CM312">
        <v>15</v>
      </c>
      <c r="CN312">
        <v>18</v>
      </c>
      <c r="CO312">
        <v>16</v>
      </c>
      <c r="CP312">
        <v>0</v>
      </c>
      <c r="CQ312">
        <v>0</v>
      </c>
      <c r="CR312">
        <v>0</v>
      </c>
      <c r="CS312">
        <v>0</v>
      </c>
      <c r="CT312">
        <v>0</v>
      </c>
      <c r="CU312">
        <v>0</v>
      </c>
      <c r="CV312">
        <v>0</v>
      </c>
      <c r="CW312">
        <v>0</v>
      </c>
      <c r="CX312">
        <v>60</v>
      </c>
      <c r="CY312">
        <v>60.7</v>
      </c>
      <c r="CZ312">
        <v>78.3</v>
      </c>
      <c r="DA312">
        <v>75.900000000000006</v>
      </c>
      <c r="DB312">
        <v>57.2</v>
      </c>
      <c r="DC312">
        <v>59.1</v>
      </c>
      <c r="DD312">
        <v>70.8</v>
      </c>
      <c r="DE312">
        <v>70.400000000000006</v>
      </c>
      <c r="DF312">
        <v>60</v>
      </c>
      <c r="DG312">
        <v>60.7</v>
      </c>
      <c r="DH312">
        <v>78.3</v>
      </c>
      <c r="DI312">
        <v>75.900000000000006</v>
      </c>
      <c r="DJ312">
        <v>57.2</v>
      </c>
      <c r="DK312">
        <v>59.1</v>
      </c>
      <c r="DL312">
        <v>70.8</v>
      </c>
      <c r="DM312">
        <v>70.400000000000006</v>
      </c>
      <c r="DN312">
        <v>0</v>
      </c>
      <c r="DO312">
        <v>0</v>
      </c>
      <c r="DP312">
        <v>0</v>
      </c>
      <c r="DQ312">
        <v>0</v>
      </c>
      <c r="DR312">
        <v>0</v>
      </c>
      <c r="DS312">
        <v>0</v>
      </c>
      <c r="DT312">
        <v>0</v>
      </c>
      <c r="DU312">
        <v>0</v>
      </c>
      <c r="DV312" t="s">
        <v>575</v>
      </c>
    </row>
    <row r="313" spans="1:126" x14ac:dyDescent="0.35">
      <c r="A313" t="s">
        <v>580</v>
      </c>
      <c r="B313">
        <v>230103</v>
      </c>
      <c r="C313" s="1">
        <v>44929</v>
      </c>
      <c r="D313" t="s">
        <v>581</v>
      </c>
      <c r="E313" t="s">
        <v>231</v>
      </c>
      <c r="F313" t="s">
        <v>185</v>
      </c>
      <c r="G313" t="s">
        <v>463</v>
      </c>
      <c r="H313">
        <v>23888</v>
      </c>
      <c r="I313" s="17">
        <v>2950</v>
      </c>
      <c r="J313" s="17">
        <v>0</v>
      </c>
      <c r="K313">
        <v>90</v>
      </c>
      <c r="L313">
        <v>16735</v>
      </c>
      <c r="M313">
        <v>19510</v>
      </c>
      <c r="N313">
        <v>19775</v>
      </c>
      <c r="O313">
        <v>19600</v>
      </c>
      <c r="P313">
        <v>4113</v>
      </c>
      <c r="Q313">
        <v>4288</v>
      </c>
      <c r="R313">
        <v>23888</v>
      </c>
      <c r="S313">
        <v>2950</v>
      </c>
      <c r="T313">
        <v>0</v>
      </c>
      <c r="U313">
        <v>90</v>
      </c>
      <c r="V313">
        <v>16735</v>
      </c>
      <c r="W313">
        <v>19510</v>
      </c>
      <c r="X313">
        <v>19775</v>
      </c>
      <c r="Y313">
        <v>19600</v>
      </c>
      <c r="Z313">
        <v>4113</v>
      </c>
      <c r="AA313">
        <v>4288</v>
      </c>
      <c r="AB313">
        <v>0</v>
      </c>
      <c r="AC313">
        <v>0</v>
      </c>
      <c r="AD313">
        <v>0</v>
      </c>
      <c r="AE313">
        <v>0</v>
      </c>
      <c r="AF313">
        <v>0</v>
      </c>
      <c r="AG313">
        <v>0</v>
      </c>
      <c r="AH313">
        <v>0</v>
      </c>
      <c r="AI313">
        <v>0</v>
      </c>
      <c r="AJ313">
        <v>0</v>
      </c>
      <c r="AK313">
        <v>0</v>
      </c>
      <c r="AL313">
        <v>570</v>
      </c>
      <c r="AM313">
        <v>0</v>
      </c>
      <c r="AN313">
        <v>0</v>
      </c>
      <c r="AO313">
        <v>0</v>
      </c>
      <c r="AP313">
        <v>570</v>
      </c>
      <c r="AQ313">
        <v>570</v>
      </c>
      <c r="AR313">
        <v>570</v>
      </c>
      <c r="AS313">
        <v>570</v>
      </c>
      <c r="AT313">
        <v>0</v>
      </c>
      <c r="AU313">
        <v>0</v>
      </c>
      <c r="AV313">
        <v>100</v>
      </c>
      <c r="AW313">
        <v>12.3</v>
      </c>
      <c r="AX313">
        <v>0</v>
      </c>
      <c r="AY313">
        <v>0.4</v>
      </c>
      <c r="AZ313">
        <v>70.099999999999994</v>
      </c>
      <c r="BA313">
        <v>81.7</v>
      </c>
      <c r="BB313">
        <v>82.8</v>
      </c>
      <c r="BC313">
        <v>82</v>
      </c>
      <c r="BD313">
        <v>17.2</v>
      </c>
      <c r="BE313">
        <v>18</v>
      </c>
      <c r="BF313">
        <v>100</v>
      </c>
      <c r="BG313">
        <v>12.3</v>
      </c>
      <c r="BH313">
        <v>0</v>
      </c>
      <c r="BI313">
        <v>0.4</v>
      </c>
      <c r="BJ313">
        <v>70.099999999999994</v>
      </c>
      <c r="BK313">
        <v>81.7</v>
      </c>
      <c r="BL313">
        <v>82.8</v>
      </c>
      <c r="BM313">
        <v>82</v>
      </c>
      <c r="BN313">
        <v>17.2</v>
      </c>
      <c r="BO313">
        <v>18</v>
      </c>
      <c r="BP313">
        <v>0</v>
      </c>
      <c r="BQ313">
        <v>0</v>
      </c>
      <c r="BR313">
        <v>0</v>
      </c>
      <c r="BS313">
        <v>0</v>
      </c>
      <c r="BT313">
        <v>0</v>
      </c>
      <c r="BU313">
        <v>0</v>
      </c>
      <c r="BV313">
        <v>0</v>
      </c>
      <c r="BW313">
        <v>0</v>
      </c>
      <c r="BX313">
        <v>0</v>
      </c>
      <c r="BY313">
        <v>0</v>
      </c>
      <c r="BZ313">
        <v>20</v>
      </c>
      <c r="CA313">
        <v>2</v>
      </c>
      <c r="CB313">
        <v>0</v>
      </c>
      <c r="CC313">
        <v>1</v>
      </c>
      <c r="CD313">
        <v>14</v>
      </c>
      <c r="CE313">
        <v>15</v>
      </c>
      <c r="CF313">
        <v>16</v>
      </c>
      <c r="CG313">
        <v>16</v>
      </c>
      <c r="CH313">
        <v>20</v>
      </c>
      <c r="CI313">
        <v>2</v>
      </c>
      <c r="CJ313">
        <v>0</v>
      </c>
      <c r="CK313">
        <v>1</v>
      </c>
      <c r="CL313">
        <v>14</v>
      </c>
      <c r="CM313">
        <v>15</v>
      </c>
      <c r="CN313">
        <v>16</v>
      </c>
      <c r="CO313">
        <v>16</v>
      </c>
      <c r="CP313">
        <v>0</v>
      </c>
      <c r="CQ313">
        <v>0</v>
      </c>
      <c r="CR313">
        <v>0</v>
      </c>
      <c r="CS313">
        <v>0</v>
      </c>
      <c r="CT313">
        <v>0</v>
      </c>
      <c r="CU313">
        <v>0</v>
      </c>
      <c r="CV313">
        <v>0</v>
      </c>
      <c r="CW313">
        <v>0</v>
      </c>
      <c r="CX313">
        <v>60.3</v>
      </c>
      <c r="CY313">
        <v>62.9</v>
      </c>
      <c r="CZ313">
        <v>79</v>
      </c>
      <c r="DA313">
        <v>76.599999999999994</v>
      </c>
      <c r="DB313">
        <v>58.6</v>
      </c>
      <c r="DC313">
        <v>61.8</v>
      </c>
      <c r="DD313">
        <v>73.900000000000006</v>
      </c>
      <c r="DE313">
        <v>72.400000000000006</v>
      </c>
      <c r="DF313">
        <v>60.3</v>
      </c>
      <c r="DG313">
        <v>62.9</v>
      </c>
      <c r="DH313">
        <v>79</v>
      </c>
      <c r="DI313">
        <v>76.599999999999994</v>
      </c>
      <c r="DJ313">
        <v>58.6</v>
      </c>
      <c r="DK313">
        <v>61.8</v>
      </c>
      <c r="DL313">
        <v>73.900000000000006</v>
      </c>
      <c r="DM313">
        <v>72.400000000000006</v>
      </c>
      <c r="DN313">
        <v>0</v>
      </c>
      <c r="DO313">
        <v>0</v>
      </c>
      <c r="DP313">
        <v>0</v>
      </c>
      <c r="DQ313">
        <v>0</v>
      </c>
      <c r="DR313">
        <v>0</v>
      </c>
      <c r="DS313">
        <v>0</v>
      </c>
      <c r="DT313">
        <v>0</v>
      </c>
      <c r="DU313">
        <v>0</v>
      </c>
      <c r="DV313" t="s">
        <v>575</v>
      </c>
    </row>
    <row r="314" spans="1:126" x14ac:dyDescent="0.35">
      <c r="A314" t="s">
        <v>582</v>
      </c>
      <c r="B314">
        <v>230110</v>
      </c>
      <c r="C314" s="1">
        <v>44936</v>
      </c>
      <c r="D314" t="s">
        <v>583</v>
      </c>
      <c r="E314" t="s">
        <v>231</v>
      </c>
      <c r="F314" t="s">
        <v>185</v>
      </c>
      <c r="G314" t="s">
        <v>463</v>
      </c>
      <c r="H314">
        <v>25098</v>
      </c>
      <c r="I314" s="17">
        <v>1226</v>
      </c>
      <c r="J314" s="17">
        <v>4750</v>
      </c>
      <c r="K314">
        <v>196</v>
      </c>
      <c r="L314">
        <v>22773</v>
      </c>
      <c r="M314">
        <v>18715</v>
      </c>
      <c r="N314">
        <v>24195</v>
      </c>
      <c r="O314">
        <v>23661</v>
      </c>
      <c r="P314">
        <v>903</v>
      </c>
      <c r="Q314">
        <v>1437</v>
      </c>
      <c r="R314">
        <v>25098</v>
      </c>
      <c r="S314">
        <v>1226</v>
      </c>
      <c r="T314">
        <v>4750</v>
      </c>
      <c r="U314">
        <v>196</v>
      </c>
      <c r="V314">
        <v>22773</v>
      </c>
      <c r="W314">
        <v>18715</v>
      </c>
      <c r="X314">
        <v>24195</v>
      </c>
      <c r="Y314">
        <v>23661</v>
      </c>
      <c r="Z314">
        <v>903</v>
      </c>
      <c r="AA314">
        <v>1437</v>
      </c>
      <c r="AB314">
        <v>0</v>
      </c>
      <c r="AC314">
        <v>0</v>
      </c>
      <c r="AD314">
        <v>0</v>
      </c>
      <c r="AE314">
        <v>0</v>
      </c>
      <c r="AF314">
        <v>0</v>
      </c>
      <c r="AG314">
        <v>0</v>
      </c>
      <c r="AH314">
        <v>0</v>
      </c>
      <c r="AI314">
        <v>0</v>
      </c>
      <c r="AJ314">
        <v>0</v>
      </c>
      <c r="AK314">
        <v>0</v>
      </c>
      <c r="AL314">
        <v>255</v>
      </c>
      <c r="AM314">
        <v>105</v>
      </c>
      <c r="AN314">
        <v>580</v>
      </c>
      <c r="AO314">
        <v>-25</v>
      </c>
      <c r="AP314">
        <v>207</v>
      </c>
      <c r="AQ314">
        <v>-348</v>
      </c>
      <c r="AR314">
        <v>287</v>
      </c>
      <c r="AS314">
        <v>207</v>
      </c>
      <c r="AT314">
        <v>-32</v>
      </c>
      <c r="AU314">
        <v>48</v>
      </c>
      <c r="AV314">
        <v>100</v>
      </c>
      <c r="AW314">
        <v>4.9000000000000004</v>
      </c>
      <c r="AX314">
        <v>18.899999999999999</v>
      </c>
      <c r="AY314">
        <v>0.8</v>
      </c>
      <c r="AZ314">
        <v>90.7</v>
      </c>
      <c r="BA314">
        <v>74.599999999999994</v>
      </c>
      <c r="BB314">
        <v>96.4</v>
      </c>
      <c r="BC314">
        <v>94.3</v>
      </c>
      <c r="BD314">
        <v>3.6</v>
      </c>
      <c r="BE314">
        <v>5.7</v>
      </c>
      <c r="BF314">
        <v>100</v>
      </c>
      <c r="BG314">
        <v>4.9000000000000004</v>
      </c>
      <c r="BH314">
        <v>18.899999999999999</v>
      </c>
      <c r="BI314">
        <v>0.8</v>
      </c>
      <c r="BJ314">
        <v>90.7</v>
      </c>
      <c r="BK314">
        <v>74.599999999999994</v>
      </c>
      <c r="BL314">
        <v>96.4</v>
      </c>
      <c r="BM314">
        <v>94.3</v>
      </c>
      <c r="BN314">
        <v>3.6</v>
      </c>
      <c r="BO314">
        <v>5.7</v>
      </c>
      <c r="BP314">
        <v>0</v>
      </c>
      <c r="BQ314">
        <v>0</v>
      </c>
      <c r="BR314">
        <v>0</v>
      </c>
      <c r="BS314">
        <v>0</v>
      </c>
      <c r="BT314">
        <v>0</v>
      </c>
      <c r="BU314">
        <v>0</v>
      </c>
      <c r="BV314">
        <v>0</v>
      </c>
      <c r="BW314">
        <v>0</v>
      </c>
      <c r="BX314">
        <v>0</v>
      </c>
      <c r="BY314">
        <v>0</v>
      </c>
      <c r="BZ314">
        <v>25</v>
      </c>
      <c r="CA314">
        <v>2</v>
      </c>
      <c r="CB314">
        <v>2</v>
      </c>
      <c r="CC314">
        <v>1</v>
      </c>
      <c r="CD314">
        <v>18</v>
      </c>
      <c r="CE314">
        <v>19</v>
      </c>
      <c r="CF314">
        <v>20</v>
      </c>
      <c r="CG314">
        <v>22</v>
      </c>
      <c r="CH314">
        <v>25</v>
      </c>
      <c r="CI314">
        <v>2</v>
      </c>
      <c r="CJ314">
        <v>2</v>
      </c>
      <c r="CK314">
        <v>1</v>
      </c>
      <c r="CL314">
        <v>18</v>
      </c>
      <c r="CM314">
        <v>19</v>
      </c>
      <c r="CN314">
        <v>20</v>
      </c>
      <c r="CO314">
        <v>22</v>
      </c>
      <c r="CP314">
        <v>0</v>
      </c>
      <c r="CQ314">
        <v>0</v>
      </c>
      <c r="CR314">
        <v>0</v>
      </c>
      <c r="CS314">
        <v>0</v>
      </c>
      <c r="CT314">
        <v>0</v>
      </c>
      <c r="CU314">
        <v>0</v>
      </c>
      <c r="CV314">
        <v>0</v>
      </c>
      <c r="CW314">
        <v>0</v>
      </c>
      <c r="CX314">
        <v>73.599999999999994</v>
      </c>
      <c r="CY314">
        <v>48.7</v>
      </c>
      <c r="CZ314">
        <v>84.4</v>
      </c>
      <c r="DA314">
        <v>69.900000000000006</v>
      </c>
      <c r="DB314">
        <v>69</v>
      </c>
      <c r="DC314">
        <v>44.9</v>
      </c>
      <c r="DD314">
        <v>76.400000000000006</v>
      </c>
      <c r="DE314">
        <v>63.5</v>
      </c>
      <c r="DF314">
        <v>73.599999999999994</v>
      </c>
      <c r="DG314">
        <v>48.7</v>
      </c>
      <c r="DH314">
        <v>84.4</v>
      </c>
      <c r="DI314">
        <v>69.900000000000006</v>
      </c>
      <c r="DJ314">
        <v>69</v>
      </c>
      <c r="DK314">
        <v>44.9</v>
      </c>
      <c r="DL314">
        <v>76.400000000000006</v>
      </c>
      <c r="DM314">
        <v>63.5</v>
      </c>
      <c r="DN314">
        <v>0</v>
      </c>
      <c r="DO314">
        <v>0</v>
      </c>
      <c r="DP314">
        <v>0</v>
      </c>
      <c r="DQ314">
        <v>0</v>
      </c>
      <c r="DR314">
        <v>0</v>
      </c>
      <c r="DS314">
        <v>0</v>
      </c>
      <c r="DT314">
        <v>0</v>
      </c>
      <c r="DU314">
        <v>0</v>
      </c>
      <c r="DV314" t="s">
        <v>575</v>
      </c>
    </row>
    <row r="315" spans="1:126" x14ac:dyDescent="0.35">
      <c r="A315" t="s">
        <v>582</v>
      </c>
      <c r="B315">
        <v>230103</v>
      </c>
      <c r="C315" s="1">
        <v>44929</v>
      </c>
      <c r="D315" t="s">
        <v>583</v>
      </c>
      <c r="E315" t="s">
        <v>231</v>
      </c>
      <c r="F315" t="s">
        <v>185</v>
      </c>
      <c r="G315" t="s">
        <v>463</v>
      </c>
      <c r="H315">
        <v>24843</v>
      </c>
      <c r="I315" s="17">
        <v>1121</v>
      </c>
      <c r="J315" s="17">
        <v>4170</v>
      </c>
      <c r="K315">
        <v>221</v>
      </c>
      <c r="L315">
        <v>22566</v>
      </c>
      <c r="M315">
        <v>19063</v>
      </c>
      <c r="N315">
        <v>23908</v>
      </c>
      <c r="O315">
        <v>23454</v>
      </c>
      <c r="P315">
        <v>935</v>
      </c>
      <c r="Q315">
        <v>1389</v>
      </c>
      <c r="R315">
        <v>24843</v>
      </c>
      <c r="S315">
        <v>1121</v>
      </c>
      <c r="T315">
        <v>4170</v>
      </c>
      <c r="U315">
        <v>221</v>
      </c>
      <c r="V315">
        <v>22566</v>
      </c>
      <c r="W315">
        <v>19063</v>
      </c>
      <c r="X315">
        <v>23908</v>
      </c>
      <c r="Y315">
        <v>23454</v>
      </c>
      <c r="Z315">
        <v>935</v>
      </c>
      <c r="AA315">
        <v>1389</v>
      </c>
      <c r="AB315">
        <v>0</v>
      </c>
      <c r="AC315">
        <v>0</v>
      </c>
      <c r="AD315">
        <v>0</v>
      </c>
      <c r="AE315">
        <v>0</v>
      </c>
      <c r="AF315">
        <v>0</v>
      </c>
      <c r="AG315">
        <v>0</v>
      </c>
      <c r="AH315">
        <v>0</v>
      </c>
      <c r="AI315">
        <v>0</v>
      </c>
      <c r="AJ315">
        <v>0</v>
      </c>
      <c r="AK315">
        <v>0</v>
      </c>
      <c r="AL315">
        <v>975</v>
      </c>
      <c r="AM315">
        <v>0</v>
      </c>
      <c r="AN315">
        <v>660</v>
      </c>
      <c r="AO315">
        <v>0</v>
      </c>
      <c r="AP315">
        <v>970</v>
      </c>
      <c r="AQ315">
        <v>310</v>
      </c>
      <c r="AR315">
        <v>970</v>
      </c>
      <c r="AS315">
        <v>970</v>
      </c>
      <c r="AT315">
        <v>5</v>
      </c>
      <c r="AU315">
        <v>5</v>
      </c>
      <c r="AV315">
        <v>100</v>
      </c>
      <c r="AW315">
        <v>4.5</v>
      </c>
      <c r="AX315">
        <v>16.8</v>
      </c>
      <c r="AY315">
        <v>0.9</v>
      </c>
      <c r="AZ315">
        <v>90.8</v>
      </c>
      <c r="BA315">
        <v>76.7</v>
      </c>
      <c r="BB315">
        <v>96.2</v>
      </c>
      <c r="BC315">
        <v>94.4</v>
      </c>
      <c r="BD315">
        <v>3.8</v>
      </c>
      <c r="BE315">
        <v>5.6</v>
      </c>
      <c r="BF315">
        <v>100</v>
      </c>
      <c r="BG315">
        <v>4.5</v>
      </c>
      <c r="BH315">
        <v>16.8</v>
      </c>
      <c r="BI315">
        <v>0.9</v>
      </c>
      <c r="BJ315">
        <v>90.8</v>
      </c>
      <c r="BK315">
        <v>76.7</v>
      </c>
      <c r="BL315">
        <v>96.2</v>
      </c>
      <c r="BM315">
        <v>94.4</v>
      </c>
      <c r="BN315">
        <v>3.8</v>
      </c>
      <c r="BO315">
        <v>5.6</v>
      </c>
      <c r="BP315">
        <v>0</v>
      </c>
      <c r="BQ315">
        <v>0</v>
      </c>
      <c r="BR315">
        <v>0</v>
      </c>
      <c r="BS315">
        <v>0</v>
      </c>
      <c r="BT315">
        <v>0</v>
      </c>
      <c r="BU315">
        <v>0</v>
      </c>
      <c r="BV315">
        <v>0</v>
      </c>
      <c r="BW315">
        <v>0</v>
      </c>
      <c r="BX315">
        <v>0</v>
      </c>
      <c r="BY315">
        <v>0</v>
      </c>
      <c r="BZ315">
        <v>25</v>
      </c>
      <c r="CA315">
        <v>2</v>
      </c>
      <c r="CB315">
        <v>2</v>
      </c>
      <c r="CC315">
        <v>2</v>
      </c>
      <c r="CD315">
        <v>18</v>
      </c>
      <c r="CE315">
        <v>20</v>
      </c>
      <c r="CF315">
        <v>21</v>
      </c>
      <c r="CG315">
        <v>23</v>
      </c>
      <c r="CH315">
        <v>25</v>
      </c>
      <c r="CI315">
        <v>2</v>
      </c>
      <c r="CJ315">
        <v>2</v>
      </c>
      <c r="CK315">
        <v>2</v>
      </c>
      <c r="CL315">
        <v>18</v>
      </c>
      <c r="CM315">
        <v>20</v>
      </c>
      <c r="CN315">
        <v>21</v>
      </c>
      <c r="CO315">
        <v>23</v>
      </c>
      <c r="CP315">
        <v>0</v>
      </c>
      <c r="CQ315">
        <v>0</v>
      </c>
      <c r="CR315">
        <v>0</v>
      </c>
      <c r="CS315">
        <v>0</v>
      </c>
      <c r="CT315">
        <v>0</v>
      </c>
      <c r="CU315">
        <v>0</v>
      </c>
      <c r="CV315">
        <v>0</v>
      </c>
      <c r="CW315">
        <v>0</v>
      </c>
      <c r="CX315">
        <v>68.3</v>
      </c>
      <c r="CY315">
        <v>46.5</v>
      </c>
      <c r="CZ315">
        <v>80.7</v>
      </c>
      <c r="DA315">
        <v>69.599999999999994</v>
      </c>
      <c r="DB315">
        <v>62.1</v>
      </c>
      <c r="DC315">
        <v>41</v>
      </c>
      <c r="DD315">
        <v>70.2</v>
      </c>
      <c r="DE315">
        <v>58.2</v>
      </c>
      <c r="DF315">
        <v>68.3</v>
      </c>
      <c r="DG315">
        <v>46.5</v>
      </c>
      <c r="DH315">
        <v>80.7</v>
      </c>
      <c r="DI315">
        <v>69.599999999999994</v>
      </c>
      <c r="DJ315">
        <v>62.1</v>
      </c>
      <c r="DK315">
        <v>41</v>
      </c>
      <c r="DL315">
        <v>70.2</v>
      </c>
      <c r="DM315">
        <v>58.2</v>
      </c>
      <c r="DN315">
        <v>0</v>
      </c>
      <c r="DO315">
        <v>0</v>
      </c>
      <c r="DP315">
        <v>0</v>
      </c>
      <c r="DQ315">
        <v>0</v>
      </c>
      <c r="DR315">
        <v>0</v>
      </c>
      <c r="DS315">
        <v>0</v>
      </c>
      <c r="DT315">
        <v>0</v>
      </c>
      <c r="DU315">
        <v>0</v>
      </c>
      <c r="DV315" t="s">
        <v>575</v>
      </c>
    </row>
    <row r="316" spans="1:126" x14ac:dyDescent="0.35">
      <c r="A316" t="s">
        <v>584</v>
      </c>
      <c r="B316">
        <v>230110</v>
      </c>
      <c r="C316" s="1">
        <v>44936</v>
      </c>
      <c r="D316" t="s">
        <v>585</v>
      </c>
      <c r="E316" t="s">
        <v>231</v>
      </c>
      <c r="F316" t="s">
        <v>185</v>
      </c>
      <c r="G316" t="s">
        <v>463</v>
      </c>
      <c r="H316">
        <v>16836</v>
      </c>
      <c r="I316" s="17">
        <v>0</v>
      </c>
      <c r="J316" s="17">
        <v>5245</v>
      </c>
      <c r="K316">
        <v>90</v>
      </c>
      <c r="L316">
        <v>15693</v>
      </c>
      <c r="M316">
        <v>9951</v>
      </c>
      <c r="N316">
        <v>15783</v>
      </c>
      <c r="O316">
        <v>15286</v>
      </c>
      <c r="P316">
        <v>1053</v>
      </c>
      <c r="Q316">
        <v>1550</v>
      </c>
      <c r="R316">
        <v>16836</v>
      </c>
      <c r="S316">
        <v>0</v>
      </c>
      <c r="T316">
        <v>5245</v>
      </c>
      <c r="U316">
        <v>90</v>
      </c>
      <c r="V316">
        <v>15693</v>
      </c>
      <c r="W316">
        <v>9951</v>
      </c>
      <c r="X316">
        <v>15783</v>
      </c>
      <c r="Y316">
        <v>15286</v>
      </c>
      <c r="Z316">
        <v>1053</v>
      </c>
      <c r="AA316">
        <v>1550</v>
      </c>
      <c r="AB316">
        <v>0</v>
      </c>
      <c r="AC316">
        <v>0</v>
      </c>
      <c r="AD316">
        <v>0</v>
      </c>
      <c r="AE316">
        <v>0</v>
      </c>
      <c r="AF316">
        <v>0</v>
      </c>
      <c r="AG316">
        <v>0</v>
      </c>
      <c r="AH316">
        <v>0</v>
      </c>
      <c r="AI316">
        <v>0</v>
      </c>
      <c r="AJ316">
        <v>0</v>
      </c>
      <c r="AK316">
        <v>0</v>
      </c>
      <c r="AL316">
        <v>-176</v>
      </c>
      <c r="AM316">
        <v>-28</v>
      </c>
      <c r="AN316">
        <v>605</v>
      </c>
      <c r="AO316">
        <v>-25</v>
      </c>
      <c r="AP316">
        <v>122</v>
      </c>
      <c r="AQ316">
        <v>-743</v>
      </c>
      <c r="AR316">
        <v>69</v>
      </c>
      <c r="AS316">
        <v>-163</v>
      </c>
      <c r="AT316">
        <v>-245</v>
      </c>
      <c r="AU316">
        <v>-13</v>
      </c>
      <c r="AV316">
        <v>100</v>
      </c>
      <c r="AW316">
        <v>0</v>
      </c>
      <c r="AX316">
        <v>31.2</v>
      </c>
      <c r="AY316">
        <v>0.5</v>
      </c>
      <c r="AZ316">
        <v>93.2</v>
      </c>
      <c r="BA316">
        <v>59.1</v>
      </c>
      <c r="BB316">
        <v>93.7</v>
      </c>
      <c r="BC316">
        <v>90.8</v>
      </c>
      <c r="BD316">
        <v>6.3</v>
      </c>
      <c r="BE316">
        <v>9.1999999999999993</v>
      </c>
      <c r="BF316">
        <v>100</v>
      </c>
      <c r="BG316">
        <v>0</v>
      </c>
      <c r="BH316">
        <v>31.2</v>
      </c>
      <c r="BI316">
        <v>0.5</v>
      </c>
      <c r="BJ316">
        <v>93.2</v>
      </c>
      <c r="BK316">
        <v>59.1</v>
      </c>
      <c r="BL316">
        <v>93.7</v>
      </c>
      <c r="BM316">
        <v>90.8</v>
      </c>
      <c r="BN316">
        <v>6.3</v>
      </c>
      <c r="BO316">
        <v>9.1999999999999993</v>
      </c>
      <c r="BP316">
        <v>0</v>
      </c>
      <c r="BQ316">
        <v>0</v>
      </c>
      <c r="BR316">
        <v>0</v>
      </c>
      <c r="BS316">
        <v>0</v>
      </c>
      <c r="BT316">
        <v>0</v>
      </c>
      <c r="BU316">
        <v>0</v>
      </c>
      <c r="BV316">
        <v>0</v>
      </c>
      <c r="BW316">
        <v>0</v>
      </c>
      <c r="BX316">
        <v>0</v>
      </c>
      <c r="BY316">
        <v>0</v>
      </c>
      <c r="BZ316">
        <v>24</v>
      </c>
      <c r="CA316">
        <v>0</v>
      </c>
      <c r="CB316">
        <v>4</v>
      </c>
      <c r="CC316">
        <v>1</v>
      </c>
      <c r="CD316">
        <v>17</v>
      </c>
      <c r="CE316">
        <v>13</v>
      </c>
      <c r="CF316">
        <v>18</v>
      </c>
      <c r="CG316">
        <v>17</v>
      </c>
      <c r="CH316">
        <v>24</v>
      </c>
      <c r="CI316">
        <v>0</v>
      </c>
      <c r="CJ316">
        <v>4</v>
      </c>
      <c r="CK316">
        <v>1</v>
      </c>
      <c r="CL316">
        <v>17</v>
      </c>
      <c r="CM316">
        <v>13</v>
      </c>
      <c r="CN316">
        <v>18</v>
      </c>
      <c r="CO316">
        <v>17</v>
      </c>
      <c r="CP316">
        <v>0</v>
      </c>
      <c r="CQ316">
        <v>0</v>
      </c>
      <c r="CR316">
        <v>0</v>
      </c>
      <c r="CS316">
        <v>0</v>
      </c>
      <c r="CT316">
        <v>0</v>
      </c>
      <c r="CU316">
        <v>0</v>
      </c>
      <c r="CV316">
        <v>0</v>
      </c>
      <c r="CW316">
        <v>0</v>
      </c>
      <c r="CX316">
        <v>65.5</v>
      </c>
      <c r="CY316">
        <v>50.5</v>
      </c>
      <c r="CZ316">
        <v>80.7</v>
      </c>
      <c r="DA316">
        <v>69.5</v>
      </c>
      <c r="DB316">
        <v>60</v>
      </c>
      <c r="DC316">
        <v>43.2</v>
      </c>
      <c r="DD316">
        <v>65.7</v>
      </c>
      <c r="DE316">
        <v>57.7</v>
      </c>
      <c r="DF316">
        <v>65.5</v>
      </c>
      <c r="DG316">
        <v>50.5</v>
      </c>
      <c r="DH316">
        <v>80.7</v>
      </c>
      <c r="DI316">
        <v>69.5</v>
      </c>
      <c r="DJ316">
        <v>60</v>
      </c>
      <c r="DK316">
        <v>43.2</v>
      </c>
      <c r="DL316">
        <v>65.7</v>
      </c>
      <c r="DM316">
        <v>57.7</v>
      </c>
      <c r="DN316">
        <v>0</v>
      </c>
      <c r="DO316">
        <v>0</v>
      </c>
      <c r="DP316">
        <v>0</v>
      </c>
      <c r="DQ316">
        <v>0</v>
      </c>
      <c r="DR316">
        <v>0</v>
      </c>
      <c r="DS316">
        <v>0</v>
      </c>
      <c r="DT316">
        <v>0</v>
      </c>
      <c r="DU316">
        <v>0</v>
      </c>
      <c r="DV316" t="s">
        <v>575</v>
      </c>
    </row>
    <row r="317" spans="1:126" x14ac:dyDescent="0.35">
      <c r="A317" t="s">
        <v>584</v>
      </c>
      <c r="B317">
        <v>230103</v>
      </c>
      <c r="C317" s="1">
        <v>44929</v>
      </c>
      <c r="D317" t="s">
        <v>585</v>
      </c>
      <c r="E317" t="s">
        <v>231</v>
      </c>
      <c r="F317" t="s">
        <v>185</v>
      </c>
      <c r="G317" t="s">
        <v>463</v>
      </c>
      <c r="H317">
        <v>17012</v>
      </c>
      <c r="I317" s="17">
        <v>28</v>
      </c>
      <c r="J317" s="17">
        <v>4640</v>
      </c>
      <c r="K317">
        <v>115</v>
      </c>
      <c r="L317">
        <v>15571</v>
      </c>
      <c r="M317">
        <v>10694</v>
      </c>
      <c r="N317">
        <v>15714</v>
      </c>
      <c r="O317">
        <v>15449</v>
      </c>
      <c r="P317">
        <v>1298</v>
      </c>
      <c r="Q317">
        <v>1563</v>
      </c>
      <c r="R317">
        <v>17012</v>
      </c>
      <c r="S317">
        <v>28</v>
      </c>
      <c r="T317">
        <v>4640</v>
      </c>
      <c r="U317">
        <v>115</v>
      </c>
      <c r="V317">
        <v>15571</v>
      </c>
      <c r="W317">
        <v>10694</v>
      </c>
      <c r="X317">
        <v>15714</v>
      </c>
      <c r="Y317">
        <v>15449</v>
      </c>
      <c r="Z317">
        <v>1298</v>
      </c>
      <c r="AA317">
        <v>1563</v>
      </c>
      <c r="AB317">
        <v>0</v>
      </c>
      <c r="AC317">
        <v>0</v>
      </c>
      <c r="AD317">
        <v>0</v>
      </c>
      <c r="AE317">
        <v>0</v>
      </c>
      <c r="AF317">
        <v>0</v>
      </c>
      <c r="AG317">
        <v>0</v>
      </c>
      <c r="AH317">
        <v>0</v>
      </c>
      <c r="AI317">
        <v>0</v>
      </c>
      <c r="AJ317">
        <v>0</v>
      </c>
      <c r="AK317">
        <v>0</v>
      </c>
      <c r="AL317">
        <v>980</v>
      </c>
      <c r="AM317">
        <v>0</v>
      </c>
      <c r="AN317">
        <v>660</v>
      </c>
      <c r="AO317">
        <v>0</v>
      </c>
      <c r="AP317">
        <v>1015</v>
      </c>
      <c r="AQ317">
        <v>295</v>
      </c>
      <c r="AR317">
        <v>1015</v>
      </c>
      <c r="AS317">
        <v>955</v>
      </c>
      <c r="AT317">
        <v>-35</v>
      </c>
      <c r="AU317">
        <v>25</v>
      </c>
      <c r="AV317">
        <v>100</v>
      </c>
      <c r="AW317">
        <v>0.2</v>
      </c>
      <c r="AX317">
        <v>27.3</v>
      </c>
      <c r="AY317">
        <v>0.7</v>
      </c>
      <c r="AZ317">
        <v>91.5</v>
      </c>
      <c r="BA317">
        <v>62.9</v>
      </c>
      <c r="BB317">
        <v>92.4</v>
      </c>
      <c r="BC317">
        <v>90.8</v>
      </c>
      <c r="BD317">
        <v>7.6</v>
      </c>
      <c r="BE317">
        <v>9.1999999999999993</v>
      </c>
      <c r="BF317">
        <v>100</v>
      </c>
      <c r="BG317">
        <v>0.2</v>
      </c>
      <c r="BH317">
        <v>27.3</v>
      </c>
      <c r="BI317">
        <v>0.7</v>
      </c>
      <c r="BJ317">
        <v>91.5</v>
      </c>
      <c r="BK317">
        <v>62.9</v>
      </c>
      <c r="BL317">
        <v>92.4</v>
      </c>
      <c r="BM317">
        <v>90.8</v>
      </c>
      <c r="BN317">
        <v>7.6</v>
      </c>
      <c r="BO317">
        <v>9.1999999999999993</v>
      </c>
      <c r="BP317">
        <v>0</v>
      </c>
      <c r="BQ317">
        <v>0</v>
      </c>
      <c r="BR317">
        <v>0</v>
      </c>
      <c r="BS317">
        <v>0</v>
      </c>
      <c r="BT317">
        <v>0</v>
      </c>
      <c r="BU317">
        <v>0</v>
      </c>
      <c r="BV317">
        <v>0</v>
      </c>
      <c r="BW317">
        <v>0</v>
      </c>
      <c r="BX317">
        <v>0</v>
      </c>
      <c r="BY317">
        <v>0</v>
      </c>
      <c r="BZ317">
        <v>26</v>
      </c>
      <c r="CA317">
        <v>1</v>
      </c>
      <c r="CB317">
        <v>3</v>
      </c>
      <c r="CC317">
        <v>2</v>
      </c>
      <c r="CD317">
        <v>19</v>
      </c>
      <c r="CE317">
        <v>16</v>
      </c>
      <c r="CF317">
        <v>22</v>
      </c>
      <c r="CG317">
        <v>19</v>
      </c>
      <c r="CH317">
        <v>26</v>
      </c>
      <c r="CI317">
        <v>1</v>
      </c>
      <c r="CJ317">
        <v>3</v>
      </c>
      <c r="CK317">
        <v>2</v>
      </c>
      <c r="CL317">
        <v>19</v>
      </c>
      <c r="CM317">
        <v>16</v>
      </c>
      <c r="CN317">
        <v>22</v>
      </c>
      <c r="CO317">
        <v>19</v>
      </c>
      <c r="CP317">
        <v>0</v>
      </c>
      <c r="CQ317">
        <v>0</v>
      </c>
      <c r="CR317">
        <v>0</v>
      </c>
      <c r="CS317">
        <v>0</v>
      </c>
      <c r="CT317">
        <v>0</v>
      </c>
      <c r="CU317">
        <v>0</v>
      </c>
      <c r="CV317">
        <v>0</v>
      </c>
      <c r="CW317">
        <v>0</v>
      </c>
      <c r="CX317">
        <v>55.2</v>
      </c>
      <c r="CY317">
        <v>51.6</v>
      </c>
      <c r="CZ317">
        <v>73.2</v>
      </c>
      <c r="DA317">
        <v>73.599999999999994</v>
      </c>
      <c r="DB317">
        <v>48.9</v>
      </c>
      <c r="DC317">
        <v>42</v>
      </c>
      <c r="DD317">
        <v>56.6</v>
      </c>
      <c r="DE317">
        <v>53.1</v>
      </c>
      <c r="DF317">
        <v>55.2</v>
      </c>
      <c r="DG317">
        <v>51.6</v>
      </c>
      <c r="DH317">
        <v>73.2</v>
      </c>
      <c r="DI317">
        <v>73.599999999999994</v>
      </c>
      <c r="DJ317">
        <v>48.9</v>
      </c>
      <c r="DK317">
        <v>42</v>
      </c>
      <c r="DL317">
        <v>56.6</v>
      </c>
      <c r="DM317">
        <v>53.1</v>
      </c>
      <c r="DN317">
        <v>0</v>
      </c>
      <c r="DO317">
        <v>0</v>
      </c>
      <c r="DP317">
        <v>0</v>
      </c>
      <c r="DQ317">
        <v>0</v>
      </c>
      <c r="DR317">
        <v>0</v>
      </c>
      <c r="DS317">
        <v>0</v>
      </c>
      <c r="DT317">
        <v>0</v>
      </c>
      <c r="DU317">
        <v>0</v>
      </c>
      <c r="DV317" t="s">
        <v>575</v>
      </c>
    </row>
    <row r="318" spans="1:126" x14ac:dyDescent="0.35">
      <c r="A318" t="s">
        <v>586</v>
      </c>
      <c r="B318">
        <v>230103</v>
      </c>
      <c r="C318" s="1">
        <v>44929</v>
      </c>
      <c r="D318" t="s">
        <v>587</v>
      </c>
      <c r="E318" t="s">
        <v>231</v>
      </c>
      <c r="F318" t="s">
        <v>185</v>
      </c>
      <c r="G318" t="s">
        <v>463</v>
      </c>
      <c r="H318">
        <v>17346</v>
      </c>
      <c r="I318" s="17">
        <v>1785</v>
      </c>
      <c r="J318" s="17">
        <v>685</v>
      </c>
      <c r="K318">
        <v>575</v>
      </c>
      <c r="L318">
        <v>14003</v>
      </c>
      <c r="M318">
        <v>15171</v>
      </c>
      <c r="N318">
        <v>16363</v>
      </c>
      <c r="O318">
        <v>16431</v>
      </c>
      <c r="P318">
        <v>983</v>
      </c>
      <c r="Q318">
        <v>915</v>
      </c>
      <c r="R318">
        <v>17346</v>
      </c>
      <c r="S318">
        <v>1785</v>
      </c>
      <c r="T318">
        <v>685</v>
      </c>
      <c r="U318">
        <v>575</v>
      </c>
      <c r="V318">
        <v>14003</v>
      </c>
      <c r="W318">
        <v>15171</v>
      </c>
      <c r="X318">
        <v>16363</v>
      </c>
      <c r="Y318">
        <v>16431</v>
      </c>
      <c r="Z318">
        <v>983</v>
      </c>
      <c r="AA318">
        <v>915</v>
      </c>
      <c r="AB318">
        <v>0</v>
      </c>
      <c r="AC318">
        <v>0</v>
      </c>
      <c r="AD318">
        <v>0</v>
      </c>
      <c r="AE318">
        <v>0</v>
      </c>
      <c r="AF318">
        <v>0</v>
      </c>
      <c r="AG318">
        <v>0</v>
      </c>
      <c r="AH318">
        <v>0</v>
      </c>
      <c r="AI318">
        <v>0</v>
      </c>
      <c r="AJ318">
        <v>0</v>
      </c>
      <c r="AK318">
        <v>0</v>
      </c>
      <c r="AL318">
        <v>-350</v>
      </c>
      <c r="AM318">
        <v>-900</v>
      </c>
      <c r="AN318">
        <v>0</v>
      </c>
      <c r="AO318">
        <v>550</v>
      </c>
      <c r="AP318">
        <v>150</v>
      </c>
      <c r="AQ318">
        <v>-750</v>
      </c>
      <c r="AR318">
        <v>-200</v>
      </c>
      <c r="AS318">
        <v>-200</v>
      </c>
      <c r="AT318">
        <v>-150</v>
      </c>
      <c r="AU318">
        <v>-150</v>
      </c>
      <c r="AV318">
        <v>100</v>
      </c>
      <c r="AW318">
        <v>10.3</v>
      </c>
      <c r="AX318">
        <v>3.9</v>
      </c>
      <c r="AY318">
        <v>3.3</v>
      </c>
      <c r="AZ318">
        <v>80.7</v>
      </c>
      <c r="BA318">
        <v>87.5</v>
      </c>
      <c r="BB318">
        <v>94.3</v>
      </c>
      <c r="BC318">
        <v>94.7</v>
      </c>
      <c r="BD318">
        <v>5.7</v>
      </c>
      <c r="BE318">
        <v>5.3</v>
      </c>
      <c r="BF318">
        <v>100</v>
      </c>
      <c r="BG318">
        <v>10.3</v>
      </c>
      <c r="BH318">
        <v>3.9</v>
      </c>
      <c r="BI318">
        <v>3.3</v>
      </c>
      <c r="BJ318">
        <v>80.7</v>
      </c>
      <c r="BK318">
        <v>87.5</v>
      </c>
      <c r="BL318">
        <v>94.3</v>
      </c>
      <c r="BM318">
        <v>94.7</v>
      </c>
      <c r="BN318">
        <v>5.7</v>
      </c>
      <c r="BO318">
        <v>5.3</v>
      </c>
      <c r="BP318">
        <v>0</v>
      </c>
      <c r="BQ318">
        <v>0</v>
      </c>
      <c r="BR318">
        <v>0</v>
      </c>
      <c r="BS318">
        <v>0</v>
      </c>
      <c r="BT318">
        <v>0</v>
      </c>
      <c r="BU318">
        <v>0</v>
      </c>
      <c r="BV318">
        <v>0</v>
      </c>
      <c r="BW318">
        <v>0</v>
      </c>
      <c r="BX318">
        <v>0</v>
      </c>
      <c r="BY318">
        <v>0</v>
      </c>
      <c r="BZ318">
        <v>20</v>
      </c>
      <c r="CA318">
        <v>1</v>
      </c>
      <c r="CB318">
        <v>1</v>
      </c>
      <c r="CC318">
        <v>1</v>
      </c>
      <c r="CD318">
        <v>15</v>
      </c>
      <c r="CE318">
        <v>14</v>
      </c>
      <c r="CF318">
        <v>16</v>
      </c>
      <c r="CG318">
        <v>16</v>
      </c>
      <c r="CH318">
        <v>20</v>
      </c>
      <c r="CI318">
        <v>1</v>
      </c>
      <c r="CJ318">
        <v>1</v>
      </c>
      <c r="CK318">
        <v>1</v>
      </c>
      <c r="CL318">
        <v>15</v>
      </c>
      <c r="CM318">
        <v>14</v>
      </c>
      <c r="CN318">
        <v>16</v>
      </c>
      <c r="CO318">
        <v>16</v>
      </c>
      <c r="CP318">
        <v>0</v>
      </c>
      <c r="CQ318">
        <v>0</v>
      </c>
      <c r="CR318">
        <v>0</v>
      </c>
      <c r="CS318">
        <v>0</v>
      </c>
      <c r="CT318">
        <v>0</v>
      </c>
      <c r="CU318">
        <v>0</v>
      </c>
      <c r="CV318">
        <v>0</v>
      </c>
      <c r="CW318">
        <v>0</v>
      </c>
      <c r="CX318">
        <v>63.7</v>
      </c>
      <c r="CY318">
        <v>71.5</v>
      </c>
      <c r="CZ318">
        <v>81.8</v>
      </c>
      <c r="DA318">
        <v>86</v>
      </c>
      <c r="DB318">
        <v>53.2</v>
      </c>
      <c r="DC318">
        <v>64.900000000000006</v>
      </c>
      <c r="DD318">
        <v>69.7</v>
      </c>
      <c r="DE318">
        <v>73.3</v>
      </c>
      <c r="DF318">
        <v>63.7</v>
      </c>
      <c r="DG318">
        <v>71.5</v>
      </c>
      <c r="DH318">
        <v>81.8</v>
      </c>
      <c r="DI318">
        <v>86</v>
      </c>
      <c r="DJ318">
        <v>53.2</v>
      </c>
      <c r="DK318">
        <v>64.900000000000006</v>
      </c>
      <c r="DL318">
        <v>69.7</v>
      </c>
      <c r="DM318">
        <v>73.3</v>
      </c>
      <c r="DN318">
        <v>0</v>
      </c>
      <c r="DO318">
        <v>0</v>
      </c>
      <c r="DP318">
        <v>0</v>
      </c>
      <c r="DQ318">
        <v>0</v>
      </c>
      <c r="DR318">
        <v>0</v>
      </c>
      <c r="DS318">
        <v>0</v>
      </c>
      <c r="DT318">
        <v>0</v>
      </c>
      <c r="DU318">
        <v>0</v>
      </c>
      <c r="DV318" t="s">
        <v>575</v>
      </c>
    </row>
    <row r="319" spans="1:126" x14ac:dyDescent="0.35">
      <c r="A319" t="s">
        <v>588</v>
      </c>
      <c r="B319">
        <v>230110</v>
      </c>
      <c r="C319" s="1">
        <v>44936</v>
      </c>
      <c r="D319" t="s">
        <v>589</v>
      </c>
      <c r="E319" t="s">
        <v>231</v>
      </c>
      <c r="F319" t="s">
        <v>185</v>
      </c>
      <c r="G319" t="s">
        <v>463</v>
      </c>
      <c r="H319">
        <v>80153</v>
      </c>
      <c r="I319" s="17">
        <v>3870</v>
      </c>
      <c r="J319" s="17">
        <v>3660</v>
      </c>
      <c r="K319">
        <v>900</v>
      </c>
      <c r="L319">
        <v>62679</v>
      </c>
      <c r="M319">
        <v>62809</v>
      </c>
      <c r="N319">
        <v>67449</v>
      </c>
      <c r="O319">
        <v>67369</v>
      </c>
      <c r="P319">
        <v>12704</v>
      </c>
      <c r="Q319">
        <v>12784</v>
      </c>
      <c r="R319">
        <v>80153</v>
      </c>
      <c r="S319">
        <v>3870</v>
      </c>
      <c r="T319">
        <v>3660</v>
      </c>
      <c r="U319">
        <v>900</v>
      </c>
      <c r="V319">
        <v>62679</v>
      </c>
      <c r="W319">
        <v>62809</v>
      </c>
      <c r="X319">
        <v>67449</v>
      </c>
      <c r="Y319">
        <v>67369</v>
      </c>
      <c r="Z319">
        <v>12704</v>
      </c>
      <c r="AA319">
        <v>12784</v>
      </c>
      <c r="AB319">
        <v>0</v>
      </c>
      <c r="AC319">
        <v>0</v>
      </c>
      <c r="AD319">
        <v>0</v>
      </c>
      <c r="AE319">
        <v>0</v>
      </c>
      <c r="AF319">
        <v>0</v>
      </c>
      <c r="AG319">
        <v>0</v>
      </c>
      <c r="AH319">
        <v>0</v>
      </c>
      <c r="AI319">
        <v>0</v>
      </c>
      <c r="AJ319">
        <v>0</v>
      </c>
      <c r="AK319">
        <v>0</v>
      </c>
      <c r="AL319">
        <v>-3765</v>
      </c>
      <c r="AM319">
        <v>-380</v>
      </c>
      <c r="AN319">
        <v>555</v>
      </c>
      <c r="AO319">
        <v>-515</v>
      </c>
      <c r="AP319">
        <v>-2477</v>
      </c>
      <c r="AQ319">
        <v>-3424</v>
      </c>
      <c r="AR319">
        <v>-3372</v>
      </c>
      <c r="AS319">
        <v>-3384</v>
      </c>
      <c r="AT319">
        <v>-393</v>
      </c>
      <c r="AU319">
        <v>-381</v>
      </c>
      <c r="AV319">
        <v>100</v>
      </c>
      <c r="AW319">
        <v>4.8</v>
      </c>
      <c r="AX319">
        <v>4.5999999999999996</v>
      </c>
      <c r="AY319">
        <v>1.1000000000000001</v>
      </c>
      <c r="AZ319">
        <v>78.2</v>
      </c>
      <c r="BA319">
        <v>78.400000000000006</v>
      </c>
      <c r="BB319">
        <v>84.2</v>
      </c>
      <c r="BC319">
        <v>84.1</v>
      </c>
      <c r="BD319">
        <v>15.8</v>
      </c>
      <c r="BE319">
        <v>15.9</v>
      </c>
      <c r="BF319">
        <v>100</v>
      </c>
      <c r="BG319">
        <v>4.8</v>
      </c>
      <c r="BH319">
        <v>4.5999999999999996</v>
      </c>
      <c r="BI319">
        <v>1.1000000000000001</v>
      </c>
      <c r="BJ319">
        <v>78.2</v>
      </c>
      <c r="BK319">
        <v>78.400000000000006</v>
      </c>
      <c r="BL319">
        <v>84.2</v>
      </c>
      <c r="BM319">
        <v>84.1</v>
      </c>
      <c r="BN319">
        <v>15.8</v>
      </c>
      <c r="BO319">
        <v>15.9</v>
      </c>
      <c r="BP319">
        <v>0</v>
      </c>
      <c r="BQ319">
        <v>0</v>
      </c>
      <c r="BR319">
        <v>0</v>
      </c>
      <c r="BS319">
        <v>0</v>
      </c>
      <c r="BT319">
        <v>0</v>
      </c>
      <c r="BU319">
        <v>0</v>
      </c>
      <c r="BV319">
        <v>0</v>
      </c>
      <c r="BW319">
        <v>0</v>
      </c>
      <c r="BX319">
        <v>0</v>
      </c>
      <c r="BY319">
        <v>0</v>
      </c>
      <c r="BZ319">
        <v>32</v>
      </c>
      <c r="CA319">
        <v>2</v>
      </c>
      <c r="CB319">
        <v>4</v>
      </c>
      <c r="CC319">
        <v>1</v>
      </c>
      <c r="CD319">
        <v>21</v>
      </c>
      <c r="CE319">
        <v>26</v>
      </c>
      <c r="CF319">
        <v>24</v>
      </c>
      <c r="CG319">
        <v>30</v>
      </c>
      <c r="CH319">
        <v>32</v>
      </c>
      <c r="CI319">
        <v>2</v>
      </c>
      <c r="CJ319">
        <v>4</v>
      </c>
      <c r="CK319">
        <v>1</v>
      </c>
      <c r="CL319">
        <v>21</v>
      </c>
      <c r="CM319">
        <v>26</v>
      </c>
      <c r="CN319">
        <v>24</v>
      </c>
      <c r="CO319">
        <v>30</v>
      </c>
      <c r="CP319">
        <v>0</v>
      </c>
      <c r="CQ319">
        <v>0</v>
      </c>
      <c r="CR319">
        <v>0</v>
      </c>
      <c r="CS319">
        <v>0</v>
      </c>
      <c r="CT319">
        <v>0</v>
      </c>
      <c r="CU319">
        <v>0</v>
      </c>
      <c r="CV319">
        <v>0</v>
      </c>
      <c r="CW319">
        <v>0</v>
      </c>
      <c r="CX319">
        <v>49.4</v>
      </c>
      <c r="CY319">
        <v>39.1</v>
      </c>
      <c r="CZ319">
        <v>64.400000000000006</v>
      </c>
      <c r="DA319">
        <v>60.4</v>
      </c>
      <c r="DB319">
        <v>44.4</v>
      </c>
      <c r="DC319">
        <v>38.200000000000003</v>
      </c>
      <c r="DD319">
        <v>58.1</v>
      </c>
      <c r="DE319">
        <v>56</v>
      </c>
      <c r="DF319">
        <v>49.4</v>
      </c>
      <c r="DG319">
        <v>39.1</v>
      </c>
      <c r="DH319">
        <v>64.400000000000006</v>
      </c>
      <c r="DI319">
        <v>60.4</v>
      </c>
      <c r="DJ319">
        <v>44.4</v>
      </c>
      <c r="DK319">
        <v>38.200000000000003</v>
      </c>
      <c r="DL319">
        <v>58.1</v>
      </c>
      <c r="DM319">
        <v>56</v>
      </c>
      <c r="DN319">
        <v>0</v>
      </c>
      <c r="DO319">
        <v>0</v>
      </c>
      <c r="DP319">
        <v>0</v>
      </c>
      <c r="DQ319">
        <v>0</v>
      </c>
      <c r="DR319">
        <v>0</v>
      </c>
      <c r="DS319">
        <v>0</v>
      </c>
      <c r="DT319">
        <v>0</v>
      </c>
      <c r="DU319">
        <v>0</v>
      </c>
      <c r="DV319" t="s">
        <v>575</v>
      </c>
    </row>
    <row r="320" spans="1:126" x14ac:dyDescent="0.35">
      <c r="A320" t="s">
        <v>588</v>
      </c>
      <c r="B320">
        <v>230103</v>
      </c>
      <c r="C320" s="1">
        <v>44929</v>
      </c>
      <c r="D320" t="s">
        <v>589</v>
      </c>
      <c r="E320" t="s">
        <v>231</v>
      </c>
      <c r="F320" t="s">
        <v>185</v>
      </c>
      <c r="G320" t="s">
        <v>463</v>
      </c>
      <c r="H320">
        <v>83918</v>
      </c>
      <c r="I320" s="17">
        <v>4250</v>
      </c>
      <c r="J320" s="17">
        <v>3105</v>
      </c>
      <c r="K320">
        <v>1415</v>
      </c>
      <c r="L320">
        <v>65156</v>
      </c>
      <c r="M320">
        <v>66233</v>
      </c>
      <c r="N320">
        <v>70821</v>
      </c>
      <c r="O320">
        <v>70753</v>
      </c>
      <c r="P320">
        <v>13097</v>
      </c>
      <c r="Q320">
        <v>13165</v>
      </c>
      <c r="R320">
        <v>83918</v>
      </c>
      <c r="S320">
        <v>4250</v>
      </c>
      <c r="T320">
        <v>3105</v>
      </c>
      <c r="U320">
        <v>1415</v>
      </c>
      <c r="V320">
        <v>65156</v>
      </c>
      <c r="W320">
        <v>66233</v>
      </c>
      <c r="X320">
        <v>70821</v>
      </c>
      <c r="Y320">
        <v>70753</v>
      </c>
      <c r="Z320">
        <v>13097</v>
      </c>
      <c r="AA320">
        <v>13165</v>
      </c>
      <c r="AB320">
        <v>0</v>
      </c>
      <c r="AC320">
        <v>0</v>
      </c>
      <c r="AD320">
        <v>0</v>
      </c>
      <c r="AE320">
        <v>0</v>
      </c>
      <c r="AF320">
        <v>0</v>
      </c>
      <c r="AG320">
        <v>0</v>
      </c>
      <c r="AH320">
        <v>0</v>
      </c>
      <c r="AI320">
        <v>0</v>
      </c>
      <c r="AJ320">
        <v>0</v>
      </c>
      <c r="AK320">
        <v>0</v>
      </c>
      <c r="AL320">
        <v>47</v>
      </c>
      <c r="AM320">
        <v>-200</v>
      </c>
      <c r="AN320">
        <v>0</v>
      </c>
      <c r="AO320">
        <v>0</v>
      </c>
      <c r="AP320">
        <v>220</v>
      </c>
      <c r="AQ320">
        <v>20</v>
      </c>
      <c r="AR320">
        <v>20</v>
      </c>
      <c r="AS320">
        <v>20</v>
      </c>
      <c r="AT320">
        <v>27</v>
      </c>
      <c r="AU320">
        <v>27</v>
      </c>
      <c r="AV320">
        <v>100</v>
      </c>
      <c r="AW320">
        <v>5.0999999999999996</v>
      </c>
      <c r="AX320">
        <v>3.7</v>
      </c>
      <c r="AY320">
        <v>1.7</v>
      </c>
      <c r="AZ320">
        <v>77.599999999999994</v>
      </c>
      <c r="BA320">
        <v>78.900000000000006</v>
      </c>
      <c r="BB320">
        <v>84.4</v>
      </c>
      <c r="BC320">
        <v>84.3</v>
      </c>
      <c r="BD320">
        <v>15.6</v>
      </c>
      <c r="BE320">
        <v>15.7</v>
      </c>
      <c r="BF320">
        <v>100</v>
      </c>
      <c r="BG320">
        <v>5.0999999999999996</v>
      </c>
      <c r="BH320">
        <v>3.7</v>
      </c>
      <c r="BI320">
        <v>1.7</v>
      </c>
      <c r="BJ320">
        <v>77.599999999999994</v>
      </c>
      <c r="BK320">
        <v>78.900000000000006</v>
      </c>
      <c r="BL320">
        <v>84.4</v>
      </c>
      <c r="BM320">
        <v>84.3</v>
      </c>
      <c r="BN320">
        <v>15.6</v>
      </c>
      <c r="BO320">
        <v>15.7</v>
      </c>
      <c r="BP320">
        <v>0</v>
      </c>
      <c r="BQ320">
        <v>0</v>
      </c>
      <c r="BR320">
        <v>0</v>
      </c>
      <c r="BS320">
        <v>0</v>
      </c>
      <c r="BT320">
        <v>0</v>
      </c>
      <c r="BU320">
        <v>0</v>
      </c>
      <c r="BV320">
        <v>0</v>
      </c>
      <c r="BW320">
        <v>0</v>
      </c>
      <c r="BX320">
        <v>0</v>
      </c>
      <c r="BY320">
        <v>0</v>
      </c>
      <c r="BZ320">
        <v>33</v>
      </c>
      <c r="CA320">
        <v>3</v>
      </c>
      <c r="CB320">
        <v>4</v>
      </c>
      <c r="CC320">
        <v>1</v>
      </c>
      <c r="CD320">
        <v>22</v>
      </c>
      <c r="CE320">
        <v>25</v>
      </c>
      <c r="CF320">
        <v>26</v>
      </c>
      <c r="CG320">
        <v>29</v>
      </c>
      <c r="CH320">
        <v>33</v>
      </c>
      <c r="CI320">
        <v>3</v>
      </c>
      <c r="CJ320">
        <v>4</v>
      </c>
      <c r="CK320">
        <v>1</v>
      </c>
      <c r="CL320">
        <v>22</v>
      </c>
      <c r="CM320">
        <v>25</v>
      </c>
      <c r="CN320">
        <v>26</v>
      </c>
      <c r="CO320">
        <v>29</v>
      </c>
      <c r="CP320">
        <v>0</v>
      </c>
      <c r="CQ320">
        <v>0</v>
      </c>
      <c r="CR320">
        <v>0</v>
      </c>
      <c r="CS320">
        <v>0</v>
      </c>
      <c r="CT320">
        <v>0</v>
      </c>
      <c r="CU320">
        <v>0</v>
      </c>
      <c r="CV320">
        <v>0</v>
      </c>
      <c r="CW320">
        <v>0</v>
      </c>
      <c r="CX320">
        <v>49.9</v>
      </c>
      <c r="CY320">
        <v>39.1</v>
      </c>
      <c r="CZ320">
        <v>65.2</v>
      </c>
      <c r="DA320">
        <v>60.2</v>
      </c>
      <c r="DB320">
        <v>45</v>
      </c>
      <c r="DC320">
        <v>38.1</v>
      </c>
      <c r="DD320">
        <v>58.9</v>
      </c>
      <c r="DE320">
        <v>56.5</v>
      </c>
      <c r="DF320">
        <v>49.9</v>
      </c>
      <c r="DG320">
        <v>39.1</v>
      </c>
      <c r="DH320">
        <v>65.2</v>
      </c>
      <c r="DI320">
        <v>60.2</v>
      </c>
      <c r="DJ320">
        <v>45</v>
      </c>
      <c r="DK320">
        <v>38.1</v>
      </c>
      <c r="DL320">
        <v>58.9</v>
      </c>
      <c r="DM320">
        <v>56.5</v>
      </c>
      <c r="DN320">
        <v>0</v>
      </c>
      <c r="DO320">
        <v>0</v>
      </c>
      <c r="DP320">
        <v>0</v>
      </c>
      <c r="DQ320">
        <v>0</v>
      </c>
      <c r="DR320">
        <v>0</v>
      </c>
      <c r="DS320">
        <v>0</v>
      </c>
      <c r="DT320">
        <v>0</v>
      </c>
      <c r="DU320">
        <v>0</v>
      </c>
      <c r="DV320" t="s">
        <v>575</v>
      </c>
    </row>
    <row r="321" spans="1:126" x14ac:dyDescent="0.35">
      <c r="A321" t="s">
        <v>590</v>
      </c>
      <c r="B321">
        <v>230110</v>
      </c>
      <c r="C321" s="1">
        <v>44936</v>
      </c>
      <c r="D321" t="s">
        <v>591</v>
      </c>
      <c r="E321" t="s">
        <v>231</v>
      </c>
      <c r="F321" t="s">
        <v>185</v>
      </c>
      <c r="G321" t="s">
        <v>463</v>
      </c>
      <c r="H321">
        <v>82457</v>
      </c>
      <c r="I321" s="17">
        <v>8279</v>
      </c>
      <c r="J321" s="17">
        <v>2898</v>
      </c>
      <c r="K321">
        <v>900</v>
      </c>
      <c r="L321">
        <v>60655</v>
      </c>
      <c r="M321">
        <v>66006</v>
      </c>
      <c r="N321">
        <v>69834</v>
      </c>
      <c r="O321">
        <v>69804</v>
      </c>
      <c r="P321">
        <v>12623</v>
      </c>
      <c r="Q321">
        <v>12653</v>
      </c>
      <c r="R321">
        <v>82457</v>
      </c>
      <c r="S321">
        <v>8279</v>
      </c>
      <c r="T321">
        <v>2898</v>
      </c>
      <c r="U321">
        <v>900</v>
      </c>
      <c r="V321">
        <v>60655</v>
      </c>
      <c r="W321">
        <v>66006</v>
      </c>
      <c r="X321">
        <v>69834</v>
      </c>
      <c r="Y321">
        <v>69804</v>
      </c>
      <c r="Z321">
        <v>12623</v>
      </c>
      <c r="AA321">
        <v>12653</v>
      </c>
      <c r="AB321">
        <v>0</v>
      </c>
      <c r="AC321">
        <v>0</v>
      </c>
      <c r="AD321">
        <v>0</v>
      </c>
      <c r="AE321">
        <v>0</v>
      </c>
      <c r="AF321">
        <v>0</v>
      </c>
      <c r="AG321">
        <v>0</v>
      </c>
      <c r="AH321">
        <v>0</v>
      </c>
      <c r="AI321">
        <v>0</v>
      </c>
      <c r="AJ321">
        <v>0</v>
      </c>
      <c r="AK321">
        <v>0</v>
      </c>
      <c r="AL321">
        <v>-3207</v>
      </c>
      <c r="AM321">
        <v>485</v>
      </c>
      <c r="AN321">
        <v>869</v>
      </c>
      <c r="AO321">
        <v>-778</v>
      </c>
      <c r="AP321">
        <v>-2571</v>
      </c>
      <c r="AQ321">
        <v>-2982</v>
      </c>
      <c r="AR321">
        <v>-2864</v>
      </c>
      <c r="AS321">
        <v>-2891</v>
      </c>
      <c r="AT321">
        <v>-343</v>
      </c>
      <c r="AU321">
        <v>-316</v>
      </c>
      <c r="AV321">
        <v>100</v>
      </c>
      <c r="AW321">
        <v>10</v>
      </c>
      <c r="AX321">
        <v>3.5</v>
      </c>
      <c r="AY321">
        <v>1.1000000000000001</v>
      </c>
      <c r="AZ321">
        <v>73.599999999999994</v>
      </c>
      <c r="BA321">
        <v>80</v>
      </c>
      <c r="BB321">
        <v>84.7</v>
      </c>
      <c r="BC321">
        <v>84.7</v>
      </c>
      <c r="BD321">
        <v>15.3</v>
      </c>
      <c r="BE321">
        <v>15.3</v>
      </c>
      <c r="BF321">
        <v>100</v>
      </c>
      <c r="BG321">
        <v>10</v>
      </c>
      <c r="BH321">
        <v>3.5</v>
      </c>
      <c r="BI321">
        <v>1.1000000000000001</v>
      </c>
      <c r="BJ321">
        <v>73.599999999999994</v>
      </c>
      <c r="BK321">
        <v>80</v>
      </c>
      <c r="BL321">
        <v>84.7</v>
      </c>
      <c r="BM321">
        <v>84.7</v>
      </c>
      <c r="BN321">
        <v>15.3</v>
      </c>
      <c r="BO321">
        <v>15.3</v>
      </c>
      <c r="BP321">
        <v>0</v>
      </c>
      <c r="BQ321">
        <v>0</v>
      </c>
      <c r="BR321">
        <v>0</v>
      </c>
      <c r="BS321">
        <v>0</v>
      </c>
      <c r="BT321">
        <v>0</v>
      </c>
      <c r="BU321">
        <v>0</v>
      </c>
      <c r="BV321">
        <v>0</v>
      </c>
      <c r="BW321">
        <v>0</v>
      </c>
      <c r="BX321">
        <v>0</v>
      </c>
      <c r="BY321">
        <v>0</v>
      </c>
      <c r="BZ321">
        <v>34</v>
      </c>
      <c r="CA321">
        <v>3</v>
      </c>
      <c r="CB321">
        <v>4</v>
      </c>
      <c r="CC321">
        <v>1</v>
      </c>
      <c r="CD321">
        <v>24</v>
      </c>
      <c r="CE321">
        <v>24</v>
      </c>
      <c r="CF321">
        <v>28</v>
      </c>
      <c r="CG321">
        <v>28</v>
      </c>
      <c r="CH321">
        <v>34</v>
      </c>
      <c r="CI321">
        <v>3</v>
      </c>
      <c r="CJ321">
        <v>4</v>
      </c>
      <c r="CK321">
        <v>1</v>
      </c>
      <c r="CL321">
        <v>24</v>
      </c>
      <c r="CM321">
        <v>24</v>
      </c>
      <c r="CN321">
        <v>28</v>
      </c>
      <c r="CO321">
        <v>28</v>
      </c>
      <c r="CP321">
        <v>0</v>
      </c>
      <c r="CQ321">
        <v>0</v>
      </c>
      <c r="CR321">
        <v>0</v>
      </c>
      <c r="CS321">
        <v>0</v>
      </c>
      <c r="CT321">
        <v>0</v>
      </c>
      <c r="CU321">
        <v>0</v>
      </c>
      <c r="CV321">
        <v>0</v>
      </c>
      <c r="CW321">
        <v>0</v>
      </c>
      <c r="CX321">
        <v>42.9</v>
      </c>
      <c r="CY321">
        <v>43</v>
      </c>
      <c r="CZ321">
        <v>60.2</v>
      </c>
      <c r="DA321">
        <v>63.2</v>
      </c>
      <c r="DB321">
        <v>37.799999999999997</v>
      </c>
      <c r="DC321">
        <v>40.4</v>
      </c>
      <c r="DD321">
        <v>54.8</v>
      </c>
      <c r="DE321">
        <v>57.8</v>
      </c>
      <c r="DF321">
        <v>42.9</v>
      </c>
      <c r="DG321">
        <v>43</v>
      </c>
      <c r="DH321">
        <v>60.2</v>
      </c>
      <c r="DI321">
        <v>63.2</v>
      </c>
      <c r="DJ321">
        <v>37.799999999999997</v>
      </c>
      <c r="DK321">
        <v>40.4</v>
      </c>
      <c r="DL321">
        <v>54.8</v>
      </c>
      <c r="DM321">
        <v>57.8</v>
      </c>
      <c r="DN321">
        <v>0</v>
      </c>
      <c r="DO321">
        <v>0</v>
      </c>
      <c r="DP321">
        <v>0</v>
      </c>
      <c r="DQ321">
        <v>0</v>
      </c>
      <c r="DR321">
        <v>0</v>
      </c>
      <c r="DS321">
        <v>0</v>
      </c>
      <c r="DT321">
        <v>0</v>
      </c>
      <c r="DU321">
        <v>0</v>
      </c>
      <c r="DV321" t="s">
        <v>575</v>
      </c>
    </row>
    <row r="322" spans="1:126" x14ac:dyDescent="0.35">
      <c r="A322" t="s">
        <v>590</v>
      </c>
      <c r="B322">
        <v>230103</v>
      </c>
      <c r="C322" s="1">
        <v>44929</v>
      </c>
      <c r="D322" t="s">
        <v>591</v>
      </c>
      <c r="E322" t="s">
        <v>231</v>
      </c>
      <c r="F322" t="s">
        <v>185</v>
      </c>
      <c r="G322" t="s">
        <v>463</v>
      </c>
      <c r="H322">
        <v>85664</v>
      </c>
      <c r="I322" s="17">
        <v>7794</v>
      </c>
      <c r="J322" s="17">
        <v>2029</v>
      </c>
      <c r="K322">
        <v>1678</v>
      </c>
      <c r="L322">
        <v>63226</v>
      </c>
      <c r="M322">
        <v>68988</v>
      </c>
      <c r="N322">
        <v>72698</v>
      </c>
      <c r="O322">
        <v>72695</v>
      </c>
      <c r="P322">
        <v>12966</v>
      </c>
      <c r="Q322">
        <v>12969</v>
      </c>
      <c r="R322">
        <v>85664</v>
      </c>
      <c r="S322">
        <v>7794</v>
      </c>
      <c r="T322">
        <v>2029</v>
      </c>
      <c r="U322">
        <v>1678</v>
      </c>
      <c r="V322">
        <v>63226</v>
      </c>
      <c r="W322">
        <v>68988</v>
      </c>
      <c r="X322">
        <v>72698</v>
      </c>
      <c r="Y322">
        <v>72695</v>
      </c>
      <c r="Z322">
        <v>12966</v>
      </c>
      <c r="AA322">
        <v>12969</v>
      </c>
      <c r="AB322">
        <v>0</v>
      </c>
      <c r="AC322">
        <v>0</v>
      </c>
      <c r="AD322">
        <v>0</v>
      </c>
      <c r="AE322">
        <v>0</v>
      </c>
      <c r="AF322">
        <v>0</v>
      </c>
      <c r="AG322">
        <v>0</v>
      </c>
      <c r="AH322">
        <v>0</v>
      </c>
      <c r="AI322">
        <v>0</v>
      </c>
      <c r="AJ322">
        <v>0</v>
      </c>
      <c r="AK322">
        <v>0</v>
      </c>
      <c r="AL322">
        <v>48</v>
      </c>
      <c r="AM322">
        <v>-200</v>
      </c>
      <c r="AN322">
        <v>0</v>
      </c>
      <c r="AO322">
        <v>0</v>
      </c>
      <c r="AP322">
        <v>164</v>
      </c>
      <c r="AQ322">
        <v>-36</v>
      </c>
      <c r="AR322">
        <v>-36</v>
      </c>
      <c r="AS322">
        <v>-36</v>
      </c>
      <c r="AT322">
        <v>84</v>
      </c>
      <c r="AU322">
        <v>84</v>
      </c>
      <c r="AV322">
        <v>100</v>
      </c>
      <c r="AW322">
        <v>9.1</v>
      </c>
      <c r="AX322">
        <v>2.4</v>
      </c>
      <c r="AY322">
        <v>2</v>
      </c>
      <c r="AZ322">
        <v>73.8</v>
      </c>
      <c r="BA322">
        <v>80.5</v>
      </c>
      <c r="BB322">
        <v>84.9</v>
      </c>
      <c r="BC322">
        <v>84.9</v>
      </c>
      <c r="BD322">
        <v>15.1</v>
      </c>
      <c r="BE322">
        <v>15.1</v>
      </c>
      <c r="BF322">
        <v>100</v>
      </c>
      <c r="BG322">
        <v>9.1</v>
      </c>
      <c r="BH322">
        <v>2.4</v>
      </c>
      <c r="BI322">
        <v>2</v>
      </c>
      <c r="BJ322">
        <v>73.8</v>
      </c>
      <c r="BK322">
        <v>80.5</v>
      </c>
      <c r="BL322">
        <v>84.9</v>
      </c>
      <c r="BM322">
        <v>84.9</v>
      </c>
      <c r="BN322">
        <v>15.1</v>
      </c>
      <c r="BO322">
        <v>15.1</v>
      </c>
      <c r="BP322">
        <v>0</v>
      </c>
      <c r="BQ322">
        <v>0</v>
      </c>
      <c r="BR322">
        <v>0</v>
      </c>
      <c r="BS322">
        <v>0</v>
      </c>
      <c r="BT322">
        <v>0</v>
      </c>
      <c r="BU322">
        <v>0</v>
      </c>
      <c r="BV322">
        <v>0</v>
      </c>
      <c r="BW322">
        <v>0</v>
      </c>
      <c r="BX322">
        <v>0</v>
      </c>
      <c r="BY322">
        <v>0</v>
      </c>
      <c r="BZ322">
        <v>36</v>
      </c>
      <c r="CA322">
        <v>4</v>
      </c>
      <c r="CB322">
        <v>4</v>
      </c>
      <c r="CC322">
        <v>2</v>
      </c>
      <c r="CD322">
        <v>26</v>
      </c>
      <c r="CE322">
        <v>24</v>
      </c>
      <c r="CF322">
        <v>32</v>
      </c>
      <c r="CG322">
        <v>28</v>
      </c>
      <c r="CH322">
        <v>36</v>
      </c>
      <c r="CI322">
        <v>4</v>
      </c>
      <c r="CJ322">
        <v>4</v>
      </c>
      <c r="CK322">
        <v>2</v>
      </c>
      <c r="CL322">
        <v>26</v>
      </c>
      <c r="CM322">
        <v>24</v>
      </c>
      <c r="CN322">
        <v>32</v>
      </c>
      <c r="CO322">
        <v>28</v>
      </c>
      <c r="CP322">
        <v>0</v>
      </c>
      <c r="CQ322">
        <v>0</v>
      </c>
      <c r="CR322">
        <v>0</v>
      </c>
      <c r="CS322">
        <v>0</v>
      </c>
      <c r="CT322">
        <v>0</v>
      </c>
      <c r="CU322">
        <v>0</v>
      </c>
      <c r="CV322">
        <v>0</v>
      </c>
      <c r="CW322">
        <v>0</v>
      </c>
      <c r="CX322">
        <v>43</v>
      </c>
      <c r="CY322">
        <v>41.5</v>
      </c>
      <c r="CZ322">
        <v>60</v>
      </c>
      <c r="DA322">
        <v>62.1</v>
      </c>
      <c r="DB322">
        <v>38</v>
      </c>
      <c r="DC322">
        <v>39.4</v>
      </c>
      <c r="DD322">
        <v>54.5</v>
      </c>
      <c r="DE322">
        <v>57</v>
      </c>
      <c r="DF322">
        <v>43</v>
      </c>
      <c r="DG322">
        <v>41.5</v>
      </c>
      <c r="DH322">
        <v>60</v>
      </c>
      <c r="DI322">
        <v>62.1</v>
      </c>
      <c r="DJ322">
        <v>38</v>
      </c>
      <c r="DK322">
        <v>39.4</v>
      </c>
      <c r="DL322">
        <v>54.5</v>
      </c>
      <c r="DM322">
        <v>57</v>
      </c>
      <c r="DN322">
        <v>0</v>
      </c>
      <c r="DO322">
        <v>0</v>
      </c>
      <c r="DP322">
        <v>0</v>
      </c>
      <c r="DQ322">
        <v>0</v>
      </c>
      <c r="DR322">
        <v>0</v>
      </c>
      <c r="DS322">
        <v>0</v>
      </c>
      <c r="DT322">
        <v>0</v>
      </c>
      <c r="DU322">
        <v>0</v>
      </c>
      <c r="DV322" t="s">
        <v>575</v>
      </c>
    </row>
    <row r="323" spans="1:126" x14ac:dyDescent="0.35">
      <c r="A323" t="s">
        <v>592</v>
      </c>
      <c r="B323">
        <v>230110</v>
      </c>
      <c r="C323" s="1">
        <v>44936</v>
      </c>
      <c r="D323" t="s">
        <v>593</v>
      </c>
      <c r="E323" t="s">
        <v>231</v>
      </c>
      <c r="F323" t="s">
        <v>185</v>
      </c>
      <c r="G323" t="s">
        <v>463</v>
      </c>
      <c r="H323">
        <v>23127</v>
      </c>
      <c r="I323" s="17">
        <v>1270</v>
      </c>
      <c r="J323" s="17">
        <v>2225</v>
      </c>
      <c r="K323">
        <v>215</v>
      </c>
      <c r="L323">
        <v>17277</v>
      </c>
      <c r="M323">
        <v>16507</v>
      </c>
      <c r="N323">
        <v>18762</v>
      </c>
      <c r="O323">
        <v>18947</v>
      </c>
      <c r="P323">
        <v>4365</v>
      </c>
      <c r="Q323">
        <v>4180</v>
      </c>
      <c r="R323">
        <v>23127</v>
      </c>
      <c r="S323">
        <v>1270</v>
      </c>
      <c r="T323">
        <v>2225</v>
      </c>
      <c r="U323">
        <v>215</v>
      </c>
      <c r="V323">
        <v>17277</v>
      </c>
      <c r="W323">
        <v>16507</v>
      </c>
      <c r="X323">
        <v>18762</v>
      </c>
      <c r="Y323">
        <v>18947</v>
      </c>
      <c r="Z323">
        <v>4365</v>
      </c>
      <c r="AA323">
        <v>4180</v>
      </c>
      <c r="AB323">
        <v>0</v>
      </c>
      <c r="AC323">
        <v>0</v>
      </c>
      <c r="AD323">
        <v>0</v>
      </c>
      <c r="AE323">
        <v>0</v>
      </c>
      <c r="AF323">
        <v>0</v>
      </c>
      <c r="AG323">
        <v>0</v>
      </c>
      <c r="AH323">
        <v>0</v>
      </c>
      <c r="AI323">
        <v>0</v>
      </c>
      <c r="AJ323">
        <v>0</v>
      </c>
      <c r="AK323">
        <v>0</v>
      </c>
      <c r="AL323">
        <v>-1910</v>
      </c>
      <c r="AM323">
        <v>25</v>
      </c>
      <c r="AN323">
        <v>-265</v>
      </c>
      <c r="AO323">
        <v>-25</v>
      </c>
      <c r="AP323">
        <v>-1475</v>
      </c>
      <c r="AQ323">
        <v>-1170</v>
      </c>
      <c r="AR323">
        <v>-1475</v>
      </c>
      <c r="AS323">
        <v>-1460</v>
      </c>
      <c r="AT323">
        <v>-435</v>
      </c>
      <c r="AU323">
        <v>-450</v>
      </c>
      <c r="AV323">
        <v>100</v>
      </c>
      <c r="AW323">
        <v>5.5</v>
      </c>
      <c r="AX323">
        <v>9.6</v>
      </c>
      <c r="AY323">
        <v>0.9</v>
      </c>
      <c r="AZ323">
        <v>74.7</v>
      </c>
      <c r="BA323">
        <v>71.400000000000006</v>
      </c>
      <c r="BB323">
        <v>81.099999999999994</v>
      </c>
      <c r="BC323">
        <v>81.900000000000006</v>
      </c>
      <c r="BD323">
        <v>18.899999999999999</v>
      </c>
      <c r="BE323">
        <v>18.100000000000001</v>
      </c>
      <c r="BF323">
        <v>100</v>
      </c>
      <c r="BG323">
        <v>5.5</v>
      </c>
      <c r="BH323">
        <v>9.6</v>
      </c>
      <c r="BI323">
        <v>0.9</v>
      </c>
      <c r="BJ323">
        <v>74.7</v>
      </c>
      <c r="BK323">
        <v>71.400000000000006</v>
      </c>
      <c r="BL323">
        <v>81.099999999999994</v>
      </c>
      <c r="BM323">
        <v>81.900000000000006</v>
      </c>
      <c r="BN323">
        <v>18.899999999999999</v>
      </c>
      <c r="BO323">
        <v>18.100000000000001</v>
      </c>
      <c r="BP323">
        <v>0</v>
      </c>
      <c r="BQ323">
        <v>0</v>
      </c>
      <c r="BR323">
        <v>0</v>
      </c>
      <c r="BS323">
        <v>0</v>
      </c>
      <c r="BT323">
        <v>0</v>
      </c>
      <c r="BU323">
        <v>0</v>
      </c>
      <c r="BV323">
        <v>0</v>
      </c>
      <c r="BW323">
        <v>0</v>
      </c>
      <c r="BX323">
        <v>0</v>
      </c>
      <c r="BY323">
        <v>0</v>
      </c>
      <c r="BZ323">
        <v>30</v>
      </c>
      <c r="CA323">
        <v>2</v>
      </c>
      <c r="CB323">
        <v>2</v>
      </c>
      <c r="CC323">
        <v>3</v>
      </c>
      <c r="CD323">
        <v>24</v>
      </c>
      <c r="CE323">
        <v>11</v>
      </c>
      <c r="CF323">
        <v>28</v>
      </c>
      <c r="CG323">
        <v>14</v>
      </c>
      <c r="CH323">
        <v>30</v>
      </c>
      <c r="CI323">
        <v>2</v>
      </c>
      <c r="CJ323">
        <v>2</v>
      </c>
      <c r="CK323">
        <v>3</v>
      </c>
      <c r="CL323">
        <v>24</v>
      </c>
      <c r="CM323">
        <v>11</v>
      </c>
      <c r="CN323">
        <v>28</v>
      </c>
      <c r="CO323">
        <v>14</v>
      </c>
      <c r="CP323">
        <v>0</v>
      </c>
      <c r="CQ323">
        <v>0</v>
      </c>
      <c r="CR323">
        <v>0</v>
      </c>
      <c r="CS323">
        <v>0</v>
      </c>
      <c r="CT323">
        <v>0</v>
      </c>
      <c r="CU323">
        <v>0</v>
      </c>
      <c r="CV323">
        <v>0</v>
      </c>
      <c r="CW323">
        <v>0</v>
      </c>
      <c r="CX323">
        <v>33.4</v>
      </c>
      <c r="CY323">
        <v>70.8</v>
      </c>
      <c r="CZ323">
        <v>53.7</v>
      </c>
      <c r="DA323">
        <v>79.5</v>
      </c>
      <c r="DB323">
        <v>33.1</v>
      </c>
      <c r="DC323">
        <v>70.400000000000006</v>
      </c>
      <c r="DD323">
        <v>53.1</v>
      </c>
      <c r="DE323">
        <v>74</v>
      </c>
      <c r="DF323">
        <v>33.4</v>
      </c>
      <c r="DG323">
        <v>70.8</v>
      </c>
      <c r="DH323">
        <v>53.7</v>
      </c>
      <c r="DI323">
        <v>79.5</v>
      </c>
      <c r="DJ323">
        <v>33.1</v>
      </c>
      <c r="DK323">
        <v>70.400000000000006</v>
      </c>
      <c r="DL323">
        <v>53.1</v>
      </c>
      <c r="DM323">
        <v>74</v>
      </c>
      <c r="DN323">
        <v>0</v>
      </c>
      <c r="DO323">
        <v>0</v>
      </c>
      <c r="DP323">
        <v>0</v>
      </c>
      <c r="DQ323">
        <v>0</v>
      </c>
      <c r="DR323">
        <v>0</v>
      </c>
      <c r="DS323">
        <v>0</v>
      </c>
      <c r="DT323">
        <v>0</v>
      </c>
      <c r="DU323">
        <v>0</v>
      </c>
      <c r="DV323" t="s">
        <v>575</v>
      </c>
    </row>
    <row r="324" spans="1:126" x14ac:dyDescent="0.35">
      <c r="A324" t="s">
        <v>592</v>
      </c>
      <c r="B324">
        <v>230103</v>
      </c>
      <c r="C324" s="1">
        <v>44929</v>
      </c>
      <c r="D324" t="s">
        <v>593</v>
      </c>
      <c r="E324" t="s">
        <v>231</v>
      </c>
      <c r="F324" t="s">
        <v>185</v>
      </c>
      <c r="G324" t="s">
        <v>463</v>
      </c>
      <c r="H324">
        <v>25037</v>
      </c>
      <c r="I324" s="17">
        <v>1245</v>
      </c>
      <c r="J324" s="17">
        <v>2490</v>
      </c>
      <c r="K324">
        <v>240</v>
      </c>
      <c r="L324">
        <v>18752</v>
      </c>
      <c r="M324">
        <v>17677</v>
      </c>
      <c r="N324">
        <v>20237</v>
      </c>
      <c r="O324">
        <v>20407</v>
      </c>
      <c r="P324">
        <v>4800</v>
      </c>
      <c r="Q324">
        <v>4630</v>
      </c>
      <c r="R324">
        <v>25037</v>
      </c>
      <c r="S324">
        <v>1245</v>
      </c>
      <c r="T324">
        <v>2490</v>
      </c>
      <c r="U324">
        <v>240</v>
      </c>
      <c r="V324">
        <v>18752</v>
      </c>
      <c r="W324">
        <v>17677</v>
      </c>
      <c r="X324">
        <v>20237</v>
      </c>
      <c r="Y324">
        <v>20407</v>
      </c>
      <c r="Z324">
        <v>4800</v>
      </c>
      <c r="AA324">
        <v>4630</v>
      </c>
      <c r="AB324">
        <v>0</v>
      </c>
      <c r="AC324">
        <v>0</v>
      </c>
      <c r="AD324">
        <v>0</v>
      </c>
      <c r="AE324">
        <v>0</v>
      </c>
      <c r="AF324">
        <v>0</v>
      </c>
      <c r="AG324">
        <v>0</v>
      </c>
      <c r="AH324">
        <v>0</v>
      </c>
      <c r="AI324">
        <v>0</v>
      </c>
      <c r="AJ324">
        <v>0</v>
      </c>
      <c r="AK324">
        <v>0</v>
      </c>
      <c r="AL324">
        <v>0</v>
      </c>
      <c r="AM324">
        <v>0</v>
      </c>
      <c r="AN324">
        <v>0</v>
      </c>
      <c r="AO324">
        <v>0</v>
      </c>
      <c r="AP324">
        <v>0</v>
      </c>
      <c r="AQ324">
        <v>0</v>
      </c>
      <c r="AR324">
        <v>0</v>
      </c>
      <c r="AS324">
        <v>0</v>
      </c>
      <c r="AT324">
        <v>0</v>
      </c>
      <c r="AU324">
        <v>0</v>
      </c>
      <c r="AV324">
        <v>100</v>
      </c>
      <c r="AW324">
        <v>5</v>
      </c>
      <c r="AX324">
        <v>9.9</v>
      </c>
      <c r="AY324">
        <v>1</v>
      </c>
      <c r="AZ324">
        <v>74.900000000000006</v>
      </c>
      <c r="BA324">
        <v>70.599999999999994</v>
      </c>
      <c r="BB324">
        <v>80.8</v>
      </c>
      <c r="BC324">
        <v>81.5</v>
      </c>
      <c r="BD324">
        <v>19.2</v>
      </c>
      <c r="BE324">
        <v>18.5</v>
      </c>
      <c r="BF324">
        <v>100</v>
      </c>
      <c r="BG324">
        <v>5</v>
      </c>
      <c r="BH324">
        <v>9.9</v>
      </c>
      <c r="BI324">
        <v>1</v>
      </c>
      <c r="BJ324">
        <v>74.900000000000006</v>
      </c>
      <c r="BK324">
        <v>70.599999999999994</v>
      </c>
      <c r="BL324">
        <v>80.8</v>
      </c>
      <c r="BM324">
        <v>81.5</v>
      </c>
      <c r="BN324">
        <v>19.2</v>
      </c>
      <c r="BO324">
        <v>18.5</v>
      </c>
      <c r="BP324">
        <v>0</v>
      </c>
      <c r="BQ324">
        <v>0</v>
      </c>
      <c r="BR324">
        <v>0</v>
      </c>
      <c r="BS324">
        <v>0</v>
      </c>
      <c r="BT324">
        <v>0</v>
      </c>
      <c r="BU324">
        <v>0</v>
      </c>
      <c r="BV324">
        <v>0</v>
      </c>
      <c r="BW324">
        <v>0</v>
      </c>
      <c r="BX324">
        <v>0</v>
      </c>
      <c r="BY324">
        <v>0</v>
      </c>
      <c r="BZ324">
        <v>30</v>
      </c>
      <c r="CA324">
        <v>2</v>
      </c>
      <c r="CB324">
        <v>2</v>
      </c>
      <c r="CC324">
        <v>3</v>
      </c>
      <c r="CD324">
        <v>24</v>
      </c>
      <c r="CE324">
        <v>10</v>
      </c>
      <c r="CF324">
        <v>28</v>
      </c>
      <c r="CG324">
        <v>13</v>
      </c>
      <c r="CH324">
        <v>30</v>
      </c>
      <c r="CI324">
        <v>2</v>
      </c>
      <c r="CJ324">
        <v>2</v>
      </c>
      <c r="CK324">
        <v>3</v>
      </c>
      <c r="CL324">
        <v>24</v>
      </c>
      <c r="CM324">
        <v>10</v>
      </c>
      <c r="CN324">
        <v>28</v>
      </c>
      <c r="CO324">
        <v>13</v>
      </c>
      <c r="CP324">
        <v>0</v>
      </c>
      <c r="CQ324">
        <v>0</v>
      </c>
      <c r="CR324">
        <v>0</v>
      </c>
      <c r="CS324">
        <v>0</v>
      </c>
      <c r="CT324">
        <v>0</v>
      </c>
      <c r="CU324">
        <v>0</v>
      </c>
      <c r="CV324">
        <v>0</v>
      </c>
      <c r="CW324">
        <v>0</v>
      </c>
      <c r="CX324">
        <v>32.299999999999997</v>
      </c>
      <c r="CY324">
        <v>69.7</v>
      </c>
      <c r="CZ324">
        <v>52.2</v>
      </c>
      <c r="DA324">
        <v>78.900000000000006</v>
      </c>
      <c r="DB324">
        <v>32.299999999999997</v>
      </c>
      <c r="DC324">
        <v>69.3</v>
      </c>
      <c r="DD324">
        <v>51.6</v>
      </c>
      <c r="DE324">
        <v>73.5</v>
      </c>
      <c r="DF324">
        <v>32.299999999999997</v>
      </c>
      <c r="DG324">
        <v>69.7</v>
      </c>
      <c r="DH324">
        <v>52.2</v>
      </c>
      <c r="DI324">
        <v>78.900000000000006</v>
      </c>
      <c r="DJ324">
        <v>32.299999999999997</v>
      </c>
      <c r="DK324">
        <v>69.3</v>
      </c>
      <c r="DL324">
        <v>51.6</v>
      </c>
      <c r="DM324">
        <v>73.5</v>
      </c>
      <c r="DN324">
        <v>0</v>
      </c>
      <c r="DO324">
        <v>0</v>
      </c>
      <c r="DP324">
        <v>0</v>
      </c>
      <c r="DQ324">
        <v>0</v>
      </c>
      <c r="DR324">
        <v>0</v>
      </c>
      <c r="DS324">
        <v>0</v>
      </c>
      <c r="DT324">
        <v>0</v>
      </c>
      <c r="DU324">
        <v>0</v>
      </c>
      <c r="DV324" t="s">
        <v>575</v>
      </c>
    </row>
    <row r="325" spans="1:126" x14ac:dyDescent="0.35">
      <c r="A325" t="s">
        <v>594</v>
      </c>
      <c r="B325">
        <v>230110</v>
      </c>
      <c r="C325" s="1">
        <v>44936</v>
      </c>
      <c r="D325" t="s">
        <v>595</v>
      </c>
      <c r="E325" t="s">
        <v>231</v>
      </c>
      <c r="F325" t="s">
        <v>185</v>
      </c>
      <c r="G325" t="s">
        <v>463</v>
      </c>
      <c r="H325">
        <v>23112</v>
      </c>
      <c r="I325" s="17">
        <v>1270</v>
      </c>
      <c r="J325" s="17">
        <v>2190</v>
      </c>
      <c r="K325">
        <v>235</v>
      </c>
      <c r="L325">
        <v>17187</v>
      </c>
      <c r="M325">
        <v>16502</v>
      </c>
      <c r="N325">
        <v>18692</v>
      </c>
      <c r="O325">
        <v>18927</v>
      </c>
      <c r="P325">
        <v>4420</v>
      </c>
      <c r="Q325">
        <v>4185</v>
      </c>
      <c r="R325">
        <v>23112</v>
      </c>
      <c r="S325">
        <v>1270</v>
      </c>
      <c r="T325">
        <v>2190</v>
      </c>
      <c r="U325">
        <v>235</v>
      </c>
      <c r="V325">
        <v>17187</v>
      </c>
      <c r="W325">
        <v>16502</v>
      </c>
      <c r="X325">
        <v>18692</v>
      </c>
      <c r="Y325">
        <v>18927</v>
      </c>
      <c r="Z325">
        <v>4420</v>
      </c>
      <c r="AA325">
        <v>4185</v>
      </c>
      <c r="AB325">
        <v>0</v>
      </c>
      <c r="AC325">
        <v>0</v>
      </c>
      <c r="AD325">
        <v>0</v>
      </c>
      <c r="AE325">
        <v>0</v>
      </c>
      <c r="AF325">
        <v>0</v>
      </c>
      <c r="AG325">
        <v>0</v>
      </c>
      <c r="AH325">
        <v>0</v>
      </c>
      <c r="AI325">
        <v>0</v>
      </c>
      <c r="AJ325">
        <v>0</v>
      </c>
      <c r="AK325">
        <v>0</v>
      </c>
      <c r="AL325">
        <v>-1910</v>
      </c>
      <c r="AM325">
        <v>25</v>
      </c>
      <c r="AN325">
        <v>-265</v>
      </c>
      <c r="AO325">
        <v>-25</v>
      </c>
      <c r="AP325">
        <v>-1540</v>
      </c>
      <c r="AQ325">
        <v>-1175</v>
      </c>
      <c r="AR325">
        <v>-1540</v>
      </c>
      <c r="AS325">
        <v>-1465</v>
      </c>
      <c r="AT325">
        <v>-370</v>
      </c>
      <c r="AU325">
        <v>-445</v>
      </c>
      <c r="AV325">
        <v>100</v>
      </c>
      <c r="AW325">
        <v>5.5</v>
      </c>
      <c r="AX325">
        <v>9.5</v>
      </c>
      <c r="AY325">
        <v>1</v>
      </c>
      <c r="AZ325">
        <v>74.400000000000006</v>
      </c>
      <c r="BA325">
        <v>71.400000000000006</v>
      </c>
      <c r="BB325">
        <v>80.900000000000006</v>
      </c>
      <c r="BC325">
        <v>81.900000000000006</v>
      </c>
      <c r="BD325">
        <v>19.100000000000001</v>
      </c>
      <c r="BE325">
        <v>18.100000000000001</v>
      </c>
      <c r="BF325">
        <v>100</v>
      </c>
      <c r="BG325">
        <v>5.5</v>
      </c>
      <c r="BH325">
        <v>9.5</v>
      </c>
      <c r="BI325">
        <v>1</v>
      </c>
      <c r="BJ325">
        <v>74.400000000000006</v>
      </c>
      <c r="BK325">
        <v>71.400000000000006</v>
      </c>
      <c r="BL325">
        <v>80.900000000000006</v>
      </c>
      <c r="BM325">
        <v>81.900000000000006</v>
      </c>
      <c r="BN325">
        <v>19.100000000000001</v>
      </c>
      <c r="BO325">
        <v>18.100000000000001</v>
      </c>
      <c r="BP325">
        <v>0</v>
      </c>
      <c r="BQ325">
        <v>0</v>
      </c>
      <c r="BR325">
        <v>0</v>
      </c>
      <c r="BS325">
        <v>0</v>
      </c>
      <c r="BT325">
        <v>0</v>
      </c>
      <c r="BU325">
        <v>0</v>
      </c>
      <c r="BV325">
        <v>0</v>
      </c>
      <c r="BW325">
        <v>0</v>
      </c>
      <c r="BX325">
        <v>0</v>
      </c>
      <c r="BY325">
        <v>0</v>
      </c>
      <c r="BZ325">
        <v>30</v>
      </c>
      <c r="CA325">
        <v>2</v>
      </c>
      <c r="CB325">
        <v>2</v>
      </c>
      <c r="CC325">
        <v>3</v>
      </c>
      <c r="CD325">
        <v>24</v>
      </c>
      <c r="CE325">
        <v>11</v>
      </c>
      <c r="CF325">
        <v>28</v>
      </c>
      <c r="CG325">
        <v>14</v>
      </c>
      <c r="CH325">
        <v>30</v>
      </c>
      <c r="CI325">
        <v>2</v>
      </c>
      <c r="CJ325">
        <v>2</v>
      </c>
      <c r="CK325">
        <v>3</v>
      </c>
      <c r="CL325">
        <v>24</v>
      </c>
      <c r="CM325">
        <v>11</v>
      </c>
      <c r="CN325">
        <v>28</v>
      </c>
      <c r="CO325">
        <v>14</v>
      </c>
      <c r="CP325">
        <v>0</v>
      </c>
      <c r="CQ325">
        <v>0</v>
      </c>
      <c r="CR325">
        <v>0</v>
      </c>
      <c r="CS325">
        <v>0</v>
      </c>
      <c r="CT325">
        <v>0</v>
      </c>
      <c r="CU325">
        <v>0</v>
      </c>
      <c r="CV325">
        <v>0</v>
      </c>
      <c r="CW325">
        <v>0</v>
      </c>
      <c r="CX325">
        <v>32.9</v>
      </c>
      <c r="CY325">
        <v>70.8</v>
      </c>
      <c r="CZ325">
        <v>53.3</v>
      </c>
      <c r="DA325">
        <v>79.5</v>
      </c>
      <c r="DB325">
        <v>32.700000000000003</v>
      </c>
      <c r="DC325">
        <v>70.5</v>
      </c>
      <c r="DD325">
        <v>52.7</v>
      </c>
      <c r="DE325">
        <v>73.8</v>
      </c>
      <c r="DF325">
        <v>32.9</v>
      </c>
      <c r="DG325">
        <v>70.8</v>
      </c>
      <c r="DH325">
        <v>53.3</v>
      </c>
      <c r="DI325">
        <v>79.5</v>
      </c>
      <c r="DJ325">
        <v>32.700000000000003</v>
      </c>
      <c r="DK325">
        <v>70.5</v>
      </c>
      <c r="DL325">
        <v>52.7</v>
      </c>
      <c r="DM325">
        <v>73.8</v>
      </c>
      <c r="DN325">
        <v>0</v>
      </c>
      <c r="DO325">
        <v>0</v>
      </c>
      <c r="DP325">
        <v>0</v>
      </c>
      <c r="DQ325">
        <v>0</v>
      </c>
      <c r="DR325">
        <v>0</v>
      </c>
      <c r="DS325">
        <v>0</v>
      </c>
      <c r="DT325">
        <v>0</v>
      </c>
      <c r="DU325">
        <v>0</v>
      </c>
      <c r="DV325" t="s">
        <v>575</v>
      </c>
    </row>
    <row r="326" spans="1:126" x14ac:dyDescent="0.35">
      <c r="A326" t="s">
        <v>594</v>
      </c>
      <c r="B326">
        <v>230103</v>
      </c>
      <c r="C326" s="1">
        <v>44929</v>
      </c>
      <c r="D326" t="s">
        <v>595</v>
      </c>
      <c r="E326" t="s">
        <v>231</v>
      </c>
      <c r="F326" t="s">
        <v>185</v>
      </c>
      <c r="G326" t="s">
        <v>463</v>
      </c>
      <c r="H326">
        <v>25022</v>
      </c>
      <c r="I326" s="17">
        <v>1245</v>
      </c>
      <c r="J326" s="17">
        <v>2455</v>
      </c>
      <c r="K326">
        <v>260</v>
      </c>
      <c r="L326">
        <v>18727</v>
      </c>
      <c r="M326">
        <v>17677</v>
      </c>
      <c r="N326">
        <v>20232</v>
      </c>
      <c r="O326">
        <v>20392</v>
      </c>
      <c r="P326">
        <v>4790</v>
      </c>
      <c r="Q326">
        <v>4630</v>
      </c>
      <c r="R326">
        <v>25022</v>
      </c>
      <c r="S326">
        <v>1245</v>
      </c>
      <c r="T326">
        <v>2455</v>
      </c>
      <c r="U326">
        <v>260</v>
      </c>
      <c r="V326">
        <v>18727</v>
      </c>
      <c r="W326">
        <v>17677</v>
      </c>
      <c r="X326">
        <v>20232</v>
      </c>
      <c r="Y326">
        <v>20392</v>
      </c>
      <c r="Z326">
        <v>4790</v>
      </c>
      <c r="AA326">
        <v>4630</v>
      </c>
      <c r="AB326">
        <v>0</v>
      </c>
      <c r="AC326">
        <v>0</v>
      </c>
      <c r="AD326">
        <v>0</v>
      </c>
      <c r="AE326">
        <v>0</v>
      </c>
      <c r="AF326">
        <v>0</v>
      </c>
      <c r="AG326">
        <v>0</v>
      </c>
      <c r="AH326">
        <v>0</v>
      </c>
      <c r="AI326">
        <v>0</v>
      </c>
      <c r="AJ326">
        <v>0</v>
      </c>
      <c r="AK326">
        <v>0</v>
      </c>
      <c r="AL326">
        <v>20</v>
      </c>
      <c r="AM326">
        <v>0</v>
      </c>
      <c r="AN326">
        <v>0</v>
      </c>
      <c r="AO326">
        <v>0</v>
      </c>
      <c r="AP326">
        <v>20</v>
      </c>
      <c r="AQ326">
        <v>20</v>
      </c>
      <c r="AR326">
        <v>20</v>
      </c>
      <c r="AS326">
        <v>20</v>
      </c>
      <c r="AT326">
        <v>0</v>
      </c>
      <c r="AU326">
        <v>0</v>
      </c>
      <c r="AV326">
        <v>100</v>
      </c>
      <c r="AW326">
        <v>5</v>
      </c>
      <c r="AX326">
        <v>9.8000000000000007</v>
      </c>
      <c r="AY326">
        <v>1</v>
      </c>
      <c r="AZ326">
        <v>74.8</v>
      </c>
      <c r="BA326">
        <v>70.599999999999994</v>
      </c>
      <c r="BB326">
        <v>80.900000000000006</v>
      </c>
      <c r="BC326">
        <v>81.5</v>
      </c>
      <c r="BD326">
        <v>19.100000000000001</v>
      </c>
      <c r="BE326">
        <v>18.5</v>
      </c>
      <c r="BF326">
        <v>100</v>
      </c>
      <c r="BG326">
        <v>5</v>
      </c>
      <c r="BH326">
        <v>9.8000000000000007</v>
      </c>
      <c r="BI326">
        <v>1</v>
      </c>
      <c r="BJ326">
        <v>74.8</v>
      </c>
      <c r="BK326">
        <v>70.599999999999994</v>
      </c>
      <c r="BL326">
        <v>80.900000000000006</v>
      </c>
      <c r="BM326">
        <v>81.5</v>
      </c>
      <c r="BN326">
        <v>19.100000000000001</v>
      </c>
      <c r="BO326">
        <v>18.5</v>
      </c>
      <c r="BP326">
        <v>0</v>
      </c>
      <c r="BQ326">
        <v>0</v>
      </c>
      <c r="BR326">
        <v>0</v>
      </c>
      <c r="BS326">
        <v>0</v>
      </c>
      <c r="BT326">
        <v>0</v>
      </c>
      <c r="BU326">
        <v>0</v>
      </c>
      <c r="BV326">
        <v>0</v>
      </c>
      <c r="BW326">
        <v>0</v>
      </c>
      <c r="BX326">
        <v>0</v>
      </c>
      <c r="BY326">
        <v>0</v>
      </c>
      <c r="BZ326">
        <v>31</v>
      </c>
      <c r="CA326">
        <v>2</v>
      </c>
      <c r="CB326">
        <v>2</v>
      </c>
      <c r="CC326">
        <v>3</v>
      </c>
      <c r="CD326">
        <v>25</v>
      </c>
      <c r="CE326">
        <v>10</v>
      </c>
      <c r="CF326">
        <v>29</v>
      </c>
      <c r="CG326">
        <v>13</v>
      </c>
      <c r="CH326">
        <v>31</v>
      </c>
      <c r="CI326">
        <v>2</v>
      </c>
      <c r="CJ326">
        <v>2</v>
      </c>
      <c r="CK326">
        <v>3</v>
      </c>
      <c r="CL326">
        <v>25</v>
      </c>
      <c r="CM326">
        <v>10</v>
      </c>
      <c r="CN326">
        <v>29</v>
      </c>
      <c r="CO326">
        <v>13</v>
      </c>
      <c r="CP326">
        <v>0</v>
      </c>
      <c r="CQ326">
        <v>0</v>
      </c>
      <c r="CR326">
        <v>0</v>
      </c>
      <c r="CS326">
        <v>0</v>
      </c>
      <c r="CT326">
        <v>0</v>
      </c>
      <c r="CU326">
        <v>0</v>
      </c>
      <c r="CV326">
        <v>0</v>
      </c>
      <c r="CW326">
        <v>0</v>
      </c>
      <c r="CX326">
        <v>31.9</v>
      </c>
      <c r="CY326">
        <v>69.7</v>
      </c>
      <c r="CZ326">
        <v>51.8</v>
      </c>
      <c r="DA326">
        <v>78.900000000000006</v>
      </c>
      <c r="DB326">
        <v>31.9</v>
      </c>
      <c r="DC326">
        <v>69.400000000000006</v>
      </c>
      <c r="DD326">
        <v>51.2</v>
      </c>
      <c r="DE326">
        <v>73.400000000000006</v>
      </c>
      <c r="DF326">
        <v>31.9</v>
      </c>
      <c r="DG326">
        <v>69.7</v>
      </c>
      <c r="DH326">
        <v>51.8</v>
      </c>
      <c r="DI326">
        <v>78.900000000000006</v>
      </c>
      <c r="DJ326">
        <v>31.9</v>
      </c>
      <c r="DK326">
        <v>69.400000000000006</v>
      </c>
      <c r="DL326">
        <v>51.2</v>
      </c>
      <c r="DM326">
        <v>73.400000000000006</v>
      </c>
      <c r="DN326">
        <v>0</v>
      </c>
      <c r="DO326">
        <v>0</v>
      </c>
      <c r="DP326">
        <v>0</v>
      </c>
      <c r="DQ326">
        <v>0</v>
      </c>
      <c r="DR326">
        <v>0</v>
      </c>
      <c r="DS326">
        <v>0</v>
      </c>
      <c r="DT326">
        <v>0</v>
      </c>
      <c r="DU326">
        <v>0</v>
      </c>
      <c r="DV326" t="s">
        <v>575</v>
      </c>
    </row>
    <row r="327" spans="1:126" x14ac:dyDescent="0.35">
      <c r="A327" t="s">
        <v>596</v>
      </c>
      <c r="B327">
        <v>230110</v>
      </c>
      <c r="C327" s="1">
        <v>44936</v>
      </c>
      <c r="D327" t="s">
        <v>597</v>
      </c>
      <c r="E327" t="s">
        <v>231</v>
      </c>
      <c r="F327" t="s">
        <v>185</v>
      </c>
      <c r="G327" t="s">
        <v>463</v>
      </c>
      <c r="H327">
        <v>24653</v>
      </c>
      <c r="I327" s="17">
        <v>0</v>
      </c>
      <c r="J327" s="17">
        <v>5987</v>
      </c>
      <c r="K327">
        <v>140</v>
      </c>
      <c r="L327">
        <v>23954</v>
      </c>
      <c r="M327">
        <v>18381</v>
      </c>
      <c r="N327">
        <v>24094</v>
      </c>
      <c r="O327">
        <v>24508</v>
      </c>
      <c r="P327">
        <v>559</v>
      </c>
      <c r="Q327">
        <v>145</v>
      </c>
      <c r="R327">
        <v>24653</v>
      </c>
      <c r="S327">
        <v>0</v>
      </c>
      <c r="T327">
        <v>5987</v>
      </c>
      <c r="U327">
        <v>140</v>
      </c>
      <c r="V327">
        <v>23954</v>
      </c>
      <c r="W327">
        <v>18381</v>
      </c>
      <c r="X327">
        <v>24094</v>
      </c>
      <c r="Y327">
        <v>24508</v>
      </c>
      <c r="Z327">
        <v>559</v>
      </c>
      <c r="AA327">
        <v>145</v>
      </c>
      <c r="AB327">
        <v>0</v>
      </c>
      <c r="AC327">
        <v>0</v>
      </c>
      <c r="AD327">
        <v>0</v>
      </c>
      <c r="AE327">
        <v>0</v>
      </c>
      <c r="AF327">
        <v>0</v>
      </c>
      <c r="AG327">
        <v>0</v>
      </c>
      <c r="AH327">
        <v>0</v>
      </c>
      <c r="AI327">
        <v>0</v>
      </c>
      <c r="AJ327">
        <v>0</v>
      </c>
      <c r="AK327">
        <v>0</v>
      </c>
      <c r="AL327">
        <v>-1027</v>
      </c>
      <c r="AM327">
        <v>0</v>
      </c>
      <c r="AN327">
        <v>-195</v>
      </c>
      <c r="AO327">
        <v>140</v>
      </c>
      <c r="AP327">
        <v>-1135</v>
      </c>
      <c r="AQ327">
        <v>-972</v>
      </c>
      <c r="AR327">
        <v>-995</v>
      </c>
      <c r="AS327">
        <v>-1027</v>
      </c>
      <c r="AT327">
        <v>-32</v>
      </c>
      <c r="AU327">
        <v>0</v>
      </c>
      <c r="AV327">
        <v>100</v>
      </c>
      <c r="AW327">
        <v>0</v>
      </c>
      <c r="AX327">
        <v>24.3</v>
      </c>
      <c r="AY327">
        <v>0.6</v>
      </c>
      <c r="AZ327">
        <v>97.2</v>
      </c>
      <c r="BA327">
        <v>74.599999999999994</v>
      </c>
      <c r="BB327">
        <v>97.7</v>
      </c>
      <c r="BC327">
        <v>99.4</v>
      </c>
      <c r="BD327">
        <v>2.2999999999999998</v>
      </c>
      <c r="BE327">
        <v>0.6</v>
      </c>
      <c r="BF327">
        <v>100</v>
      </c>
      <c r="BG327">
        <v>0</v>
      </c>
      <c r="BH327">
        <v>24.3</v>
      </c>
      <c r="BI327">
        <v>0.6</v>
      </c>
      <c r="BJ327">
        <v>97.2</v>
      </c>
      <c r="BK327">
        <v>74.599999999999994</v>
      </c>
      <c r="BL327">
        <v>97.7</v>
      </c>
      <c r="BM327">
        <v>99.4</v>
      </c>
      <c r="BN327">
        <v>2.2999999999999998</v>
      </c>
      <c r="BO327">
        <v>0.6</v>
      </c>
      <c r="BP327">
        <v>0</v>
      </c>
      <c r="BQ327">
        <v>0</v>
      </c>
      <c r="BR327">
        <v>0</v>
      </c>
      <c r="BS327">
        <v>0</v>
      </c>
      <c r="BT327">
        <v>0</v>
      </c>
      <c r="BU327">
        <v>0</v>
      </c>
      <c r="BV327">
        <v>0</v>
      </c>
      <c r="BW327">
        <v>0</v>
      </c>
      <c r="BX327">
        <v>0</v>
      </c>
      <c r="BY327">
        <v>0</v>
      </c>
      <c r="BZ327">
        <v>22</v>
      </c>
      <c r="CA327">
        <v>0</v>
      </c>
      <c r="CB327">
        <v>2</v>
      </c>
      <c r="CC327">
        <v>1</v>
      </c>
      <c r="CD327">
        <v>15</v>
      </c>
      <c r="CE327">
        <v>8</v>
      </c>
      <c r="CF327">
        <v>16</v>
      </c>
      <c r="CG327">
        <v>10</v>
      </c>
      <c r="CH327">
        <v>22</v>
      </c>
      <c r="CI327">
        <v>0</v>
      </c>
      <c r="CJ327">
        <v>2</v>
      </c>
      <c r="CK327">
        <v>1</v>
      </c>
      <c r="CL327">
        <v>15</v>
      </c>
      <c r="CM327">
        <v>8</v>
      </c>
      <c r="CN327">
        <v>16</v>
      </c>
      <c r="CO327">
        <v>10</v>
      </c>
      <c r="CP327">
        <v>0</v>
      </c>
      <c r="CQ327">
        <v>0</v>
      </c>
      <c r="CR327">
        <v>0</v>
      </c>
      <c r="CS327">
        <v>0</v>
      </c>
      <c r="CT327">
        <v>0</v>
      </c>
      <c r="CU327">
        <v>0</v>
      </c>
      <c r="CV327">
        <v>0</v>
      </c>
      <c r="CW327">
        <v>0</v>
      </c>
      <c r="CX327">
        <v>64.7</v>
      </c>
      <c r="CY327">
        <v>76.8</v>
      </c>
      <c r="CZ327">
        <v>85</v>
      </c>
      <c r="DA327">
        <v>97.7</v>
      </c>
      <c r="DB327">
        <v>64.7</v>
      </c>
      <c r="DC327">
        <v>73.7</v>
      </c>
      <c r="DD327">
        <v>85</v>
      </c>
      <c r="DE327">
        <v>93.1</v>
      </c>
      <c r="DF327">
        <v>64.7</v>
      </c>
      <c r="DG327">
        <v>76.8</v>
      </c>
      <c r="DH327">
        <v>85</v>
      </c>
      <c r="DI327">
        <v>97.7</v>
      </c>
      <c r="DJ327">
        <v>64.7</v>
      </c>
      <c r="DK327">
        <v>73.7</v>
      </c>
      <c r="DL327">
        <v>85</v>
      </c>
      <c r="DM327">
        <v>93.1</v>
      </c>
      <c r="DN327">
        <v>0</v>
      </c>
      <c r="DO327">
        <v>0</v>
      </c>
      <c r="DP327">
        <v>0</v>
      </c>
      <c r="DQ327">
        <v>0</v>
      </c>
      <c r="DR327">
        <v>0</v>
      </c>
      <c r="DS327">
        <v>0</v>
      </c>
      <c r="DT327">
        <v>0</v>
      </c>
      <c r="DU327">
        <v>0</v>
      </c>
      <c r="DV327" t="s">
        <v>575</v>
      </c>
    </row>
    <row r="328" spans="1:126" x14ac:dyDescent="0.35">
      <c r="A328" t="s">
        <v>596</v>
      </c>
      <c r="B328">
        <v>230103</v>
      </c>
      <c r="C328" s="1">
        <v>44929</v>
      </c>
      <c r="D328" t="s">
        <v>597</v>
      </c>
      <c r="E328" t="s">
        <v>231</v>
      </c>
      <c r="F328" t="s">
        <v>185</v>
      </c>
      <c r="G328" t="s">
        <v>463</v>
      </c>
      <c r="H328">
        <v>25680</v>
      </c>
      <c r="I328" s="17">
        <v>0</v>
      </c>
      <c r="J328" s="17">
        <v>6182</v>
      </c>
      <c r="K328">
        <v>0</v>
      </c>
      <c r="L328">
        <v>25089</v>
      </c>
      <c r="M328">
        <v>19353</v>
      </c>
      <c r="N328">
        <v>25089</v>
      </c>
      <c r="O328">
        <v>25535</v>
      </c>
      <c r="P328">
        <v>591</v>
      </c>
      <c r="Q328">
        <v>145</v>
      </c>
      <c r="R328">
        <v>25680</v>
      </c>
      <c r="S328">
        <v>0</v>
      </c>
      <c r="T328">
        <v>6182</v>
      </c>
      <c r="U328">
        <v>0</v>
      </c>
      <c r="V328">
        <v>25089</v>
      </c>
      <c r="W328">
        <v>19353</v>
      </c>
      <c r="X328">
        <v>25089</v>
      </c>
      <c r="Y328">
        <v>25535</v>
      </c>
      <c r="Z328">
        <v>591</v>
      </c>
      <c r="AA328">
        <v>145</v>
      </c>
      <c r="AB328">
        <v>0</v>
      </c>
      <c r="AC328">
        <v>0</v>
      </c>
      <c r="AD328">
        <v>0</v>
      </c>
      <c r="AE328">
        <v>0</v>
      </c>
      <c r="AF328">
        <v>0</v>
      </c>
      <c r="AG328">
        <v>0</v>
      </c>
      <c r="AH328">
        <v>0</v>
      </c>
      <c r="AI328">
        <v>0</v>
      </c>
      <c r="AJ328">
        <v>0</v>
      </c>
      <c r="AK328">
        <v>0</v>
      </c>
      <c r="AL328">
        <v>217</v>
      </c>
      <c r="AM328">
        <v>0</v>
      </c>
      <c r="AN328">
        <v>212</v>
      </c>
      <c r="AO328">
        <v>0</v>
      </c>
      <c r="AP328">
        <v>97</v>
      </c>
      <c r="AQ328">
        <v>5</v>
      </c>
      <c r="AR328">
        <v>97</v>
      </c>
      <c r="AS328">
        <v>217</v>
      </c>
      <c r="AT328">
        <v>120</v>
      </c>
      <c r="AU328">
        <v>0</v>
      </c>
      <c r="AV328">
        <v>100</v>
      </c>
      <c r="AW328">
        <v>0</v>
      </c>
      <c r="AX328">
        <v>24.1</v>
      </c>
      <c r="AY328">
        <v>0</v>
      </c>
      <c r="AZ328">
        <v>97.7</v>
      </c>
      <c r="BA328">
        <v>75.400000000000006</v>
      </c>
      <c r="BB328">
        <v>97.7</v>
      </c>
      <c r="BC328">
        <v>99.4</v>
      </c>
      <c r="BD328">
        <v>2.2999999999999998</v>
      </c>
      <c r="BE328">
        <v>0.6</v>
      </c>
      <c r="BF328">
        <v>100</v>
      </c>
      <c r="BG328">
        <v>0</v>
      </c>
      <c r="BH328">
        <v>24.1</v>
      </c>
      <c r="BI328">
        <v>0</v>
      </c>
      <c r="BJ328">
        <v>97.7</v>
      </c>
      <c r="BK328">
        <v>75.400000000000006</v>
      </c>
      <c r="BL328">
        <v>97.7</v>
      </c>
      <c r="BM328">
        <v>99.4</v>
      </c>
      <c r="BN328">
        <v>2.2999999999999998</v>
      </c>
      <c r="BO328">
        <v>0.6</v>
      </c>
      <c r="BP328">
        <v>0</v>
      </c>
      <c r="BQ328">
        <v>0</v>
      </c>
      <c r="BR328">
        <v>0</v>
      </c>
      <c r="BS328">
        <v>0</v>
      </c>
      <c r="BT328">
        <v>0</v>
      </c>
      <c r="BU328">
        <v>0</v>
      </c>
      <c r="BV328">
        <v>0</v>
      </c>
      <c r="BW328">
        <v>0</v>
      </c>
      <c r="BX328">
        <v>0</v>
      </c>
      <c r="BY328">
        <v>0</v>
      </c>
      <c r="BZ328">
        <v>22</v>
      </c>
      <c r="CA328">
        <v>0</v>
      </c>
      <c r="CB328">
        <v>2</v>
      </c>
      <c r="CC328">
        <v>0</v>
      </c>
      <c r="CD328">
        <v>15</v>
      </c>
      <c r="CE328">
        <v>9</v>
      </c>
      <c r="CF328">
        <v>15</v>
      </c>
      <c r="CG328">
        <v>11</v>
      </c>
      <c r="CH328">
        <v>22</v>
      </c>
      <c r="CI328">
        <v>0</v>
      </c>
      <c r="CJ328">
        <v>2</v>
      </c>
      <c r="CK328">
        <v>0</v>
      </c>
      <c r="CL328">
        <v>15</v>
      </c>
      <c r="CM328">
        <v>9</v>
      </c>
      <c r="CN328">
        <v>15</v>
      </c>
      <c r="CO328">
        <v>11</v>
      </c>
      <c r="CP328">
        <v>0</v>
      </c>
      <c r="CQ328">
        <v>0</v>
      </c>
      <c r="CR328">
        <v>0</v>
      </c>
      <c r="CS328">
        <v>0</v>
      </c>
      <c r="CT328">
        <v>0</v>
      </c>
      <c r="CU328">
        <v>0</v>
      </c>
      <c r="CV328">
        <v>0</v>
      </c>
      <c r="CW328">
        <v>0</v>
      </c>
      <c r="CX328">
        <v>63.4</v>
      </c>
      <c r="CY328">
        <v>74.900000000000006</v>
      </c>
      <c r="CZ328">
        <v>85.1</v>
      </c>
      <c r="DA328">
        <v>97.7</v>
      </c>
      <c r="DB328">
        <v>63.4</v>
      </c>
      <c r="DC328">
        <v>70.5</v>
      </c>
      <c r="DD328">
        <v>84.7</v>
      </c>
      <c r="DE328">
        <v>92.5</v>
      </c>
      <c r="DF328">
        <v>63.4</v>
      </c>
      <c r="DG328">
        <v>74.900000000000006</v>
      </c>
      <c r="DH328">
        <v>85.1</v>
      </c>
      <c r="DI328">
        <v>97.7</v>
      </c>
      <c r="DJ328">
        <v>63.4</v>
      </c>
      <c r="DK328">
        <v>70.5</v>
      </c>
      <c r="DL328">
        <v>84.7</v>
      </c>
      <c r="DM328">
        <v>92.5</v>
      </c>
      <c r="DN328">
        <v>0</v>
      </c>
      <c r="DO328">
        <v>0</v>
      </c>
      <c r="DP328">
        <v>0</v>
      </c>
      <c r="DQ328">
        <v>0</v>
      </c>
      <c r="DR328">
        <v>0</v>
      </c>
      <c r="DS328">
        <v>0</v>
      </c>
      <c r="DT328">
        <v>0</v>
      </c>
      <c r="DU328">
        <v>0</v>
      </c>
      <c r="DV328" t="s">
        <v>575</v>
      </c>
    </row>
    <row r="329" spans="1:126" x14ac:dyDescent="0.35">
      <c r="A329" t="s">
        <v>598</v>
      </c>
      <c r="B329">
        <v>230110</v>
      </c>
      <c r="C329" s="1">
        <v>44936</v>
      </c>
      <c r="D329" t="s">
        <v>599</v>
      </c>
      <c r="E329" t="s">
        <v>231</v>
      </c>
      <c r="F329" t="s">
        <v>185</v>
      </c>
      <c r="G329" t="s">
        <v>463</v>
      </c>
      <c r="H329">
        <v>23469</v>
      </c>
      <c r="I329" s="17">
        <v>50</v>
      </c>
      <c r="J329" s="17">
        <v>5687</v>
      </c>
      <c r="K329">
        <v>140</v>
      </c>
      <c r="L329">
        <v>22844</v>
      </c>
      <c r="M329">
        <v>17437</v>
      </c>
      <c r="N329">
        <v>23034</v>
      </c>
      <c r="O329">
        <v>23264</v>
      </c>
      <c r="P329">
        <v>435</v>
      </c>
      <c r="Q329">
        <v>205</v>
      </c>
      <c r="R329">
        <v>23469</v>
      </c>
      <c r="S329">
        <v>50</v>
      </c>
      <c r="T329">
        <v>5687</v>
      </c>
      <c r="U329">
        <v>140</v>
      </c>
      <c r="V329">
        <v>22844</v>
      </c>
      <c r="W329">
        <v>17437</v>
      </c>
      <c r="X329">
        <v>23034</v>
      </c>
      <c r="Y329">
        <v>23264</v>
      </c>
      <c r="Z329">
        <v>435</v>
      </c>
      <c r="AA329">
        <v>205</v>
      </c>
      <c r="AB329">
        <v>0</v>
      </c>
      <c r="AC329">
        <v>0</v>
      </c>
      <c r="AD329">
        <v>0</v>
      </c>
      <c r="AE329">
        <v>0</v>
      </c>
      <c r="AF329">
        <v>0</v>
      </c>
      <c r="AG329">
        <v>0</v>
      </c>
      <c r="AH329">
        <v>0</v>
      </c>
      <c r="AI329">
        <v>0</v>
      </c>
      <c r="AJ329">
        <v>0</v>
      </c>
      <c r="AK329">
        <v>0</v>
      </c>
      <c r="AL329">
        <v>-888</v>
      </c>
      <c r="AM329">
        <v>0</v>
      </c>
      <c r="AN329">
        <v>-195</v>
      </c>
      <c r="AO329">
        <v>140</v>
      </c>
      <c r="AP329">
        <v>-1015</v>
      </c>
      <c r="AQ329">
        <v>-833</v>
      </c>
      <c r="AR329">
        <v>-875</v>
      </c>
      <c r="AS329">
        <v>-888</v>
      </c>
      <c r="AT329">
        <v>-13</v>
      </c>
      <c r="AU329">
        <v>0</v>
      </c>
      <c r="AV329">
        <v>100</v>
      </c>
      <c r="AW329">
        <v>0.2</v>
      </c>
      <c r="AX329">
        <v>24.2</v>
      </c>
      <c r="AY329">
        <v>0.6</v>
      </c>
      <c r="AZ329">
        <v>97.3</v>
      </c>
      <c r="BA329">
        <v>74.3</v>
      </c>
      <c r="BB329">
        <v>98.1</v>
      </c>
      <c r="BC329">
        <v>99.1</v>
      </c>
      <c r="BD329">
        <v>1.9</v>
      </c>
      <c r="BE329">
        <v>0.9</v>
      </c>
      <c r="BF329">
        <v>100</v>
      </c>
      <c r="BG329">
        <v>0.2</v>
      </c>
      <c r="BH329">
        <v>24.2</v>
      </c>
      <c r="BI329">
        <v>0.6</v>
      </c>
      <c r="BJ329">
        <v>97.3</v>
      </c>
      <c r="BK329">
        <v>74.3</v>
      </c>
      <c r="BL329">
        <v>98.1</v>
      </c>
      <c r="BM329">
        <v>99.1</v>
      </c>
      <c r="BN329">
        <v>1.9</v>
      </c>
      <c r="BO329">
        <v>0.9</v>
      </c>
      <c r="BP329">
        <v>0</v>
      </c>
      <c r="BQ329">
        <v>0</v>
      </c>
      <c r="BR329">
        <v>0</v>
      </c>
      <c r="BS329">
        <v>0</v>
      </c>
      <c r="BT329">
        <v>0</v>
      </c>
      <c r="BU329">
        <v>0</v>
      </c>
      <c r="BV329">
        <v>0</v>
      </c>
      <c r="BW329">
        <v>0</v>
      </c>
      <c r="BX329">
        <v>0</v>
      </c>
      <c r="BY329">
        <v>0</v>
      </c>
      <c r="BZ329">
        <v>23</v>
      </c>
      <c r="CA329">
        <v>1</v>
      </c>
      <c r="CB329">
        <v>2</v>
      </c>
      <c r="CC329">
        <v>1</v>
      </c>
      <c r="CD329">
        <v>15</v>
      </c>
      <c r="CE329">
        <v>7</v>
      </c>
      <c r="CF329">
        <v>17</v>
      </c>
      <c r="CG329">
        <v>9</v>
      </c>
      <c r="CH329">
        <v>23</v>
      </c>
      <c r="CI329">
        <v>1</v>
      </c>
      <c r="CJ329">
        <v>2</v>
      </c>
      <c r="CK329">
        <v>1</v>
      </c>
      <c r="CL329">
        <v>15</v>
      </c>
      <c r="CM329">
        <v>7</v>
      </c>
      <c r="CN329">
        <v>17</v>
      </c>
      <c r="CO329">
        <v>9</v>
      </c>
      <c r="CP329">
        <v>0</v>
      </c>
      <c r="CQ329">
        <v>0</v>
      </c>
      <c r="CR329">
        <v>0</v>
      </c>
      <c r="CS329">
        <v>0</v>
      </c>
      <c r="CT329">
        <v>0</v>
      </c>
      <c r="CU329">
        <v>0</v>
      </c>
      <c r="CV329">
        <v>0</v>
      </c>
      <c r="CW329">
        <v>0</v>
      </c>
      <c r="CX329">
        <v>65.900000000000006</v>
      </c>
      <c r="CY329">
        <v>77.3</v>
      </c>
      <c r="CZ329">
        <v>85</v>
      </c>
      <c r="DA329">
        <v>97.6</v>
      </c>
      <c r="DB329">
        <v>65.900000000000006</v>
      </c>
      <c r="DC329">
        <v>74.5</v>
      </c>
      <c r="DD329">
        <v>85</v>
      </c>
      <c r="DE329">
        <v>93.3</v>
      </c>
      <c r="DF329">
        <v>65.900000000000006</v>
      </c>
      <c r="DG329">
        <v>77.3</v>
      </c>
      <c r="DH329">
        <v>85</v>
      </c>
      <c r="DI329">
        <v>97.6</v>
      </c>
      <c r="DJ329">
        <v>65.900000000000006</v>
      </c>
      <c r="DK329">
        <v>74.5</v>
      </c>
      <c r="DL329">
        <v>85</v>
      </c>
      <c r="DM329">
        <v>93.3</v>
      </c>
      <c r="DN329">
        <v>0</v>
      </c>
      <c r="DO329">
        <v>0</v>
      </c>
      <c r="DP329">
        <v>0</v>
      </c>
      <c r="DQ329">
        <v>0</v>
      </c>
      <c r="DR329">
        <v>0</v>
      </c>
      <c r="DS329">
        <v>0</v>
      </c>
      <c r="DT329">
        <v>0</v>
      </c>
      <c r="DU329">
        <v>0</v>
      </c>
      <c r="DV329" t="s">
        <v>575</v>
      </c>
    </row>
    <row r="330" spans="1:126" x14ac:dyDescent="0.35">
      <c r="A330" t="s">
        <v>598</v>
      </c>
      <c r="B330">
        <v>230103</v>
      </c>
      <c r="C330" s="1">
        <v>44929</v>
      </c>
      <c r="D330" t="s">
        <v>599</v>
      </c>
      <c r="E330" t="s">
        <v>231</v>
      </c>
      <c r="F330" t="s">
        <v>185</v>
      </c>
      <c r="G330" t="s">
        <v>463</v>
      </c>
      <c r="H330">
        <v>24357</v>
      </c>
      <c r="I330" s="17">
        <v>50</v>
      </c>
      <c r="J330" s="17">
        <v>5882</v>
      </c>
      <c r="K330">
        <v>0</v>
      </c>
      <c r="L330">
        <v>23859</v>
      </c>
      <c r="M330">
        <v>18270</v>
      </c>
      <c r="N330">
        <v>23909</v>
      </c>
      <c r="O330">
        <v>24152</v>
      </c>
      <c r="P330">
        <v>448</v>
      </c>
      <c r="Q330">
        <v>205</v>
      </c>
      <c r="R330">
        <v>24357</v>
      </c>
      <c r="S330">
        <v>50</v>
      </c>
      <c r="T330">
        <v>5882</v>
      </c>
      <c r="U330">
        <v>0</v>
      </c>
      <c r="V330">
        <v>23859</v>
      </c>
      <c r="W330">
        <v>18270</v>
      </c>
      <c r="X330">
        <v>23909</v>
      </c>
      <c r="Y330">
        <v>24152</v>
      </c>
      <c r="Z330">
        <v>448</v>
      </c>
      <c r="AA330">
        <v>205</v>
      </c>
      <c r="AB330">
        <v>0</v>
      </c>
      <c r="AC330">
        <v>0</v>
      </c>
      <c r="AD330">
        <v>0</v>
      </c>
      <c r="AE330">
        <v>0</v>
      </c>
      <c r="AF330">
        <v>0</v>
      </c>
      <c r="AG330">
        <v>0</v>
      </c>
      <c r="AH330">
        <v>0</v>
      </c>
      <c r="AI330">
        <v>0</v>
      </c>
      <c r="AJ330">
        <v>0</v>
      </c>
      <c r="AK330">
        <v>0</v>
      </c>
      <c r="AL330">
        <v>217</v>
      </c>
      <c r="AM330">
        <v>0</v>
      </c>
      <c r="AN330">
        <v>212</v>
      </c>
      <c r="AO330">
        <v>0</v>
      </c>
      <c r="AP330">
        <v>97</v>
      </c>
      <c r="AQ330">
        <v>5</v>
      </c>
      <c r="AR330">
        <v>97</v>
      </c>
      <c r="AS330">
        <v>217</v>
      </c>
      <c r="AT330">
        <v>120</v>
      </c>
      <c r="AU330">
        <v>0</v>
      </c>
      <c r="AV330">
        <v>100</v>
      </c>
      <c r="AW330">
        <v>0.2</v>
      </c>
      <c r="AX330">
        <v>24.1</v>
      </c>
      <c r="AY330">
        <v>0</v>
      </c>
      <c r="AZ330">
        <v>98</v>
      </c>
      <c r="BA330">
        <v>75</v>
      </c>
      <c r="BB330">
        <v>98.2</v>
      </c>
      <c r="BC330">
        <v>99.2</v>
      </c>
      <c r="BD330">
        <v>1.8</v>
      </c>
      <c r="BE330">
        <v>0.8</v>
      </c>
      <c r="BF330">
        <v>100</v>
      </c>
      <c r="BG330">
        <v>0.2</v>
      </c>
      <c r="BH330">
        <v>24.1</v>
      </c>
      <c r="BI330">
        <v>0</v>
      </c>
      <c r="BJ330">
        <v>98</v>
      </c>
      <c r="BK330">
        <v>75</v>
      </c>
      <c r="BL330">
        <v>98.2</v>
      </c>
      <c r="BM330">
        <v>99.2</v>
      </c>
      <c r="BN330">
        <v>1.8</v>
      </c>
      <c r="BO330">
        <v>0.8</v>
      </c>
      <c r="BP330">
        <v>0</v>
      </c>
      <c r="BQ330">
        <v>0</v>
      </c>
      <c r="BR330">
        <v>0</v>
      </c>
      <c r="BS330">
        <v>0</v>
      </c>
      <c r="BT330">
        <v>0</v>
      </c>
      <c r="BU330">
        <v>0</v>
      </c>
      <c r="BV330">
        <v>0</v>
      </c>
      <c r="BW330">
        <v>0</v>
      </c>
      <c r="BX330">
        <v>0</v>
      </c>
      <c r="BY330">
        <v>0</v>
      </c>
      <c r="BZ330">
        <v>23</v>
      </c>
      <c r="CA330">
        <v>1</v>
      </c>
      <c r="CB330">
        <v>2</v>
      </c>
      <c r="CC330">
        <v>0</v>
      </c>
      <c r="CD330">
        <v>15</v>
      </c>
      <c r="CE330">
        <v>7</v>
      </c>
      <c r="CF330">
        <v>16</v>
      </c>
      <c r="CG330">
        <v>9</v>
      </c>
      <c r="CH330">
        <v>23</v>
      </c>
      <c r="CI330">
        <v>1</v>
      </c>
      <c r="CJ330">
        <v>2</v>
      </c>
      <c r="CK330">
        <v>0</v>
      </c>
      <c r="CL330">
        <v>15</v>
      </c>
      <c r="CM330">
        <v>7</v>
      </c>
      <c r="CN330">
        <v>16</v>
      </c>
      <c r="CO330">
        <v>9</v>
      </c>
      <c r="CP330">
        <v>0</v>
      </c>
      <c r="CQ330">
        <v>0</v>
      </c>
      <c r="CR330">
        <v>0</v>
      </c>
      <c r="CS330">
        <v>0</v>
      </c>
      <c r="CT330">
        <v>0</v>
      </c>
      <c r="CU330">
        <v>0</v>
      </c>
      <c r="CV330">
        <v>0</v>
      </c>
      <c r="CW330">
        <v>0</v>
      </c>
      <c r="CX330">
        <v>64.599999999999994</v>
      </c>
      <c r="CY330">
        <v>75.8</v>
      </c>
      <c r="CZ330">
        <v>85.1</v>
      </c>
      <c r="DA330">
        <v>97.7</v>
      </c>
      <c r="DB330">
        <v>64.599999999999994</v>
      </c>
      <c r="DC330">
        <v>71.7</v>
      </c>
      <c r="DD330">
        <v>84.7</v>
      </c>
      <c r="DE330">
        <v>92.8</v>
      </c>
      <c r="DF330">
        <v>64.599999999999994</v>
      </c>
      <c r="DG330">
        <v>75.8</v>
      </c>
      <c r="DH330">
        <v>85.1</v>
      </c>
      <c r="DI330">
        <v>97.7</v>
      </c>
      <c r="DJ330">
        <v>64.599999999999994</v>
      </c>
      <c r="DK330">
        <v>71.7</v>
      </c>
      <c r="DL330">
        <v>84.7</v>
      </c>
      <c r="DM330">
        <v>92.8</v>
      </c>
      <c r="DN330">
        <v>0</v>
      </c>
      <c r="DO330">
        <v>0</v>
      </c>
      <c r="DP330">
        <v>0</v>
      </c>
      <c r="DQ330">
        <v>0</v>
      </c>
      <c r="DR330">
        <v>0</v>
      </c>
      <c r="DS330">
        <v>0</v>
      </c>
      <c r="DT330">
        <v>0</v>
      </c>
      <c r="DU330">
        <v>0</v>
      </c>
      <c r="DV330" t="s">
        <v>575</v>
      </c>
    </row>
    <row r="331" spans="1:126" x14ac:dyDescent="0.35">
      <c r="A331" t="s">
        <v>600</v>
      </c>
      <c r="B331">
        <v>230110</v>
      </c>
      <c r="C331" s="1">
        <v>44936</v>
      </c>
      <c r="D331" t="s">
        <v>601</v>
      </c>
      <c r="E331" t="s">
        <v>231</v>
      </c>
      <c r="F331" t="s">
        <v>185</v>
      </c>
      <c r="G331" t="s">
        <v>463</v>
      </c>
      <c r="H331">
        <v>24003</v>
      </c>
      <c r="I331" s="17">
        <v>3802</v>
      </c>
      <c r="J331" s="17">
        <v>380</v>
      </c>
      <c r="K331">
        <v>0</v>
      </c>
      <c r="L331">
        <v>17453</v>
      </c>
      <c r="M331">
        <v>21406</v>
      </c>
      <c r="N331">
        <v>21255</v>
      </c>
      <c r="O331">
        <v>21786</v>
      </c>
      <c r="P331">
        <v>2748</v>
      </c>
      <c r="Q331">
        <v>2217</v>
      </c>
      <c r="R331">
        <v>24003</v>
      </c>
      <c r="S331">
        <v>3802</v>
      </c>
      <c r="T331">
        <v>380</v>
      </c>
      <c r="U331">
        <v>0</v>
      </c>
      <c r="V331">
        <v>17453</v>
      </c>
      <c r="W331">
        <v>21406</v>
      </c>
      <c r="X331">
        <v>21255</v>
      </c>
      <c r="Y331">
        <v>21786</v>
      </c>
      <c r="Z331">
        <v>2748</v>
      </c>
      <c r="AA331">
        <v>2217</v>
      </c>
      <c r="AB331">
        <v>0</v>
      </c>
      <c r="AC331">
        <v>0</v>
      </c>
      <c r="AD331">
        <v>0</v>
      </c>
      <c r="AE331">
        <v>0</v>
      </c>
      <c r="AF331">
        <v>0</v>
      </c>
      <c r="AG331">
        <v>0</v>
      </c>
      <c r="AH331">
        <v>0</v>
      </c>
      <c r="AI331">
        <v>0</v>
      </c>
      <c r="AJ331">
        <v>0</v>
      </c>
      <c r="AK331">
        <v>0</v>
      </c>
      <c r="AL331">
        <v>-1084</v>
      </c>
      <c r="AM331">
        <v>-129</v>
      </c>
      <c r="AN331">
        <v>-35</v>
      </c>
      <c r="AO331">
        <v>0</v>
      </c>
      <c r="AP331">
        <v>-1300</v>
      </c>
      <c r="AQ331">
        <v>-854</v>
      </c>
      <c r="AR331">
        <v>-1429</v>
      </c>
      <c r="AS331">
        <v>-889</v>
      </c>
      <c r="AT331">
        <v>345</v>
      </c>
      <c r="AU331">
        <v>-195</v>
      </c>
      <c r="AV331">
        <v>100</v>
      </c>
      <c r="AW331">
        <v>15.8</v>
      </c>
      <c r="AX331">
        <v>1.6</v>
      </c>
      <c r="AY331">
        <v>0</v>
      </c>
      <c r="AZ331">
        <v>72.7</v>
      </c>
      <c r="BA331">
        <v>89.2</v>
      </c>
      <c r="BB331">
        <v>88.6</v>
      </c>
      <c r="BC331">
        <v>90.8</v>
      </c>
      <c r="BD331">
        <v>11.4</v>
      </c>
      <c r="BE331">
        <v>9.1999999999999993</v>
      </c>
      <c r="BF331">
        <v>100</v>
      </c>
      <c r="BG331">
        <v>15.8</v>
      </c>
      <c r="BH331">
        <v>1.6</v>
      </c>
      <c r="BI331">
        <v>0</v>
      </c>
      <c r="BJ331">
        <v>72.7</v>
      </c>
      <c r="BK331">
        <v>89.2</v>
      </c>
      <c r="BL331">
        <v>88.6</v>
      </c>
      <c r="BM331">
        <v>90.8</v>
      </c>
      <c r="BN331">
        <v>11.4</v>
      </c>
      <c r="BO331">
        <v>9.1999999999999993</v>
      </c>
      <c r="BP331">
        <v>0</v>
      </c>
      <c r="BQ331">
        <v>0</v>
      </c>
      <c r="BR331">
        <v>0</v>
      </c>
      <c r="BS331">
        <v>0</v>
      </c>
      <c r="BT331">
        <v>0</v>
      </c>
      <c r="BU331">
        <v>0</v>
      </c>
      <c r="BV331">
        <v>0</v>
      </c>
      <c r="BW331">
        <v>0</v>
      </c>
      <c r="BX331">
        <v>0</v>
      </c>
      <c r="BY331">
        <v>0</v>
      </c>
      <c r="BZ331">
        <v>20</v>
      </c>
      <c r="CA331">
        <v>1</v>
      </c>
      <c r="CB331">
        <v>1</v>
      </c>
      <c r="CC331">
        <v>0</v>
      </c>
      <c r="CD331">
        <v>15</v>
      </c>
      <c r="CE331">
        <v>12</v>
      </c>
      <c r="CF331">
        <v>16</v>
      </c>
      <c r="CG331">
        <v>13</v>
      </c>
      <c r="CH331">
        <v>20</v>
      </c>
      <c r="CI331">
        <v>1</v>
      </c>
      <c r="CJ331">
        <v>1</v>
      </c>
      <c r="CK331">
        <v>0</v>
      </c>
      <c r="CL331">
        <v>15</v>
      </c>
      <c r="CM331">
        <v>12</v>
      </c>
      <c r="CN331">
        <v>16</v>
      </c>
      <c r="CO331">
        <v>13</v>
      </c>
      <c r="CP331">
        <v>0</v>
      </c>
      <c r="CQ331">
        <v>0</v>
      </c>
      <c r="CR331">
        <v>0</v>
      </c>
      <c r="CS331">
        <v>0</v>
      </c>
      <c r="CT331">
        <v>0</v>
      </c>
      <c r="CU331">
        <v>0</v>
      </c>
      <c r="CV331">
        <v>0</v>
      </c>
      <c r="CW331">
        <v>0</v>
      </c>
      <c r="CX331">
        <v>71.3</v>
      </c>
      <c r="CY331">
        <v>76.099999999999994</v>
      </c>
      <c r="CZ331">
        <v>82</v>
      </c>
      <c r="DA331">
        <v>87.1</v>
      </c>
      <c r="DB331">
        <v>49.7</v>
      </c>
      <c r="DC331">
        <v>56.2</v>
      </c>
      <c r="DD331">
        <v>56.9</v>
      </c>
      <c r="DE331">
        <v>60</v>
      </c>
      <c r="DF331">
        <v>71.3</v>
      </c>
      <c r="DG331">
        <v>76.099999999999994</v>
      </c>
      <c r="DH331">
        <v>82</v>
      </c>
      <c r="DI331">
        <v>87.1</v>
      </c>
      <c r="DJ331">
        <v>49.7</v>
      </c>
      <c r="DK331">
        <v>56.2</v>
      </c>
      <c r="DL331">
        <v>56.9</v>
      </c>
      <c r="DM331">
        <v>60</v>
      </c>
      <c r="DN331">
        <v>0</v>
      </c>
      <c r="DO331">
        <v>0</v>
      </c>
      <c r="DP331">
        <v>0</v>
      </c>
      <c r="DQ331">
        <v>0</v>
      </c>
      <c r="DR331">
        <v>0</v>
      </c>
      <c r="DS331">
        <v>0</v>
      </c>
      <c r="DT331">
        <v>0</v>
      </c>
      <c r="DU331">
        <v>0</v>
      </c>
      <c r="DV331" t="s">
        <v>575</v>
      </c>
    </row>
    <row r="332" spans="1:126" x14ac:dyDescent="0.35">
      <c r="A332" t="s">
        <v>600</v>
      </c>
      <c r="B332">
        <v>230103</v>
      </c>
      <c r="C332" s="1">
        <v>44929</v>
      </c>
      <c r="D332" t="s">
        <v>601</v>
      </c>
      <c r="E332" t="s">
        <v>231</v>
      </c>
      <c r="F332" t="s">
        <v>185</v>
      </c>
      <c r="G332" t="s">
        <v>463</v>
      </c>
      <c r="H332">
        <v>25087</v>
      </c>
      <c r="I332" s="17">
        <v>3931</v>
      </c>
      <c r="J332" s="17">
        <v>415</v>
      </c>
      <c r="K332">
        <v>0</v>
      </c>
      <c r="L332">
        <v>18753</v>
      </c>
      <c r="M332">
        <v>22260</v>
      </c>
      <c r="N332">
        <v>22684</v>
      </c>
      <c r="O332">
        <v>22675</v>
      </c>
      <c r="P332">
        <v>2403</v>
      </c>
      <c r="Q332">
        <v>2412</v>
      </c>
      <c r="R332">
        <v>25087</v>
      </c>
      <c r="S332">
        <v>3931</v>
      </c>
      <c r="T332">
        <v>415</v>
      </c>
      <c r="U332">
        <v>0</v>
      </c>
      <c r="V332">
        <v>18753</v>
      </c>
      <c r="W332">
        <v>22260</v>
      </c>
      <c r="X332">
        <v>22684</v>
      </c>
      <c r="Y332">
        <v>22675</v>
      </c>
      <c r="Z332">
        <v>2403</v>
      </c>
      <c r="AA332">
        <v>2412</v>
      </c>
      <c r="AB332">
        <v>0</v>
      </c>
      <c r="AC332">
        <v>0</v>
      </c>
      <c r="AD332">
        <v>0</v>
      </c>
      <c r="AE332">
        <v>0</v>
      </c>
      <c r="AF332">
        <v>0</v>
      </c>
      <c r="AG332">
        <v>0</v>
      </c>
      <c r="AH332">
        <v>0</v>
      </c>
      <c r="AI332">
        <v>0</v>
      </c>
      <c r="AJ332">
        <v>0</v>
      </c>
      <c r="AK332">
        <v>0</v>
      </c>
      <c r="AL332">
        <v>0</v>
      </c>
      <c r="AM332">
        <v>0</v>
      </c>
      <c r="AN332">
        <v>0</v>
      </c>
      <c r="AO332">
        <v>0</v>
      </c>
      <c r="AP332">
        <v>0</v>
      </c>
      <c r="AQ332">
        <v>0</v>
      </c>
      <c r="AR332">
        <v>0</v>
      </c>
      <c r="AS332">
        <v>0</v>
      </c>
      <c r="AT332">
        <v>0</v>
      </c>
      <c r="AU332">
        <v>0</v>
      </c>
      <c r="AV332">
        <v>100</v>
      </c>
      <c r="AW332">
        <v>15.7</v>
      </c>
      <c r="AX332">
        <v>1.7</v>
      </c>
      <c r="AY332">
        <v>0</v>
      </c>
      <c r="AZ332">
        <v>74.8</v>
      </c>
      <c r="BA332">
        <v>88.7</v>
      </c>
      <c r="BB332">
        <v>90.4</v>
      </c>
      <c r="BC332">
        <v>90.4</v>
      </c>
      <c r="BD332">
        <v>9.6</v>
      </c>
      <c r="BE332">
        <v>9.6</v>
      </c>
      <c r="BF332">
        <v>100</v>
      </c>
      <c r="BG332">
        <v>15.7</v>
      </c>
      <c r="BH332">
        <v>1.7</v>
      </c>
      <c r="BI332">
        <v>0</v>
      </c>
      <c r="BJ332">
        <v>74.8</v>
      </c>
      <c r="BK332">
        <v>88.7</v>
      </c>
      <c r="BL332">
        <v>90.4</v>
      </c>
      <c r="BM332">
        <v>90.4</v>
      </c>
      <c r="BN332">
        <v>9.6</v>
      </c>
      <c r="BO332">
        <v>9.6</v>
      </c>
      <c r="BP332">
        <v>0</v>
      </c>
      <c r="BQ332">
        <v>0</v>
      </c>
      <c r="BR332">
        <v>0</v>
      </c>
      <c r="BS332">
        <v>0</v>
      </c>
      <c r="BT332">
        <v>0</v>
      </c>
      <c r="BU332">
        <v>0</v>
      </c>
      <c r="BV332">
        <v>0</v>
      </c>
      <c r="BW332">
        <v>0</v>
      </c>
      <c r="BX332">
        <v>0</v>
      </c>
      <c r="BY332">
        <v>0</v>
      </c>
      <c r="BZ332">
        <v>23</v>
      </c>
      <c r="CA332">
        <v>1</v>
      </c>
      <c r="CB332">
        <v>2</v>
      </c>
      <c r="CC332">
        <v>0</v>
      </c>
      <c r="CD332">
        <v>17</v>
      </c>
      <c r="CE332">
        <v>12</v>
      </c>
      <c r="CF332">
        <v>18</v>
      </c>
      <c r="CG332">
        <v>14</v>
      </c>
      <c r="CH332">
        <v>23</v>
      </c>
      <c r="CI332">
        <v>1</v>
      </c>
      <c r="CJ332">
        <v>2</v>
      </c>
      <c r="CK332">
        <v>0</v>
      </c>
      <c r="CL332">
        <v>17</v>
      </c>
      <c r="CM332">
        <v>12</v>
      </c>
      <c r="CN332">
        <v>18</v>
      </c>
      <c r="CO332">
        <v>14</v>
      </c>
      <c r="CP332">
        <v>0</v>
      </c>
      <c r="CQ332">
        <v>0</v>
      </c>
      <c r="CR332">
        <v>0</v>
      </c>
      <c r="CS332">
        <v>0</v>
      </c>
      <c r="CT332">
        <v>0</v>
      </c>
      <c r="CU332">
        <v>0</v>
      </c>
      <c r="CV332">
        <v>0</v>
      </c>
      <c r="CW332">
        <v>0</v>
      </c>
      <c r="CX332">
        <v>70.3</v>
      </c>
      <c r="CY332">
        <v>74.400000000000006</v>
      </c>
      <c r="CZ332">
        <v>81.3</v>
      </c>
      <c r="DA332">
        <v>85.8</v>
      </c>
      <c r="DB332">
        <v>48.7</v>
      </c>
      <c r="DC332">
        <v>55.2</v>
      </c>
      <c r="DD332">
        <v>56.3</v>
      </c>
      <c r="DE332">
        <v>59.1</v>
      </c>
      <c r="DF332">
        <v>70.3</v>
      </c>
      <c r="DG332">
        <v>74.400000000000006</v>
      </c>
      <c r="DH332">
        <v>81.3</v>
      </c>
      <c r="DI332">
        <v>85.8</v>
      </c>
      <c r="DJ332">
        <v>48.7</v>
      </c>
      <c r="DK332">
        <v>55.2</v>
      </c>
      <c r="DL332">
        <v>56.3</v>
      </c>
      <c r="DM332">
        <v>59.1</v>
      </c>
      <c r="DN332">
        <v>0</v>
      </c>
      <c r="DO332">
        <v>0</v>
      </c>
      <c r="DP332">
        <v>0</v>
      </c>
      <c r="DQ332">
        <v>0</v>
      </c>
      <c r="DR332">
        <v>0</v>
      </c>
      <c r="DS332">
        <v>0</v>
      </c>
      <c r="DT332">
        <v>0</v>
      </c>
      <c r="DU332">
        <v>0</v>
      </c>
      <c r="DV332" t="s">
        <v>575</v>
      </c>
    </row>
    <row r="333" spans="1:126" x14ac:dyDescent="0.35">
      <c r="A333" t="s">
        <v>602</v>
      </c>
      <c r="B333">
        <v>230110</v>
      </c>
      <c r="C333" s="1">
        <v>44936</v>
      </c>
      <c r="D333" t="s">
        <v>603</v>
      </c>
      <c r="E333" t="s">
        <v>231</v>
      </c>
      <c r="F333" t="s">
        <v>185</v>
      </c>
      <c r="G333" t="s">
        <v>463</v>
      </c>
      <c r="H333">
        <v>20625</v>
      </c>
      <c r="I333" s="17">
        <v>2996</v>
      </c>
      <c r="J333" s="17">
        <v>100</v>
      </c>
      <c r="K333">
        <v>0</v>
      </c>
      <c r="L333">
        <v>15697</v>
      </c>
      <c r="M333">
        <v>19238</v>
      </c>
      <c r="N333">
        <v>18693</v>
      </c>
      <c r="O333">
        <v>19338</v>
      </c>
      <c r="P333">
        <v>1932</v>
      </c>
      <c r="Q333">
        <v>1287</v>
      </c>
      <c r="R333">
        <v>20625</v>
      </c>
      <c r="S333">
        <v>2996</v>
      </c>
      <c r="T333">
        <v>100</v>
      </c>
      <c r="U333">
        <v>0</v>
      </c>
      <c r="V333">
        <v>15697</v>
      </c>
      <c r="W333">
        <v>19238</v>
      </c>
      <c r="X333">
        <v>18693</v>
      </c>
      <c r="Y333">
        <v>19338</v>
      </c>
      <c r="Z333">
        <v>1932</v>
      </c>
      <c r="AA333">
        <v>1287</v>
      </c>
      <c r="AB333">
        <v>0</v>
      </c>
      <c r="AC333">
        <v>0</v>
      </c>
      <c r="AD333">
        <v>0</v>
      </c>
      <c r="AE333">
        <v>0</v>
      </c>
      <c r="AF333">
        <v>0</v>
      </c>
      <c r="AG333">
        <v>0</v>
      </c>
      <c r="AH333">
        <v>0</v>
      </c>
      <c r="AI333">
        <v>0</v>
      </c>
      <c r="AJ333">
        <v>0</v>
      </c>
      <c r="AK333">
        <v>0</v>
      </c>
      <c r="AL333">
        <v>-928</v>
      </c>
      <c r="AM333">
        <v>-103</v>
      </c>
      <c r="AN333">
        <v>-35</v>
      </c>
      <c r="AO333">
        <v>0</v>
      </c>
      <c r="AP333">
        <v>-1110</v>
      </c>
      <c r="AQ333">
        <v>-663</v>
      </c>
      <c r="AR333">
        <v>-1213</v>
      </c>
      <c r="AS333">
        <v>-698</v>
      </c>
      <c r="AT333">
        <v>285</v>
      </c>
      <c r="AU333">
        <v>-230</v>
      </c>
      <c r="AV333">
        <v>100</v>
      </c>
      <c r="AW333">
        <v>14.5</v>
      </c>
      <c r="AX333">
        <v>0.5</v>
      </c>
      <c r="AY333">
        <v>0</v>
      </c>
      <c r="AZ333">
        <v>76.099999999999994</v>
      </c>
      <c r="BA333">
        <v>93.3</v>
      </c>
      <c r="BB333">
        <v>90.6</v>
      </c>
      <c r="BC333">
        <v>93.8</v>
      </c>
      <c r="BD333">
        <v>9.4</v>
      </c>
      <c r="BE333">
        <v>6.2</v>
      </c>
      <c r="BF333">
        <v>100</v>
      </c>
      <c r="BG333">
        <v>14.5</v>
      </c>
      <c r="BH333">
        <v>0.5</v>
      </c>
      <c r="BI333">
        <v>0</v>
      </c>
      <c r="BJ333">
        <v>76.099999999999994</v>
      </c>
      <c r="BK333">
        <v>93.3</v>
      </c>
      <c r="BL333">
        <v>90.6</v>
      </c>
      <c r="BM333">
        <v>93.8</v>
      </c>
      <c r="BN333">
        <v>9.4</v>
      </c>
      <c r="BO333">
        <v>6.2</v>
      </c>
      <c r="BP333">
        <v>0</v>
      </c>
      <c r="BQ333">
        <v>0</v>
      </c>
      <c r="BR333">
        <v>0</v>
      </c>
      <c r="BS333">
        <v>0</v>
      </c>
      <c r="BT333">
        <v>0</v>
      </c>
      <c r="BU333">
        <v>0</v>
      </c>
      <c r="BV333">
        <v>0</v>
      </c>
      <c r="BW333">
        <v>0</v>
      </c>
      <c r="BX333">
        <v>0</v>
      </c>
      <c r="BY333">
        <v>0</v>
      </c>
      <c r="BZ333">
        <v>21</v>
      </c>
      <c r="CA333">
        <v>1</v>
      </c>
      <c r="CB333">
        <v>1</v>
      </c>
      <c r="CC333">
        <v>0</v>
      </c>
      <c r="CD333">
        <v>17</v>
      </c>
      <c r="CE333">
        <v>13</v>
      </c>
      <c r="CF333">
        <v>18</v>
      </c>
      <c r="CG333">
        <v>14</v>
      </c>
      <c r="CH333">
        <v>21</v>
      </c>
      <c r="CI333">
        <v>1</v>
      </c>
      <c r="CJ333">
        <v>1</v>
      </c>
      <c r="CK333">
        <v>0</v>
      </c>
      <c r="CL333">
        <v>17</v>
      </c>
      <c r="CM333">
        <v>13</v>
      </c>
      <c r="CN333">
        <v>18</v>
      </c>
      <c r="CO333">
        <v>14</v>
      </c>
      <c r="CP333">
        <v>0</v>
      </c>
      <c r="CQ333">
        <v>0</v>
      </c>
      <c r="CR333">
        <v>0</v>
      </c>
      <c r="CS333">
        <v>0</v>
      </c>
      <c r="CT333">
        <v>0</v>
      </c>
      <c r="CU333">
        <v>0</v>
      </c>
      <c r="CV333">
        <v>0</v>
      </c>
      <c r="CW333">
        <v>0</v>
      </c>
      <c r="CX333">
        <v>68.7</v>
      </c>
      <c r="CY333">
        <v>77.2</v>
      </c>
      <c r="CZ333">
        <v>80.8</v>
      </c>
      <c r="DA333">
        <v>89.4</v>
      </c>
      <c r="DB333">
        <v>46.8</v>
      </c>
      <c r="DC333">
        <v>55.4</v>
      </c>
      <c r="DD333">
        <v>55.2</v>
      </c>
      <c r="DE333">
        <v>58.9</v>
      </c>
      <c r="DF333">
        <v>68.7</v>
      </c>
      <c r="DG333">
        <v>77.2</v>
      </c>
      <c r="DH333">
        <v>80.8</v>
      </c>
      <c r="DI333">
        <v>89.4</v>
      </c>
      <c r="DJ333">
        <v>46.8</v>
      </c>
      <c r="DK333">
        <v>55.4</v>
      </c>
      <c r="DL333">
        <v>55.2</v>
      </c>
      <c r="DM333">
        <v>58.9</v>
      </c>
      <c r="DN333">
        <v>0</v>
      </c>
      <c r="DO333">
        <v>0</v>
      </c>
      <c r="DP333">
        <v>0</v>
      </c>
      <c r="DQ333">
        <v>0</v>
      </c>
      <c r="DR333">
        <v>0</v>
      </c>
      <c r="DS333">
        <v>0</v>
      </c>
      <c r="DT333">
        <v>0</v>
      </c>
      <c r="DU333">
        <v>0</v>
      </c>
      <c r="DV333" t="s">
        <v>575</v>
      </c>
    </row>
    <row r="334" spans="1:126" x14ac:dyDescent="0.35">
      <c r="A334" t="s">
        <v>602</v>
      </c>
      <c r="B334">
        <v>230103</v>
      </c>
      <c r="C334" s="1">
        <v>44929</v>
      </c>
      <c r="D334" t="s">
        <v>603</v>
      </c>
      <c r="E334" t="s">
        <v>231</v>
      </c>
      <c r="F334" t="s">
        <v>185</v>
      </c>
      <c r="G334" t="s">
        <v>463</v>
      </c>
      <c r="H334">
        <v>21553</v>
      </c>
      <c r="I334" s="17">
        <v>3099</v>
      </c>
      <c r="J334" s="17">
        <v>135</v>
      </c>
      <c r="K334">
        <v>0</v>
      </c>
      <c r="L334">
        <v>16807</v>
      </c>
      <c r="M334">
        <v>19901</v>
      </c>
      <c r="N334">
        <v>19906</v>
      </c>
      <c r="O334">
        <v>20036</v>
      </c>
      <c r="P334">
        <v>1647</v>
      </c>
      <c r="Q334">
        <v>1517</v>
      </c>
      <c r="R334">
        <v>21553</v>
      </c>
      <c r="S334">
        <v>3099</v>
      </c>
      <c r="T334">
        <v>135</v>
      </c>
      <c r="U334">
        <v>0</v>
      </c>
      <c r="V334">
        <v>16807</v>
      </c>
      <c r="W334">
        <v>19901</v>
      </c>
      <c r="X334">
        <v>19906</v>
      </c>
      <c r="Y334">
        <v>20036</v>
      </c>
      <c r="Z334">
        <v>1647</v>
      </c>
      <c r="AA334">
        <v>1517</v>
      </c>
      <c r="AB334">
        <v>0</v>
      </c>
      <c r="AC334">
        <v>0</v>
      </c>
      <c r="AD334">
        <v>0</v>
      </c>
      <c r="AE334">
        <v>0</v>
      </c>
      <c r="AF334">
        <v>0</v>
      </c>
      <c r="AG334">
        <v>0</v>
      </c>
      <c r="AH334">
        <v>0</v>
      </c>
      <c r="AI334">
        <v>0</v>
      </c>
      <c r="AJ334">
        <v>0</v>
      </c>
      <c r="AK334">
        <v>0</v>
      </c>
      <c r="AL334">
        <v>0</v>
      </c>
      <c r="AM334">
        <v>0</v>
      </c>
      <c r="AN334">
        <v>0</v>
      </c>
      <c r="AO334">
        <v>0</v>
      </c>
      <c r="AP334">
        <v>0</v>
      </c>
      <c r="AQ334">
        <v>0</v>
      </c>
      <c r="AR334">
        <v>0</v>
      </c>
      <c r="AS334">
        <v>0</v>
      </c>
      <c r="AT334">
        <v>0</v>
      </c>
      <c r="AU334">
        <v>0</v>
      </c>
      <c r="AV334">
        <v>100</v>
      </c>
      <c r="AW334">
        <v>14.4</v>
      </c>
      <c r="AX334">
        <v>0.6</v>
      </c>
      <c r="AY334">
        <v>0</v>
      </c>
      <c r="AZ334">
        <v>78</v>
      </c>
      <c r="BA334">
        <v>92.3</v>
      </c>
      <c r="BB334">
        <v>92.4</v>
      </c>
      <c r="BC334">
        <v>93</v>
      </c>
      <c r="BD334">
        <v>7.6</v>
      </c>
      <c r="BE334">
        <v>7</v>
      </c>
      <c r="BF334">
        <v>100</v>
      </c>
      <c r="BG334">
        <v>14.4</v>
      </c>
      <c r="BH334">
        <v>0.6</v>
      </c>
      <c r="BI334">
        <v>0</v>
      </c>
      <c r="BJ334">
        <v>78</v>
      </c>
      <c r="BK334">
        <v>92.3</v>
      </c>
      <c r="BL334">
        <v>92.4</v>
      </c>
      <c r="BM334">
        <v>93</v>
      </c>
      <c r="BN334">
        <v>7.6</v>
      </c>
      <c r="BO334">
        <v>7</v>
      </c>
      <c r="BP334">
        <v>0</v>
      </c>
      <c r="BQ334">
        <v>0</v>
      </c>
      <c r="BR334">
        <v>0</v>
      </c>
      <c r="BS334">
        <v>0</v>
      </c>
      <c r="BT334">
        <v>0</v>
      </c>
      <c r="BU334">
        <v>0</v>
      </c>
      <c r="BV334">
        <v>0</v>
      </c>
      <c r="BW334">
        <v>0</v>
      </c>
      <c r="BX334">
        <v>0</v>
      </c>
      <c r="BY334">
        <v>0</v>
      </c>
      <c r="BZ334">
        <v>23</v>
      </c>
      <c r="CA334">
        <v>1</v>
      </c>
      <c r="CB334">
        <v>2</v>
      </c>
      <c r="CC334">
        <v>0</v>
      </c>
      <c r="CD334">
        <v>18</v>
      </c>
      <c r="CE334">
        <v>14</v>
      </c>
      <c r="CF334">
        <v>19</v>
      </c>
      <c r="CG334">
        <v>16</v>
      </c>
      <c r="CH334">
        <v>23</v>
      </c>
      <c r="CI334">
        <v>1</v>
      </c>
      <c r="CJ334">
        <v>2</v>
      </c>
      <c r="CK334">
        <v>0</v>
      </c>
      <c r="CL334">
        <v>18</v>
      </c>
      <c r="CM334">
        <v>14</v>
      </c>
      <c r="CN334">
        <v>19</v>
      </c>
      <c r="CO334">
        <v>16</v>
      </c>
      <c r="CP334">
        <v>0</v>
      </c>
      <c r="CQ334">
        <v>0</v>
      </c>
      <c r="CR334">
        <v>0</v>
      </c>
      <c r="CS334">
        <v>0</v>
      </c>
      <c r="CT334">
        <v>0</v>
      </c>
      <c r="CU334">
        <v>0</v>
      </c>
      <c r="CV334">
        <v>0</v>
      </c>
      <c r="CW334">
        <v>0</v>
      </c>
      <c r="CX334">
        <v>66.900000000000006</v>
      </c>
      <c r="CY334">
        <v>74.8</v>
      </c>
      <c r="CZ334">
        <v>79.2</v>
      </c>
      <c r="DA334">
        <v>87.9</v>
      </c>
      <c r="DB334">
        <v>44.5</v>
      </c>
      <c r="DC334">
        <v>53.5</v>
      </c>
      <c r="DD334">
        <v>54</v>
      </c>
      <c r="DE334">
        <v>57.3</v>
      </c>
      <c r="DF334">
        <v>66.900000000000006</v>
      </c>
      <c r="DG334">
        <v>74.8</v>
      </c>
      <c r="DH334">
        <v>79.2</v>
      </c>
      <c r="DI334">
        <v>87.9</v>
      </c>
      <c r="DJ334">
        <v>44.5</v>
      </c>
      <c r="DK334">
        <v>53.5</v>
      </c>
      <c r="DL334">
        <v>54</v>
      </c>
      <c r="DM334">
        <v>57.3</v>
      </c>
      <c r="DN334">
        <v>0</v>
      </c>
      <c r="DO334">
        <v>0</v>
      </c>
      <c r="DP334">
        <v>0</v>
      </c>
      <c r="DQ334">
        <v>0</v>
      </c>
      <c r="DR334">
        <v>0</v>
      </c>
      <c r="DS334">
        <v>0</v>
      </c>
      <c r="DT334">
        <v>0</v>
      </c>
      <c r="DU334">
        <v>0</v>
      </c>
      <c r="DV334" t="s">
        <v>575</v>
      </c>
    </row>
    <row r="335" spans="1:126" x14ac:dyDescent="0.35">
      <c r="A335" t="s">
        <v>604</v>
      </c>
      <c r="B335">
        <v>230103</v>
      </c>
      <c r="C335" s="1">
        <v>44929</v>
      </c>
      <c r="D335" t="s">
        <v>605</v>
      </c>
      <c r="E335" t="s">
        <v>231</v>
      </c>
      <c r="F335" t="s">
        <v>185</v>
      </c>
      <c r="G335" t="s">
        <v>463</v>
      </c>
      <c r="H335">
        <v>8220</v>
      </c>
      <c r="I335" s="17">
        <v>650</v>
      </c>
      <c r="J335" s="17">
        <v>0</v>
      </c>
      <c r="K335">
        <v>0</v>
      </c>
      <c r="L335">
        <v>6380</v>
      </c>
      <c r="M335">
        <v>7065</v>
      </c>
      <c r="N335">
        <v>7030</v>
      </c>
      <c r="O335">
        <v>7065</v>
      </c>
      <c r="P335">
        <v>1190</v>
      </c>
      <c r="Q335">
        <v>1155</v>
      </c>
      <c r="R335">
        <v>8220</v>
      </c>
      <c r="S335">
        <v>650</v>
      </c>
      <c r="T335">
        <v>0</v>
      </c>
      <c r="U335">
        <v>0</v>
      </c>
      <c r="V335">
        <v>6380</v>
      </c>
      <c r="W335">
        <v>7065</v>
      </c>
      <c r="X335">
        <v>7030</v>
      </c>
      <c r="Y335">
        <v>7065</v>
      </c>
      <c r="Z335">
        <v>1190</v>
      </c>
      <c r="AA335">
        <v>1155</v>
      </c>
      <c r="AB335">
        <v>0</v>
      </c>
      <c r="AC335">
        <v>0</v>
      </c>
      <c r="AD335">
        <v>0</v>
      </c>
      <c r="AE335">
        <v>0</v>
      </c>
      <c r="AF335">
        <v>0</v>
      </c>
      <c r="AG335">
        <v>0</v>
      </c>
      <c r="AH335">
        <v>0</v>
      </c>
      <c r="AI335">
        <v>0</v>
      </c>
      <c r="AJ335">
        <v>0</v>
      </c>
      <c r="AK335">
        <v>0</v>
      </c>
      <c r="AL335">
        <v>10</v>
      </c>
      <c r="AM335">
        <v>0</v>
      </c>
      <c r="AN335">
        <v>0</v>
      </c>
      <c r="AO335">
        <v>0</v>
      </c>
      <c r="AP335">
        <v>0</v>
      </c>
      <c r="AQ335">
        <v>0</v>
      </c>
      <c r="AR335">
        <v>0</v>
      </c>
      <c r="AS335">
        <v>0</v>
      </c>
      <c r="AT335">
        <v>10</v>
      </c>
      <c r="AU335">
        <v>10</v>
      </c>
      <c r="AV335">
        <v>100</v>
      </c>
      <c r="AW335">
        <v>7.9</v>
      </c>
      <c r="AX335">
        <v>0</v>
      </c>
      <c r="AY335">
        <v>0</v>
      </c>
      <c r="AZ335">
        <v>77.599999999999994</v>
      </c>
      <c r="BA335">
        <v>85.9</v>
      </c>
      <c r="BB335">
        <v>85.5</v>
      </c>
      <c r="BC335">
        <v>85.9</v>
      </c>
      <c r="BD335">
        <v>14.5</v>
      </c>
      <c r="BE335">
        <v>14.1</v>
      </c>
      <c r="BF335">
        <v>100</v>
      </c>
      <c r="BG335">
        <v>7.9</v>
      </c>
      <c r="BH335">
        <v>0</v>
      </c>
      <c r="BI335">
        <v>0</v>
      </c>
      <c r="BJ335">
        <v>77.599999999999994</v>
      </c>
      <c r="BK335">
        <v>85.9</v>
      </c>
      <c r="BL335">
        <v>85.5</v>
      </c>
      <c r="BM335">
        <v>85.9</v>
      </c>
      <c r="BN335">
        <v>14.5</v>
      </c>
      <c r="BO335">
        <v>14.1</v>
      </c>
      <c r="BP335">
        <v>0</v>
      </c>
      <c r="BQ335">
        <v>0</v>
      </c>
      <c r="BR335">
        <v>0</v>
      </c>
      <c r="BS335">
        <v>0</v>
      </c>
      <c r="BT335">
        <v>0</v>
      </c>
      <c r="BU335">
        <v>0</v>
      </c>
      <c r="BV335">
        <v>0</v>
      </c>
      <c r="BW335">
        <v>0</v>
      </c>
      <c r="BX335">
        <v>0</v>
      </c>
      <c r="BY335">
        <v>0</v>
      </c>
      <c r="BZ335">
        <v>20</v>
      </c>
      <c r="CA335">
        <v>3</v>
      </c>
      <c r="CB335">
        <v>0</v>
      </c>
      <c r="CC335">
        <v>0</v>
      </c>
      <c r="CD335">
        <v>13</v>
      </c>
      <c r="CE335">
        <v>9</v>
      </c>
      <c r="CF335">
        <v>16</v>
      </c>
      <c r="CG335">
        <v>9</v>
      </c>
      <c r="CH335">
        <v>20</v>
      </c>
      <c r="CI335">
        <v>3</v>
      </c>
      <c r="CJ335">
        <v>0</v>
      </c>
      <c r="CK335">
        <v>0</v>
      </c>
      <c r="CL335">
        <v>13</v>
      </c>
      <c r="CM335">
        <v>9</v>
      </c>
      <c r="CN335">
        <v>16</v>
      </c>
      <c r="CO335">
        <v>9</v>
      </c>
      <c r="CP335">
        <v>0</v>
      </c>
      <c r="CQ335">
        <v>0</v>
      </c>
      <c r="CR335">
        <v>0</v>
      </c>
      <c r="CS335">
        <v>0</v>
      </c>
      <c r="CT335">
        <v>0</v>
      </c>
      <c r="CU335">
        <v>0</v>
      </c>
      <c r="CV335">
        <v>0</v>
      </c>
      <c r="CW335">
        <v>0</v>
      </c>
      <c r="CX335">
        <v>51.6</v>
      </c>
      <c r="CY335">
        <v>78.099999999999994</v>
      </c>
      <c r="CZ335">
        <v>69.7</v>
      </c>
      <c r="DA335">
        <v>85.5</v>
      </c>
      <c r="DB335">
        <v>41.6</v>
      </c>
      <c r="DC335">
        <v>69.400000000000006</v>
      </c>
      <c r="DD335">
        <v>56.7</v>
      </c>
      <c r="DE335">
        <v>69.8</v>
      </c>
      <c r="DF335">
        <v>51.6</v>
      </c>
      <c r="DG335">
        <v>78.099999999999994</v>
      </c>
      <c r="DH335">
        <v>69.7</v>
      </c>
      <c r="DI335">
        <v>85.5</v>
      </c>
      <c r="DJ335">
        <v>41.6</v>
      </c>
      <c r="DK335">
        <v>69.400000000000006</v>
      </c>
      <c r="DL335">
        <v>56.7</v>
      </c>
      <c r="DM335">
        <v>69.8</v>
      </c>
      <c r="DN335">
        <v>0</v>
      </c>
      <c r="DO335">
        <v>0</v>
      </c>
      <c r="DP335">
        <v>0</v>
      </c>
      <c r="DQ335">
        <v>0</v>
      </c>
      <c r="DR335">
        <v>0</v>
      </c>
      <c r="DS335">
        <v>0</v>
      </c>
      <c r="DT335">
        <v>0</v>
      </c>
      <c r="DU335">
        <v>0</v>
      </c>
      <c r="DV335" t="s">
        <v>575</v>
      </c>
    </row>
    <row r="336" spans="1:126" x14ac:dyDescent="0.35">
      <c r="A336" t="s">
        <v>606</v>
      </c>
      <c r="B336">
        <v>230103</v>
      </c>
      <c r="C336" s="1">
        <v>44929</v>
      </c>
      <c r="D336" t="s">
        <v>607</v>
      </c>
      <c r="E336" t="s">
        <v>231</v>
      </c>
      <c r="F336" t="s">
        <v>185</v>
      </c>
      <c r="G336" t="s">
        <v>463</v>
      </c>
      <c r="H336">
        <v>8065</v>
      </c>
      <c r="I336" s="17">
        <v>650</v>
      </c>
      <c r="J336" s="17">
        <v>0</v>
      </c>
      <c r="K336">
        <v>0</v>
      </c>
      <c r="L336">
        <v>6250</v>
      </c>
      <c r="M336">
        <v>6935</v>
      </c>
      <c r="N336">
        <v>6900</v>
      </c>
      <c r="O336">
        <v>6935</v>
      </c>
      <c r="P336">
        <v>1165</v>
      </c>
      <c r="Q336">
        <v>1130</v>
      </c>
      <c r="R336">
        <v>8065</v>
      </c>
      <c r="S336">
        <v>650</v>
      </c>
      <c r="T336">
        <v>0</v>
      </c>
      <c r="U336">
        <v>0</v>
      </c>
      <c r="V336">
        <v>6250</v>
      </c>
      <c r="W336">
        <v>6935</v>
      </c>
      <c r="X336">
        <v>6900</v>
      </c>
      <c r="Y336">
        <v>6935</v>
      </c>
      <c r="Z336">
        <v>1165</v>
      </c>
      <c r="AA336">
        <v>1130</v>
      </c>
      <c r="AB336">
        <v>0</v>
      </c>
      <c r="AC336">
        <v>0</v>
      </c>
      <c r="AD336">
        <v>0</v>
      </c>
      <c r="AE336">
        <v>0</v>
      </c>
      <c r="AF336">
        <v>0</v>
      </c>
      <c r="AG336">
        <v>0</v>
      </c>
      <c r="AH336">
        <v>0</v>
      </c>
      <c r="AI336">
        <v>0</v>
      </c>
      <c r="AJ336">
        <v>0</v>
      </c>
      <c r="AK336">
        <v>0</v>
      </c>
      <c r="AL336">
        <v>10</v>
      </c>
      <c r="AM336">
        <v>0</v>
      </c>
      <c r="AN336">
        <v>0</v>
      </c>
      <c r="AO336">
        <v>0</v>
      </c>
      <c r="AP336">
        <v>0</v>
      </c>
      <c r="AQ336">
        <v>0</v>
      </c>
      <c r="AR336">
        <v>0</v>
      </c>
      <c r="AS336">
        <v>0</v>
      </c>
      <c r="AT336">
        <v>10</v>
      </c>
      <c r="AU336">
        <v>10</v>
      </c>
      <c r="AV336">
        <v>100</v>
      </c>
      <c r="AW336">
        <v>8.1</v>
      </c>
      <c r="AX336">
        <v>0</v>
      </c>
      <c r="AY336">
        <v>0</v>
      </c>
      <c r="AZ336">
        <v>77.5</v>
      </c>
      <c r="BA336">
        <v>86</v>
      </c>
      <c r="BB336">
        <v>85.6</v>
      </c>
      <c r="BC336">
        <v>86</v>
      </c>
      <c r="BD336">
        <v>14.4</v>
      </c>
      <c r="BE336">
        <v>14</v>
      </c>
      <c r="BF336">
        <v>100</v>
      </c>
      <c r="BG336">
        <v>8.1</v>
      </c>
      <c r="BH336">
        <v>0</v>
      </c>
      <c r="BI336">
        <v>0</v>
      </c>
      <c r="BJ336">
        <v>77.5</v>
      </c>
      <c r="BK336">
        <v>86</v>
      </c>
      <c r="BL336">
        <v>85.6</v>
      </c>
      <c r="BM336">
        <v>86</v>
      </c>
      <c r="BN336">
        <v>14.4</v>
      </c>
      <c r="BO336">
        <v>14</v>
      </c>
      <c r="BP336">
        <v>0</v>
      </c>
      <c r="BQ336">
        <v>0</v>
      </c>
      <c r="BR336">
        <v>0</v>
      </c>
      <c r="BS336">
        <v>0</v>
      </c>
      <c r="BT336">
        <v>0</v>
      </c>
      <c r="BU336">
        <v>0</v>
      </c>
      <c r="BV336">
        <v>0</v>
      </c>
      <c r="BW336">
        <v>0</v>
      </c>
      <c r="BX336">
        <v>0</v>
      </c>
      <c r="BY336">
        <v>0</v>
      </c>
      <c r="BZ336">
        <v>20</v>
      </c>
      <c r="CA336">
        <v>3</v>
      </c>
      <c r="CB336">
        <v>0</v>
      </c>
      <c r="CC336">
        <v>0</v>
      </c>
      <c r="CD336">
        <v>13</v>
      </c>
      <c r="CE336">
        <v>9</v>
      </c>
      <c r="CF336">
        <v>16</v>
      </c>
      <c r="CG336">
        <v>9</v>
      </c>
      <c r="CH336">
        <v>20</v>
      </c>
      <c r="CI336">
        <v>3</v>
      </c>
      <c r="CJ336">
        <v>0</v>
      </c>
      <c r="CK336">
        <v>0</v>
      </c>
      <c r="CL336">
        <v>13</v>
      </c>
      <c r="CM336">
        <v>9</v>
      </c>
      <c r="CN336">
        <v>16</v>
      </c>
      <c r="CO336">
        <v>9</v>
      </c>
      <c r="CP336">
        <v>0</v>
      </c>
      <c r="CQ336">
        <v>0</v>
      </c>
      <c r="CR336">
        <v>0</v>
      </c>
      <c r="CS336">
        <v>0</v>
      </c>
      <c r="CT336">
        <v>0</v>
      </c>
      <c r="CU336">
        <v>0</v>
      </c>
      <c r="CV336">
        <v>0</v>
      </c>
      <c r="CW336">
        <v>0</v>
      </c>
      <c r="CX336">
        <v>53.5</v>
      </c>
      <c r="CY336">
        <v>77.8</v>
      </c>
      <c r="CZ336">
        <v>70.599999999999994</v>
      </c>
      <c r="DA336">
        <v>85.7</v>
      </c>
      <c r="DB336">
        <v>42.4</v>
      </c>
      <c r="DC336">
        <v>70</v>
      </c>
      <c r="DD336">
        <v>57.3</v>
      </c>
      <c r="DE336">
        <v>70.3</v>
      </c>
      <c r="DF336">
        <v>53.5</v>
      </c>
      <c r="DG336">
        <v>77.8</v>
      </c>
      <c r="DH336">
        <v>70.599999999999994</v>
      </c>
      <c r="DI336">
        <v>85.7</v>
      </c>
      <c r="DJ336">
        <v>42.4</v>
      </c>
      <c r="DK336">
        <v>70</v>
      </c>
      <c r="DL336">
        <v>57.3</v>
      </c>
      <c r="DM336">
        <v>70.3</v>
      </c>
      <c r="DN336">
        <v>0</v>
      </c>
      <c r="DO336">
        <v>0</v>
      </c>
      <c r="DP336">
        <v>0</v>
      </c>
      <c r="DQ336">
        <v>0</v>
      </c>
      <c r="DR336">
        <v>0</v>
      </c>
      <c r="DS336">
        <v>0</v>
      </c>
      <c r="DT336">
        <v>0</v>
      </c>
      <c r="DU336">
        <v>0</v>
      </c>
      <c r="DV336" t="s">
        <v>575</v>
      </c>
    </row>
    <row r="337" spans="1:126" x14ac:dyDescent="0.35">
      <c r="A337" t="s">
        <v>608</v>
      </c>
      <c r="B337">
        <v>230110</v>
      </c>
      <c r="C337" s="1">
        <v>44936</v>
      </c>
      <c r="D337" t="s">
        <v>609</v>
      </c>
      <c r="E337" t="s">
        <v>231</v>
      </c>
      <c r="F337" t="s">
        <v>185</v>
      </c>
      <c r="G337" t="s">
        <v>463</v>
      </c>
      <c r="H337">
        <v>43167</v>
      </c>
      <c r="I337" s="17">
        <v>5867</v>
      </c>
      <c r="J337" s="17">
        <v>0</v>
      </c>
      <c r="K337">
        <v>140</v>
      </c>
      <c r="L337">
        <v>34156</v>
      </c>
      <c r="M337">
        <v>40277</v>
      </c>
      <c r="N337">
        <v>40163</v>
      </c>
      <c r="O337">
        <v>40417</v>
      </c>
      <c r="P337">
        <v>3004</v>
      </c>
      <c r="Q337">
        <v>2750</v>
      </c>
      <c r="R337">
        <v>43167</v>
      </c>
      <c r="S337">
        <v>5867</v>
      </c>
      <c r="T337">
        <v>0</v>
      </c>
      <c r="U337">
        <v>140</v>
      </c>
      <c r="V337">
        <v>34156</v>
      </c>
      <c r="W337">
        <v>40277</v>
      </c>
      <c r="X337">
        <v>40163</v>
      </c>
      <c r="Y337">
        <v>40417</v>
      </c>
      <c r="Z337">
        <v>3004</v>
      </c>
      <c r="AA337">
        <v>2750</v>
      </c>
      <c r="AB337">
        <v>0</v>
      </c>
      <c r="AC337">
        <v>0</v>
      </c>
      <c r="AD337">
        <v>0</v>
      </c>
      <c r="AE337">
        <v>0</v>
      </c>
      <c r="AF337">
        <v>0</v>
      </c>
      <c r="AG337">
        <v>0</v>
      </c>
      <c r="AH337">
        <v>0</v>
      </c>
      <c r="AI337">
        <v>0</v>
      </c>
      <c r="AJ337">
        <v>0</v>
      </c>
      <c r="AK337">
        <v>0</v>
      </c>
      <c r="AL337">
        <v>-437</v>
      </c>
      <c r="AM337">
        <v>-195</v>
      </c>
      <c r="AN337">
        <v>0</v>
      </c>
      <c r="AO337">
        <v>140</v>
      </c>
      <c r="AP337">
        <v>-172</v>
      </c>
      <c r="AQ337">
        <v>-265</v>
      </c>
      <c r="AR337">
        <v>-227</v>
      </c>
      <c r="AS337">
        <v>-125</v>
      </c>
      <c r="AT337">
        <v>-210</v>
      </c>
      <c r="AU337">
        <v>-312</v>
      </c>
      <c r="AV337">
        <v>100</v>
      </c>
      <c r="AW337">
        <v>13.6</v>
      </c>
      <c r="AX337">
        <v>0</v>
      </c>
      <c r="AY337">
        <v>0.3</v>
      </c>
      <c r="AZ337">
        <v>79.099999999999994</v>
      </c>
      <c r="BA337">
        <v>93.3</v>
      </c>
      <c r="BB337">
        <v>93</v>
      </c>
      <c r="BC337">
        <v>93.6</v>
      </c>
      <c r="BD337">
        <v>7</v>
      </c>
      <c r="BE337">
        <v>6.4</v>
      </c>
      <c r="BF337">
        <v>100</v>
      </c>
      <c r="BG337">
        <v>13.6</v>
      </c>
      <c r="BH337">
        <v>0</v>
      </c>
      <c r="BI337">
        <v>0.3</v>
      </c>
      <c r="BJ337">
        <v>79.099999999999994</v>
      </c>
      <c r="BK337">
        <v>93.3</v>
      </c>
      <c r="BL337">
        <v>93</v>
      </c>
      <c r="BM337">
        <v>93.6</v>
      </c>
      <c r="BN337">
        <v>7</v>
      </c>
      <c r="BO337">
        <v>6.4</v>
      </c>
      <c r="BP337">
        <v>0</v>
      </c>
      <c r="BQ337">
        <v>0</v>
      </c>
      <c r="BR337">
        <v>0</v>
      </c>
      <c r="BS337">
        <v>0</v>
      </c>
      <c r="BT337">
        <v>0</v>
      </c>
      <c r="BU337">
        <v>0</v>
      </c>
      <c r="BV337">
        <v>0</v>
      </c>
      <c r="BW337">
        <v>0</v>
      </c>
      <c r="BX337">
        <v>0</v>
      </c>
      <c r="BY337">
        <v>0</v>
      </c>
      <c r="BZ337">
        <v>29</v>
      </c>
      <c r="CA337">
        <v>2</v>
      </c>
      <c r="CB337">
        <v>0</v>
      </c>
      <c r="CC337">
        <v>1</v>
      </c>
      <c r="CD337">
        <v>19</v>
      </c>
      <c r="CE337">
        <v>22</v>
      </c>
      <c r="CF337">
        <v>21</v>
      </c>
      <c r="CG337">
        <v>23</v>
      </c>
      <c r="CH337">
        <v>29</v>
      </c>
      <c r="CI337">
        <v>2</v>
      </c>
      <c r="CJ337">
        <v>0</v>
      </c>
      <c r="CK337">
        <v>1</v>
      </c>
      <c r="CL337">
        <v>19</v>
      </c>
      <c r="CM337">
        <v>22</v>
      </c>
      <c r="CN337">
        <v>21</v>
      </c>
      <c r="CO337">
        <v>23</v>
      </c>
      <c r="CP337">
        <v>0</v>
      </c>
      <c r="CQ337">
        <v>0</v>
      </c>
      <c r="CR337">
        <v>0</v>
      </c>
      <c r="CS337">
        <v>0</v>
      </c>
      <c r="CT337">
        <v>0</v>
      </c>
      <c r="CU337">
        <v>0</v>
      </c>
      <c r="CV337">
        <v>0</v>
      </c>
      <c r="CW337">
        <v>0</v>
      </c>
      <c r="CX337">
        <v>66.5</v>
      </c>
      <c r="CY337">
        <v>68.900000000000006</v>
      </c>
      <c r="CZ337">
        <v>81.400000000000006</v>
      </c>
      <c r="DA337">
        <v>81.7</v>
      </c>
      <c r="DB337">
        <v>66.3</v>
      </c>
      <c r="DC337">
        <v>67.3</v>
      </c>
      <c r="DD337">
        <v>78.3</v>
      </c>
      <c r="DE337">
        <v>78.099999999999994</v>
      </c>
      <c r="DF337">
        <v>66.5</v>
      </c>
      <c r="DG337">
        <v>68.900000000000006</v>
      </c>
      <c r="DH337">
        <v>81.400000000000006</v>
      </c>
      <c r="DI337">
        <v>81.7</v>
      </c>
      <c r="DJ337">
        <v>66.3</v>
      </c>
      <c r="DK337">
        <v>67.3</v>
      </c>
      <c r="DL337">
        <v>78.3</v>
      </c>
      <c r="DM337">
        <v>78.099999999999994</v>
      </c>
      <c r="DN337">
        <v>0</v>
      </c>
      <c r="DO337">
        <v>0</v>
      </c>
      <c r="DP337">
        <v>0</v>
      </c>
      <c r="DQ337">
        <v>0</v>
      </c>
      <c r="DR337">
        <v>0</v>
      </c>
      <c r="DS337">
        <v>0</v>
      </c>
      <c r="DT337">
        <v>0</v>
      </c>
      <c r="DU337">
        <v>0</v>
      </c>
      <c r="DV337" t="s">
        <v>575</v>
      </c>
    </row>
    <row r="338" spans="1:126" x14ac:dyDescent="0.35">
      <c r="A338" t="s">
        <v>608</v>
      </c>
      <c r="B338">
        <v>230103</v>
      </c>
      <c r="C338" s="1">
        <v>44929</v>
      </c>
      <c r="D338" t="s">
        <v>609</v>
      </c>
      <c r="E338" t="s">
        <v>231</v>
      </c>
      <c r="F338" t="s">
        <v>185</v>
      </c>
      <c r="G338" t="s">
        <v>463</v>
      </c>
      <c r="H338">
        <v>43604</v>
      </c>
      <c r="I338" s="17">
        <v>6062</v>
      </c>
      <c r="J338" s="17">
        <v>0</v>
      </c>
      <c r="K338">
        <v>0</v>
      </c>
      <c r="L338">
        <v>34328</v>
      </c>
      <c r="M338">
        <v>40542</v>
      </c>
      <c r="N338">
        <v>40390</v>
      </c>
      <c r="O338">
        <v>40542</v>
      </c>
      <c r="P338">
        <v>3214</v>
      </c>
      <c r="Q338">
        <v>3062</v>
      </c>
      <c r="R338">
        <v>43604</v>
      </c>
      <c r="S338">
        <v>6062</v>
      </c>
      <c r="T338">
        <v>0</v>
      </c>
      <c r="U338">
        <v>0</v>
      </c>
      <c r="V338">
        <v>34328</v>
      </c>
      <c r="W338">
        <v>40542</v>
      </c>
      <c r="X338">
        <v>40390</v>
      </c>
      <c r="Y338">
        <v>40542</v>
      </c>
      <c r="Z338">
        <v>3214</v>
      </c>
      <c r="AA338">
        <v>3062</v>
      </c>
      <c r="AB338">
        <v>0</v>
      </c>
      <c r="AC338">
        <v>0</v>
      </c>
      <c r="AD338">
        <v>0</v>
      </c>
      <c r="AE338">
        <v>0</v>
      </c>
      <c r="AF338">
        <v>0</v>
      </c>
      <c r="AG338">
        <v>0</v>
      </c>
      <c r="AH338">
        <v>0</v>
      </c>
      <c r="AI338">
        <v>0</v>
      </c>
      <c r="AJ338">
        <v>0</v>
      </c>
      <c r="AK338">
        <v>0</v>
      </c>
      <c r="AL338">
        <v>227</v>
      </c>
      <c r="AM338">
        <v>212</v>
      </c>
      <c r="AN338">
        <v>0</v>
      </c>
      <c r="AO338">
        <v>0</v>
      </c>
      <c r="AP338">
        <v>-221</v>
      </c>
      <c r="AQ338">
        <v>51</v>
      </c>
      <c r="AR338">
        <v>-9</v>
      </c>
      <c r="AS338">
        <v>51</v>
      </c>
      <c r="AT338">
        <v>236</v>
      </c>
      <c r="AU338">
        <v>176</v>
      </c>
      <c r="AV338">
        <v>100</v>
      </c>
      <c r="AW338">
        <v>13.9</v>
      </c>
      <c r="AX338">
        <v>0</v>
      </c>
      <c r="AY338">
        <v>0</v>
      </c>
      <c r="AZ338">
        <v>78.7</v>
      </c>
      <c r="BA338">
        <v>93</v>
      </c>
      <c r="BB338">
        <v>92.6</v>
      </c>
      <c r="BC338">
        <v>93</v>
      </c>
      <c r="BD338">
        <v>7.4</v>
      </c>
      <c r="BE338">
        <v>7</v>
      </c>
      <c r="BF338">
        <v>100</v>
      </c>
      <c r="BG338">
        <v>13.9</v>
      </c>
      <c r="BH338">
        <v>0</v>
      </c>
      <c r="BI338">
        <v>0</v>
      </c>
      <c r="BJ338">
        <v>78.7</v>
      </c>
      <c r="BK338">
        <v>93</v>
      </c>
      <c r="BL338">
        <v>92.6</v>
      </c>
      <c r="BM338">
        <v>93</v>
      </c>
      <c r="BN338">
        <v>7.4</v>
      </c>
      <c r="BO338">
        <v>7</v>
      </c>
      <c r="BP338">
        <v>0</v>
      </c>
      <c r="BQ338">
        <v>0</v>
      </c>
      <c r="BR338">
        <v>0</v>
      </c>
      <c r="BS338">
        <v>0</v>
      </c>
      <c r="BT338">
        <v>0</v>
      </c>
      <c r="BU338">
        <v>0</v>
      </c>
      <c r="BV338">
        <v>0</v>
      </c>
      <c r="BW338">
        <v>0</v>
      </c>
      <c r="BX338">
        <v>0</v>
      </c>
      <c r="BY338">
        <v>0</v>
      </c>
      <c r="BZ338">
        <v>28</v>
      </c>
      <c r="CA338">
        <v>2</v>
      </c>
      <c r="CB338">
        <v>0</v>
      </c>
      <c r="CC338">
        <v>0</v>
      </c>
      <c r="CD338">
        <v>17</v>
      </c>
      <c r="CE338">
        <v>21</v>
      </c>
      <c r="CF338">
        <v>19</v>
      </c>
      <c r="CG338">
        <v>21</v>
      </c>
      <c r="CH338">
        <v>28</v>
      </c>
      <c r="CI338">
        <v>2</v>
      </c>
      <c r="CJ338">
        <v>0</v>
      </c>
      <c r="CK338">
        <v>0</v>
      </c>
      <c r="CL338">
        <v>17</v>
      </c>
      <c r="CM338">
        <v>21</v>
      </c>
      <c r="CN338">
        <v>19</v>
      </c>
      <c r="CO338">
        <v>21</v>
      </c>
      <c r="CP338">
        <v>0</v>
      </c>
      <c r="CQ338">
        <v>0</v>
      </c>
      <c r="CR338">
        <v>0</v>
      </c>
      <c r="CS338">
        <v>0</v>
      </c>
      <c r="CT338">
        <v>0</v>
      </c>
      <c r="CU338">
        <v>0</v>
      </c>
      <c r="CV338">
        <v>0</v>
      </c>
      <c r="CW338">
        <v>0</v>
      </c>
      <c r="CX338">
        <v>65.599999999999994</v>
      </c>
      <c r="CY338">
        <v>67.2</v>
      </c>
      <c r="CZ338">
        <v>81</v>
      </c>
      <c r="DA338">
        <v>80.900000000000006</v>
      </c>
      <c r="DB338">
        <v>65.5</v>
      </c>
      <c r="DC338">
        <v>66.900000000000006</v>
      </c>
      <c r="DD338">
        <v>78.7</v>
      </c>
      <c r="DE338">
        <v>78.099999999999994</v>
      </c>
      <c r="DF338">
        <v>65.599999999999994</v>
      </c>
      <c r="DG338">
        <v>67.2</v>
      </c>
      <c r="DH338">
        <v>81</v>
      </c>
      <c r="DI338">
        <v>80.900000000000006</v>
      </c>
      <c r="DJ338">
        <v>65.5</v>
      </c>
      <c r="DK338">
        <v>66.900000000000006</v>
      </c>
      <c r="DL338">
        <v>78.7</v>
      </c>
      <c r="DM338">
        <v>78.099999999999994</v>
      </c>
      <c r="DN338">
        <v>0</v>
      </c>
      <c r="DO338">
        <v>0</v>
      </c>
      <c r="DP338">
        <v>0</v>
      </c>
      <c r="DQ338">
        <v>0</v>
      </c>
      <c r="DR338">
        <v>0</v>
      </c>
      <c r="DS338">
        <v>0</v>
      </c>
      <c r="DT338">
        <v>0</v>
      </c>
      <c r="DU338">
        <v>0</v>
      </c>
      <c r="DV338" t="s">
        <v>575</v>
      </c>
    </row>
    <row r="339" spans="1:126" x14ac:dyDescent="0.35">
      <c r="A339" t="s">
        <v>610</v>
      </c>
      <c r="B339">
        <v>230110</v>
      </c>
      <c r="C339" s="1">
        <v>44936</v>
      </c>
      <c r="D339" t="s">
        <v>611</v>
      </c>
      <c r="E339" t="s">
        <v>231</v>
      </c>
      <c r="F339" t="s">
        <v>185</v>
      </c>
      <c r="G339" t="s">
        <v>463</v>
      </c>
      <c r="H339">
        <v>45272</v>
      </c>
      <c r="I339" s="17">
        <v>5687</v>
      </c>
      <c r="J339" s="17">
        <v>4800</v>
      </c>
      <c r="K339">
        <v>140</v>
      </c>
      <c r="L339">
        <v>36432</v>
      </c>
      <c r="M339">
        <v>37693</v>
      </c>
      <c r="N339">
        <v>42259</v>
      </c>
      <c r="O339">
        <v>42633</v>
      </c>
      <c r="P339">
        <v>3013</v>
      </c>
      <c r="Q339">
        <v>2639</v>
      </c>
      <c r="R339">
        <v>45272</v>
      </c>
      <c r="S339">
        <v>5687</v>
      </c>
      <c r="T339">
        <v>4800</v>
      </c>
      <c r="U339">
        <v>140</v>
      </c>
      <c r="V339">
        <v>36432</v>
      </c>
      <c r="W339">
        <v>37693</v>
      </c>
      <c r="X339">
        <v>42259</v>
      </c>
      <c r="Y339">
        <v>42633</v>
      </c>
      <c r="Z339">
        <v>3013</v>
      </c>
      <c r="AA339">
        <v>2639</v>
      </c>
      <c r="AB339">
        <v>0</v>
      </c>
      <c r="AC339">
        <v>0</v>
      </c>
      <c r="AD339">
        <v>0</v>
      </c>
      <c r="AE339">
        <v>0</v>
      </c>
      <c r="AF339">
        <v>0</v>
      </c>
      <c r="AG339">
        <v>0</v>
      </c>
      <c r="AH339">
        <v>0</v>
      </c>
      <c r="AI339">
        <v>0</v>
      </c>
      <c r="AJ339">
        <v>0</v>
      </c>
      <c r="AK339">
        <v>0</v>
      </c>
      <c r="AL339">
        <v>-1530</v>
      </c>
      <c r="AM339">
        <v>-95</v>
      </c>
      <c r="AN339">
        <v>862</v>
      </c>
      <c r="AO339">
        <v>-35</v>
      </c>
      <c r="AP339">
        <v>-1089</v>
      </c>
      <c r="AQ339">
        <v>-1934</v>
      </c>
      <c r="AR339">
        <v>-1219</v>
      </c>
      <c r="AS339">
        <v>-1107</v>
      </c>
      <c r="AT339">
        <v>-311</v>
      </c>
      <c r="AU339">
        <v>-423</v>
      </c>
      <c r="AV339">
        <v>100</v>
      </c>
      <c r="AW339">
        <v>12.6</v>
      </c>
      <c r="AX339">
        <v>10.6</v>
      </c>
      <c r="AY339">
        <v>0.3</v>
      </c>
      <c r="AZ339">
        <v>80.5</v>
      </c>
      <c r="BA339">
        <v>83.3</v>
      </c>
      <c r="BB339">
        <v>93.3</v>
      </c>
      <c r="BC339">
        <v>94.2</v>
      </c>
      <c r="BD339">
        <v>6.7</v>
      </c>
      <c r="BE339">
        <v>5.8</v>
      </c>
      <c r="BF339">
        <v>100</v>
      </c>
      <c r="BG339">
        <v>12.6</v>
      </c>
      <c r="BH339">
        <v>10.6</v>
      </c>
      <c r="BI339">
        <v>0.3</v>
      </c>
      <c r="BJ339">
        <v>80.5</v>
      </c>
      <c r="BK339">
        <v>83.3</v>
      </c>
      <c r="BL339">
        <v>93.3</v>
      </c>
      <c r="BM339">
        <v>94.2</v>
      </c>
      <c r="BN339">
        <v>6.7</v>
      </c>
      <c r="BO339">
        <v>5.8</v>
      </c>
      <c r="BP339">
        <v>0</v>
      </c>
      <c r="BQ339">
        <v>0</v>
      </c>
      <c r="BR339">
        <v>0</v>
      </c>
      <c r="BS339">
        <v>0</v>
      </c>
      <c r="BT339">
        <v>0</v>
      </c>
      <c r="BU339">
        <v>0</v>
      </c>
      <c r="BV339">
        <v>0</v>
      </c>
      <c r="BW339">
        <v>0</v>
      </c>
      <c r="BX339">
        <v>0</v>
      </c>
      <c r="BY339">
        <v>0</v>
      </c>
      <c r="BZ339">
        <v>31</v>
      </c>
      <c r="CA339">
        <v>2</v>
      </c>
      <c r="CB339">
        <v>3</v>
      </c>
      <c r="CC339">
        <v>1</v>
      </c>
      <c r="CD339">
        <v>19</v>
      </c>
      <c r="CE339">
        <v>20</v>
      </c>
      <c r="CF339">
        <v>21</v>
      </c>
      <c r="CG339">
        <v>24</v>
      </c>
      <c r="CH339">
        <v>31</v>
      </c>
      <c r="CI339">
        <v>2</v>
      </c>
      <c r="CJ339">
        <v>3</v>
      </c>
      <c r="CK339">
        <v>1</v>
      </c>
      <c r="CL339">
        <v>19</v>
      </c>
      <c r="CM339">
        <v>20</v>
      </c>
      <c r="CN339">
        <v>21</v>
      </c>
      <c r="CO339">
        <v>24</v>
      </c>
      <c r="CP339">
        <v>0</v>
      </c>
      <c r="CQ339">
        <v>0</v>
      </c>
      <c r="CR339">
        <v>0</v>
      </c>
      <c r="CS339">
        <v>0</v>
      </c>
      <c r="CT339">
        <v>0</v>
      </c>
      <c r="CU339">
        <v>0</v>
      </c>
      <c r="CV339">
        <v>0</v>
      </c>
      <c r="CW339">
        <v>0</v>
      </c>
      <c r="CX339">
        <v>69.5</v>
      </c>
      <c r="CY339">
        <v>64.599999999999994</v>
      </c>
      <c r="CZ339">
        <v>82.2</v>
      </c>
      <c r="DA339">
        <v>80.099999999999994</v>
      </c>
      <c r="DB339">
        <v>69.5</v>
      </c>
      <c r="DC339">
        <v>63.8</v>
      </c>
      <c r="DD339">
        <v>79</v>
      </c>
      <c r="DE339">
        <v>75.900000000000006</v>
      </c>
      <c r="DF339">
        <v>69.5</v>
      </c>
      <c r="DG339">
        <v>64.599999999999994</v>
      </c>
      <c r="DH339">
        <v>82.2</v>
      </c>
      <c r="DI339">
        <v>80.099999999999994</v>
      </c>
      <c r="DJ339">
        <v>69.5</v>
      </c>
      <c r="DK339">
        <v>63.8</v>
      </c>
      <c r="DL339">
        <v>79</v>
      </c>
      <c r="DM339">
        <v>75.900000000000006</v>
      </c>
      <c r="DN339">
        <v>0</v>
      </c>
      <c r="DO339">
        <v>0</v>
      </c>
      <c r="DP339">
        <v>0</v>
      </c>
      <c r="DQ339">
        <v>0</v>
      </c>
      <c r="DR339">
        <v>0</v>
      </c>
      <c r="DS339">
        <v>0</v>
      </c>
      <c r="DT339">
        <v>0</v>
      </c>
      <c r="DU339">
        <v>0</v>
      </c>
      <c r="DV339" t="s">
        <v>575</v>
      </c>
    </row>
    <row r="340" spans="1:126" x14ac:dyDescent="0.35">
      <c r="A340" t="s">
        <v>610</v>
      </c>
      <c r="B340">
        <v>230103</v>
      </c>
      <c r="C340" s="1">
        <v>44929</v>
      </c>
      <c r="D340" t="s">
        <v>611</v>
      </c>
      <c r="E340" t="s">
        <v>231</v>
      </c>
      <c r="F340" t="s">
        <v>185</v>
      </c>
      <c r="G340" t="s">
        <v>463</v>
      </c>
      <c r="H340">
        <v>46802</v>
      </c>
      <c r="I340" s="17">
        <v>5782</v>
      </c>
      <c r="J340" s="17">
        <v>3938</v>
      </c>
      <c r="K340">
        <v>175</v>
      </c>
      <c r="L340">
        <v>37521</v>
      </c>
      <c r="M340">
        <v>39627</v>
      </c>
      <c r="N340">
        <v>43478</v>
      </c>
      <c r="O340">
        <v>43740</v>
      </c>
      <c r="P340">
        <v>3324</v>
      </c>
      <c r="Q340">
        <v>3062</v>
      </c>
      <c r="R340">
        <v>46802</v>
      </c>
      <c r="S340">
        <v>5782</v>
      </c>
      <c r="T340">
        <v>3938</v>
      </c>
      <c r="U340">
        <v>175</v>
      </c>
      <c r="V340">
        <v>37521</v>
      </c>
      <c r="W340">
        <v>39627</v>
      </c>
      <c r="X340">
        <v>43478</v>
      </c>
      <c r="Y340">
        <v>43740</v>
      </c>
      <c r="Z340">
        <v>3324</v>
      </c>
      <c r="AA340">
        <v>3062</v>
      </c>
      <c r="AB340">
        <v>0</v>
      </c>
      <c r="AC340">
        <v>0</v>
      </c>
      <c r="AD340">
        <v>0</v>
      </c>
      <c r="AE340">
        <v>0</v>
      </c>
      <c r="AF340">
        <v>0</v>
      </c>
      <c r="AG340">
        <v>0</v>
      </c>
      <c r="AH340">
        <v>0</v>
      </c>
      <c r="AI340">
        <v>0</v>
      </c>
      <c r="AJ340">
        <v>0</v>
      </c>
      <c r="AK340">
        <v>0</v>
      </c>
      <c r="AL340">
        <v>297</v>
      </c>
      <c r="AM340">
        <v>212</v>
      </c>
      <c r="AN340">
        <v>0</v>
      </c>
      <c r="AO340">
        <v>0</v>
      </c>
      <c r="AP340">
        <v>-591</v>
      </c>
      <c r="AQ340">
        <v>101</v>
      </c>
      <c r="AR340">
        <v>-379</v>
      </c>
      <c r="AS340">
        <v>101</v>
      </c>
      <c r="AT340">
        <v>676</v>
      </c>
      <c r="AU340">
        <v>196</v>
      </c>
      <c r="AV340">
        <v>100</v>
      </c>
      <c r="AW340">
        <v>12.4</v>
      </c>
      <c r="AX340">
        <v>8.4</v>
      </c>
      <c r="AY340">
        <v>0.4</v>
      </c>
      <c r="AZ340">
        <v>80.2</v>
      </c>
      <c r="BA340">
        <v>84.7</v>
      </c>
      <c r="BB340">
        <v>92.9</v>
      </c>
      <c r="BC340">
        <v>93.5</v>
      </c>
      <c r="BD340">
        <v>7.1</v>
      </c>
      <c r="BE340">
        <v>6.5</v>
      </c>
      <c r="BF340">
        <v>100</v>
      </c>
      <c r="BG340">
        <v>12.4</v>
      </c>
      <c r="BH340">
        <v>8.4</v>
      </c>
      <c r="BI340">
        <v>0.4</v>
      </c>
      <c r="BJ340">
        <v>80.2</v>
      </c>
      <c r="BK340">
        <v>84.7</v>
      </c>
      <c r="BL340">
        <v>92.9</v>
      </c>
      <c r="BM340">
        <v>93.5</v>
      </c>
      <c r="BN340">
        <v>7.1</v>
      </c>
      <c r="BO340">
        <v>6.5</v>
      </c>
      <c r="BP340">
        <v>0</v>
      </c>
      <c r="BQ340">
        <v>0</v>
      </c>
      <c r="BR340">
        <v>0</v>
      </c>
      <c r="BS340">
        <v>0</v>
      </c>
      <c r="BT340">
        <v>0</v>
      </c>
      <c r="BU340">
        <v>0</v>
      </c>
      <c r="BV340">
        <v>0</v>
      </c>
      <c r="BW340">
        <v>0</v>
      </c>
      <c r="BX340">
        <v>0</v>
      </c>
      <c r="BY340">
        <v>0</v>
      </c>
      <c r="BZ340">
        <v>32</v>
      </c>
      <c r="CA340">
        <v>3</v>
      </c>
      <c r="CB340">
        <v>3</v>
      </c>
      <c r="CC340">
        <v>1</v>
      </c>
      <c r="CD340">
        <v>18</v>
      </c>
      <c r="CE340">
        <v>20</v>
      </c>
      <c r="CF340">
        <v>21</v>
      </c>
      <c r="CG340">
        <v>24</v>
      </c>
      <c r="CH340">
        <v>32</v>
      </c>
      <c r="CI340">
        <v>3</v>
      </c>
      <c r="CJ340">
        <v>3</v>
      </c>
      <c r="CK340">
        <v>1</v>
      </c>
      <c r="CL340">
        <v>18</v>
      </c>
      <c r="CM340">
        <v>20</v>
      </c>
      <c r="CN340">
        <v>21</v>
      </c>
      <c r="CO340">
        <v>24</v>
      </c>
      <c r="CP340">
        <v>0</v>
      </c>
      <c r="CQ340">
        <v>0</v>
      </c>
      <c r="CR340">
        <v>0</v>
      </c>
      <c r="CS340">
        <v>0</v>
      </c>
      <c r="CT340">
        <v>0</v>
      </c>
      <c r="CU340">
        <v>0</v>
      </c>
      <c r="CV340">
        <v>0</v>
      </c>
      <c r="CW340">
        <v>0</v>
      </c>
      <c r="CX340">
        <v>68.3</v>
      </c>
      <c r="CY340">
        <v>62.9</v>
      </c>
      <c r="CZ340">
        <v>80.8</v>
      </c>
      <c r="DA340">
        <v>78.900000000000006</v>
      </c>
      <c r="DB340">
        <v>67.900000000000006</v>
      </c>
      <c r="DC340">
        <v>62.3</v>
      </c>
      <c r="DD340">
        <v>77.7</v>
      </c>
      <c r="DE340">
        <v>75</v>
      </c>
      <c r="DF340">
        <v>68.3</v>
      </c>
      <c r="DG340">
        <v>62.9</v>
      </c>
      <c r="DH340">
        <v>80.8</v>
      </c>
      <c r="DI340">
        <v>78.900000000000006</v>
      </c>
      <c r="DJ340">
        <v>67.900000000000006</v>
      </c>
      <c r="DK340">
        <v>62.3</v>
      </c>
      <c r="DL340">
        <v>77.7</v>
      </c>
      <c r="DM340">
        <v>75</v>
      </c>
      <c r="DN340">
        <v>0</v>
      </c>
      <c r="DO340">
        <v>0</v>
      </c>
      <c r="DP340">
        <v>0</v>
      </c>
      <c r="DQ340">
        <v>0</v>
      </c>
      <c r="DR340">
        <v>0</v>
      </c>
      <c r="DS340">
        <v>0</v>
      </c>
      <c r="DT340">
        <v>0</v>
      </c>
      <c r="DU340">
        <v>0</v>
      </c>
      <c r="DV340" t="s">
        <v>575</v>
      </c>
    </row>
    <row r="341" spans="1:126" x14ac:dyDescent="0.35">
      <c r="A341" t="s">
        <v>612</v>
      </c>
      <c r="B341">
        <v>230110</v>
      </c>
      <c r="C341" s="1">
        <v>44936</v>
      </c>
      <c r="D341" t="s">
        <v>613</v>
      </c>
      <c r="E341" t="s">
        <v>231</v>
      </c>
      <c r="F341" t="s">
        <v>185</v>
      </c>
      <c r="G341" t="s">
        <v>463</v>
      </c>
      <c r="H341">
        <v>57589</v>
      </c>
      <c r="I341" s="17">
        <v>1430</v>
      </c>
      <c r="J341" s="17">
        <v>1675</v>
      </c>
      <c r="K341">
        <v>880</v>
      </c>
      <c r="L341">
        <v>53108</v>
      </c>
      <c r="M341">
        <v>53073</v>
      </c>
      <c r="N341">
        <v>55418</v>
      </c>
      <c r="O341">
        <v>55628</v>
      </c>
      <c r="P341">
        <v>2171</v>
      </c>
      <c r="Q341">
        <v>1961</v>
      </c>
      <c r="R341">
        <v>57589</v>
      </c>
      <c r="S341">
        <v>1430</v>
      </c>
      <c r="T341">
        <v>1675</v>
      </c>
      <c r="U341">
        <v>880</v>
      </c>
      <c r="V341">
        <v>53108</v>
      </c>
      <c r="W341">
        <v>53073</v>
      </c>
      <c r="X341">
        <v>55418</v>
      </c>
      <c r="Y341">
        <v>55628</v>
      </c>
      <c r="Z341">
        <v>2171</v>
      </c>
      <c r="AA341">
        <v>1961</v>
      </c>
      <c r="AB341">
        <v>0</v>
      </c>
      <c r="AC341">
        <v>0</v>
      </c>
      <c r="AD341">
        <v>0</v>
      </c>
      <c r="AE341">
        <v>0</v>
      </c>
      <c r="AF341">
        <v>0</v>
      </c>
      <c r="AG341">
        <v>0</v>
      </c>
      <c r="AH341">
        <v>0</v>
      </c>
      <c r="AI341">
        <v>0</v>
      </c>
      <c r="AJ341">
        <v>0</v>
      </c>
      <c r="AK341">
        <v>0</v>
      </c>
      <c r="AL341">
        <v>-3708</v>
      </c>
      <c r="AM341">
        <v>-35</v>
      </c>
      <c r="AN341">
        <v>175</v>
      </c>
      <c r="AO341">
        <v>330</v>
      </c>
      <c r="AP341">
        <v>-3771</v>
      </c>
      <c r="AQ341">
        <v>-4051</v>
      </c>
      <c r="AR341">
        <v>-3476</v>
      </c>
      <c r="AS341">
        <v>-3546</v>
      </c>
      <c r="AT341">
        <v>-232</v>
      </c>
      <c r="AU341">
        <v>-162</v>
      </c>
      <c r="AV341">
        <v>100</v>
      </c>
      <c r="AW341">
        <v>2.5</v>
      </c>
      <c r="AX341">
        <v>2.9</v>
      </c>
      <c r="AY341">
        <v>1.5</v>
      </c>
      <c r="AZ341">
        <v>92.2</v>
      </c>
      <c r="BA341">
        <v>92.2</v>
      </c>
      <c r="BB341">
        <v>96.2</v>
      </c>
      <c r="BC341">
        <v>96.6</v>
      </c>
      <c r="BD341">
        <v>3.8</v>
      </c>
      <c r="BE341">
        <v>3.4</v>
      </c>
      <c r="BF341">
        <v>100</v>
      </c>
      <c r="BG341">
        <v>2.5</v>
      </c>
      <c r="BH341">
        <v>2.9</v>
      </c>
      <c r="BI341">
        <v>1.5</v>
      </c>
      <c r="BJ341">
        <v>92.2</v>
      </c>
      <c r="BK341">
        <v>92.2</v>
      </c>
      <c r="BL341">
        <v>96.2</v>
      </c>
      <c r="BM341">
        <v>96.6</v>
      </c>
      <c r="BN341">
        <v>3.8</v>
      </c>
      <c r="BO341">
        <v>3.4</v>
      </c>
      <c r="BP341">
        <v>0</v>
      </c>
      <c r="BQ341">
        <v>0</v>
      </c>
      <c r="BR341">
        <v>0</v>
      </c>
      <c r="BS341">
        <v>0</v>
      </c>
      <c r="BT341">
        <v>0</v>
      </c>
      <c r="BU341">
        <v>0</v>
      </c>
      <c r="BV341">
        <v>0</v>
      </c>
      <c r="BW341">
        <v>0</v>
      </c>
      <c r="BX341">
        <v>0</v>
      </c>
      <c r="BY341">
        <v>0</v>
      </c>
      <c r="BZ341">
        <v>29</v>
      </c>
      <c r="CA341">
        <v>2</v>
      </c>
      <c r="CB341">
        <v>3</v>
      </c>
      <c r="CC341">
        <v>4</v>
      </c>
      <c r="CD341">
        <v>21</v>
      </c>
      <c r="CE341">
        <v>17</v>
      </c>
      <c r="CF341">
        <v>25</v>
      </c>
      <c r="CG341">
        <v>22</v>
      </c>
      <c r="CH341">
        <v>29</v>
      </c>
      <c r="CI341">
        <v>2</v>
      </c>
      <c r="CJ341">
        <v>3</v>
      </c>
      <c r="CK341">
        <v>4</v>
      </c>
      <c r="CL341">
        <v>21</v>
      </c>
      <c r="CM341">
        <v>17</v>
      </c>
      <c r="CN341">
        <v>25</v>
      </c>
      <c r="CO341">
        <v>22</v>
      </c>
      <c r="CP341">
        <v>0</v>
      </c>
      <c r="CQ341">
        <v>0</v>
      </c>
      <c r="CR341">
        <v>0</v>
      </c>
      <c r="CS341">
        <v>0</v>
      </c>
      <c r="CT341">
        <v>0</v>
      </c>
      <c r="CU341">
        <v>0</v>
      </c>
      <c r="CV341">
        <v>0</v>
      </c>
      <c r="CW341">
        <v>0</v>
      </c>
      <c r="CX341">
        <v>65.7</v>
      </c>
      <c r="CY341">
        <v>81.3</v>
      </c>
      <c r="CZ341">
        <v>79.599999999999994</v>
      </c>
      <c r="DA341">
        <v>89.3</v>
      </c>
      <c r="DB341">
        <v>62.1</v>
      </c>
      <c r="DC341">
        <v>76.5</v>
      </c>
      <c r="DD341">
        <v>73.3</v>
      </c>
      <c r="DE341">
        <v>81.900000000000006</v>
      </c>
      <c r="DF341">
        <v>65.7</v>
      </c>
      <c r="DG341">
        <v>81.3</v>
      </c>
      <c r="DH341">
        <v>79.599999999999994</v>
      </c>
      <c r="DI341">
        <v>89.3</v>
      </c>
      <c r="DJ341">
        <v>62.1</v>
      </c>
      <c r="DK341">
        <v>76.5</v>
      </c>
      <c r="DL341">
        <v>73.3</v>
      </c>
      <c r="DM341">
        <v>81.900000000000006</v>
      </c>
      <c r="DN341">
        <v>0</v>
      </c>
      <c r="DO341">
        <v>0</v>
      </c>
      <c r="DP341">
        <v>0</v>
      </c>
      <c r="DQ341">
        <v>0</v>
      </c>
      <c r="DR341">
        <v>0</v>
      </c>
      <c r="DS341">
        <v>0</v>
      </c>
      <c r="DT341">
        <v>0</v>
      </c>
      <c r="DU341">
        <v>0</v>
      </c>
      <c r="DV341" t="s">
        <v>575</v>
      </c>
    </row>
    <row r="342" spans="1:126" x14ac:dyDescent="0.35">
      <c r="A342" t="s">
        <v>612</v>
      </c>
      <c r="B342">
        <v>230103</v>
      </c>
      <c r="C342" s="1">
        <v>44929</v>
      </c>
      <c r="D342" t="s">
        <v>613</v>
      </c>
      <c r="E342" t="s">
        <v>231</v>
      </c>
      <c r="F342" t="s">
        <v>185</v>
      </c>
      <c r="G342" t="s">
        <v>463</v>
      </c>
      <c r="H342">
        <v>61297</v>
      </c>
      <c r="I342" s="17">
        <v>1465</v>
      </c>
      <c r="J342" s="17">
        <v>1500</v>
      </c>
      <c r="K342">
        <v>550</v>
      </c>
      <c r="L342">
        <v>56879</v>
      </c>
      <c r="M342">
        <v>57124</v>
      </c>
      <c r="N342">
        <v>58894</v>
      </c>
      <c r="O342">
        <v>59174</v>
      </c>
      <c r="P342">
        <v>2403</v>
      </c>
      <c r="Q342">
        <v>2123</v>
      </c>
      <c r="R342">
        <v>61297</v>
      </c>
      <c r="S342">
        <v>1465</v>
      </c>
      <c r="T342">
        <v>1500</v>
      </c>
      <c r="U342">
        <v>550</v>
      </c>
      <c r="V342">
        <v>56879</v>
      </c>
      <c r="W342">
        <v>57124</v>
      </c>
      <c r="X342">
        <v>58894</v>
      </c>
      <c r="Y342">
        <v>59174</v>
      </c>
      <c r="Z342">
        <v>2403</v>
      </c>
      <c r="AA342">
        <v>2123</v>
      </c>
      <c r="AB342">
        <v>0</v>
      </c>
      <c r="AC342">
        <v>0</v>
      </c>
      <c r="AD342">
        <v>0</v>
      </c>
      <c r="AE342">
        <v>0</v>
      </c>
      <c r="AF342">
        <v>0</v>
      </c>
      <c r="AG342">
        <v>0</v>
      </c>
      <c r="AH342">
        <v>0</v>
      </c>
      <c r="AI342">
        <v>0</v>
      </c>
      <c r="AJ342">
        <v>0</v>
      </c>
      <c r="AK342">
        <v>0</v>
      </c>
      <c r="AL342">
        <v>1775</v>
      </c>
      <c r="AM342">
        <v>-75</v>
      </c>
      <c r="AN342">
        <v>50</v>
      </c>
      <c r="AO342">
        <v>-100</v>
      </c>
      <c r="AP342">
        <v>1950</v>
      </c>
      <c r="AQ342">
        <v>1825</v>
      </c>
      <c r="AR342">
        <v>1775</v>
      </c>
      <c r="AS342">
        <v>1775</v>
      </c>
      <c r="AT342">
        <v>0</v>
      </c>
      <c r="AU342">
        <v>0</v>
      </c>
      <c r="AV342">
        <v>100</v>
      </c>
      <c r="AW342">
        <v>2.4</v>
      </c>
      <c r="AX342">
        <v>2.4</v>
      </c>
      <c r="AY342">
        <v>0.9</v>
      </c>
      <c r="AZ342">
        <v>92.8</v>
      </c>
      <c r="BA342">
        <v>93.2</v>
      </c>
      <c r="BB342">
        <v>96.1</v>
      </c>
      <c r="BC342">
        <v>96.5</v>
      </c>
      <c r="BD342">
        <v>3.9</v>
      </c>
      <c r="BE342">
        <v>3.5</v>
      </c>
      <c r="BF342">
        <v>100</v>
      </c>
      <c r="BG342">
        <v>2.4</v>
      </c>
      <c r="BH342">
        <v>2.4</v>
      </c>
      <c r="BI342">
        <v>0.9</v>
      </c>
      <c r="BJ342">
        <v>92.8</v>
      </c>
      <c r="BK342">
        <v>93.2</v>
      </c>
      <c r="BL342">
        <v>96.1</v>
      </c>
      <c r="BM342">
        <v>96.5</v>
      </c>
      <c r="BN342">
        <v>3.9</v>
      </c>
      <c r="BO342">
        <v>3.5</v>
      </c>
      <c r="BP342">
        <v>0</v>
      </c>
      <c r="BQ342">
        <v>0</v>
      </c>
      <c r="BR342">
        <v>0</v>
      </c>
      <c r="BS342">
        <v>0</v>
      </c>
      <c r="BT342">
        <v>0</v>
      </c>
      <c r="BU342">
        <v>0</v>
      </c>
      <c r="BV342">
        <v>0</v>
      </c>
      <c r="BW342">
        <v>0</v>
      </c>
      <c r="BX342">
        <v>0</v>
      </c>
      <c r="BY342">
        <v>0</v>
      </c>
      <c r="BZ342">
        <v>30</v>
      </c>
      <c r="CA342">
        <v>1</v>
      </c>
      <c r="CB342">
        <v>4</v>
      </c>
      <c r="CC342">
        <v>4</v>
      </c>
      <c r="CD342">
        <v>21</v>
      </c>
      <c r="CE342">
        <v>19</v>
      </c>
      <c r="CF342">
        <v>25</v>
      </c>
      <c r="CG342">
        <v>24</v>
      </c>
      <c r="CH342">
        <v>30</v>
      </c>
      <c r="CI342">
        <v>1</v>
      </c>
      <c r="CJ342">
        <v>4</v>
      </c>
      <c r="CK342">
        <v>4</v>
      </c>
      <c r="CL342">
        <v>21</v>
      </c>
      <c r="CM342">
        <v>19</v>
      </c>
      <c r="CN342">
        <v>25</v>
      </c>
      <c r="CO342">
        <v>24</v>
      </c>
      <c r="CP342">
        <v>0</v>
      </c>
      <c r="CQ342">
        <v>0</v>
      </c>
      <c r="CR342">
        <v>0</v>
      </c>
      <c r="CS342">
        <v>0</v>
      </c>
      <c r="CT342">
        <v>0</v>
      </c>
      <c r="CU342">
        <v>0</v>
      </c>
      <c r="CV342">
        <v>0</v>
      </c>
      <c r="CW342">
        <v>0</v>
      </c>
      <c r="CX342">
        <v>67.400000000000006</v>
      </c>
      <c r="CY342">
        <v>81.3</v>
      </c>
      <c r="CZ342">
        <v>80</v>
      </c>
      <c r="DA342">
        <v>89.7</v>
      </c>
      <c r="DB342">
        <v>56.4</v>
      </c>
      <c r="DC342">
        <v>69.8</v>
      </c>
      <c r="DD342">
        <v>66.900000000000006</v>
      </c>
      <c r="DE342">
        <v>74.099999999999994</v>
      </c>
      <c r="DF342">
        <v>67.400000000000006</v>
      </c>
      <c r="DG342">
        <v>81.3</v>
      </c>
      <c r="DH342">
        <v>80</v>
      </c>
      <c r="DI342">
        <v>89.7</v>
      </c>
      <c r="DJ342">
        <v>56.4</v>
      </c>
      <c r="DK342">
        <v>69.8</v>
      </c>
      <c r="DL342">
        <v>66.900000000000006</v>
      </c>
      <c r="DM342">
        <v>74.099999999999994</v>
      </c>
      <c r="DN342">
        <v>0</v>
      </c>
      <c r="DO342">
        <v>0</v>
      </c>
      <c r="DP342">
        <v>0</v>
      </c>
      <c r="DQ342">
        <v>0</v>
      </c>
      <c r="DR342">
        <v>0</v>
      </c>
      <c r="DS342">
        <v>0</v>
      </c>
      <c r="DT342">
        <v>0</v>
      </c>
      <c r="DU342">
        <v>0</v>
      </c>
      <c r="DV342" t="s">
        <v>575</v>
      </c>
    </row>
    <row r="343" spans="1:126" x14ac:dyDescent="0.35">
      <c r="A343" t="s">
        <v>614</v>
      </c>
      <c r="B343">
        <v>230110</v>
      </c>
      <c r="C343" s="1">
        <v>44936</v>
      </c>
      <c r="D343" t="s">
        <v>615</v>
      </c>
      <c r="E343" t="s">
        <v>231</v>
      </c>
      <c r="F343" t="s">
        <v>185</v>
      </c>
      <c r="G343" t="s">
        <v>463</v>
      </c>
      <c r="H343">
        <v>52879</v>
      </c>
      <c r="I343" s="17">
        <v>1165</v>
      </c>
      <c r="J343" s="17">
        <v>1595</v>
      </c>
      <c r="K343">
        <v>1045</v>
      </c>
      <c r="L343">
        <v>48438</v>
      </c>
      <c r="M343">
        <v>48218</v>
      </c>
      <c r="N343">
        <v>50648</v>
      </c>
      <c r="O343">
        <v>50858</v>
      </c>
      <c r="P343">
        <v>2231</v>
      </c>
      <c r="Q343">
        <v>2021</v>
      </c>
      <c r="R343">
        <v>52879</v>
      </c>
      <c r="S343">
        <v>1165</v>
      </c>
      <c r="T343">
        <v>1595</v>
      </c>
      <c r="U343">
        <v>1045</v>
      </c>
      <c r="V343">
        <v>48438</v>
      </c>
      <c r="W343">
        <v>48218</v>
      </c>
      <c r="X343">
        <v>50648</v>
      </c>
      <c r="Y343">
        <v>50858</v>
      </c>
      <c r="Z343">
        <v>2231</v>
      </c>
      <c r="AA343">
        <v>2021</v>
      </c>
      <c r="AB343">
        <v>0</v>
      </c>
      <c r="AC343">
        <v>0</v>
      </c>
      <c r="AD343">
        <v>0</v>
      </c>
      <c r="AE343">
        <v>0</v>
      </c>
      <c r="AF343">
        <v>0</v>
      </c>
      <c r="AG343">
        <v>0</v>
      </c>
      <c r="AH343">
        <v>0</v>
      </c>
      <c r="AI343">
        <v>0</v>
      </c>
      <c r="AJ343">
        <v>0</v>
      </c>
      <c r="AK343">
        <v>0</v>
      </c>
      <c r="AL343">
        <v>-3636</v>
      </c>
      <c r="AM343">
        <v>-25</v>
      </c>
      <c r="AN343">
        <v>-530</v>
      </c>
      <c r="AO343">
        <v>575</v>
      </c>
      <c r="AP343">
        <v>-4021</v>
      </c>
      <c r="AQ343">
        <v>-3581</v>
      </c>
      <c r="AR343">
        <v>-3471</v>
      </c>
      <c r="AS343">
        <v>-3536</v>
      </c>
      <c r="AT343">
        <v>-165</v>
      </c>
      <c r="AU343">
        <v>-100</v>
      </c>
      <c r="AV343">
        <v>100</v>
      </c>
      <c r="AW343">
        <v>2.2000000000000002</v>
      </c>
      <c r="AX343">
        <v>3</v>
      </c>
      <c r="AY343">
        <v>2</v>
      </c>
      <c r="AZ343">
        <v>91.6</v>
      </c>
      <c r="BA343">
        <v>91.2</v>
      </c>
      <c r="BB343">
        <v>95.8</v>
      </c>
      <c r="BC343">
        <v>96.2</v>
      </c>
      <c r="BD343">
        <v>4.2</v>
      </c>
      <c r="BE343">
        <v>3.8</v>
      </c>
      <c r="BF343">
        <v>100</v>
      </c>
      <c r="BG343">
        <v>2.2000000000000002</v>
      </c>
      <c r="BH343">
        <v>3</v>
      </c>
      <c r="BI343">
        <v>2</v>
      </c>
      <c r="BJ343">
        <v>91.6</v>
      </c>
      <c r="BK343">
        <v>91.2</v>
      </c>
      <c r="BL343">
        <v>95.8</v>
      </c>
      <c r="BM343">
        <v>96.2</v>
      </c>
      <c r="BN343">
        <v>4.2</v>
      </c>
      <c r="BO343">
        <v>3.8</v>
      </c>
      <c r="BP343">
        <v>0</v>
      </c>
      <c r="BQ343">
        <v>0</v>
      </c>
      <c r="BR343">
        <v>0</v>
      </c>
      <c r="BS343">
        <v>0</v>
      </c>
      <c r="BT343">
        <v>0</v>
      </c>
      <c r="BU343">
        <v>0</v>
      </c>
      <c r="BV343">
        <v>0</v>
      </c>
      <c r="BW343">
        <v>0</v>
      </c>
      <c r="BX343">
        <v>0</v>
      </c>
      <c r="BY343">
        <v>0</v>
      </c>
      <c r="BZ343">
        <v>29</v>
      </c>
      <c r="CA343">
        <v>2</v>
      </c>
      <c r="CB343">
        <v>3</v>
      </c>
      <c r="CC343">
        <v>3</v>
      </c>
      <c r="CD343">
        <v>21</v>
      </c>
      <c r="CE343">
        <v>17</v>
      </c>
      <c r="CF343">
        <v>24</v>
      </c>
      <c r="CG343">
        <v>22</v>
      </c>
      <c r="CH343">
        <v>29</v>
      </c>
      <c r="CI343">
        <v>2</v>
      </c>
      <c r="CJ343">
        <v>3</v>
      </c>
      <c r="CK343">
        <v>3</v>
      </c>
      <c r="CL343">
        <v>21</v>
      </c>
      <c r="CM343">
        <v>17</v>
      </c>
      <c r="CN343">
        <v>24</v>
      </c>
      <c r="CO343">
        <v>22</v>
      </c>
      <c r="CP343">
        <v>0</v>
      </c>
      <c r="CQ343">
        <v>0</v>
      </c>
      <c r="CR343">
        <v>0</v>
      </c>
      <c r="CS343">
        <v>0</v>
      </c>
      <c r="CT343">
        <v>0</v>
      </c>
      <c r="CU343">
        <v>0</v>
      </c>
      <c r="CV343">
        <v>0</v>
      </c>
      <c r="CW343">
        <v>0</v>
      </c>
      <c r="CX343">
        <v>65</v>
      </c>
      <c r="CY343">
        <v>80.3</v>
      </c>
      <c r="CZ343">
        <v>78.5</v>
      </c>
      <c r="DA343">
        <v>88.4</v>
      </c>
      <c r="DB343">
        <v>61.6</v>
      </c>
      <c r="DC343">
        <v>75.400000000000006</v>
      </c>
      <c r="DD343">
        <v>71.400000000000006</v>
      </c>
      <c r="DE343">
        <v>80.5</v>
      </c>
      <c r="DF343">
        <v>65</v>
      </c>
      <c r="DG343">
        <v>80.3</v>
      </c>
      <c r="DH343">
        <v>78.5</v>
      </c>
      <c r="DI343">
        <v>88.4</v>
      </c>
      <c r="DJ343">
        <v>61.6</v>
      </c>
      <c r="DK343">
        <v>75.400000000000006</v>
      </c>
      <c r="DL343">
        <v>71.400000000000006</v>
      </c>
      <c r="DM343">
        <v>80.5</v>
      </c>
      <c r="DN343">
        <v>0</v>
      </c>
      <c r="DO343">
        <v>0</v>
      </c>
      <c r="DP343">
        <v>0</v>
      </c>
      <c r="DQ343">
        <v>0</v>
      </c>
      <c r="DR343">
        <v>0</v>
      </c>
      <c r="DS343">
        <v>0</v>
      </c>
      <c r="DT343">
        <v>0</v>
      </c>
      <c r="DU343">
        <v>0</v>
      </c>
      <c r="DV343" t="s">
        <v>575</v>
      </c>
    </row>
    <row r="344" spans="1:126" x14ac:dyDescent="0.35">
      <c r="A344" t="s">
        <v>614</v>
      </c>
      <c r="B344">
        <v>230103</v>
      </c>
      <c r="C344" s="1">
        <v>44929</v>
      </c>
      <c r="D344" t="s">
        <v>615</v>
      </c>
      <c r="E344" t="s">
        <v>231</v>
      </c>
      <c r="F344" t="s">
        <v>185</v>
      </c>
      <c r="G344" t="s">
        <v>463</v>
      </c>
      <c r="H344">
        <v>56515</v>
      </c>
      <c r="I344" s="17">
        <v>1190</v>
      </c>
      <c r="J344" s="17">
        <v>2125</v>
      </c>
      <c r="K344">
        <v>470</v>
      </c>
      <c r="L344">
        <v>52459</v>
      </c>
      <c r="M344">
        <v>51799</v>
      </c>
      <c r="N344">
        <v>54119</v>
      </c>
      <c r="O344">
        <v>54394</v>
      </c>
      <c r="P344">
        <v>2396</v>
      </c>
      <c r="Q344">
        <v>2121</v>
      </c>
      <c r="R344">
        <v>56515</v>
      </c>
      <c r="S344">
        <v>1190</v>
      </c>
      <c r="T344">
        <v>2125</v>
      </c>
      <c r="U344">
        <v>470</v>
      </c>
      <c r="V344">
        <v>52459</v>
      </c>
      <c r="W344">
        <v>51799</v>
      </c>
      <c r="X344">
        <v>54119</v>
      </c>
      <c r="Y344">
        <v>54394</v>
      </c>
      <c r="Z344">
        <v>2396</v>
      </c>
      <c r="AA344">
        <v>2121</v>
      </c>
      <c r="AB344">
        <v>0</v>
      </c>
      <c r="AC344">
        <v>0</v>
      </c>
      <c r="AD344">
        <v>0</v>
      </c>
      <c r="AE344">
        <v>0</v>
      </c>
      <c r="AF344">
        <v>0</v>
      </c>
      <c r="AG344">
        <v>0</v>
      </c>
      <c r="AH344">
        <v>0</v>
      </c>
      <c r="AI344">
        <v>0</v>
      </c>
      <c r="AJ344">
        <v>0</v>
      </c>
      <c r="AK344">
        <v>0</v>
      </c>
      <c r="AL344">
        <v>1740</v>
      </c>
      <c r="AM344">
        <v>0</v>
      </c>
      <c r="AN344">
        <v>125</v>
      </c>
      <c r="AO344">
        <v>-300</v>
      </c>
      <c r="AP344">
        <v>2040</v>
      </c>
      <c r="AQ344">
        <v>1915</v>
      </c>
      <c r="AR344">
        <v>1740</v>
      </c>
      <c r="AS344">
        <v>1740</v>
      </c>
      <c r="AT344">
        <v>0</v>
      </c>
      <c r="AU344">
        <v>0</v>
      </c>
      <c r="AV344">
        <v>100</v>
      </c>
      <c r="AW344">
        <v>2.1</v>
      </c>
      <c r="AX344">
        <v>3.8</v>
      </c>
      <c r="AY344">
        <v>0.8</v>
      </c>
      <c r="AZ344">
        <v>92.8</v>
      </c>
      <c r="BA344">
        <v>91.7</v>
      </c>
      <c r="BB344">
        <v>95.8</v>
      </c>
      <c r="BC344">
        <v>96.2</v>
      </c>
      <c r="BD344">
        <v>4.2</v>
      </c>
      <c r="BE344">
        <v>3.8</v>
      </c>
      <c r="BF344">
        <v>100</v>
      </c>
      <c r="BG344">
        <v>2.1</v>
      </c>
      <c r="BH344">
        <v>3.8</v>
      </c>
      <c r="BI344">
        <v>0.8</v>
      </c>
      <c r="BJ344">
        <v>92.8</v>
      </c>
      <c r="BK344">
        <v>91.7</v>
      </c>
      <c r="BL344">
        <v>95.8</v>
      </c>
      <c r="BM344">
        <v>96.2</v>
      </c>
      <c r="BN344">
        <v>4.2</v>
      </c>
      <c r="BO344">
        <v>3.8</v>
      </c>
      <c r="BP344">
        <v>0</v>
      </c>
      <c r="BQ344">
        <v>0</v>
      </c>
      <c r="BR344">
        <v>0</v>
      </c>
      <c r="BS344">
        <v>0</v>
      </c>
      <c r="BT344">
        <v>0</v>
      </c>
      <c r="BU344">
        <v>0</v>
      </c>
      <c r="BV344">
        <v>0</v>
      </c>
      <c r="BW344">
        <v>0</v>
      </c>
      <c r="BX344">
        <v>0</v>
      </c>
      <c r="BY344">
        <v>0</v>
      </c>
      <c r="BZ344">
        <v>30</v>
      </c>
      <c r="CA344">
        <v>1</v>
      </c>
      <c r="CB344">
        <v>4</v>
      </c>
      <c r="CC344">
        <v>3</v>
      </c>
      <c r="CD344">
        <v>21</v>
      </c>
      <c r="CE344">
        <v>18</v>
      </c>
      <c r="CF344">
        <v>24</v>
      </c>
      <c r="CG344">
        <v>23</v>
      </c>
      <c r="CH344">
        <v>30</v>
      </c>
      <c r="CI344">
        <v>1</v>
      </c>
      <c r="CJ344">
        <v>4</v>
      </c>
      <c r="CK344">
        <v>3</v>
      </c>
      <c r="CL344">
        <v>21</v>
      </c>
      <c r="CM344">
        <v>18</v>
      </c>
      <c r="CN344">
        <v>24</v>
      </c>
      <c r="CO344">
        <v>23</v>
      </c>
      <c r="CP344">
        <v>0</v>
      </c>
      <c r="CQ344">
        <v>0</v>
      </c>
      <c r="CR344">
        <v>0</v>
      </c>
      <c r="CS344">
        <v>0</v>
      </c>
      <c r="CT344">
        <v>0</v>
      </c>
      <c r="CU344">
        <v>0</v>
      </c>
      <c r="CV344">
        <v>0</v>
      </c>
      <c r="CW344">
        <v>0</v>
      </c>
      <c r="CX344">
        <v>68.5</v>
      </c>
      <c r="CY344">
        <v>79.2</v>
      </c>
      <c r="CZ344">
        <v>79.8</v>
      </c>
      <c r="DA344">
        <v>88.4</v>
      </c>
      <c r="DB344">
        <v>59.5</v>
      </c>
      <c r="DC344">
        <v>66.599999999999994</v>
      </c>
      <c r="DD344">
        <v>67.599999999999994</v>
      </c>
      <c r="DE344">
        <v>72.599999999999994</v>
      </c>
      <c r="DF344">
        <v>68.5</v>
      </c>
      <c r="DG344">
        <v>79.2</v>
      </c>
      <c r="DH344">
        <v>79.8</v>
      </c>
      <c r="DI344">
        <v>88.4</v>
      </c>
      <c r="DJ344">
        <v>59.5</v>
      </c>
      <c r="DK344">
        <v>66.599999999999994</v>
      </c>
      <c r="DL344">
        <v>67.599999999999994</v>
      </c>
      <c r="DM344">
        <v>72.599999999999994</v>
      </c>
      <c r="DN344">
        <v>0</v>
      </c>
      <c r="DO344">
        <v>0</v>
      </c>
      <c r="DP344">
        <v>0</v>
      </c>
      <c r="DQ344">
        <v>0</v>
      </c>
      <c r="DR344">
        <v>0</v>
      </c>
      <c r="DS344">
        <v>0</v>
      </c>
      <c r="DT344">
        <v>0</v>
      </c>
      <c r="DU344">
        <v>0</v>
      </c>
      <c r="DV344" t="s">
        <v>575</v>
      </c>
    </row>
    <row r="345" spans="1:126" x14ac:dyDescent="0.35">
      <c r="A345" t="s">
        <v>616</v>
      </c>
      <c r="B345">
        <v>230110</v>
      </c>
      <c r="C345" s="1">
        <v>44936</v>
      </c>
      <c r="D345" t="s">
        <v>617</v>
      </c>
      <c r="E345" t="s">
        <v>231</v>
      </c>
      <c r="F345" t="s">
        <v>185</v>
      </c>
      <c r="G345" t="s">
        <v>463</v>
      </c>
      <c r="H345">
        <v>18397</v>
      </c>
      <c r="I345" s="17">
        <v>0</v>
      </c>
      <c r="J345" s="17">
        <v>1451</v>
      </c>
      <c r="K345">
        <v>50</v>
      </c>
      <c r="L345">
        <v>15135</v>
      </c>
      <c r="M345">
        <v>15059</v>
      </c>
      <c r="N345">
        <v>15185</v>
      </c>
      <c r="O345">
        <v>16560</v>
      </c>
      <c r="P345">
        <v>3212</v>
      </c>
      <c r="Q345">
        <v>1837</v>
      </c>
      <c r="R345">
        <v>18397</v>
      </c>
      <c r="S345">
        <v>0</v>
      </c>
      <c r="T345">
        <v>1451</v>
      </c>
      <c r="U345">
        <v>50</v>
      </c>
      <c r="V345">
        <v>15135</v>
      </c>
      <c r="W345">
        <v>15059</v>
      </c>
      <c r="X345">
        <v>15185</v>
      </c>
      <c r="Y345">
        <v>16560</v>
      </c>
      <c r="Z345">
        <v>3212</v>
      </c>
      <c r="AA345">
        <v>1837</v>
      </c>
      <c r="AB345">
        <v>0</v>
      </c>
      <c r="AC345">
        <v>0</v>
      </c>
      <c r="AD345">
        <v>0</v>
      </c>
      <c r="AE345">
        <v>0</v>
      </c>
      <c r="AF345">
        <v>0</v>
      </c>
      <c r="AG345">
        <v>0</v>
      </c>
      <c r="AH345">
        <v>0</v>
      </c>
      <c r="AI345">
        <v>0</v>
      </c>
      <c r="AJ345">
        <v>0</v>
      </c>
      <c r="AK345">
        <v>0</v>
      </c>
      <c r="AL345">
        <v>-1015</v>
      </c>
      <c r="AM345">
        <v>0</v>
      </c>
      <c r="AN345">
        <v>-10</v>
      </c>
      <c r="AO345">
        <v>0</v>
      </c>
      <c r="AP345">
        <v>-987</v>
      </c>
      <c r="AQ345">
        <v>-1027</v>
      </c>
      <c r="AR345">
        <v>-987</v>
      </c>
      <c r="AS345">
        <v>-1037</v>
      </c>
      <c r="AT345">
        <v>-28</v>
      </c>
      <c r="AU345">
        <v>22</v>
      </c>
      <c r="AV345">
        <v>100</v>
      </c>
      <c r="AW345">
        <v>0</v>
      </c>
      <c r="AX345">
        <v>7.9</v>
      </c>
      <c r="AY345">
        <v>0.3</v>
      </c>
      <c r="AZ345">
        <v>82.3</v>
      </c>
      <c r="BA345">
        <v>81.900000000000006</v>
      </c>
      <c r="BB345">
        <v>82.5</v>
      </c>
      <c r="BC345">
        <v>90</v>
      </c>
      <c r="BD345">
        <v>17.5</v>
      </c>
      <c r="BE345">
        <v>10</v>
      </c>
      <c r="BF345">
        <v>100</v>
      </c>
      <c r="BG345">
        <v>0</v>
      </c>
      <c r="BH345">
        <v>7.9</v>
      </c>
      <c r="BI345">
        <v>0.3</v>
      </c>
      <c r="BJ345">
        <v>82.3</v>
      </c>
      <c r="BK345">
        <v>81.900000000000006</v>
      </c>
      <c r="BL345">
        <v>82.5</v>
      </c>
      <c r="BM345">
        <v>90</v>
      </c>
      <c r="BN345">
        <v>17.5</v>
      </c>
      <c r="BO345">
        <v>10</v>
      </c>
      <c r="BP345">
        <v>0</v>
      </c>
      <c r="BQ345">
        <v>0</v>
      </c>
      <c r="BR345">
        <v>0</v>
      </c>
      <c r="BS345">
        <v>0</v>
      </c>
      <c r="BT345">
        <v>0</v>
      </c>
      <c r="BU345">
        <v>0</v>
      </c>
      <c r="BV345">
        <v>0</v>
      </c>
      <c r="BW345">
        <v>0</v>
      </c>
      <c r="BX345">
        <v>0</v>
      </c>
      <c r="BY345">
        <v>0</v>
      </c>
      <c r="BZ345">
        <v>20</v>
      </c>
      <c r="CA345">
        <v>0</v>
      </c>
      <c r="CB345">
        <v>2</v>
      </c>
      <c r="CC345">
        <v>1</v>
      </c>
      <c r="CD345">
        <v>16</v>
      </c>
      <c r="CE345">
        <v>10</v>
      </c>
      <c r="CF345">
        <v>17</v>
      </c>
      <c r="CG345">
        <v>12</v>
      </c>
      <c r="CH345">
        <v>20</v>
      </c>
      <c r="CI345">
        <v>0</v>
      </c>
      <c r="CJ345">
        <v>2</v>
      </c>
      <c r="CK345">
        <v>1</v>
      </c>
      <c r="CL345">
        <v>16</v>
      </c>
      <c r="CM345">
        <v>10</v>
      </c>
      <c r="CN345">
        <v>17</v>
      </c>
      <c r="CO345">
        <v>12</v>
      </c>
      <c r="CP345">
        <v>0</v>
      </c>
      <c r="CQ345">
        <v>0</v>
      </c>
      <c r="CR345">
        <v>0</v>
      </c>
      <c r="CS345">
        <v>0</v>
      </c>
      <c r="CT345">
        <v>0</v>
      </c>
      <c r="CU345">
        <v>0</v>
      </c>
      <c r="CV345">
        <v>0</v>
      </c>
      <c r="CW345">
        <v>0</v>
      </c>
      <c r="CX345">
        <v>59.8</v>
      </c>
      <c r="CY345">
        <v>66.7</v>
      </c>
      <c r="CZ345">
        <v>74.099999999999994</v>
      </c>
      <c r="DA345">
        <v>85.6</v>
      </c>
      <c r="DB345">
        <v>54</v>
      </c>
      <c r="DC345">
        <v>64.099999999999994</v>
      </c>
      <c r="DD345">
        <v>67.599999999999994</v>
      </c>
      <c r="DE345">
        <v>79.400000000000006</v>
      </c>
      <c r="DF345">
        <v>59.8</v>
      </c>
      <c r="DG345">
        <v>66.7</v>
      </c>
      <c r="DH345">
        <v>74.099999999999994</v>
      </c>
      <c r="DI345">
        <v>85.6</v>
      </c>
      <c r="DJ345">
        <v>54</v>
      </c>
      <c r="DK345">
        <v>64.099999999999994</v>
      </c>
      <c r="DL345">
        <v>67.599999999999994</v>
      </c>
      <c r="DM345">
        <v>79.400000000000006</v>
      </c>
      <c r="DN345">
        <v>0</v>
      </c>
      <c r="DO345">
        <v>0</v>
      </c>
      <c r="DP345">
        <v>0</v>
      </c>
      <c r="DQ345">
        <v>0</v>
      </c>
      <c r="DR345">
        <v>0</v>
      </c>
      <c r="DS345">
        <v>0</v>
      </c>
      <c r="DT345">
        <v>0</v>
      </c>
      <c r="DU345">
        <v>0</v>
      </c>
      <c r="DV345" t="s">
        <v>575</v>
      </c>
    </row>
    <row r="346" spans="1:126" x14ac:dyDescent="0.35">
      <c r="A346" t="s">
        <v>616</v>
      </c>
      <c r="B346">
        <v>230103</v>
      </c>
      <c r="C346" s="1">
        <v>44929</v>
      </c>
      <c r="D346" t="s">
        <v>617</v>
      </c>
      <c r="E346" t="s">
        <v>231</v>
      </c>
      <c r="F346" t="s">
        <v>185</v>
      </c>
      <c r="G346" t="s">
        <v>463</v>
      </c>
      <c r="H346">
        <v>19412</v>
      </c>
      <c r="I346" s="17">
        <v>0</v>
      </c>
      <c r="J346" s="17">
        <v>1461</v>
      </c>
      <c r="K346">
        <v>50</v>
      </c>
      <c r="L346">
        <v>16122</v>
      </c>
      <c r="M346">
        <v>16086</v>
      </c>
      <c r="N346">
        <v>16172</v>
      </c>
      <c r="O346">
        <v>17597</v>
      </c>
      <c r="P346">
        <v>3240</v>
      </c>
      <c r="Q346">
        <v>1815</v>
      </c>
      <c r="R346">
        <v>19412</v>
      </c>
      <c r="S346">
        <v>0</v>
      </c>
      <c r="T346">
        <v>1461</v>
      </c>
      <c r="U346">
        <v>50</v>
      </c>
      <c r="V346">
        <v>16122</v>
      </c>
      <c r="W346">
        <v>16086</v>
      </c>
      <c r="X346">
        <v>16172</v>
      </c>
      <c r="Y346">
        <v>17597</v>
      </c>
      <c r="Z346">
        <v>3240</v>
      </c>
      <c r="AA346">
        <v>1815</v>
      </c>
      <c r="AB346">
        <v>0</v>
      </c>
      <c r="AC346">
        <v>0</v>
      </c>
      <c r="AD346">
        <v>0</v>
      </c>
      <c r="AE346">
        <v>0</v>
      </c>
      <c r="AF346">
        <v>0</v>
      </c>
      <c r="AG346">
        <v>0</v>
      </c>
      <c r="AH346">
        <v>0</v>
      </c>
      <c r="AI346">
        <v>0</v>
      </c>
      <c r="AJ346">
        <v>0</v>
      </c>
      <c r="AK346">
        <v>0</v>
      </c>
      <c r="AL346">
        <v>0</v>
      </c>
      <c r="AM346">
        <v>0</v>
      </c>
      <c r="AN346">
        <v>0</v>
      </c>
      <c r="AO346">
        <v>0</v>
      </c>
      <c r="AP346">
        <v>-20</v>
      </c>
      <c r="AQ346">
        <v>0</v>
      </c>
      <c r="AR346">
        <v>-20</v>
      </c>
      <c r="AS346">
        <v>0</v>
      </c>
      <c r="AT346">
        <v>20</v>
      </c>
      <c r="AU346">
        <v>0</v>
      </c>
      <c r="AV346">
        <v>100</v>
      </c>
      <c r="AW346">
        <v>0</v>
      </c>
      <c r="AX346">
        <v>7.5</v>
      </c>
      <c r="AY346">
        <v>0.3</v>
      </c>
      <c r="AZ346">
        <v>83.1</v>
      </c>
      <c r="BA346">
        <v>82.9</v>
      </c>
      <c r="BB346">
        <v>83.3</v>
      </c>
      <c r="BC346">
        <v>90.7</v>
      </c>
      <c r="BD346">
        <v>16.7</v>
      </c>
      <c r="BE346">
        <v>9.3000000000000007</v>
      </c>
      <c r="BF346">
        <v>100</v>
      </c>
      <c r="BG346">
        <v>0</v>
      </c>
      <c r="BH346">
        <v>7.5</v>
      </c>
      <c r="BI346">
        <v>0.3</v>
      </c>
      <c r="BJ346">
        <v>83.1</v>
      </c>
      <c r="BK346">
        <v>82.9</v>
      </c>
      <c r="BL346">
        <v>83.3</v>
      </c>
      <c r="BM346">
        <v>90.7</v>
      </c>
      <c r="BN346">
        <v>16.7</v>
      </c>
      <c r="BO346">
        <v>9.3000000000000007</v>
      </c>
      <c r="BP346">
        <v>0</v>
      </c>
      <c r="BQ346">
        <v>0</v>
      </c>
      <c r="BR346">
        <v>0</v>
      </c>
      <c r="BS346">
        <v>0</v>
      </c>
      <c r="BT346">
        <v>0</v>
      </c>
      <c r="BU346">
        <v>0</v>
      </c>
      <c r="BV346">
        <v>0</v>
      </c>
      <c r="BW346">
        <v>0</v>
      </c>
      <c r="BX346">
        <v>0</v>
      </c>
      <c r="BY346">
        <v>0</v>
      </c>
      <c r="BZ346">
        <v>21</v>
      </c>
      <c r="CA346">
        <v>0</v>
      </c>
      <c r="CB346">
        <v>2</v>
      </c>
      <c r="CC346">
        <v>1</v>
      </c>
      <c r="CD346">
        <v>16</v>
      </c>
      <c r="CE346">
        <v>11</v>
      </c>
      <c r="CF346">
        <v>17</v>
      </c>
      <c r="CG346">
        <v>13</v>
      </c>
      <c r="CH346">
        <v>21</v>
      </c>
      <c r="CI346">
        <v>0</v>
      </c>
      <c r="CJ346">
        <v>2</v>
      </c>
      <c r="CK346">
        <v>1</v>
      </c>
      <c r="CL346">
        <v>16</v>
      </c>
      <c r="CM346">
        <v>11</v>
      </c>
      <c r="CN346">
        <v>17</v>
      </c>
      <c r="CO346">
        <v>13</v>
      </c>
      <c r="CP346">
        <v>0</v>
      </c>
      <c r="CQ346">
        <v>0</v>
      </c>
      <c r="CR346">
        <v>0</v>
      </c>
      <c r="CS346">
        <v>0</v>
      </c>
      <c r="CT346">
        <v>0</v>
      </c>
      <c r="CU346">
        <v>0</v>
      </c>
      <c r="CV346">
        <v>0</v>
      </c>
      <c r="CW346">
        <v>0</v>
      </c>
      <c r="CX346">
        <v>60.6</v>
      </c>
      <c r="CY346">
        <v>66.5</v>
      </c>
      <c r="CZ346">
        <v>74.7</v>
      </c>
      <c r="DA346">
        <v>86.2</v>
      </c>
      <c r="DB346">
        <v>54.6</v>
      </c>
      <c r="DC346">
        <v>64.099999999999994</v>
      </c>
      <c r="DD346">
        <v>68</v>
      </c>
      <c r="DE346">
        <v>79.7</v>
      </c>
      <c r="DF346">
        <v>60.6</v>
      </c>
      <c r="DG346">
        <v>66.5</v>
      </c>
      <c r="DH346">
        <v>74.7</v>
      </c>
      <c r="DI346">
        <v>86.2</v>
      </c>
      <c r="DJ346">
        <v>54.6</v>
      </c>
      <c r="DK346">
        <v>64.099999999999994</v>
      </c>
      <c r="DL346">
        <v>68</v>
      </c>
      <c r="DM346">
        <v>79.7</v>
      </c>
      <c r="DN346">
        <v>0</v>
      </c>
      <c r="DO346">
        <v>0</v>
      </c>
      <c r="DP346">
        <v>0</v>
      </c>
      <c r="DQ346">
        <v>0</v>
      </c>
      <c r="DR346">
        <v>0</v>
      </c>
      <c r="DS346">
        <v>0</v>
      </c>
      <c r="DT346">
        <v>0</v>
      </c>
      <c r="DU346">
        <v>0</v>
      </c>
      <c r="DV346" t="s">
        <v>575</v>
      </c>
    </row>
    <row r="347" spans="1:126" x14ac:dyDescent="0.35">
      <c r="A347" t="s">
        <v>618</v>
      </c>
      <c r="B347">
        <v>230110</v>
      </c>
      <c r="C347" s="1">
        <v>44936</v>
      </c>
      <c r="D347" t="s">
        <v>619</v>
      </c>
      <c r="E347" t="s">
        <v>231</v>
      </c>
      <c r="F347" t="s">
        <v>185</v>
      </c>
      <c r="G347" t="s">
        <v>463</v>
      </c>
      <c r="H347">
        <v>17506</v>
      </c>
      <c r="I347" s="17">
        <v>0</v>
      </c>
      <c r="J347" s="17">
        <v>1351</v>
      </c>
      <c r="K347">
        <v>50</v>
      </c>
      <c r="L347">
        <v>14652</v>
      </c>
      <c r="M347">
        <v>14591</v>
      </c>
      <c r="N347">
        <v>14702</v>
      </c>
      <c r="O347">
        <v>15992</v>
      </c>
      <c r="P347">
        <v>2804</v>
      </c>
      <c r="Q347">
        <v>1514</v>
      </c>
      <c r="R347">
        <v>17506</v>
      </c>
      <c r="S347">
        <v>0</v>
      </c>
      <c r="T347">
        <v>1351</v>
      </c>
      <c r="U347">
        <v>50</v>
      </c>
      <c r="V347">
        <v>14652</v>
      </c>
      <c r="W347">
        <v>14591</v>
      </c>
      <c r="X347">
        <v>14702</v>
      </c>
      <c r="Y347">
        <v>15992</v>
      </c>
      <c r="Z347">
        <v>2804</v>
      </c>
      <c r="AA347">
        <v>1514</v>
      </c>
      <c r="AB347">
        <v>0</v>
      </c>
      <c r="AC347">
        <v>0</v>
      </c>
      <c r="AD347">
        <v>0</v>
      </c>
      <c r="AE347">
        <v>0</v>
      </c>
      <c r="AF347">
        <v>0</v>
      </c>
      <c r="AG347">
        <v>0</v>
      </c>
      <c r="AH347">
        <v>0</v>
      </c>
      <c r="AI347">
        <v>0</v>
      </c>
      <c r="AJ347">
        <v>0</v>
      </c>
      <c r="AK347">
        <v>0</v>
      </c>
      <c r="AL347">
        <v>-1000</v>
      </c>
      <c r="AM347">
        <v>0</v>
      </c>
      <c r="AN347">
        <v>15</v>
      </c>
      <c r="AO347">
        <v>-25</v>
      </c>
      <c r="AP347">
        <v>-1000</v>
      </c>
      <c r="AQ347">
        <v>-1055</v>
      </c>
      <c r="AR347">
        <v>-1025</v>
      </c>
      <c r="AS347">
        <v>-1065</v>
      </c>
      <c r="AT347">
        <v>25</v>
      </c>
      <c r="AU347">
        <v>65</v>
      </c>
      <c r="AV347">
        <v>100</v>
      </c>
      <c r="AW347">
        <v>0</v>
      </c>
      <c r="AX347">
        <v>7.7</v>
      </c>
      <c r="AY347">
        <v>0.3</v>
      </c>
      <c r="AZ347">
        <v>83.7</v>
      </c>
      <c r="BA347">
        <v>83.3</v>
      </c>
      <c r="BB347">
        <v>84</v>
      </c>
      <c r="BC347">
        <v>91.4</v>
      </c>
      <c r="BD347">
        <v>16</v>
      </c>
      <c r="BE347">
        <v>8.6</v>
      </c>
      <c r="BF347">
        <v>100</v>
      </c>
      <c r="BG347">
        <v>0</v>
      </c>
      <c r="BH347">
        <v>7.7</v>
      </c>
      <c r="BI347">
        <v>0.3</v>
      </c>
      <c r="BJ347">
        <v>83.7</v>
      </c>
      <c r="BK347">
        <v>83.3</v>
      </c>
      <c r="BL347">
        <v>84</v>
      </c>
      <c r="BM347">
        <v>91.4</v>
      </c>
      <c r="BN347">
        <v>16</v>
      </c>
      <c r="BO347">
        <v>8.6</v>
      </c>
      <c r="BP347">
        <v>0</v>
      </c>
      <c r="BQ347">
        <v>0</v>
      </c>
      <c r="BR347">
        <v>0</v>
      </c>
      <c r="BS347">
        <v>0</v>
      </c>
      <c r="BT347">
        <v>0</v>
      </c>
      <c r="BU347">
        <v>0</v>
      </c>
      <c r="BV347">
        <v>0</v>
      </c>
      <c r="BW347">
        <v>0</v>
      </c>
      <c r="BX347">
        <v>0</v>
      </c>
      <c r="BY347">
        <v>0</v>
      </c>
      <c r="BZ347">
        <v>20</v>
      </c>
      <c r="CA347">
        <v>0</v>
      </c>
      <c r="CB347">
        <v>2</v>
      </c>
      <c r="CC347">
        <v>1</v>
      </c>
      <c r="CD347">
        <v>16</v>
      </c>
      <c r="CE347">
        <v>10</v>
      </c>
      <c r="CF347">
        <v>17</v>
      </c>
      <c r="CG347">
        <v>12</v>
      </c>
      <c r="CH347">
        <v>20</v>
      </c>
      <c r="CI347">
        <v>0</v>
      </c>
      <c r="CJ347">
        <v>2</v>
      </c>
      <c r="CK347">
        <v>1</v>
      </c>
      <c r="CL347">
        <v>16</v>
      </c>
      <c r="CM347">
        <v>10</v>
      </c>
      <c r="CN347">
        <v>17</v>
      </c>
      <c r="CO347">
        <v>12</v>
      </c>
      <c r="CP347">
        <v>0</v>
      </c>
      <c r="CQ347">
        <v>0</v>
      </c>
      <c r="CR347">
        <v>0</v>
      </c>
      <c r="CS347">
        <v>0</v>
      </c>
      <c r="CT347">
        <v>0</v>
      </c>
      <c r="CU347">
        <v>0</v>
      </c>
      <c r="CV347">
        <v>0</v>
      </c>
      <c r="CW347">
        <v>0</v>
      </c>
      <c r="CX347">
        <v>60.9</v>
      </c>
      <c r="CY347">
        <v>72</v>
      </c>
      <c r="CZ347">
        <v>75.599999999999994</v>
      </c>
      <c r="DA347">
        <v>87.5</v>
      </c>
      <c r="DB347">
        <v>59.2</v>
      </c>
      <c r="DC347">
        <v>70.3</v>
      </c>
      <c r="DD347">
        <v>72</v>
      </c>
      <c r="DE347">
        <v>83.4</v>
      </c>
      <c r="DF347">
        <v>60.9</v>
      </c>
      <c r="DG347">
        <v>72</v>
      </c>
      <c r="DH347">
        <v>75.599999999999994</v>
      </c>
      <c r="DI347">
        <v>87.5</v>
      </c>
      <c r="DJ347">
        <v>59.2</v>
      </c>
      <c r="DK347">
        <v>70.3</v>
      </c>
      <c r="DL347">
        <v>72</v>
      </c>
      <c r="DM347">
        <v>83.4</v>
      </c>
      <c r="DN347">
        <v>0</v>
      </c>
      <c r="DO347">
        <v>0</v>
      </c>
      <c r="DP347">
        <v>0</v>
      </c>
      <c r="DQ347">
        <v>0</v>
      </c>
      <c r="DR347">
        <v>0</v>
      </c>
      <c r="DS347">
        <v>0</v>
      </c>
      <c r="DT347">
        <v>0</v>
      </c>
      <c r="DU347">
        <v>0</v>
      </c>
      <c r="DV347" t="s">
        <v>575</v>
      </c>
    </row>
    <row r="348" spans="1:126" x14ac:dyDescent="0.35">
      <c r="A348" t="s">
        <v>618</v>
      </c>
      <c r="B348">
        <v>230103</v>
      </c>
      <c r="C348" s="1">
        <v>44929</v>
      </c>
      <c r="D348" t="s">
        <v>619</v>
      </c>
      <c r="E348" t="s">
        <v>231</v>
      </c>
      <c r="F348" t="s">
        <v>185</v>
      </c>
      <c r="G348" t="s">
        <v>463</v>
      </c>
      <c r="H348">
        <v>18506</v>
      </c>
      <c r="I348" s="17">
        <v>0</v>
      </c>
      <c r="J348" s="17">
        <v>1336</v>
      </c>
      <c r="K348">
        <v>75</v>
      </c>
      <c r="L348">
        <v>15652</v>
      </c>
      <c r="M348">
        <v>15646</v>
      </c>
      <c r="N348">
        <v>15727</v>
      </c>
      <c r="O348">
        <v>17057</v>
      </c>
      <c r="P348">
        <v>2779</v>
      </c>
      <c r="Q348">
        <v>1449</v>
      </c>
      <c r="R348">
        <v>18506</v>
      </c>
      <c r="S348">
        <v>0</v>
      </c>
      <c r="T348">
        <v>1336</v>
      </c>
      <c r="U348">
        <v>75</v>
      </c>
      <c r="V348">
        <v>15652</v>
      </c>
      <c r="W348">
        <v>15646</v>
      </c>
      <c r="X348">
        <v>15727</v>
      </c>
      <c r="Y348">
        <v>17057</v>
      </c>
      <c r="Z348">
        <v>2779</v>
      </c>
      <c r="AA348">
        <v>1449</v>
      </c>
      <c r="AB348">
        <v>0</v>
      </c>
      <c r="AC348">
        <v>0</v>
      </c>
      <c r="AD348">
        <v>0</v>
      </c>
      <c r="AE348">
        <v>0</v>
      </c>
      <c r="AF348">
        <v>0</v>
      </c>
      <c r="AG348">
        <v>0</v>
      </c>
      <c r="AH348">
        <v>0</v>
      </c>
      <c r="AI348">
        <v>0</v>
      </c>
      <c r="AJ348">
        <v>0</v>
      </c>
      <c r="AK348">
        <v>0</v>
      </c>
      <c r="AL348">
        <v>0</v>
      </c>
      <c r="AM348">
        <v>0</v>
      </c>
      <c r="AN348">
        <v>0</v>
      </c>
      <c r="AO348">
        <v>0</v>
      </c>
      <c r="AP348">
        <v>-20</v>
      </c>
      <c r="AQ348">
        <v>0</v>
      </c>
      <c r="AR348">
        <v>-20</v>
      </c>
      <c r="AS348">
        <v>0</v>
      </c>
      <c r="AT348">
        <v>20</v>
      </c>
      <c r="AU348">
        <v>0</v>
      </c>
      <c r="AV348">
        <v>100</v>
      </c>
      <c r="AW348">
        <v>0</v>
      </c>
      <c r="AX348">
        <v>7.2</v>
      </c>
      <c r="AY348">
        <v>0.4</v>
      </c>
      <c r="AZ348">
        <v>84.6</v>
      </c>
      <c r="BA348">
        <v>84.5</v>
      </c>
      <c r="BB348">
        <v>85</v>
      </c>
      <c r="BC348">
        <v>92.2</v>
      </c>
      <c r="BD348">
        <v>15</v>
      </c>
      <c r="BE348">
        <v>7.8</v>
      </c>
      <c r="BF348">
        <v>100</v>
      </c>
      <c r="BG348">
        <v>0</v>
      </c>
      <c r="BH348">
        <v>7.2</v>
      </c>
      <c r="BI348">
        <v>0.4</v>
      </c>
      <c r="BJ348">
        <v>84.6</v>
      </c>
      <c r="BK348">
        <v>84.5</v>
      </c>
      <c r="BL348">
        <v>85</v>
      </c>
      <c r="BM348">
        <v>92.2</v>
      </c>
      <c r="BN348">
        <v>15</v>
      </c>
      <c r="BO348">
        <v>7.8</v>
      </c>
      <c r="BP348">
        <v>0</v>
      </c>
      <c r="BQ348">
        <v>0</v>
      </c>
      <c r="BR348">
        <v>0</v>
      </c>
      <c r="BS348">
        <v>0</v>
      </c>
      <c r="BT348">
        <v>0</v>
      </c>
      <c r="BU348">
        <v>0</v>
      </c>
      <c r="BV348">
        <v>0</v>
      </c>
      <c r="BW348">
        <v>0</v>
      </c>
      <c r="BX348">
        <v>0</v>
      </c>
      <c r="BY348">
        <v>0</v>
      </c>
      <c r="BZ348">
        <v>21</v>
      </c>
      <c r="CA348">
        <v>0</v>
      </c>
      <c r="CB348">
        <v>2</v>
      </c>
      <c r="CC348">
        <v>2</v>
      </c>
      <c r="CD348">
        <v>16</v>
      </c>
      <c r="CE348">
        <v>11</v>
      </c>
      <c r="CF348">
        <v>18</v>
      </c>
      <c r="CG348">
        <v>13</v>
      </c>
      <c r="CH348">
        <v>21</v>
      </c>
      <c r="CI348">
        <v>0</v>
      </c>
      <c r="CJ348">
        <v>2</v>
      </c>
      <c r="CK348">
        <v>2</v>
      </c>
      <c r="CL348">
        <v>16</v>
      </c>
      <c r="CM348">
        <v>11</v>
      </c>
      <c r="CN348">
        <v>18</v>
      </c>
      <c r="CO348">
        <v>13</v>
      </c>
      <c r="CP348">
        <v>0</v>
      </c>
      <c r="CQ348">
        <v>0</v>
      </c>
      <c r="CR348">
        <v>0</v>
      </c>
      <c r="CS348">
        <v>0</v>
      </c>
      <c r="CT348">
        <v>0</v>
      </c>
      <c r="CU348">
        <v>0</v>
      </c>
      <c r="CV348">
        <v>0</v>
      </c>
      <c r="CW348">
        <v>0</v>
      </c>
      <c r="CX348">
        <v>61.8</v>
      </c>
      <c r="CY348">
        <v>71.8</v>
      </c>
      <c r="CZ348">
        <v>76.3</v>
      </c>
      <c r="DA348">
        <v>87.7</v>
      </c>
      <c r="DB348">
        <v>59.6</v>
      </c>
      <c r="DC348">
        <v>70.3</v>
      </c>
      <c r="DD348">
        <v>72.400000000000006</v>
      </c>
      <c r="DE348">
        <v>83.6</v>
      </c>
      <c r="DF348">
        <v>61.8</v>
      </c>
      <c r="DG348">
        <v>71.8</v>
      </c>
      <c r="DH348">
        <v>76.3</v>
      </c>
      <c r="DI348">
        <v>87.7</v>
      </c>
      <c r="DJ348">
        <v>59.6</v>
      </c>
      <c r="DK348">
        <v>70.3</v>
      </c>
      <c r="DL348">
        <v>72.400000000000006</v>
      </c>
      <c r="DM348">
        <v>83.6</v>
      </c>
      <c r="DN348">
        <v>0</v>
      </c>
      <c r="DO348">
        <v>0</v>
      </c>
      <c r="DP348">
        <v>0</v>
      </c>
      <c r="DQ348">
        <v>0</v>
      </c>
      <c r="DR348">
        <v>0</v>
      </c>
      <c r="DS348">
        <v>0</v>
      </c>
      <c r="DT348">
        <v>0</v>
      </c>
      <c r="DU348">
        <v>0</v>
      </c>
      <c r="DV348" t="s">
        <v>575</v>
      </c>
    </row>
    <row r="349" spans="1:126" x14ac:dyDescent="0.35">
      <c r="A349" t="s">
        <v>620</v>
      </c>
      <c r="B349">
        <v>230110</v>
      </c>
      <c r="C349" s="1">
        <v>44936</v>
      </c>
      <c r="D349" t="s">
        <v>621</v>
      </c>
      <c r="E349" t="s">
        <v>231</v>
      </c>
      <c r="F349" t="s">
        <v>185</v>
      </c>
      <c r="G349" t="s">
        <v>463</v>
      </c>
      <c r="H349">
        <v>35776</v>
      </c>
      <c r="I349" s="17">
        <v>3003</v>
      </c>
      <c r="J349" s="17">
        <v>1455</v>
      </c>
      <c r="K349">
        <v>240</v>
      </c>
      <c r="L349">
        <v>29340</v>
      </c>
      <c r="M349">
        <v>31698</v>
      </c>
      <c r="N349">
        <v>32583</v>
      </c>
      <c r="O349">
        <v>33393</v>
      </c>
      <c r="P349">
        <v>3193</v>
      </c>
      <c r="Q349">
        <v>2383</v>
      </c>
      <c r="R349">
        <v>35776</v>
      </c>
      <c r="S349">
        <v>3003</v>
      </c>
      <c r="T349">
        <v>1455</v>
      </c>
      <c r="U349">
        <v>240</v>
      </c>
      <c r="V349">
        <v>29340</v>
      </c>
      <c r="W349">
        <v>31698</v>
      </c>
      <c r="X349">
        <v>32583</v>
      </c>
      <c r="Y349">
        <v>33393</v>
      </c>
      <c r="Z349">
        <v>3193</v>
      </c>
      <c r="AA349">
        <v>2383</v>
      </c>
      <c r="AB349">
        <v>0</v>
      </c>
      <c r="AC349">
        <v>0</v>
      </c>
      <c r="AD349">
        <v>0</v>
      </c>
      <c r="AE349">
        <v>0</v>
      </c>
      <c r="AF349">
        <v>0</v>
      </c>
      <c r="AG349">
        <v>0</v>
      </c>
      <c r="AH349">
        <v>0</v>
      </c>
      <c r="AI349">
        <v>0</v>
      </c>
      <c r="AJ349">
        <v>0</v>
      </c>
      <c r="AK349">
        <v>0</v>
      </c>
      <c r="AL349">
        <v>-2504</v>
      </c>
      <c r="AM349">
        <v>-235</v>
      </c>
      <c r="AN349">
        <v>10</v>
      </c>
      <c r="AO349">
        <v>-30</v>
      </c>
      <c r="AP349">
        <v>-2808</v>
      </c>
      <c r="AQ349">
        <v>-2338</v>
      </c>
      <c r="AR349">
        <v>-3073</v>
      </c>
      <c r="AS349">
        <v>-2358</v>
      </c>
      <c r="AT349">
        <v>569</v>
      </c>
      <c r="AU349">
        <v>-146</v>
      </c>
      <c r="AV349">
        <v>100</v>
      </c>
      <c r="AW349">
        <v>8.4</v>
      </c>
      <c r="AX349">
        <v>4.0999999999999996</v>
      </c>
      <c r="AY349">
        <v>0.7</v>
      </c>
      <c r="AZ349">
        <v>82</v>
      </c>
      <c r="BA349">
        <v>88.6</v>
      </c>
      <c r="BB349">
        <v>91.1</v>
      </c>
      <c r="BC349">
        <v>93.3</v>
      </c>
      <c r="BD349">
        <v>8.9</v>
      </c>
      <c r="BE349">
        <v>6.7</v>
      </c>
      <c r="BF349">
        <v>100</v>
      </c>
      <c r="BG349">
        <v>8.4</v>
      </c>
      <c r="BH349">
        <v>4.0999999999999996</v>
      </c>
      <c r="BI349">
        <v>0.7</v>
      </c>
      <c r="BJ349">
        <v>82</v>
      </c>
      <c r="BK349">
        <v>88.6</v>
      </c>
      <c r="BL349">
        <v>91.1</v>
      </c>
      <c r="BM349">
        <v>93.3</v>
      </c>
      <c r="BN349">
        <v>8.9</v>
      </c>
      <c r="BO349">
        <v>6.7</v>
      </c>
      <c r="BP349">
        <v>0</v>
      </c>
      <c r="BQ349">
        <v>0</v>
      </c>
      <c r="BR349">
        <v>0</v>
      </c>
      <c r="BS349">
        <v>0</v>
      </c>
      <c r="BT349">
        <v>0</v>
      </c>
      <c r="BU349">
        <v>0</v>
      </c>
      <c r="BV349">
        <v>0</v>
      </c>
      <c r="BW349">
        <v>0</v>
      </c>
      <c r="BX349">
        <v>0</v>
      </c>
      <c r="BY349">
        <v>0</v>
      </c>
      <c r="BZ349">
        <v>29</v>
      </c>
      <c r="CA349">
        <v>2</v>
      </c>
      <c r="CB349">
        <v>2</v>
      </c>
      <c r="CC349">
        <v>1</v>
      </c>
      <c r="CD349">
        <v>22</v>
      </c>
      <c r="CE349">
        <v>18</v>
      </c>
      <c r="CF349">
        <v>25</v>
      </c>
      <c r="CG349">
        <v>20</v>
      </c>
      <c r="CH349">
        <v>29</v>
      </c>
      <c r="CI349">
        <v>2</v>
      </c>
      <c r="CJ349">
        <v>2</v>
      </c>
      <c r="CK349">
        <v>1</v>
      </c>
      <c r="CL349">
        <v>22</v>
      </c>
      <c r="CM349">
        <v>18</v>
      </c>
      <c r="CN349">
        <v>25</v>
      </c>
      <c r="CO349">
        <v>20</v>
      </c>
      <c r="CP349">
        <v>0</v>
      </c>
      <c r="CQ349">
        <v>0</v>
      </c>
      <c r="CR349">
        <v>0</v>
      </c>
      <c r="CS349">
        <v>0</v>
      </c>
      <c r="CT349">
        <v>0</v>
      </c>
      <c r="CU349">
        <v>0</v>
      </c>
      <c r="CV349">
        <v>0</v>
      </c>
      <c r="CW349">
        <v>0</v>
      </c>
      <c r="CX349">
        <v>35.4</v>
      </c>
      <c r="CY349">
        <v>54.2</v>
      </c>
      <c r="CZ349">
        <v>57.3</v>
      </c>
      <c r="DA349">
        <v>75.2</v>
      </c>
      <c r="DB349">
        <v>31</v>
      </c>
      <c r="DC349">
        <v>39</v>
      </c>
      <c r="DD349">
        <v>48.1</v>
      </c>
      <c r="DE349">
        <v>55.4</v>
      </c>
      <c r="DF349">
        <v>35.4</v>
      </c>
      <c r="DG349">
        <v>54.2</v>
      </c>
      <c r="DH349">
        <v>57.3</v>
      </c>
      <c r="DI349">
        <v>75.2</v>
      </c>
      <c r="DJ349">
        <v>31</v>
      </c>
      <c r="DK349">
        <v>39</v>
      </c>
      <c r="DL349">
        <v>48.1</v>
      </c>
      <c r="DM349">
        <v>55.4</v>
      </c>
      <c r="DN349">
        <v>0</v>
      </c>
      <c r="DO349">
        <v>0</v>
      </c>
      <c r="DP349">
        <v>0</v>
      </c>
      <c r="DQ349">
        <v>0</v>
      </c>
      <c r="DR349">
        <v>0</v>
      </c>
      <c r="DS349">
        <v>0</v>
      </c>
      <c r="DT349">
        <v>0</v>
      </c>
      <c r="DU349">
        <v>0</v>
      </c>
      <c r="DV349" t="s">
        <v>575</v>
      </c>
    </row>
    <row r="350" spans="1:126" x14ac:dyDescent="0.35">
      <c r="A350" t="s">
        <v>620</v>
      </c>
      <c r="B350">
        <v>230103</v>
      </c>
      <c r="C350" s="1">
        <v>44929</v>
      </c>
      <c r="D350" t="s">
        <v>621</v>
      </c>
      <c r="E350" t="s">
        <v>231</v>
      </c>
      <c r="F350" t="s">
        <v>185</v>
      </c>
      <c r="G350" t="s">
        <v>463</v>
      </c>
      <c r="H350">
        <v>38280</v>
      </c>
      <c r="I350" s="17">
        <v>3238</v>
      </c>
      <c r="J350" s="17">
        <v>1445</v>
      </c>
      <c r="K350">
        <v>270</v>
      </c>
      <c r="L350">
        <v>32148</v>
      </c>
      <c r="M350">
        <v>34036</v>
      </c>
      <c r="N350">
        <v>35656</v>
      </c>
      <c r="O350">
        <v>35751</v>
      </c>
      <c r="P350">
        <v>2624</v>
      </c>
      <c r="Q350">
        <v>2529</v>
      </c>
      <c r="R350">
        <v>38280</v>
      </c>
      <c r="S350">
        <v>3238</v>
      </c>
      <c r="T350">
        <v>1445</v>
      </c>
      <c r="U350">
        <v>270</v>
      </c>
      <c r="V350">
        <v>32148</v>
      </c>
      <c r="W350">
        <v>34036</v>
      </c>
      <c r="X350">
        <v>35656</v>
      </c>
      <c r="Y350">
        <v>35751</v>
      </c>
      <c r="Z350">
        <v>2624</v>
      </c>
      <c r="AA350">
        <v>2529</v>
      </c>
      <c r="AB350">
        <v>0</v>
      </c>
      <c r="AC350">
        <v>0</v>
      </c>
      <c r="AD350">
        <v>0</v>
      </c>
      <c r="AE350">
        <v>0</v>
      </c>
      <c r="AF350">
        <v>0</v>
      </c>
      <c r="AG350">
        <v>0</v>
      </c>
      <c r="AH350">
        <v>0</v>
      </c>
      <c r="AI350">
        <v>0</v>
      </c>
      <c r="AJ350">
        <v>0</v>
      </c>
      <c r="AK350">
        <v>0</v>
      </c>
      <c r="AL350">
        <v>87</v>
      </c>
      <c r="AM350">
        <v>0</v>
      </c>
      <c r="AN350">
        <v>300</v>
      </c>
      <c r="AO350">
        <v>-225</v>
      </c>
      <c r="AP350">
        <v>392</v>
      </c>
      <c r="AQ350">
        <v>92</v>
      </c>
      <c r="AR350">
        <v>167</v>
      </c>
      <c r="AS350">
        <v>167</v>
      </c>
      <c r="AT350">
        <v>-80</v>
      </c>
      <c r="AU350">
        <v>-80</v>
      </c>
      <c r="AV350">
        <v>100</v>
      </c>
      <c r="AW350">
        <v>8.5</v>
      </c>
      <c r="AX350">
        <v>3.8</v>
      </c>
      <c r="AY350">
        <v>0.7</v>
      </c>
      <c r="AZ350">
        <v>84</v>
      </c>
      <c r="BA350">
        <v>88.9</v>
      </c>
      <c r="BB350">
        <v>93.1</v>
      </c>
      <c r="BC350">
        <v>93.4</v>
      </c>
      <c r="BD350">
        <v>6.9</v>
      </c>
      <c r="BE350">
        <v>6.6</v>
      </c>
      <c r="BF350">
        <v>100</v>
      </c>
      <c r="BG350">
        <v>8.5</v>
      </c>
      <c r="BH350">
        <v>3.8</v>
      </c>
      <c r="BI350">
        <v>0.7</v>
      </c>
      <c r="BJ350">
        <v>84</v>
      </c>
      <c r="BK350">
        <v>88.9</v>
      </c>
      <c r="BL350">
        <v>93.1</v>
      </c>
      <c r="BM350">
        <v>93.4</v>
      </c>
      <c r="BN350">
        <v>6.9</v>
      </c>
      <c r="BO350">
        <v>6.6</v>
      </c>
      <c r="BP350">
        <v>0</v>
      </c>
      <c r="BQ350">
        <v>0</v>
      </c>
      <c r="BR350">
        <v>0</v>
      </c>
      <c r="BS350">
        <v>0</v>
      </c>
      <c r="BT350">
        <v>0</v>
      </c>
      <c r="BU350">
        <v>0</v>
      </c>
      <c r="BV350">
        <v>0</v>
      </c>
      <c r="BW350">
        <v>0</v>
      </c>
      <c r="BX350">
        <v>0</v>
      </c>
      <c r="BY350">
        <v>0</v>
      </c>
      <c r="BZ350">
        <v>34</v>
      </c>
      <c r="CA350">
        <v>2</v>
      </c>
      <c r="CB350">
        <v>3</v>
      </c>
      <c r="CC350">
        <v>2</v>
      </c>
      <c r="CD350">
        <v>25</v>
      </c>
      <c r="CE350">
        <v>20</v>
      </c>
      <c r="CF350">
        <v>29</v>
      </c>
      <c r="CG350">
        <v>23</v>
      </c>
      <c r="CH350">
        <v>34</v>
      </c>
      <c r="CI350">
        <v>2</v>
      </c>
      <c r="CJ350">
        <v>3</v>
      </c>
      <c r="CK350">
        <v>2</v>
      </c>
      <c r="CL350">
        <v>25</v>
      </c>
      <c r="CM350">
        <v>20</v>
      </c>
      <c r="CN350">
        <v>29</v>
      </c>
      <c r="CO350">
        <v>23</v>
      </c>
      <c r="CP350">
        <v>0</v>
      </c>
      <c r="CQ350">
        <v>0</v>
      </c>
      <c r="CR350">
        <v>0</v>
      </c>
      <c r="CS350">
        <v>0</v>
      </c>
      <c r="CT350">
        <v>0</v>
      </c>
      <c r="CU350">
        <v>0</v>
      </c>
      <c r="CV350">
        <v>0</v>
      </c>
      <c r="CW350">
        <v>0</v>
      </c>
      <c r="CX350">
        <v>35.6</v>
      </c>
      <c r="CY350">
        <v>53.2</v>
      </c>
      <c r="CZ350">
        <v>57</v>
      </c>
      <c r="DA350">
        <v>74.7</v>
      </c>
      <c r="DB350">
        <v>30.1</v>
      </c>
      <c r="DC350">
        <v>39</v>
      </c>
      <c r="DD350">
        <v>47.7</v>
      </c>
      <c r="DE350">
        <v>53.2</v>
      </c>
      <c r="DF350">
        <v>35.6</v>
      </c>
      <c r="DG350">
        <v>53.2</v>
      </c>
      <c r="DH350">
        <v>57</v>
      </c>
      <c r="DI350">
        <v>74.7</v>
      </c>
      <c r="DJ350">
        <v>30.1</v>
      </c>
      <c r="DK350">
        <v>39</v>
      </c>
      <c r="DL350">
        <v>47.7</v>
      </c>
      <c r="DM350">
        <v>53.2</v>
      </c>
      <c r="DN350">
        <v>0</v>
      </c>
      <c r="DO350">
        <v>0</v>
      </c>
      <c r="DP350">
        <v>0</v>
      </c>
      <c r="DQ350">
        <v>0</v>
      </c>
      <c r="DR350">
        <v>0</v>
      </c>
      <c r="DS350">
        <v>0</v>
      </c>
      <c r="DT350">
        <v>0</v>
      </c>
      <c r="DU350">
        <v>0</v>
      </c>
      <c r="DV350" t="s">
        <v>575</v>
      </c>
    </row>
    <row r="351" spans="1:126" x14ac:dyDescent="0.35">
      <c r="A351" t="s">
        <v>622</v>
      </c>
      <c r="B351">
        <v>230110</v>
      </c>
      <c r="C351" s="1">
        <v>44936</v>
      </c>
      <c r="D351" t="s">
        <v>623</v>
      </c>
      <c r="E351" t="s">
        <v>231</v>
      </c>
      <c r="F351" t="s">
        <v>185</v>
      </c>
      <c r="G351" t="s">
        <v>463</v>
      </c>
      <c r="H351">
        <v>35764</v>
      </c>
      <c r="I351" s="17">
        <v>2838</v>
      </c>
      <c r="J351" s="17">
        <v>1033</v>
      </c>
      <c r="K351">
        <v>360</v>
      </c>
      <c r="L351">
        <v>29389</v>
      </c>
      <c r="M351">
        <v>32069</v>
      </c>
      <c r="N351">
        <v>32587</v>
      </c>
      <c r="O351">
        <v>33462</v>
      </c>
      <c r="P351">
        <v>3177</v>
      </c>
      <c r="Q351">
        <v>2302</v>
      </c>
      <c r="R351">
        <v>35764</v>
      </c>
      <c r="S351">
        <v>2838</v>
      </c>
      <c r="T351">
        <v>1033</v>
      </c>
      <c r="U351">
        <v>360</v>
      </c>
      <c r="V351">
        <v>29389</v>
      </c>
      <c r="W351">
        <v>32069</v>
      </c>
      <c r="X351">
        <v>32587</v>
      </c>
      <c r="Y351">
        <v>33462</v>
      </c>
      <c r="Z351">
        <v>3177</v>
      </c>
      <c r="AA351">
        <v>2302</v>
      </c>
      <c r="AB351">
        <v>0</v>
      </c>
      <c r="AC351">
        <v>0</v>
      </c>
      <c r="AD351">
        <v>0</v>
      </c>
      <c r="AE351">
        <v>0</v>
      </c>
      <c r="AF351">
        <v>0</v>
      </c>
      <c r="AG351">
        <v>0</v>
      </c>
      <c r="AH351">
        <v>0</v>
      </c>
      <c r="AI351">
        <v>0</v>
      </c>
      <c r="AJ351">
        <v>0</v>
      </c>
      <c r="AK351">
        <v>0</v>
      </c>
      <c r="AL351">
        <v>-2250</v>
      </c>
      <c r="AM351">
        <v>-235</v>
      </c>
      <c r="AN351">
        <v>-95</v>
      </c>
      <c r="AO351">
        <v>-30</v>
      </c>
      <c r="AP351">
        <v>-2585</v>
      </c>
      <c r="AQ351">
        <v>-1940</v>
      </c>
      <c r="AR351">
        <v>-2850</v>
      </c>
      <c r="AS351">
        <v>-2065</v>
      </c>
      <c r="AT351">
        <v>600</v>
      </c>
      <c r="AU351">
        <v>-185</v>
      </c>
      <c r="AV351">
        <v>100</v>
      </c>
      <c r="AW351">
        <v>7.9</v>
      </c>
      <c r="AX351">
        <v>2.9</v>
      </c>
      <c r="AY351">
        <v>1</v>
      </c>
      <c r="AZ351">
        <v>82.2</v>
      </c>
      <c r="BA351">
        <v>89.7</v>
      </c>
      <c r="BB351">
        <v>91.1</v>
      </c>
      <c r="BC351">
        <v>93.6</v>
      </c>
      <c r="BD351">
        <v>8.9</v>
      </c>
      <c r="BE351">
        <v>6.4</v>
      </c>
      <c r="BF351">
        <v>100</v>
      </c>
      <c r="BG351">
        <v>7.9</v>
      </c>
      <c r="BH351">
        <v>2.9</v>
      </c>
      <c r="BI351">
        <v>1</v>
      </c>
      <c r="BJ351">
        <v>82.2</v>
      </c>
      <c r="BK351">
        <v>89.7</v>
      </c>
      <c r="BL351">
        <v>91.1</v>
      </c>
      <c r="BM351">
        <v>93.6</v>
      </c>
      <c r="BN351">
        <v>8.9</v>
      </c>
      <c r="BO351">
        <v>6.4</v>
      </c>
      <c r="BP351">
        <v>0</v>
      </c>
      <c r="BQ351">
        <v>0</v>
      </c>
      <c r="BR351">
        <v>0</v>
      </c>
      <c r="BS351">
        <v>0</v>
      </c>
      <c r="BT351">
        <v>0</v>
      </c>
      <c r="BU351">
        <v>0</v>
      </c>
      <c r="BV351">
        <v>0</v>
      </c>
      <c r="BW351">
        <v>0</v>
      </c>
      <c r="BX351">
        <v>0</v>
      </c>
      <c r="BY351">
        <v>0</v>
      </c>
      <c r="BZ351">
        <v>28</v>
      </c>
      <c r="CA351">
        <v>2</v>
      </c>
      <c r="CB351">
        <v>2</v>
      </c>
      <c r="CC351">
        <v>2</v>
      </c>
      <c r="CD351">
        <v>21</v>
      </c>
      <c r="CE351">
        <v>18</v>
      </c>
      <c r="CF351">
        <v>25</v>
      </c>
      <c r="CG351">
        <v>20</v>
      </c>
      <c r="CH351">
        <v>28</v>
      </c>
      <c r="CI351">
        <v>2</v>
      </c>
      <c r="CJ351">
        <v>2</v>
      </c>
      <c r="CK351">
        <v>2</v>
      </c>
      <c r="CL351">
        <v>21</v>
      </c>
      <c r="CM351">
        <v>18</v>
      </c>
      <c r="CN351">
        <v>25</v>
      </c>
      <c r="CO351">
        <v>20</v>
      </c>
      <c r="CP351">
        <v>0</v>
      </c>
      <c r="CQ351">
        <v>0</v>
      </c>
      <c r="CR351">
        <v>0</v>
      </c>
      <c r="CS351">
        <v>0</v>
      </c>
      <c r="CT351">
        <v>0</v>
      </c>
      <c r="CU351">
        <v>0</v>
      </c>
      <c r="CV351">
        <v>0</v>
      </c>
      <c r="CW351">
        <v>0</v>
      </c>
      <c r="CX351">
        <v>36.6</v>
      </c>
      <c r="CY351">
        <v>51.2</v>
      </c>
      <c r="CZ351">
        <v>59.2</v>
      </c>
      <c r="DA351">
        <v>75.7</v>
      </c>
      <c r="DB351">
        <v>29.1</v>
      </c>
      <c r="DC351">
        <v>38.200000000000003</v>
      </c>
      <c r="DD351">
        <v>46.5</v>
      </c>
      <c r="DE351">
        <v>54.1</v>
      </c>
      <c r="DF351">
        <v>36.6</v>
      </c>
      <c r="DG351">
        <v>51.2</v>
      </c>
      <c r="DH351">
        <v>59.2</v>
      </c>
      <c r="DI351">
        <v>75.7</v>
      </c>
      <c r="DJ351">
        <v>29.1</v>
      </c>
      <c r="DK351">
        <v>38.200000000000003</v>
      </c>
      <c r="DL351">
        <v>46.5</v>
      </c>
      <c r="DM351">
        <v>54.1</v>
      </c>
      <c r="DN351">
        <v>0</v>
      </c>
      <c r="DO351">
        <v>0</v>
      </c>
      <c r="DP351">
        <v>0</v>
      </c>
      <c r="DQ351">
        <v>0</v>
      </c>
      <c r="DR351">
        <v>0</v>
      </c>
      <c r="DS351">
        <v>0</v>
      </c>
      <c r="DT351">
        <v>0</v>
      </c>
      <c r="DU351">
        <v>0</v>
      </c>
      <c r="DV351" t="s">
        <v>575</v>
      </c>
    </row>
    <row r="352" spans="1:126" x14ac:dyDescent="0.35">
      <c r="A352" t="s">
        <v>622</v>
      </c>
      <c r="B352">
        <v>230103</v>
      </c>
      <c r="C352" s="1">
        <v>44929</v>
      </c>
      <c r="D352" t="s">
        <v>623</v>
      </c>
      <c r="E352" t="s">
        <v>231</v>
      </c>
      <c r="F352" t="s">
        <v>185</v>
      </c>
      <c r="G352" t="s">
        <v>463</v>
      </c>
      <c r="H352">
        <v>38014</v>
      </c>
      <c r="I352" s="17">
        <v>3073</v>
      </c>
      <c r="J352" s="17">
        <v>1128</v>
      </c>
      <c r="K352">
        <v>390</v>
      </c>
      <c r="L352">
        <v>31974</v>
      </c>
      <c r="M352">
        <v>34009</v>
      </c>
      <c r="N352">
        <v>35437</v>
      </c>
      <c r="O352">
        <v>35527</v>
      </c>
      <c r="P352">
        <v>2577</v>
      </c>
      <c r="Q352">
        <v>2487</v>
      </c>
      <c r="R352">
        <v>38014</v>
      </c>
      <c r="S352">
        <v>3073</v>
      </c>
      <c r="T352">
        <v>1128</v>
      </c>
      <c r="U352">
        <v>390</v>
      </c>
      <c r="V352">
        <v>31974</v>
      </c>
      <c r="W352">
        <v>34009</v>
      </c>
      <c r="X352">
        <v>35437</v>
      </c>
      <c r="Y352">
        <v>35527</v>
      </c>
      <c r="Z352">
        <v>2577</v>
      </c>
      <c r="AA352">
        <v>2487</v>
      </c>
      <c r="AB352">
        <v>0</v>
      </c>
      <c r="AC352">
        <v>0</v>
      </c>
      <c r="AD352">
        <v>0</v>
      </c>
      <c r="AE352">
        <v>0</v>
      </c>
      <c r="AF352">
        <v>0</v>
      </c>
      <c r="AG352">
        <v>0</v>
      </c>
      <c r="AH352">
        <v>0</v>
      </c>
      <c r="AI352">
        <v>0</v>
      </c>
      <c r="AJ352">
        <v>0</v>
      </c>
      <c r="AK352">
        <v>0</v>
      </c>
      <c r="AL352">
        <v>219</v>
      </c>
      <c r="AM352">
        <v>0</v>
      </c>
      <c r="AN352">
        <v>300</v>
      </c>
      <c r="AO352">
        <v>-240</v>
      </c>
      <c r="AP352">
        <v>484</v>
      </c>
      <c r="AQ352">
        <v>184</v>
      </c>
      <c r="AR352">
        <v>244</v>
      </c>
      <c r="AS352">
        <v>244</v>
      </c>
      <c r="AT352">
        <v>-25</v>
      </c>
      <c r="AU352">
        <v>-25</v>
      </c>
      <c r="AV352">
        <v>100</v>
      </c>
      <c r="AW352">
        <v>8.1</v>
      </c>
      <c r="AX352">
        <v>3</v>
      </c>
      <c r="AY352">
        <v>1</v>
      </c>
      <c r="AZ352">
        <v>84.1</v>
      </c>
      <c r="BA352">
        <v>89.5</v>
      </c>
      <c r="BB352">
        <v>93.2</v>
      </c>
      <c r="BC352">
        <v>93.5</v>
      </c>
      <c r="BD352">
        <v>6.8</v>
      </c>
      <c r="BE352">
        <v>6.5</v>
      </c>
      <c r="BF352">
        <v>100</v>
      </c>
      <c r="BG352">
        <v>8.1</v>
      </c>
      <c r="BH352">
        <v>3</v>
      </c>
      <c r="BI352">
        <v>1</v>
      </c>
      <c r="BJ352">
        <v>84.1</v>
      </c>
      <c r="BK352">
        <v>89.5</v>
      </c>
      <c r="BL352">
        <v>93.2</v>
      </c>
      <c r="BM352">
        <v>93.5</v>
      </c>
      <c r="BN352">
        <v>6.8</v>
      </c>
      <c r="BO352">
        <v>6.5</v>
      </c>
      <c r="BP352">
        <v>0</v>
      </c>
      <c r="BQ352">
        <v>0</v>
      </c>
      <c r="BR352">
        <v>0</v>
      </c>
      <c r="BS352">
        <v>0</v>
      </c>
      <c r="BT352">
        <v>0</v>
      </c>
      <c r="BU352">
        <v>0</v>
      </c>
      <c r="BV352">
        <v>0</v>
      </c>
      <c r="BW352">
        <v>0</v>
      </c>
      <c r="BX352">
        <v>0</v>
      </c>
      <c r="BY352">
        <v>0</v>
      </c>
      <c r="BZ352">
        <v>34</v>
      </c>
      <c r="CA352">
        <v>2</v>
      </c>
      <c r="CB352">
        <v>3</v>
      </c>
      <c r="CC352">
        <v>2</v>
      </c>
      <c r="CD352">
        <v>25</v>
      </c>
      <c r="CE352">
        <v>20</v>
      </c>
      <c r="CF352">
        <v>29</v>
      </c>
      <c r="CG352">
        <v>23</v>
      </c>
      <c r="CH352">
        <v>34</v>
      </c>
      <c r="CI352">
        <v>2</v>
      </c>
      <c r="CJ352">
        <v>3</v>
      </c>
      <c r="CK352">
        <v>2</v>
      </c>
      <c r="CL352">
        <v>25</v>
      </c>
      <c r="CM352">
        <v>20</v>
      </c>
      <c r="CN352">
        <v>29</v>
      </c>
      <c r="CO352">
        <v>23</v>
      </c>
      <c r="CP352">
        <v>0</v>
      </c>
      <c r="CQ352">
        <v>0</v>
      </c>
      <c r="CR352">
        <v>0</v>
      </c>
      <c r="CS352">
        <v>0</v>
      </c>
      <c r="CT352">
        <v>0</v>
      </c>
      <c r="CU352">
        <v>0</v>
      </c>
      <c r="CV352">
        <v>0</v>
      </c>
      <c r="CW352">
        <v>0</v>
      </c>
      <c r="CX352">
        <v>36.5</v>
      </c>
      <c r="CY352">
        <v>49.7</v>
      </c>
      <c r="CZ352">
        <v>58.7</v>
      </c>
      <c r="DA352">
        <v>74.2</v>
      </c>
      <c r="DB352">
        <v>28.3</v>
      </c>
      <c r="DC352">
        <v>37.5</v>
      </c>
      <c r="DD352">
        <v>46.2</v>
      </c>
      <c r="DE352">
        <v>53.3</v>
      </c>
      <c r="DF352">
        <v>36.5</v>
      </c>
      <c r="DG352">
        <v>49.7</v>
      </c>
      <c r="DH352">
        <v>58.7</v>
      </c>
      <c r="DI352">
        <v>74.2</v>
      </c>
      <c r="DJ352">
        <v>28.3</v>
      </c>
      <c r="DK352">
        <v>37.5</v>
      </c>
      <c r="DL352">
        <v>46.2</v>
      </c>
      <c r="DM352">
        <v>53.3</v>
      </c>
      <c r="DN352">
        <v>0</v>
      </c>
      <c r="DO352">
        <v>0</v>
      </c>
      <c r="DP352">
        <v>0</v>
      </c>
      <c r="DQ352">
        <v>0</v>
      </c>
      <c r="DR352">
        <v>0</v>
      </c>
      <c r="DS352">
        <v>0</v>
      </c>
      <c r="DT352">
        <v>0</v>
      </c>
      <c r="DU352">
        <v>0</v>
      </c>
      <c r="DV352" t="s">
        <v>575</v>
      </c>
    </row>
    <row r="353" spans="1:126" x14ac:dyDescent="0.35">
      <c r="A353" t="s">
        <v>624</v>
      </c>
      <c r="B353">
        <v>230110</v>
      </c>
      <c r="C353" s="1">
        <v>44936</v>
      </c>
      <c r="D353" t="s">
        <v>625</v>
      </c>
      <c r="E353" t="s">
        <v>231</v>
      </c>
      <c r="F353" t="s">
        <v>185</v>
      </c>
      <c r="G353" t="s">
        <v>463</v>
      </c>
      <c r="H353">
        <v>46602</v>
      </c>
      <c r="I353" s="17">
        <v>7304</v>
      </c>
      <c r="J353" s="17">
        <v>680</v>
      </c>
      <c r="K353">
        <v>280</v>
      </c>
      <c r="L353">
        <v>31112</v>
      </c>
      <c r="M353">
        <v>38677</v>
      </c>
      <c r="N353">
        <v>38696</v>
      </c>
      <c r="O353">
        <v>39637</v>
      </c>
      <c r="P353">
        <v>7906</v>
      </c>
      <c r="Q353">
        <v>6965</v>
      </c>
      <c r="R353">
        <v>46602</v>
      </c>
      <c r="S353">
        <v>7304</v>
      </c>
      <c r="T353">
        <v>680</v>
      </c>
      <c r="U353">
        <v>280</v>
      </c>
      <c r="V353">
        <v>31112</v>
      </c>
      <c r="W353">
        <v>38677</v>
      </c>
      <c r="X353">
        <v>38696</v>
      </c>
      <c r="Y353">
        <v>39637</v>
      </c>
      <c r="Z353">
        <v>7906</v>
      </c>
      <c r="AA353">
        <v>6965</v>
      </c>
      <c r="AB353">
        <v>0</v>
      </c>
      <c r="AC353">
        <v>0</v>
      </c>
      <c r="AD353">
        <v>0</v>
      </c>
      <c r="AE353">
        <v>0</v>
      </c>
      <c r="AF353">
        <v>0</v>
      </c>
      <c r="AG353">
        <v>0</v>
      </c>
      <c r="AH353">
        <v>0</v>
      </c>
      <c r="AI353">
        <v>0</v>
      </c>
      <c r="AJ353">
        <v>0</v>
      </c>
      <c r="AK353">
        <v>0</v>
      </c>
      <c r="AL353">
        <v>-1793</v>
      </c>
      <c r="AM353">
        <v>-700</v>
      </c>
      <c r="AN353">
        <v>-40</v>
      </c>
      <c r="AO353">
        <v>-35</v>
      </c>
      <c r="AP353">
        <v>-3547</v>
      </c>
      <c r="AQ353">
        <v>-3608</v>
      </c>
      <c r="AR353">
        <v>-4282</v>
      </c>
      <c r="AS353">
        <v>-3683</v>
      </c>
      <c r="AT353">
        <v>2489</v>
      </c>
      <c r="AU353">
        <v>1890</v>
      </c>
      <c r="AV353">
        <v>100</v>
      </c>
      <c r="AW353">
        <v>15.7</v>
      </c>
      <c r="AX353">
        <v>1.5</v>
      </c>
      <c r="AY353">
        <v>0.6</v>
      </c>
      <c r="AZ353">
        <v>66.8</v>
      </c>
      <c r="BA353">
        <v>83</v>
      </c>
      <c r="BB353">
        <v>83</v>
      </c>
      <c r="BC353">
        <v>85.1</v>
      </c>
      <c r="BD353">
        <v>17</v>
      </c>
      <c r="BE353">
        <v>14.9</v>
      </c>
      <c r="BF353">
        <v>100</v>
      </c>
      <c r="BG353">
        <v>15.7</v>
      </c>
      <c r="BH353">
        <v>1.5</v>
      </c>
      <c r="BI353">
        <v>0.6</v>
      </c>
      <c r="BJ353">
        <v>66.8</v>
      </c>
      <c r="BK353">
        <v>83</v>
      </c>
      <c r="BL353">
        <v>83</v>
      </c>
      <c r="BM353">
        <v>85.1</v>
      </c>
      <c r="BN353">
        <v>17</v>
      </c>
      <c r="BO353">
        <v>14.9</v>
      </c>
      <c r="BP353">
        <v>0</v>
      </c>
      <c r="BQ353">
        <v>0</v>
      </c>
      <c r="BR353">
        <v>0</v>
      </c>
      <c r="BS353">
        <v>0</v>
      </c>
      <c r="BT353">
        <v>0</v>
      </c>
      <c r="BU353">
        <v>0</v>
      </c>
      <c r="BV353">
        <v>0</v>
      </c>
      <c r="BW353">
        <v>0</v>
      </c>
      <c r="BX353">
        <v>0</v>
      </c>
      <c r="BY353">
        <v>0</v>
      </c>
      <c r="BZ353">
        <v>31</v>
      </c>
      <c r="CA353">
        <v>4</v>
      </c>
      <c r="CB353">
        <v>2</v>
      </c>
      <c r="CC353">
        <v>2</v>
      </c>
      <c r="CD353">
        <v>24</v>
      </c>
      <c r="CE353">
        <v>12</v>
      </c>
      <c r="CF353">
        <v>29</v>
      </c>
      <c r="CG353">
        <v>15</v>
      </c>
      <c r="CH353">
        <v>31</v>
      </c>
      <c r="CI353">
        <v>4</v>
      </c>
      <c r="CJ353">
        <v>2</v>
      </c>
      <c r="CK353">
        <v>2</v>
      </c>
      <c r="CL353">
        <v>24</v>
      </c>
      <c r="CM353">
        <v>12</v>
      </c>
      <c r="CN353">
        <v>29</v>
      </c>
      <c r="CO353">
        <v>15</v>
      </c>
      <c r="CP353">
        <v>0</v>
      </c>
      <c r="CQ353">
        <v>0</v>
      </c>
      <c r="CR353">
        <v>0</v>
      </c>
      <c r="CS353">
        <v>0</v>
      </c>
      <c r="CT353">
        <v>0</v>
      </c>
      <c r="CU353">
        <v>0</v>
      </c>
      <c r="CV353">
        <v>0</v>
      </c>
      <c r="CW353">
        <v>0</v>
      </c>
      <c r="CX353">
        <v>43.1</v>
      </c>
      <c r="CY353">
        <v>61.8</v>
      </c>
      <c r="CZ353">
        <v>60.2</v>
      </c>
      <c r="DA353">
        <v>79.8</v>
      </c>
      <c r="DB353">
        <v>40.299999999999997</v>
      </c>
      <c r="DC353">
        <v>55.2</v>
      </c>
      <c r="DD353">
        <v>53.4</v>
      </c>
      <c r="DE353">
        <v>63.5</v>
      </c>
      <c r="DF353">
        <v>43.1</v>
      </c>
      <c r="DG353">
        <v>61.8</v>
      </c>
      <c r="DH353">
        <v>60.2</v>
      </c>
      <c r="DI353">
        <v>79.8</v>
      </c>
      <c r="DJ353">
        <v>40.299999999999997</v>
      </c>
      <c r="DK353">
        <v>55.2</v>
      </c>
      <c r="DL353">
        <v>53.4</v>
      </c>
      <c r="DM353">
        <v>63.5</v>
      </c>
      <c r="DN353">
        <v>0</v>
      </c>
      <c r="DO353">
        <v>0</v>
      </c>
      <c r="DP353">
        <v>0</v>
      </c>
      <c r="DQ353">
        <v>0</v>
      </c>
      <c r="DR353">
        <v>0</v>
      </c>
      <c r="DS353">
        <v>0</v>
      </c>
      <c r="DT353">
        <v>0</v>
      </c>
      <c r="DU353">
        <v>0</v>
      </c>
      <c r="DV353" t="s">
        <v>575</v>
      </c>
    </row>
    <row r="354" spans="1:126" x14ac:dyDescent="0.35">
      <c r="A354" t="s">
        <v>624</v>
      </c>
      <c r="B354">
        <v>230103</v>
      </c>
      <c r="C354" s="1">
        <v>44929</v>
      </c>
      <c r="D354" t="s">
        <v>625</v>
      </c>
      <c r="E354" t="s">
        <v>231</v>
      </c>
      <c r="F354" t="s">
        <v>185</v>
      </c>
      <c r="G354" t="s">
        <v>463</v>
      </c>
      <c r="H354">
        <v>48395</v>
      </c>
      <c r="I354" s="17">
        <v>8004</v>
      </c>
      <c r="J354" s="17">
        <v>720</v>
      </c>
      <c r="K354">
        <v>315</v>
      </c>
      <c r="L354">
        <v>34659</v>
      </c>
      <c r="M354">
        <v>42285</v>
      </c>
      <c r="N354">
        <v>42978</v>
      </c>
      <c r="O354">
        <v>43320</v>
      </c>
      <c r="P354">
        <v>5417</v>
      </c>
      <c r="Q354">
        <v>5075</v>
      </c>
      <c r="R354">
        <v>48395</v>
      </c>
      <c r="S354">
        <v>8004</v>
      </c>
      <c r="T354">
        <v>720</v>
      </c>
      <c r="U354">
        <v>315</v>
      </c>
      <c r="V354">
        <v>34659</v>
      </c>
      <c r="W354">
        <v>42285</v>
      </c>
      <c r="X354">
        <v>42978</v>
      </c>
      <c r="Y354">
        <v>43320</v>
      </c>
      <c r="Z354">
        <v>5417</v>
      </c>
      <c r="AA354">
        <v>5075</v>
      </c>
      <c r="AB354">
        <v>0</v>
      </c>
      <c r="AC354">
        <v>0</v>
      </c>
      <c r="AD354">
        <v>0</v>
      </c>
      <c r="AE354">
        <v>0</v>
      </c>
      <c r="AF354">
        <v>0</v>
      </c>
      <c r="AG354">
        <v>0</v>
      </c>
      <c r="AH354">
        <v>0</v>
      </c>
      <c r="AI354">
        <v>0</v>
      </c>
      <c r="AJ354">
        <v>0</v>
      </c>
      <c r="AK354">
        <v>0</v>
      </c>
      <c r="AL354">
        <v>75</v>
      </c>
      <c r="AM354">
        <v>75</v>
      </c>
      <c r="AN354">
        <v>0</v>
      </c>
      <c r="AO354">
        <v>0</v>
      </c>
      <c r="AP354">
        <v>0</v>
      </c>
      <c r="AQ354">
        <v>75</v>
      </c>
      <c r="AR354">
        <v>75</v>
      </c>
      <c r="AS354">
        <v>75</v>
      </c>
      <c r="AT354">
        <v>0</v>
      </c>
      <c r="AU354">
        <v>0</v>
      </c>
      <c r="AV354">
        <v>100</v>
      </c>
      <c r="AW354">
        <v>16.5</v>
      </c>
      <c r="AX354">
        <v>1.5</v>
      </c>
      <c r="AY354">
        <v>0.7</v>
      </c>
      <c r="AZ354">
        <v>71.599999999999994</v>
      </c>
      <c r="BA354">
        <v>87.4</v>
      </c>
      <c r="BB354">
        <v>88.8</v>
      </c>
      <c r="BC354">
        <v>89.5</v>
      </c>
      <c r="BD354">
        <v>11.2</v>
      </c>
      <c r="BE354">
        <v>10.5</v>
      </c>
      <c r="BF354">
        <v>100</v>
      </c>
      <c r="BG354">
        <v>16.5</v>
      </c>
      <c r="BH354">
        <v>1.5</v>
      </c>
      <c r="BI354">
        <v>0.7</v>
      </c>
      <c r="BJ354">
        <v>71.599999999999994</v>
      </c>
      <c r="BK354">
        <v>87.4</v>
      </c>
      <c r="BL354">
        <v>88.8</v>
      </c>
      <c r="BM354">
        <v>89.5</v>
      </c>
      <c r="BN354">
        <v>11.2</v>
      </c>
      <c r="BO354">
        <v>10.5</v>
      </c>
      <c r="BP354">
        <v>0</v>
      </c>
      <c r="BQ354">
        <v>0</v>
      </c>
      <c r="BR354">
        <v>0</v>
      </c>
      <c r="BS354">
        <v>0</v>
      </c>
      <c r="BT354">
        <v>0</v>
      </c>
      <c r="BU354">
        <v>0</v>
      </c>
      <c r="BV354">
        <v>0</v>
      </c>
      <c r="BW354">
        <v>0</v>
      </c>
      <c r="BX354">
        <v>0</v>
      </c>
      <c r="BY354">
        <v>0</v>
      </c>
      <c r="BZ354">
        <v>34</v>
      </c>
      <c r="CA354">
        <v>4</v>
      </c>
      <c r="CB354">
        <v>2</v>
      </c>
      <c r="CC354">
        <v>2</v>
      </c>
      <c r="CD354">
        <v>26</v>
      </c>
      <c r="CE354">
        <v>14</v>
      </c>
      <c r="CF354">
        <v>31</v>
      </c>
      <c r="CG354">
        <v>17</v>
      </c>
      <c r="CH354">
        <v>34</v>
      </c>
      <c r="CI354">
        <v>4</v>
      </c>
      <c r="CJ354">
        <v>2</v>
      </c>
      <c r="CK354">
        <v>2</v>
      </c>
      <c r="CL354">
        <v>26</v>
      </c>
      <c r="CM354">
        <v>14</v>
      </c>
      <c r="CN354">
        <v>31</v>
      </c>
      <c r="CO354">
        <v>17</v>
      </c>
      <c r="CP354">
        <v>0</v>
      </c>
      <c r="CQ354">
        <v>0</v>
      </c>
      <c r="CR354">
        <v>0</v>
      </c>
      <c r="CS354">
        <v>0</v>
      </c>
      <c r="CT354">
        <v>0</v>
      </c>
      <c r="CU354">
        <v>0</v>
      </c>
      <c r="CV354">
        <v>0</v>
      </c>
      <c r="CW354">
        <v>0</v>
      </c>
      <c r="CX354">
        <v>46.6</v>
      </c>
      <c r="CY354">
        <v>66.400000000000006</v>
      </c>
      <c r="CZ354">
        <v>64.400000000000006</v>
      </c>
      <c r="DA354">
        <v>83.8</v>
      </c>
      <c r="DB354">
        <v>42</v>
      </c>
      <c r="DC354">
        <v>64.599999999999994</v>
      </c>
      <c r="DD354">
        <v>59.5</v>
      </c>
      <c r="DE354">
        <v>73.400000000000006</v>
      </c>
      <c r="DF354">
        <v>46.6</v>
      </c>
      <c r="DG354">
        <v>66.400000000000006</v>
      </c>
      <c r="DH354">
        <v>64.400000000000006</v>
      </c>
      <c r="DI354">
        <v>83.8</v>
      </c>
      <c r="DJ354">
        <v>42</v>
      </c>
      <c r="DK354">
        <v>64.599999999999994</v>
      </c>
      <c r="DL354">
        <v>59.5</v>
      </c>
      <c r="DM354">
        <v>73.400000000000006</v>
      </c>
      <c r="DN354">
        <v>0</v>
      </c>
      <c r="DO354">
        <v>0</v>
      </c>
      <c r="DP354">
        <v>0</v>
      </c>
      <c r="DQ354">
        <v>0</v>
      </c>
      <c r="DR354">
        <v>0</v>
      </c>
      <c r="DS354">
        <v>0</v>
      </c>
      <c r="DT354">
        <v>0</v>
      </c>
      <c r="DU354">
        <v>0</v>
      </c>
      <c r="DV354" t="s">
        <v>575</v>
      </c>
    </row>
    <row r="355" spans="1:126" x14ac:dyDescent="0.35">
      <c r="A355" t="s">
        <v>626</v>
      </c>
      <c r="B355">
        <v>230110</v>
      </c>
      <c r="C355" s="1">
        <v>44936</v>
      </c>
      <c r="D355" t="s">
        <v>627</v>
      </c>
      <c r="E355" t="s">
        <v>231</v>
      </c>
      <c r="F355" t="s">
        <v>185</v>
      </c>
      <c r="G355" t="s">
        <v>463</v>
      </c>
      <c r="H355">
        <v>40959</v>
      </c>
      <c r="I355" s="17">
        <v>7124</v>
      </c>
      <c r="J355" s="17">
        <v>1284</v>
      </c>
      <c r="K355">
        <v>105</v>
      </c>
      <c r="L355">
        <v>27757</v>
      </c>
      <c r="M355">
        <v>34396</v>
      </c>
      <c r="N355">
        <v>34986</v>
      </c>
      <c r="O355">
        <v>35785</v>
      </c>
      <c r="P355">
        <v>5973</v>
      </c>
      <c r="Q355">
        <v>5174</v>
      </c>
      <c r="R355">
        <v>40959</v>
      </c>
      <c r="S355">
        <v>7124</v>
      </c>
      <c r="T355">
        <v>1284</v>
      </c>
      <c r="U355">
        <v>105</v>
      </c>
      <c r="V355">
        <v>27757</v>
      </c>
      <c r="W355">
        <v>34396</v>
      </c>
      <c r="X355">
        <v>34986</v>
      </c>
      <c r="Y355">
        <v>35785</v>
      </c>
      <c r="Z355">
        <v>5973</v>
      </c>
      <c r="AA355">
        <v>5174</v>
      </c>
      <c r="AB355">
        <v>0</v>
      </c>
      <c r="AC355">
        <v>0</v>
      </c>
      <c r="AD355">
        <v>0</v>
      </c>
      <c r="AE355">
        <v>0</v>
      </c>
      <c r="AF355">
        <v>0</v>
      </c>
      <c r="AG355">
        <v>0</v>
      </c>
      <c r="AH355">
        <v>0</v>
      </c>
      <c r="AI355">
        <v>0</v>
      </c>
      <c r="AJ355">
        <v>0</v>
      </c>
      <c r="AK355">
        <v>0</v>
      </c>
      <c r="AL355">
        <v>-1218</v>
      </c>
      <c r="AM355">
        <v>-1152</v>
      </c>
      <c r="AN355">
        <v>-205</v>
      </c>
      <c r="AO355">
        <v>35</v>
      </c>
      <c r="AP355">
        <v>-2319</v>
      </c>
      <c r="AQ355">
        <v>-2754</v>
      </c>
      <c r="AR355">
        <v>-3436</v>
      </c>
      <c r="AS355">
        <v>-2924</v>
      </c>
      <c r="AT355">
        <v>2218</v>
      </c>
      <c r="AU355">
        <v>1706</v>
      </c>
      <c r="AV355">
        <v>100</v>
      </c>
      <c r="AW355">
        <v>17.399999999999999</v>
      </c>
      <c r="AX355">
        <v>3.1</v>
      </c>
      <c r="AY355">
        <v>0.3</v>
      </c>
      <c r="AZ355">
        <v>67.8</v>
      </c>
      <c r="BA355">
        <v>84</v>
      </c>
      <c r="BB355">
        <v>85.4</v>
      </c>
      <c r="BC355">
        <v>87.4</v>
      </c>
      <c r="BD355">
        <v>14.6</v>
      </c>
      <c r="BE355">
        <v>12.6</v>
      </c>
      <c r="BF355">
        <v>100</v>
      </c>
      <c r="BG355">
        <v>17.399999999999999</v>
      </c>
      <c r="BH355">
        <v>3.1</v>
      </c>
      <c r="BI355">
        <v>0.3</v>
      </c>
      <c r="BJ355">
        <v>67.8</v>
      </c>
      <c r="BK355">
        <v>84</v>
      </c>
      <c r="BL355">
        <v>85.4</v>
      </c>
      <c r="BM355">
        <v>87.4</v>
      </c>
      <c r="BN355">
        <v>14.6</v>
      </c>
      <c r="BO355">
        <v>12.6</v>
      </c>
      <c r="BP355">
        <v>0</v>
      </c>
      <c r="BQ355">
        <v>0</v>
      </c>
      <c r="BR355">
        <v>0</v>
      </c>
      <c r="BS355">
        <v>0</v>
      </c>
      <c r="BT355">
        <v>0</v>
      </c>
      <c r="BU355">
        <v>0</v>
      </c>
      <c r="BV355">
        <v>0</v>
      </c>
      <c r="BW355">
        <v>0</v>
      </c>
      <c r="BX355">
        <v>0</v>
      </c>
      <c r="BY355">
        <v>0</v>
      </c>
      <c r="BZ355">
        <v>30</v>
      </c>
      <c r="CA355">
        <v>4</v>
      </c>
      <c r="CB355">
        <v>2</v>
      </c>
      <c r="CC355">
        <v>2</v>
      </c>
      <c r="CD355">
        <v>23</v>
      </c>
      <c r="CE355">
        <v>13</v>
      </c>
      <c r="CF355">
        <v>28</v>
      </c>
      <c r="CG355">
        <v>16</v>
      </c>
      <c r="CH355">
        <v>30</v>
      </c>
      <c r="CI355">
        <v>4</v>
      </c>
      <c r="CJ355">
        <v>2</v>
      </c>
      <c r="CK355">
        <v>2</v>
      </c>
      <c r="CL355">
        <v>23</v>
      </c>
      <c r="CM355">
        <v>13</v>
      </c>
      <c r="CN355">
        <v>28</v>
      </c>
      <c r="CO355">
        <v>16</v>
      </c>
      <c r="CP355">
        <v>0</v>
      </c>
      <c r="CQ355">
        <v>0</v>
      </c>
      <c r="CR355">
        <v>0</v>
      </c>
      <c r="CS355">
        <v>0</v>
      </c>
      <c r="CT355">
        <v>0</v>
      </c>
      <c r="CU355">
        <v>0</v>
      </c>
      <c r="CV355">
        <v>0</v>
      </c>
      <c r="CW355">
        <v>0</v>
      </c>
      <c r="CX355">
        <v>45</v>
      </c>
      <c r="CY355">
        <v>70.8</v>
      </c>
      <c r="CZ355">
        <v>60.8</v>
      </c>
      <c r="DA355">
        <v>84.3</v>
      </c>
      <c r="DB355">
        <v>45</v>
      </c>
      <c r="DC355">
        <v>65.7</v>
      </c>
      <c r="DD355">
        <v>59.8</v>
      </c>
      <c r="DE355">
        <v>75.8</v>
      </c>
      <c r="DF355">
        <v>45</v>
      </c>
      <c r="DG355">
        <v>70.8</v>
      </c>
      <c r="DH355">
        <v>60.8</v>
      </c>
      <c r="DI355">
        <v>84.3</v>
      </c>
      <c r="DJ355">
        <v>45</v>
      </c>
      <c r="DK355">
        <v>65.7</v>
      </c>
      <c r="DL355">
        <v>59.8</v>
      </c>
      <c r="DM355">
        <v>75.8</v>
      </c>
      <c r="DN355">
        <v>0</v>
      </c>
      <c r="DO355">
        <v>0</v>
      </c>
      <c r="DP355">
        <v>0</v>
      </c>
      <c r="DQ355">
        <v>0</v>
      </c>
      <c r="DR355">
        <v>0</v>
      </c>
      <c r="DS355">
        <v>0</v>
      </c>
      <c r="DT355">
        <v>0</v>
      </c>
      <c r="DU355">
        <v>0</v>
      </c>
      <c r="DV355" t="s">
        <v>575</v>
      </c>
    </row>
    <row r="356" spans="1:126" x14ac:dyDescent="0.35">
      <c r="A356" t="s">
        <v>626</v>
      </c>
      <c r="B356">
        <v>230103</v>
      </c>
      <c r="C356" s="1">
        <v>44929</v>
      </c>
      <c r="D356" t="s">
        <v>627</v>
      </c>
      <c r="E356" t="s">
        <v>231</v>
      </c>
      <c r="F356" t="s">
        <v>185</v>
      </c>
      <c r="G356" t="s">
        <v>463</v>
      </c>
      <c r="H356">
        <v>42177</v>
      </c>
      <c r="I356" s="17">
        <v>8276</v>
      </c>
      <c r="J356" s="17">
        <v>1489</v>
      </c>
      <c r="K356">
        <v>70</v>
      </c>
      <c r="L356">
        <v>30076</v>
      </c>
      <c r="M356">
        <v>37150</v>
      </c>
      <c r="N356">
        <v>38422</v>
      </c>
      <c r="O356">
        <v>38709</v>
      </c>
      <c r="P356">
        <v>3755</v>
      </c>
      <c r="Q356">
        <v>3468</v>
      </c>
      <c r="R356">
        <v>42177</v>
      </c>
      <c r="S356">
        <v>8276</v>
      </c>
      <c r="T356">
        <v>1489</v>
      </c>
      <c r="U356">
        <v>70</v>
      </c>
      <c r="V356">
        <v>30076</v>
      </c>
      <c r="W356">
        <v>37150</v>
      </c>
      <c r="X356">
        <v>38422</v>
      </c>
      <c r="Y356">
        <v>38709</v>
      </c>
      <c r="Z356">
        <v>3755</v>
      </c>
      <c r="AA356">
        <v>3468</v>
      </c>
      <c r="AB356">
        <v>0</v>
      </c>
      <c r="AC356">
        <v>0</v>
      </c>
      <c r="AD356">
        <v>0</v>
      </c>
      <c r="AE356">
        <v>0</v>
      </c>
      <c r="AF356">
        <v>0</v>
      </c>
      <c r="AG356">
        <v>0</v>
      </c>
      <c r="AH356">
        <v>0</v>
      </c>
      <c r="AI356">
        <v>0</v>
      </c>
      <c r="AJ356">
        <v>0</v>
      </c>
      <c r="AK356">
        <v>0</v>
      </c>
      <c r="AL356">
        <v>0</v>
      </c>
      <c r="AM356">
        <v>0</v>
      </c>
      <c r="AN356">
        <v>0</v>
      </c>
      <c r="AO356">
        <v>0</v>
      </c>
      <c r="AP356">
        <v>0</v>
      </c>
      <c r="AQ356">
        <v>0</v>
      </c>
      <c r="AR356">
        <v>0</v>
      </c>
      <c r="AS356">
        <v>0</v>
      </c>
      <c r="AT356">
        <v>0</v>
      </c>
      <c r="AU356">
        <v>0</v>
      </c>
      <c r="AV356">
        <v>100</v>
      </c>
      <c r="AW356">
        <v>19.600000000000001</v>
      </c>
      <c r="AX356">
        <v>3.5</v>
      </c>
      <c r="AY356">
        <v>0.2</v>
      </c>
      <c r="AZ356">
        <v>71.3</v>
      </c>
      <c r="BA356">
        <v>88.1</v>
      </c>
      <c r="BB356">
        <v>91.1</v>
      </c>
      <c r="BC356">
        <v>91.8</v>
      </c>
      <c r="BD356">
        <v>8.9</v>
      </c>
      <c r="BE356">
        <v>8.1999999999999993</v>
      </c>
      <c r="BF356">
        <v>100</v>
      </c>
      <c r="BG356">
        <v>19.600000000000001</v>
      </c>
      <c r="BH356">
        <v>3.5</v>
      </c>
      <c r="BI356">
        <v>0.2</v>
      </c>
      <c r="BJ356">
        <v>71.3</v>
      </c>
      <c r="BK356">
        <v>88.1</v>
      </c>
      <c r="BL356">
        <v>91.1</v>
      </c>
      <c r="BM356">
        <v>91.8</v>
      </c>
      <c r="BN356">
        <v>8.9</v>
      </c>
      <c r="BO356">
        <v>8.1999999999999993</v>
      </c>
      <c r="BP356">
        <v>0</v>
      </c>
      <c r="BQ356">
        <v>0</v>
      </c>
      <c r="BR356">
        <v>0</v>
      </c>
      <c r="BS356">
        <v>0</v>
      </c>
      <c r="BT356">
        <v>0</v>
      </c>
      <c r="BU356">
        <v>0</v>
      </c>
      <c r="BV356">
        <v>0</v>
      </c>
      <c r="BW356">
        <v>0</v>
      </c>
      <c r="BX356">
        <v>0</v>
      </c>
      <c r="BY356">
        <v>0</v>
      </c>
      <c r="BZ356">
        <v>33</v>
      </c>
      <c r="CA356">
        <v>4</v>
      </c>
      <c r="CB356">
        <v>2</v>
      </c>
      <c r="CC356">
        <v>1</v>
      </c>
      <c r="CD356">
        <v>25</v>
      </c>
      <c r="CE356">
        <v>16</v>
      </c>
      <c r="CF356">
        <v>30</v>
      </c>
      <c r="CG356">
        <v>18</v>
      </c>
      <c r="CH356">
        <v>33</v>
      </c>
      <c r="CI356">
        <v>4</v>
      </c>
      <c r="CJ356">
        <v>2</v>
      </c>
      <c r="CK356">
        <v>1</v>
      </c>
      <c r="CL356">
        <v>25</v>
      </c>
      <c r="CM356">
        <v>16</v>
      </c>
      <c r="CN356">
        <v>30</v>
      </c>
      <c r="CO356">
        <v>18</v>
      </c>
      <c r="CP356">
        <v>0</v>
      </c>
      <c r="CQ356">
        <v>0</v>
      </c>
      <c r="CR356">
        <v>0</v>
      </c>
      <c r="CS356">
        <v>0</v>
      </c>
      <c r="CT356">
        <v>0</v>
      </c>
      <c r="CU356">
        <v>0</v>
      </c>
      <c r="CV356">
        <v>0</v>
      </c>
      <c r="CW356">
        <v>0</v>
      </c>
      <c r="CX356">
        <v>45.7</v>
      </c>
      <c r="CY356">
        <v>73.900000000000006</v>
      </c>
      <c r="CZ356">
        <v>65.099999999999994</v>
      </c>
      <c r="DA356">
        <v>88.4</v>
      </c>
      <c r="DB356">
        <v>45.7</v>
      </c>
      <c r="DC356">
        <v>69.7</v>
      </c>
      <c r="DD356">
        <v>61.9</v>
      </c>
      <c r="DE356">
        <v>77.8</v>
      </c>
      <c r="DF356">
        <v>45.7</v>
      </c>
      <c r="DG356">
        <v>73.900000000000006</v>
      </c>
      <c r="DH356">
        <v>65.099999999999994</v>
      </c>
      <c r="DI356">
        <v>88.4</v>
      </c>
      <c r="DJ356">
        <v>45.7</v>
      </c>
      <c r="DK356">
        <v>69.7</v>
      </c>
      <c r="DL356">
        <v>61.9</v>
      </c>
      <c r="DM356">
        <v>77.8</v>
      </c>
      <c r="DN356">
        <v>0</v>
      </c>
      <c r="DO356">
        <v>0</v>
      </c>
      <c r="DP356">
        <v>0</v>
      </c>
      <c r="DQ356">
        <v>0</v>
      </c>
      <c r="DR356">
        <v>0</v>
      </c>
      <c r="DS356">
        <v>0</v>
      </c>
      <c r="DT356">
        <v>0</v>
      </c>
      <c r="DU356">
        <v>0</v>
      </c>
      <c r="DV356" t="s">
        <v>575</v>
      </c>
    </row>
    <row r="357" spans="1:126" x14ac:dyDescent="0.35">
      <c r="A357" t="s">
        <v>628</v>
      </c>
      <c r="B357">
        <v>230110</v>
      </c>
      <c r="C357" s="1">
        <v>44936</v>
      </c>
      <c r="D357" t="s">
        <v>629</v>
      </c>
      <c r="E357" t="s">
        <v>231</v>
      </c>
      <c r="F357" t="s">
        <v>185</v>
      </c>
      <c r="G357" t="s">
        <v>463</v>
      </c>
      <c r="H357">
        <v>192332</v>
      </c>
      <c r="I357" s="17">
        <v>6112</v>
      </c>
      <c r="J357" s="17">
        <v>20863</v>
      </c>
      <c r="K357">
        <v>1225</v>
      </c>
      <c r="L357">
        <v>134436</v>
      </c>
      <c r="M357">
        <v>119680</v>
      </c>
      <c r="N357">
        <v>141773</v>
      </c>
      <c r="O357">
        <v>141768</v>
      </c>
      <c r="P357">
        <v>50559</v>
      </c>
      <c r="Q357">
        <v>50564</v>
      </c>
      <c r="R357">
        <v>192332</v>
      </c>
      <c r="S357">
        <v>6112</v>
      </c>
      <c r="T357">
        <v>20863</v>
      </c>
      <c r="U357">
        <v>1225</v>
      </c>
      <c r="V357">
        <v>134436</v>
      </c>
      <c r="W357">
        <v>119680</v>
      </c>
      <c r="X357">
        <v>141773</v>
      </c>
      <c r="Y357">
        <v>141768</v>
      </c>
      <c r="Z357">
        <v>50559</v>
      </c>
      <c r="AA357">
        <v>50564</v>
      </c>
      <c r="AB357">
        <v>0</v>
      </c>
      <c r="AC357">
        <v>0</v>
      </c>
      <c r="AD357">
        <v>0</v>
      </c>
      <c r="AE357">
        <v>0</v>
      </c>
      <c r="AF357">
        <v>0</v>
      </c>
      <c r="AG357">
        <v>0</v>
      </c>
      <c r="AH357">
        <v>0</v>
      </c>
      <c r="AI357">
        <v>0</v>
      </c>
      <c r="AJ357">
        <v>0</v>
      </c>
      <c r="AK357">
        <v>0</v>
      </c>
      <c r="AL357">
        <v>-8623</v>
      </c>
      <c r="AM357">
        <v>-435</v>
      </c>
      <c r="AN357">
        <v>-1053</v>
      </c>
      <c r="AO357">
        <v>425</v>
      </c>
      <c r="AP357">
        <v>-5145</v>
      </c>
      <c r="AQ357">
        <v>-4562</v>
      </c>
      <c r="AR357">
        <v>-5155</v>
      </c>
      <c r="AS357">
        <v>-5190</v>
      </c>
      <c r="AT357">
        <v>-3468</v>
      </c>
      <c r="AU357">
        <v>-3433</v>
      </c>
      <c r="AV357">
        <v>100</v>
      </c>
      <c r="AW357">
        <v>3.2</v>
      </c>
      <c r="AX357">
        <v>10.8</v>
      </c>
      <c r="AY357">
        <v>0.6</v>
      </c>
      <c r="AZ357">
        <v>69.900000000000006</v>
      </c>
      <c r="BA357">
        <v>62.2</v>
      </c>
      <c r="BB357">
        <v>73.7</v>
      </c>
      <c r="BC357">
        <v>73.7</v>
      </c>
      <c r="BD357">
        <v>26.3</v>
      </c>
      <c r="BE357">
        <v>26.3</v>
      </c>
      <c r="BF357">
        <v>100</v>
      </c>
      <c r="BG357">
        <v>3.2</v>
      </c>
      <c r="BH357">
        <v>10.8</v>
      </c>
      <c r="BI357">
        <v>0.6</v>
      </c>
      <c r="BJ357">
        <v>69.900000000000006</v>
      </c>
      <c r="BK357">
        <v>62.2</v>
      </c>
      <c r="BL357">
        <v>73.7</v>
      </c>
      <c r="BM357">
        <v>73.7</v>
      </c>
      <c r="BN357">
        <v>26.3</v>
      </c>
      <c r="BO357">
        <v>26.3</v>
      </c>
      <c r="BP357">
        <v>0</v>
      </c>
      <c r="BQ357">
        <v>0</v>
      </c>
      <c r="BR357">
        <v>0</v>
      </c>
      <c r="BS357">
        <v>0</v>
      </c>
      <c r="BT357">
        <v>0</v>
      </c>
      <c r="BU357">
        <v>0</v>
      </c>
      <c r="BV357">
        <v>0</v>
      </c>
      <c r="BW357">
        <v>0</v>
      </c>
      <c r="BX357">
        <v>0</v>
      </c>
      <c r="BY357">
        <v>0</v>
      </c>
      <c r="BZ357">
        <v>46</v>
      </c>
      <c r="CA357">
        <v>2</v>
      </c>
      <c r="CB357">
        <v>6</v>
      </c>
      <c r="CC357">
        <v>3</v>
      </c>
      <c r="CD357">
        <v>33</v>
      </c>
      <c r="CE357">
        <v>36</v>
      </c>
      <c r="CF357">
        <v>37</v>
      </c>
      <c r="CG357">
        <v>43</v>
      </c>
      <c r="CH357">
        <v>46</v>
      </c>
      <c r="CI357">
        <v>2</v>
      </c>
      <c r="CJ357">
        <v>6</v>
      </c>
      <c r="CK357">
        <v>3</v>
      </c>
      <c r="CL357">
        <v>33</v>
      </c>
      <c r="CM357">
        <v>36</v>
      </c>
      <c r="CN357">
        <v>37</v>
      </c>
      <c r="CO357">
        <v>43</v>
      </c>
      <c r="CP357">
        <v>0</v>
      </c>
      <c r="CQ357">
        <v>0</v>
      </c>
      <c r="CR357">
        <v>0</v>
      </c>
      <c r="CS357">
        <v>0</v>
      </c>
      <c r="CT357">
        <v>0</v>
      </c>
      <c r="CU357">
        <v>0</v>
      </c>
      <c r="CV357">
        <v>0</v>
      </c>
      <c r="CW357">
        <v>0</v>
      </c>
      <c r="CX357">
        <v>36.6</v>
      </c>
      <c r="CY357">
        <v>27.7</v>
      </c>
      <c r="CZ357">
        <v>52.8</v>
      </c>
      <c r="DA357">
        <v>45</v>
      </c>
      <c r="DB357">
        <v>26.7</v>
      </c>
      <c r="DC357">
        <v>25.9</v>
      </c>
      <c r="DD357">
        <v>37.1</v>
      </c>
      <c r="DE357">
        <v>35.700000000000003</v>
      </c>
      <c r="DF357">
        <v>36.6</v>
      </c>
      <c r="DG357">
        <v>27.7</v>
      </c>
      <c r="DH357">
        <v>52.8</v>
      </c>
      <c r="DI357">
        <v>45</v>
      </c>
      <c r="DJ357">
        <v>26.7</v>
      </c>
      <c r="DK357">
        <v>25.9</v>
      </c>
      <c r="DL357">
        <v>37.1</v>
      </c>
      <c r="DM357">
        <v>35.700000000000003</v>
      </c>
      <c r="DN357">
        <v>0</v>
      </c>
      <c r="DO357">
        <v>0</v>
      </c>
      <c r="DP357">
        <v>0</v>
      </c>
      <c r="DQ357">
        <v>0</v>
      </c>
      <c r="DR357">
        <v>0</v>
      </c>
      <c r="DS357">
        <v>0</v>
      </c>
      <c r="DT357">
        <v>0</v>
      </c>
      <c r="DU357">
        <v>0</v>
      </c>
      <c r="DV357" t="s">
        <v>575</v>
      </c>
    </row>
    <row r="358" spans="1:126" x14ac:dyDescent="0.35">
      <c r="A358" t="s">
        <v>628</v>
      </c>
      <c r="B358">
        <v>230103</v>
      </c>
      <c r="C358" s="1">
        <v>44929</v>
      </c>
      <c r="D358" t="s">
        <v>629</v>
      </c>
      <c r="E358" t="s">
        <v>231</v>
      </c>
      <c r="F358" t="s">
        <v>185</v>
      </c>
      <c r="G358" t="s">
        <v>463</v>
      </c>
      <c r="H358">
        <v>200955</v>
      </c>
      <c r="I358" s="17">
        <v>6547</v>
      </c>
      <c r="J358" s="17">
        <v>21916</v>
      </c>
      <c r="K358">
        <v>800</v>
      </c>
      <c r="L358">
        <v>139581</v>
      </c>
      <c r="M358">
        <v>124242</v>
      </c>
      <c r="N358">
        <v>146928</v>
      </c>
      <c r="O358">
        <v>146958</v>
      </c>
      <c r="P358">
        <v>54027</v>
      </c>
      <c r="Q358">
        <v>53997</v>
      </c>
      <c r="R358">
        <v>200955</v>
      </c>
      <c r="S358">
        <v>6547</v>
      </c>
      <c r="T358">
        <v>21916</v>
      </c>
      <c r="U358">
        <v>800</v>
      </c>
      <c r="V358">
        <v>139581</v>
      </c>
      <c r="W358">
        <v>124242</v>
      </c>
      <c r="X358">
        <v>146928</v>
      </c>
      <c r="Y358">
        <v>146958</v>
      </c>
      <c r="Z358">
        <v>54027</v>
      </c>
      <c r="AA358">
        <v>53997</v>
      </c>
      <c r="AB358">
        <v>0</v>
      </c>
      <c r="AC358">
        <v>0</v>
      </c>
      <c r="AD358">
        <v>0</v>
      </c>
      <c r="AE358">
        <v>0</v>
      </c>
      <c r="AF358">
        <v>0</v>
      </c>
      <c r="AG358">
        <v>0</v>
      </c>
      <c r="AH358">
        <v>0</v>
      </c>
      <c r="AI358">
        <v>0</v>
      </c>
      <c r="AJ358">
        <v>0</v>
      </c>
      <c r="AK358">
        <v>0</v>
      </c>
      <c r="AL358">
        <v>1909</v>
      </c>
      <c r="AM358">
        <v>25</v>
      </c>
      <c r="AN358">
        <v>-225</v>
      </c>
      <c r="AO358">
        <v>175</v>
      </c>
      <c r="AP358">
        <v>883</v>
      </c>
      <c r="AQ358">
        <v>1133</v>
      </c>
      <c r="AR358">
        <v>1083</v>
      </c>
      <c r="AS358">
        <v>1083</v>
      </c>
      <c r="AT358">
        <v>826</v>
      </c>
      <c r="AU358">
        <v>826</v>
      </c>
      <c r="AV358">
        <v>100</v>
      </c>
      <c r="AW358">
        <v>3.3</v>
      </c>
      <c r="AX358">
        <v>10.9</v>
      </c>
      <c r="AY358">
        <v>0.4</v>
      </c>
      <c r="AZ358">
        <v>69.5</v>
      </c>
      <c r="BA358">
        <v>61.8</v>
      </c>
      <c r="BB358">
        <v>73.099999999999994</v>
      </c>
      <c r="BC358">
        <v>73.099999999999994</v>
      </c>
      <c r="BD358">
        <v>26.9</v>
      </c>
      <c r="BE358">
        <v>26.9</v>
      </c>
      <c r="BF358">
        <v>100</v>
      </c>
      <c r="BG358">
        <v>3.3</v>
      </c>
      <c r="BH358">
        <v>10.9</v>
      </c>
      <c r="BI358">
        <v>0.4</v>
      </c>
      <c r="BJ358">
        <v>69.5</v>
      </c>
      <c r="BK358">
        <v>61.8</v>
      </c>
      <c r="BL358">
        <v>73.099999999999994</v>
      </c>
      <c r="BM358">
        <v>73.099999999999994</v>
      </c>
      <c r="BN358">
        <v>26.9</v>
      </c>
      <c r="BO358">
        <v>26.9</v>
      </c>
      <c r="BP358">
        <v>0</v>
      </c>
      <c r="BQ358">
        <v>0</v>
      </c>
      <c r="BR358">
        <v>0</v>
      </c>
      <c r="BS358">
        <v>0</v>
      </c>
      <c r="BT358">
        <v>0</v>
      </c>
      <c r="BU358">
        <v>0</v>
      </c>
      <c r="BV358">
        <v>0</v>
      </c>
      <c r="BW358">
        <v>0</v>
      </c>
      <c r="BX358">
        <v>0</v>
      </c>
      <c r="BY358">
        <v>0</v>
      </c>
      <c r="BZ358">
        <v>48</v>
      </c>
      <c r="CA358">
        <v>3</v>
      </c>
      <c r="CB358">
        <v>6</v>
      </c>
      <c r="CC358">
        <v>2</v>
      </c>
      <c r="CD358">
        <v>34</v>
      </c>
      <c r="CE358">
        <v>36</v>
      </c>
      <c r="CF358">
        <v>38</v>
      </c>
      <c r="CG358">
        <v>43</v>
      </c>
      <c r="CH358">
        <v>48</v>
      </c>
      <c r="CI358">
        <v>3</v>
      </c>
      <c r="CJ358">
        <v>6</v>
      </c>
      <c r="CK358">
        <v>2</v>
      </c>
      <c r="CL358">
        <v>34</v>
      </c>
      <c r="CM358">
        <v>36</v>
      </c>
      <c r="CN358">
        <v>38</v>
      </c>
      <c r="CO358">
        <v>43</v>
      </c>
      <c r="CP358">
        <v>0</v>
      </c>
      <c r="CQ358">
        <v>0</v>
      </c>
      <c r="CR358">
        <v>0</v>
      </c>
      <c r="CS358">
        <v>0</v>
      </c>
      <c r="CT358">
        <v>0</v>
      </c>
      <c r="CU358">
        <v>0</v>
      </c>
      <c r="CV358">
        <v>0</v>
      </c>
      <c r="CW358">
        <v>0</v>
      </c>
      <c r="CX358">
        <v>35</v>
      </c>
      <c r="CY358">
        <v>27.9</v>
      </c>
      <c r="CZ358">
        <v>51.9</v>
      </c>
      <c r="DA358">
        <v>44.5</v>
      </c>
      <c r="DB358">
        <v>25.6</v>
      </c>
      <c r="DC358">
        <v>25.9</v>
      </c>
      <c r="DD358">
        <v>36.700000000000003</v>
      </c>
      <c r="DE358">
        <v>35.4</v>
      </c>
      <c r="DF358">
        <v>35</v>
      </c>
      <c r="DG358">
        <v>27.9</v>
      </c>
      <c r="DH358">
        <v>51.9</v>
      </c>
      <c r="DI358">
        <v>44.5</v>
      </c>
      <c r="DJ358">
        <v>25.6</v>
      </c>
      <c r="DK358">
        <v>25.9</v>
      </c>
      <c r="DL358">
        <v>36.700000000000003</v>
      </c>
      <c r="DM358">
        <v>35.4</v>
      </c>
      <c r="DN358">
        <v>0</v>
      </c>
      <c r="DO358">
        <v>0</v>
      </c>
      <c r="DP358">
        <v>0</v>
      </c>
      <c r="DQ358">
        <v>0</v>
      </c>
      <c r="DR358">
        <v>0</v>
      </c>
      <c r="DS358">
        <v>0</v>
      </c>
      <c r="DT358">
        <v>0</v>
      </c>
      <c r="DU358">
        <v>0</v>
      </c>
      <c r="DV358" t="s">
        <v>575</v>
      </c>
    </row>
    <row r="359" spans="1:126" x14ac:dyDescent="0.35">
      <c r="A359" t="s">
        <v>630</v>
      </c>
      <c r="B359">
        <v>230110</v>
      </c>
      <c r="C359" s="1">
        <v>44936</v>
      </c>
      <c r="D359" t="s">
        <v>631</v>
      </c>
      <c r="E359" t="s">
        <v>231</v>
      </c>
      <c r="F359" t="s">
        <v>185</v>
      </c>
      <c r="G359" t="s">
        <v>463</v>
      </c>
      <c r="H359">
        <v>177027</v>
      </c>
      <c r="I359" s="17">
        <v>5393</v>
      </c>
      <c r="J359" s="17">
        <v>17852</v>
      </c>
      <c r="K359">
        <v>610</v>
      </c>
      <c r="L359">
        <v>127453</v>
      </c>
      <c r="M359">
        <v>114949</v>
      </c>
      <c r="N359">
        <v>133456</v>
      </c>
      <c r="O359">
        <v>133411</v>
      </c>
      <c r="P359">
        <v>43571</v>
      </c>
      <c r="Q359">
        <v>43616</v>
      </c>
      <c r="R359">
        <v>177027</v>
      </c>
      <c r="S359">
        <v>5393</v>
      </c>
      <c r="T359">
        <v>17852</v>
      </c>
      <c r="U359">
        <v>610</v>
      </c>
      <c r="V359">
        <v>127453</v>
      </c>
      <c r="W359">
        <v>114949</v>
      </c>
      <c r="X359">
        <v>133456</v>
      </c>
      <c r="Y359">
        <v>133411</v>
      </c>
      <c r="Z359">
        <v>43571</v>
      </c>
      <c r="AA359">
        <v>43616</v>
      </c>
      <c r="AB359">
        <v>0</v>
      </c>
      <c r="AC359">
        <v>0</v>
      </c>
      <c r="AD359">
        <v>0</v>
      </c>
      <c r="AE359">
        <v>0</v>
      </c>
      <c r="AF359">
        <v>0</v>
      </c>
      <c r="AG359">
        <v>0</v>
      </c>
      <c r="AH359">
        <v>0</v>
      </c>
      <c r="AI359">
        <v>0</v>
      </c>
      <c r="AJ359">
        <v>0</v>
      </c>
      <c r="AK359">
        <v>0</v>
      </c>
      <c r="AL359">
        <v>-8119</v>
      </c>
      <c r="AM359">
        <v>-1150</v>
      </c>
      <c r="AN359">
        <v>-1527</v>
      </c>
      <c r="AO359">
        <v>415</v>
      </c>
      <c r="AP359">
        <v>-4162</v>
      </c>
      <c r="AQ359">
        <v>-3800</v>
      </c>
      <c r="AR359">
        <v>-4897</v>
      </c>
      <c r="AS359">
        <v>-4912</v>
      </c>
      <c r="AT359">
        <v>-3222</v>
      </c>
      <c r="AU359">
        <v>-3207</v>
      </c>
      <c r="AV359">
        <v>100</v>
      </c>
      <c r="AW359">
        <v>3</v>
      </c>
      <c r="AX359">
        <v>10.1</v>
      </c>
      <c r="AY359">
        <v>0.3</v>
      </c>
      <c r="AZ359">
        <v>72</v>
      </c>
      <c r="BA359">
        <v>64.900000000000006</v>
      </c>
      <c r="BB359">
        <v>75.400000000000006</v>
      </c>
      <c r="BC359">
        <v>75.400000000000006</v>
      </c>
      <c r="BD359">
        <v>24.6</v>
      </c>
      <c r="BE359">
        <v>24.6</v>
      </c>
      <c r="BF359">
        <v>100</v>
      </c>
      <c r="BG359">
        <v>3</v>
      </c>
      <c r="BH359">
        <v>10.1</v>
      </c>
      <c r="BI359">
        <v>0.3</v>
      </c>
      <c r="BJ359">
        <v>72</v>
      </c>
      <c r="BK359">
        <v>64.900000000000006</v>
      </c>
      <c r="BL359">
        <v>75.400000000000006</v>
      </c>
      <c r="BM359">
        <v>75.400000000000006</v>
      </c>
      <c r="BN359">
        <v>24.6</v>
      </c>
      <c r="BO359">
        <v>24.6</v>
      </c>
      <c r="BP359">
        <v>0</v>
      </c>
      <c r="BQ359">
        <v>0</v>
      </c>
      <c r="BR359">
        <v>0</v>
      </c>
      <c r="BS359">
        <v>0</v>
      </c>
      <c r="BT359">
        <v>0</v>
      </c>
      <c r="BU359">
        <v>0</v>
      </c>
      <c r="BV359">
        <v>0</v>
      </c>
      <c r="BW359">
        <v>0</v>
      </c>
      <c r="BX359">
        <v>0</v>
      </c>
      <c r="BY359">
        <v>0</v>
      </c>
      <c r="BZ359">
        <v>44</v>
      </c>
      <c r="CA359">
        <v>2</v>
      </c>
      <c r="CB359">
        <v>6</v>
      </c>
      <c r="CC359">
        <v>2</v>
      </c>
      <c r="CD359">
        <v>32</v>
      </c>
      <c r="CE359">
        <v>33</v>
      </c>
      <c r="CF359">
        <v>35</v>
      </c>
      <c r="CG359">
        <v>40</v>
      </c>
      <c r="CH359">
        <v>44</v>
      </c>
      <c r="CI359">
        <v>2</v>
      </c>
      <c r="CJ359">
        <v>6</v>
      </c>
      <c r="CK359">
        <v>2</v>
      </c>
      <c r="CL359">
        <v>32</v>
      </c>
      <c r="CM359">
        <v>33</v>
      </c>
      <c r="CN359">
        <v>35</v>
      </c>
      <c r="CO359">
        <v>40</v>
      </c>
      <c r="CP359">
        <v>0</v>
      </c>
      <c r="CQ359">
        <v>0</v>
      </c>
      <c r="CR359">
        <v>0</v>
      </c>
      <c r="CS359">
        <v>0</v>
      </c>
      <c r="CT359">
        <v>0</v>
      </c>
      <c r="CU359">
        <v>0</v>
      </c>
      <c r="CV359">
        <v>0</v>
      </c>
      <c r="CW359">
        <v>0</v>
      </c>
      <c r="CX359">
        <v>37.200000000000003</v>
      </c>
      <c r="CY359">
        <v>28.7</v>
      </c>
      <c r="CZ359">
        <v>55.2</v>
      </c>
      <c r="DA359">
        <v>46.7</v>
      </c>
      <c r="DB359">
        <v>28.1</v>
      </c>
      <c r="DC359">
        <v>26.9</v>
      </c>
      <c r="DD359">
        <v>40</v>
      </c>
      <c r="DE359">
        <v>35.200000000000003</v>
      </c>
      <c r="DF359">
        <v>37.200000000000003</v>
      </c>
      <c r="DG359">
        <v>28.7</v>
      </c>
      <c r="DH359">
        <v>55.2</v>
      </c>
      <c r="DI359">
        <v>46.7</v>
      </c>
      <c r="DJ359">
        <v>28.1</v>
      </c>
      <c r="DK359">
        <v>26.9</v>
      </c>
      <c r="DL359">
        <v>40</v>
      </c>
      <c r="DM359">
        <v>35.200000000000003</v>
      </c>
      <c r="DN359">
        <v>0</v>
      </c>
      <c r="DO359">
        <v>0</v>
      </c>
      <c r="DP359">
        <v>0</v>
      </c>
      <c r="DQ359">
        <v>0</v>
      </c>
      <c r="DR359">
        <v>0</v>
      </c>
      <c r="DS359">
        <v>0</v>
      </c>
      <c r="DT359">
        <v>0</v>
      </c>
      <c r="DU359">
        <v>0</v>
      </c>
      <c r="DV359" t="s">
        <v>575</v>
      </c>
    </row>
    <row r="360" spans="1:126" x14ac:dyDescent="0.35">
      <c r="A360" t="s">
        <v>630</v>
      </c>
      <c r="B360">
        <v>230103</v>
      </c>
      <c r="C360" s="1">
        <v>44929</v>
      </c>
      <c r="D360" t="s">
        <v>631</v>
      </c>
      <c r="E360" t="s">
        <v>231</v>
      </c>
      <c r="F360" t="s">
        <v>185</v>
      </c>
      <c r="G360" t="s">
        <v>463</v>
      </c>
      <c r="H360">
        <v>185146</v>
      </c>
      <c r="I360" s="17">
        <v>6543</v>
      </c>
      <c r="J360" s="17">
        <v>19379</v>
      </c>
      <c r="K360">
        <v>195</v>
      </c>
      <c r="L360">
        <v>131615</v>
      </c>
      <c r="M360">
        <v>118749</v>
      </c>
      <c r="N360">
        <v>138353</v>
      </c>
      <c r="O360">
        <v>138323</v>
      </c>
      <c r="P360">
        <v>46793</v>
      </c>
      <c r="Q360">
        <v>46823</v>
      </c>
      <c r="R360">
        <v>185146</v>
      </c>
      <c r="S360">
        <v>6543</v>
      </c>
      <c r="T360">
        <v>19379</v>
      </c>
      <c r="U360">
        <v>195</v>
      </c>
      <c r="V360">
        <v>131615</v>
      </c>
      <c r="W360">
        <v>118749</v>
      </c>
      <c r="X360">
        <v>138353</v>
      </c>
      <c r="Y360">
        <v>138323</v>
      </c>
      <c r="Z360">
        <v>46793</v>
      </c>
      <c r="AA360">
        <v>46823</v>
      </c>
      <c r="AB360">
        <v>0</v>
      </c>
      <c r="AC360">
        <v>0</v>
      </c>
      <c r="AD360">
        <v>0</v>
      </c>
      <c r="AE360">
        <v>0</v>
      </c>
      <c r="AF360">
        <v>0</v>
      </c>
      <c r="AG360">
        <v>0</v>
      </c>
      <c r="AH360">
        <v>0</v>
      </c>
      <c r="AI360">
        <v>0</v>
      </c>
      <c r="AJ360">
        <v>0</v>
      </c>
      <c r="AK360">
        <v>0</v>
      </c>
      <c r="AL360">
        <v>1512</v>
      </c>
      <c r="AM360">
        <v>25</v>
      </c>
      <c r="AN360">
        <v>-300</v>
      </c>
      <c r="AO360">
        <v>20</v>
      </c>
      <c r="AP360">
        <v>627</v>
      </c>
      <c r="AQ360">
        <v>952</v>
      </c>
      <c r="AR360">
        <v>672</v>
      </c>
      <c r="AS360">
        <v>672</v>
      </c>
      <c r="AT360">
        <v>840</v>
      </c>
      <c r="AU360">
        <v>840</v>
      </c>
      <c r="AV360">
        <v>100</v>
      </c>
      <c r="AW360">
        <v>3.5</v>
      </c>
      <c r="AX360">
        <v>10.5</v>
      </c>
      <c r="AY360">
        <v>0.1</v>
      </c>
      <c r="AZ360">
        <v>71.099999999999994</v>
      </c>
      <c r="BA360">
        <v>64.099999999999994</v>
      </c>
      <c r="BB360">
        <v>74.7</v>
      </c>
      <c r="BC360">
        <v>74.7</v>
      </c>
      <c r="BD360">
        <v>25.3</v>
      </c>
      <c r="BE360">
        <v>25.3</v>
      </c>
      <c r="BF360">
        <v>100</v>
      </c>
      <c r="BG360">
        <v>3.5</v>
      </c>
      <c r="BH360">
        <v>10.5</v>
      </c>
      <c r="BI360">
        <v>0.1</v>
      </c>
      <c r="BJ360">
        <v>71.099999999999994</v>
      </c>
      <c r="BK360">
        <v>64.099999999999994</v>
      </c>
      <c r="BL360">
        <v>74.7</v>
      </c>
      <c r="BM360">
        <v>74.7</v>
      </c>
      <c r="BN360">
        <v>25.3</v>
      </c>
      <c r="BO360">
        <v>25.3</v>
      </c>
      <c r="BP360">
        <v>0</v>
      </c>
      <c r="BQ360">
        <v>0</v>
      </c>
      <c r="BR360">
        <v>0</v>
      </c>
      <c r="BS360">
        <v>0</v>
      </c>
      <c r="BT360">
        <v>0</v>
      </c>
      <c r="BU360">
        <v>0</v>
      </c>
      <c r="BV360">
        <v>0</v>
      </c>
      <c r="BW360">
        <v>0</v>
      </c>
      <c r="BX360">
        <v>0</v>
      </c>
      <c r="BY360">
        <v>0</v>
      </c>
      <c r="BZ360">
        <v>46</v>
      </c>
      <c r="CA360">
        <v>3</v>
      </c>
      <c r="CB360">
        <v>6</v>
      </c>
      <c r="CC360">
        <v>2</v>
      </c>
      <c r="CD360">
        <v>33</v>
      </c>
      <c r="CE360">
        <v>34</v>
      </c>
      <c r="CF360">
        <v>36</v>
      </c>
      <c r="CG360">
        <v>42</v>
      </c>
      <c r="CH360">
        <v>46</v>
      </c>
      <c r="CI360">
        <v>3</v>
      </c>
      <c r="CJ360">
        <v>6</v>
      </c>
      <c r="CK360">
        <v>2</v>
      </c>
      <c r="CL360">
        <v>33</v>
      </c>
      <c r="CM360">
        <v>34</v>
      </c>
      <c r="CN360">
        <v>36</v>
      </c>
      <c r="CO360">
        <v>42</v>
      </c>
      <c r="CP360">
        <v>0</v>
      </c>
      <c r="CQ360">
        <v>0</v>
      </c>
      <c r="CR360">
        <v>0</v>
      </c>
      <c r="CS360">
        <v>0</v>
      </c>
      <c r="CT360">
        <v>0</v>
      </c>
      <c r="CU360">
        <v>0</v>
      </c>
      <c r="CV360">
        <v>0</v>
      </c>
      <c r="CW360">
        <v>0</v>
      </c>
      <c r="CX360">
        <v>34.9</v>
      </c>
      <c r="CY360">
        <v>29</v>
      </c>
      <c r="CZ360">
        <v>53.6</v>
      </c>
      <c r="DA360">
        <v>46.8</v>
      </c>
      <c r="DB360">
        <v>28.3</v>
      </c>
      <c r="DC360">
        <v>26.6</v>
      </c>
      <c r="DD360">
        <v>38.6</v>
      </c>
      <c r="DE360">
        <v>34.9</v>
      </c>
      <c r="DF360">
        <v>34.9</v>
      </c>
      <c r="DG360">
        <v>29</v>
      </c>
      <c r="DH360">
        <v>53.6</v>
      </c>
      <c r="DI360">
        <v>46.8</v>
      </c>
      <c r="DJ360">
        <v>28.3</v>
      </c>
      <c r="DK360">
        <v>26.6</v>
      </c>
      <c r="DL360">
        <v>38.6</v>
      </c>
      <c r="DM360">
        <v>34.9</v>
      </c>
      <c r="DN360">
        <v>0</v>
      </c>
      <c r="DO360">
        <v>0</v>
      </c>
      <c r="DP360">
        <v>0</v>
      </c>
      <c r="DQ360">
        <v>0</v>
      </c>
      <c r="DR360">
        <v>0</v>
      </c>
      <c r="DS360">
        <v>0</v>
      </c>
      <c r="DT360">
        <v>0</v>
      </c>
      <c r="DU360">
        <v>0</v>
      </c>
      <c r="DV360" t="s">
        <v>575</v>
      </c>
    </row>
    <row r="361" spans="1:126" x14ac:dyDescent="0.35">
      <c r="A361" t="s">
        <v>632</v>
      </c>
      <c r="B361">
        <v>230110</v>
      </c>
      <c r="C361" s="1">
        <v>44936</v>
      </c>
      <c r="D361" t="s">
        <v>633</v>
      </c>
      <c r="E361" t="s">
        <v>231</v>
      </c>
      <c r="F361" t="s">
        <v>185</v>
      </c>
      <c r="G361" t="s">
        <v>463</v>
      </c>
      <c r="H361">
        <v>48517</v>
      </c>
      <c r="I361" s="17">
        <v>5</v>
      </c>
      <c r="J361" s="17">
        <v>450</v>
      </c>
      <c r="K361">
        <v>105</v>
      </c>
      <c r="L361">
        <v>42352</v>
      </c>
      <c r="M361">
        <v>41512</v>
      </c>
      <c r="N361">
        <v>42462</v>
      </c>
      <c r="O361">
        <v>42067</v>
      </c>
      <c r="P361">
        <v>6055</v>
      </c>
      <c r="Q361">
        <v>6450</v>
      </c>
      <c r="R361">
        <v>48517</v>
      </c>
      <c r="S361">
        <v>5</v>
      </c>
      <c r="T361">
        <v>450</v>
      </c>
      <c r="U361">
        <v>105</v>
      </c>
      <c r="V361">
        <v>42352</v>
      </c>
      <c r="W361">
        <v>41512</v>
      </c>
      <c r="X361">
        <v>42462</v>
      </c>
      <c r="Y361">
        <v>42067</v>
      </c>
      <c r="Z361">
        <v>6055</v>
      </c>
      <c r="AA361">
        <v>6450</v>
      </c>
      <c r="AB361">
        <v>0</v>
      </c>
      <c r="AC361">
        <v>0</v>
      </c>
      <c r="AD361">
        <v>0</v>
      </c>
      <c r="AE361">
        <v>0</v>
      </c>
      <c r="AF361">
        <v>0</v>
      </c>
      <c r="AG361">
        <v>0</v>
      </c>
      <c r="AH361">
        <v>0</v>
      </c>
      <c r="AI361">
        <v>0</v>
      </c>
      <c r="AJ361">
        <v>0</v>
      </c>
      <c r="AK361">
        <v>0</v>
      </c>
      <c r="AL361">
        <v>-1726</v>
      </c>
      <c r="AM361">
        <v>5</v>
      </c>
      <c r="AN361">
        <v>-530</v>
      </c>
      <c r="AO361">
        <v>-5</v>
      </c>
      <c r="AP361">
        <v>-1186</v>
      </c>
      <c r="AQ361">
        <v>-706</v>
      </c>
      <c r="AR361">
        <v>-1186</v>
      </c>
      <c r="AS361">
        <v>-1241</v>
      </c>
      <c r="AT361">
        <v>-540</v>
      </c>
      <c r="AU361">
        <v>-485</v>
      </c>
      <c r="AV361">
        <v>100</v>
      </c>
      <c r="AW361">
        <v>0</v>
      </c>
      <c r="AX361">
        <v>0.9</v>
      </c>
      <c r="AY361">
        <v>0.2</v>
      </c>
      <c r="AZ361">
        <v>87.3</v>
      </c>
      <c r="BA361">
        <v>85.6</v>
      </c>
      <c r="BB361">
        <v>87.5</v>
      </c>
      <c r="BC361">
        <v>86.7</v>
      </c>
      <c r="BD361">
        <v>12.5</v>
      </c>
      <c r="BE361">
        <v>13.3</v>
      </c>
      <c r="BF361">
        <v>100</v>
      </c>
      <c r="BG361">
        <v>0</v>
      </c>
      <c r="BH361">
        <v>0.9</v>
      </c>
      <c r="BI361">
        <v>0.2</v>
      </c>
      <c r="BJ361">
        <v>87.3</v>
      </c>
      <c r="BK361">
        <v>85.6</v>
      </c>
      <c r="BL361">
        <v>87.5</v>
      </c>
      <c r="BM361">
        <v>86.7</v>
      </c>
      <c r="BN361">
        <v>12.5</v>
      </c>
      <c r="BO361">
        <v>13.3</v>
      </c>
      <c r="BP361">
        <v>0</v>
      </c>
      <c r="BQ361">
        <v>0</v>
      </c>
      <c r="BR361">
        <v>0</v>
      </c>
      <c r="BS361">
        <v>0</v>
      </c>
      <c r="BT361">
        <v>0</v>
      </c>
      <c r="BU361">
        <v>0</v>
      </c>
      <c r="BV361">
        <v>0</v>
      </c>
      <c r="BW361">
        <v>0</v>
      </c>
      <c r="BX361">
        <v>0</v>
      </c>
      <c r="BY361">
        <v>0</v>
      </c>
      <c r="BZ361">
        <v>31</v>
      </c>
      <c r="CA361">
        <v>1</v>
      </c>
      <c r="CB361">
        <v>1</v>
      </c>
      <c r="CC361">
        <v>2</v>
      </c>
      <c r="CD361">
        <v>25</v>
      </c>
      <c r="CE361">
        <v>25</v>
      </c>
      <c r="CF361">
        <v>27</v>
      </c>
      <c r="CG361">
        <v>28</v>
      </c>
      <c r="CH361">
        <v>31</v>
      </c>
      <c r="CI361">
        <v>1</v>
      </c>
      <c r="CJ361">
        <v>1</v>
      </c>
      <c r="CK361">
        <v>2</v>
      </c>
      <c r="CL361">
        <v>25</v>
      </c>
      <c r="CM361">
        <v>25</v>
      </c>
      <c r="CN361">
        <v>27</v>
      </c>
      <c r="CO361">
        <v>28</v>
      </c>
      <c r="CP361">
        <v>0</v>
      </c>
      <c r="CQ361">
        <v>0</v>
      </c>
      <c r="CR361">
        <v>0</v>
      </c>
      <c r="CS361">
        <v>0</v>
      </c>
      <c r="CT361">
        <v>0</v>
      </c>
      <c r="CU361">
        <v>0</v>
      </c>
      <c r="CV361">
        <v>0</v>
      </c>
      <c r="CW361">
        <v>0</v>
      </c>
      <c r="CX361">
        <v>54.1</v>
      </c>
      <c r="CY361">
        <v>36.6</v>
      </c>
      <c r="CZ361">
        <v>73.099999999999994</v>
      </c>
      <c r="DA361">
        <v>58</v>
      </c>
      <c r="DB361">
        <v>46.5</v>
      </c>
      <c r="DC361">
        <v>32.200000000000003</v>
      </c>
      <c r="DD361">
        <v>55</v>
      </c>
      <c r="DE361">
        <v>47.6</v>
      </c>
      <c r="DF361">
        <v>54.1</v>
      </c>
      <c r="DG361">
        <v>36.6</v>
      </c>
      <c r="DH361">
        <v>73.099999999999994</v>
      </c>
      <c r="DI361">
        <v>58</v>
      </c>
      <c r="DJ361">
        <v>46.5</v>
      </c>
      <c r="DK361">
        <v>32.200000000000003</v>
      </c>
      <c r="DL361">
        <v>55</v>
      </c>
      <c r="DM361">
        <v>47.6</v>
      </c>
      <c r="DN361">
        <v>0</v>
      </c>
      <c r="DO361">
        <v>0</v>
      </c>
      <c r="DP361">
        <v>0</v>
      </c>
      <c r="DQ361">
        <v>0</v>
      </c>
      <c r="DR361">
        <v>0</v>
      </c>
      <c r="DS361">
        <v>0</v>
      </c>
      <c r="DT361">
        <v>0</v>
      </c>
      <c r="DU361">
        <v>0</v>
      </c>
      <c r="DV361" t="s">
        <v>575</v>
      </c>
    </row>
    <row r="362" spans="1:126" x14ac:dyDescent="0.35">
      <c r="A362" t="s">
        <v>632</v>
      </c>
      <c r="B362">
        <v>230103</v>
      </c>
      <c r="C362" s="1">
        <v>44929</v>
      </c>
      <c r="D362" t="s">
        <v>633</v>
      </c>
      <c r="E362" t="s">
        <v>231</v>
      </c>
      <c r="F362" t="s">
        <v>185</v>
      </c>
      <c r="G362" t="s">
        <v>463</v>
      </c>
      <c r="H362">
        <v>50243</v>
      </c>
      <c r="I362" s="17">
        <v>0</v>
      </c>
      <c r="J362" s="17">
        <v>980</v>
      </c>
      <c r="K362">
        <v>110</v>
      </c>
      <c r="L362">
        <v>43538</v>
      </c>
      <c r="M362">
        <v>42218</v>
      </c>
      <c r="N362">
        <v>43648</v>
      </c>
      <c r="O362">
        <v>43308</v>
      </c>
      <c r="P362">
        <v>6595</v>
      </c>
      <c r="Q362">
        <v>6935</v>
      </c>
      <c r="R362">
        <v>50243</v>
      </c>
      <c r="S362">
        <v>0</v>
      </c>
      <c r="T362">
        <v>980</v>
      </c>
      <c r="U362">
        <v>110</v>
      </c>
      <c r="V362">
        <v>43538</v>
      </c>
      <c r="W362">
        <v>42218</v>
      </c>
      <c r="X362">
        <v>43648</v>
      </c>
      <c r="Y362">
        <v>43308</v>
      </c>
      <c r="Z362">
        <v>6595</v>
      </c>
      <c r="AA362">
        <v>6935</v>
      </c>
      <c r="AB362">
        <v>0</v>
      </c>
      <c r="AC362">
        <v>0</v>
      </c>
      <c r="AD362">
        <v>0</v>
      </c>
      <c r="AE362">
        <v>0</v>
      </c>
      <c r="AF362">
        <v>0</v>
      </c>
      <c r="AG362">
        <v>0</v>
      </c>
      <c r="AH362">
        <v>0</v>
      </c>
      <c r="AI362">
        <v>0</v>
      </c>
      <c r="AJ362">
        <v>0</v>
      </c>
      <c r="AK362">
        <v>0</v>
      </c>
      <c r="AL362">
        <v>-40</v>
      </c>
      <c r="AM362">
        <v>0</v>
      </c>
      <c r="AN362">
        <v>-200</v>
      </c>
      <c r="AO362">
        <v>40</v>
      </c>
      <c r="AP362">
        <v>-10</v>
      </c>
      <c r="AQ362">
        <v>190</v>
      </c>
      <c r="AR362">
        <v>30</v>
      </c>
      <c r="AS362">
        <v>30</v>
      </c>
      <c r="AT362">
        <v>-70</v>
      </c>
      <c r="AU362">
        <v>-70</v>
      </c>
      <c r="AV362">
        <v>100</v>
      </c>
      <c r="AW362">
        <v>0</v>
      </c>
      <c r="AX362">
        <v>2</v>
      </c>
      <c r="AY362">
        <v>0.2</v>
      </c>
      <c r="AZ362">
        <v>86.7</v>
      </c>
      <c r="BA362">
        <v>84</v>
      </c>
      <c r="BB362">
        <v>86.9</v>
      </c>
      <c r="BC362">
        <v>86.2</v>
      </c>
      <c r="BD362">
        <v>13.1</v>
      </c>
      <c r="BE362">
        <v>13.8</v>
      </c>
      <c r="BF362">
        <v>100</v>
      </c>
      <c r="BG362">
        <v>0</v>
      </c>
      <c r="BH362">
        <v>2</v>
      </c>
      <c r="BI362">
        <v>0.2</v>
      </c>
      <c r="BJ362">
        <v>86.7</v>
      </c>
      <c r="BK362">
        <v>84</v>
      </c>
      <c r="BL362">
        <v>86.9</v>
      </c>
      <c r="BM362">
        <v>86.2</v>
      </c>
      <c r="BN362">
        <v>13.1</v>
      </c>
      <c r="BO362">
        <v>13.8</v>
      </c>
      <c r="BP362">
        <v>0</v>
      </c>
      <c r="BQ362">
        <v>0</v>
      </c>
      <c r="BR362">
        <v>0</v>
      </c>
      <c r="BS362">
        <v>0</v>
      </c>
      <c r="BT362">
        <v>0</v>
      </c>
      <c r="BU362">
        <v>0</v>
      </c>
      <c r="BV362">
        <v>0</v>
      </c>
      <c r="BW362">
        <v>0</v>
      </c>
      <c r="BX362">
        <v>0</v>
      </c>
      <c r="BY362">
        <v>0</v>
      </c>
      <c r="BZ362">
        <v>32</v>
      </c>
      <c r="CA362">
        <v>0</v>
      </c>
      <c r="CB362">
        <v>4</v>
      </c>
      <c r="CC362">
        <v>2</v>
      </c>
      <c r="CD362">
        <v>27</v>
      </c>
      <c r="CE362">
        <v>26</v>
      </c>
      <c r="CF362">
        <v>29</v>
      </c>
      <c r="CG362">
        <v>30</v>
      </c>
      <c r="CH362">
        <v>32</v>
      </c>
      <c r="CI362">
        <v>0</v>
      </c>
      <c r="CJ362">
        <v>4</v>
      </c>
      <c r="CK362">
        <v>2</v>
      </c>
      <c r="CL362">
        <v>27</v>
      </c>
      <c r="CM362">
        <v>26</v>
      </c>
      <c r="CN362">
        <v>29</v>
      </c>
      <c r="CO362">
        <v>30</v>
      </c>
      <c r="CP362">
        <v>0</v>
      </c>
      <c r="CQ362">
        <v>0</v>
      </c>
      <c r="CR362">
        <v>0</v>
      </c>
      <c r="CS362">
        <v>0</v>
      </c>
      <c r="CT362">
        <v>0</v>
      </c>
      <c r="CU362">
        <v>0</v>
      </c>
      <c r="CV362">
        <v>0</v>
      </c>
      <c r="CW362">
        <v>0</v>
      </c>
      <c r="CX362">
        <v>52.1</v>
      </c>
      <c r="CY362">
        <v>35.700000000000003</v>
      </c>
      <c r="CZ362">
        <v>71</v>
      </c>
      <c r="DA362">
        <v>56.5</v>
      </c>
      <c r="DB362">
        <v>43.3</v>
      </c>
      <c r="DC362">
        <v>31.3</v>
      </c>
      <c r="DD362">
        <v>52.2</v>
      </c>
      <c r="DE362">
        <v>45.4</v>
      </c>
      <c r="DF362">
        <v>52.1</v>
      </c>
      <c r="DG362">
        <v>35.700000000000003</v>
      </c>
      <c r="DH362">
        <v>71</v>
      </c>
      <c r="DI362">
        <v>56.5</v>
      </c>
      <c r="DJ362">
        <v>43.3</v>
      </c>
      <c r="DK362">
        <v>31.3</v>
      </c>
      <c r="DL362">
        <v>52.2</v>
      </c>
      <c r="DM362">
        <v>45.4</v>
      </c>
      <c r="DN362">
        <v>0</v>
      </c>
      <c r="DO362">
        <v>0</v>
      </c>
      <c r="DP362">
        <v>0</v>
      </c>
      <c r="DQ362">
        <v>0</v>
      </c>
      <c r="DR362">
        <v>0</v>
      </c>
      <c r="DS362">
        <v>0</v>
      </c>
      <c r="DT362">
        <v>0</v>
      </c>
      <c r="DU362">
        <v>0</v>
      </c>
      <c r="DV362" t="s">
        <v>575</v>
      </c>
    </row>
    <row r="363" spans="1:126" x14ac:dyDescent="0.35">
      <c r="A363" t="s">
        <v>634</v>
      </c>
      <c r="B363">
        <v>230110</v>
      </c>
      <c r="C363" s="1">
        <v>44936</v>
      </c>
      <c r="D363" t="s">
        <v>635</v>
      </c>
      <c r="E363" t="s">
        <v>231</v>
      </c>
      <c r="F363" t="s">
        <v>185</v>
      </c>
      <c r="G363" t="s">
        <v>463</v>
      </c>
      <c r="H363">
        <v>50771</v>
      </c>
      <c r="I363" s="17">
        <v>0</v>
      </c>
      <c r="J363" s="17">
        <v>345</v>
      </c>
      <c r="K363">
        <v>525</v>
      </c>
      <c r="L363">
        <v>42767</v>
      </c>
      <c r="M363">
        <v>41917</v>
      </c>
      <c r="N363">
        <v>43292</v>
      </c>
      <c r="O363">
        <v>42787</v>
      </c>
      <c r="P363">
        <v>7479</v>
      </c>
      <c r="Q363">
        <v>7984</v>
      </c>
      <c r="R363">
        <v>50771</v>
      </c>
      <c r="S363">
        <v>0</v>
      </c>
      <c r="T363">
        <v>345</v>
      </c>
      <c r="U363">
        <v>525</v>
      </c>
      <c r="V363">
        <v>42767</v>
      </c>
      <c r="W363">
        <v>41917</v>
      </c>
      <c r="X363">
        <v>43292</v>
      </c>
      <c r="Y363">
        <v>42787</v>
      </c>
      <c r="Z363">
        <v>7479</v>
      </c>
      <c r="AA363">
        <v>7984</v>
      </c>
      <c r="AB363">
        <v>0</v>
      </c>
      <c r="AC363">
        <v>0</v>
      </c>
      <c r="AD363">
        <v>0</v>
      </c>
      <c r="AE363">
        <v>0</v>
      </c>
      <c r="AF363">
        <v>0</v>
      </c>
      <c r="AG363">
        <v>0</v>
      </c>
      <c r="AH363">
        <v>0</v>
      </c>
      <c r="AI363">
        <v>0</v>
      </c>
      <c r="AJ363">
        <v>0</v>
      </c>
      <c r="AK363">
        <v>0</v>
      </c>
      <c r="AL363">
        <v>-1714</v>
      </c>
      <c r="AM363">
        <v>-45</v>
      </c>
      <c r="AN363">
        <v>-238</v>
      </c>
      <c r="AO363">
        <v>-50</v>
      </c>
      <c r="AP363">
        <v>-1364</v>
      </c>
      <c r="AQ363">
        <v>-1156</v>
      </c>
      <c r="AR363">
        <v>-1459</v>
      </c>
      <c r="AS363">
        <v>-1444</v>
      </c>
      <c r="AT363">
        <v>-255</v>
      </c>
      <c r="AU363">
        <v>-270</v>
      </c>
      <c r="AV363">
        <v>100</v>
      </c>
      <c r="AW363">
        <v>0</v>
      </c>
      <c r="AX363">
        <v>0.7</v>
      </c>
      <c r="AY363">
        <v>1</v>
      </c>
      <c r="AZ363">
        <v>84.2</v>
      </c>
      <c r="BA363">
        <v>82.6</v>
      </c>
      <c r="BB363">
        <v>85.3</v>
      </c>
      <c r="BC363">
        <v>84.3</v>
      </c>
      <c r="BD363">
        <v>14.7</v>
      </c>
      <c r="BE363">
        <v>15.7</v>
      </c>
      <c r="BF363">
        <v>100</v>
      </c>
      <c r="BG363">
        <v>0</v>
      </c>
      <c r="BH363">
        <v>0.7</v>
      </c>
      <c r="BI363">
        <v>1</v>
      </c>
      <c r="BJ363">
        <v>84.2</v>
      </c>
      <c r="BK363">
        <v>82.6</v>
      </c>
      <c r="BL363">
        <v>85.3</v>
      </c>
      <c r="BM363">
        <v>84.3</v>
      </c>
      <c r="BN363">
        <v>14.7</v>
      </c>
      <c r="BO363">
        <v>15.7</v>
      </c>
      <c r="BP363">
        <v>0</v>
      </c>
      <c r="BQ363">
        <v>0</v>
      </c>
      <c r="BR363">
        <v>0</v>
      </c>
      <c r="BS363">
        <v>0</v>
      </c>
      <c r="BT363">
        <v>0</v>
      </c>
      <c r="BU363">
        <v>0</v>
      </c>
      <c r="BV363">
        <v>0</v>
      </c>
      <c r="BW363">
        <v>0</v>
      </c>
      <c r="BX363">
        <v>0</v>
      </c>
      <c r="BY363">
        <v>0</v>
      </c>
      <c r="BZ363">
        <v>28</v>
      </c>
      <c r="CA363">
        <v>0</v>
      </c>
      <c r="CB363">
        <v>2</v>
      </c>
      <c r="CC363">
        <v>1</v>
      </c>
      <c r="CD363">
        <v>22</v>
      </c>
      <c r="CE363">
        <v>24</v>
      </c>
      <c r="CF363">
        <v>23</v>
      </c>
      <c r="CG363">
        <v>26</v>
      </c>
      <c r="CH363">
        <v>28</v>
      </c>
      <c r="CI363">
        <v>0</v>
      </c>
      <c r="CJ363">
        <v>2</v>
      </c>
      <c r="CK363">
        <v>1</v>
      </c>
      <c r="CL363">
        <v>22</v>
      </c>
      <c r="CM363">
        <v>24</v>
      </c>
      <c r="CN363">
        <v>23</v>
      </c>
      <c r="CO363">
        <v>26</v>
      </c>
      <c r="CP363">
        <v>0</v>
      </c>
      <c r="CQ363">
        <v>0</v>
      </c>
      <c r="CR363">
        <v>0</v>
      </c>
      <c r="CS363">
        <v>0</v>
      </c>
      <c r="CT363">
        <v>0</v>
      </c>
      <c r="CU363">
        <v>0</v>
      </c>
      <c r="CV363">
        <v>0</v>
      </c>
      <c r="CW363">
        <v>0</v>
      </c>
      <c r="CX363">
        <v>52.3</v>
      </c>
      <c r="CY363">
        <v>33.799999999999997</v>
      </c>
      <c r="CZ363">
        <v>71.400000000000006</v>
      </c>
      <c r="DA363">
        <v>56.2</v>
      </c>
      <c r="DB363">
        <v>41</v>
      </c>
      <c r="DC363">
        <v>29.3</v>
      </c>
      <c r="DD363">
        <v>47.9</v>
      </c>
      <c r="DE363">
        <v>40</v>
      </c>
      <c r="DF363">
        <v>52.3</v>
      </c>
      <c r="DG363">
        <v>33.799999999999997</v>
      </c>
      <c r="DH363">
        <v>71.400000000000006</v>
      </c>
      <c r="DI363">
        <v>56.2</v>
      </c>
      <c r="DJ363">
        <v>41</v>
      </c>
      <c r="DK363">
        <v>29.3</v>
      </c>
      <c r="DL363">
        <v>47.9</v>
      </c>
      <c r="DM363">
        <v>40</v>
      </c>
      <c r="DN363">
        <v>0</v>
      </c>
      <c r="DO363">
        <v>0</v>
      </c>
      <c r="DP363">
        <v>0</v>
      </c>
      <c r="DQ363">
        <v>0</v>
      </c>
      <c r="DR363">
        <v>0</v>
      </c>
      <c r="DS363">
        <v>0</v>
      </c>
      <c r="DT363">
        <v>0</v>
      </c>
      <c r="DU363">
        <v>0</v>
      </c>
      <c r="DV363" t="s">
        <v>575</v>
      </c>
    </row>
    <row r="364" spans="1:126" x14ac:dyDescent="0.35">
      <c r="A364" t="s">
        <v>634</v>
      </c>
      <c r="B364">
        <v>230103</v>
      </c>
      <c r="C364" s="1">
        <v>44929</v>
      </c>
      <c r="D364" t="s">
        <v>635</v>
      </c>
      <c r="E364" t="s">
        <v>231</v>
      </c>
      <c r="F364" t="s">
        <v>185</v>
      </c>
      <c r="G364" t="s">
        <v>463</v>
      </c>
      <c r="H364">
        <v>52485</v>
      </c>
      <c r="I364" s="17">
        <v>45</v>
      </c>
      <c r="J364" s="17">
        <v>583</v>
      </c>
      <c r="K364">
        <v>575</v>
      </c>
      <c r="L364">
        <v>44131</v>
      </c>
      <c r="M364">
        <v>43073</v>
      </c>
      <c r="N364">
        <v>44751</v>
      </c>
      <c r="O364">
        <v>44231</v>
      </c>
      <c r="P364">
        <v>7734</v>
      </c>
      <c r="Q364">
        <v>8254</v>
      </c>
      <c r="R364">
        <v>52485</v>
      </c>
      <c r="S364">
        <v>45</v>
      </c>
      <c r="T364">
        <v>583</v>
      </c>
      <c r="U364">
        <v>575</v>
      </c>
      <c r="V364">
        <v>44131</v>
      </c>
      <c r="W364">
        <v>43073</v>
      </c>
      <c r="X364">
        <v>44751</v>
      </c>
      <c r="Y364">
        <v>44231</v>
      </c>
      <c r="Z364">
        <v>7734</v>
      </c>
      <c r="AA364">
        <v>8254</v>
      </c>
      <c r="AB364">
        <v>0</v>
      </c>
      <c r="AC364">
        <v>0</v>
      </c>
      <c r="AD364">
        <v>0</v>
      </c>
      <c r="AE364">
        <v>0</v>
      </c>
      <c r="AF364">
        <v>0</v>
      </c>
      <c r="AG364">
        <v>0</v>
      </c>
      <c r="AH364">
        <v>0</v>
      </c>
      <c r="AI364">
        <v>0</v>
      </c>
      <c r="AJ364">
        <v>0</v>
      </c>
      <c r="AK364">
        <v>0</v>
      </c>
      <c r="AL364">
        <v>0</v>
      </c>
      <c r="AM364">
        <v>0</v>
      </c>
      <c r="AN364">
        <v>-200</v>
      </c>
      <c r="AO364">
        <v>0</v>
      </c>
      <c r="AP364">
        <v>-210</v>
      </c>
      <c r="AQ364">
        <v>-10</v>
      </c>
      <c r="AR364">
        <v>-210</v>
      </c>
      <c r="AS364">
        <v>-210</v>
      </c>
      <c r="AT364">
        <v>210</v>
      </c>
      <c r="AU364">
        <v>210</v>
      </c>
      <c r="AV364">
        <v>100</v>
      </c>
      <c r="AW364">
        <v>0.1</v>
      </c>
      <c r="AX364">
        <v>1.1000000000000001</v>
      </c>
      <c r="AY364">
        <v>1.1000000000000001</v>
      </c>
      <c r="AZ364">
        <v>84.1</v>
      </c>
      <c r="BA364">
        <v>82.1</v>
      </c>
      <c r="BB364">
        <v>85.3</v>
      </c>
      <c r="BC364">
        <v>84.3</v>
      </c>
      <c r="BD364">
        <v>14.7</v>
      </c>
      <c r="BE364">
        <v>15.7</v>
      </c>
      <c r="BF364">
        <v>100</v>
      </c>
      <c r="BG364">
        <v>0.1</v>
      </c>
      <c r="BH364">
        <v>1.1000000000000001</v>
      </c>
      <c r="BI364">
        <v>1.1000000000000001</v>
      </c>
      <c r="BJ364">
        <v>84.1</v>
      </c>
      <c r="BK364">
        <v>82.1</v>
      </c>
      <c r="BL364">
        <v>85.3</v>
      </c>
      <c r="BM364">
        <v>84.3</v>
      </c>
      <c r="BN364">
        <v>14.7</v>
      </c>
      <c r="BO364">
        <v>15.7</v>
      </c>
      <c r="BP364">
        <v>0</v>
      </c>
      <c r="BQ364">
        <v>0</v>
      </c>
      <c r="BR364">
        <v>0</v>
      </c>
      <c r="BS364">
        <v>0</v>
      </c>
      <c r="BT364">
        <v>0</v>
      </c>
      <c r="BU364">
        <v>0</v>
      </c>
      <c r="BV364">
        <v>0</v>
      </c>
      <c r="BW364">
        <v>0</v>
      </c>
      <c r="BX364">
        <v>0</v>
      </c>
      <c r="BY364">
        <v>0</v>
      </c>
      <c r="BZ364">
        <v>32</v>
      </c>
      <c r="CA364">
        <v>1</v>
      </c>
      <c r="CB364">
        <v>4</v>
      </c>
      <c r="CC364">
        <v>3</v>
      </c>
      <c r="CD364">
        <v>24</v>
      </c>
      <c r="CE364">
        <v>26</v>
      </c>
      <c r="CF364">
        <v>27</v>
      </c>
      <c r="CG364">
        <v>31</v>
      </c>
      <c r="CH364">
        <v>32</v>
      </c>
      <c r="CI364">
        <v>1</v>
      </c>
      <c r="CJ364">
        <v>4</v>
      </c>
      <c r="CK364">
        <v>3</v>
      </c>
      <c r="CL364">
        <v>24</v>
      </c>
      <c r="CM364">
        <v>26</v>
      </c>
      <c r="CN364">
        <v>27</v>
      </c>
      <c r="CO364">
        <v>31</v>
      </c>
      <c r="CP364">
        <v>0</v>
      </c>
      <c r="CQ364">
        <v>0</v>
      </c>
      <c r="CR364">
        <v>0</v>
      </c>
      <c r="CS364">
        <v>0</v>
      </c>
      <c r="CT364">
        <v>0</v>
      </c>
      <c r="CU364">
        <v>0</v>
      </c>
      <c r="CV364">
        <v>0</v>
      </c>
      <c r="CW364">
        <v>0</v>
      </c>
      <c r="CX364">
        <v>51.5</v>
      </c>
      <c r="CY364">
        <v>32.9</v>
      </c>
      <c r="CZ364">
        <v>69.7</v>
      </c>
      <c r="DA364">
        <v>54.4</v>
      </c>
      <c r="DB364">
        <v>38.299999999999997</v>
      </c>
      <c r="DC364">
        <v>27.7</v>
      </c>
      <c r="DD364">
        <v>45.7</v>
      </c>
      <c r="DE364">
        <v>37.5</v>
      </c>
      <c r="DF364">
        <v>51.5</v>
      </c>
      <c r="DG364">
        <v>32.9</v>
      </c>
      <c r="DH364">
        <v>69.7</v>
      </c>
      <c r="DI364">
        <v>54.4</v>
      </c>
      <c r="DJ364">
        <v>38.299999999999997</v>
      </c>
      <c r="DK364">
        <v>27.7</v>
      </c>
      <c r="DL364">
        <v>45.7</v>
      </c>
      <c r="DM364">
        <v>37.5</v>
      </c>
      <c r="DN364">
        <v>0</v>
      </c>
      <c r="DO364">
        <v>0</v>
      </c>
      <c r="DP364">
        <v>0</v>
      </c>
      <c r="DQ364">
        <v>0</v>
      </c>
      <c r="DR364">
        <v>0</v>
      </c>
      <c r="DS364">
        <v>0</v>
      </c>
      <c r="DT364">
        <v>0</v>
      </c>
      <c r="DU364">
        <v>0</v>
      </c>
      <c r="DV364" t="s">
        <v>575</v>
      </c>
    </row>
    <row r="365" spans="1:126" x14ac:dyDescent="0.35">
      <c r="A365" t="s">
        <v>636</v>
      </c>
      <c r="B365">
        <v>230110</v>
      </c>
      <c r="C365" s="1">
        <v>44936</v>
      </c>
      <c r="D365" t="s">
        <v>637</v>
      </c>
      <c r="E365" t="s">
        <v>231</v>
      </c>
      <c r="F365" t="s">
        <v>185</v>
      </c>
      <c r="G365" t="s">
        <v>463</v>
      </c>
      <c r="H365">
        <v>31979</v>
      </c>
      <c r="I365" s="17">
        <v>0</v>
      </c>
      <c r="J365" s="17">
        <v>1085</v>
      </c>
      <c r="K365">
        <v>240</v>
      </c>
      <c r="L365">
        <v>27455</v>
      </c>
      <c r="M365">
        <v>26209</v>
      </c>
      <c r="N365">
        <v>27695</v>
      </c>
      <c r="O365">
        <v>27534</v>
      </c>
      <c r="P365">
        <v>4284</v>
      </c>
      <c r="Q365">
        <v>4445</v>
      </c>
      <c r="R365">
        <v>31979</v>
      </c>
      <c r="S365">
        <v>0</v>
      </c>
      <c r="T365">
        <v>1085</v>
      </c>
      <c r="U365">
        <v>240</v>
      </c>
      <c r="V365">
        <v>27455</v>
      </c>
      <c r="W365">
        <v>26209</v>
      </c>
      <c r="X365">
        <v>27695</v>
      </c>
      <c r="Y365">
        <v>27534</v>
      </c>
      <c r="Z365">
        <v>4284</v>
      </c>
      <c r="AA365">
        <v>4445</v>
      </c>
      <c r="AB365">
        <v>0</v>
      </c>
      <c r="AC365">
        <v>0</v>
      </c>
      <c r="AD365">
        <v>0</v>
      </c>
      <c r="AE365">
        <v>0</v>
      </c>
      <c r="AF365">
        <v>0</v>
      </c>
      <c r="AG365">
        <v>0</v>
      </c>
      <c r="AH365">
        <v>0</v>
      </c>
      <c r="AI365">
        <v>0</v>
      </c>
      <c r="AJ365">
        <v>0</v>
      </c>
      <c r="AK365">
        <v>0</v>
      </c>
      <c r="AL365">
        <v>-1450</v>
      </c>
      <c r="AM365">
        <v>-25</v>
      </c>
      <c r="AN365">
        <v>-450</v>
      </c>
      <c r="AO365">
        <v>-25</v>
      </c>
      <c r="AP365">
        <v>-1130</v>
      </c>
      <c r="AQ365">
        <v>-843</v>
      </c>
      <c r="AR365">
        <v>-1180</v>
      </c>
      <c r="AS365">
        <v>-1318</v>
      </c>
      <c r="AT365">
        <v>-270</v>
      </c>
      <c r="AU365">
        <v>-132</v>
      </c>
      <c r="AV365">
        <v>100</v>
      </c>
      <c r="AW365">
        <v>0</v>
      </c>
      <c r="AX365">
        <v>3.4</v>
      </c>
      <c r="AY365">
        <v>0.8</v>
      </c>
      <c r="AZ365">
        <v>85.9</v>
      </c>
      <c r="BA365">
        <v>82</v>
      </c>
      <c r="BB365">
        <v>86.6</v>
      </c>
      <c r="BC365">
        <v>86.1</v>
      </c>
      <c r="BD365">
        <v>13.4</v>
      </c>
      <c r="BE365">
        <v>13.9</v>
      </c>
      <c r="BF365">
        <v>100</v>
      </c>
      <c r="BG365">
        <v>0</v>
      </c>
      <c r="BH365">
        <v>3.4</v>
      </c>
      <c r="BI365">
        <v>0.8</v>
      </c>
      <c r="BJ365">
        <v>85.9</v>
      </c>
      <c r="BK365">
        <v>82</v>
      </c>
      <c r="BL365">
        <v>86.6</v>
      </c>
      <c r="BM365">
        <v>86.1</v>
      </c>
      <c r="BN365">
        <v>13.4</v>
      </c>
      <c r="BO365">
        <v>13.9</v>
      </c>
      <c r="BP365">
        <v>0</v>
      </c>
      <c r="BQ365">
        <v>0</v>
      </c>
      <c r="BR365">
        <v>0</v>
      </c>
      <c r="BS365">
        <v>0</v>
      </c>
      <c r="BT365">
        <v>0</v>
      </c>
      <c r="BU365">
        <v>0</v>
      </c>
      <c r="BV365">
        <v>0</v>
      </c>
      <c r="BW365">
        <v>0</v>
      </c>
      <c r="BX365">
        <v>0</v>
      </c>
      <c r="BY365">
        <v>0</v>
      </c>
      <c r="BZ365">
        <v>27</v>
      </c>
      <c r="CA365">
        <v>0</v>
      </c>
      <c r="CB365">
        <v>2</v>
      </c>
      <c r="CC365">
        <v>1</v>
      </c>
      <c r="CD365">
        <v>22</v>
      </c>
      <c r="CE365">
        <v>20</v>
      </c>
      <c r="CF365">
        <v>23</v>
      </c>
      <c r="CG365">
        <v>22</v>
      </c>
      <c r="CH365">
        <v>27</v>
      </c>
      <c r="CI365">
        <v>0</v>
      </c>
      <c r="CJ365">
        <v>2</v>
      </c>
      <c r="CK365">
        <v>1</v>
      </c>
      <c r="CL365">
        <v>22</v>
      </c>
      <c r="CM365">
        <v>20</v>
      </c>
      <c r="CN365">
        <v>23</v>
      </c>
      <c r="CO365">
        <v>22</v>
      </c>
      <c r="CP365">
        <v>0</v>
      </c>
      <c r="CQ365">
        <v>0</v>
      </c>
      <c r="CR365">
        <v>0</v>
      </c>
      <c r="CS365">
        <v>0</v>
      </c>
      <c r="CT365">
        <v>0</v>
      </c>
      <c r="CU365">
        <v>0</v>
      </c>
      <c r="CV365">
        <v>0</v>
      </c>
      <c r="CW365">
        <v>0</v>
      </c>
      <c r="CX365">
        <v>51.5</v>
      </c>
      <c r="CY365">
        <v>53.3</v>
      </c>
      <c r="CZ365">
        <v>69.099999999999994</v>
      </c>
      <c r="DA365">
        <v>65.8</v>
      </c>
      <c r="DB365">
        <v>41.1</v>
      </c>
      <c r="DC365">
        <v>47.9</v>
      </c>
      <c r="DD365">
        <v>53.5</v>
      </c>
      <c r="DE365">
        <v>55.1</v>
      </c>
      <c r="DF365">
        <v>51.5</v>
      </c>
      <c r="DG365">
        <v>53.3</v>
      </c>
      <c r="DH365">
        <v>69.099999999999994</v>
      </c>
      <c r="DI365">
        <v>65.8</v>
      </c>
      <c r="DJ365">
        <v>41.1</v>
      </c>
      <c r="DK365">
        <v>47.9</v>
      </c>
      <c r="DL365">
        <v>53.5</v>
      </c>
      <c r="DM365">
        <v>55.1</v>
      </c>
      <c r="DN365">
        <v>0</v>
      </c>
      <c r="DO365">
        <v>0</v>
      </c>
      <c r="DP365">
        <v>0</v>
      </c>
      <c r="DQ365">
        <v>0</v>
      </c>
      <c r="DR365">
        <v>0</v>
      </c>
      <c r="DS365">
        <v>0</v>
      </c>
      <c r="DT365">
        <v>0</v>
      </c>
      <c r="DU365">
        <v>0</v>
      </c>
      <c r="DV365" t="s">
        <v>575</v>
      </c>
    </row>
    <row r="366" spans="1:126" x14ac:dyDescent="0.35">
      <c r="A366" t="s">
        <v>636</v>
      </c>
      <c r="B366">
        <v>230103</v>
      </c>
      <c r="C366" s="1">
        <v>44929</v>
      </c>
      <c r="D366" t="s">
        <v>637</v>
      </c>
      <c r="E366" t="s">
        <v>231</v>
      </c>
      <c r="F366" t="s">
        <v>185</v>
      </c>
      <c r="G366" t="s">
        <v>463</v>
      </c>
      <c r="H366">
        <v>33429</v>
      </c>
      <c r="I366" s="17">
        <v>25</v>
      </c>
      <c r="J366" s="17">
        <v>1535</v>
      </c>
      <c r="K366">
        <v>265</v>
      </c>
      <c r="L366">
        <v>28585</v>
      </c>
      <c r="M366">
        <v>27052</v>
      </c>
      <c r="N366">
        <v>28875</v>
      </c>
      <c r="O366">
        <v>28852</v>
      </c>
      <c r="P366">
        <v>4554</v>
      </c>
      <c r="Q366">
        <v>4577</v>
      </c>
      <c r="R366">
        <v>33429</v>
      </c>
      <c r="S366">
        <v>25</v>
      </c>
      <c r="T366">
        <v>1535</v>
      </c>
      <c r="U366">
        <v>265</v>
      </c>
      <c r="V366">
        <v>28585</v>
      </c>
      <c r="W366">
        <v>27052</v>
      </c>
      <c r="X366">
        <v>28875</v>
      </c>
      <c r="Y366">
        <v>28852</v>
      </c>
      <c r="Z366">
        <v>4554</v>
      </c>
      <c r="AA366">
        <v>4577</v>
      </c>
      <c r="AB366">
        <v>0</v>
      </c>
      <c r="AC366">
        <v>0</v>
      </c>
      <c r="AD366">
        <v>0</v>
      </c>
      <c r="AE366">
        <v>0</v>
      </c>
      <c r="AF366">
        <v>0</v>
      </c>
      <c r="AG366">
        <v>0</v>
      </c>
      <c r="AH366">
        <v>0</v>
      </c>
      <c r="AI366">
        <v>0</v>
      </c>
      <c r="AJ366">
        <v>0</v>
      </c>
      <c r="AK366">
        <v>0</v>
      </c>
      <c r="AL366">
        <v>-120</v>
      </c>
      <c r="AM366">
        <v>0</v>
      </c>
      <c r="AN366">
        <v>-50</v>
      </c>
      <c r="AO366">
        <v>0</v>
      </c>
      <c r="AP366">
        <v>-100</v>
      </c>
      <c r="AQ366">
        <v>-50</v>
      </c>
      <c r="AR366">
        <v>-100</v>
      </c>
      <c r="AS366">
        <v>-100</v>
      </c>
      <c r="AT366">
        <v>-20</v>
      </c>
      <c r="AU366">
        <v>-20</v>
      </c>
      <c r="AV366">
        <v>100</v>
      </c>
      <c r="AW366">
        <v>0.1</v>
      </c>
      <c r="AX366">
        <v>4.5999999999999996</v>
      </c>
      <c r="AY366">
        <v>0.8</v>
      </c>
      <c r="AZ366">
        <v>85.5</v>
      </c>
      <c r="BA366">
        <v>80.900000000000006</v>
      </c>
      <c r="BB366">
        <v>86.4</v>
      </c>
      <c r="BC366">
        <v>86.3</v>
      </c>
      <c r="BD366">
        <v>13.6</v>
      </c>
      <c r="BE366">
        <v>13.7</v>
      </c>
      <c r="BF366">
        <v>100</v>
      </c>
      <c r="BG366">
        <v>0.1</v>
      </c>
      <c r="BH366">
        <v>4.5999999999999996</v>
      </c>
      <c r="BI366">
        <v>0.8</v>
      </c>
      <c r="BJ366">
        <v>85.5</v>
      </c>
      <c r="BK366">
        <v>80.900000000000006</v>
      </c>
      <c r="BL366">
        <v>86.4</v>
      </c>
      <c r="BM366">
        <v>86.3</v>
      </c>
      <c r="BN366">
        <v>13.6</v>
      </c>
      <c r="BO366">
        <v>13.7</v>
      </c>
      <c r="BP366">
        <v>0</v>
      </c>
      <c r="BQ366">
        <v>0</v>
      </c>
      <c r="BR366">
        <v>0</v>
      </c>
      <c r="BS366">
        <v>0</v>
      </c>
      <c r="BT366">
        <v>0</v>
      </c>
      <c r="BU366">
        <v>0</v>
      </c>
      <c r="BV366">
        <v>0</v>
      </c>
      <c r="BW366">
        <v>0</v>
      </c>
      <c r="BX366">
        <v>0</v>
      </c>
      <c r="BY366">
        <v>0</v>
      </c>
      <c r="BZ366">
        <v>30</v>
      </c>
      <c r="CA366">
        <v>1</v>
      </c>
      <c r="CB366">
        <v>3</v>
      </c>
      <c r="CC366">
        <v>2</v>
      </c>
      <c r="CD366">
        <v>24</v>
      </c>
      <c r="CE366">
        <v>22</v>
      </c>
      <c r="CF366">
        <v>27</v>
      </c>
      <c r="CG366">
        <v>25</v>
      </c>
      <c r="CH366">
        <v>30</v>
      </c>
      <c r="CI366">
        <v>1</v>
      </c>
      <c r="CJ366">
        <v>3</v>
      </c>
      <c r="CK366">
        <v>2</v>
      </c>
      <c r="CL366">
        <v>24</v>
      </c>
      <c r="CM366">
        <v>22</v>
      </c>
      <c r="CN366">
        <v>27</v>
      </c>
      <c r="CO366">
        <v>25</v>
      </c>
      <c r="CP366">
        <v>0</v>
      </c>
      <c r="CQ366">
        <v>0</v>
      </c>
      <c r="CR366">
        <v>0</v>
      </c>
      <c r="CS366">
        <v>0</v>
      </c>
      <c r="CT366">
        <v>0</v>
      </c>
      <c r="CU366">
        <v>0</v>
      </c>
      <c r="CV366">
        <v>0</v>
      </c>
      <c r="CW366">
        <v>0</v>
      </c>
      <c r="CX366">
        <v>47.2</v>
      </c>
      <c r="CY366">
        <v>51.3</v>
      </c>
      <c r="CZ366">
        <v>65.900000000000006</v>
      </c>
      <c r="DA366">
        <v>65</v>
      </c>
      <c r="DB366">
        <v>34.9</v>
      </c>
      <c r="DC366">
        <v>46.1</v>
      </c>
      <c r="DD366">
        <v>48.2</v>
      </c>
      <c r="DE366">
        <v>53.3</v>
      </c>
      <c r="DF366">
        <v>47.2</v>
      </c>
      <c r="DG366">
        <v>51.3</v>
      </c>
      <c r="DH366">
        <v>65.900000000000006</v>
      </c>
      <c r="DI366">
        <v>65</v>
      </c>
      <c r="DJ366">
        <v>34.9</v>
      </c>
      <c r="DK366">
        <v>46.1</v>
      </c>
      <c r="DL366">
        <v>48.2</v>
      </c>
      <c r="DM366">
        <v>53.3</v>
      </c>
      <c r="DN366">
        <v>0</v>
      </c>
      <c r="DO366">
        <v>0</v>
      </c>
      <c r="DP366">
        <v>0</v>
      </c>
      <c r="DQ366">
        <v>0</v>
      </c>
      <c r="DR366">
        <v>0</v>
      </c>
      <c r="DS366">
        <v>0</v>
      </c>
      <c r="DT366">
        <v>0</v>
      </c>
      <c r="DU366">
        <v>0</v>
      </c>
      <c r="DV366" t="s">
        <v>575</v>
      </c>
    </row>
    <row r="367" spans="1:126" x14ac:dyDescent="0.35">
      <c r="A367" t="s">
        <v>638</v>
      </c>
      <c r="B367">
        <v>230110</v>
      </c>
      <c r="C367" s="1">
        <v>44936</v>
      </c>
      <c r="D367" t="s">
        <v>639</v>
      </c>
      <c r="E367" t="s">
        <v>231</v>
      </c>
      <c r="F367" t="s">
        <v>185</v>
      </c>
      <c r="G367" t="s">
        <v>463</v>
      </c>
      <c r="H367">
        <v>31744</v>
      </c>
      <c r="I367" s="17">
        <v>0</v>
      </c>
      <c r="J367" s="17">
        <v>1610</v>
      </c>
      <c r="K367">
        <v>365</v>
      </c>
      <c r="L367">
        <v>26019</v>
      </c>
      <c r="M367">
        <v>24429</v>
      </c>
      <c r="N367">
        <v>26384</v>
      </c>
      <c r="O367">
        <v>26404</v>
      </c>
      <c r="P367">
        <v>5360</v>
      </c>
      <c r="Q367">
        <v>5340</v>
      </c>
      <c r="R367">
        <v>31744</v>
      </c>
      <c r="S367">
        <v>0</v>
      </c>
      <c r="T367">
        <v>1610</v>
      </c>
      <c r="U367">
        <v>365</v>
      </c>
      <c r="V367">
        <v>26019</v>
      </c>
      <c r="W367">
        <v>24429</v>
      </c>
      <c r="X367">
        <v>26384</v>
      </c>
      <c r="Y367">
        <v>26404</v>
      </c>
      <c r="Z367">
        <v>5360</v>
      </c>
      <c r="AA367">
        <v>5340</v>
      </c>
      <c r="AB367">
        <v>0</v>
      </c>
      <c r="AC367">
        <v>0</v>
      </c>
      <c r="AD367">
        <v>0</v>
      </c>
      <c r="AE367">
        <v>0</v>
      </c>
      <c r="AF367">
        <v>0</v>
      </c>
      <c r="AG367">
        <v>0</v>
      </c>
      <c r="AH367">
        <v>0</v>
      </c>
      <c r="AI367">
        <v>0</v>
      </c>
      <c r="AJ367">
        <v>0</v>
      </c>
      <c r="AK367">
        <v>0</v>
      </c>
      <c r="AL367">
        <v>-1514</v>
      </c>
      <c r="AM367">
        <v>-25</v>
      </c>
      <c r="AN367">
        <v>-537</v>
      </c>
      <c r="AO367">
        <v>0</v>
      </c>
      <c r="AP367">
        <v>-1294</v>
      </c>
      <c r="AQ367">
        <v>-962</v>
      </c>
      <c r="AR367">
        <v>-1319</v>
      </c>
      <c r="AS367">
        <v>-1499</v>
      </c>
      <c r="AT367">
        <v>-195</v>
      </c>
      <c r="AU367">
        <v>-15</v>
      </c>
      <c r="AV367">
        <v>100</v>
      </c>
      <c r="AW367">
        <v>0</v>
      </c>
      <c r="AX367">
        <v>5.0999999999999996</v>
      </c>
      <c r="AY367">
        <v>1.1000000000000001</v>
      </c>
      <c r="AZ367">
        <v>82</v>
      </c>
      <c r="BA367">
        <v>77</v>
      </c>
      <c r="BB367">
        <v>83.1</v>
      </c>
      <c r="BC367">
        <v>83.2</v>
      </c>
      <c r="BD367">
        <v>16.899999999999999</v>
      </c>
      <c r="BE367">
        <v>16.8</v>
      </c>
      <c r="BF367">
        <v>100</v>
      </c>
      <c r="BG367">
        <v>0</v>
      </c>
      <c r="BH367">
        <v>5.0999999999999996</v>
      </c>
      <c r="BI367">
        <v>1.1000000000000001</v>
      </c>
      <c r="BJ367">
        <v>82</v>
      </c>
      <c r="BK367">
        <v>77</v>
      </c>
      <c r="BL367">
        <v>83.1</v>
      </c>
      <c r="BM367">
        <v>83.2</v>
      </c>
      <c r="BN367">
        <v>16.899999999999999</v>
      </c>
      <c r="BO367">
        <v>16.8</v>
      </c>
      <c r="BP367">
        <v>0</v>
      </c>
      <c r="BQ367">
        <v>0</v>
      </c>
      <c r="BR367">
        <v>0</v>
      </c>
      <c r="BS367">
        <v>0</v>
      </c>
      <c r="BT367">
        <v>0</v>
      </c>
      <c r="BU367">
        <v>0</v>
      </c>
      <c r="BV367">
        <v>0</v>
      </c>
      <c r="BW367">
        <v>0</v>
      </c>
      <c r="BX367">
        <v>0</v>
      </c>
      <c r="BY367">
        <v>0</v>
      </c>
      <c r="BZ367">
        <v>27</v>
      </c>
      <c r="CA367">
        <v>0</v>
      </c>
      <c r="CB367">
        <v>2</v>
      </c>
      <c r="CC367">
        <v>2</v>
      </c>
      <c r="CD367">
        <v>21</v>
      </c>
      <c r="CE367">
        <v>22</v>
      </c>
      <c r="CF367">
        <v>23</v>
      </c>
      <c r="CG367">
        <v>24</v>
      </c>
      <c r="CH367">
        <v>27</v>
      </c>
      <c r="CI367">
        <v>0</v>
      </c>
      <c r="CJ367">
        <v>2</v>
      </c>
      <c r="CK367">
        <v>2</v>
      </c>
      <c r="CL367">
        <v>21</v>
      </c>
      <c r="CM367">
        <v>22</v>
      </c>
      <c r="CN367">
        <v>23</v>
      </c>
      <c r="CO367">
        <v>24</v>
      </c>
      <c r="CP367">
        <v>0</v>
      </c>
      <c r="CQ367">
        <v>0</v>
      </c>
      <c r="CR367">
        <v>0</v>
      </c>
      <c r="CS367">
        <v>0</v>
      </c>
      <c r="CT367">
        <v>0</v>
      </c>
      <c r="CU367">
        <v>0</v>
      </c>
      <c r="CV367">
        <v>0</v>
      </c>
      <c r="CW367">
        <v>0</v>
      </c>
      <c r="CX367">
        <v>49.4</v>
      </c>
      <c r="CY367">
        <v>48</v>
      </c>
      <c r="CZ367">
        <v>66.8</v>
      </c>
      <c r="DA367">
        <v>60.8</v>
      </c>
      <c r="DB367">
        <v>40.799999999999997</v>
      </c>
      <c r="DC367">
        <v>44.6</v>
      </c>
      <c r="DD367">
        <v>52.6</v>
      </c>
      <c r="DE367">
        <v>53.5</v>
      </c>
      <c r="DF367">
        <v>49.4</v>
      </c>
      <c r="DG367">
        <v>48</v>
      </c>
      <c r="DH367">
        <v>66.8</v>
      </c>
      <c r="DI367">
        <v>60.8</v>
      </c>
      <c r="DJ367">
        <v>40.799999999999997</v>
      </c>
      <c r="DK367">
        <v>44.6</v>
      </c>
      <c r="DL367">
        <v>52.6</v>
      </c>
      <c r="DM367">
        <v>53.5</v>
      </c>
      <c r="DN367">
        <v>0</v>
      </c>
      <c r="DO367">
        <v>0</v>
      </c>
      <c r="DP367">
        <v>0</v>
      </c>
      <c r="DQ367">
        <v>0</v>
      </c>
      <c r="DR367">
        <v>0</v>
      </c>
      <c r="DS367">
        <v>0</v>
      </c>
      <c r="DT367">
        <v>0</v>
      </c>
      <c r="DU367">
        <v>0</v>
      </c>
      <c r="DV367" t="s">
        <v>575</v>
      </c>
    </row>
    <row r="368" spans="1:126" x14ac:dyDescent="0.35">
      <c r="A368" t="s">
        <v>638</v>
      </c>
      <c r="B368">
        <v>230103</v>
      </c>
      <c r="C368" s="1">
        <v>44929</v>
      </c>
      <c r="D368" t="s">
        <v>639</v>
      </c>
      <c r="E368" t="s">
        <v>231</v>
      </c>
      <c r="F368" t="s">
        <v>185</v>
      </c>
      <c r="G368" t="s">
        <v>463</v>
      </c>
      <c r="H368">
        <v>33258</v>
      </c>
      <c r="I368" s="17">
        <v>25</v>
      </c>
      <c r="J368" s="17">
        <v>2147</v>
      </c>
      <c r="K368">
        <v>365</v>
      </c>
      <c r="L368">
        <v>27313</v>
      </c>
      <c r="M368">
        <v>25391</v>
      </c>
      <c r="N368">
        <v>27703</v>
      </c>
      <c r="O368">
        <v>27903</v>
      </c>
      <c r="P368">
        <v>5555</v>
      </c>
      <c r="Q368">
        <v>5355</v>
      </c>
      <c r="R368">
        <v>33258</v>
      </c>
      <c r="S368">
        <v>25</v>
      </c>
      <c r="T368">
        <v>2147</v>
      </c>
      <c r="U368">
        <v>365</v>
      </c>
      <c r="V368">
        <v>27313</v>
      </c>
      <c r="W368">
        <v>25391</v>
      </c>
      <c r="X368">
        <v>27703</v>
      </c>
      <c r="Y368">
        <v>27903</v>
      </c>
      <c r="Z368">
        <v>5555</v>
      </c>
      <c r="AA368">
        <v>5355</v>
      </c>
      <c r="AB368">
        <v>0</v>
      </c>
      <c r="AC368">
        <v>0</v>
      </c>
      <c r="AD368">
        <v>0</v>
      </c>
      <c r="AE368">
        <v>0</v>
      </c>
      <c r="AF368">
        <v>0</v>
      </c>
      <c r="AG368">
        <v>0</v>
      </c>
      <c r="AH368">
        <v>0</v>
      </c>
      <c r="AI368">
        <v>0</v>
      </c>
      <c r="AJ368">
        <v>0</v>
      </c>
      <c r="AK368">
        <v>0</v>
      </c>
      <c r="AL368">
        <v>90</v>
      </c>
      <c r="AM368">
        <v>0</v>
      </c>
      <c r="AN368">
        <v>0</v>
      </c>
      <c r="AO368">
        <v>0</v>
      </c>
      <c r="AP368">
        <v>214</v>
      </c>
      <c r="AQ368">
        <v>120</v>
      </c>
      <c r="AR368">
        <v>214</v>
      </c>
      <c r="AS368">
        <v>120</v>
      </c>
      <c r="AT368">
        <v>-124</v>
      </c>
      <c r="AU368">
        <v>-30</v>
      </c>
      <c r="AV368">
        <v>100</v>
      </c>
      <c r="AW368">
        <v>0.1</v>
      </c>
      <c r="AX368">
        <v>6.5</v>
      </c>
      <c r="AY368">
        <v>1.1000000000000001</v>
      </c>
      <c r="AZ368">
        <v>82.1</v>
      </c>
      <c r="BA368">
        <v>76.3</v>
      </c>
      <c r="BB368">
        <v>83.3</v>
      </c>
      <c r="BC368">
        <v>83.9</v>
      </c>
      <c r="BD368">
        <v>16.7</v>
      </c>
      <c r="BE368">
        <v>16.100000000000001</v>
      </c>
      <c r="BF368">
        <v>100</v>
      </c>
      <c r="BG368">
        <v>0.1</v>
      </c>
      <c r="BH368">
        <v>6.5</v>
      </c>
      <c r="BI368">
        <v>1.1000000000000001</v>
      </c>
      <c r="BJ368">
        <v>82.1</v>
      </c>
      <c r="BK368">
        <v>76.3</v>
      </c>
      <c r="BL368">
        <v>83.3</v>
      </c>
      <c r="BM368">
        <v>83.9</v>
      </c>
      <c r="BN368">
        <v>16.7</v>
      </c>
      <c r="BO368">
        <v>16.100000000000001</v>
      </c>
      <c r="BP368">
        <v>0</v>
      </c>
      <c r="BQ368">
        <v>0</v>
      </c>
      <c r="BR368">
        <v>0</v>
      </c>
      <c r="BS368">
        <v>0</v>
      </c>
      <c r="BT368">
        <v>0</v>
      </c>
      <c r="BU368">
        <v>0</v>
      </c>
      <c r="BV368">
        <v>0</v>
      </c>
      <c r="BW368">
        <v>0</v>
      </c>
      <c r="BX368">
        <v>0</v>
      </c>
      <c r="BY368">
        <v>0</v>
      </c>
      <c r="BZ368">
        <v>31</v>
      </c>
      <c r="CA368">
        <v>1</v>
      </c>
      <c r="CB368">
        <v>3</v>
      </c>
      <c r="CC368">
        <v>2</v>
      </c>
      <c r="CD368">
        <v>24</v>
      </c>
      <c r="CE368">
        <v>24</v>
      </c>
      <c r="CF368">
        <v>27</v>
      </c>
      <c r="CG368">
        <v>27</v>
      </c>
      <c r="CH368">
        <v>31</v>
      </c>
      <c r="CI368">
        <v>1</v>
      </c>
      <c r="CJ368">
        <v>3</v>
      </c>
      <c r="CK368">
        <v>2</v>
      </c>
      <c r="CL368">
        <v>24</v>
      </c>
      <c r="CM368">
        <v>24</v>
      </c>
      <c r="CN368">
        <v>27</v>
      </c>
      <c r="CO368">
        <v>27</v>
      </c>
      <c r="CP368">
        <v>0</v>
      </c>
      <c r="CQ368">
        <v>0</v>
      </c>
      <c r="CR368">
        <v>0</v>
      </c>
      <c r="CS368">
        <v>0</v>
      </c>
      <c r="CT368">
        <v>0</v>
      </c>
      <c r="CU368">
        <v>0</v>
      </c>
      <c r="CV368">
        <v>0</v>
      </c>
      <c r="CW368">
        <v>0</v>
      </c>
      <c r="CX368">
        <v>44.2</v>
      </c>
      <c r="CY368">
        <v>47.3</v>
      </c>
      <c r="CZ368">
        <v>62.3</v>
      </c>
      <c r="DA368">
        <v>60.5</v>
      </c>
      <c r="DB368">
        <v>32.799999999999997</v>
      </c>
      <c r="DC368">
        <v>43.7</v>
      </c>
      <c r="DD368">
        <v>44.6</v>
      </c>
      <c r="DE368">
        <v>50.7</v>
      </c>
      <c r="DF368">
        <v>44.2</v>
      </c>
      <c r="DG368">
        <v>47.3</v>
      </c>
      <c r="DH368">
        <v>62.3</v>
      </c>
      <c r="DI368">
        <v>60.5</v>
      </c>
      <c r="DJ368">
        <v>32.799999999999997</v>
      </c>
      <c r="DK368">
        <v>43.7</v>
      </c>
      <c r="DL368">
        <v>44.6</v>
      </c>
      <c r="DM368">
        <v>50.7</v>
      </c>
      <c r="DN368">
        <v>0</v>
      </c>
      <c r="DO368">
        <v>0</v>
      </c>
      <c r="DP368">
        <v>0</v>
      </c>
      <c r="DQ368">
        <v>0</v>
      </c>
      <c r="DR368">
        <v>0</v>
      </c>
      <c r="DS368">
        <v>0</v>
      </c>
      <c r="DT368">
        <v>0</v>
      </c>
      <c r="DU368">
        <v>0</v>
      </c>
      <c r="DV368" t="s">
        <v>575</v>
      </c>
    </row>
    <row r="369" spans="1:126" x14ac:dyDescent="0.35">
      <c r="A369" t="s">
        <v>640</v>
      </c>
      <c r="B369">
        <v>230110</v>
      </c>
      <c r="C369" s="1">
        <v>44936</v>
      </c>
      <c r="D369" t="s">
        <v>641</v>
      </c>
      <c r="E369" t="s">
        <v>231</v>
      </c>
      <c r="F369" t="s">
        <v>185</v>
      </c>
      <c r="G369" t="s">
        <v>463</v>
      </c>
      <c r="H369">
        <v>192171</v>
      </c>
      <c r="I369" s="17">
        <v>2085</v>
      </c>
      <c r="J369" s="17">
        <v>3292</v>
      </c>
      <c r="K369">
        <v>5180</v>
      </c>
      <c r="L369">
        <v>142897</v>
      </c>
      <c r="M369">
        <v>141770</v>
      </c>
      <c r="N369">
        <v>150162</v>
      </c>
      <c r="O369">
        <v>150242</v>
      </c>
      <c r="P369">
        <v>42009</v>
      </c>
      <c r="Q369">
        <v>41929</v>
      </c>
      <c r="R369">
        <v>192171</v>
      </c>
      <c r="S369">
        <v>2085</v>
      </c>
      <c r="T369">
        <v>3292</v>
      </c>
      <c r="U369">
        <v>5180</v>
      </c>
      <c r="V369">
        <v>142897</v>
      </c>
      <c r="W369">
        <v>141770</v>
      </c>
      <c r="X369">
        <v>150162</v>
      </c>
      <c r="Y369">
        <v>150242</v>
      </c>
      <c r="Z369">
        <v>42009</v>
      </c>
      <c r="AA369">
        <v>41929</v>
      </c>
      <c r="AB369">
        <v>0</v>
      </c>
      <c r="AC369">
        <v>0</v>
      </c>
      <c r="AD369">
        <v>0</v>
      </c>
      <c r="AE369">
        <v>0</v>
      </c>
      <c r="AF369">
        <v>0</v>
      </c>
      <c r="AG369">
        <v>0</v>
      </c>
      <c r="AH369">
        <v>0</v>
      </c>
      <c r="AI369">
        <v>0</v>
      </c>
      <c r="AJ369">
        <v>0</v>
      </c>
      <c r="AK369">
        <v>0</v>
      </c>
      <c r="AL369">
        <v>-3334</v>
      </c>
      <c r="AM369">
        <v>-2711</v>
      </c>
      <c r="AN369">
        <v>1015</v>
      </c>
      <c r="AO369">
        <v>1632</v>
      </c>
      <c r="AP369">
        <v>-431</v>
      </c>
      <c r="AQ369">
        <v>-4057</v>
      </c>
      <c r="AR369">
        <v>-1510</v>
      </c>
      <c r="AS369">
        <v>-1410</v>
      </c>
      <c r="AT369">
        <v>-1824</v>
      </c>
      <c r="AU369">
        <v>-1924</v>
      </c>
      <c r="AV369">
        <v>100</v>
      </c>
      <c r="AW369">
        <v>1.1000000000000001</v>
      </c>
      <c r="AX369">
        <v>1.7</v>
      </c>
      <c r="AY369">
        <v>2.7</v>
      </c>
      <c r="AZ369">
        <v>74.400000000000006</v>
      </c>
      <c r="BA369">
        <v>73.8</v>
      </c>
      <c r="BB369">
        <v>78.099999999999994</v>
      </c>
      <c r="BC369">
        <v>78.2</v>
      </c>
      <c r="BD369">
        <v>21.9</v>
      </c>
      <c r="BE369">
        <v>21.8</v>
      </c>
      <c r="BF369">
        <v>100</v>
      </c>
      <c r="BG369">
        <v>1.1000000000000001</v>
      </c>
      <c r="BH369">
        <v>1.7</v>
      </c>
      <c r="BI369">
        <v>2.7</v>
      </c>
      <c r="BJ369">
        <v>74.400000000000006</v>
      </c>
      <c r="BK369">
        <v>73.8</v>
      </c>
      <c r="BL369">
        <v>78.099999999999994</v>
      </c>
      <c r="BM369">
        <v>78.2</v>
      </c>
      <c r="BN369">
        <v>21.9</v>
      </c>
      <c r="BO369">
        <v>21.8</v>
      </c>
      <c r="BP369">
        <v>0</v>
      </c>
      <c r="BQ369">
        <v>0</v>
      </c>
      <c r="BR369">
        <v>0</v>
      </c>
      <c r="BS369">
        <v>0</v>
      </c>
      <c r="BT369">
        <v>0</v>
      </c>
      <c r="BU369">
        <v>0</v>
      </c>
      <c r="BV369">
        <v>0</v>
      </c>
      <c r="BW369">
        <v>0</v>
      </c>
      <c r="BX369">
        <v>0</v>
      </c>
      <c r="BY369">
        <v>0</v>
      </c>
      <c r="BZ369">
        <v>44</v>
      </c>
      <c r="CA369">
        <v>4</v>
      </c>
      <c r="CB369">
        <v>3</v>
      </c>
      <c r="CC369">
        <v>5</v>
      </c>
      <c r="CD369">
        <v>29</v>
      </c>
      <c r="CE369">
        <v>35</v>
      </c>
      <c r="CF369">
        <v>36</v>
      </c>
      <c r="CG369">
        <v>41</v>
      </c>
      <c r="CH369">
        <v>44</v>
      </c>
      <c r="CI369">
        <v>4</v>
      </c>
      <c r="CJ369">
        <v>3</v>
      </c>
      <c r="CK369">
        <v>5</v>
      </c>
      <c r="CL369">
        <v>29</v>
      </c>
      <c r="CM369">
        <v>35</v>
      </c>
      <c r="CN369">
        <v>36</v>
      </c>
      <c r="CO369">
        <v>41</v>
      </c>
      <c r="CP369">
        <v>0</v>
      </c>
      <c r="CQ369">
        <v>0</v>
      </c>
      <c r="CR369">
        <v>0</v>
      </c>
      <c r="CS369">
        <v>0</v>
      </c>
      <c r="CT369">
        <v>0</v>
      </c>
      <c r="CU369">
        <v>0</v>
      </c>
      <c r="CV369">
        <v>0</v>
      </c>
      <c r="CW369">
        <v>0</v>
      </c>
      <c r="CX369">
        <v>30.8</v>
      </c>
      <c r="CY369">
        <v>38.5</v>
      </c>
      <c r="CZ369">
        <v>45.1</v>
      </c>
      <c r="DA369">
        <v>55</v>
      </c>
      <c r="DB369">
        <v>18.5</v>
      </c>
      <c r="DC369">
        <v>31.4</v>
      </c>
      <c r="DD369">
        <v>28.4</v>
      </c>
      <c r="DE369">
        <v>37.200000000000003</v>
      </c>
      <c r="DF369">
        <v>30.8</v>
      </c>
      <c r="DG369">
        <v>38.5</v>
      </c>
      <c r="DH369">
        <v>45.1</v>
      </c>
      <c r="DI369">
        <v>55</v>
      </c>
      <c r="DJ369">
        <v>18.5</v>
      </c>
      <c r="DK369">
        <v>31.4</v>
      </c>
      <c r="DL369">
        <v>28.4</v>
      </c>
      <c r="DM369">
        <v>37.200000000000003</v>
      </c>
      <c r="DN369">
        <v>0</v>
      </c>
      <c r="DO369">
        <v>0</v>
      </c>
      <c r="DP369">
        <v>0</v>
      </c>
      <c r="DQ369">
        <v>0</v>
      </c>
      <c r="DR369">
        <v>0</v>
      </c>
      <c r="DS369">
        <v>0</v>
      </c>
      <c r="DT369">
        <v>0</v>
      </c>
      <c r="DU369">
        <v>0</v>
      </c>
      <c r="DV369" t="s">
        <v>575</v>
      </c>
    </row>
    <row r="370" spans="1:126" x14ac:dyDescent="0.35">
      <c r="A370" t="s">
        <v>640</v>
      </c>
      <c r="B370">
        <v>230103</v>
      </c>
      <c r="C370" s="1">
        <v>44929</v>
      </c>
      <c r="D370" t="s">
        <v>641</v>
      </c>
      <c r="E370" t="s">
        <v>231</v>
      </c>
      <c r="F370" t="s">
        <v>185</v>
      </c>
      <c r="G370" t="s">
        <v>463</v>
      </c>
      <c r="H370">
        <v>195505</v>
      </c>
      <c r="I370" s="17">
        <v>4796</v>
      </c>
      <c r="J370" s="17">
        <v>2277</v>
      </c>
      <c r="K370">
        <v>3548</v>
      </c>
      <c r="L370">
        <v>143328</v>
      </c>
      <c r="M370">
        <v>145827</v>
      </c>
      <c r="N370">
        <v>151672</v>
      </c>
      <c r="O370">
        <v>151652</v>
      </c>
      <c r="P370">
        <v>43833</v>
      </c>
      <c r="Q370">
        <v>43853</v>
      </c>
      <c r="R370">
        <v>195505</v>
      </c>
      <c r="S370">
        <v>4796</v>
      </c>
      <c r="T370">
        <v>2277</v>
      </c>
      <c r="U370">
        <v>3548</v>
      </c>
      <c r="V370">
        <v>143328</v>
      </c>
      <c r="W370">
        <v>145827</v>
      </c>
      <c r="X370">
        <v>151672</v>
      </c>
      <c r="Y370">
        <v>151652</v>
      </c>
      <c r="Z370">
        <v>43833</v>
      </c>
      <c r="AA370">
        <v>43853</v>
      </c>
      <c r="AB370">
        <v>0</v>
      </c>
      <c r="AC370">
        <v>0</v>
      </c>
      <c r="AD370">
        <v>0</v>
      </c>
      <c r="AE370">
        <v>0</v>
      </c>
      <c r="AF370">
        <v>0</v>
      </c>
      <c r="AG370">
        <v>0</v>
      </c>
      <c r="AH370">
        <v>0</v>
      </c>
      <c r="AI370">
        <v>0</v>
      </c>
      <c r="AJ370">
        <v>0</v>
      </c>
      <c r="AK370">
        <v>0</v>
      </c>
      <c r="AL370">
        <v>1013</v>
      </c>
      <c r="AM370">
        <v>0</v>
      </c>
      <c r="AN370">
        <v>-375</v>
      </c>
      <c r="AO370">
        <v>200</v>
      </c>
      <c r="AP370">
        <v>168</v>
      </c>
      <c r="AQ370">
        <v>543</v>
      </c>
      <c r="AR370">
        <v>368</v>
      </c>
      <c r="AS370">
        <v>368</v>
      </c>
      <c r="AT370">
        <v>645</v>
      </c>
      <c r="AU370">
        <v>645</v>
      </c>
      <c r="AV370">
        <v>100</v>
      </c>
      <c r="AW370">
        <v>2.5</v>
      </c>
      <c r="AX370">
        <v>1.2</v>
      </c>
      <c r="AY370">
        <v>1.8</v>
      </c>
      <c r="AZ370">
        <v>73.3</v>
      </c>
      <c r="BA370">
        <v>74.599999999999994</v>
      </c>
      <c r="BB370">
        <v>77.599999999999994</v>
      </c>
      <c r="BC370">
        <v>77.599999999999994</v>
      </c>
      <c r="BD370">
        <v>22.4</v>
      </c>
      <c r="BE370">
        <v>22.4</v>
      </c>
      <c r="BF370">
        <v>100</v>
      </c>
      <c r="BG370">
        <v>2.5</v>
      </c>
      <c r="BH370">
        <v>1.2</v>
      </c>
      <c r="BI370">
        <v>1.8</v>
      </c>
      <c r="BJ370">
        <v>73.3</v>
      </c>
      <c r="BK370">
        <v>74.599999999999994</v>
      </c>
      <c r="BL370">
        <v>77.599999999999994</v>
      </c>
      <c r="BM370">
        <v>77.599999999999994</v>
      </c>
      <c r="BN370">
        <v>22.4</v>
      </c>
      <c r="BO370">
        <v>22.4</v>
      </c>
      <c r="BP370">
        <v>0</v>
      </c>
      <c r="BQ370">
        <v>0</v>
      </c>
      <c r="BR370">
        <v>0</v>
      </c>
      <c r="BS370">
        <v>0</v>
      </c>
      <c r="BT370">
        <v>0</v>
      </c>
      <c r="BU370">
        <v>0</v>
      </c>
      <c r="BV370">
        <v>0</v>
      </c>
      <c r="BW370">
        <v>0</v>
      </c>
      <c r="BX370">
        <v>0</v>
      </c>
      <c r="BY370">
        <v>0</v>
      </c>
      <c r="BZ370">
        <v>46</v>
      </c>
      <c r="CA370">
        <v>5</v>
      </c>
      <c r="CB370">
        <v>4</v>
      </c>
      <c r="CC370">
        <v>6</v>
      </c>
      <c r="CD370">
        <v>32</v>
      </c>
      <c r="CE370">
        <v>37</v>
      </c>
      <c r="CF370">
        <v>40</v>
      </c>
      <c r="CG370">
        <v>44</v>
      </c>
      <c r="CH370">
        <v>46</v>
      </c>
      <c r="CI370">
        <v>5</v>
      </c>
      <c r="CJ370">
        <v>4</v>
      </c>
      <c r="CK370">
        <v>6</v>
      </c>
      <c r="CL370">
        <v>32</v>
      </c>
      <c r="CM370">
        <v>37</v>
      </c>
      <c r="CN370">
        <v>40</v>
      </c>
      <c r="CO370">
        <v>44</v>
      </c>
      <c r="CP370">
        <v>0</v>
      </c>
      <c r="CQ370">
        <v>0</v>
      </c>
      <c r="CR370">
        <v>0</v>
      </c>
      <c r="CS370">
        <v>0</v>
      </c>
      <c r="CT370">
        <v>0</v>
      </c>
      <c r="CU370">
        <v>0</v>
      </c>
      <c r="CV370">
        <v>0</v>
      </c>
      <c r="CW370">
        <v>0</v>
      </c>
      <c r="CX370">
        <v>29.7</v>
      </c>
      <c r="CY370">
        <v>38.5</v>
      </c>
      <c r="CZ370">
        <v>43.7</v>
      </c>
      <c r="DA370">
        <v>55.4</v>
      </c>
      <c r="DB370">
        <v>17.5</v>
      </c>
      <c r="DC370">
        <v>30.4</v>
      </c>
      <c r="DD370">
        <v>26.7</v>
      </c>
      <c r="DE370">
        <v>36.299999999999997</v>
      </c>
      <c r="DF370">
        <v>29.7</v>
      </c>
      <c r="DG370">
        <v>38.5</v>
      </c>
      <c r="DH370">
        <v>43.7</v>
      </c>
      <c r="DI370">
        <v>55.4</v>
      </c>
      <c r="DJ370">
        <v>17.5</v>
      </c>
      <c r="DK370">
        <v>30.4</v>
      </c>
      <c r="DL370">
        <v>26.7</v>
      </c>
      <c r="DM370">
        <v>36.299999999999997</v>
      </c>
      <c r="DN370">
        <v>0</v>
      </c>
      <c r="DO370">
        <v>0</v>
      </c>
      <c r="DP370">
        <v>0</v>
      </c>
      <c r="DQ370">
        <v>0</v>
      </c>
      <c r="DR370">
        <v>0</v>
      </c>
      <c r="DS370">
        <v>0</v>
      </c>
      <c r="DT370">
        <v>0</v>
      </c>
      <c r="DU370">
        <v>0</v>
      </c>
      <c r="DV370" t="s">
        <v>575</v>
      </c>
    </row>
    <row r="371" spans="1:126" x14ac:dyDescent="0.35">
      <c r="A371" t="s">
        <v>642</v>
      </c>
      <c r="B371">
        <v>230110</v>
      </c>
      <c r="C371" s="1">
        <v>44936</v>
      </c>
      <c r="D371" t="s">
        <v>643</v>
      </c>
      <c r="E371" t="s">
        <v>231</v>
      </c>
      <c r="F371" t="s">
        <v>185</v>
      </c>
      <c r="G371" t="s">
        <v>463</v>
      </c>
      <c r="H371">
        <v>169275</v>
      </c>
      <c r="I371" s="17">
        <v>8126</v>
      </c>
      <c r="J371" s="17">
        <v>1839</v>
      </c>
      <c r="K371">
        <v>7300</v>
      </c>
      <c r="L371">
        <v>120682</v>
      </c>
      <c r="M371">
        <v>127139</v>
      </c>
      <c r="N371">
        <v>136108</v>
      </c>
      <c r="O371">
        <v>136278</v>
      </c>
      <c r="P371">
        <v>33167</v>
      </c>
      <c r="Q371">
        <v>32997</v>
      </c>
      <c r="R371">
        <v>169275</v>
      </c>
      <c r="S371">
        <v>8126</v>
      </c>
      <c r="T371">
        <v>1839</v>
      </c>
      <c r="U371">
        <v>7300</v>
      </c>
      <c r="V371">
        <v>120682</v>
      </c>
      <c r="W371">
        <v>127139</v>
      </c>
      <c r="X371">
        <v>136108</v>
      </c>
      <c r="Y371">
        <v>136278</v>
      </c>
      <c r="Z371">
        <v>33167</v>
      </c>
      <c r="AA371">
        <v>32997</v>
      </c>
      <c r="AB371">
        <v>0</v>
      </c>
      <c r="AC371">
        <v>0</v>
      </c>
      <c r="AD371">
        <v>0</v>
      </c>
      <c r="AE371">
        <v>0</v>
      </c>
      <c r="AF371">
        <v>0</v>
      </c>
      <c r="AG371">
        <v>0</v>
      </c>
      <c r="AH371">
        <v>0</v>
      </c>
      <c r="AI371">
        <v>0</v>
      </c>
      <c r="AJ371">
        <v>0</v>
      </c>
      <c r="AK371">
        <v>0</v>
      </c>
      <c r="AL371">
        <v>-3679</v>
      </c>
      <c r="AM371">
        <v>-450</v>
      </c>
      <c r="AN371">
        <v>-644</v>
      </c>
      <c r="AO371">
        <v>-205</v>
      </c>
      <c r="AP371">
        <v>-1566</v>
      </c>
      <c r="AQ371">
        <v>-1382</v>
      </c>
      <c r="AR371">
        <v>-2221</v>
      </c>
      <c r="AS371">
        <v>-2231</v>
      </c>
      <c r="AT371">
        <v>-1458</v>
      </c>
      <c r="AU371">
        <v>-1448</v>
      </c>
      <c r="AV371">
        <v>100</v>
      </c>
      <c r="AW371">
        <v>4.8</v>
      </c>
      <c r="AX371">
        <v>1.1000000000000001</v>
      </c>
      <c r="AY371">
        <v>4.3</v>
      </c>
      <c r="AZ371">
        <v>71.3</v>
      </c>
      <c r="BA371">
        <v>75.099999999999994</v>
      </c>
      <c r="BB371">
        <v>80.400000000000006</v>
      </c>
      <c r="BC371">
        <v>80.5</v>
      </c>
      <c r="BD371">
        <v>19.600000000000001</v>
      </c>
      <c r="BE371">
        <v>19.5</v>
      </c>
      <c r="BF371">
        <v>100</v>
      </c>
      <c r="BG371">
        <v>4.8</v>
      </c>
      <c r="BH371">
        <v>1.1000000000000001</v>
      </c>
      <c r="BI371">
        <v>4.3</v>
      </c>
      <c r="BJ371">
        <v>71.3</v>
      </c>
      <c r="BK371">
        <v>75.099999999999994</v>
      </c>
      <c r="BL371">
        <v>80.400000000000006</v>
      </c>
      <c r="BM371">
        <v>80.5</v>
      </c>
      <c r="BN371">
        <v>19.600000000000001</v>
      </c>
      <c r="BO371">
        <v>19.5</v>
      </c>
      <c r="BP371">
        <v>0</v>
      </c>
      <c r="BQ371">
        <v>0</v>
      </c>
      <c r="BR371">
        <v>0</v>
      </c>
      <c r="BS371">
        <v>0</v>
      </c>
      <c r="BT371">
        <v>0</v>
      </c>
      <c r="BU371">
        <v>0</v>
      </c>
      <c r="BV371">
        <v>0</v>
      </c>
      <c r="BW371">
        <v>0</v>
      </c>
      <c r="BX371">
        <v>0</v>
      </c>
      <c r="BY371">
        <v>0</v>
      </c>
      <c r="BZ371">
        <v>43</v>
      </c>
      <c r="CA371">
        <v>4</v>
      </c>
      <c r="CB371">
        <v>4</v>
      </c>
      <c r="CC371">
        <v>5</v>
      </c>
      <c r="CD371">
        <v>31</v>
      </c>
      <c r="CE371">
        <v>34</v>
      </c>
      <c r="CF371">
        <v>38</v>
      </c>
      <c r="CG371">
        <v>40</v>
      </c>
      <c r="CH371">
        <v>43</v>
      </c>
      <c r="CI371">
        <v>4</v>
      </c>
      <c r="CJ371">
        <v>4</v>
      </c>
      <c r="CK371">
        <v>5</v>
      </c>
      <c r="CL371">
        <v>31</v>
      </c>
      <c r="CM371">
        <v>34</v>
      </c>
      <c r="CN371">
        <v>38</v>
      </c>
      <c r="CO371">
        <v>40</v>
      </c>
      <c r="CP371">
        <v>0</v>
      </c>
      <c r="CQ371">
        <v>0</v>
      </c>
      <c r="CR371">
        <v>0</v>
      </c>
      <c r="CS371">
        <v>0</v>
      </c>
      <c r="CT371">
        <v>0</v>
      </c>
      <c r="CU371">
        <v>0</v>
      </c>
      <c r="CV371">
        <v>0</v>
      </c>
      <c r="CW371">
        <v>0</v>
      </c>
      <c r="CX371">
        <v>33.299999999999997</v>
      </c>
      <c r="CY371">
        <v>35.299999999999997</v>
      </c>
      <c r="CZ371">
        <v>49.6</v>
      </c>
      <c r="DA371">
        <v>54.9</v>
      </c>
      <c r="DB371">
        <v>23.5</v>
      </c>
      <c r="DC371">
        <v>29.9</v>
      </c>
      <c r="DD371">
        <v>32.299999999999997</v>
      </c>
      <c r="DE371">
        <v>38.799999999999997</v>
      </c>
      <c r="DF371">
        <v>33.299999999999997</v>
      </c>
      <c r="DG371">
        <v>35.299999999999997</v>
      </c>
      <c r="DH371">
        <v>49.6</v>
      </c>
      <c r="DI371">
        <v>54.9</v>
      </c>
      <c r="DJ371">
        <v>23.5</v>
      </c>
      <c r="DK371">
        <v>29.9</v>
      </c>
      <c r="DL371">
        <v>32.299999999999997</v>
      </c>
      <c r="DM371">
        <v>38.799999999999997</v>
      </c>
      <c r="DN371">
        <v>0</v>
      </c>
      <c r="DO371">
        <v>0</v>
      </c>
      <c r="DP371">
        <v>0</v>
      </c>
      <c r="DQ371">
        <v>0</v>
      </c>
      <c r="DR371">
        <v>0</v>
      </c>
      <c r="DS371">
        <v>0</v>
      </c>
      <c r="DT371">
        <v>0</v>
      </c>
      <c r="DU371">
        <v>0</v>
      </c>
      <c r="DV371" t="s">
        <v>575</v>
      </c>
    </row>
    <row r="372" spans="1:126" x14ac:dyDescent="0.35">
      <c r="A372" t="s">
        <v>642</v>
      </c>
      <c r="B372">
        <v>230103</v>
      </c>
      <c r="C372" s="1">
        <v>44929</v>
      </c>
      <c r="D372" t="s">
        <v>643</v>
      </c>
      <c r="E372" t="s">
        <v>231</v>
      </c>
      <c r="F372" t="s">
        <v>185</v>
      </c>
      <c r="G372" t="s">
        <v>463</v>
      </c>
      <c r="H372">
        <v>172954</v>
      </c>
      <c r="I372" s="17">
        <v>8576</v>
      </c>
      <c r="J372" s="17">
        <v>2483</v>
      </c>
      <c r="K372">
        <v>7505</v>
      </c>
      <c r="L372">
        <v>122248</v>
      </c>
      <c r="M372">
        <v>128521</v>
      </c>
      <c r="N372">
        <v>138329</v>
      </c>
      <c r="O372">
        <v>138509</v>
      </c>
      <c r="P372">
        <v>34625</v>
      </c>
      <c r="Q372">
        <v>34445</v>
      </c>
      <c r="R372">
        <v>172954</v>
      </c>
      <c r="S372">
        <v>8576</v>
      </c>
      <c r="T372">
        <v>2483</v>
      </c>
      <c r="U372">
        <v>7505</v>
      </c>
      <c r="V372">
        <v>122248</v>
      </c>
      <c r="W372">
        <v>128521</v>
      </c>
      <c r="X372">
        <v>138329</v>
      </c>
      <c r="Y372">
        <v>138509</v>
      </c>
      <c r="Z372">
        <v>34625</v>
      </c>
      <c r="AA372">
        <v>34445</v>
      </c>
      <c r="AB372">
        <v>0</v>
      </c>
      <c r="AC372">
        <v>0</v>
      </c>
      <c r="AD372">
        <v>0</v>
      </c>
      <c r="AE372">
        <v>0</v>
      </c>
      <c r="AF372">
        <v>0</v>
      </c>
      <c r="AG372">
        <v>0</v>
      </c>
      <c r="AH372">
        <v>0</v>
      </c>
      <c r="AI372">
        <v>0</v>
      </c>
      <c r="AJ372">
        <v>0</v>
      </c>
      <c r="AK372">
        <v>0</v>
      </c>
      <c r="AL372">
        <v>1212</v>
      </c>
      <c r="AM372">
        <v>0</v>
      </c>
      <c r="AN372">
        <v>-140</v>
      </c>
      <c r="AO372">
        <v>200</v>
      </c>
      <c r="AP372">
        <v>810</v>
      </c>
      <c r="AQ372">
        <v>950</v>
      </c>
      <c r="AR372">
        <v>1010</v>
      </c>
      <c r="AS372">
        <v>1010</v>
      </c>
      <c r="AT372">
        <v>202</v>
      </c>
      <c r="AU372">
        <v>202</v>
      </c>
      <c r="AV372">
        <v>100</v>
      </c>
      <c r="AW372">
        <v>5</v>
      </c>
      <c r="AX372">
        <v>1.4</v>
      </c>
      <c r="AY372">
        <v>4.3</v>
      </c>
      <c r="AZ372">
        <v>70.7</v>
      </c>
      <c r="BA372">
        <v>74.3</v>
      </c>
      <c r="BB372">
        <v>80</v>
      </c>
      <c r="BC372">
        <v>80.099999999999994</v>
      </c>
      <c r="BD372">
        <v>20</v>
      </c>
      <c r="BE372">
        <v>19.899999999999999</v>
      </c>
      <c r="BF372">
        <v>100</v>
      </c>
      <c r="BG372">
        <v>5</v>
      </c>
      <c r="BH372">
        <v>1.4</v>
      </c>
      <c r="BI372">
        <v>4.3</v>
      </c>
      <c r="BJ372">
        <v>70.7</v>
      </c>
      <c r="BK372">
        <v>74.3</v>
      </c>
      <c r="BL372">
        <v>80</v>
      </c>
      <c r="BM372">
        <v>80.099999999999994</v>
      </c>
      <c r="BN372">
        <v>20</v>
      </c>
      <c r="BO372">
        <v>19.899999999999999</v>
      </c>
      <c r="BP372">
        <v>0</v>
      </c>
      <c r="BQ372">
        <v>0</v>
      </c>
      <c r="BR372">
        <v>0</v>
      </c>
      <c r="BS372">
        <v>0</v>
      </c>
      <c r="BT372">
        <v>0</v>
      </c>
      <c r="BU372">
        <v>0</v>
      </c>
      <c r="BV372">
        <v>0</v>
      </c>
      <c r="BW372">
        <v>0</v>
      </c>
      <c r="BX372">
        <v>0</v>
      </c>
      <c r="BY372">
        <v>0</v>
      </c>
      <c r="BZ372">
        <v>44</v>
      </c>
      <c r="CA372">
        <v>4</v>
      </c>
      <c r="CB372">
        <v>4</v>
      </c>
      <c r="CC372">
        <v>5</v>
      </c>
      <c r="CD372">
        <v>31</v>
      </c>
      <c r="CE372">
        <v>36</v>
      </c>
      <c r="CF372">
        <v>38</v>
      </c>
      <c r="CG372">
        <v>42</v>
      </c>
      <c r="CH372">
        <v>44</v>
      </c>
      <c r="CI372">
        <v>4</v>
      </c>
      <c r="CJ372">
        <v>4</v>
      </c>
      <c r="CK372">
        <v>5</v>
      </c>
      <c r="CL372">
        <v>31</v>
      </c>
      <c r="CM372">
        <v>36</v>
      </c>
      <c r="CN372">
        <v>38</v>
      </c>
      <c r="CO372">
        <v>42</v>
      </c>
      <c r="CP372">
        <v>0</v>
      </c>
      <c r="CQ372">
        <v>0</v>
      </c>
      <c r="CR372">
        <v>0</v>
      </c>
      <c r="CS372">
        <v>0</v>
      </c>
      <c r="CT372">
        <v>0</v>
      </c>
      <c r="CU372">
        <v>0</v>
      </c>
      <c r="CV372">
        <v>0</v>
      </c>
      <c r="CW372">
        <v>0</v>
      </c>
      <c r="CX372">
        <v>31.9</v>
      </c>
      <c r="CY372">
        <v>33.9</v>
      </c>
      <c r="CZ372">
        <v>47.8</v>
      </c>
      <c r="DA372">
        <v>53.9</v>
      </c>
      <c r="DB372">
        <v>22.3</v>
      </c>
      <c r="DC372">
        <v>28.3</v>
      </c>
      <c r="DD372">
        <v>30.6</v>
      </c>
      <c r="DE372">
        <v>36.799999999999997</v>
      </c>
      <c r="DF372">
        <v>31.9</v>
      </c>
      <c r="DG372">
        <v>33.9</v>
      </c>
      <c r="DH372">
        <v>47.8</v>
      </c>
      <c r="DI372">
        <v>53.9</v>
      </c>
      <c r="DJ372">
        <v>22.3</v>
      </c>
      <c r="DK372">
        <v>28.3</v>
      </c>
      <c r="DL372">
        <v>30.6</v>
      </c>
      <c r="DM372">
        <v>36.799999999999997</v>
      </c>
      <c r="DN372">
        <v>0</v>
      </c>
      <c r="DO372">
        <v>0</v>
      </c>
      <c r="DP372">
        <v>0</v>
      </c>
      <c r="DQ372">
        <v>0</v>
      </c>
      <c r="DR372">
        <v>0</v>
      </c>
      <c r="DS372">
        <v>0</v>
      </c>
      <c r="DT372">
        <v>0</v>
      </c>
      <c r="DU372">
        <v>0</v>
      </c>
      <c r="DV372" t="s">
        <v>575</v>
      </c>
    </row>
    <row r="373" spans="1:126" x14ac:dyDescent="0.35">
      <c r="A373" t="s">
        <v>644</v>
      </c>
      <c r="B373">
        <v>230110</v>
      </c>
      <c r="C373" s="1">
        <v>44936</v>
      </c>
      <c r="D373" t="s">
        <v>645</v>
      </c>
      <c r="E373" t="s">
        <v>231</v>
      </c>
      <c r="F373" t="s">
        <v>185</v>
      </c>
      <c r="G373" t="s">
        <v>463</v>
      </c>
      <c r="H373">
        <v>106060</v>
      </c>
      <c r="I373" s="17">
        <v>4975</v>
      </c>
      <c r="J373" s="17">
        <v>3875</v>
      </c>
      <c r="K373">
        <v>330</v>
      </c>
      <c r="L373">
        <v>85460</v>
      </c>
      <c r="M373">
        <v>86760</v>
      </c>
      <c r="N373">
        <v>90765</v>
      </c>
      <c r="O373">
        <v>90965</v>
      </c>
      <c r="P373">
        <v>15295</v>
      </c>
      <c r="Q373">
        <v>15095</v>
      </c>
      <c r="R373">
        <v>106060</v>
      </c>
      <c r="S373">
        <v>4975</v>
      </c>
      <c r="T373">
        <v>3875</v>
      </c>
      <c r="U373">
        <v>330</v>
      </c>
      <c r="V373">
        <v>85460</v>
      </c>
      <c r="W373">
        <v>86760</v>
      </c>
      <c r="X373">
        <v>90765</v>
      </c>
      <c r="Y373">
        <v>90965</v>
      </c>
      <c r="Z373">
        <v>15295</v>
      </c>
      <c r="AA373">
        <v>15095</v>
      </c>
      <c r="AB373">
        <v>0</v>
      </c>
      <c r="AC373">
        <v>0</v>
      </c>
      <c r="AD373">
        <v>0</v>
      </c>
      <c r="AE373">
        <v>0</v>
      </c>
      <c r="AF373">
        <v>0</v>
      </c>
      <c r="AG373">
        <v>0</v>
      </c>
      <c r="AH373">
        <v>0</v>
      </c>
      <c r="AI373">
        <v>0</v>
      </c>
      <c r="AJ373">
        <v>0</v>
      </c>
      <c r="AK373">
        <v>0</v>
      </c>
      <c r="AL373">
        <v>4085</v>
      </c>
      <c r="AM373">
        <v>0</v>
      </c>
      <c r="AN373">
        <v>1925</v>
      </c>
      <c r="AO373">
        <v>-175</v>
      </c>
      <c r="AP373">
        <v>895</v>
      </c>
      <c r="AQ373">
        <v>-830</v>
      </c>
      <c r="AR373">
        <v>720</v>
      </c>
      <c r="AS373">
        <v>920</v>
      </c>
      <c r="AT373">
        <v>3365</v>
      </c>
      <c r="AU373">
        <v>3165</v>
      </c>
      <c r="AV373">
        <v>100</v>
      </c>
      <c r="AW373">
        <v>4.7</v>
      </c>
      <c r="AX373">
        <v>3.7</v>
      </c>
      <c r="AY373">
        <v>0.3</v>
      </c>
      <c r="AZ373">
        <v>80.599999999999994</v>
      </c>
      <c r="BA373">
        <v>81.8</v>
      </c>
      <c r="BB373">
        <v>85.6</v>
      </c>
      <c r="BC373">
        <v>85.8</v>
      </c>
      <c r="BD373">
        <v>14.4</v>
      </c>
      <c r="BE373">
        <v>14.2</v>
      </c>
      <c r="BF373">
        <v>100</v>
      </c>
      <c r="BG373">
        <v>4.7</v>
      </c>
      <c r="BH373">
        <v>3.7</v>
      </c>
      <c r="BI373">
        <v>0.3</v>
      </c>
      <c r="BJ373">
        <v>80.599999999999994</v>
      </c>
      <c r="BK373">
        <v>81.8</v>
      </c>
      <c r="BL373">
        <v>85.6</v>
      </c>
      <c r="BM373">
        <v>85.8</v>
      </c>
      <c r="BN373">
        <v>14.4</v>
      </c>
      <c r="BO373">
        <v>14.2</v>
      </c>
      <c r="BP373">
        <v>0</v>
      </c>
      <c r="BQ373">
        <v>0</v>
      </c>
      <c r="BR373">
        <v>0</v>
      </c>
      <c r="BS373">
        <v>0</v>
      </c>
      <c r="BT373">
        <v>0</v>
      </c>
      <c r="BU373">
        <v>0</v>
      </c>
      <c r="BV373">
        <v>0</v>
      </c>
      <c r="BW373">
        <v>0</v>
      </c>
      <c r="BX373">
        <v>0</v>
      </c>
      <c r="BY373">
        <v>0</v>
      </c>
      <c r="BZ373">
        <v>21</v>
      </c>
      <c r="CA373">
        <v>2</v>
      </c>
      <c r="CB373">
        <v>2</v>
      </c>
      <c r="CC373">
        <v>2</v>
      </c>
      <c r="CD373">
        <v>13</v>
      </c>
      <c r="CE373">
        <v>14</v>
      </c>
      <c r="CF373">
        <v>16</v>
      </c>
      <c r="CG373">
        <v>17</v>
      </c>
      <c r="CH373">
        <v>21</v>
      </c>
      <c r="CI373">
        <v>2</v>
      </c>
      <c r="CJ373">
        <v>2</v>
      </c>
      <c r="CK373">
        <v>2</v>
      </c>
      <c r="CL373">
        <v>13</v>
      </c>
      <c r="CM373">
        <v>14</v>
      </c>
      <c r="CN373">
        <v>16</v>
      </c>
      <c r="CO373">
        <v>17</v>
      </c>
      <c r="CP373">
        <v>0</v>
      </c>
      <c r="CQ373">
        <v>0</v>
      </c>
      <c r="CR373">
        <v>0</v>
      </c>
      <c r="CS373">
        <v>0</v>
      </c>
      <c r="CT373">
        <v>0</v>
      </c>
      <c r="CU373">
        <v>0</v>
      </c>
      <c r="CV373">
        <v>0</v>
      </c>
      <c r="CW373">
        <v>0</v>
      </c>
      <c r="CX373">
        <v>59.9</v>
      </c>
      <c r="CY373">
        <v>67.2</v>
      </c>
      <c r="CZ373">
        <v>78</v>
      </c>
      <c r="DA373">
        <v>81.8</v>
      </c>
      <c r="DB373">
        <v>50</v>
      </c>
      <c r="DC373">
        <v>47.6</v>
      </c>
      <c r="DD373">
        <v>57.7</v>
      </c>
      <c r="DE373">
        <v>59</v>
      </c>
      <c r="DF373">
        <v>59.9</v>
      </c>
      <c r="DG373">
        <v>67.2</v>
      </c>
      <c r="DH373">
        <v>78</v>
      </c>
      <c r="DI373">
        <v>81.8</v>
      </c>
      <c r="DJ373">
        <v>50</v>
      </c>
      <c r="DK373">
        <v>47.6</v>
      </c>
      <c r="DL373">
        <v>57.7</v>
      </c>
      <c r="DM373">
        <v>59</v>
      </c>
      <c r="DN373">
        <v>0</v>
      </c>
      <c r="DO373">
        <v>0</v>
      </c>
      <c r="DP373">
        <v>0</v>
      </c>
      <c r="DQ373">
        <v>0</v>
      </c>
      <c r="DR373">
        <v>0</v>
      </c>
      <c r="DS373">
        <v>0</v>
      </c>
      <c r="DT373">
        <v>0</v>
      </c>
      <c r="DU373">
        <v>0</v>
      </c>
      <c r="DV373" t="s">
        <v>575</v>
      </c>
    </row>
    <row r="374" spans="1:126" x14ac:dyDescent="0.35">
      <c r="A374" t="s">
        <v>644</v>
      </c>
      <c r="B374">
        <v>230103</v>
      </c>
      <c r="C374" s="1">
        <v>44929</v>
      </c>
      <c r="D374" t="s">
        <v>645</v>
      </c>
      <c r="E374" t="s">
        <v>231</v>
      </c>
      <c r="F374" t="s">
        <v>185</v>
      </c>
      <c r="G374" t="s">
        <v>463</v>
      </c>
      <c r="H374">
        <v>101975</v>
      </c>
      <c r="I374" s="17">
        <v>4975</v>
      </c>
      <c r="J374" s="17">
        <v>1950</v>
      </c>
      <c r="K374">
        <v>505</v>
      </c>
      <c r="L374">
        <v>84565</v>
      </c>
      <c r="M374">
        <v>87590</v>
      </c>
      <c r="N374">
        <v>90045</v>
      </c>
      <c r="O374">
        <v>90045</v>
      </c>
      <c r="P374">
        <v>11930</v>
      </c>
      <c r="Q374">
        <v>11930</v>
      </c>
      <c r="R374">
        <v>101975</v>
      </c>
      <c r="S374">
        <v>4975</v>
      </c>
      <c r="T374">
        <v>1950</v>
      </c>
      <c r="U374">
        <v>505</v>
      </c>
      <c r="V374">
        <v>84565</v>
      </c>
      <c r="W374">
        <v>87590</v>
      </c>
      <c r="X374">
        <v>90045</v>
      </c>
      <c r="Y374">
        <v>90045</v>
      </c>
      <c r="Z374">
        <v>11930</v>
      </c>
      <c r="AA374">
        <v>11930</v>
      </c>
      <c r="AB374">
        <v>0</v>
      </c>
      <c r="AC374">
        <v>0</v>
      </c>
      <c r="AD374">
        <v>0</v>
      </c>
      <c r="AE374">
        <v>0</v>
      </c>
      <c r="AF374">
        <v>0</v>
      </c>
      <c r="AG374">
        <v>0</v>
      </c>
      <c r="AH374">
        <v>0</v>
      </c>
      <c r="AI374">
        <v>0</v>
      </c>
      <c r="AJ374">
        <v>0</v>
      </c>
      <c r="AK374">
        <v>0</v>
      </c>
      <c r="AL374">
        <v>1240</v>
      </c>
      <c r="AM374">
        <v>0</v>
      </c>
      <c r="AN374">
        <v>-600</v>
      </c>
      <c r="AO374">
        <v>100</v>
      </c>
      <c r="AP374">
        <v>900</v>
      </c>
      <c r="AQ374">
        <v>1500</v>
      </c>
      <c r="AR374">
        <v>1000</v>
      </c>
      <c r="AS374">
        <v>1000</v>
      </c>
      <c r="AT374">
        <v>240</v>
      </c>
      <c r="AU374">
        <v>240</v>
      </c>
      <c r="AV374">
        <v>100</v>
      </c>
      <c r="AW374">
        <v>4.9000000000000004</v>
      </c>
      <c r="AX374">
        <v>1.9</v>
      </c>
      <c r="AY374">
        <v>0.5</v>
      </c>
      <c r="AZ374">
        <v>82.9</v>
      </c>
      <c r="BA374">
        <v>85.9</v>
      </c>
      <c r="BB374">
        <v>88.3</v>
      </c>
      <c r="BC374">
        <v>88.3</v>
      </c>
      <c r="BD374">
        <v>11.7</v>
      </c>
      <c r="BE374">
        <v>11.7</v>
      </c>
      <c r="BF374">
        <v>100</v>
      </c>
      <c r="BG374">
        <v>4.9000000000000004</v>
      </c>
      <c r="BH374">
        <v>1.9</v>
      </c>
      <c r="BI374">
        <v>0.5</v>
      </c>
      <c r="BJ374">
        <v>82.9</v>
      </c>
      <c r="BK374">
        <v>85.9</v>
      </c>
      <c r="BL374">
        <v>88.3</v>
      </c>
      <c r="BM374">
        <v>88.3</v>
      </c>
      <c r="BN374">
        <v>11.7</v>
      </c>
      <c r="BO374">
        <v>11.7</v>
      </c>
      <c r="BP374">
        <v>0</v>
      </c>
      <c r="BQ374">
        <v>0</v>
      </c>
      <c r="BR374">
        <v>0</v>
      </c>
      <c r="BS374">
        <v>0</v>
      </c>
      <c r="BT374">
        <v>0</v>
      </c>
      <c r="BU374">
        <v>0</v>
      </c>
      <c r="BV374">
        <v>0</v>
      </c>
      <c r="BW374">
        <v>0</v>
      </c>
      <c r="BX374">
        <v>0</v>
      </c>
      <c r="BY374">
        <v>0</v>
      </c>
      <c r="BZ374">
        <v>21</v>
      </c>
      <c r="CA374">
        <v>2</v>
      </c>
      <c r="CB374">
        <v>2</v>
      </c>
      <c r="CC374">
        <v>2</v>
      </c>
      <c r="CD374">
        <v>13</v>
      </c>
      <c r="CE374">
        <v>14</v>
      </c>
      <c r="CF374">
        <v>16</v>
      </c>
      <c r="CG374">
        <v>17</v>
      </c>
      <c r="CH374">
        <v>21</v>
      </c>
      <c r="CI374">
        <v>2</v>
      </c>
      <c r="CJ374">
        <v>2</v>
      </c>
      <c r="CK374">
        <v>2</v>
      </c>
      <c r="CL374">
        <v>13</v>
      </c>
      <c r="CM374">
        <v>14</v>
      </c>
      <c r="CN374">
        <v>16</v>
      </c>
      <c r="CO374">
        <v>17</v>
      </c>
      <c r="CP374">
        <v>0</v>
      </c>
      <c r="CQ374">
        <v>0</v>
      </c>
      <c r="CR374">
        <v>0</v>
      </c>
      <c r="CS374">
        <v>0</v>
      </c>
      <c r="CT374">
        <v>0</v>
      </c>
      <c r="CU374">
        <v>0</v>
      </c>
      <c r="CV374">
        <v>0</v>
      </c>
      <c r="CW374">
        <v>0</v>
      </c>
      <c r="CX374">
        <v>62.3</v>
      </c>
      <c r="CY374">
        <v>69.5</v>
      </c>
      <c r="CZ374">
        <v>80</v>
      </c>
      <c r="DA374">
        <v>83</v>
      </c>
      <c r="DB374">
        <v>43.8</v>
      </c>
      <c r="DC374">
        <v>44.3</v>
      </c>
      <c r="DD374">
        <v>51.8</v>
      </c>
      <c r="DE374">
        <v>52.9</v>
      </c>
      <c r="DF374">
        <v>62.3</v>
      </c>
      <c r="DG374">
        <v>69.5</v>
      </c>
      <c r="DH374">
        <v>80</v>
      </c>
      <c r="DI374">
        <v>83</v>
      </c>
      <c r="DJ374">
        <v>43.8</v>
      </c>
      <c r="DK374">
        <v>44.3</v>
      </c>
      <c r="DL374">
        <v>51.8</v>
      </c>
      <c r="DM374">
        <v>52.9</v>
      </c>
      <c r="DN374">
        <v>0</v>
      </c>
      <c r="DO374">
        <v>0</v>
      </c>
      <c r="DP374">
        <v>0</v>
      </c>
      <c r="DQ374">
        <v>0</v>
      </c>
      <c r="DR374">
        <v>0</v>
      </c>
      <c r="DS374">
        <v>0</v>
      </c>
      <c r="DT374">
        <v>0</v>
      </c>
      <c r="DU374">
        <v>0</v>
      </c>
      <c r="DV374" t="s">
        <v>575</v>
      </c>
    </row>
    <row r="375" spans="1:126" x14ac:dyDescent="0.35">
      <c r="A375" t="s">
        <v>646</v>
      </c>
      <c r="B375">
        <v>230110</v>
      </c>
      <c r="C375" s="1">
        <v>44936</v>
      </c>
      <c r="D375" t="s">
        <v>647</v>
      </c>
      <c r="E375" t="s">
        <v>231</v>
      </c>
      <c r="F375" t="s">
        <v>185</v>
      </c>
      <c r="G375" t="s">
        <v>463</v>
      </c>
      <c r="H375">
        <v>97820</v>
      </c>
      <c r="I375" s="17">
        <v>2280</v>
      </c>
      <c r="J375" s="17">
        <v>7700</v>
      </c>
      <c r="K375">
        <v>0</v>
      </c>
      <c r="L375">
        <v>80045</v>
      </c>
      <c r="M375">
        <v>74620</v>
      </c>
      <c r="N375">
        <v>82325</v>
      </c>
      <c r="O375">
        <v>82320</v>
      </c>
      <c r="P375">
        <v>15495</v>
      </c>
      <c r="Q375">
        <v>15500</v>
      </c>
      <c r="R375">
        <v>97820</v>
      </c>
      <c r="S375">
        <v>2280</v>
      </c>
      <c r="T375">
        <v>7700</v>
      </c>
      <c r="U375">
        <v>0</v>
      </c>
      <c r="V375">
        <v>80045</v>
      </c>
      <c r="W375">
        <v>74620</v>
      </c>
      <c r="X375">
        <v>82325</v>
      </c>
      <c r="Y375">
        <v>82320</v>
      </c>
      <c r="Z375">
        <v>15495</v>
      </c>
      <c r="AA375">
        <v>15500</v>
      </c>
      <c r="AB375">
        <v>0</v>
      </c>
      <c r="AC375">
        <v>0</v>
      </c>
      <c r="AD375">
        <v>0</v>
      </c>
      <c r="AE375">
        <v>0</v>
      </c>
      <c r="AF375">
        <v>0</v>
      </c>
      <c r="AG375">
        <v>0</v>
      </c>
      <c r="AH375">
        <v>0</v>
      </c>
      <c r="AI375">
        <v>0</v>
      </c>
      <c r="AJ375">
        <v>0</v>
      </c>
      <c r="AK375">
        <v>0</v>
      </c>
      <c r="AL375">
        <v>5180</v>
      </c>
      <c r="AM375">
        <v>0</v>
      </c>
      <c r="AN375">
        <v>2750</v>
      </c>
      <c r="AO375">
        <v>0</v>
      </c>
      <c r="AP375">
        <v>2410</v>
      </c>
      <c r="AQ375">
        <v>-340</v>
      </c>
      <c r="AR375">
        <v>2410</v>
      </c>
      <c r="AS375">
        <v>2410</v>
      </c>
      <c r="AT375">
        <v>2770</v>
      </c>
      <c r="AU375">
        <v>2770</v>
      </c>
      <c r="AV375">
        <v>100</v>
      </c>
      <c r="AW375">
        <v>2.2999999999999998</v>
      </c>
      <c r="AX375">
        <v>7.9</v>
      </c>
      <c r="AY375">
        <v>0</v>
      </c>
      <c r="AZ375">
        <v>81.8</v>
      </c>
      <c r="BA375">
        <v>76.3</v>
      </c>
      <c r="BB375">
        <v>84.2</v>
      </c>
      <c r="BC375">
        <v>84.2</v>
      </c>
      <c r="BD375">
        <v>15.8</v>
      </c>
      <c r="BE375">
        <v>15.8</v>
      </c>
      <c r="BF375">
        <v>100</v>
      </c>
      <c r="BG375">
        <v>2.2999999999999998</v>
      </c>
      <c r="BH375">
        <v>7.9</v>
      </c>
      <c r="BI375">
        <v>0</v>
      </c>
      <c r="BJ375">
        <v>81.8</v>
      </c>
      <c r="BK375">
        <v>76.3</v>
      </c>
      <c r="BL375">
        <v>84.2</v>
      </c>
      <c r="BM375">
        <v>84.2</v>
      </c>
      <c r="BN375">
        <v>15.8</v>
      </c>
      <c r="BO375">
        <v>15.8</v>
      </c>
      <c r="BP375">
        <v>0</v>
      </c>
      <c r="BQ375">
        <v>0</v>
      </c>
      <c r="BR375">
        <v>0</v>
      </c>
      <c r="BS375">
        <v>0</v>
      </c>
      <c r="BT375">
        <v>0</v>
      </c>
      <c r="BU375">
        <v>0</v>
      </c>
      <c r="BV375">
        <v>0</v>
      </c>
      <c r="BW375">
        <v>0</v>
      </c>
      <c r="BX375">
        <v>0</v>
      </c>
      <c r="BY375">
        <v>0</v>
      </c>
      <c r="BZ375">
        <v>20</v>
      </c>
      <c r="CA375">
        <v>1</v>
      </c>
      <c r="CB375">
        <v>2</v>
      </c>
      <c r="CC375">
        <v>0</v>
      </c>
      <c r="CD375">
        <v>13</v>
      </c>
      <c r="CE375">
        <v>13</v>
      </c>
      <c r="CF375">
        <v>14</v>
      </c>
      <c r="CG375">
        <v>15</v>
      </c>
      <c r="CH375">
        <v>20</v>
      </c>
      <c r="CI375">
        <v>1</v>
      </c>
      <c r="CJ375">
        <v>2</v>
      </c>
      <c r="CK375">
        <v>0</v>
      </c>
      <c r="CL375">
        <v>13</v>
      </c>
      <c r="CM375">
        <v>13</v>
      </c>
      <c r="CN375">
        <v>14</v>
      </c>
      <c r="CO375">
        <v>15</v>
      </c>
      <c r="CP375">
        <v>0</v>
      </c>
      <c r="CQ375">
        <v>0</v>
      </c>
      <c r="CR375">
        <v>0</v>
      </c>
      <c r="CS375">
        <v>0</v>
      </c>
      <c r="CT375">
        <v>0</v>
      </c>
      <c r="CU375">
        <v>0</v>
      </c>
      <c r="CV375">
        <v>0</v>
      </c>
      <c r="CW375">
        <v>0</v>
      </c>
      <c r="CX375">
        <v>60.5</v>
      </c>
      <c r="CY375">
        <v>63.2</v>
      </c>
      <c r="CZ375">
        <v>76.599999999999994</v>
      </c>
      <c r="DA375">
        <v>80.5</v>
      </c>
      <c r="DB375">
        <v>53.2</v>
      </c>
      <c r="DC375">
        <v>49.7</v>
      </c>
      <c r="DD375">
        <v>61.5</v>
      </c>
      <c r="DE375">
        <v>63.4</v>
      </c>
      <c r="DF375">
        <v>60.5</v>
      </c>
      <c r="DG375">
        <v>63.2</v>
      </c>
      <c r="DH375">
        <v>76.599999999999994</v>
      </c>
      <c r="DI375">
        <v>80.5</v>
      </c>
      <c r="DJ375">
        <v>53.2</v>
      </c>
      <c r="DK375">
        <v>49.7</v>
      </c>
      <c r="DL375">
        <v>61.5</v>
      </c>
      <c r="DM375">
        <v>63.4</v>
      </c>
      <c r="DN375">
        <v>0</v>
      </c>
      <c r="DO375">
        <v>0</v>
      </c>
      <c r="DP375">
        <v>0</v>
      </c>
      <c r="DQ375">
        <v>0</v>
      </c>
      <c r="DR375">
        <v>0</v>
      </c>
      <c r="DS375">
        <v>0</v>
      </c>
      <c r="DT375">
        <v>0</v>
      </c>
      <c r="DU375">
        <v>0</v>
      </c>
      <c r="DV375" t="s">
        <v>575</v>
      </c>
    </row>
    <row r="376" spans="1:126" x14ac:dyDescent="0.35">
      <c r="A376" t="s">
        <v>646</v>
      </c>
      <c r="B376">
        <v>230103</v>
      </c>
      <c r="C376" s="1">
        <v>44929</v>
      </c>
      <c r="D376" t="s">
        <v>647</v>
      </c>
      <c r="E376" t="s">
        <v>231</v>
      </c>
      <c r="F376" t="s">
        <v>185</v>
      </c>
      <c r="G376" t="s">
        <v>463</v>
      </c>
      <c r="H376">
        <v>92640</v>
      </c>
      <c r="I376" s="17">
        <v>2280</v>
      </c>
      <c r="J376" s="17">
        <v>4950</v>
      </c>
      <c r="K376">
        <v>0</v>
      </c>
      <c r="L376">
        <v>77635</v>
      </c>
      <c r="M376">
        <v>74960</v>
      </c>
      <c r="N376">
        <v>79915</v>
      </c>
      <c r="O376">
        <v>79910</v>
      </c>
      <c r="P376">
        <v>12725</v>
      </c>
      <c r="Q376">
        <v>12730</v>
      </c>
      <c r="R376">
        <v>92640</v>
      </c>
      <c r="S376">
        <v>2280</v>
      </c>
      <c r="T376">
        <v>4950</v>
      </c>
      <c r="U376">
        <v>0</v>
      </c>
      <c r="V376">
        <v>77635</v>
      </c>
      <c r="W376">
        <v>74960</v>
      </c>
      <c r="X376">
        <v>79915</v>
      </c>
      <c r="Y376">
        <v>79910</v>
      </c>
      <c r="Z376">
        <v>12725</v>
      </c>
      <c r="AA376">
        <v>12730</v>
      </c>
      <c r="AB376">
        <v>0</v>
      </c>
      <c r="AC376">
        <v>0</v>
      </c>
      <c r="AD376">
        <v>0</v>
      </c>
      <c r="AE376">
        <v>0</v>
      </c>
      <c r="AF376">
        <v>0</v>
      </c>
      <c r="AG376">
        <v>0</v>
      </c>
      <c r="AH376">
        <v>0</v>
      </c>
      <c r="AI376">
        <v>0</v>
      </c>
      <c r="AJ376">
        <v>0</v>
      </c>
      <c r="AK376">
        <v>0</v>
      </c>
      <c r="AL376">
        <v>-600</v>
      </c>
      <c r="AM376">
        <v>0</v>
      </c>
      <c r="AN376">
        <v>-600</v>
      </c>
      <c r="AO376">
        <v>0</v>
      </c>
      <c r="AP376">
        <v>-600</v>
      </c>
      <c r="AQ376">
        <v>0</v>
      </c>
      <c r="AR376">
        <v>-600</v>
      </c>
      <c r="AS376">
        <v>-600</v>
      </c>
      <c r="AT376">
        <v>0</v>
      </c>
      <c r="AU376">
        <v>0</v>
      </c>
      <c r="AV376">
        <v>100</v>
      </c>
      <c r="AW376">
        <v>2.5</v>
      </c>
      <c r="AX376">
        <v>5.3</v>
      </c>
      <c r="AY376">
        <v>0</v>
      </c>
      <c r="AZ376">
        <v>83.8</v>
      </c>
      <c r="BA376">
        <v>80.900000000000006</v>
      </c>
      <c r="BB376">
        <v>86.3</v>
      </c>
      <c r="BC376">
        <v>86.3</v>
      </c>
      <c r="BD376">
        <v>13.7</v>
      </c>
      <c r="BE376">
        <v>13.7</v>
      </c>
      <c r="BF376">
        <v>100</v>
      </c>
      <c r="BG376">
        <v>2.5</v>
      </c>
      <c r="BH376">
        <v>5.3</v>
      </c>
      <c r="BI376">
        <v>0</v>
      </c>
      <c r="BJ376">
        <v>83.8</v>
      </c>
      <c r="BK376">
        <v>80.900000000000006</v>
      </c>
      <c r="BL376">
        <v>86.3</v>
      </c>
      <c r="BM376">
        <v>86.3</v>
      </c>
      <c r="BN376">
        <v>13.7</v>
      </c>
      <c r="BO376">
        <v>13.7</v>
      </c>
      <c r="BP376">
        <v>0</v>
      </c>
      <c r="BQ376">
        <v>0</v>
      </c>
      <c r="BR376">
        <v>0</v>
      </c>
      <c r="BS376">
        <v>0</v>
      </c>
      <c r="BT376">
        <v>0</v>
      </c>
      <c r="BU376">
        <v>0</v>
      </c>
      <c r="BV376">
        <v>0</v>
      </c>
      <c r="BW376">
        <v>0</v>
      </c>
      <c r="BX376">
        <v>0</v>
      </c>
      <c r="BY376">
        <v>0</v>
      </c>
      <c r="BZ376">
        <v>20</v>
      </c>
      <c r="CA376">
        <v>1</v>
      </c>
      <c r="CB376">
        <v>2</v>
      </c>
      <c r="CC376">
        <v>0</v>
      </c>
      <c r="CD376">
        <v>13</v>
      </c>
      <c r="CE376">
        <v>13</v>
      </c>
      <c r="CF376">
        <v>14</v>
      </c>
      <c r="CG376">
        <v>15</v>
      </c>
      <c r="CH376">
        <v>20</v>
      </c>
      <c r="CI376">
        <v>1</v>
      </c>
      <c r="CJ376">
        <v>2</v>
      </c>
      <c r="CK376">
        <v>0</v>
      </c>
      <c r="CL376">
        <v>13</v>
      </c>
      <c r="CM376">
        <v>13</v>
      </c>
      <c r="CN376">
        <v>14</v>
      </c>
      <c r="CO376">
        <v>15</v>
      </c>
      <c r="CP376">
        <v>0</v>
      </c>
      <c r="CQ376">
        <v>0</v>
      </c>
      <c r="CR376">
        <v>0</v>
      </c>
      <c r="CS376">
        <v>0</v>
      </c>
      <c r="CT376">
        <v>0</v>
      </c>
      <c r="CU376">
        <v>0</v>
      </c>
      <c r="CV376">
        <v>0</v>
      </c>
      <c r="CW376">
        <v>0</v>
      </c>
      <c r="CX376">
        <v>62.3</v>
      </c>
      <c r="CY376">
        <v>65.599999999999994</v>
      </c>
      <c r="CZ376">
        <v>79.3</v>
      </c>
      <c r="DA376">
        <v>81.400000000000006</v>
      </c>
      <c r="DB376">
        <v>46.8</v>
      </c>
      <c r="DC376">
        <v>47.7</v>
      </c>
      <c r="DD376">
        <v>55.5</v>
      </c>
      <c r="DE376">
        <v>57.6</v>
      </c>
      <c r="DF376">
        <v>62.3</v>
      </c>
      <c r="DG376">
        <v>65.599999999999994</v>
      </c>
      <c r="DH376">
        <v>79.3</v>
      </c>
      <c r="DI376">
        <v>81.400000000000006</v>
      </c>
      <c r="DJ376">
        <v>46.8</v>
      </c>
      <c r="DK376">
        <v>47.7</v>
      </c>
      <c r="DL376">
        <v>55.5</v>
      </c>
      <c r="DM376">
        <v>57.6</v>
      </c>
      <c r="DN376">
        <v>0</v>
      </c>
      <c r="DO376">
        <v>0</v>
      </c>
      <c r="DP376">
        <v>0</v>
      </c>
      <c r="DQ376">
        <v>0</v>
      </c>
      <c r="DR376">
        <v>0</v>
      </c>
      <c r="DS376">
        <v>0</v>
      </c>
      <c r="DT376">
        <v>0</v>
      </c>
      <c r="DU376">
        <v>0</v>
      </c>
      <c r="DV376" t="s">
        <v>575</v>
      </c>
    </row>
    <row r="377" spans="1:126" x14ac:dyDescent="0.35">
      <c r="A377" t="s">
        <v>648</v>
      </c>
      <c r="B377">
        <v>230103</v>
      </c>
      <c r="C377" s="1">
        <v>44929</v>
      </c>
      <c r="D377" t="s">
        <v>649</v>
      </c>
      <c r="E377" t="s">
        <v>184</v>
      </c>
      <c r="F377" t="s">
        <v>185</v>
      </c>
      <c r="G377" t="s">
        <v>463</v>
      </c>
      <c r="H377">
        <v>11685</v>
      </c>
      <c r="I377" s="17">
        <v>1600</v>
      </c>
      <c r="J377" s="17">
        <v>1665</v>
      </c>
      <c r="K377">
        <v>125</v>
      </c>
      <c r="L377">
        <v>9885</v>
      </c>
      <c r="M377">
        <v>9825</v>
      </c>
      <c r="N377">
        <v>11610</v>
      </c>
      <c r="O377">
        <v>11615</v>
      </c>
      <c r="P377">
        <v>75</v>
      </c>
      <c r="Q377">
        <v>70</v>
      </c>
      <c r="R377">
        <v>11685</v>
      </c>
      <c r="S377">
        <v>1600</v>
      </c>
      <c r="T377">
        <v>1665</v>
      </c>
      <c r="U377">
        <v>125</v>
      </c>
      <c r="V377">
        <v>9885</v>
      </c>
      <c r="W377">
        <v>9825</v>
      </c>
      <c r="X377">
        <v>11610</v>
      </c>
      <c r="Y377">
        <v>11615</v>
      </c>
      <c r="Z377">
        <v>75</v>
      </c>
      <c r="AA377">
        <v>70</v>
      </c>
      <c r="AB377">
        <v>0</v>
      </c>
      <c r="AC377">
        <v>0</v>
      </c>
      <c r="AD377">
        <v>0</v>
      </c>
      <c r="AE377">
        <v>0</v>
      </c>
      <c r="AF377">
        <v>0</v>
      </c>
      <c r="AG377">
        <v>0</v>
      </c>
      <c r="AH377">
        <v>0</v>
      </c>
      <c r="AI377">
        <v>0</v>
      </c>
      <c r="AJ377">
        <v>0</v>
      </c>
      <c r="AK377">
        <v>0</v>
      </c>
      <c r="AL377">
        <v>50</v>
      </c>
      <c r="AM377">
        <v>0</v>
      </c>
      <c r="AN377">
        <v>25</v>
      </c>
      <c r="AO377">
        <v>0</v>
      </c>
      <c r="AP377">
        <v>50</v>
      </c>
      <c r="AQ377">
        <v>25</v>
      </c>
      <c r="AR377">
        <v>50</v>
      </c>
      <c r="AS377">
        <v>50</v>
      </c>
      <c r="AT377">
        <v>0</v>
      </c>
      <c r="AU377">
        <v>0</v>
      </c>
      <c r="AV377">
        <v>100</v>
      </c>
      <c r="AW377">
        <v>13.7</v>
      </c>
      <c r="AX377">
        <v>14.2</v>
      </c>
      <c r="AY377">
        <v>1.1000000000000001</v>
      </c>
      <c r="AZ377">
        <v>84.6</v>
      </c>
      <c r="BA377">
        <v>84.1</v>
      </c>
      <c r="BB377">
        <v>99.4</v>
      </c>
      <c r="BC377">
        <v>99.4</v>
      </c>
      <c r="BD377">
        <v>0.6</v>
      </c>
      <c r="BE377">
        <v>0.6</v>
      </c>
      <c r="BF377">
        <v>100</v>
      </c>
      <c r="BG377">
        <v>13.7</v>
      </c>
      <c r="BH377">
        <v>14.2</v>
      </c>
      <c r="BI377">
        <v>1.1000000000000001</v>
      </c>
      <c r="BJ377">
        <v>84.6</v>
      </c>
      <c r="BK377">
        <v>84.1</v>
      </c>
      <c r="BL377">
        <v>99.4</v>
      </c>
      <c r="BM377">
        <v>99.4</v>
      </c>
      <c r="BN377">
        <v>0.6</v>
      </c>
      <c r="BO377">
        <v>0.6</v>
      </c>
      <c r="BP377">
        <v>0</v>
      </c>
      <c r="BQ377">
        <v>0</v>
      </c>
      <c r="BR377">
        <v>0</v>
      </c>
      <c r="BS377">
        <v>0</v>
      </c>
      <c r="BT377">
        <v>0</v>
      </c>
      <c r="BU377">
        <v>0</v>
      </c>
      <c r="BV377">
        <v>0</v>
      </c>
      <c r="BW377">
        <v>0</v>
      </c>
      <c r="BX377">
        <v>0</v>
      </c>
      <c r="BY377">
        <v>0</v>
      </c>
      <c r="BZ377">
        <v>21</v>
      </c>
      <c r="CA377">
        <v>1</v>
      </c>
      <c r="CB377">
        <v>2</v>
      </c>
      <c r="CC377">
        <v>1</v>
      </c>
      <c r="CD377">
        <v>12</v>
      </c>
      <c r="CE377">
        <v>14</v>
      </c>
      <c r="CF377">
        <v>13</v>
      </c>
      <c r="CG377">
        <v>17</v>
      </c>
      <c r="CH377">
        <v>21</v>
      </c>
      <c r="CI377">
        <v>1</v>
      </c>
      <c r="CJ377">
        <v>2</v>
      </c>
      <c r="CK377">
        <v>1</v>
      </c>
      <c r="CL377">
        <v>12</v>
      </c>
      <c r="CM377">
        <v>14</v>
      </c>
      <c r="CN377">
        <v>13</v>
      </c>
      <c r="CO377">
        <v>17</v>
      </c>
      <c r="CP377">
        <v>0</v>
      </c>
      <c r="CQ377">
        <v>0</v>
      </c>
      <c r="CR377">
        <v>0</v>
      </c>
      <c r="CS377">
        <v>0</v>
      </c>
      <c r="CT377">
        <v>0</v>
      </c>
      <c r="CU377">
        <v>0</v>
      </c>
      <c r="CV377">
        <v>0</v>
      </c>
      <c r="CW377">
        <v>0</v>
      </c>
      <c r="CX377">
        <v>58.9</v>
      </c>
      <c r="CY377">
        <v>63.5</v>
      </c>
      <c r="CZ377">
        <v>86.1</v>
      </c>
      <c r="DA377">
        <v>92.1</v>
      </c>
      <c r="DB377">
        <v>53.7</v>
      </c>
      <c r="DC377">
        <v>47.3</v>
      </c>
      <c r="DD377">
        <v>66.7</v>
      </c>
      <c r="DE377">
        <v>61.7</v>
      </c>
      <c r="DF377">
        <v>58.9</v>
      </c>
      <c r="DG377">
        <v>63.5</v>
      </c>
      <c r="DH377">
        <v>86.1</v>
      </c>
      <c r="DI377">
        <v>92.1</v>
      </c>
      <c r="DJ377">
        <v>53.7</v>
      </c>
      <c r="DK377">
        <v>47.3</v>
      </c>
      <c r="DL377">
        <v>66.7</v>
      </c>
      <c r="DM377">
        <v>61.7</v>
      </c>
      <c r="DN377">
        <v>0</v>
      </c>
      <c r="DO377">
        <v>0</v>
      </c>
      <c r="DP377">
        <v>0</v>
      </c>
      <c r="DQ377">
        <v>0</v>
      </c>
      <c r="DR377">
        <v>0</v>
      </c>
      <c r="DS377">
        <v>0</v>
      </c>
      <c r="DT377">
        <v>0</v>
      </c>
      <c r="DU377">
        <v>0</v>
      </c>
      <c r="DV377" t="s">
        <v>570</v>
      </c>
    </row>
    <row r="378" spans="1:126" x14ac:dyDescent="0.35">
      <c r="A378" t="s">
        <v>650</v>
      </c>
      <c r="B378">
        <v>230110</v>
      </c>
      <c r="C378" s="1">
        <v>44936</v>
      </c>
      <c r="D378" t="s">
        <v>651</v>
      </c>
      <c r="E378" t="s">
        <v>184</v>
      </c>
      <c r="F378" t="s">
        <v>185</v>
      </c>
      <c r="G378" t="s">
        <v>652</v>
      </c>
      <c r="H378">
        <v>3245</v>
      </c>
      <c r="I378" s="17">
        <v>790</v>
      </c>
      <c r="J378" s="17">
        <v>1171</v>
      </c>
      <c r="K378">
        <v>109</v>
      </c>
      <c r="L378">
        <v>1407</v>
      </c>
      <c r="M378">
        <v>1797</v>
      </c>
      <c r="N378">
        <v>2306</v>
      </c>
      <c r="O378">
        <v>3077</v>
      </c>
      <c r="P378">
        <v>939</v>
      </c>
      <c r="Q378">
        <v>168</v>
      </c>
      <c r="R378">
        <v>3245</v>
      </c>
      <c r="S378">
        <v>790</v>
      </c>
      <c r="T378">
        <v>1171</v>
      </c>
      <c r="U378">
        <v>109</v>
      </c>
      <c r="V378">
        <v>1407</v>
      </c>
      <c r="W378">
        <v>1797</v>
      </c>
      <c r="X378">
        <v>2306</v>
      </c>
      <c r="Y378">
        <v>3077</v>
      </c>
      <c r="Z378">
        <v>939</v>
      </c>
      <c r="AA378">
        <v>168</v>
      </c>
      <c r="AB378">
        <v>0</v>
      </c>
      <c r="AC378">
        <v>0</v>
      </c>
      <c r="AD378">
        <v>0</v>
      </c>
      <c r="AE378">
        <v>0</v>
      </c>
      <c r="AF378">
        <v>0</v>
      </c>
      <c r="AG378">
        <v>0</v>
      </c>
      <c r="AH378">
        <v>0</v>
      </c>
      <c r="AI378">
        <v>0</v>
      </c>
      <c r="AJ378">
        <v>0</v>
      </c>
      <c r="AK378">
        <v>0</v>
      </c>
      <c r="AL378">
        <v>-236</v>
      </c>
      <c r="AM378">
        <v>-47</v>
      </c>
      <c r="AN378">
        <v>-159</v>
      </c>
      <c r="AO378">
        <v>4</v>
      </c>
      <c r="AP378">
        <v>-67</v>
      </c>
      <c r="AQ378">
        <v>-18</v>
      </c>
      <c r="AR378">
        <v>-110</v>
      </c>
      <c r="AS378">
        <v>-173</v>
      </c>
      <c r="AT378">
        <v>-126</v>
      </c>
      <c r="AU378">
        <v>-63</v>
      </c>
      <c r="AV378">
        <v>100</v>
      </c>
      <c r="AW378">
        <v>24.3</v>
      </c>
      <c r="AX378">
        <v>36.1</v>
      </c>
      <c r="AY378">
        <v>3.4</v>
      </c>
      <c r="AZ378">
        <v>43.4</v>
      </c>
      <c r="BA378">
        <v>55.4</v>
      </c>
      <c r="BB378">
        <v>71.099999999999994</v>
      </c>
      <c r="BC378">
        <v>94.8</v>
      </c>
      <c r="BD378">
        <v>28.9</v>
      </c>
      <c r="BE378">
        <v>5.2</v>
      </c>
      <c r="BF378">
        <v>100</v>
      </c>
      <c r="BG378">
        <v>24.3</v>
      </c>
      <c r="BH378">
        <v>36.1</v>
      </c>
      <c r="BI378">
        <v>3.4</v>
      </c>
      <c r="BJ378">
        <v>43.4</v>
      </c>
      <c r="BK378">
        <v>55.4</v>
      </c>
      <c r="BL378">
        <v>71.099999999999994</v>
      </c>
      <c r="BM378">
        <v>94.8</v>
      </c>
      <c r="BN378">
        <v>28.9</v>
      </c>
      <c r="BO378">
        <v>5.2</v>
      </c>
      <c r="BP378">
        <v>0</v>
      </c>
      <c r="BQ378">
        <v>0</v>
      </c>
      <c r="BR378">
        <v>0</v>
      </c>
      <c r="BS378">
        <v>0</v>
      </c>
      <c r="BT378">
        <v>0</v>
      </c>
      <c r="BU378">
        <v>0</v>
      </c>
      <c r="BV378">
        <v>0</v>
      </c>
      <c r="BW378">
        <v>0</v>
      </c>
      <c r="BX378">
        <v>0</v>
      </c>
      <c r="BY378">
        <v>0</v>
      </c>
      <c r="BZ378">
        <v>20</v>
      </c>
      <c r="CA378">
        <v>4</v>
      </c>
      <c r="CB378">
        <v>2</v>
      </c>
      <c r="CC378">
        <v>3</v>
      </c>
      <c r="CD378">
        <v>9</v>
      </c>
      <c r="CE378">
        <v>9</v>
      </c>
      <c r="CF378">
        <v>13</v>
      </c>
      <c r="CG378">
        <v>14</v>
      </c>
      <c r="CH378">
        <v>20</v>
      </c>
      <c r="CI378">
        <v>4</v>
      </c>
      <c r="CJ378">
        <v>2</v>
      </c>
      <c r="CK378">
        <v>3</v>
      </c>
      <c r="CL378">
        <v>9</v>
      </c>
      <c r="CM378">
        <v>9</v>
      </c>
      <c r="CN378">
        <v>13</v>
      </c>
      <c r="CO378">
        <v>14</v>
      </c>
      <c r="CP378">
        <v>0</v>
      </c>
      <c r="CQ378">
        <v>0</v>
      </c>
      <c r="CR378">
        <v>0</v>
      </c>
      <c r="CS378">
        <v>0</v>
      </c>
      <c r="CT378">
        <v>0</v>
      </c>
      <c r="CU378">
        <v>0</v>
      </c>
      <c r="CV378">
        <v>0</v>
      </c>
      <c r="CW378">
        <v>0</v>
      </c>
      <c r="CX378">
        <v>47.9</v>
      </c>
      <c r="CY378">
        <v>73.5</v>
      </c>
      <c r="CZ378">
        <v>65.8</v>
      </c>
      <c r="DA378">
        <v>87.7</v>
      </c>
      <c r="DB378">
        <v>46.1</v>
      </c>
      <c r="DC378">
        <v>70.599999999999994</v>
      </c>
      <c r="DD378">
        <v>60.6</v>
      </c>
      <c r="DE378">
        <v>84.5</v>
      </c>
      <c r="DF378">
        <v>47.9</v>
      </c>
      <c r="DG378">
        <v>73.5</v>
      </c>
      <c r="DH378">
        <v>65.8</v>
      </c>
      <c r="DI378">
        <v>87.7</v>
      </c>
      <c r="DJ378">
        <v>46.1</v>
      </c>
      <c r="DK378">
        <v>70.599999999999994</v>
      </c>
      <c r="DL378">
        <v>60.6</v>
      </c>
      <c r="DM378">
        <v>84.5</v>
      </c>
      <c r="DN378">
        <v>0</v>
      </c>
      <c r="DO378">
        <v>0</v>
      </c>
      <c r="DP378">
        <v>0</v>
      </c>
      <c r="DQ378">
        <v>0</v>
      </c>
      <c r="DR378">
        <v>0</v>
      </c>
      <c r="DS378">
        <v>0</v>
      </c>
      <c r="DT378">
        <v>0</v>
      </c>
      <c r="DU378">
        <v>0</v>
      </c>
      <c r="DV378" t="s">
        <v>653</v>
      </c>
    </row>
    <row r="379" spans="1:126" x14ac:dyDescent="0.35">
      <c r="A379" t="s">
        <v>650</v>
      </c>
      <c r="B379">
        <v>230103</v>
      </c>
      <c r="C379" s="1">
        <v>44929</v>
      </c>
      <c r="D379" t="s">
        <v>651</v>
      </c>
      <c r="E379" t="s">
        <v>184</v>
      </c>
      <c r="F379" t="s">
        <v>185</v>
      </c>
      <c r="G379" t="s">
        <v>652</v>
      </c>
      <c r="H379">
        <v>3481</v>
      </c>
      <c r="I379" s="17">
        <v>837</v>
      </c>
      <c r="J379" s="17">
        <v>1330</v>
      </c>
      <c r="K379">
        <v>105</v>
      </c>
      <c r="L379">
        <v>1474</v>
      </c>
      <c r="M379">
        <v>1815</v>
      </c>
      <c r="N379">
        <v>2416</v>
      </c>
      <c r="O379">
        <v>3250</v>
      </c>
      <c r="P379">
        <v>1065</v>
      </c>
      <c r="Q379">
        <v>231</v>
      </c>
      <c r="R379">
        <v>3481</v>
      </c>
      <c r="S379">
        <v>837</v>
      </c>
      <c r="T379">
        <v>1330</v>
      </c>
      <c r="U379">
        <v>105</v>
      </c>
      <c r="V379">
        <v>1474</v>
      </c>
      <c r="W379">
        <v>1815</v>
      </c>
      <c r="X379">
        <v>2416</v>
      </c>
      <c r="Y379">
        <v>3250</v>
      </c>
      <c r="Z379">
        <v>1065</v>
      </c>
      <c r="AA379">
        <v>231</v>
      </c>
      <c r="AB379">
        <v>0</v>
      </c>
      <c r="AC379">
        <v>0</v>
      </c>
      <c r="AD379">
        <v>0</v>
      </c>
      <c r="AE379">
        <v>0</v>
      </c>
      <c r="AF379">
        <v>0</v>
      </c>
      <c r="AG379">
        <v>0</v>
      </c>
      <c r="AH379">
        <v>0</v>
      </c>
      <c r="AI379">
        <v>0</v>
      </c>
      <c r="AJ379">
        <v>0</v>
      </c>
      <c r="AK379">
        <v>0</v>
      </c>
      <c r="AV379">
        <v>100</v>
      </c>
      <c r="AW379">
        <v>24</v>
      </c>
      <c r="AX379">
        <v>38.200000000000003</v>
      </c>
      <c r="AY379">
        <v>3</v>
      </c>
      <c r="AZ379">
        <v>42.3</v>
      </c>
      <c r="BA379">
        <v>52.1</v>
      </c>
      <c r="BB379">
        <v>69.400000000000006</v>
      </c>
      <c r="BC379">
        <v>93.4</v>
      </c>
      <c r="BD379">
        <v>30.6</v>
      </c>
      <c r="BE379">
        <v>6.6</v>
      </c>
      <c r="BF379">
        <v>100</v>
      </c>
      <c r="BG379">
        <v>24</v>
      </c>
      <c r="BH379">
        <v>38.200000000000003</v>
      </c>
      <c r="BI379">
        <v>3</v>
      </c>
      <c r="BJ379">
        <v>42.3</v>
      </c>
      <c r="BK379">
        <v>52.1</v>
      </c>
      <c r="BL379">
        <v>69.400000000000006</v>
      </c>
      <c r="BM379">
        <v>93.4</v>
      </c>
      <c r="BN379">
        <v>30.6</v>
      </c>
      <c r="BO379">
        <v>6.6</v>
      </c>
      <c r="BP379">
        <v>0</v>
      </c>
      <c r="BQ379">
        <v>0</v>
      </c>
      <c r="BR379">
        <v>0</v>
      </c>
      <c r="BS379">
        <v>0</v>
      </c>
      <c r="BT379">
        <v>0</v>
      </c>
      <c r="BU379">
        <v>0</v>
      </c>
      <c r="BV379">
        <v>0</v>
      </c>
      <c r="BW379">
        <v>0</v>
      </c>
      <c r="BX379">
        <v>0</v>
      </c>
      <c r="BY379">
        <v>0</v>
      </c>
      <c r="BZ379">
        <v>20</v>
      </c>
      <c r="CA379">
        <v>5</v>
      </c>
      <c r="CB379">
        <v>2</v>
      </c>
      <c r="CC379">
        <v>3</v>
      </c>
      <c r="CD379">
        <v>9</v>
      </c>
      <c r="CE379">
        <v>10</v>
      </c>
      <c r="CF379">
        <v>14</v>
      </c>
      <c r="CG379">
        <v>15</v>
      </c>
      <c r="CH379">
        <v>20</v>
      </c>
      <c r="CI379">
        <v>5</v>
      </c>
      <c r="CJ379">
        <v>2</v>
      </c>
      <c r="CK379">
        <v>3</v>
      </c>
      <c r="CL379">
        <v>9</v>
      </c>
      <c r="CM379">
        <v>10</v>
      </c>
      <c r="CN379">
        <v>14</v>
      </c>
      <c r="CO379">
        <v>15</v>
      </c>
      <c r="CP379">
        <v>0</v>
      </c>
      <c r="CQ379">
        <v>0</v>
      </c>
      <c r="CR379">
        <v>0</v>
      </c>
      <c r="CS379">
        <v>0</v>
      </c>
      <c r="CT379">
        <v>0</v>
      </c>
      <c r="CU379">
        <v>0</v>
      </c>
      <c r="CV379">
        <v>0</v>
      </c>
      <c r="CW379">
        <v>0</v>
      </c>
      <c r="CX379">
        <v>44.6</v>
      </c>
      <c r="CY379">
        <v>70.599999999999994</v>
      </c>
      <c r="CZ379">
        <v>61</v>
      </c>
      <c r="DA379">
        <v>85.7</v>
      </c>
      <c r="DB379">
        <v>42.9</v>
      </c>
      <c r="DC379">
        <v>67.5</v>
      </c>
      <c r="DD379">
        <v>55.6</v>
      </c>
      <c r="DE379">
        <v>80.7</v>
      </c>
      <c r="DF379">
        <v>44.6</v>
      </c>
      <c r="DG379">
        <v>70.599999999999994</v>
      </c>
      <c r="DH379">
        <v>61</v>
      </c>
      <c r="DI379">
        <v>85.7</v>
      </c>
      <c r="DJ379">
        <v>42.9</v>
      </c>
      <c r="DK379">
        <v>67.5</v>
      </c>
      <c r="DL379">
        <v>55.6</v>
      </c>
      <c r="DM379">
        <v>80.7</v>
      </c>
      <c r="DN379">
        <v>0</v>
      </c>
      <c r="DO379">
        <v>0</v>
      </c>
      <c r="DP379">
        <v>0</v>
      </c>
      <c r="DQ379">
        <v>0</v>
      </c>
      <c r="DR379">
        <v>0</v>
      </c>
      <c r="DS379">
        <v>0</v>
      </c>
      <c r="DT379">
        <v>0</v>
      </c>
      <c r="DU379">
        <v>0</v>
      </c>
      <c r="DV379" t="s">
        <v>653</v>
      </c>
    </row>
    <row r="380" spans="1:126" x14ac:dyDescent="0.35">
      <c r="A380" t="s">
        <v>654</v>
      </c>
      <c r="B380">
        <v>230110</v>
      </c>
      <c r="C380" s="1">
        <v>44936</v>
      </c>
      <c r="D380" t="s">
        <v>655</v>
      </c>
      <c r="E380" t="s">
        <v>184</v>
      </c>
      <c r="F380" t="s">
        <v>185</v>
      </c>
      <c r="G380" t="s">
        <v>652</v>
      </c>
      <c r="H380">
        <v>2059</v>
      </c>
      <c r="I380" s="17">
        <v>621</v>
      </c>
      <c r="J380" s="17">
        <v>674</v>
      </c>
      <c r="K380">
        <v>216</v>
      </c>
      <c r="L380">
        <v>643</v>
      </c>
      <c r="M380">
        <v>885</v>
      </c>
      <c r="N380">
        <v>1480</v>
      </c>
      <c r="O380">
        <v>1775</v>
      </c>
      <c r="P380">
        <v>579</v>
      </c>
      <c r="Q380">
        <v>284</v>
      </c>
      <c r="R380">
        <v>2059</v>
      </c>
      <c r="S380">
        <v>621</v>
      </c>
      <c r="T380">
        <v>674</v>
      </c>
      <c r="U380">
        <v>216</v>
      </c>
      <c r="V380">
        <v>643</v>
      </c>
      <c r="W380">
        <v>885</v>
      </c>
      <c r="X380">
        <v>1480</v>
      </c>
      <c r="Y380">
        <v>1775</v>
      </c>
      <c r="Z380">
        <v>579</v>
      </c>
      <c r="AA380">
        <v>284</v>
      </c>
      <c r="AB380">
        <v>0</v>
      </c>
      <c r="AC380">
        <v>0</v>
      </c>
      <c r="AD380">
        <v>0</v>
      </c>
      <c r="AE380">
        <v>0</v>
      </c>
      <c r="AF380">
        <v>0</v>
      </c>
      <c r="AG380">
        <v>0</v>
      </c>
      <c r="AH380">
        <v>0</v>
      </c>
      <c r="AI380">
        <v>0</v>
      </c>
      <c r="AJ380">
        <v>0</v>
      </c>
      <c r="AK380">
        <v>0</v>
      </c>
      <c r="AL380">
        <v>-819</v>
      </c>
      <c r="AM380">
        <v>-85</v>
      </c>
      <c r="AN380">
        <v>-18</v>
      </c>
      <c r="AO380">
        <v>-159</v>
      </c>
      <c r="AP380">
        <v>-430</v>
      </c>
      <c r="AQ380">
        <v>-434</v>
      </c>
      <c r="AR380">
        <v>-674</v>
      </c>
      <c r="AS380">
        <v>-611</v>
      </c>
      <c r="AT380">
        <v>-145</v>
      </c>
      <c r="AU380">
        <v>-208</v>
      </c>
      <c r="AV380">
        <v>100</v>
      </c>
      <c r="AW380">
        <v>30.2</v>
      </c>
      <c r="AX380">
        <v>32.700000000000003</v>
      </c>
      <c r="AY380">
        <v>10.5</v>
      </c>
      <c r="AZ380">
        <v>31.2</v>
      </c>
      <c r="BA380">
        <v>43</v>
      </c>
      <c r="BB380">
        <v>71.900000000000006</v>
      </c>
      <c r="BC380">
        <v>86.2</v>
      </c>
      <c r="BD380">
        <v>28.1</v>
      </c>
      <c r="BE380">
        <v>13.8</v>
      </c>
      <c r="BF380">
        <v>100</v>
      </c>
      <c r="BG380">
        <v>30.2</v>
      </c>
      <c r="BH380">
        <v>32.700000000000003</v>
      </c>
      <c r="BI380">
        <v>10.5</v>
      </c>
      <c r="BJ380">
        <v>31.2</v>
      </c>
      <c r="BK380">
        <v>43</v>
      </c>
      <c r="BL380">
        <v>71.900000000000006</v>
      </c>
      <c r="BM380">
        <v>86.2</v>
      </c>
      <c r="BN380">
        <v>28.1</v>
      </c>
      <c r="BO380">
        <v>13.8</v>
      </c>
      <c r="BP380">
        <v>0</v>
      </c>
      <c r="BQ380">
        <v>0</v>
      </c>
      <c r="BR380">
        <v>0</v>
      </c>
      <c r="BS380">
        <v>0</v>
      </c>
      <c r="BT380">
        <v>0</v>
      </c>
      <c r="BU380">
        <v>0</v>
      </c>
      <c r="BV380">
        <v>0</v>
      </c>
      <c r="BW380">
        <v>0</v>
      </c>
      <c r="BX380">
        <v>0</v>
      </c>
      <c r="BY380">
        <v>0</v>
      </c>
      <c r="BZ380">
        <v>26</v>
      </c>
      <c r="CA380">
        <v>6</v>
      </c>
      <c r="CB380">
        <v>5</v>
      </c>
      <c r="CC380">
        <v>7</v>
      </c>
      <c r="CD380">
        <v>11</v>
      </c>
      <c r="CE380">
        <v>6</v>
      </c>
      <c r="CF380">
        <v>22</v>
      </c>
      <c r="CG380">
        <v>14</v>
      </c>
      <c r="CH380">
        <v>26</v>
      </c>
      <c r="CI380">
        <v>6</v>
      </c>
      <c r="CJ380">
        <v>5</v>
      </c>
      <c r="CK380">
        <v>7</v>
      </c>
      <c r="CL380">
        <v>11</v>
      </c>
      <c r="CM380">
        <v>6</v>
      </c>
      <c r="CN380">
        <v>22</v>
      </c>
      <c r="CO380">
        <v>14</v>
      </c>
      <c r="CP380">
        <v>0</v>
      </c>
      <c r="CQ380">
        <v>0</v>
      </c>
      <c r="CR380">
        <v>0</v>
      </c>
      <c r="CS380">
        <v>0</v>
      </c>
      <c r="CT380">
        <v>0</v>
      </c>
      <c r="CU380">
        <v>0</v>
      </c>
      <c r="CV380">
        <v>0</v>
      </c>
      <c r="CW380">
        <v>0</v>
      </c>
      <c r="CX380">
        <v>29.2</v>
      </c>
      <c r="CY380">
        <v>57.6</v>
      </c>
      <c r="CZ380">
        <v>47.5</v>
      </c>
      <c r="DA380">
        <v>78.7</v>
      </c>
      <c r="DB380">
        <v>28.2</v>
      </c>
      <c r="DC380">
        <v>52.5</v>
      </c>
      <c r="DD380">
        <v>45.2</v>
      </c>
      <c r="DE380">
        <v>71.2</v>
      </c>
      <c r="DF380">
        <v>29.2</v>
      </c>
      <c r="DG380">
        <v>57.6</v>
      </c>
      <c r="DH380">
        <v>47.5</v>
      </c>
      <c r="DI380">
        <v>78.7</v>
      </c>
      <c r="DJ380">
        <v>28.2</v>
      </c>
      <c r="DK380">
        <v>52.5</v>
      </c>
      <c r="DL380">
        <v>45.2</v>
      </c>
      <c r="DM380">
        <v>71.2</v>
      </c>
      <c r="DN380">
        <v>0</v>
      </c>
      <c r="DO380">
        <v>0</v>
      </c>
      <c r="DP380">
        <v>0</v>
      </c>
      <c r="DQ380">
        <v>0</v>
      </c>
      <c r="DR380">
        <v>0</v>
      </c>
      <c r="DS380">
        <v>0</v>
      </c>
      <c r="DT380">
        <v>0</v>
      </c>
      <c r="DU380">
        <v>0</v>
      </c>
      <c r="DV380" t="s">
        <v>656</v>
      </c>
    </row>
    <row r="381" spans="1:126" x14ac:dyDescent="0.35">
      <c r="A381" t="s">
        <v>654</v>
      </c>
      <c r="B381">
        <v>230103</v>
      </c>
      <c r="C381" s="1">
        <v>44929</v>
      </c>
      <c r="D381" t="s">
        <v>655</v>
      </c>
      <c r="E381" t="s">
        <v>184</v>
      </c>
      <c r="F381" t="s">
        <v>185</v>
      </c>
      <c r="G381" t="s">
        <v>652</v>
      </c>
      <c r="H381">
        <v>2878</v>
      </c>
      <c r="I381" s="17">
        <v>706</v>
      </c>
      <c r="J381" s="17">
        <v>692</v>
      </c>
      <c r="K381">
        <v>375</v>
      </c>
      <c r="L381">
        <v>1073</v>
      </c>
      <c r="M381">
        <v>1319</v>
      </c>
      <c r="N381">
        <v>2154</v>
      </c>
      <c r="O381">
        <v>2386</v>
      </c>
      <c r="P381">
        <v>724</v>
      </c>
      <c r="Q381">
        <v>492</v>
      </c>
      <c r="R381">
        <v>2878</v>
      </c>
      <c r="S381">
        <v>706</v>
      </c>
      <c r="T381">
        <v>692</v>
      </c>
      <c r="U381">
        <v>375</v>
      </c>
      <c r="V381">
        <v>1073</v>
      </c>
      <c r="W381">
        <v>1319</v>
      </c>
      <c r="X381">
        <v>2154</v>
      </c>
      <c r="Y381">
        <v>2386</v>
      </c>
      <c r="Z381">
        <v>724</v>
      </c>
      <c r="AA381">
        <v>492</v>
      </c>
      <c r="AB381">
        <v>0</v>
      </c>
      <c r="AC381">
        <v>0</v>
      </c>
      <c r="AD381">
        <v>0</v>
      </c>
      <c r="AE381">
        <v>0</v>
      </c>
      <c r="AF381">
        <v>0</v>
      </c>
      <c r="AG381">
        <v>0</v>
      </c>
      <c r="AH381">
        <v>0</v>
      </c>
      <c r="AI381">
        <v>0</v>
      </c>
      <c r="AJ381">
        <v>0</v>
      </c>
      <c r="AK381">
        <v>0</v>
      </c>
      <c r="AL381">
        <v>33</v>
      </c>
      <c r="AM381">
        <v>-176</v>
      </c>
      <c r="AN381">
        <v>49</v>
      </c>
      <c r="AO381">
        <v>-64</v>
      </c>
      <c r="AP381">
        <v>23</v>
      </c>
      <c r="AQ381">
        <v>-66</v>
      </c>
      <c r="AR381">
        <v>-217</v>
      </c>
      <c r="AS381">
        <v>-81</v>
      </c>
      <c r="AT381">
        <v>250</v>
      </c>
      <c r="AU381">
        <v>114</v>
      </c>
      <c r="AV381">
        <v>100</v>
      </c>
      <c r="AW381">
        <v>24.5</v>
      </c>
      <c r="AX381">
        <v>24</v>
      </c>
      <c r="AY381">
        <v>13</v>
      </c>
      <c r="AZ381">
        <v>37.299999999999997</v>
      </c>
      <c r="BA381">
        <v>45.8</v>
      </c>
      <c r="BB381">
        <v>74.8</v>
      </c>
      <c r="BC381">
        <v>82.9</v>
      </c>
      <c r="BD381">
        <v>25.2</v>
      </c>
      <c r="BE381">
        <v>17.100000000000001</v>
      </c>
      <c r="BF381">
        <v>100</v>
      </c>
      <c r="BG381">
        <v>24.5</v>
      </c>
      <c r="BH381">
        <v>24</v>
      </c>
      <c r="BI381">
        <v>13</v>
      </c>
      <c r="BJ381">
        <v>37.299999999999997</v>
      </c>
      <c r="BK381">
        <v>45.8</v>
      </c>
      <c r="BL381">
        <v>74.8</v>
      </c>
      <c r="BM381">
        <v>82.9</v>
      </c>
      <c r="BN381">
        <v>25.2</v>
      </c>
      <c r="BO381">
        <v>17.100000000000001</v>
      </c>
      <c r="BP381">
        <v>0</v>
      </c>
      <c r="BQ381">
        <v>0</v>
      </c>
      <c r="BR381">
        <v>0</v>
      </c>
      <c r="BS381">
        <v>0</v>
      </c>
      <c r="BT381">
        <v>0</v>
      </c>
      <c r="BU381">
        <v>0</v>
      </c>
      <c r="BV381">
        <v>0</v>
      </c>
      <c r="BW381">
        <v>0</v>
      </c>
      <c r="BX381">
        <v>0</v>
      </c>
      <c r="BY381">
        <v>0</v>
      </c>
      <c r="BZ381">
        <v>34</v>
      </c>
      <c r="CA381">
        <v>8</v>
      </c>
      <c r="CB381">
        <v>7</v>
      </c>
      <c r="CC381">
        <v>7</v>
      </c>
      <c r="CD381">
        <v>15</v>
      </c>
      <c r="CE381">
        <v>10</v>
      </c>
      <c r="CF381">
        <v>26</v>
      </c>
      <c r="CG381">
        <v>21</v>
      </c>
      <c r="CH381">
        <v>34</v>
      </c>
      <c r="CI381">
        <v>8</v>
      </c>
      <c r="CJ381">
        <v>7</v>
      </c>
      <c r="CK381">
        <v>7</v>
      </c>
      <c r="CL381">
        <v>15</v>
      </c>
      <c r="CM381">
        <v>10</v>
      </c>
      <c r="CN381">
        <v>26</v>
      </c>
      <c r="CO381">
        <v>21</v>
      </c>
      <c r="CP381">
        <v>0</v>
      </c>
      <c r="CQ381">
        <v>0</v>
      </c>
      <c r="CR381">
        <v>0</v>
      </c>
      <c r="CS381">
        <v>0</v>
      </c>
      <c r="CT381">
        <v>0</v>
      </c>
      <c r="CU381">
        <v>0</v>
      </c>
      <c r="CV381">
        <v>0</v>
      </c>
      <c r="CW381">
        <v>0</v>
      </c>
      <c r="CX381">
        <v>27.1</v>
      </c>
      <c r="CY381">
        <v>46</v>
      </c>
      <c r="CZ381">
        <v>46.1</v>
      </c>
      <c r="DA381">
        <v>63.2</v>
      </c>
      <c r="DB381">
        <v>24.5</v>
      </c>
      <c r="DC381">
        <v>40.799999999999997</v>
      </c>
      <c r="DD381">
        <v>38.4</v>
      </c>
      <c r="DE381">
        <v>55.1</v>
      </c>
      <c r="DF381">
        <v>27.1</v>
      </c>
      <c r="DG381">
        <v>46</v>
      </c>
      <c r="DH381">
        <v>46.1</v>
      </c>
      <c r="DI381">
        <v>63.2</v>
      </c>
      <c r="DJ381">
        <v>24.5</v>
      </c>
      <c r="DK381">
        <v>40.799999999999997</v>
      </c>
      <c r="DL381">
        <v>38.4</v>
      </c>
      <c r="DM381">
        <v>55.1</v>
      </c>
      <c r="DN381">
        <v>0</v>
      </c>
      <c r="DO381">
        <v>0</v>
      </c>
      <c r="DP381">
        <v>0</v>
      </c>
      <c r="DQ381">
        <v>0</v>
      </c>
      <c r="DR381">
        <v>0</v>
      </c>
      <c r="DS381">
        <v>0</v>
      </c>
      <c r="DT381">
        <v>0</v>
      </c>
      <c r="DU381">
        <v>0</v>
      </c>
      <c r="DV381" t="s">
        <v>656</v>
      </c>
    </row>
    <row r="382" spans="1:126" x14ac:dyDescent="0.35">
      <c r="A382" t="s">
        <v>657</v>
      </c>
      <c r="B382">
        <v>230103</v>
      </c>
      <c r="C382" s="1">
        <v>44929</v>
      </c>
      <c r="D382" t="s">
        <v>658</v>
      </c>
      <c r="E382" t="s">
        <v>184</v>
      </c>
      <c r="F382" t="s">
        <v>185</v>
      </c>
      <c r="G382" t="s">
        <v>652</v>
      </c>
      <c r="H382">
        <v>1865</v>
      </c>
      <c r="I382" s="17">
        <v>637</v>
      </c>
      <c r="J382" s="17">
        <v>286</v>
      </c>
      <c r="K382">
        <v>345</v>
      </c>
      <c r="L382">
        <v>866</v>
      </c>
      <c r="M382">
        <v>1147</v>
      </c>
      <c r="N382">
        <v>1848</v>
      </c>
      <c r="O382">
        <v>1778</v>
      </c>
      <c r="P382">
        <v>17</v>
      </c>
      <c r="Q382">
        <v>87</v>
      </c>
      <c r="R382">
        <v>1865</v>
      </c>
      <c r="S382">
        <v>637</v>
      </c>
      <c r="T382">
        <v>286</v>
      </c>
      <c r="U382">
        <v>345</v>
      </c>
      <c r="V382">
        <v>866</v>
      </c>
      <c r="W382">
        <v>1147</v>
      </c>
      <c r="X382">
        <v>1848</v>
      </c>
      <c r="Y382">
        <v>1778</v>
      </c>
      <c r="Z382">
        <v>17</v>
      </c>
      <c r="AA382">
        <v>87</v>
      </c>
      <c r="AB382">
        <v>0</v>
      </c>
      <c r="AC382">
        <v>0</v>
      </c>
      <c r="AD382">
        <v>0</v>
      </c>
      <c r="AE382">
        <v>0</v>
      </c>
      <c r="AF382">
        <v>0</v>
      </c>
      <c r="AG382">
        <v>0</v>
      </c>
      <c r="AH382">
        <v>0</v>
      </c>
      <c r="AI382">
        <v>0</v>
      </c>
      <c r="AJ382">
        <v>0</v>
      </c>
      <c r="AK382">
        <v>0</v>
      </c>
      <c r="AL382">
        <v>385</v>
      </c>
      <c r="AM382">
        <v>25</v>
      </c>
      <c r="AN382">
        <v>-125</v>
      </c>
      <c r="AO382">
        <v>125</v>
      </c>
      <c r="AP382">
        <v>235</v>
      </c>
      <c r="AQ382">
        <v>355</v>
      </c>
      <c r="AR382">
        <v>385</v>
      </c>
      <c r="AS382">
        <v>355</v>
      </c>
      <c r="AT382">
        <v>0</v>
      </c>
      <c r="AU382">
        <v>30</v>
      </c>
      <c r="AV382">
        <v>100</v>
      </c>
      <c r="AW382">
        <v>34.200000000000003</v>
      </c>
      <c r="AX382">
        <v>15.3</v>
      </c>
      <c r="AY382">
        <v>18.5</v>
      </c>
      <c r="AZ382">
        <v>46.4</v>
      </c>
      <c r="BA382">
        <v>61.5</v>
      </c>
      <c r="BB382">
        <v>99.1</v>
      </c>
      <c r="BC382">
        <v>95.3</v>
      </c>
      <c r="BD382">
        <v>0.9</v>
      </c>
      <c r="BE382">
        <v>4.7</v>
      </c>
      <c r="BF382">
        <v>100</v>
      </c>
      <c r="BG382">
        <v>34.200000000000003</v>
      </c>
      <c r="BH382">
        <v>15.3</v>
      </c>
      <c r="BI382">
        <v>18.5</v>
      </c>
      <c r="BJ382">
        <v>46.4</v>
      </c>
      <c r="BK382">
        <v>61.5</v>
      </c>
      <c r="BL382">
        <v>99.1</v>
      </c>
      <c r="BM382">
        <v>95.3</v>
      </c>
      <c r="BN382">
        <v>0.9</v>
      </c>
      <c r="BO382">
        <v>4.7</v>
      </c>
      <c r="BP382">
        <v>0</v>
      </c>
      <c r="BQ382">
        <v>0</v>
      </c>
      <c r="BR382">
        <v>0</v>
      </c>
      <c r="BS382">
        <v>0</v>
      </c>
      <c r="BT382">
        <v>0</v>
      </c>
      <c r="BU382">
        <v>0</v>
      </c>
      <c r="BV382">
        <v>0</v>
      </c>
      <c r="BW382">
        <v>0</v>
      </c>
      <c r="BX382">
        <v>0</v>
      </c>
      <c r="BY382">
        <v>0</v>
      </c>
      <c r="BZ382">
        <v>24</v>
      </c>
      <c r="CA382">
        <v>5</v>
      </c>
      <c r="CB382">
        <v>2</v>
      </c>
      <c r="CC382">
        <v>1</v>
      </c>
      <c r="CD382">
        <v>11</v>
      </c>
      <c r="CE382">
        <v>10</v>
      </c>
      <c r="CF382">
        <v>17</v>
      </c>
      <c r="CG382">
        <v>12</v>
      </c>
      <c r="CH382">
        <v>24</v>
      </c>
      <c r="CI382">
        <v>5</v>
      </c>
      <c r="CJ382">
        <v>2</v>
      </c>
      <c r="CK382">
        <v>1</v>
      </c>
      <c r="CL382">
        <v>11</v>
      </c>
      <c r="CM382">
        <v>10</v>
      </c>
      <c r="CN382">
        <v>17</v>
      </c>
      <c r="CO382">
        <v>12</v>
      </c>
      <c r="CP382">
        <v>0</v>
      </c>
      <c r="CQ382">
        <v>0</v>
      </c>
      <c r="CR382">
        <v>0</v>
      </c>
      <c r="CS382">
        <v>0</v>
      </c>
      <c r="CT382">
        <v>0</v>
      </c>
      <c r="CU382">
        <v>0</v>
      </c>
      <c r="CV382">
        <v>0</v>
      </c>
      <c r="CW382">
        <v>0</v>
      </c>
      <c r="CX382">
        <v>64.599999999999994</v>
      </c>
      <c r="CY382">
        <v>67.8</v>
      </c>
      <c r="CZ382">
        <v>82.4</v>
      </c>
      <c r="DA382">
        <v>88.6</v>
      </c>
      <c r="DB382">
        <v>48.3</v>
      </c>
      <c r="DC382">
        <v>48.5</v>
      </c>
      <c r="DD382">
        <v>62.5</v>
      </c>
      <c r="DE382">
        <v>66.900000000000006</v>
      </c>
      <c r="DF382">
        <v>64.599999999999994</v>
      </c>
      <c r="DG382">
        <v>67.8</v>
      </c>
      <c r="DH382">
        <v>82.4</v>
      </c>
      <c r="DI382">
        <v>88.6</v>
      </c>
      <c r="DJ382">
        <v>48.3</v>
      </c>
      <c r="DK382">
        <v>48.5</v>
      </c>
      <c r="DL382">
        <v>62.5</v>
      </c>
      <c r="DM382">
        <v>66.900000000000006</v>
      </c>
      <c r="DN382">
        <v>0</v>
      </c>
      <c r="DO382">
        <v>0</v>
      </c>
      <c r="DP382">
        <v>0</v>
      </c>
      <c r="DQ382">
        <v>0</v>
      </c>
      <c r="DR382">
        <v>0</v>
      </c>
      <c r="DS382">
        <v>0</v>
      </c>
      <c r="DT382">
        <v>0</v>
      </c>
      <c r="DU382">
        <v>0</v>
      </c>
      <c r="DV382" t="s">
        <v>659</v>
      </c>
    </row>
    <row r="383" spans="1:126" x14ac:dyDescent="0.35">
      <c r="A383" t="s">
        <v>660</v>
      </c>
      <c r="B383">
        <v>230110</v>
      </c>
      <c r="C383" s="1">
        <v>44936</v>
      </c>
      <c r="D383" t="s">
        <v>661</v>
      </c>
      <c r="E383" t="s">
        <v>184</v>
      </c>
      <c r="F383" t="s">
        <v>185</v>
      </c>
      <c r="G383" t="s">
        <v>652</v>
      </c>
      <c r="H383">
        <v>7510</v>
      </c>
      <c r="I383" s="17">
        <v>808</v>
      </c>
      <c r="J383" s="17">
        <v>546</v>
      </c>
      <c r="K383">
        <v>1149</v>
      </c>
      <c r="L383">
        <v>4715</v>
      </c>
      <c r="M383">
        <v>5000</v>
      </c>
      <c r="N383">
        <v>6672</v>
      </c>
      <c r="O383">
        <v>6695</v>
      </c>
      <c r="P383">
        <v>838</v>
      </c>
      <c r="Q383">
        <v>815</v>
      </c>
      <c r="R383">
        <v>7510</v>
      </c>
      <c r="S383">
        <v>808</v>
      </c>
      <c r="T383">
        <v>546</v>
      </c>
      <c r="U383">
        <v>1149</v>
      </c>
      <c r="V383">
        <v>4715</v>
      </c>
      <c r="W383">
        <v>5000</v>
      </c>
      <c r="X383">
        <v>6672</v>
      </c>
      <c r="Y383">
        <v>6695</v>
      </c>
      <c r="Z383">
        <v>838</v>
      </c>
      <c r="AA383">
        <v>815</v>
      </c>
      <c r="AB383">
        <v>0</v>
      </c>
      <c r="AC383">
        <v>0</v>
      </c>
      <c r="AD383">
        <v>0</v>
      </c>
      <c r="AE383">
        <v>0</v>
      </c>
      <c r="AF383">
        <v>0</v>
      </c>
      <c r="AG383">
        <v>0</v>
      </c>
      <c r="AH383">
        <v>0</v>
      </c>
      <c r="AI383">
        <v>0</v>
      </c>
      <c r="AJ383">
        <v>0</v>
      </c>
      <c r="AK383">
        <v>0</v>
      </c>
      <c r="AL383">
        <v>-871</v>
      </c>
      <c r="AM383">
        <v>-213</v>
      </c>
      <c r="AN383">
        <v>-162</v>
      </c>
      <c r="AO383">
        <v>55</v>
      </c>
      <c r="AP383">
        <v>-302</v>
      </c>
      <c r="AQ383">
        <v>-575</v>
      </c>
      <c r="AR383">
        <v>-460</v>
      </c>
      <c r="AS383">
        <v>-682</v>
      </c>
      <c r="AT383">
        <v>-411</v>
      </c>
      <c r="AU383">
        <v>-189</v>
      </c>
      <c r="AV383">
        <v>100</v>
      </c>
      <c r="AW383">
        <v>10.8</v>
      </c>
      <c r="AX383">
        <v>7.3</v>
      </c>
      <c r="AY383">
        <v>15.3</v>
      </c>
      <c r="AZ383">
        <v>62.8</v>
      </c>
      <c r="BA383">
        <v>66.599999999999994</v>
      </c>
      <c r="BB383">
        <v>88.8</v>
      </c>
      <c r="BC383">
        <v>89.1</v>
      </c>
      <c r="BD383">
        <v>11.2</v>
      </c>
      <c r="BE383">
        <v>10.9</v>
      </c>
      <c r="BF383">
        <v>100</v>
      </c>
      <c r="BG383">
        <v>10.8</v>
      </c>
      <c r="BH383">
        <v>7.3</v>
      </c>
      <c r="BI383">
        <v>15.3</v>
      </c>
      <c r="BJ383">
        <v>62.8</v>
      </c>
      <c r="BK383">
        <v>66.599999999999994</v>
      </c>
      <c r="BL383">
        <v>88.8</v>
      </c>
      <c r="BM383">
        <v>89.1</v>
      </c>
      <c r="BN383">
        <v>11.2</v>
      </c>
      <c r="BO383">
        <v>10.9</v>
      </c>
      <c r="BP383">
        <v>0</v>
      </c>
      <c r="BQ383">
        <v>0</v>
      </c>
      <c r="BR383">
        <v>0</v>
      </c>
      <c r="BS383">
        <v>0</v>
      </c>
      <c r="BT383">
        <v>0</v>
      </c>
      <c r="BU383">
        <v>0</v>
      </c>
      <c r="BV383">
        <v>0</v>
      </c>
      <c r="BW383">
        <v>0</v>
      </c>
      <c r="BX383">
        <v>0</v>
      </c>
      <c r="BY383">
        <v>0</v>
      </c>
      <c r="BZ383">
        <v>51</v>
      </c>
      <c r="CA383">
        <v>6</v>
      </c>
      <c r="CB383">
        <v>8</v>
      </c>
      <c r="CC383">
        <v>13</v>
      </c>
      <c r="CD383">
        <v>25</v>
      </c>
      <c r="CE383">
        <v>31</v>
      </c>
      <c r="CF383">
        <v>39</v>
      </c>
      <c r="CG383">
        <v>46</v>
      </c>
      <c r="CH383">
        <v>51</v>
      </c>
      <c r="CI383">
        <v>6</v>
      </c>
      <c r="CJ383">
        <v>8</v>
      </c>
      <c r="CK383">
        <v>13</v>
      </c>
      <c r="CL383">
        <v>25</v>
      </c>
      <c r="CM383">
        <v>31</v>
      </c>
      <c r="CN383">
        <v>39</v>
      </c>
      <c r="CO383">
        <v>46</v>
      </c>
      <c r="CP383">
        <v>0</v>
      </c>
      <c r="CQ383">
        <v>0</v>
      </c>
      <c r="CR383">
        <v>0</v>
      </c>
      <c r="CS383">
        <v>0</v>
      </c>
      <c r="CT383">
        <v>0</v>
      </c>
      <c r="CU383">
        <v>0</v>
      </c>
      <c r="CV383">
        <v>0</v>
      </c>
      <c r="CW383">
        <v>0</v>
      </c>
      <c r="CX383">
        <v>40.700000000000003</v>
      </c>
      <c r="CY383">
        <v>31.9</v>
      </c>
      <c r="CZ383">
        <v>56.4</v>
      </c>
      <c r="DA383">
        <v>47.3</v>
      </c>
      <c r="DB383">
        <v>34.9</v>
      </c>
      <c r="DC383">
        <v>31</v>
      </c>
      <c r="DD383">
        <v>46.8</v>
      </c>
      <c r="DE383">
        <v>41.3</v>
      </c>
      <c r="DF383">
        <v>40.700000000000003</v>
      </c>
      <c r="DG383">
        <v>31.9</v>
      </c>
      <c r="DH383">
        <v>56.4</v>
      </c>
      <c r="DI383">
        <v>47.3</v>
      </c>
      <c r="DJ383">
        <v>34.9</v>
      </c>
      <c r="DK383">
        <v>31</v>
      </c>
      <c r="DL383">
        <v>46.8</v>
      </c>
      <c r="DM383">
        <v>41.3</v>
      </c>
      <c r="DN383">
        <v>0</v>
      </c>
      <c r="DO383">
        <v>0</v>
      </c>
      <c r="DP383">
        <v>0</v>
      </c>
      <c r="DQ383">
        <v>0</v>
      </c>
      <c r="DR383">
        <v>0</v>
      </c>
      <c r="DS383">
        <v>0</v>
      </c>
      <c r="DT383">
        <v>0</v>
      </c>
      <c r="DU383">
        <v>0</v>
      </c>
      <c r="DV383" t="s">
        <v>662</v>
      </c>
    </row>
    <row r="384" spans="1:126" x14ac:dyDescent="0.35">
      <c r="A384" t="s">
        <v>660</v>
      </c>
      <c r="B384">
        <v>230103</v>
      </c>
      <c r="C384" s="1">
        <v>44929</v>
      </c>
      <c r="D384" t="s">
        <v>661</v>
      </c>
      <c r="E384" t="s">
        <v>184</v>
      </c>
      <c r="F384" t="s">
        <v>185</v>
      </c>
      <c r="G384" t="s">
        <v>652</v>
      </c>
      <c r="H384">
        <v>8381</v>
      </c>
      <c r="I384" s="17">
        <v>1021</v>
      </c>
      <c r="J384" s="17">
        <v>708</v>
      </c>
      <c r="K384">
        <v>1094</v>
      </c>
      <c r="L384">
        <v>5017</v>
      </c>
      <c r="M384">
        <v>5575</v>
      </c>
      <c r="N384">
        <v>7132</v>
      </c>
      <c r="O384">
        <v>7377</v>
      </c>
      <c r="P384">
        <v>1249</v>
      </c>
      <c r="Q384">
        <v>1004</v>
      </c>
      <c r="R384">
        <v>8381</v>
      </c>
      <c r="S384">
        <v>1021</v>
      </c>
      <c r="T384">
        <v>708</v>
      </c>
      <c r="U384">
        <v>1094</v>
      </c>
      <c r="V384">
        <v>5017</v>
      </c>
      <c r="W384">
        <v>5575</v>
      </c>
      <c r="X384">
        <v>7132</v>
      </c>
      <c r="Y384">
        <v>7377</v>
      </c>
      <c r="Z384">
        <v>1249</v>
      </c>
      <c r="AA384">
        <v>1004</v>
      </c>
      <c r="AB384">
        <v>0</v>
      </c>
      <c r="AC384">
        <v>0</v>
      </c>
      <c r="AD384">
        <v>0</v>
      </c>
      <c r="AE384">
        <v>0</v>
      </c>
      <c r="AF384">
        <v>0</v>
      </c>
      <c r="AG384">
        <v>0</v>
      </c>
      <c r="AH384">
        <v>0</v>
      </c>
      <c r="AI384">
        <v>0</v>
      </c>
      <c r="AJ384">
        <v>0</v>
      </c>
      <c r="AK384">
        <v>0</v>
      </c>
      <c r="AL384">
        <v>120</v>
      </c>
      <c r="AM384">
        <v>101</v>
      </c>
      <c r="AN384">
        <v>0</v>
      </c>
      <c r="AO384">
        <v>-75</v>
      </c>
      <c r="AP384">
        <v>-244</v>
      </c>
      <c r="AQ384">
        <v>3</v>
      </c>
      <c r="AR384">
        <v>-218</v>
      </c>
      <c r="AS384">
        <v>-72</v>
      </c>
      <c r="AT384">
        <v>338</v>
      </c>
      <c r="AU384">
        <v>192</v>
      </c>
      <c r="AV384">
        <v>100</v>
      </c>
      <c r="AW384">
        <v>12.2</v>
      </c>
      <c r="AX384">
        <v>8.4</v>
      </c>
      <c r="AY384">
        <v>13.1</v>
      </c>
      <c r="AZ384">
        <v>59.9</v>
      </c>
      <c r="BA384">
        <v>66.5</v>
      </c>
      <c r="BB384">
        <v>85.1</v>
      </c>
      <c r="BC384">
        <v>88</v>
      </c>
      <c r="BD384">
        <v>14.9</v>
      </c>
      <c r="BE384">
        <v>12</v>
      </c>
      <c r="BF384">
        <v>100</v>
      </c>
      <c r="BG384">
        <v>12.2</v>
      </c>
      <c r="BH384">
        <v>8.4</v>
      </c>
      <c r="BI384">
        <v>13.1</v>
      </c>
      <c r="BJ384">
        <v>59.9</v>
      </c>
      <c r="BK384">
        <v>66.5</v>
      </c>
      <c r="BL384">
        <v>85.1</v>
      </c>
      <c r="BM384">
        <v>88</v>
      </c>
      <c r="BN384">
        <v>14.9</v>
      </c>
      <c r="BO384">
        <v>12</v>
      </c>
      <c r="BP384">
        <v>0</v>
      </c>
      <c r="BQ384">
        <v>0</v>
      </c>
      <c r="BR384">
        <v>0</v>
      </c>
      <c r="BS384">
        <v>0</v>
      </c>
      <c r="BT384">
        <v>0</v>
      </c>
      <c r="BU384">
        <v>0</v>
      </c>
      <c r="BV384">
        <v>0</v>
      </c>
      <c r="BW384">
        <v>0</v>
      </c>
      <c r="BX384">
        <v>0</v>
      </c>
      <c r="BY384">
        <v>0</v>
      </c>
      <c r="BZ384">
        <v>52</v>
      </c>
      <c r="CA384">
        <v>9</v>
      </c>
      <c r="CB384">
        <v>8</v>
      </c>
      <c r="CC384">
        <v>13</v>
      </c>
      <c r="CD384">
        <v>28</v>
      </c>
      <c r="CE384">
        <v>31</v>
      </c>
      <c r="CF384">
        <v>43</v>
      </c>
      <c r="CG384">
        <v>46</v>
      </c>
      <c r="CH384">
        <v>52</v>
      </c>
      <c r="CI384">
        <v>9</v>
      </c>
      <c r="CJ384">
        <v>8</v>
      </c>
      <c r="CK384">
        <v>13</v>
      </c>
      <c r="CL384">
        <v>28</v>
      </c>
      <c r="CM384">
        <v>31</v>
      </c>
      <c r="CN384">
        <v>43</v>
      </c>
      <c r="CO384">
        <v>46</v>
      </c>
      <c r="CP384">
        <v>0</v>
      </c>
      <c r="CQ384">
        <v>0</v>
      </c>
      <c r="CR384">
        <v>0</v>
      </c>
      <c r="CS384">
        <v>0</v>
      </c>
      <c r="CT384">
        <v>0</v>
      </c>
      <c r="CU384">
        <v>0</v>
      </c>
      <c r="CV384">
        <v>0</v>
      </c>
      <c r="CW384">
        <v>0</v>
      </c>
      <c r="CX384">
        <v>35.5</v>
      </c>
      <c r="CY384">
        <v>30.6</v>
      </c>
      <c r="CZ384">
        <v>51.6</v>
      </c>
      <c r="DA384">
        <v>47.5</v>
      </c>
      <c r="DB384">
        <v>33.6</v>
      </c>
      <c r="DC384">
        <v>30</v>
      </c>
      <c r="DD384">
        <v>43.1</v>
      </c>
      <c r="DE384">
        <v>42.5</v>
      </c>
      <c r="DF384">
        <v>35.5</v>
      </c>
      <c r="DG384">
        <v>30.6</v>
      </c>
      <c r="DH384">
        <v>51.6</v>
      </c>
      <c r="DI384">
        <v>47.5</v>
      </c>
      <c r="DJ384">
        <v>33.6</v>
      </c>
      <c r="DK384">
        <v>30</v>
      </c>
      <c r="DL384">
        <v>43.1</v>
      </c>
      <c r="DM384">
        <v>42.5</v>
      </c>
      <c r="DN384">
        <v>0</v>
      </c>
      <c r="DO384">
        <v>0</v>
      </c>
      <c r="DP384">
        <v>0</v>
      </c>
      <c r="DQ384">
        <v>0</v>
      </c>
      <c r="DR384">
        <v>0</v>
      </c>
      <c r="DS384">
        <v>0</v>
      </c>
      <c r="DT384">
        <v>0</v>
      </c>
      <c r="DU384">
        <v>0</v>
      </c>
      <c r="DV384" t="s">
        <v>662</v>
      </c>
    </row>
    <row r="385" spans="1:126" x14ac:dyDescent="0.35">
      <c r="A385" t="s">
        <v>663</v>
      </c>
      <c r="B385">
        <v>230110</v>
      </c>
      <c r="C385" s="1">
        <v>44936</v>
      </c>
      <c r="D385" t="s">
        <v>664</v>
      </c>
      <c r="E385" t="s">
        <v>184</v>
      </c>
      <c r="F385" t="s">
        <v>185</v>
      </c>
      <c r="G385" t="s">
        <v>652</v>
      </c>
      <c r="H385">
        <v>21575</v>
      </c>
      <c r="I385" s="17">
        <v>7266</v>
      </c>
      <c r="J385" s="17">
        <v>374</v>
      </c>
      <c r="K385">
        <v>1242</v>
      </c>
      <c r="L385">
        <v>12945</v>
      </c>
      <c r="M385">
        <v>19847</v>
      </c>
      <c r="N385">
        <v>21453</v>
      </c>
      <c r="O385">
        <v>21463</v>
      </c>
      <c r="P385">
        <v>122</v>
      </c>
      <c r="Q385">
        <v>112</v>
      </c>
      <c r="R385">
        <v>21575</v>
      </c>
      <c r="S385">
        <v>7266</v>
      </c>
      <c r="T385">
        <v>374</v>
      </c>
      <c r="U385">
        <v>1242</v>
      </c>
      <c r="V385">
        <v>12945</v>
      </c>
      <c r="W385">
        <v>19847</v>
      </c>
      <c r="X385">
        <v>21453</v>
      </c>
      <c r="Y385">
        <v>21463</v>
      </c>
      <c r="Z385">
        <v>122</v>
      </c>
      <c r="AA385">
        <v>112</v>
      </c>
      <c r="AB385">
        <v>0</v>
      </c>
      <c r="AC385">
        <v>0</v>
      </c>
      <c r="AD385">
        <v>0</v>
      </c>
      <c r="AE385">
        <v>0</v>
      </c>
      <c r="AF385">
        <v>0</v>
      </c>
      <c r="AG385">
        <v>0</v>
      </c>
      <c r="AH385">
        <v>0</v>
      </c>
      <c r="AI385">
        <v>0</v>
      </c>
      <c r="AJ385">
        <v>0</v>
      </c>
      <c r="AK385">
        <v>0</v>
      </c>
      <c r="AL385">
        <v>-4266</v>
      </c>
      <c r="AM385">
        <v>-682</v>
      </c>
      <c r="AN385">
        <v>125</v>
      </c>
      <c r="AO385">
        <v>-340</v>
      </c>
      <c r="AP385">
        <v>-3330</v>
      </c>
      <c r="AQ385">
        <v>-3970</v>
      </c>
      <c r="AR385">
        <v>-4352</v>
      </c>
      <c r="AS385">
        <v>-4185</v>
      </c>
      <c r="AT385">
        <v>86</v>
      </c>
      <c r="AU385">
        <v>-81</v>
      </c>
      <c r="AV385">
        <v>100</v>
      </c>
      <c r="AW385">
        <v>33.700000000000003</v>
      </c>
      <c r="AX385">
        <v>1.7</v>
      </c>
      <c r="AY385">
        <v>5.8</v>
      </c>
      <c r="AZ385">
        <v>60</v>
      </c>
      <c r="BA385">
        <v>92</v>
      </c>
      <c r="BB385">
        <v>99.4</v>
      </c>
      <c r="BC385">
        <v>99.5</v>
      </c>
      <c r="BD385">
        <v>0.6</v>
      </c>
      <c r="BE385">
        <v>0.5</v>
      </c>
      <c r="BF385">
        <v>100</v>
      </c>
      <c r="BG385">
        <v>33.700000000000003</v>
      </c>
      <c r="BH385">
        <v>1.7</v>
      </c>
      <c r="BI385">
        <v>5.8</v>
      </c>
      <c r="BJ385">
        <v>60</v>
      </c>
      <c r="BK385">
        <v>92</v>
      </c>
      <c r="BL385">
        <v>99.4</v>
      </c>
      <c r="BM385">
        <v>99.5</v>
      </c>
      <c r="BN385">
        <v>0.6</v>
      </c>
      <c r="BO385">
        <v>0.5</v>
      </c>
      <c r="BP385">
        <v>0</v>
      </c>
      <c r="BQ385">
        <v>0</v>
      </c>
      <c r="BR385">
        <v>0</v>
      </c>
      <c r="BS385">
        <v>0</v>
      </c>
      <c r="BT385">
        <v>0</v>
      </c>
      <c r="BU385">
        <v>0</v>
      </c>
      <c r="BV385">
        <v>0</v>
      </c>
      <c r="BW385">
        <v>0</v>
      </c>
      <c r="BX385">
        <v>0</v>
      </c>
      <c r="BY385">
        <v>0</v>
      </c>
      <c r="BZ385">
        <v>45</v>
      </c>
      <c r="CA385">
        <v>3</v>
      </c>
      <c r="CB385">
        <v>5</v>
      </c>
      <c r="CC385">
        <v>5</v>
      </c>
      <c r="CD385">
        <v>32</v>
      </c>
      <c r="CE385">
        <v>32</v>
      </c>
      <c r="CF385">
        <v>37</v>
      </c>
      <c r="CG385">
        <v>40</v>
      </c>
      <c r="CH385">
        <v>45</v>
      </c>
      <c r="CI385">
        <v>3</v>
      </c>
      <c r="CJ385">
        <v>5</v>
      </c>
      <c r="CK385">
        <v>5</v>
      </c>
      <c r="CL385">
        <v>32</v>
      </c>
      <c r="CM385">
        <v>32</v>
      </c>
      <c r="CN385">
        <v>37</v>
      </c>
      <c r="CO385">
        <v>40</v>
      </c>
      <c r="CP385">
        <v>0</v>
      </c>
      <c r="CQ385">
        <v>0</v>
      </c>
      <c r="CR385">
        <v>0</v>
      </c>
      <c r="CS385">
        <v>0</v>
      </c>
      <c r="CT385">
        <v>0</v>
      </c>
      <c r="CU385">
        <v>0</v>
      </c>
      <c r="CV385">
        <v>0</v>
      </c>
      <c r="CW385">
        <v>0</v>
      </c>
      <c r="CX385">
        <v>58.6</v>
      </c>
      <c r="CY385">
        <v>37.200000000000003</v>
      </c>
      <c r="CZ385">
        <v>72.900000000000006</v>
      </c>
      <c r="DA385">
        <v>56.9</v>
      </c>
      <c r="DB385">
        <v>41</v>
      </c>
      <c r="DC385">
        <v>20</v>
      </c>
      <c r="DD385">
        <v>45.6</v>
      </c>
      <c r="DE385">
        <v>33.5</v>
      </c>
      <c r="DF385">
        <v>58.6</v>
      </c>
      <c r="DG385">
        <v>37.200000000000003</v>
      </c>
      <c r="DH385">
        <v>72.900000000000006</v>
      </c>
      <c r="DI385">
        <v>56.9</v>
      </c>
      <c r="DJ385">
        <v>41</v>
      </c>
      <c r="DK385">
        <v>20</v>
      </c>
      <c r="DL385">
        <v>45.6</v>
      </c>
      <c r="DM385">
        <v>33.5</v>
      </c>
      <c r="DN385">
        <v>0</v>
      </c>
      <c r="DO385">
        <v>0</v>
      </c>
      <c r="DP385">
        <v>0</v>
      </c>
      <c r="DQ385">
        <v>0</v>
      </c>
      <c r="DR385">
        <v>0</v>
      </c>
      <c r="DS385">
        <v>0</v>
      </c>
      <c r="DT385">
        <v>0</v>
      </c>
      <c r="DU385">
        <v>0</v>
      </c>
      <c r="DV385" t="s">
        <v>659</v>
      </c>
    </row>
    <row r="386" spans="1:126" x14ac:dyDescent="0.35">
      <c r="A386" t="s">
        <v>663</v>
      </c>
      <c r="B386">
        <v>230103</v>
      </c>
      <c r="C386" s="1">
        <v>44929</v>
      </c>
      <c r="D386" t="s">
        <v>664</v>
      </c>
      <c r="E386" t="s">
        <v>184</v>
      </c>
      <c r="F386" t="s">
        <v>185</v>
      </c>
      <c r="G386" t="s">
        <v>652</v>
      </c>
      <c r="H386">
        <v>25841</v>
      </c>
      <c r="I386" s="17">
        <v>7948</v>
      </c>
      <c r="J386" s="17">
        <v>249</v>
      </c>
      <c r="K386">
        <v>1582</v>
      </c>
      <c r="L386">
        <v>16275</v>
      </c>
      <c r="M386">
        <v>23817</v>
      </c>
      <c r="N386">
        <v>25805</v>
      </c>
      <c r="O386">
        <v>25648</v>
      </c>
      <c r="P386">
        <v>36</v>
      </c>
      <c r="Q386">
        <v>193</v>
      </c>
      <c r="R386">
        <v>25841</v>
      </c>
      <c r="S386">
        <v>7948</v>
      </c>
      <c r="T386">
        <v>249</v>
      </c>
      <c r="U386">
        <v>1582</v>
      </c>
      <c r="V386">
        <v>16275</v>
      </c>
      <c r="W386">
        <v>23817</v>
      </c>
      <c r="X386">
        <v>25805</v>
      </c>
      <c r="Y386">
        <v>25648</v>
      </c>
      <c r="Z386">
        <v>36</v>
      </c>
      <c r="AA386">
        <v>193</v>
      </c>
      <c r="AB386">
        <v>0</v>
      </c>
      <c r="AC386">
        <v>0</v>
      </c>
      <c r="AD386">
        <v>0</v>
      </c>
      <c r="AE386">
        <v>0</v>
      </c>
      <c r="AF386">
        <v>0</v>
      </c>
      <c r="AG386">
        <v>0</v>
      </c>
      <c r="AH386">
        <v>0</v>
      </c>
      <c r="AI386">
        <v>0</v>
      </c>
      <c r="AJ386">
        <v>0</v>
      </c>
      <c r="AK386">
        <v>0</v>
      </c>
      <c r="AL386">
        <v>477</v>
      </c>
      <c r="AM386">
        <v>500</v>
      </c>
      <c r="AN386">
        <v>65</v>
      </c>
      <c r="AO386">
        <v>15</v>
      </c>
      <c r="AP386">
        <v>-38</v>
      </c>
      <c r="AQ386">
        <v>354</v>
      </c>
      <c r="AR386">
        <v>477</v>
      </c>
      <c r="AS386">
        <v>434</v>
      </c>
      <c r="AT386">
        <v>0</v>
      </c>
      <c r="AU386">
        <v>43</v>
      </c>
      <c r="AV386">
        <v>100</v>
      </c>
      <c r="AW386">
        <v>30.8</v>
      </c>
      <c r="AX386">
        <v>1</v>
      </c>
      <c r="AY386">
        <v>6.1</v>
      </c>
      <c r="AZ386">
        <v>63</v>
      </c>
      <c r="BA386">
        <v>92.2</v>
      </c>
      <c r="BB386">
        <v>99.9</v>
      </c>
      <c r="BC386">
        <v>99.3</v>
      </c>
      <c r="BD386">
        <v>0.1</v>
      </c>
      <c r="BE386">
        <v>0.7</v>
      </c>
      <c r="BF386">
        <v>100</v>
      </c>
      <c r="BG386">
        <v>30.8</v>
      </c>
      <c r="BH386">
        <v>1</v>
      </c>
      <c r="BI386">
        <v>6.1</v>
      </c>
      <c r="BJ386">
        <v>63</v>
      </c>
      <c r="BK386">
        <v>92.2</v>
      </c>
      <c r="BL386">
        <v>99.9</v>
      </c>
      <c r="BM386">
        <v>99.3</v>
      </c>
      <c r="BN386">
        <v>0.1</v>
      </c>
      <c r="BO386">
        <v>0.7</v>
      </c>
      <c r="BP386">
        <v>0</v>
      </c>
      <c r="BQ386">
        <v>0</v>
      </c>
      <c r="BR386">
        <v>0</v>
      </c>
      <c r="BS386">
        <v>0</v>
      </c>
      <c r="BT386">
        <v>0</v>
      </c>
      <c r="BU386">
        <v>0</v>
      </c>
      <c r="BV386">
        <v>0</v>
      </c>
      <c r="BW386">
        <v>0</v>
      </c>
      <c r="BX386">
        <v>0</v>
      </c>
      <c r="BY386">
        <v>0</v>
      </c>
      <c r="BZ386">
        <v>53</v>
      </c>
      <c r="CA386">
        <v>5</v>
      </c>
      <c r="CB386">
        <v>4</v>
      </c>
      <c r="CC386">
        <v>6</v>
      </c>
      <c r="CD386">
        <v>36</v>
      </c>
      <c r="CE386">
        <v>37</v>
      </c>
      <c r="CF386">
        <v>42</v>
      </c>
      <c r="CG386">
        <v>46</v>
      </c>
      <c r="CH386">
        <v>53</v>
      </c>
      <c r="CI386">
        <v>5</v>
      </c>
      <c r="CJ386">
        <v>4</v>
      </c>
      <c r="CK386">
        <v>6</v>
      </c>
      <c r="CL386">
        <v>36</v>
      </c>
      <c r="CM386">
        <v>37</v>
      </c>
      <c r="CN386">
        <v>42</v>
      </c>
      <c r="CO386">
        <v>46</v>
      </c>
      <c r="CP386">
        <v>0</v>
      </c>
      <c r="CQ386">
        <v>0</v>
      </c>
      <c r="CR386">
        <v>0</v>
      </c>
      <c r="CS386">
        <v>0</v>
      </c>
      <c r="CT386">
        <v>0</v>
      </c>
      <c r="CU386">
        <v>0</v>
      </c>
      <c r="CV386">
        <v>0</v>
      </c>
      <c r="CW386">
        <v>0</v>
      </c>
      <c r="CX386">
        <v>56.3</v>
      </c>
      <c r="CY386">
        <v>35.9</v>
      </c>
      <c r="CZ386">
        <v>73.3</v>
      </c>
      <c r="DA386">
        <v>55.7</v>
      </c>
      <c r="DB386">
        <v>40.5</v>
      </c>
      <c r="DC386">
        <v>21.7</v>
      </c>
      <c r="DD386">
        <v>45.8</v>
      </c>
      <c r="DE386">
        <v>36.4</v>
      </c>
      <c r="DF386">
        <v>56.3</v>
      </c>
      <c r="DG386">
        <v>35.9</v>
      </c>
      <c r="DH386">
        <v>73.3</v>
      </c>
      <c r="DI386">
        <v>55.7</v>
      </c>
      <c r="DJ386">
        <v>40.5</v>
      </c>
      <c r="DK386">
        <v>21.7</v>
      </c>
      <c r="DL386">
        <v>45.8</v>
      </c>
      <c r="DM386">
        <v>36.4</v>
      </c>
      <c r="DN386">
        <v>0</v>
      </c>
      <c r="DO386">
        <v>0</v>
      </c>
      <c r="DP386">
        <v>0</v>
      </c>
      <c r="DQ386">
        <v>0</v>
      </c>
      <c r="DR386">
        <v>0</v>
      </c>
      <c r="DS386">
        <v>0</v>
      </c>
      <c r="DT386">
        <v>0</v>
      </c>
      <c r="DU386">
        <v>0</v>
      </c>
      <c r="DV386" t="s">
        <v>659</v>
      </c>
    </row>
    <row r="387" spans="1:126" x14ac:dyDescent="0.35">
      <c r="A387" t="s">
        <v>665</v>
      </c>
      <c r="B387">
        <v>230110</v>
      </c>
      <c r="C387" s="1">
        <v>44936</v>
      </c>
      <c r="D387" t="s">
        <v>666</v>
      </c>
      <c r="E387" t="s">
        <v>184</v>
      </c>
      <c r="F387" t="s">
        <v>185</v>
      </c>
      <c r="G387" t="s">
        <v>652</v>
      </c>
      <c r="H387">
        <v>11349</v>
      </c>
      <c r="I387" s="17">
        <v>4463</v>
      </c>
      <c r="J387" s="17">
        <v>1302</v>
      </c>
      <c r="K387">
        <v>508</v>
      </c>
      <c r="L387">
        <v>6202</v>
      </c>
      <c r="M387">
        <v>9106</v>
      </c>
      <c r="N387">
        <v>11173</v>
      </c>
      <c r="O387">
        <v>10916</v>
      </c>
      <c r="P387">
        <v>176</v>
      </c>
      <c r="Q387">
        <v>433</v>
      </c>
      <c r="R387">
        <v>11349</v>
      </c>
      <c r="S387">
        <v>4463</v>
      </c>
      <c r="T387">
        <v>1302</v>
      </c>
      <c r="U387">
        <v>508</v>
      </c>
      <c r="V387">
        <v>6202</v>
      </c>
      <c r="W387">
        <v>9106</v>
      </c>
      <c r="X387">
        <v>11173</v>
      </c>
      <c r="Y387">
        <v>10916</v>
      </c>
      <c r="Z387">
        <v>176</v>
      </c>
      <c r="AA387">
        <v>433</v>
      </c>
      <c r="AB387">
        <v>0</v>
      </c>
      <c r="AC387">
        <v>0</v>
      </c>
      <c r="AD387">
        <v>0</v>
      </c>
      <c r="AE387">
        <v>0</v>
      </c>
      <c r="AF387">
        <v>0</v>
      </c>
      <c r="AG387">
        <v>0</v>
      </c>
      <c r="AH387">
        <v>0</v>
      </c>
      <c r="AI387">
        <v>0</v>
      </c>
      <c r="AJ387">
        <v>0</v>
      </c>
      <c r="AK387">
        <v>0</v>
      </c>
      <c r="AL387">
        <v>-2483</v>
      </c>
      <c r="AM387">
        <v>-576</v>
      </c>
      <c r="AN387">
        <v>512</v>
      </c>
      <c r="AO387">
        <v>-505</v>
      </c>
      <c r="AP387">
        <v>-1420</v>
      </c>
      <c r="AQ387">
        <v>-2686</v>
      </c>
      <c r="AR387">
        <v>-2501</v>
      </c>
      <c r="AS387">
        <v>-2679</v>
      </c>
      <c r="AT387">
        <v>18</v>
      </c>
      <c r="AU387">
        <v>196</v>
      </c>
      <c r="AV387">
        <v>100</v>
      </c>
      <c r="AW387">
        <v>39.299999999999997</v>
      </c>
      <c r="AX387">
        <v>11.5</v>
      </c>
      <c r="AY387">
        <v>4.5</v>
      </c>
      <c r="AZ387">
        <v>54.6</v>
      </c>
      <c r="BA387">
        <v>80.2</v>
      </c>
      <c r="BB387">
        <v>98.4</v>
      </c>
      <c r="BC387">
        <v>96.2</v>
      </c>
      <c r="BD387">
        <v>1.6</v>
      </c>
      <c r="BE387">
        <v>3.8</v>
      </c>
      <c r="BF387">
        <v>100</v>
      </c>
      <c r="BG387">
        <v>39.299999999999997</v>
      </c>
      <c r="BH387">
        <v>11.5</v>
      </c>
      <c r="BI387">
        <v>4.5</v>
      </c>
      <c r="BJ387">
        <v>54.6</v>
      </c>
      <c r="BK387">
        <v>80.2</v>
      </c>
      <c r="BL387">
        <v>98.4</v>
      </c>
      <c r="BM387">
        <v>96.2</v>
      </c>
      <c r="BN387">
        <v>1.6</v>
      </c>
      <c r="BO387">
        <v>3.8</v>
      </c>
      <c r="BP387">
        <v>0</v>
      </c>
      <c r="BQ387">
        <v>0</v>
      </c>
      <c r="BR387">
        <v>0</v>
      </c>
      <c r="BS387">
        <v>0</v>
      </c>
      <c r="BT387">
        <v>0</v>
      </c>
      <c r="BU387">
        <v>0</v>
      </c>
      <c r="BV387">
        <v>0</v>
      </c>
      <c r="BW387">
        <v>0</v>
      </c>
      <c r="BX387">
        <v>0</v>
      </c>
      <c r="BY387">
        <v>0</v>
      </c>
      <c r="BZ387">
        <v>27</v>
      </c>
      <c r="CA387">
        <v>6</v>
      </c>
      <c r="CB387">
        <v>2</v>
      </c>
      <c r="CC387">
        <v>4</v>
      </c>
      <c r="CD387">
        <v>15</v>
      </c>
      <c r="CE387">
        <v>16</v>
      </c>
      <c r="CF387">
        <v>22</v>
      </c>
      <c r="CG387">
        <v>21</v>
      </c>
      <c r="CH387">
        <v>27</v>
      </c>
      <c r="CI387">
        <v>6</v>
      </c>
      <c r="CJ387">
        <v>2</v>
      </c>
      <c r="CK387">
        <v>4</v>
      </c>
      <c r="CL387">
        <v>15</v>
      </c>
      <c r="CM387">
        <v>16</v>
      </c>
      <c r="CN387">
        <v>22</v>
      </c>
      <c r="CO387">
        <v>21</v>
      </c>
      <c r="CP387">
        <v>0</v>
      </c>
      <c r="CQ387">
        <v>0</v>
      </c>
      <c r="CR387">
        <v>0</v>
      </c>
      <c r="CS387">
        <v>0</v>
      </c>
      <c r="CT387">
        <v>0</v>
      </c>
      <c r="CU387">
        <v>0</v>
      </c>
      <c r="CV387">
        <v>0</v>
      </c>
      <c r="CW387">
        <v>0</v>
      </c>
      <c r="CX387">
        <v>68.599999999999994</v>
      </c>
      <c r="CY387">
        <v>52.6</v>
      </c>
      <c r="CZ387">
        <v>83.4</v>
      </c>
      <c r="DA387">
        <v>78.3</v>
      </c>
      <c r="DB387">
        <v>54.1</v>
      </c>
      <c r="DC387">
        <v>38.799999999999997</v>
      </c>
      <c r="DD387">
        <v>63.7</v>
      </c>
      <c r="DE387">
        <v>57.4</v>
      </c>
      <c r="DF387">
        <v>68.599999999999994</v>
      </c>
      <c r="DG387">
        <v>52.6</v>
      </c>
      <c r="DH387">
        <v>83.4</v>
      </c>
      <c r="DI387">
        <v>78.3</v>
      </c>
      <c r="DJ387">
        <v>54.1</v>
      </c>
      <c r="DK387">
        <v>38.799999999999997</v>
      </c>
      <c r="DL387">
        <v>63.7</v>
      </c>
      <c r="DM387">
        <v>57.4</v>
      </c>
      <c r="DN387">
        <v>0</v>
      </c>
      <c r="DO387">
        <v>0</v>
      </c>
      <c r="DP387">
        <v>0</v>
      </c>
      <c r="DQ387">
        <v>0</v>
      </c>
      <c r="DR387">
        <v>0</v>
      </c>
      <c r="DS387">
        <v>0</v>
      </c>
      <c r="DT387">
        <v>0</v>
      </c>
      <c r="DU387">
        <v>0</v>
      </c>
      <c r="DV387" t="s">
        <v>659</v>
      </c>
    </row>
    <row r="388" spans="1:126" x14ac:dyDescent="0.35">
      <c r="A388" t="s">
        <v>665</v>
      </c>
      <c r="B388">
        <v>230103</v>
      </c>
      <c r="C388" s="1">
        <v>44929</v>
      </c>
      <c r="D388" t="s">
        <v>666</v>
      </c>
      <c r="E388" t="s">
        <v>184</v>
      </c>
      <c r="F388" t="s">
        <v>185</v>
      </c>
      <c r="G388" t="s">
        <v>652</v>
      </c>
      <c r="H388">
        <v>13832</v>
      </c>
      <c r="I388" s="17">
        <v>5039</v>
      </c>
      <c r="J388" s="17">
        <v>790</v>
      </c>
      <c r="K388">
        <v>1013</v>
      </c>
      <c r="L388">
        <v>7622</v>
      </c>
      <c r="M388">
        <v>11792</v>
      </c>
      <c r="N388">
        <v>13674</v>
      </c>
      <c r="O388">
        <v>13595</v>
      </c>
      <c r="P388">
        <v>158</v>
      </c>
      <c r="Q388">
        <v>237</v>
      </c>
      <c r="R388">
        <v>13832</v>
      </c>
      <c r="S388">
        <v>5039</v>
      </c>
      <c r="T388">
        <v>790</v>
      </c>
      <c r="U388">
        <v>1013</v>
      </c>
      <c r="V388">
        <v>7622</v>
      </c>
      <c r="W388">
        <v>11792</v>
      </c>
      <c r="X388">
        <v>13674</v>
      </c>
      <c r="Y388">
        <v>13595</v>
      </c>
      <c r="Z388">
        <v>158</v>
      </c>
      <c r="AA388">
        <v>237</v>
      </c>
      <c r="AB388">
        <v>0</v>
      </c>
      <c r="AC388">
        <v>0</v>
      </c>
      <c r="AD388">
        <v>0</v>
      </c>
      <c r="AE388">
        <v>0</v>
      </c>
      <c r="AF388">
        <v>0</v>
      </c>
      <c r="AG388">
        <v>0</v>
      </c>
      <c r="AH388">
        <v>0</v>
      </c>
      <c r="AI388">
        <v>0</v>
      </c>
      <c r="AJ388">
        <v>0</v>
      </c>
      <c r="AK388">
        <v>0</v>
      </c>
      <c r="AL388">
        <v>306</v>
      </c>
      <c r="AM388">
        <v>-85</v>
      </c>
      <c r="AN388">
        <v>-20</v>
      </c>
      <c r="AO388">
        <v>120</v>
      </c>
      <c r="AP388">
        <v>172</v>
      </c>
      <c r="AQ388">
        <v>197</v>
      </c>
      <c r="AR388">
        <v>207</v>
      </c>
      <c r="AS388">
        <v>297</v>
      </c>
      <c r="AT388">
        <v>99</v>
      </c>
      <c r="AU388">
        <v>9</v>
      </c>
      <c r="AV388">
        <v>100</v>
      </c>
      <c r="AW388">
        <v>36.4</v>
      </c>
      <c r="AX388">
        <v>5.7</v>
      </c>
      <c r="AY388">
        <v>7.3</v>
      </c>
      <c r="AZ388">
        <v>55.1</v>
      </c>
      <c r="BA388">
        <v>85.3</v>
      </c>
      <c r="BB388">
        <v>98.9</v>
      </c>
      <c r="BC388">
        <v>98.3</v>
      </c>
      <c r="BD388">
        <v>1.1000000000000001</v>
      </c>
      <c r="BE388">
        <v>1.7</v>
      </c>
      <c r="BF388">
        <v>100</v>
      </c>
      <c r="BG388">
        <v>36.4</v>
      </c>
      <c r="BH388">
        <v>5.7</v>
      </c>
      <c r="BI388">
        <v>7.3</v>
      </c>
      <c r="BJ388">
        <v>55.1</v>
      </c>
      <c r="BK388">
        <v>85.3</v>
      </c>
      <c r="BL388">
        <v>98.9</v>
      </c>
      <c r="BM388">
        <v>98.3</v>
      </c>
      <c r="BN388">
        <v>1.1000000000000001</v>
      </c>
      <c r="BO388">
        <v>1.7</v>
      </c>
      <c r="BP388">
        <v>0</v>
      </c>
      <c r="BQ388">
        <v>0</v>
      </c>
      <c r="BR388">
        <v>0</v>
      </c>
      <c r="BS388">
        <v>0</v>
      </c>
      <c r="BT388">
        <v>0</v>
      </c>
      <c r="BU388">
        <v>0</v>
      </c>
      <c r="BV388">
        <v>0</v>
      </c>
      <c r="BW388">
        <v>0</v>
      </c>
      <c r="BX388">
        <v>0</v>
      </c>
      <c r="BY388">
        <v>0</v>
      </c>
      <c r="BZ388">
        <v>33</v>
      </c>
      <c r="CA388">
        <v>6</v>
      </c>
      <c r="CB388">
        <v>2</v>
      </c>
      <c r="CC388">
        <v>4</v>
      </c>
      <c r="CD388">
        <v>20</v>
      </c>
      <c r="CE388">
        <v>21</v>
      </c>
      <c r="CF388">
        <v>27</v>
      </c>
      <c r="CG388">
        <v>26</v>
      </c>
      <c r="CH388">
        <v>33</v>
      </c>
      <c r="CI388">
        <v>6</v>
      </c>
      <c r="CJ388">
        <v>2</v>
      </c>
      <c r="CK388">
        <v>4</v>
      </c>
      <c r="CL388">
        <v>20</v>
      </c>
      <c r="CM388">
        <v>21</v>
      </c>
      <c r="CN388">
        <v>27</v>
      </c>
      <c r="CO388">
        <v>26</v>
      </c>
      <c r="CP388">
        <v>0</v>
      </c>
      <c r="CQ388">
        <v>0</v>
      </c>
      <c r="CR388">
        <v>0</v>
      </c>
      <c r="CS388">
        <v>0</v>
      </c>
      <c r="CT388">
        <v>0</v>
      </c>
      <c r="CU388">
        <v>0</v>
      </c>
      <c r="CV388">
        <v>0</v>
      </c>
      <c r="CW388">
        <v>0</v>
      </c>
      <c r="CX388">
        <v>63.8</v>
      </c>
      <c r="CY388">
        <v>51</v>
      </c>
      <c r="CZ388">
        <v>85.7</v>
      </c>
      <c r="DA388">
        <v>76.599999999999994</v>
      </c>
      <c r="DB388">
        <v>49.7</v>
      </c>
      <c r="DC388">
        <v>31.4</v>
      </c>
      <c r="DD388">
        <v>56.5</v>
      </c>
      <c r="DE388">
        <v>47.9</v>
      </c>
      <c r="DF388">
        <v>63.8</v>
      </c>
      <c r="DG388">
        <v>51</v>
      </c>
      <c r="DH388">
        <v>85.7</v>
      </c>
      <c r="DI388">
        <v>76.599999999999994</v>
      </c>
      <c r="DJ388">
        <v>49.7</v>
      </c>
      <c r="DK388">
        <v>31.4</v>
      </c>
      <c r="DL388">
        <v>56.5</v>
      </c>
      <c r="DM388">
        <v>47.9</v>
      </c>
      <c r="DN388">
        <v>0</v>
      </c>
      <c r="DO388">
        <v>0</v>
      </c>
      <c r="DP388">
        <v>0</v>
      </c>
      <c r="DQ388">
        <v>0</v>
      </c>
      <c r="DR388">
        <v>0</v>
      </c>
      <c r="DS388">
        <v>0</v>
      </c>
      <c r="DT388">
        <v>0</v>
      </c>
      <c r="DU388">
        <v>0</v>
      </c>
      <c r="DV388" t="s">
        <v>659</v>
      </c>
    </row>
    <row r="389" spans="1:126" x14ac:dyDescent="0.35">
      <c r="A389" t="s">
        <v>667</v>
      </c>
      <c r="B389">
        <v>230110</v>
      </c>
      <c r="C389" s="1">
        <v>44936</v>
      </c>
      <c r="D389" t="s">
        <v>668</v>
      </c>
      <c r="E389" t="s">
        <v>184</v>
      </c>
      <c r="F389" t="s">
        <v>185</v>
      </c>
      <c r="G389" t="s">
        <v>652</v>
      </c>
      <c r="H389">
        <v>13257</v>
      </c>
      <c r="I389" s="17">
        <v>1599</v>
      </c>
      <c r="J389" s="17">
        <v>1895</v>
      </c>
      <c r="K389">
        <v>1500</v>
      </c>
      <c r="L389">
        <v>9954</v>
      </c>
      <c r="M389">
        <v>9608</v>
      </c>
      <c r="N389">
        <v>13053</v>
      </c>
      <c r="O389">
        <v>13003</v>
      </c>
      <c r="P389">
        <v>204</v>
      </c>
      <c r="Q389">
        <v>254</v>
      </c>
      <c r="R389">
        <v>13257</v>
      </c>
      <c r="S389">
        <v>1599</v>
      </c>
      <c r="T389">
        <v>1895</v>
      </c>
      <c r="U389">
        <v>1500</v>
      </c>
      <c r="V389">
        <v>9954</v>
      </c>
      <c r="W389">
        <v>9608</v>
      </c>
      <c r="X389">
        <v>13053</v>
      </c>
      <c r="Y389">
        <v>13003</v>
      </c>
      <c r="Z389">
        <v>204</v>
      </c>
      <c r="AA389">
        <v>254</v>
      </c>
      <c r="AB389">
        <v>0</v>
      </c>
      <c r="AC389">
        <v>0</v>
      </c>
      <c r="AD389">
        <v>0</v>
      </c>
      <c r="AE389">
        <v>0</v>
      </c>
      <c r="AF389">
        <v>0</v>
      </c>
      <c r="AG389">
        <v>0</v>
      </c>
      <c r="AH389">
        <v>0</v>
      </c>
      <c r="AI389">
        <v>0</v>
      </c>
      <c r="AJ389">
        <v>0</v>
      </c>
      <c r="AK389">
        <v>0</v>
      </c>
      <c r="AL389">
        <v>-2044</v>
      </c>
      <c r="AM389">
        <v>-388</v>
      </c>
      <c r="AN389">
        <v>-484</v>
      </c>
      <c r="AO389">
        <v>286</v>
      </c>
      <c r="AP389">
        <v>-1934</v>
      </c>
      <c r="AQ389">
        <v>-1455</v>
      </c>
      <c r="AR389">
        <v>-2036</v>
      </c>
      <c r="AS389">
        <v>-1653</v>
      </c>
      <c r="AT389">
        <v>-8</v>
      </c>
      <c r="AU389">
        <v>-391</v>
      </c>
      <c r="AV389">
        <v>100</v>
      </c>
      <c r="AW389">
        <v>12.1</v>
      </c>
      <c r="AX389">
        <v>14.3</v>
      </c>
      <c r="AY389">
        <v>11.3</v>
      </c>
      <c r="AZ389">
        <v>75.099999999999994</v>
      </c>
      <c r="BA389">
        <v>72.5</v>
      </c>
      <c r="BB389">
        <v>98.5</v>
      </c>
      <c r="BC389">
        <v>98.1</v>
      </c>
      <c r="BD389">
        <v>1.5</v>
      </c>
      <c r="BE389">
        <v>1.9</v>
      </c>
      <c r="BF389">
        <v>100</v>
      </c>
      <c r="BG389">
        <v>12.1</v>
      </c>
      <c r="BH389">
        <v>14.3</v>
      </c>
      <c r="BI389">
        <v>11.3</v>
      </c>
      <c r="BJ389">
        <v>75.099999999999994</v>
      </c>
      <c r="BK389">
        <v>72.5</v>
      </c>
      <c r="BL389">
        <v>98.5</v>
      </c>
      <c r="BM389">
        <v>98.1</v>
      </c>
      <c r="BN389">
        <v>1.5</v>
      </c>
      <c r="BO389">
        <v>1.9</v>
      </c>
      <c r="BP389">
        <v>0</v>
      </c>
      <c r="BQ389">
        <v>0</v>
      </c>
      <c r="BR389">
        <v>0</v>
      </c>
      <c r="BS389">
        <v>0</v>
      </c>
      <c r="BT389">
        <v>0</v>
      </c>
      <c r="BU389">
        <v>0</v>
      </c>
      <c r="BV389">
        <v>0</v>
      </c>
      <c r="BW389">
        <v>0</v>
      </c>
      <c r="BX389">
        <v>0</v>
      </c>
      <c r="BY389">
        <v>0</v>
      </c>
      <c r="BZ389">
        <v>57</v>
      </c>
      <c r="CA389">
        <v>7</v>
      </c>
      <c r="CB389">
        <v>6</v>
      </c>
      <c r="CC389">
        <v>7</v>
      </c>
      <c r="CD389">
        <v>30</v>
      </c>
      <c r="CE389">
        <v>32</v>
      </c>
      <c r="CF389">
        <v>41</v>
      </c>
      <c r="CG389">
        <v>41</v>
      </c>
      <c r="CH389">
        <v>57</v>
      </c>
      <c r="CI389">
        <v>7</v>
      </c>
      <c r="CJ389">
        <v>6</v>
      </c>
      <c r="CK389">
        <v>7</v>
      </c>
      <c r="CL389">
        <v>30</v>
      </c>
      <c r="CM389">
        <v>32</v>
      </c>
      <c r="CN389">
        <v>41</v>
      </c>
      <c r="CO389">
        <v>41</v>
      </c>
      <c r="CP389">
        <v>0</v>
      </c>
      <c r="CQ389">
        <v>0</v>
      </c>
      <c r="CR389">
        <v>0</v>
      </c>
      <c r="CS389">
        <v>0</v>
      </c>
      <c r="CT389">
        <v>0</v>
      </c>
      <c r="CU389">
        <v>0</v>
      </c>
      <c r="CV389">
        <v>0</v>
      </c>
      <c r="CW389">
        <v>0</v>
      </c>
      <c r="CX389">
        <v>37.299999999999997</v>
      </c>
      <c r="CY389">
        <v>44.5</v>
      </c>
      <c r="CZ389">
        <v>58.6</v>
      </c>
      <c r="DA389">
        <v>64.400000000000006</v>
      </c>
      <c r="DB389">
        <v>31</v>
      </c>
      <c r="DC389">
        <v>35.6</v>
      </c>
      <c r="DD389">
        <v>46.7</v>
      </c>
      <c r="DE389">
        <v>52.3</v>
      </c>
      <c r="DF389">
        <v>37.299999999999997</v>
      </c>
      <c r="DG389">
        <v>44.5</v>
      </c>
      <c r="DH389">
        <v>58.6</v>
      </c>
      <c r="DI389">
        <v>64.400000000000006</v>
      </c>
      <c r="DJ389">
        <v>31</v>
      </c>
      <c r="DK389">
        <v>35.6</v>
      </c>
      <c r="DL389">
        <v>46.7</v>
      </c>
      <c r="DM389">
        <v>52.3</v>
      </c>
      <c r="DN389">
        <v>0</v>
      </c>
      <c r="DO389">
        <v>0</v>
      </c>
      <c r="DP389">
        <v>0</v>
      </c>
      <c r="DQ389">
        <v>0</v>
      </c>
      <c r="DR389">
        <v>0</v>
      </c>
      <c r="DS389">
        <v>0</v>
      </c>
      <c r="DT389">
        <v>0</v>
      </c>
      <c r="DU389">
        <v>0</v>
      </c>
      <c r="DV389" t="s">
        <v>659</v>
      </c>
    </row>
    <row r="390" spans="1:126" x14ac:dyDescent="0.35">
      <c r="A390" t="s">
        <v>667</v>
      </c>
      <c r="B390">
        <v>230103</v>
      </c>
      <c r="C390" s="1">
        <v>44929</v>
      </c>
      <c r="D390" t="s">
        <v>668</v>
      </c>
      <c r="E390" t="s">
        <v>184</v>
      </c>
      <c r="F390" t="s">
        <v>185</v>
      </c>
      <c r="G390" t="s">
        <v>652</v>
      </c>
      <c r="H390">
        <v>15301</v>
      </c>
      <c r="I390" s="17">
        <v>1987</v>
      </c>
      <c r="J390" s="17">
        <v>2379</v>
      </c>
      <c r="K390">
        <v>1214</v>
      </c>
      <c r="L390">
        <v>11888</v>
      </c>
      <c r="M390">
        <v>11063</v>
      </c>
      <c r="N390">
        <v>15089</v>
      </c>
      <c r="O390">
        <v>14656</v>
      </c>
      <c r="P390">
        <v>212</v>
      </c>
      <c r="Q390">
        <v>645</v>
      </c>
      <c r="R390">
        <v>15301</v>
      </c>
      <c r="S390">
        <v>1987</v>
      </c>
      <c r="T390">
        <v>2379</v>
      </c>
      <c r="U390">
        <v>1214</v>
      </c>
      <c r="V390">
        <v>11888</v>
      </c>
      <c r="W390">
        <v>11063</v>
      </c>
      <c r="X390">
        <v>15089</v>
      </c>
      <c r="Y390">
        <v>14656</v>
      </c>
      <c r="Z390">
        <v>212</v>
      </c>
      <c r="AA390">
        <v>645</v>
      </c>
      <c r="AB390">
        <v>0</v>
      </c>
      <c r="AC390">
        <v>0</v>
      </c>
      <c r="AD390">
        <v>0</v>
      </c>
      <c r="AE390">
        <v>0</v>
      </c>
      <c r="AF390">
        <v>0</v>
      </c>
      <c r="AG390">
        <v>0</v>
      </c>
      <c r="AH390">
        <v>0</v>
      </c>
      <c r="AI390">
        <v>0</v>
      </c>
      <c r="AJ390">
        <v>0</v>
      </c>
      <c r="AK390">
        <v>0</v>
      </c>
      <c r="AL390">
        <v>281</v>
      </c>
      <c r="AM390">
        <v>-66</v>
      </c>
      <c r="AN390">
        <v>-115</v>
      </c>
      <c r="AO390">
        <v>288</v>
      </c>
      <c r="AP390">
        <v>60</v>
      </c>
      <c r="AQ390">
        <v>-273</v>
      </c>
      <c r="AR390">
        <v>282</v>
      </c>
      <c r="AS390">
        <v>-100</v>
      </c>
      <c r="AT390">
        <v>-1</v>
      </c>
      <c r="AU390">
        <v>381</v>
      </c>
      <c r="AV390">
        <v>100</v>
      </c>
      <c r="AW390">
        <v>13</v>
      </c>
      <c r="AX390">
        <v>15.5</v>
      </c>
      <c r="AY390">
        <v>7.9</v>
      </c>
      <c r="AZ390">
        <v>77.7</v>
      </c>
      <c r="BA390">
        <v>72.3</v>
      </c>
      <c r="BB390">
        <v>98.6</v>
      </c>
      <c r="BC390">
        <v>95.8</v>
      </c>
      <c r="BD390">
        <v>1.4</v>
      </c>
      <c r="BE390">
        <v>4.2</v>
      </c>
      <c r="BF390">
        <v>100</v>
      </c>
      <c r="BG390">
        <v>13</v>
      </c>
      <c r="BH390">
        <v>15.5</v>
      </c>
      <c r="BI390">
        <v>7.9</v>
      </c>
      <c r="BJ390">
        <v>77.7</v>
      </c>
      <c r="BK390">
        <v>72.3</v>
      </c>
      <c r="BL390">
        <v>98.6</v>
      </c>
      <c r="BM390">
        <v>95.8</v>
      </c>
      <c r="BN390">
        <v>1.4</v>
      </c>
      <c r="BO390">
        <v>4.2</v>
      </c>
      <c r="BP390">
        <v>0</v>
      </c>
      <c r="BQ390">
        <v>0</v>
      </c>
      <c r="BR390">
        <v>0</v>
      </c>
      <c r="BS390">
        <v>0</v>
      </c>
      <c r="BT390">
        <v>0</v>
      </c>
      <c r="BU390">
        <v>0</v>
      </c>
      <c r="BV390">
        <v>0</v>
      </c>
      <c r="BW390">
        <v>0</v>
      </c>
      <c r="BX390">
        <v>0</v>
      </c>
      <c r="BY390">
        <v>0</v>
      </c>
      <c r="BZ390">
        <v>60</v>
      </c>
      <c r="CA390">
        <v>5</v>
      </c>
      <c r="CB390">
        <v>8</v>
      </c>
      <c r="CC390">
        <v>7</v>
      </c>
      <c r="CD390">
        <v>35</v>
      </c>
      <c r="CE390">
        <v>38</v>
      </c>
      <c r="CF390">
        <v>45</v>
      </c>
      <c r="CG390">
        <v>48</v>
      </c>
      <c r="CH390">
        <v>60</v>
      </c>
      <c r="CI390">
        <v>5</v>
      </c>
      <c r="CJ390">
        <v>8</v>
      </c>
      <c r="CK390">
        <v>7</v>
      </c>
      <c r="CL390">
        <v>35</v>
      </c>
      <c r="CM390">
        <v>38</v>
      </c>
      <c r="CN390">
        <v>45</v>
      </c>
      <c r="CO390">
        <v>48</v>
      </c>
      <c r="CP390">
        <v>0</v>
      </c>
      <c r="CQ390">
        <v>0</v>
      </c>
      <c r="CR390">
        <v>0</v>
      </c>
      <c r="CS390">
        <v>0</v>
      </c>
      <c r="CT390">
        <v>0</v>
      </c>
      <c r="CU390">
        <v>0</v>
      </c>
      <c r="CV390">
        <v>0</v>
      </c>
      <c r="CW390">
        <v>0</v>
      </c>
      <c r="CX390">
        <v>40.1</v>
      </c>
      <c r="CY390">
        <v>39.1</v>
      </c>
      <c r="CZ390">
        <v>60</v>
      </c>
      <c r="DA390">
        <v>56.2</v>
      </c>
      <c r="DB390">
        <v>33.299999999999997</v>
      </c>
      <c r="DC390">
        <v>32.700000000000003</v>
      </c>
      <c r="DD390">
        <v>50.6</v>
      </c>
      <c r="DE390">
        <v>48.1</v>
      </c>
      <c r="DF390">
        <v>40.1</v>
      </c>
      <c r="DG390">
        <v>39.1</v>
      </c>
      <c r="DH390">
        <v>60</v>
      </c>
      <c r="DI390">
        <v>56.2</v>
      </c>
      <c r="DJ390">
        <v>33.299999999999997</v>
      </c>
      <c r="DK390">
        <v>32.700000000000003</v>
      </c>
      <c r="DL390">
        <v>50.6</v>
      </c>
      <c r="DM390">
        <v>48.1</v>
      </c>
      <c r="DN390">
        <v>0</v>
      </c>
      <c r="DO390">
        <v>0</v>
      </c>
      <c r="DP390">
        <v>0</v>
      </c>
      <c r="DQ390">
        <v>0</v>
      </c>
      <c r="DR390">
        <v>0</v>
      </c>
      <c r="DS390">
        <v>0</v>
      </c>
      <c r="DT390">
        <v>0</v>
      </c>
      <c r="DU390">
        <v>0</v>
      </c>
      <c r="DV390" t="s">
        <v>659</v>
      </c>
    </row>
    <row r="391" spans="1:126" x14ac:dyDescent="0.35">
      <c r="A391" t="s">
        <v>669</v>
      </c>
      <c r="B391">
        <v>230110</v>
      </c>
      <c r="C391" s="1">
        <v>44936</v>
      </c>
      <c r="D391" t="s">
        <v>670</v>
      </c>
      <c r="E391" t="s">
        <v>184</v>
      </c>
      <c r="F391" t="s">
        <v>185</v>
      </c>
      <c r="G391" t="s">
        <v>652</v>
      </c>
      <c r="H391">
        <v>10231</v>
      </c>
      <c r="I391" s="17">
        <v>0</v>
      </c>
      <c r="J391" s="17">
        <v>706</v>
      </c>
      <c r="K391">
        <v>211</v>
      </c>
      <c r="L391">
        <v>9764</v>
      </c>
      <c r="M391">
        <v>9112</v>
      </c>
      <c r="N391">
        <v>9975</v>
      </c>
      <c r="O391">
        <v>10029</v>
      </c>
      <c r="P391">
        <v>256</v>
      </c>
      <c r="Q391">
        <v>202</v>
      </c>
      <c r="R391">
        <v>10231</v>
      </c>
      <c r="S391">
        <v>0</v>
      </c>
      <c r="T391">
        <v>706</v>
      </c>
      <c r="U391">
        <v>211</v>
      </c>
      <c r="V391">
        <v>9764</v>
      </c>
      <c r="W391">
        <v>9112</v>
      </c>
      <c r="X391">
        <v>9975</v>
      </c>
      <c r="Y391">
        <v>10029</v>
      </c>
      <c r="Z391">
        <v>256</v>
      </c>
      <c r="AA391">
        <v>202</v>
      </c>
      <c r="AB391">
        <v>0</v>
      </c>
      <c r="AC391">
        <v>0</v>
      </c>
      <c r="AD391">
        <v>0</v>
      </c>
      <c r="AE391">
        <v>0</v>
      </c>
      <c r="AF391">
        <v>0</v>
      </c>
      <c r="AG391">
        <v>0</v>
      </c>
      <c r="AH391">
        <v>0</v>
      </c>
      <c r="AI391">
        <v>0</v>
      </c>
      <c r="AJ391">
        <v>0</v>
      </c>
      <c r="AK391">
        <v>0</v>
      </c>
      <c r="AL391">
        <v>-1358</v>
      </c>
      <c r="AM391">
        <v>0</v>
      </c>
      <c r="AN391">
        <v>-180</v>
      </c>
      <c r="AO391">
        <v>-77</v>
      </c>
      <c r="AP391">
        <v>-1264</v>
      </c>
      <c r="AQ391">
        <v>-1052</v>
      </c>
      <c r="AR391">
        <v>-1341</v>
      </c>
      <c r="AS391">
        <v>-1309</v>
      </c>
      <c r="AT391">
        <v>-17</v>
      </c>
      <c r="AU391">
        <v>-49</v>
      </c>
      <c r="AV391">
        <v>100</v>
      </c>
      <c r="AW391">
        <v>0</v>
      </c>
      <c r="AX391">
        <v>6.9</v>
      </c>
      <c r="AY391">
        <v>2.1</v>
      </c>
      <c r="AZ391">
        <v>95.4</v>
      </c>
      <c r="BA391">
        <v>89.1</v>
      </c>
      <c r="BB391">
        <v>97.5</v>
      </c>
      <c r="BC391">
        <v>98</v>
      </c>
      <c r="BD391">
        <v>2.5</v>
      </c>
      <c r="BE391">
        <v>2</v>
      </c>
      <c r="BF391">
        <v>100</v>
      </c>
      <c r="BG391">
        <v>0</v>
      </c>
      <c r="BH391">
        <v>6.9</v>
      </c>
      <c r="BI391">
        <v>2.1</v>
      </c>
      <c r="BJ391">
        <v>95.4</v>
      </c>
      <c r="BK391">
        <v>89.1</v>
      </c>
      <c r="BL391">
        <v>97.5</v>
      </c>
      <c r="BM391">
        <v>98</v>
      </c>
      <c r="BN391">
        <v>2.5</v>
      </c>
      <c r="BO391">
        <v>2</v>
      </c>
      <c r="BP391">
        <v>0</v>
      </c>
      <c r="BQ391">
        <v>0</v>
      </c>
      <c r="BR391">
        <v>0</v>
      </c>
      <c r="BS391">
        <v>0</v>
      </c>
      <c r="BT391">
        <v>0</v>
      </c>
      <c r="BU391">
        <v>0</v>
      </c>
      <c r="BV391">
        <v>0</v>
      </c>
      <c r="BW391">
        <v>0</v>
      </c>
      <c r="BX391">
        <v>0</v>
      </c>
      <c r="BY391">
        <v>0</v>
      </c>
      <c r="BZ391">
        <v>27</v>
      </c>
      <c r="CA391">
        <v>0</v>
      </c>
      <c r="CB391">
        <v>3</v>
      </c>
      <c r="CC391">
        <v>2</v>
      </c>
      <c r="CD391">
        <v>17</v>
      </c>
      <c r="CE391">
        <v>20</v>
      </c>
      <c r="CF391">
        <v>19</v>
      </c>
      <c r="CG391">
        <v>24</v>
      </c>
      <c r="CH391">
        <v>27</v>
      </c>
      <c r="CI391">
        <v>0</v>
      </c>
      <c r="CJ391">
        <v>3</v>
      </c>
      <c r="CK391">
        <v>2</v>
      </c>
      <c r="CL391">
        <v>17</v>
      </c>
      <c r="CM391">
        <v>20</v>
      </c>
      <c r="CN391">
        <v>19</v>
      </c>
      <c r="CO391">
        <v>24</v>
      </c>
      <c r="CP391">
        <v>0</v>
      </c>
      <c r="CQ391">
        <v>0</v>
      </c>
      <c r="CR391">
        <v>0</v>
      </c>
      <c r="CS391">
        <v>0</v>
      </c>
      <c r="CT391">
        <v>0</v>
      </c>
      <c r="CU391">
        <v>0</v>
      </c>
      <c r="CV391">
        <v>0</v>
      </c>
      <c r="CW391">
        <v>0</v>
      </c>
      <c r="CX391">
        <v>66.3</v>
      </c>
      <c r="CY391">
        <v>53.4</v>
      </c>
      <c r="CZ391">
        <v>83.6</v>
      </c>
      <c r="DA391">
        <v>73.2</v>
      </c>
      <c r="DB391">
        <v>60.3</v>
      </c>
      <c r="DC391">
        <v>42.2</v>
      </c>
      <c r="DD391">
        <v>64.3</v>
      </c>
      <c r="DE391">
        <v>56.7</v>
      </c>
      <c r="DF391">
        <v>66.3</v>
      </c>
      <c r="DG391">
        <v>53.4</v>
      </c>
      <c r="DH391">
        <v>83.6</v>
      </c>
      <c r="DI391">
        <v>73.2</v>
      </c>
      <c r="DJ391">
        <v>60.3</v>
      </c>
      <c r="DK391">
        <v>42.2</v>
      </c>
      <c r="DL391">
        <v>64.3</v>
      </c>
      <c r="DM391">
        <v>56.7</v>
      </c>
      <c r="DN391">
        <v>0</v>
      </c>
      <c r="DO391">
        <v>0</v>
      </c>
      <c r="DP391">
        <v>0</v>
      </c>
      <c r="DQ391">
        <v>0</v>
      </c>
      <c r="DR391">
        <v>0</v>
      </c>
      <c r="DS391">
        <v>0</v>
      </c>
      <c r="DT391">
        <v>0</v>
      </c>
      <c r="DU391">
        <v>0</v>
      </c>
      <c r="DV391" t="s">
        <v>659</v>
      </c>
    </row>
    <row r="392" spans="1:126" x14ac:dyDescent="0.35">
      <c r="A392" t="s">
        <v>669</v>
      </c>
      <c r="B392">
        <v>230103</v>
      </c>
      <c r="C392" s="1">
        <v>44929</v>
      </c>
      <c r="D392" t="s">
        <v>670</v>
      </c>
      <c r="E392" t="s">
        <v>184</v>
      </c>
      <c r="F392" t="s">
        <v>185</v>
      </c>
      <c r="G392" t="s">
        <v>652</v>
      </c>
      <c r="H392">
        <v>11589</v>
      </c>
      <c r="I392" s="17">
        <v>0</v>
      </c>
      <c r="J392" s="17">
        <v>886</v>
      </c>
      <c r="K392">
        <v>288</v>
      </c>
      <c r="L392">
        <v>11028</v>
      </c>
      <c r="M392">
        <v>10164</v>
      </c>
      <c r="N392">
        <v>11316</v>
      </c>
      <c r="O392">
        <v>11338</v>
      </c>
      <c r="P392">
        <v>273</v>
      </c>
      <c r="Q392">
        <v>251</v>
      </c>
      <c r="R392">
        <v>11589</v>
      </c>
      <c r="S392">
        <v>0</v>
      </c>
      <c r="T392">
        <v>886</v>
      </c>
      <c r="U392">
        <v>288</v>
      </c>
      <c r="V392">
        <v>11028</v>
      </c>
      <c r="W392">
        <v>10164</v>
      </c>
      <c r="X392">
        <v>11316</v>
      </c>
      <c r="Y392">
        <v>11338</v>
      </c>
      <c r="Z392">
        <v>273</v>
      </c>
      <c r="AA392">
        <v>251</v>
      </c>
      <c r="AB392">
        <v>0</v>
      </c>
      <c r="AC392">
        <v>0</v>
      </c>
      <c r="AD392">
        <v>0</v>
      </c>
      <c r="AE392">
        <v>0</v>
      </c>
      <c r="AF392">
        <v>0</v>
      </c>
      <c r="AG392">
        <v>0</v>
      </c>
      <c r="AH392">
        <v>0</v>
      </c>
      <c r="AI392">
        <v>0</v>
      </c>
      <c r="AJ392">
        <v>0</v>
      </c>
      <c r="AK392">
        <v>0</v>
      </c>
      <c r="AL392">
        <v>245</v>
      </c>
      <c r="AM392">
        <v>0</v>
      </c>
      <c r="AN392">
        <v>90</v>
      </c>
      <c r="AO392">
        <v>-15</v>
      </c>
      <c r="AP392">
        <v>332</v>
      </c>
      <c r="AQ392">
        <v>170</v>
      </c>
      <c r="AR392">
        <v>317</v>
      </c>
      <c r="AS392">
        <v>245</v>
      </c>
      <c r="AT392">
        <v>-72</v>
      </c>
      <c r="AU392">
        <v>0</v>
      </c>
      <c r="AV392">
        <v>100</v>
      </c>
      <c r="AW392">
        <v>0</v>
      </c>
      <c r="AX392">
        <v>7.6</v>
      </c>
      <c r="AY392">
        <v>2.5</v>
      </c>
      <c r="AZ392">
        <v>95.2</v>
      </c>
      <c r="BA392">
        <v>87.7</v>
      </c>
      <c r="BB392">
        <v>97.6</v>
      </c>
      <c r="BC392">
        <v>97.8</v>
      </c>
      <c r="BD392">
        <v>2.4</v>
      </c>
      <c r="BE392">
        <v>2.2000000000000002</v>
      </c>
      <c r="BF392">
        <v>100</v>
      </c>
      <c r="BG392">
        <v>0</v>
      </c>
      <c r="BH392">
        <v>7.6</v>
      </c>
      <c r="BI392">
        <v>2.5</v>
      </c>
      <c r="BJ392">
        <v>95.2</v>
      </c>
      <c r="BK392">
        <v>87.7</v>
      </c>
      <c r="BL392">
        <v>97.6</v>
      </c>
      <c r="BM392">
        <v>97.8</v>
      </c>
      <c r="BN392">
        <v>2.4</v>
      </c>
      <c r="BO392">
        <v>2.2000000000000002</v>
      </c>
      <c r="BP392">
        <v>0</v>
      </c>
      <c r="BQ392">
        <v>0</v>
      </c>
      <c r="BR392">
        <v>0</v>
      </c>
      <c r="BS392">
        <v>0</v>
      </c>
      <c r="BT392">
        <v>0</v>
      </c>
      <c r="BU392">
        <v>0</v>
      </c>
      <c r="BV392">
        <v>0</v>
      </c>
      <c r="BW392">
        <v>0</v>
      </c>
      <c r="BX392">
        <v>0</v>
      </c>
      <c r="BY392">
        <v>0</v>
      </c>
      <c r="BZ392">
        <v>29</v>
      </c>
      <c r="CA392">
        <v>0</v>
      </c>
      <c r="CB392">
        <v>3</v>
      </c>
      <c r="CC392">
        <v>2</v>
      </c>
      <c r="CD392">
        <v>17</v>
      </c>
      <c r="CE392">
        <v>21</v>
      </c>
      <c r="CF392">
        <v>19</v>
      </c>
      <c r="CG392">
        <v>25</v>
      </c>
      <c r="CH392">
        <v>29</v>
      </c>
      <c r="CI392">
        <v>0</v>
      </c>
      <c r="CJ392">
        <v>3</v>
      </c>
      <c r="CK392">
        <v>2</v>
      </c>
      <c r="CL392">
        <v>17</v>
      </c>
      <c r="CM392">
        <v>21</v>
      </c>
      <c r="CN392">
        <v>19</v>
      </c>
      <c r="CO392">
        <v>25</v>
      </c>
      <c r="CP392">
        <v>0</v>
      </c>
      <c r="CQ392">
        <v>0</v>
      </c>
      <c r="CR392">
        <v>0</v>
      </c>
      <c r="CS392">
        <v>0</v>
      </c>
      <c r="CT392">
        <v>0</v>
      </c>
      <c r="CU392">
        <v>0</v>
      </c>
      <c r="CV392">
        <v>0</v>
      </c>
      <c r="CW392">
        <v>0</v>
      </c>
      <c r="CX392">
        <v>70.5</v>
      </c>
      <c r="CY392">
        <v>58.2</v>
      </c>
      <c r="CZ392">
        <v>86</v>
      </c>
      <c r="DA392">
        <v>74.7</v>
      </c>
      <c r="DB392">
        <v>67</v>
      </c>
      <c r="DC392">
        <v>50.7</v>
      </c>
      <c r="DD392">
        <v>70.599999999999994</v>
      </c>
      <c r="DE392">
        <v>63.9</v>
      </c>
      <c r="DF392">
        <v>70.5</v>
      </c>
      <c r="DG392">
        <v>58.2</v>
      </c>
      <c r="DH392">
        <v>86</v>
      </c>
      <c r="DI392">
        <v>74.7</v>
      </c>
      <c r="DJ392">
        <v>67</v>
      </c>
      <c r="DK392">
        <v>50.7</v>
      </c>
      <c r="DL392">
        <v>70.599999999999994</v>
      </c>
      <c r="DM392">
        <v>63.9</v>
      </c>
      <c r="DN392">
        <v>0</v>
      </c>
      <c r="DO392">
        <v>0</v>
      </c>
      <c r="DP392">
        <v>0</v>
      </c>
      <c r="DQ392">
        <v>0</v>
      </c>
      <c r="DR392">
        <v>0</v>
      </c>
      <c r="DS392">
        <v>0</v>
      </c>
      <c r="DT392">
        <v>0</v>
      </c>
      <c r="DU392">
        <v>0</v>
      </c>
      <c r="DV392" t="s">
        <v>659</v>
      </c>
    </row>
    <row r="393" spans="1:126" x14ac:dyDescent="0.35">
      <c r="A393" t="s">
        <v>671</v>
      </c>
      <c r="B393">
        <v>230110</v>
      </c>
      <c r="C393" s="1">
        <v>44936</v>
      </c>
      <c r="D393" t="s">
        <v>672</v>
      </c>
      <c r="E393" t="s">
        <v>184</v>
      </c>
      <c r="F393" t="s">
        <v>185</v>
      </c>
      <c r="G393" t="s">
        <v>652</v>
      </c>
      <c r="H393">
        <v>44717</v>
      </c>
      <c r="I393" s="17">
        <v>37410</v>
      </c>
      <c r="J393" s="17">
        <v>928</v>
      </c>
      <c r="K393">
        <v>1027</v>
      </c>
      <c r="L393">
        <v>6280</v>
      </c>
      <c r="M393">
        <v>42737</v>
      </c>
      <c r="N393">
        <v>44717</v>
      </c>
      <c r="O393">
        <v>44692</v>
      </c>
      <c r="P393">
        <v>0</v>
      </c>
      <c r="Q393">
        <v>25</v>
      </c>
      <c r="R393">
        <v>44717</v>
      </c>
      <c r="S393">
        <v>37410</v>
      </c>
      <c r="T393">
        <v>928</v>
      </c>
      <c r="U393">
        <v>1027</v>
      </c>
      <c r="V393">
        <v>6280</v>
      </c>
      <c r="W393">
        <v>42737</v>
      </c>
      <c r="X393">
        <v>44717</v>
      </c>
      <c r="Y393">
        <v>44692</v>
      </c>
      <c r="Z393">
        <v>0</v>
      </c>
      <c r="AA393">
        <v>25</v>
      </c>
      <c r="AB393">
        <v>0</v>
      </c>
      <c r="AC393">
        <v>0</v>
      </c>
      <c r="AD393">
        <v>0</v>
      </c>
      <c r="AE393">
        <v>0</v>
      </c>
      <c r="AF393">
        <v>0</v>
      </c>
      <c r="AG393">
        <v>0</v>
      </c>
      <c r="AH393">
        <v>0</v>
      </c>
      <c r="AI393">
        <v>0</v>
      </c>
      <c r="AJ393">
        <v>0</v>
      </c>
      <c r="AK393">
        <v>0</v>
      </c>
      <c r="AL393">
        <v>-10522</v>
      </c>
      <c r="AM393">
        <v>-5757</v>
      </c>
      <c r="AN393">
        <v>-393</v>
      </c>
      <c r="AO393">
        <v>15</v>
      </c>
      <c r="AP393">
        <v>-3839</v>
      </c>
      <c r="AQ393">
        <v>-9570</v>
      </c>
      <c r="AR393">
        <v>-9581</v>
      </c>
      <c r="AS393">
        <v>-9948</v>
      </c>
      <c r="AT393">
        <v>-941</v>
      </c>
      <c r="AU393">
        <v>-574</v>
      </c>
      <c r="AV393">
        <v>100</v>
      </c>
      <c r="AW393">
        <v>83.7</v>
      </c>
      <c r="AX393">
        <v>2.1</v>
      </c>
      <c r="AY393">
        <v>2.2999999999999998</v>
      </c>
      <c r="AZ393">
        <v>14</v>
      </c>
      <c r="BA393">
        <v>95.6</v>
      </c>
      <c r="BB393">
        <v>100</v>
      </c>
      <c r="BC393">
        <v>99.9</v>
      </c>
      <c r="BD393">
        <v>0</v>
      </c>
      <c r="BE393">
        <v>0.1</v>
      </c>
      <c r="BF393">
        <v>100</v>
      </c>
      <c r="BG393">
        <v>83.7</v>
      </c>
      <c r="BH393">
        <v>2.1</v>
      </c>
      <c r="BI393">
        <v>2.2999999999999998</v>
      </c>
      <c r="BJ393">
        <v>14</v>
      </c>
      <c r="BK393">
        <v>95.6</v>
      </c>
      <c r="BL393">
        <v>100</v>
      </c>
      <c r="BM393">
        <v>99.9</v>
      </c>
      <c r="BN393">
        <v>0</v>
      </c>
      <c r="BO393">
        <v>0.1</v>
      </c>
      <c r="BP393">
        <v>0</v>
      </c>
      <c r="BQ393">
        <v>0</v>
      </c>
      <c r="BR393">
        <v>0</v>
      </c>
      <c r="BS393">
        <v>0</v>
      </c>
      <c r="BT393">
        <v>0</v>
      </c>
      <c r="BU393">
        <v>0</v>
      </c>
      <c r="BV393">
        <v>0</v>
      </c>
      <c r="BW393">
        <v>0</v>
      </c>
      <c r="BX393">
        <v>0</v>
      </c>
      <c r="BY393">
        <v>0</v>
      </c>
      <c r="BZ393">
        <v>51</v>
      </c>
      <c r="CA393">
        <v>6</v>
      </c>
      <c r="CB393">
        <v>4</v>
      </c>
      <c r="CC393">
        <v>3</v>
      </c>
      <c r="CD393">
        <v>16</v>
      </c>
      <c r="CE393">
        <v>37</v>
      </c>
      <c r="CF393">
        <v>25</v>
      </c>
      <c r="CG393">
        <v>41</v>
      </c>
      <c r="CH393">
        <v>51</v>
      </c>
      <c r="CI393">
        <v>6</v>
      </c>
      <c r="CJ393">
        <v>4</v>
      </c>
      <c r="CK393">
        <v>3</v>
      </c>
      <c r="CL393">
        <v>16</v>
      </c>
      <c r="CM393">
        <v>37</v>
      </c>
      <c r="CN393">
        <v>25</v>
      </c>
      <c r="CO393">
        <v>41</v>
      </c>
      <c r="CP393">
        <v>0</v>
      </c>
      <c r="CQ393">
        <v>0</v>
      </c>
      <c r="CR393">
        <v>0</v>
      </c>
      <c r="CS393">
        <v>0</v>
      </c>
      <c r="CT393">
        <v>0</v>
      </c>
      <c r="CU393">
        <v>0</v>
      </c>
      <c r="CV393">
        <v>0</v>
      </c>
      <c r="CW393">
        <v>0</v>
      </c>
      <c r="CX393">
        <v>88.1</v>
      </c>
      <c r="CY393">
        <v>52.7</v>
      </c>
      <c r="CZ393">
        <v>93</v>
      </c>
      <c r="DA393">
        <v>68.400000000000006</v>
      </c>
      <c r="DB393">
        <v>87.7</v>
      </c>
      <c r="DC393">
        <v>51.1</v>
      </c>
      <c r="DD393">
        <v>90.1</v>
      </c>
      <c r="DE393">
        <v>66.400000000000006</v>
      </c>
      <c r="DF393">
        <v>88.1</v>
      </c>
      <c r="DG393">
        <v>52.7</v>
      </c>
      <c r="DH393">
        <v>93</v>
      </c>
      <c r="DI393">
        <v>68.400000000000006</v>
      </c>
      <c r="DJ393">
        <v>87.7</v>
      </c>
      <c r="DK393">
        <v>51.1</v>
      </c>
      <c r="DL393">
        <v>90.1</v>
      </c>
      <c r="DM393">
        <v>66.400000000000006</v>
      </c>
      <c r="DN393">
        <v>0</v>
      </c>
      <c r="DO393">
        <v>0</v>
      </c>
      <c r="DP393">
        <v>0</v>
      </c>
      <c r="DQ393">
        <v>0</v>
      </c>
      <c r="DR393">
        <v>0</v>
      </c>
      <c r="DS393">
        <v>0</v>
      </c>
      <c r="DT393">
        <v>0</v>
      </c>
      <c r="DU393">
        <v>0</v>
      </c>
      <c r="DV393" t="s">
        <v>659</v>
      </c>
    </row>
    <row r="394" spans="1:126" x14ac:dyDescent="0.35">
      <c r="A394" t="s">
        <v>671</v>
      </c>
      <c r="B394">
        <v>230103</v>
      </c>
      <c r="C394" s="1">
        <v>44929</v>
      </c>
      <c r="D394" t="s">
        <v>672</v>
      </c>
      <c r="E394" t="s">
        <v>184</v>
      </c>
      <c r="F394" t="s">
        <v>185</v>
      </c>
      <c r="G394" t="s">
        <v>652</v>
      </c>
      <c r="H394">
        <v>55239</v>
      </c>
      <c r="I394" s="17">
        <v>43167</v>
      </c>
      <c r="J394" s="17">
        <v>1321</v>
      </c>
      <c r="K394">
        <v>1012</v>
      </c>
      <c r="L394">
        <v>10119</v>
      </c>
      <c r="M394">
        <v>52307</v>
      </c>
      <c r="N394">
        <v>54298</v>
      </c>
      <c r="O394">
        <v>54640</v>
      </c>
      <c r="P394">
        <v>941</v>
      </c>
      <c r="Q394">
        <v>599</v>
      </c>
      <c r="R394">
        <v>55239</v>
      </c>
      <c r="S394">
        <v>43167</v>
      </c>
      <c r="T394">
        <v>1321</v>
      </c>
      <c r="U394">
        <v>1012</v>
      </c>
      <c r="V394">
        <v>10119</v>
      </c>
      <c r="W394">
        <v>52307</v>
      </c>
      <c r="X394">
        <v>54298</v>
      </c>
      <c r="Y394">
        <v>54640</v>
      </c>
      <c r="Z394">
        <v>941</v>
      </c>
      <c r="AA394">
        <v>599</v>
      </c>
      <c r="AB394">
        <v>0</v>
      </c>
      <c r="AC394">
        <v>0</v>
      </c>
      <c r="AD394">
        <v>0</v>
      </c>
      <c r="AE394">
        <v>0</v>
      </c>
      <c r="AF394">
        <v>0</v>
      </c>
      <c r="AG394">
        <v>0</v>
      </c>
      <c r="AH394">
        <v>0</v>
      </c>
      <c r="AI394">
        <v>0</v>
      </c>
      <c r="AJ394">
        <v>0</v>
      </c>
      <c r="AK394">
        <v>0</v>
      </c>
      <c r="AL394">
        <v>3619</v>
      </c>
      <c r="AM394">
        <v>2981</v>
      </c>
      <c r="AN394">
        <v>136</v>
      </c>
      <c r="AO394">
        <v>-145</v>
      </c>
      <c r="AP394">
        <v>-138</v>
      </c>
      <c r="AQ394">
        <v>3070</v>
      </c>
      <c r="AR394">
        <v>2698</v>
      </c>
      <c r="AS394">
        <v>3061</v>
      </c>
      <c r="AT394">
        <v>921</v>
      </c>
      <c r="AU394">
        <v>558</v>
      </c>
      <c r="AV394">
        <v>100</v>
      </c>
      <c r="AW394">
        <v>78.099999999999994</v>
      </c>
      <c r="AX394">
        <v>2.4</v>
      </c>
      <c r="AY394">
        <v>1.8</v>
      </c>
      <c r="AZ394">
        <v>18.3</v>
      </c>
      <c r="BA394">
        <v>94.7</v>
      </c>
      <c r="BB394">
        <v>98.3</v>
      </c>
      <c r="BC394">
        <v>98.9</v>
      </c>
      <c r="BD394">
        <v>1.7</v>
      </c>
      <c r="BE394">
        <v>1.1000000000000001</v>
      </c>
      <c r="BF394">
        <v>100</v>
      </c>
      <c r="BG394">
        <v>78.099999999999994</v>
      </c>
      <c r="BH394">
        <v>2.4</v>
      </c>
      <c r="BI394">
        <v>1.8</v>
      </c>
      <c r="BJ394">
        <v>18.3</v>
      </c>
      <c r="BK394">
        <v>94.7</v>
      </c>
      <c r="BL394">
        <v>98.3</v>
      </c>
      <c r="BM394">
        <v>98.9</v>
      </c>
      <c r="BN394">
        <v>1.7</v>
      </c>
      <c r="BO394">
        <v>1.1000000000000001</v>
      </c>
      <c r="BP394">
        <v>0</v>
      </c>
      <c r="BQ394">
        <v>0</v>
      </c>
      <c r="BR394">
        <v>0</v>
      </c>
      <c r="BS394">
        <v>0</v>
      </c>
      <c r="BT394">
        <v>0</v>
      </c>
      <c r="BU394">
        <v>0</v>
      </c>
      <c r="BV394">
        <v>0</v>
      </c>
      <c r="BW394">
        <v>0</v>
      </c>
      <c r="BX394">
        <v>0</v>
      </c>
      <c r="BY394">
        <v>0</v>
      </c>
      <c r="BZ394">
        <v>57</v>
      </c>
      <c r="CA394">
        <v>4</v>
      </c>
      <c r="CB394">
        <v>5</v>
      </c>
      <c r="CC394">
        <v>4</v>
      </c>
      <c r="CD394">
        <v>22</v>
      </c>
      <c r="CE394">
        <v>39</v>
      </c>
      <c r="CF394">
        <v>29</v>
      </c>
      <c r="CG394">
        <v>45</v>
      </c>
      <c r="CH394">
        <v>57</v>
      </c>
      <c r="CI394">
        <v>4</v>
      </c>
      <c r="CJ394">
        <v>5</v>
      </c>
      <c r="CK394">
        <v>4</v>
      </c>
      <c r="CL394">
        <v>22</v>
      </c>
      <c r="CM394">
        <v>39</v>
      </c>
      <c r="CN394">
        <v>29</v>
      </c>
      <c r="CO394">
        <v>45</v>
      </c>
      <c r="CP394">
        <v>0</v>
      </c>
      <c r="CQ394">
        <v>0</v>
      </c>
      <c r="CR394">
        <v>0</v>
      </c>
      <c r="CS394">
        <v>0</v>
      </c>
      <c r="CT394">
        <v>0</v>
      </c>
      <c r="CU394">
        <v>0</v>
      </c>
      <c r="CV394">
        <v>0</v>
      </c>
      <c r="CW394">
        <v>0</v>
      </c>
      <c r="CX394">
        <v>85</v>
      </c>
      <c r="CY394">
        <v>53.5</v>
      </c>
      <c r="CZ394">
        <v>88.9</v>
      </c>
      <c r="DA394">
        <v>68.5</v>
      </c>
      <c r="DB394">
        <v>84.6</v>
      </c>
      <c r="DC394">
        <v>52.2</v>
      </c>
      <c r="DD394">
        <v>87.4</v>
      </c>
      <c r="DE394">
        <v>66.099999999999994</v>
      </c>
      <c r="DF394">
        <v>85</v>
      </c>
      <c r="DG394">
        <v>53.5</v>
      </c>
      <c r="DH394">
        <v>88.9</v>
      </c>
      <c r="DI394">
        <v>68.5</v>
      </c>
      <c r="DJ394">
        <v>84.6</v>
      </c>
      <c r="DK394">
        <v>52.2</v>
      </c>
      <c r="DL394">
        <v>87.4</v>
      </c>
      <c r="DM394">
        <v>66.099999999999994</v>
      </c>
      <c r="DN394">
        <v>0</v>
      </c>
      <c r="DO394">
        <v>0</v>
      </c>
      <c r="DP394">
        <v>0</v>
      </c>
      <c r="DQ394">
        <v>0</v>
      </c>
      <c r="DR394">
        <v>0</v>
      </c>
      <c r="DS394">
        <v>0</v>
      </c>
      <c r="DT394">
        <v>0</v>
      </c>
      <c r="DU394">
        <v>0</v>
      </c>
      <c r="DV394" t="s">
        <v>659</v>
      </c>
    </row>
    <row r="395" spans="1:126" x14ac:dyDescent="0.35">
      <c r="A395" t="s">
        <v>673</v>
      </c>
      <c r="B395">
        <v>230110</v>
      </c>
      <c r="C395" s="1">
        <v>44936</v>
      </c>
      <c r="D395" t="s">
        <v>674</v>
      </c>
      <c r="E395" t="s">
        <v>184</v>
      </c>
      <c r="F395" t="s">
        <v>185</v>
      </c>
      <c r="G395" t="s">
        <v>652</v>
      </c>
      <c r="H395">
        <v>83648</v>
      </c>
      <c r="I395" s="17">
        <v>9183</v>
      </c>
      <c r="J395" s="17">
        <v>45359</v>
      </c>
      <c r="K395">
        <v>4203</v>
      </c>
      <c r="L395">
        <v>69832</v>
      </c>
      <c r="M395">
        <v>33776</v>
      </c>
      <c r="N395">
        <v>83218</v>
      </c>
      <c r="O395">
        <v>83338</v>
      </c>
      <c r="P395">
        <v>430</v>
      </c>
      <c r="Q395">
        <v>310</v>
      </c>
      <c r="R395">
        <v>83648</v>
      </c>
      <c r="S395">
        <v>9183</v>
      </c>
      <c r="T395">
        <v>45359</v>
      </c>
      <c r="U395">
        <v>4203</v>
      </c>
      <c r="V395">
        <v>69832</v>
      </c>
      <c r="W395">
        <v>33776</v>
      </c>
      <c r="X395">
        <v>83218</v>
      </c>
      <c r="Y395">
        <v>83338</v>
      </c>
      <c r="Z395">
        <v>430</v>
      </c>
      <c r="AA395">
        <v>310</v>
      </c>
      <c r="AB395">
        <v>0</v>
      </c>
      <c r="AC395">
        <v>0</v>
      </c>
      <c r="AD395">
        <v>0</v>
      </c>
      <c r="AE395">
        <v>0</v>
      </c>
      <c r="AF395">
        <v>0</v>
      </c>
      <c r="AG395">
        <v>0</v>
      </c>
      <c r="AH395">
        <v>0</v>
      </c>
      <c r="AI395">
        <v>0</v>
      </c>
      <c r="AJ395">
        <v>0</v>
      </c>
      <c r="AK395">
        <v>0</v>
      </c>
      <c r="AL395">
        <v>-8867</v>
      </c>
      <c r="AM395">
        <v>-1383</v>
      </c>
      <c r="AN395">
        <v>-6233</v>
      </c>
      <c r="AO395">
        <v>-674</v>
      </c>
      <c r="AP395">
        <v>-6036</v>
      </c>
      <c r="AQ395">
        <v>-652</v>
      </c>
      <c r="AR395">
        <v>-8093</v>
      </c>
      <c r="AS395">
        <v>-7559</v>
      </c>
      <c r="AT395">
        <v>-774</v>
      </c>
      <c r="AU395">
        <v>-1308</v>
      </c>
      <c r="AV395">
        <v>100</v>
      </c>
      <c r="AW395">
        <v>11</v>
      </c>
      <c r="AX395">
        <v>54.2</v>
      </c>
      <c r="AY395">
        <v>5</v>
      </c>
      <c r="AZ395">
        <v>83.5</v>
      </c>
      <c r="BA395">
        <v>40.4</v>
      </c>
      <c r="BB395">
        <v>99.5</v>
      </c>
      <c r="BC395">
        <v>99.6</v>
      </c>
      <c r="BD395">
        <v>0.5</v>
      </c>
      <c r="BE395">
        <v>0.4</v>
      </c>
      <c r="BF395">
        <v>100</v>
      </c>
      <c r="BG395">
        <v>11</v>
      </c>
      <c r="BH395">
        <v>54.2</v>
      </c>
      <c r="BI395">
        <v>5</v>
      </c>
      <c r="BJ395">
        <v>83.5</v>
      </c>
      <c r="BK395">
        <v>40.4</v>
      </c>
      <c r="BL395">
        <v>99.5</v>
      </c>
      <c r="BM395">
        <v>99.6</v>
      </c>
      <c r="BN395">
        <v>0.5</v>
      </c>
      <c r="BO395">
        <v>0.4</v>
      </c>
      <c r="BP395">
        <v>0</v>
      </c>
      <c r="BQ395">
        <v>0</v>
      </c>
      <c r="BR395">
        <v>0</v>
      </c>
      <c r="BS395">
        <v>0</v>
      </c>
      <c r="BT395">
        <v>0</v>
      </c>
      <c r="BU395">
        <v>0</v>
      </c>
      <c r="BV395">
        <v>0</v>
      </c>
      <c r="BW395">
        <v>0</v>
      </c>
      <c r="BX395">
        <v>0</v>
      </c>
      <c r="BY395">
        <v>0</v>
      </c>
      <c r="BZ395">
        <v>103</v>
      </c>
      <c r="CA395">
        <v>11</v>
      </c>
      <c r="CB395">
        <v>11</v>
      </c>
      <c r="CC395">
        <v>16</v>
      </c>
      <c r="CD395">
        <v>73</v>
      </c>
      <c r="CE395">
        <v>56</v>
      </c>
      <c r="CF395">
        <v>92</v>
      </c>
      <c r="CG395">
        <v>77</v>
      </c>
      <c r="CH395">
        <v>103</v>
      </c>
      <c r="CI395">
        <v>11</v>
      </c>
      <c r="CJ395">
        <v>11</v>
      </c>
      <c r="CK395">
        <v>16</v>
      </c>
      <c r="CL395">
        <v>73</v>
      </c>
      <c r="CM395">
        <v>56</v>
      </c>
      <c r="CN395">
        <v>92</v>
      </c>
      <c r="CO395">
        <v>77</v>
      </c>
      <c r="CP395">
        <v>0</v>
      </c>
      <c r="CQ395">
        <v>0</v>
      </c>
      <c r="CR395">
        <v>0</v>
      </c>
      <c r="CS395">
        <v>0</v>
      </c>
      <c r="CT395">
        <v>0</v>
      </c>
      <c r="CU395">
        <v>0</v>
      </c>
      <c r="CV395">
        <v>0</v>
      </c>
      <c r="CW395">
        <v>0</v>
      </c>
      <c r="CX395">
        <v>32.4</v>
      </c>
      <c r="CY395">
        <v>58</v>
      </c>
      <c r="CZ395">
        <v>49.9</v>
      </c>
      <c r="DA395">
        <v>67.400000000000006</v>
      </c>
      <c r="DB395">
        <v>29.8</v>
      </c>
      <c r="DC395">
        <v>56.7</v>
      </c>
      <c r="DD395">
        <v>46.6</v>
      </c>
      <c r="DE395">
        <v>63.4</v>
      </c>
      <c r="DF395">
        <v>32.4</v>
      </c>
      <c r="DG395">
        <v>58</v>
      </c>
      <c r="DH395">
        <v>49.9</v>
      </c>
      <c r="DI395">
        <v>67.400000000000006</v>
      </c>
      <c r="DJ395">
        <v>29.8</v>
      </c>
      <c r="DK395">
        <v>56.7</v>
      </c>
      <c r="DL395">
        <v>46.6</v>
      </c>
      <c r="DM395">
        <v>63.4</v>
      </c>
      <c r="DN395">
        <v>0</v>
      </c>
      <c r="DO395">
        <v>0</v>
      </c>
      <c r="DP395">
        <v>0</v>
      </c>
      <c r="DQ395">
        <v>0</v>
      </c>
      <c r="DR395">
        <v>0</v>
      </c>
      <c r="DS395">
        <v>0</v>
      </c>
      <c r="DT395">
        <v>0</v>
      </c>
      <c r="DU395">
        <v>0</v>
      </c>
      <c r="DV395" t="s">
        <v>659</v>
      </c>
    </row>
    <row r="396" spans="1:126" x14ac:dyDescent="0.35">
      <c r="A396" t="s">
        <v>673</v>
      </c>
      <c r="B396">
        <v>230103</v>
      </c>
      <c r="C396" s="1">
        <v>44929</v>
      </c>
      <c r="D396" t="s">
        <v>674</v>
      </c>
      <c r="E396" t="s">
        <v>184</v>
      </c>
      <c r="F396" t="s">
        <v>185</v>
      </c>
      <c r="G396" t="s">
        <v>652</v>
      </c>
      <c r="H396">
        <v>92515</v>
      </c>
      <c r="I396" s="17">
        <v>10566</v>
      </c>
      <c r="J396" s="17">
        <v>51592</v>
      </c>
      <c r="K396">
        <v>4877</v>
      </c>
      <c r="L396">
        <v>75868</v>
      </c>
      <c r="M396">
        <v>34428</v>
      </c>
      <c r="N396">
        <v>91311</v>
      </c>
      <c r="O396">
        <v>90897</v>
      </c>
      <c r="P396">
        <v>1204</v>
      </c>
      <c r="Q396">
        <v>1618</v>
      </c>
      <c r="R396">
        <v>92515</v>
      </c>
      <c r="S396">
        <v>10566</v>
      </c>
      <c r="T396">
        <v>51592</v>
      </c>
      <c r="U396">
        <v>4877</v>
      </c>
      <c r="V396">
        <v>75868</v>
      </c>
      <c r="W396">
        <v>34428</v>
      </c>
      <c r="X396">
        <v>91311</v>
      </c>
      <c r="Y396">
        <v>90897</v>
      </c>
      <c r="Z396">
        <v>1204</v>
      </c>
      <c r="AA396">
        <v>1618</v>
      </c>
      <c r="AB396">
        <v>0</v>
      </c>
      <c r="AC396">
        <v>0</v>
      </c>
      <c r="AD396">
        <v>0</v>
      </c>
      <c r="AE396">
        <v>0</v>
      </c>
      <c r="AF396">
        <v>0</v>
      </c>
      <c r="AG396">
        <v>0</v>
      </c>
      <c r="AH396">
        <v>0</v>
      </c>
      <c r="AI396">
        <v>0</v>
      </c>
      <c r="AJ396">
        <v>0</v>
      </c>
      <c r="AK396">
        <v>0</v>
      </c>
      <c r="AL396">
        <v>4958</v>
      </c>
      <c r="AM396">
        <v>1403</v>
      </c>
      <c r="AN396">
        <v>2887</v>
      </c>
      <c r="AO396">
        <v>-60</v>
      </c>
      <c r="AP396">
        <v>3246</v>
      </c>
      <c r="AQ396">
        <v>857</v>
      </c>
      <c r="AR396">
        <v>4589</v>
      </c>
      <c r="AS396">
        <v>3684</v>
      </c>
      <c r="AT396">
        <v>369</v>
      </c>
      <c r="AU396">
        <v>1274</v>
      </c>
      <c r="AV396">
        <v>100</v>
      </c>
      <c r="AW396">
        <v>11.4</v>
      </c>
      <c r="AX396">
        <v>55.8</v>
      </c>
      <c r="AY396">
        <v>5.3</v>
      </c>
      <c r="AZ396">
        <v>82</v>
      </c>
      <c r="BA396">
        <v>37.200000000000003</v>
      </c>
      <c r="BB396">
        <v>98.7</v>
      </c>
      <c r="BC396">
        <v>98.3</v>
      </c>
      <c r="BD396">
        <v>1.3</v>
      </c>
      <c r="BE396">
        <v>1.7</v>
      </c>
      <c r="BF396">
        <v>100</v>
      </c>
      <c r="BG396">
        <v>11.4</v>
      </c>
      <c r="BH396">
        <v>55.8</v>
      </c>
      <c r="BI396">
        <v>5.3</v>
      </c>
      <c r="BJ396">
        <v>82</v>
      </c>
      <c r="BK396">
        <v>37.200000000000003</v>
      </c>
      <c r="BL396">
        <v>98.7</v>
      </c>
      <c r="BM396">
        <v>98.3</v>
      </c>
      <c r="BN396">
        <v>1.3</v>
      </c>
      <c r="BO396">
        <v>1.7</v>
      </c>
      <c r="BP396">
        <v>0</v>
      </c>
      <c r="BQ396">
        <v>0</v>
      </c>
      <c r="BR396">
        <v>0</v>
      </c>
      <c r="BS396">
        <v>0</v>
      </c>
      <c r="BT396">
        <v>0</v>
      </c>
      <c r="BU396">
        <v>0</v>
      </c>
      <c r="BV396">
        <v>0</v>
      </c>
      <c r="BW396">
        <v>0</v>
      </c>
      <c r="BX396">
        <v>0</v>
      </c>
      <c r="BY396">
        <v>0</v>
      </c>
      <c r="BZ396">
        <v>105</v>
      </c>
      <c r="CA396">
        <v>14</v>
      </c>
      <c r="CB396">
        <v>8</v>
      </c>
      <c r="CC396">
        <v>19</v>
      </c>
      <c r="CD396">
        <v>77</v>
      </c>
      <c r="CE396">
        <v>61</v>
      </c>
      <c r="CF396">
        <v>99</v>
      </c>
      <c r="CG396">
        <v>82</v>
      </c>
      <c r="CH396">
        <v>105</v>
      </c>
      <c r="CI396">
        <v>14</v>
      </c>
      <c r="CJ396">
        <v>8</v>
      </c>
      <c r="CK396">
        <v>19</v>
      </c>
      <c r="CL396">
        <v>77</v>
      </c>
      <c r="CM396">
        <v>61</v>
      </c>
      <c r="CN396">
        <v>99</v>
      </c>
      <c r="CO396">
        <v>82</v>
      </c>
      <c r="CP396">
        <v>0</v>
      </c>
      <c r="CQ396">
        <v>0</v>
      </c>
      <c r="CR396">
        <v>0</v>
      </c>
      <c r="CS396">
        <v>0</v>
      </c>
      <c r="CT396">
        <v>0</v>
      </c>
      <c r="CU396">
        <v>0</v>
      </c>
      <c r="CV396">
        <v>0</v>
      </c>
      <c r="CW396">
        <v>0</v>
      </c>
      <c r="CX396">
        <v>32.799999999999997</v>
      </c>
      <c r="CY396">
        <v>58.8</v>
      </c>
      <c r="CZ396">
        <v>51.7</v>
      </c>
      <c r="DA396">
        <v>66.8</v>
      </c>
      <c r="DB396">
        <v>30.7</v>
      </c>
      <c r="DC396">
        <v>57.1</v>
      </c>
      <c r="DD396">
        <v>48.8</v>
      </c>
      <c r="DE396">
        <v>63.8</v>
      </c>
      <c r="DF396">
        <v>32.799999999999997</v>
      </c>
      <c r="DG396">
        <v>58.8</v>
      </c>
      <c r="DH396">
        <v>51.7</v>
      </c>
      <c r="DI396">
        <v>66.8</v>
      </c>
      <c r="DJ396">
        <v>30.7</v>
      </c>
      <c r="DK396">
        <v>57.1</v>
      </c>
      <c r="DL396">
        <v>48.8</v>
      </c>
      <c r="DM396">
        <v>63.8</v>
      </c>
      <c r="DN396">
        <v>0</v>
      </c>
      <c r="DO396">
        <v>0</v>
      </c>
      <c r="DP396">
        <v>0</v>
      </c>
      <c r="DQ396">
        <v>0</v>
      </c>
      <c r="DR396">
        <v>0</v>
      </c>
      <c r="DS396">
        <v>0</v>
      </c>
      <c r="DT396">
        <v>0</v>
      </c>
      <c r="DU396">
        <v>0</v>
      </c>
      <c r="DV396" t="s">
        <v>659</v>
      </c>
    </row>
    <row r="397" spans="1:126" x14ac:dyDescent="0.35">
      <c r="A397" t="s">
        <v>675</v>
      </c>
      <c r="B397">
        <v>230110</v>
      </c>
      <c r="C397" s="1">
        <v>44936</v>
      </c>
      <c r="D397" t="s">
        <v>676</v>
      </c>
      <c r="E397" t="s">
        <v>184</v>
      </c>
      <c r="F397" t="s">
        <v>185</v>
      </c>
      <c r="G397" t="s">
        <v>652</v>
      </c>
      <c r="H397">
        <v>2408</v>
      </c>
      <c r="I397" s="17">
        <v>344</v>
      </c>
      <c r="J397" s="17">
        <v>290</v>
      </c>
      <c r="K397">
        <v>194</v>
      </c>
      <c r="L397">
        <v>1193</v>
      </c>
      <c r="M397">
        <v>1522</v>
      </c>
      <c r="N397">
        <v>1731</v>
      </c>
      <c r="O397">
        <v>2006</v>
      </c>
      <c r="P397">
        <v>677</v>
      </c>
      <c r="Q397">
        <v>402</v>
      </c>
      <c r="R397">
        <v>2408</v>
      </c>
      <c r="S397">
        <v>344</v>
      </c>
      <c r="T397">
        <v>290</v>
      </c>
      <c r="U397">
        <v>194</v>
      </c>
      <c r="V397">
        <v>1193</v>
      </c>
      <c r="W397">
        <v>1522</v>
      </c>
      <c r="X397">
        <v>1731</v>
      </c>
      <c r="Y397">
        <v>2006</v>
      </c>
      <c r="Z397">
        <v>677</v>
      </c>
      <c r="AA397">
        <v>402</v>
      </c>
      <c r="AB397">
        <v>0</v>
      </c>
      <c r="AC397">
        <v>0</v>
      </c>
      <c r="AD397">
        <v>0</v>
      </c>
      <c r="AE397">
        <v>0</v>
      </c>
      <c r="AF397">
        <v>0</v>
      </c>
      <c r="AG397">
        <v>0</v>
      </c>
      <c r="AH397">
        <v>0</v>
      </c>
      <c r="AI397">
        <v>0</v>
      </c>
      <c r="AJ397">
        <v>0</v>
      </c>
      <c r="AK397">
        <v>0</v>
      </c>
      <c r="AL397">
        <v>-364</v>
      </c>
      <c r="AM397">
        <v>-109</v>
      </c>
      <c r="AN397">
        <v>215</v>
      </c>
      <c r="AO397">
        <v>-84</v>
      </c>
      <c r="AP397">
        <v>-80</v>
      </c>
      <c r="AQ397">
        <v>-308</v>
      </c>
      <c r="AR397">
        <v>-273</v>
      </c>
      <c r="AS397">
        <v>-177</v>
      </c>
      <c r="AT397">
        <v>-91</v>
      </c>
      <c r="AU397">
        <v>-187</v>
      </c>
      <c r="AV397">
        <v>100</v>
      </c>
      <c r="AW397">
        <v>14.3</v>
      </c>
      <c r="AX397">
        <v>12</v>
      </c>
      <c r="AY397">
        <v>8.1</v>
      </c>
      <c r="AZ397">
        <v>49.5</v>
      </c>
      <c r="BA397">
        <v>63.2</v>
      </c>
      <c r="BB397">
        <v>71.900000000000006</v>
      </c>
      <c r="BC397">
        <v>83.3</v>
      </c>
      <c r="BD397">
        <v>28.1</v>
      </c>
      <c r="BE397">
        <v>16.7</v>
      </c>
      <c r="BF397">
        <v>100</v>
      </c>
      <c r="BG397">
        <v>14.3</v>
      </c>
      <c r="BH397">
        <v>12</v>
      </c>
      <c r="BI397">
        <v>8.1</v>
      </c>
      <c r="BJ397">
        <v>49.5</v>
      </c>
      <c r="BK397">
        <v>63.2</v>
      </c>
      <c r="BL397">
        <v>71.900000000000006</v>
      </c>
      <c r="BM397">
        <v>83.3</v>
      </c>
      <c r="BN397">
        <v>28.1</v>
      </c>
      <c r="BO397">
        <v>16.7</v>
      </c>
      <c r="BP397">
        <v>0</v>
      </c>
      <c r="BQ397">
        <v>0</v>
      </c>
      <c r="BR397">
        <v>0</v>
      </c>
      <c r="BS397">
        <v>0</v>
      </c>
      <c r="BT397">
        <v>0</v>
      </c>
      <c r="BU397">
        <v>0</v>
      </c>
      <c r="BV397">
        <v>0</v>
      </c>
      <c r="BW397">
        <v>0</v>
      </c>
      <c r="BX397">
        <v>0</v>
      </c>
      <c r="BY397">
        <v>0</v>
      </c>
      <c r="BZ397">
        <v>26</v>
      </c>
      <c r="CA397">
        <v>4</v>
      </c>
      <c r="CB397">
        <v>4</v>
      </c>
      <c r="CC397">
        <v>6</v>
      </c>
      <c r="CD397">
        <v>17</v>
      </c>
      <c r="CE397">
        <v>16</v>
      </c>
      <c r="CF397">
        <v>25</v>
      </c>
      <c r="CG397">
        <v>22</v>
      </c>
      <c r="CH397">
        <v>26</v>
      </c>
      <c r="CI397">
        <v>4</v>
      </c>
      <c r="CJ397">
        <v>4</v>
      </c>
      <c r="CK397">
        <v>6</v>
      </c>
      <c r="CL397">
        <v>17</v>
      </c>
      <c r="CM397">
        <v>16</v>
      </c>
      <c r="CN397">
        <v>25</v>
      </c>
      <c r="CO397">
        <v>22</v>
      </c>
      <c r="CP397">
        <v>0</v>
      </c>
      <c r="CQ397">
        <v>0</v>
      </c>
      <c r="CR397">
        <v>0</v>
      </c>
      <c r="CS397">
        <v>0</v>
      </c>
      <c r="CT397">
        <v>0</v>
      </c>
      <c r="CU397">
        <v>0</v>
      </c>
      <c r="CV397">
        <v>0</v>
      </c>
      <c r="CW397">
        <v>0</v>
      </c>
      <c r="CX397">
        <v>29.2</v>
      </c>
      <c r="CY397">
        <v>37.700000000000003</v>
      </c>
      <c r="CZ397">
        <v>46.5</v>
      </c>
      <c r="DA397">
        <v>56</v>
      </c>
      <c r="DB397">
        <v>24.4</v>
      </c>
      <c r="DC397">
        <v>34.700000000000003</v>
      </c>
      <c r="DD397">
        <v>33.200000000000003</v>
      </c>
      <c r="DE397">
        <v>45.4</v>
      </c>
      <c r="DF397">
        <v>29.2</v>
      </c>
      <c r="DG397">
        <v>37.700000000000003</v>
      </c>
      <c r="DH397">
        <v>46.5</v>
      </c>
      <c r="DI397">
        <v>56</v>
      </c>
      <c r="DJ397">
        <v>24.4</v>
      </c>
      <c r="DK397">
        <v>34.700000000000003</v>
      </c>
      <c r="DL397">
        <v>33.200000000000003</v>
      </c>
      <c r="DM397">
        <v>45.4</v>
      </c>
      <c r="DN397">
        <v>0</v>
      </c>
      <c r="DO397">
        <v>0</v>
      </c>
      <c r="DP397">
        <v>0</v>
      </c>
      <c r="DQ397">
        <v>0</v>
      </c>
      <c r="DR397">
        <v>0</v>
      </c>
      <c r="DS397">
        <v>0</v>
      </c>
      <c r="DT397">
        <v>0</v>
      </c>
      <c r="DU397">
        <v>0</v>
      </c>
      <c r="DV397" t="s">
        <v>677</v>
      </c>
    </row>
    <row r="398" spans="1:126" x14ac:dyDescent="0.35">
      <c r="A398" t="s">
        <v>675</v>
      </c>
      <c r="B398">
        <v>230103</v>
      </c>
      <c r="C398" s="1">
        <v>44929</v>
      </c>
      <c r="D398" t="s">
        <v>676</v>
      </c>
      <c r="E398" t="s">
        <v>184</v>
      </c>
      <c r="F398" t="s">
        <v>185</v>
      </c>
      <c r="G398" t="s">
        <v>652</v>
      </c>
      <c r="H398">
        <v>2772</v>
      </c>
      <c r="I398" s="17">
        <v>453</v>
      </c>
      <c r="J398" s="17">
        <v>75</v>
      </c>
      <c r="K398">
        <v>278</v>
      </c>
      <c r="L398">
        <v>1273</v>
      </c>
      <c r="M398">
        <v>1830</v>
      </c>
      <c r="N398">
        <v>2004</v>
      </c>
      <c r="O398">
        <v>2183</v>
      </c>
      <c r="P398">
        <v>768</v>
      </c>
      <c r="Q398">
        <v>589</v>
      </c>
      <c r="R398">
        <v>2772</v>
      </c>
      <c r="S398">
        <v>453</v>
      </c>
      <c r="T398">
        <v>75</v>
      </c>
      <c r="U398">
        <v>278</v>
      </c>
      <c r="V398">
        <v>1273</v>
      </c>
      <c r="W398">
        <v>1830</v>
      </c>
      <c r="X398">
        <v>2004</v>
      </c>
      <c r="Y398">
        <v>2183</v>
      </c>
      <c r="Z398">
        <v>768</v>
      </c>
      <c r="AA398">
        <v>589</v>
      </c>
      <c r="AB398">
        <v>0</v>
      </c>
      <c r="AC398">
        <v>0</v>
      </c>
      <c r="AD398">
        <v>0</v>
      </c>
      <c r="AE398">
        <v>0</v>
      </c>
      <c r="AF398">
        <v>0</v>
      </c>
      <c r="AG398">
        <v>0</v>
      </c>
      <c r="AH398">
        <v>0</v>
      </c>
      <c r="AI398">
        <v>0</v>
      </c>
      <c r="AJ398">
        <v>0</v>
      </c>
      <c r="AK398">
        <v>0</v>
      </c>
      <c r="AL398">
        <v>95</v>
      </c>
      <c r="AM398">
        <v>-7</v>
      </c>
      <c r="AN398">
        <v>-5</v>
      </c>
      <c r="AO398">
        <v>49</v>
      </c>
      <c r="AP398">
        <v>94</v>
      </c>
      <c r="AQ398">
        <v>-84</v>
      </c>
      <c r="AR398">
        <v>136</v>
      </c>
      <c r="AS398">
        <v>-40</v>
      </c>
      <c r="AT398">
        <v>-41</v>
      </c>
      <c r="AU398">
        <v>135</v>
      </c>
      <c r="AV398">
        <v>100</v>
      </c>
      <c r="AW398">
        <v>16.3</v>
      </c>
      <c r="AX398">
        <v>2.7</v>
      </c>
      <c r="AY398">
        <v>10</v>
      </c>
      <c r="AZ398">
        <v>45.9</v>
      </c>
      <c r="BA398">
        <v>66</v>
      </c>
      <c r="BB398">
        <v>72.3</v>
      </c>
      <c r="BC398">
        <v>78.8</v>
      </c>
      <c r="BD398">
        <v>27.7</v>
      </c>
      <c r="BE398">
        <v>21.2</v>
      </c>
      <c r="BF398">
        <v>100</v>
      </c>
      <c r="BG398">
        <v>16.3</v>
      </c>
      <c r="BH398">
        <v>2.7</v>
      </c>
      <c r="BI398">
        <v>10</v>
      </c>
      <c r="BJ398">
        <v>45.9</v>
      </c>
      <c r="BK398">
        <v>66</v>
      </c>
      <c r="BL398">
        <v>72.3</v>
      </c>
      <c r="BM398">
        <v>78.8</v>
      </c>
      <c r="BN398">
        <v>27.7</v>
      </c>
      <c r="BO398">
        <v>21.2</v>
      </c>
      <c r="BP398">
        <v>0</v>
      </c>
      <c r="BQ398">
        <v>0</v>
      </c>
      <c r="BR398">
        <v>0</v>
      </c>
      <c r="BS398">
        <v>0</v>
      </c>
      <c r="BT398">
        <v>0</v>
      </c>
      <c r="BU398">
        <v>0</v>
      </c>
      <c r="BV398">
        <v>0</v>
      </c>
      <c r="BW398">
        <v>0</v>
      </c>
      <c r="BX398">
        <v>0</v>
      </c>
      <c r="BY398">
        <v>0</v>
      </c>
      <c r="BZ398">
        <v>29</v>
      </c>
      <c r="CA398">
        <v>7</v>
      </c>
      <c r="CB398">
        <v>3</v>
      </c>
      <c r="CC398">
        <v>5</v>
      </c>
      <c r="CD398">
        <v>17</v>
      </c>
      <c r="CE398">
        <v>18</v>
      </c>
      <c r="CF398">
        <v>26</v>
      </c>
      <c r="CG398">
        <v>24</v>
      </c>
      <c r="CH398">
        <v>29</v>
      </c>
      <c r="CI398">
        <v>7</v>
      </c>
      <c r="CJ398">
        <v>3</v>
      </c>
      <c r="CK398">
        <v>5</v>
      </c>
      <c r="CL398">
        <v>17</v>
      </c>
      <c r="CM398">
        <v>18</v>
      </c>
      <c r="CN398">
        <v>26</v>
      </c>
      <c r="CO398">
        <v>24</v>
      </c>
      <c r="CP398">
        <v>0</v>
      </c>
      <c r="CQ398">
        <v>0</v>
      </c>
      <c r="CR398">
        <v>0</v>
      </c>
      <c r="CS398">
        <v>0</v>
      </c>
      <c r="CT398">
        <v>0</v>
      </c>
      <c r="CU398">
        <v>0</v>
      </c>
      <c r="CV398">
        <v>0</v>
      </c>
      <c r="CW398">
        <v>0</v>
      </c>
      <c r="CX398">
        <v>32.1</v>
      </c>
      <c r="CY398">
        <v>35.200000000000003</v>
      </c>
      <c r="CZ398">
        <v>47</v>
      </c>
      <c r="DA398">
        <v>50.9</v>
      </c>
      <c r="DB398">
        <v>24.4</v>
      </c>
      <c r="DC398">
        <v>31.6</v>
      </c>
      <c r="DD398">
        <v>32.700000000000003</v>
      </c>
      <c r="DE398">
        <v>41.3</v>
      </c>
      <c r="DF398">
        <v>32.1</v>
      </c>
      <c r="DG398">
        <v>35.200000000000003</v>
      </c>
      <c r="DH398">
        <v>47</v>
      </c>
      <c r="DI398">
        <v>50.9</v>
      </c>
      <c r="DJ398">
        <v>24.4</v>
      </c>
      <c r="DK398">
        <v>31.6</v>
      </c>
      <c r="DL398">
        <v>32.700000000000003</v>
      </c>
      <c r="DM398">
        <v>41.3</v>
      </c>
      <c r="DN398">
        <v>0</v>
      </c>
      <c r="DO398">
        <v>0</v>
      </c>
      <c r="DP398">
        <v>0</v>
      </c>
      <c r="DQ398">
        <v>0</v>
      </c>
      <c r="DR398">
        <v>0</v>
      </c>
      <c r="DS398">
        <v>0</v>
      </c>
      <c r="DT398">
        <v>0</v>
      </c>
      <c r="DU398">
        <v>0</v>
      </c>
      <c r="DV398" t="s">
        <v>677</v>
      </c>
    </row>
    <row r="399" spans="1:126" x14ac:dyDescent="0.35">
      <c r="A399" t="s">
        <v>678</v>
      </c>
      <c r="B399">
        <v>230110</v>
      </c>
      <c r="C399" s="1">
        <v>44936</v>
      </c>
      <c r="D399" t="s">
        <v>679</v>
      </c>
      <c r="E399" t="s">
        <v>227</v>
      </c>
      <c r="F399" t="s">
        <v>185</v>
      </c>
      <c r="G399" t="s">
        <v>652</v>
      </c>
      <c r="H399">
        <v>5239</v>
      </c>
      <c r="I399" s="17">
        <v>259</v>
      </c>
      <c r="J399" s="17">
        <v>232</v>
      </c>
      <c r="K399">
        <v>346</v>
      </c>
      <c r="L399">
        <v>3726</v>
      </c>
      <c r="M399">
        <v>4006</v>
      </c>
      <c r="N399">
        <v>4331</v>
      </c>
      <c r="O399">
        <v>4584</v>
      </c>
      <c r="P399">
        <v>908</v>
      </c>
      <c r="Q399">
        <v>655</v>
      </c>
      <c r="R399">
        <v>5239</v>
      </c>
      <c r="S399">
        <v>259</v>
      </c>
      <c r="T399">
        <v>232</v>
      </c>
      <c r="U399">
        <v>346</v>
      </c>
      <c r="V399">
        <v>3726</v>
      </c>
      <c r="W399">
        <v>4006</v>
      </c>
      <c r="X399">
        <v>4331</v>
      </c>
      <c r="Y399">
        <v>4584</v>
      </c>
      <c r="Z399">
        <v>908</v>
      </c>
      <c r="AA399">
        <v>655</v>
      </c>
      <c r="AB399">
        <v>0</v>
      </c>
      <c r="AC399">
        <v>0</v>
      </c>
      <c r="AD399">
        <v>0</v>
      </c>
      <c r="AE399">
        <v>0</v>
      </c>
      <c r="AF399">
        <v>0</v>
      </c>
      <c r="AG399">
        <v>0</v>
      </c>
      <c r="AH399">
        <v>0</v>
      </c>
      <c r="AI399">
        <v>0</v>
      </c>
      <c r="AJ399">
        <v>0</v>
      </c>
      <c r="AK399">
        <v>0</v>
      </c>
      <c r="AL399">
        <v>475</v>
      </c>
      <c r="AM399">
        <v>3</v>
      </c>
      <c r="AN399">
        <v>37</v>
      </c>
      <c r="AO399">
        <v>36</v>
      </c>
      <c r="AP399">
        <v>296</v>
      </c>
      <c r="AQ399">
        <v>403</v>
      </c>
      <c r="AR399">
        <v>335</v>
      </c>
      <c r="AS399">
        <v>476</v>
      </c>
      <c r="AT399">
        <v>140</v>
      </c>
      <c r="AU399">
        <v>-1</v>
      </c>
      <c r="AV399">
        <v>100</v>
      </c>
      <c r="AW399">
        <v>4.9000000000000004</v>
      </c>
      <c r="AX399">
        <v>4.4000000000000004</v>
      </c>
      <c r="AY399">
        <v>6.6</v>
      </c>
      <c r="AZ399">
        <v>71.099999999999994</v>
      </c>
      <c r="BA399">
        <v>76.5</v>
      </c>
      <c r="BB399">
        <v>82.7</v>
      </c>
      <c r="BC399">
        <v>87.5</v>
      </c>
      <c r="BD399">
        <v>17.3</v>
      </c>
      <c r="BE399">
        <v>12.5</v>
      </c>
      <c r="BF399">
        <v>100</v>
      </c>
      <c r="BG399">
        <v>4.9000000000000004</v>
      </c>
      <c r="BH399">
        <v>4.4000000000000004</v>
      </c>
      <c r="BI399">
        <v>6.6</v>
      </c>
      <c r="BJ399">
        <v>71.099999999999994</v>
      </c>
      <c r="BK399">
        <v>76.5</v>
      </c>
      <c r="BL399">
        <v>82.7</v>
      </c>
      <c r="BM399">
        <v>87.5</v>
      </c>
      <c r="BN399">
        <v>17.3</v>
      </c>
      <c r="BO399">
        <v>12.5</v>
      </c>
      <c r="BP399">
        <v>0</v>
      </c>
      <c r="BQ399">
        <v>0</v>
      </c>
      <c r="BR399">
        <v>0</v>
      </c>
      <c r="BS399">
        <v>0</v>
      </c>
      <c r="BT399">
        <v>0</v>
      </c>
      <c r="BU399">
        <v>0</v>
      </c>
      <c r="BV399">
        <v>0</v>
      </c>
      <c r="BW399">
        <v>0</v>
      </c>
      <c r="BX399">
        <v>0</v>
      </c>
      <c r="BY399">
        <v>0</v>
      </c>
      <c r="BZ399">
        <v>37</v>
      </c>
      <c r="CA399">
        <v>4</v>
      </c>
      <c r="CB399">
        <v>2</v>
      </c>
      <c r="CC399">
        <v>6</v>
      </c>
      <c r="CD399">
        <v>25</v>
      </c>
      <c r="CE399">
        <v>30</v>
      </c>
      <c r="CF399">
        <v>32</v>
      </c>
      <c r="CG399">
        <v>36</v>
      </c>
      <c r="CH399">
        <v>37</v>
      </c>
      <c r="CI399">
        <v>4</v>
      </c>
      <c r="CJ399">
        <v>2</v>
      </c>
      <c r="CK399">
        <v>6</v>
      </c>
      <c r="CL399">
        <v>25</v>
      </c>
      <c r="CM399">
        <v>30</v>
      </c>
      <c r="CN399">
        <v>32</v>
      </c>
      <c r="CO399">
        <v>36</v>
      </c>
      <c r="CP399">
        <v>0</v>
      </c>
      <c r="CQ399">
        <v>0</v>
      </c>
      <c r="CR399">
        <v>0</v>
      </c>
      <c r="CS399">
        <v>0</v>
      </c>
      <c r="CT399">
        <v>0</v>
      </c>
      <c r="CU399">
        <v>0</v>
      </c>
      <c r="CV399">
        <v>0</v>
      </c>
      <c r="CW399">
        <v>0</v>
      </c>
      <c r="CX399">
        <v>29.8</v>
      </c>
      <c r="CY399">
        <v>31</v>
      </c>
      <c r="CZ399">
        <v>46.4</v>
      </c>
      <c r="DA399">
        <v>47.3</v>
      </c>
      <c r="DB399">
        <v>25.2</v>
      </c>
      <c r="DC399">
        <v>23.7</v>
      </c>
      <c r="DD399">
        <v>31.1</v>
      </c>
      <c r="DE399">
        <v>31.9</v>
      </c>
      <c r="DF399">
        <v>29.8</v>
      </c>
      <c r="DG399">
        <v>31</v>
      </c>
      <c r="DH399">
        <v>46.4</v>
      </c>
      <c r="DI399">
        <v>47.3</v>
      </c>
      <c r="DJ399">
        <v>25.2</v>
      </c>
      <c r="DK399">
        <v>23.7</v>
      </c>
      <c r="DL399">
        <v>31.1</v>
      </c>
      <c r="DM399">
        <v>31.9</v>
      </c>
      <c r="DN399">
        <v>0</v>
      </c>
      <c r="DO399">
        <v>0</v>
      </c>
      <c r="DP399">
        <v>0</v>
      </c>
      <c r="DQ399">
        <v>0</v>
      </c>
      <c r="DR399">
        <v>0</v>
      </c>
      <c r="DS399">
        <v>0</v>
      </c>
      <c r="DT399">
        <v>0</v>
      </c>
      <c r="DU399">
        <v>0</v>
      </c>
      <c r="DV399" t="s">
        <v>680</v>
      </c>
    </row>
    <row r="400" spans="1:126" x14ac:dyDescent="0.35">
      <c r="A400" t="s">
        <v>678</v>
      </c>
      <c r="B400">
        <v>230103</v>
      </c>
      <c r="C400" s="1">
        <v>44929</v>
      </c>
      <c r="D400" t="s">
        <v>679</v>
      </c>
      <c r="E400" t="s">
        <v>227</v>
      </c>
      <c r="F400" t="s">
        <v>185</v>
      </c>
      <c r="G400" t="s">
        <v>652</v>
      </c>
      <c r="H400">
        <v>4764</v>
      </c>
      <c r="I400" s="17">
        <v>256</v>
      </c>
      <c r="J400" s="17">
        <v>195</v>
      </c>
      <c r="K400">
        <v>310</v>
      </c>
      <c r="L400">
        <v>3430</v>
      </c>
      <c r="M400">
        <v>3603</v>
      </c>
      <c r="N400">
        <v>3996</v>
      </c>
      <c r="O400">
        <v>4108</v>
      </c>
      <c r="P400">
        <v>768</v>
      </c>
      <c r="Q400">
        <v>656</v>
      </c>
      <c r="R400">
        <v>4764</v>
      </c>
      <c r="S400">
        <v>256</v>
      </c>
      <c r="T400">
        <v>195</v>
      </c>
      <c r="U400">
        <v>310</v>
      </c>
      <c r="V400">
        <v>3430</v>
      </c>
      <c r="W400">
        <v>3603</v>
      </c>
      <c r="X400">
        <v>3996</v>
      </c>
      <c r="Y400">
        <v>4108</v>
      </c>
      <c r="Z400">
        <v>768</v>
      </c>
      <c r="AA400">
        <v>656</v>
      </c>
      <c r="AB400">
        <v>0</v>
      </c>
      <c r="AC400">
        <v>0</v>
      </c>
      <c r="AD400">
        <v>0</v>
      </c>
      <c r="AE400">
        <v>0</v>
      </c>
      <c r="AF400">
        <v>0</v>
      </c>
      <c r="AG400">
        <v>0</v>
      </c>
      <c r="AH400">
        <v>0</v>
      </c>
      <c r="AI400">
        <v>0</v>
      </c>
      <c r="AJ400">
        <v>0</v>
      </c>
      <c r="AK400">
        <v>0</v>
      </c>
      <c r="AL400">
        <v>-909</v>
      </c>
      <c r="AM400">
        <v>-55</v>
      </c>
      <c r="AN400">
        <v>-98</v>
      </c>
      <c r="AO400">
        <v>-35</v>
      </c>
      <c r="AP400">
        <v>-812</v>
      </c>
      <c r="AQ400">
        <v>-845</v>
      </c>
      <c r="AR400">
        <v>-902</v>
      </c>
      <c r="AS400">
        <v>-978</v>
      </c>
      <c r="AT400">
        <v>-7</v>
      </c>
      <c r="AU400">
        <v>69</v>
      </c>
      <c r="AV400">
        <v>100</v>
      </c>
      <c r="AW400">
        <v>5.4</v>
      </c>
      <c r="AX400">
        <v>4.0999999999999996</v>
      </c>
      <c r="AY400">
        <v>6.5</v>
      </c>
      <c r="AZ400">
        <v>72</v>
      </c>
      <c r="BA400">
        <v>75.599999999999994</v>
      </c>
      <c r="BB400">
        <v>83.9</v>
      </c>
      <c r="BC400">
        <v>86.2</v>
      </c>
      <c r="BD400">
        <v>16.100000000000001</v>
      </c>
      <c r="BE400">
        <v>13.8</v>
      </c>
      <c r="BF400">
        <v>100</v>
      </c>
      <c r="BG400">
        <v>5.4</v>
      </c>
      <c r="BH400">
        <v>4.0999999999999996</v>
      </c>
      <c r="BI400">
        <v>6.5</v>
      </c>
      <c r="BJ400">
        <v>72</v>
      </c>
      <c r="BK400">
        <v>75.599999999999994</v>
      </c>
      <c r="BL400">
        <v>83.9</v>
      </c>
      <c r="BM400">
        <v>86.2</v>
      </c>
      <c r="BN400">
        <v>16.100000000000001</v>
      </c>
      <c r="BO400">
        <v>13.8</v>
      </c>
      <c r="BP400">
        <v>0</v>
      </c>
      <c r="BQ400">
        <v>0</v>
      </c>
      <c r="BR400">
        <v>0</v>
      </c>
      <c r="BS400">
        <v>0</v>
      </c>
      <c r="BT400">
        <v>0</v>
      </c>
      <c r="BU400">
        <v>0</v>
      </c>
      <c r="BV400">
        <v>0</v>
      </c>
      <c r="BW400">
        <v>0</v>
      </c>
      <c r="BX400">
        <v>0</v>
      </c>
      <c r="BY400">
        <v>0</v>
      </c>
      <c r="BZ400">
        <v>35</v>
      </c>
      <c r="CA400">
        <v>4</v>
      </c>
      <c r="CB400">
        <v>2</v>
      </c>
      <c r="CC400">
        <v>5</v>
      </c>
      <c r="CD400">
        <v>25</v>
      </c>
      <c r="CE400">
        <v>28</v>
      </c>
      <c r="CF400">
        <v>31</v>
      </c>
      <c r="CG400">
        <v>33</v>
      </c>
      <c r="CH400">
        <v>35</v>
      </c>
      <c r="CI400">
        <v>4</v>
      </c>
      <c r="CJ400">
        <v>2</v>
      </c>
      <c r="CK400">
        <v>5</v>
      </c>
      <c r="CL400">
        <v>25</v>
      </c>
      <c r="CM400">
        <v>28</v>
      </c>
      <c r="CN400">
        <v>31</v>
      </c>
      <c r="CO400">
        <v>33</v>
      </c>
      <c r="CP400">
        <v>0</v>
      </c>
      <c r="CQ400">
        <v>0</v>
      </c>
      <c r="CR400">
        <v>0</v>
      </c>
      <c r="CS400">
        <v>0</v>
      </c>
      <c r="CT400">
        <v>0</v>
      </c>
      <c r="CU400">
        <v>0</v>
      </c>
      <c r="CV400">
        <v>0</v>
      </c>
      <c r="CW400">
        <v>0</v>
      </c>
      <c r="CX400">
        <v>31.2</v>
      </c>
      <c r="CY400">
        <v>33.9</v>
      </c>
      <c r="CZ400">
        <v>49</v>
      </c>
      <c r="DA400">
        <v>48</v>
      </c>
      <c r="DB400">
        <v>27</v>
      </c>
      <c r="DC400">
        <v>26.4</v>
      </c>
      <c r="DD400">
        <v>33.299999999999997</v>
      </c>
      <c r="DE400">
        <v>33.799999999999997</v>
      </c>
      <c r="DF400">
        <v>31.2</v>
      </c>
      <c r="DG400">
        <v>33.9</v>
      </c>
      <c r="DH400">
        <v>49</v>
      </c>
      <c r="DI400">
        <v>48</v>
      </c>
      <c r="DJ400">
        <v>27</v>
      </c>
      <c r="DK400">
        <v>26.4</v>
      </c>
      <c r="DL400">
        <v>33.299999999999997</v>
      </c>
      <c r="DM400">
        <v>33.799999999999997</v>
      </c>
      <c r="DN400">
        <v>0</v>
      </c>
      <c r="DO400">
        <v>0</v>
      </c>
      <c r="DP400">
        <v>0</v>
      </c>
      <c r="DQ400">
        <v>0</v>
      </c>
      <c r="DR400">
        <v>0</v>
      </c>
      <c r="DS400">
        <v>0</v>
      </c>
      <c r="DT400">
        <v>0</v>
      </c>
      <c r="DU400">
        <v>0</v>
      </c>
      <c r="DV400" t="s">
        <v>680</v>
      </c>
    </row>
    <row r="401" spans="1:126" x14ac:dyDescent="0.35">
      <c r="A401" t="s">
        <v>681</v>
      </c>
      <c r="B401">
        <v>230110</v>
      </c>
      <c r="C401" s="1">
        <v>44936</v>
      </c>
      <c r="D401" t="s">
        <v>682</v>
      </c>
      <c r="E401" t="s">
        <v>227</v>
      </c>
      <c r="F401" t="s">
        <v>185</v>
      </c>
      <c r="G401" t="s">
        <v>652</v>
      </c>
      <c r="H401">
        <v>34028</v>
      </c>
      <c r="I401" s="17">
        <v>18143</v>
      </c>
      <c r="J401" s="17">
        <v>608</v>
      </c>
      <c r="K401">
        <v>526</v>
      </c>
      <c r="L401">
        <v>15209</v>
      </c>
      <c r="M401">
        <v>32627</v>
      </c>
      <c r="N401">
        <v>33878</v>
      </c>
      <c r="O401">
        <v>33761</v>
      </c>
      <c r="P401">
        <v>150</v>
      </c>
      <c r="Q401">
        <v>267</v>
      </c>
      <c r="R401">
        <v>34028</v>
      </c>
      <c r="S401">
        <v>18143</v>
      </c>
      <c r="T401">
        <v>608</v>
      </c>
      <c r="U401">
        <v>526</v>
      </c>
      <c r="V401">
        <v>15209</v>
      </c>
      <c r="W401">
        <v>32627</v>
      </c>
      <c r="X401">
        <v>33878</v>
      </c>
      <c r="Y401">
        <v>33761</v>
      </c>
      <c r="Z401">
        <v>150</v>
      </c>
      <c r="AA401">
        <v>267</v>
      </c>
      <c r="AB401">
        <v>0</v>
      </c>
      <c r="AC401">
        <v>0</v>
      </c>
      <c r="AD401">
        <v>0</v>
      </c>
      <c r="AE401">
        <v>0</v>
      </c>
      <c r="AF401">
        <v>0</v>
      </c>
      <c r="AG401">
        <v>0</v>
      </c>
      <c r="AH401">
        <v>0</v>
      </c>
      <c r="AI401">
        <v>0</v>
      </c>
      <c r="AJ401">
        <v>0</v>
      </c>
      <c r="AK401">
        <v>0</v>
      </c>
      <c r="AL401">
        <v>2249</v>
      </c>
      <c r="AM401">
        <v>1038</v>
      </c>
      <c r="AN401">
        <v>-112</v>
      </c>
      <c r="AO401">
        <v>-95</v>
      </c>
      <c r="AP401">
        <v>1306</v>
      </c>
      <c r="AQ401">
        <v>2486</v>
      </c>
      <c r="AR401">
        <v>2249</v>
      </c>
      <c r="AS401">
        <v>2279</v>
      </c>
      <c r="AT401">
        <v>0</v>
      </c>
      <c r="AU401">
        <v>-30</v>
      </c>
      <c r="AV401">
        <v>100</v>
      </c>
      <c r="AW401">
        <v>53.3</v>
      </c>
      <c r="AX401">
        <v>1.8</v>
      </c>
      <c r="AY401">
        <v>1.5</v>
      </c>
      <c r="AZ401">
        <v>44.7</v>
      </c>
      <c r="BA401">
        <v>95.9</v>
      </c>
      <c r="BB401">
        <v>99.6</v>
      </c>
      <c r="BC401">
        <v>99.2</v>
      </c>
      <c r="BD401">
        <v>0.4</v>
      </c>
      <c r="BE401">
        <v>0.8</v>
      </c>
      <c r="BF401">
        <v>100</v>
      </c>
      <c r="BG401">
        <v>53.3</v>
      </c>
      <c r="BH401">
        <v>1.8</v>
      </c>
      <c r="BI401">
        <v>1.5</v>
      </c>
      <c r="BJ401">
        <v>44.7</v>
      </c>
      <c r="BK401">
        <v>95.9</v>
      </c>
      <c r="BL401">
        <v>99.6</v>
      </c>
      <c r="BM401">
        <v>99.2</v>
      </c>
      <c r="BN401">
        <v>0.4</v>
      </c>
      <c r="BO401">
        <v>0.8</v>
      </c>
      <c r="BP401">
        <v>0</v>
      </c>
      <c r="BQ401">
        <v>0</v>
      </c>
      <c r="BR401">
        <v>0</v>
      </c>
      <c r="BS401">
        <v>0</v>
      </c>
      <c r="BT401">
        <v>0</v>
      </c>
      <c r="BU401">
        <v>0</v>
      </c>
      <c r="BV401">
        <v>0</v>
      </c>
      <c r="BW401">
        <v>0</v>
      </c>
      <c r="BX401">
        <v>0</v>
      </c>
      <c r="BY401">
        <v>0</v>
      </c>
      <c r="BZ401">
        <v>58</v>
      </c>
      <c r="CA401">
        <v>5</v>
      </c>
      <c r="CB401">
        <v>2</v>
      </c>
      <c r="CC401">
        <v>2</v>
      </c>
      <c r="CD401">
        <v>33</v>
      </c>
      <c r="CE401">
        <v>38</v>
      </c>
      <c r="CF401">
        <v>39</v>
      </c>
      <c r="CG401">
        <v>41</v>
      </c>
      <c r="CH401">
        <v>58</v>
      </c>
      <c r="CI401">
        <v>5</v>
      </c>
      <c r="CJ401">
        <v>2</v>
      </c>
      <c r="CK401">
        <v>2</v>
      </c>
      <c r="CL401">
        <v>33</v>
      </c>
      <c r="CM401">
        <v>38</v>
      </c>
      <c r="CN401">
        <v>39</v>
      </c>
      <c r="CO401">
        <v>41</v>
      </c>
      <c r="CP401">
        <v>0</v>
      </c>
      <c r="CQ401">
        <v>0</v>
      </c>
      <c r="CR401">
        <v>0</v>
      </c>
      <c r="CS401">
        <v>0</v>
      </c>
      <c r="CT401">
        <v>0</v>
      </c>
      <c r="CU401">
        <v>0</v>
      </c>
      <c r="CV401">
        <v>0</v>
      </c>
      <c r="CW401">
        <v>0</v>
      </c>
      <c r="CX401">
        <v>68</v>
      </c>
      <c r="CY401">
        <v>39</v>
      </c>
      <c r="CZ401">
        <v>79.8</v>
      </c>
      <c r="DA401">
        <v>58.3</v>
      </c>
      <c r="DB401">
        <v>68</v>
      </c>
      <c r="DC401">
        <v>36.299999999999997</v>
      </c>
      <c r="DD401">
        <v>73.599999999999994</v>
      </c>
      <c r="DE401">
        <v>54.5</v>
      </c>
      <c r="DF401">
        <v>68</v>
      </c>
      <c r="DG401">
        <v>39</v>
      </c>
      <c r="DH401">
        <v>79.8</v>
      </c>
      <c r="DI401">
        <v>58.3</v>
      </c>
      <c r="DJ401">
        <v>68</v>
      </c>
      <c r="DK401">
        <v>36.299999999999997</v>
      </c>
      <c r="DL401">
        <v>73.599999999999994</v>
      </c>
      <c r="DM401">
        <v>54.5</v>
      </c>
      <c r="DN401">
        <v>0</v>
      </c>
      <c r="DO401">
        <v>0</v>
      </c>
      <c r="DP401">
        <v>0</v>
      </c>
      <c r="DQ401">
        <v>0</v>
      </c>
      <c r="DR401">
        <v>0</v>
      </c>
      <c r="DS401">
        <v>0</v>
      </c>
      <c r="DT401">
        <v>0</v>
      </c>
      <c r="DU401">
        <v>0</v>
      </c>
      <c r="DV401" t="s">
        <v>279</v>
      </c>
    </row>
    <row r="402" spans="1:126" x14ac:dyDescent="0.35">
      <c r="A402" t="s">
        <v>681</v>
      </c>
      <c r="B402">
        <v>230103</v>
      </c>
      <c r="C402" s="1">
        <v>44929</v>
      </c>
      <c r="D402" t="s">
        <v>682</v>
      </c>
      <c r="E402" t="s">
        <v>227</v>
      </c>
      <c r="F402" t="s">
        <v>185</v>
      </c>
      <c r="G402" t="s">
        <v>652</v>
      </c>
      <c r="H402">
        <v>31779</v>
      </c>
      <c r="I402" s="17">
        <v>17105</v>
      </c>
      <c r="J402" s="17">
        <v>720</v>
      </c>
      <c r="K402">
        <v>621</v>
      </c>
      <c r="L402">
        <v>13903</v>
      </c>
      <c r="M402">
        <v>30141</v>
      </c>
      <c r="N402">
        <v>31629</v>
      </c>
      <c r="O402">
        <v>31482</v>
      </c>
      <c r="P402">
        <v>150</v>
      </c>
      <c r="Q402">
        <v>297</v>
      </c>
      <c r="R402">
        <v>31779</v>
      </c>
      <c r="S402">
        <v>17105</v>
      </c>
      <c r="T402">
        <v>720</v>
      </c>
      <c r="U402">
        <v>621</v>
      </c>
      <c r="V402">
        <v>13903</v>
      </c>
      <c r="W402">
        <v>30141</v>
      </c>
      <c r="X402">
        <v>31629</v>
      </c>
      <c r="Y402">
        <v>31482</v>
      </c>
      <c r="Z402">
        <v>150</v>
      </c>
      <c r="AA402">
        <v>297</v>
      </c>
      <c r="AB402">
        <v>0</v>
      </c>
      <c r="AC402">
        <v>0</v>
      </c>
      <c r="AD402">
        <v>0</v>
      </c>
      <c r="AE402">
        <v>0</v>
      </c>
      <c r="AF402">
        <v>0</v>
      </c>
      <c r="AG402">
        <v>0</v>
      </c>
      <c r="AH402">
        <v>0</v>
      </c>
      <c r="AI402">
        <v>0</v>
      </c>
      <c r="AJ402">
        <v>0</v>
      </c>
      <c r="AK402">
        <v>0</v>
      </c>
      <c r="AL402">
        <v>-7335</v>
      </c>
      <c r="AM402">
        <v>-2491</v>
      </c>
      <c r="AN402">
        <v>220</v>
      </c>
      <c r="AO402">
        <v>-163</v>
      </c>
      <c r="AP402">
        <v>-4740</v>
      </c>
      <c r="AQ402">
        <v>-7421</v>
      </c>
      <c r="AR402">
        <v>-7394</v>
      </c>
      <c r="AS402">
        <v>-7364</v>
      </c>
      <c r="AT402">
        <v>59</v>
      </c>
      <c r="AU402">
        <v>29</v>
      </c>
      <c r="AV402">
        <v>100</v>
      </c>
      <c r="AW402">
        <v>53.8</v>
      </c>
      <c r="AX402">
        <v>2.2999999999999998</v>
      </c>
      <c r="AY402">
        <v>2</v>
      </c>
      <c r="AZ402">
        <v>43.7</v>
      </c>
      <c r="BA402">
        <v>94.8</v>
      </c>
      <c r="BB402">
        <v>99.5</v>
      </c>
      <c r="BC402">
        <v>99.1</v>
      </c>
      <c r="BD402">
        <v>0.5</v>
      </c>
      <c r="BE402">
        <v>0.9</v>
      </c>
      <c r="BF402">
        <v>100</v>
      </c>
      <c r="BG402">
        <v>53.8</v>
      </c>
      <c r="BH402">
        <v>2.2999999999999998</v>
      </c>
      <c r="BI402">
        <v>2</v>
      </c>
      <c r="BJ402">
        <v>43.7</v>
      </c>
      <c r="BK402">
        <v>94.8</v>
      </c>
      <c r="BL402">
        <v>99.5</v>
      </c>
      <c r="BM402">
        <v>99.1</v>
      </c>
      <c r="BN402">
        <v>0.5</v>
      </c>
      <c r="BO402">
        <v>0.9</v>
      </c>
      <c r="BP402">
        <v>0</v>
      </c>
      <c r="BQ402">
        <v>0</v>
      </c>
      <c r="BR402">
        <v>0</v>
      </c>
      <c r="BS402">
        <v>0</v>
      </c>
      <c r="BT402">
        <v>0</v>
      </c>
      <c r="BU402">
        <v>0</v>
      </c>
      <c r="BV402">
        <v>0</v>
      </c>
      <c r="BW402">
        <v>0</v>
      </c>
      <c r="BX402">
        <v>0</v>
      </c>
      <c r="BY402">
        <v>0</v>
      </c>
      <c r="BZ402">
        <v>55</v>
      </c>
      <c r="CA402">
        <v>4</v>
      </c>
      <c r="CB402">
        <v>2</v>
      </c>
      <c r="CC402">
        <v>1</v>
      </c>
      <c r="CD402">
        <v>31</v>
      </c>
      <c r="CE402">
        <v>36</v>
      </c>
      <c r="CF402">
        <v>36</v>
      </c>
      <c r="CG402">
        <v>38</v>
      </c>
      <c r="CH402">
        <v>55</v>
      </c>
      <c r="CI402">
        <v>4</v>
      </c>
      <c r="CJ402">
        <v>2</v>
      </c>
      <c r="CK402">
        <v>1</v>
      </c>
      <c r="CL402">
        <v>31</v>
      </c>
      <c r="CM402">
        <v>36</v>
      </c>
      <c r="CN402">
        <v>36</v>
      </c>
      <c r="CO402">
        <v>38</v>
      </c>
      <c r="CP402">
        <v>0</v>
      </c>
      <c r="CQ402">
        <v>0</v>
      </c>
      <c r="CR402">
        <v>0</v>
      </c>
      <c r="CS402">
        <v>0</v>
      </c>
      <c r="CT402">
        <v>0</v>
      </c>
      <c r="CU402">
        <v>0</v>
      </c>
      <c r="CV402">
        <v>0</v>
      </c>
      <c r="CW402">
        <v>0</v>
      </c>
      <c r="CX402">
        <v>70</v>
      </c>
      <c r="CY402">
        <v>41.2</v>
      </c>
      <c r="CZ402">
        <v>81.8</v>
      </c>
      <c r="DA402">
        <v>60.6</v>
      </c>
      <c r="DB402">
        <v>70</v>
      </c>
      <c r="DC402">
        <v>38.799999999999997</v>
      </c>
      <c r="DD402">
        <v>77.3</v>
      </c>
      <c r="DE402">
        <v>57.5</v>
      </c>
      <c r="DF402">
        <v>70</v>
      </c>
      <c r="DG402">
        <v>41.2</v>
      </c>
      <c r="DH402">
        <v>81.8</v>
      </c>
      <c r="DI402">
        <v>60.6</v>
      </c>
      <c r="DJ402">
        <v>70</v>
      </c>
      <c r="DK402">
        <v>38.799999999999997</v>
      </c>
      <c r="DL402">
        <v>77.3</v>
      </c>
      <c r="DM402">
        <v>57.5</v>
      </c>
      <c r="DN402">
        <v>0</v>
      </c>
      <c r="DO402">
        <v>0</v>
      </c>
      <c r="DP402">
        <v>0</v>
      </c>
      <c r="DQ402">
        <v>0</v>
      </c>
      <c r="DR402">
        <v>0</v>
      </c>
      <c r="DS402">
        <v>0</v>
      </c>
      <c r="DT402">
        <v>0</v>
      </c>
      <c r="DU402">
        <v>0</v>
      </c>
      <c r="DV402" t="s">
        <v>279</v>
      </c>
    </row>
    <row r="403" spans="1:126" x14ac:dyDescent="0.35">
      <c r="A403" t="s">
        <v>683</v>
      </c>
      <c r="B403">
        <v>230110</v>
      </c>
      <c r="C403" s="1">
        <v>44936</v>
      </c>
      <c r="D403" t="s">
        <v>684</v>
      </c>
      <c r="E403" t="s">
        <v>227</v>
      </c>
      <c r="F403" t="s">
        <v>185</v>
      </c>
      <c r="G403" t="s">
        <v>652</v>
      </c>
      <c r="H403">
        <v>135320</v>
      </c>
      <c r="I403" s="17">
        <v>5151</v>
      </c>
      <c r="J403" s="17">
        <v>26911</v>
      </c>
      <c r="K403">
        <v>5329</v>
      </c>
      <c r="L403">
        <v>123613</v>
      </c>
      <c r="M403">
        <v>101383</v>
      </c>
      <c r="N403">
        <v>134093</v>
      </c>
      <c r="O403">
        <v>133623</v>
      </c>
      <c r="P403">
        <v>1227</v>
      </c>
      <c r="Q403">
        <v>1697</v>
      </c>
      <c r="R403">
        <v>135320</v>
      </c>
      <c r="S403">
        <v>5151</v>
      </c>
      <c r="T403">
        <v>26911</v>
      </c>
      <c r="U403">
        <v>5329</v>
      </c>
      <c r="V403">
        <v>123613</v>
      </c>
      <c r="W403">
        <v>101383</v>
      </c>
      <c r="X403">
        <v>134093</v>
      </c>
      <c r="Y403">
        <v>133623</v>
      </c>
      <c r="Z403">
        <v>1227</v>
      </c>
      <c r="AA403">
        <v>1697</v>
      </c>
      <c r="AB403">
        <v>0</v>
      </c>
      <c r="AC403">
        <v>0</v>
      </c>
      <c r="AD403">
        <v>0</v>
      </c>
      <c r="AE403">
        <v>0</v>
      </c>
      <c r="AF403">
        <v>0</v>
      </c>
      <c r="AG403">
        <v>0</v>
      </c>
      <c r="AH403">
        <v>0</v>
      </c>
      <c r="AI403">
        <v>0</v>
      </c>
      <c r="AJ403">
        <v>0</v>
      </c>
      <c r="AK403">
        <v>0</v>
      </c>
      <c r="AL403">
        <v>-10944</v>
      </c>
      <c r="AM403">
        <v>-541</v>
      </c>
      <c r="AN403">
        <v>-3206</v>
      </c>
      <c r="AO403">
        <v>-811</v>
      </c>
      <c r="AP403">
        <v>-9576</v>
      </c>
      <c r="AQ403">
        <v>-6325</v>
      </c>
      <c r="AR403">
        <v>-10928</v>
      </c>
      <c r="AS403">
        <v>-10342</v>
      </c>
      <c r="AT403">
        <v>-16</v>
      </c>
      <c r="AU403">
        <v>-602</v>
      </c>
      <c r="AV403">
        <v>100</v>
      </c>
      <c r="AW403">
        <v>3.8</v>
      </c>
      <c r="AX403">
        <v>19.899999999999999</v>
      </c>
      <c r="AY403">
        <v>3.9</v>
      </c>
      <c r="AZ403">
        <v>91.3</v>
      </c>
      <c r="BA403">
        <v>74.900000000000006</v>
      </c>
      <c r="BB403">
        <v>99.1</v>
      </c>
      <c r="BC403">
        <v>98.7</v>
      </c>
      <c r="BD403">
        <v>0.9</v>
      </c>
      <c r="BE403">
        <v>1.3</v>
      </c>
      <c r="BF403">
        <v>100</v>
      </c>
      <c r="BG403">
        <v>3.8</v>
      </c>
      <c r="BH403">
        <v>19.899999999999999</v>
      </c>
      <c r="BI403">
        <v>3.9</v>
      </c>
      <c r="BJ403">
        <v>91.3</v>
      </c>
      <c r="BK403">
        <v>74.900000000000006</v>
      </c>
      <c r="BL403">
        <v>99.1</v>
      </c>
      <c r="BM403">
        <v>98.7</v>
      </c>
      <c r="BN403">
        <v>0.9</v>
      </c>
      <c r="BO403">
        <v>1.3</v>
      </c>
      <c r="BP403">
        <v>0</v>
      </c>
      <c r="BQ403">
        <v>0</v>
      </c>
      <c r="BR403">
        <v>0</v>
      </c>
      <c r="BS403">
        <v>0</v>
      </c>
      <c r="BT403">
        <v>0</v>
      </c>
      <c r="BU403">
        <v>0</v>
      </c>
      <c r="BV403">
        <v>0</v>
      </c>
      <c r="BW403">
        <v>0</v>
      </c>
      <c r="BX403">
        <v>0</v>
      </c>
      <c r="BY403">
        <v>0</v>
      </c>
      <c r="BZ403">
        <v>142</v>
      </c>
      <c r="CA403">
        <v>15</v>
      </c>
      <c r="CB403">
        <v>26</v>
      </c>
      <c r="CC403">
        <v>15</v>
      </c>
      <c r="CD403">
        <v>92</v>
      </c>
      <c r="CE403">
        <v>76</v>
      </c>
      <c r="CF403">
        <v>114</v>
      </c>
      <c r="CG403">
        <v>111</v>
      </c>
      <c r="CH403">
        <v>142</v>
      </c>
      <c r="CI403">
        <v>15</v>
      </c>
      <c r="CJ403">
        <v>26</v>
      </c>
      <c r="CK403">
        <v>15</v>
      </c>
      <c r="CL403">
        <v>92</v>
      </c>
      <c r="CM403">
        <v>76</v>
      </c>
      <c r="CN403">
        <v>114</v>
      </c>
      <c r="CO403">
        <v>111</v>
      </c>
      <c r="CP403">
        <v>0</v>
      </c>
      <c r="CQ403">
        <v>0</v>
      </c>
      <c r="CR403">
        <v>0</v>
      </c>
      <c r="CS403">
        <v>0</v>
      </c>
      <c r="CT403">
        <v>0</v>
      </c>
      <c r="CU403">
        <v>0</v>
      </c>
      <c r="CV403">
        <v>0</v>
      </c>
      <c r="CW403">
        <v>0</v>
      </c>
      <c r="CX403">
        <v>24.8</v>
      </c>
      <c r="CY403">
        <v>31.5</v>
      </c>
      <c r="CZ403">
        <v>38.700000000000003</v>
      </c>
      <c r="DA403">
        <v>47.4</v>
      </c>
      <c r="DB403">
        <v>19.899999999999999</v>
      </c>
      <c r="DC403">
        <v>27.8</v>
      </c>
      <c r="DD403">
        <v>30</v>
      </c>
      <c r="DE403">
        <v>37.5</v>
      </c>
      <c r="DF403">
        <v>24.8</v>
      </c>
      <c r="DG403">
        <v>31.5</v>
      </c>
      <c r="DH403">
        <v>38.700000000000003</v>
      </c>
      <c r="DI403">
        <v>47.4</v>
      </c>
      <c r="DJ403">
        <v>19.899999999999999</v>
      </c>
      <c r="DK403">
        <v>27.8</v>
      </c>
      <c r="DL403">
        <v>30</v>
      </c>
      <c r="DM403">
        <v>37.5</v>
      </c>
      <c r="DN403">
        <v>0</v>
      </c>
      <c r="DO403">
        <v>0</v>
      </c>
      <c r="DP403">
        <v>0</v>
      </c>
      <c r="DQ403">
        <v>0</v>
      </c>
      <c r="DR403">
        <v>0</v>
      </c>
      <c r="DS403">
        <v>0</v>
      </c>
      <c r="DT403">
        <v>0</v>
      </c>
      <c r="DU403">
        <v>0</v>
      </c>
      <c r="DV403" t="s">
        <v>279</v>
      </c>
    </row>
    <row r="404" spans="1:126" x14ac:dyDescent="0.35">
      <c r="A404" t="s">
        <v>683</v>
      </c>
      <c r="B404">
        <v>230103</v>
      </c>
      <c r="C404" s="1">
        <v>44929</v>
      </c>
      <c r="D404" t="s">
        <v>684</v>
      </c>
      <c r="E404" t="s">
        <v>227</v>
      </c>
      <c r="F404" t="s">
        <v>185</v>
      </c>
      <c r="G404" t="s">
        <v>652</v>
      </c>
      <c r="H404">
        <v>146264</v>
      </c>
      <c r="I404" s="17">
        <v>5692</v>
      </c>
      <c r="J404" s="17">
        <v>30117</v>
      </c>
      <c r="K404">
        <v>6140</v>
      </c>
      <c r="L404">
        <v>133189</v>
      </c>
      <c r="M404">
        <v>107708</v>
      </c>
      <c r="N404">
        <v>145021</v>
      </c>
      <c r="O404">
        <v>143965</v>
      </c>
      <c r="P404">
        <v>1243</v>
      </c>
      <c r="Q404">
        <v>2299</v>
      </c>
      <c r="R404">
        <v>146264</v>
      </c>
      <c r="S404">
        <v>5692</v>
      </c>
      <c r="T404">
        <v>30117</v>
      </c>
      <c r="U404">
        <v>6140</v>
      </c>
      <c r="V404">
        <v>133189</v>
      </c>
      <c r="W404">
        <v>107708</v>
      </c>
      <c r="X404">
        <v>145021</v>
      </c>
      <c r="Y404">
        <v>143965</v>
      </c>
      <c r="Z404">
        <v>1243</v>
      </c>
      <c r="AA404">
        <v>2299</v>
      </c>
      <c r="AB404">
        <v>0</v>
      </c>
      <c r="AC404">
        <v>0</v>
      </c>
      <c r="AD404">
        <v>0</v>
      </c>
      <c r="AE404">
        <v>0</v>
      </c>
      <c r="AF404">
        <v>0</v>
      </c>
      <c r="AG404">
        <v>0</v>
      </c>
      <c r="AH404">
        <v>0</v>
      </c>
      <c r="AI404">
        <v>0</v>
      </c>
      <c r="AJ404">
        <v>0</v>
      </c>
      <c r="AK404">
        <v>0</v>
      </c>
      <c r="AL404">
        <v>2011</v>
      </c>
      <c r="AM404">
        <v>28</v>
      </c>
      <c r="AN404">
        <v>629</v>
      </c>
      <c r="AO404">
        <v>258</v>
      </c>
      <c r="AP404">
        <v>1727</v>
      </c>
      <c r="AQ404">
        <v>631</v>
      </c>
      <c r="AR404">
        <v>2013</v>
      </c>
      <c r="AS404">
        <v>1518</v>
      </c>
      <c r="AT404">
        <v>-2</v>
      </c>
      <c r="AU404">
        <v>493</v>
      </c>
      <c r="AV404">
        <v>100</v>
      </c>
      <c r="AW404">
        <v>3.9</v>
      </c>
      <c r="AX404">
        <v>20.6</v>
      </c>
      <c r="AY404">
        <v>4.2</v>
      </c>
      <c r="AZ404">
        <v>91.1</v>
      </c>
      <c r="BA404">
        <v>73.599999999999994</v>
      </c>
      <c r="BB404">
        <v>99.2</v>
      </c>
      <c r="BC404">
        <v>98.4</v>
      </c>
      <c r="BD404">
        <v>0.8</v>
      </c>
      <c r="BE404">
        <v>1.6</v>
      </c>
      <c r="BF404">
        <v>100</v>
      </c>
      <c r="BG404">
        <v>3.9</v>
      </c>
      <c r="BH404">
        <v>20.6</v>
      </c>
      <c r="BI404">
        <v>4.2</v>
      </c>
      <c r="BJ404">
        <v>91.1</v>
      </c>
      <c r="BK404">
        <v>73.599999999999994</v>
      </c>
      <c r="BL404">
        <v>99.2</v>
      </c>
      <c r="BM404">
        <v>98.4</v>
      </c>
      <c r="BN404">
        <v>0.8</v>
      </c>
      <c r="BO404">
        <v>1.6</v>
      </c>
      <c r="BP404">
        <v>0</v>
      </c>
      <c r="BQ404">
        <v>0</v>
      </c>
      <c r="BR404">
        <v>0</v>
      </c>
      <c r="BS404">
        <v>0</v>
      </c>
      <c r="BT404">
        <v>0</v>
      </c>
      <c r="BU404">
        <v>0</v>
      </c>
      <c r="BV404">
        <v>0</v>
      </c>
      <c r="BW404">
        <v>0</v>
      </c>
      <c r="BX404">
        <v>0</v>
      </c>
      <c r="BY404">
        <v>0</v>
      </c>
      <c r="BZ404">
        <v>148</v>
      </c>
      <c r="CA404">
        <v>17</v>
      </c>
      <c r="CB404">
        <v>26</v>
      </c>
      <c r="CC404">
        <v>18</v>
      </c>
      <c r="CD404">
        <v>96</v>
      </c>
      <c r="CE404">
        <v>78</v>
      </c>
      <c r="CF404">
        <v>120</v>
      </c>
      <c r="CG404">
        <v>116</v>
      </c>
      <c r="CH404">
        <v>148</v>
      </c>
      <c r="CI404">
        <v>17</v>
      </c>
      <c r="CJ404">
        <v>26</v>
      </c>
      <c r="CK404">
        <v>18</v>
      </c>
      <c r="CL404">
        <v>96</v>
      </c>
      <c r="CM404">
        <v>78</v>
      </c>
      <c r="CN404">
        <v>120</v>
      </c>
      <c r="CO404">
        <v>116</v>
      </c>
      <c r="CP404">
        <v>0</v>
      </c>
      <c r="CQ404">
        <v>0</v>
      </c>
      <c r="CR404">
        <v>0</v>
      </c>
      <c r="CS404">
        <v>0</v>
      </c>
      <c r="CT404">
        <v>0</v>
      </c>
      <c r="CU404">
        <v>0</v>
      </c>
      <c r="CV404">
        <v>0</v>
      </c>
      <c r="CW404">
        <v>0</v>
      </c>
      <c r="CX404">
        <v>24.7</v>
      </c>
      <c r="CY404">
        <v>31.6</v>
      </c>
      <c r="CZ404">
        <v>38.1</v>
      </c>
      <c r="DA404">
        <v>46.3</v>
      </c>
      <c r="DB404">
        <v>20.2</v>
      </c>
      <c r="DC404">
        <v>27.2</v>
      </c>
      <c r="DD404">
        <v>30.4</v>
      </c>
      <c r="DE404">
        <v>37.299999999999997</v>
      </c>
      <c r="DF404">
        <v>24.7</v>
      </c>
      <c r="DG404">
        <v>31.6</v>
      </c>
      <c r="DH404">
        <v>38.1</v>
      </c>
      <c r="DI404">
        <v>46.3</v>
      </c>
      <c r="DJ404">
        <v>20.2</v>
      </c>
      <c r="DK404">
        <v>27.2</v>
      </c>
      <c r="DL404">
        <v>30.4</v>
      </c>
      <c r="DM404">
        <v>37.299999999999997</v>
      </c>
      <c r="DN404">
        <v>0</v>
      </c>
      <c r="DO404">
        <v>0</v>
      </c>
      <c r="DP404">
        <v>0</v>
      </c>
      <c r="DQ404">
        <v>0</v>
      </c>
      <c r="DR404">
        <v>0</v>
      </c>
      <c r="DS404">
        <v>0</v>
      </c>
      <c r="DT404">
        <v>0</v>
      </c>
      <c r="DU404">
        <v>0</v>
      </c>
      <c r="DV404" t="s">
        <v>279</v>
      </c>
    </row>
    <row r="405" spans="1:126" x14ac:dyDescent="0.35">
      <c r="A405" t="s">
        <v>685</v>
      </c>
      <c r="B405">
        <v>230110</v>
      </c>
      <c r="C405" s="1">
        <v>44936</v>
      </c>
      <c r="D405" t="s">
        <v>686</v>
      </c>
      <c r="E405" t="s">
        <v>227</v>
      </c>
      <c r="F405" t="s">
        <v>185</v>
      </c>
      <c r="G405" t="s">
        <v>652</v>
      </c>
      <c r="H405">
        <v>40248</v>
      </c>
      <c r="I405" s="17">
        <v>2857</v>
      </c>
      <c r="J405" s="17">
        <v>2014</v>
      </c>
      <c r="K405">
        <v>342</v>
      </c>
      <c r="L405">
        <v>36968</v>
      </c>
      <c r="M405">
        <v>37576</v>
      </c>
      <c r="N405">
        <v>40167</v>
      </c>
      <c r="O405">
        <v>39932</v>
      </c>
      <c r="P405">
        <v>81</v>
      </c>
      <c r="Q405">
        <v>316</v>
      </c>
      <c r="R405">
        <v>40248</v>
      </c>
      <c r="S405">
        <v>2857</v>
      </c>
      <c r="T405">
        <v>2014</v>
      </c>
      <c r="U405">
        <v>342</v>
      </c>
      <c r="V405">
        <v>36968</v>
      </c>
      <c r="W405">
        <v>37576</v>
      </c>
      <c r="X405">
        <v>40167</v>
      </c>
      <c r="Y405">
        <v>39932</v>
      </c>
      <c r="Z405">
        <v>81</v>
      </c>
      <c r="AA405">
        <v>316</v>
      </c>
      <c r="AB405">
        <v>0</v>
      </c>
      <c r="AC405">
        <v>0</v>
      </c>
      <c r="AD405">
        <v>0</v>
      </c>
      <c r="AE405">
        <v>0</v>
      </c>
      <c r="AF405">
        <v>0</v>
      </c>
      <c r="AG405">
        <v>0</v>
      </c>
      <c r="AH405">
        <v>0</v>
      </c>
      <c r="AI405">
        <v>0</v>
      </c>
      <c r="AJ405">
        <v>0</v>
      </c>
      <c r="AK405">
        <v>0</v>
      </c>
      <c r="AL405">
        <v>3110</v>
      </c>
      <c r="AM405">
        <v>-150</v>
      </c>
      <c r="AN405">
        <v>54</v>
      </c>
      <c r="AO405">
        <v>105</v>
      </c>
      <c r="AP405">
        <v>3155</v>
      </c>
      <c r="AQ405">
        <v>3021</v>
      </c>
      <c r="AR405">
        <v>3110</v>
      </c>
      <c r="AS405">
        <v>3180</v>
      </c>
      <c r="AT405">
        <v>0</v>
      </c>
      <c r="AU405">
        <v>-70</v>
      </c>
      <c r="AV405">
        <v>100</v>
      </c>
      <c r="AW405">
        <v>7.1</v>
      </c>
      <c r="AX405">
        <v>5</v>
      </c>
      <c r="AY405">
        <v>0.8</v>
      </c>
      <c r="AZ405">
        <v>91.9</v>
      </c>
      <c r="BA405">
        <v>93.4</v>
      </c>
      <c r="BB405">
        <v>99.8</v>
      </c>
      <c r="BC405">
        <v>99.2</v>
      </c>
      <c r="BD405">
        <v>0.2</v>
      </c>
      <c r="BE405">
        <v>0.8</v>
      </c>
      <c r="BF405">
        <v>100</v>
      </c>
      <c r="BG405">
        <v>7.1</v>
      </c>
      <c r="BH405">
        <v>5</v>
      </c>
      <c r="BI405">
        <v>0.8</v>
      </c>
      <c r="BJ405">
        <v>91.9</v>
      </c>
      <c r="BK405">
        <v>93.4</v>
      </c>
      <c r="BL405">
        <v>99.8</v>
      </c>
      <c r="BM405">
        <v>99.2</v>
      </c>
      <c r="BN405">
        <v>0.2</v>
      </c>
      <c r="BO405">
        <v>0.8</v>
      </c>
      <c r="BP405">
        <v>0</v>
      </c>
      <c r="BQ405">
        <v>0</v>
      </c>
      <c r="BR405">
        <v>0</v>
      </c>
      <c r="BS405">
        <v>0</v>
      </c>
      <c r="BT405">
        <v>0</v>
      </c>
      <c r="BU405">
        <v>0</v>
      </c>
      <c r="BV405">
        <v>0</v>
      </c>
      <c r="BW405">
        <v>0</v>
      </c>
      <c r="BX405">
        <v>0</v>
      </c>
      <c r="BY405">
        <v>0</v>
      </c>
      <c r="BZ405">
        <v>63</v>
      </c>
      <c r="CA405">
        <v>5</v>
      </c>
      <c r="CB405">
        <v>11</v>
      </c>
      <c r="CC405">
        <v>4</v>
      </c>
      <c r="CD405">
        <v>34</v>
      </c>
      <c r="CE405">
        <v>38</v>
      </c>
      <c r="CF405">
        <v>41</v>
      </c>
      <c r="CG405">
        <v>51</v>
      </c>
      <c r="CH405">
        <v>63</v>
      </c>
      <c r="CI405">
        <v>5</v>
      </c>
      <c r="CJ405">
        <v>11</v>
      </c>
      <c r="CK405">
        <v>4</v>
      </c>
      <c r="CL405">
        <v>34</v>
      </c>
      <c r="CM405">
        <v>38</v>
      </c>
      <c r="CN405">
        <v>41</v>
      </c>
      <c r="CO405">
        <v>51</v>
      </c>
      <c r="CP405">
        <v>0</v>
      </c>
      <c r="CQ405">
        <v>0</v>
      </c>
      <c r="CR405">
        <v>0</v>
      </c>
      <c r="CS405">
        <v>0</v>
      </c>
      <c r="CT405">
        <v>0</v>
      </c>
      <c r="CU405">
        <v>0</v>
      </c>
      <c r="CV405">
        <v>0</v>
      </c>
      <c r="CW405">
        <v>0</v>
      </c>
      <c r="CX405">
        <v>49.7</v>
      </c>
      <c r="CY405">
        <v>41.9</v>
      </c>
      <c r="CZ405">
        <v>68.5</v>
      </c>
      <c r="DA405">
        <v>62.2</v>
      </c>
      <c r="DB405">
        <v>47</v>
      </c>
      <c r="DC405">
        <v>35.799999999999997</v>
      </c>
      <c r="DD405">
        <v>59.5</v>
      </c>
      <c r="DE405">
        <v>55.6</v>
      </c>
      <c r="DF405">
        <v>49.7</v>
      </c>
      <c r="DG405">
        <v>41.9</v>
      </c>
      <c r="DH405">
        <v>68.5</v>
      </c>
      <c r="DI405">
        <v>62.2</v>
      </c>
      <c r="DJ405">
        <v>47</v>
      </c>
      <c r="DK405">
        <v>35.799999999999997</v>
      </c>
      <c r="DL405">
        <v>59.5</v>
      </c>
      <c r="DM405">
        <v>55.6</v>
      </c>
      <c r="DN405">
        <v>0</v>
      </c>
      <c r="DO405">
        <v>0</v>
      </c>
      <c r="DP405">
        <v>0</v>
      </c>
      <c r="DQ405">
        <v>0</v>
      </c>
      <c r="DR405">
        <v>0</v>
      </c>
      <c r="DS405">
        <v>0</v>
      </c>
      <c r="DT405">
        <v>0</v>
      </c>
      <c r="DU405">
        <v>0</v>
      </c>
      <c r="DV405" t="s">
        <v>279</v>
      </c>
    </row>
    <row r="406" spans="1:126" x14ac:dyDescent="0.35">
      <c r="A406" t="s">
        <v>685</v>
      </c>
      <c r="B406">
        <v>230103</v>
      </c>
      <c r="C406" s="1">
        <v>44929</v>
      </c>
      <c r="D406" t="s">
        <v>686</v>
      </c>
      <c r="E406" t="s">
        <v>227</v>
      </c>
      <c r="F406" t="s">
        <v>185</v>
      </c>
      <c r="G406" t="s">
        <v>652</v>
      </c>
      <c r="H406">
        <v>37138</v>
      </c>
      <c r="I406" s="17">
        <v>3007</v>
      </c>
      <c r="J406" s="17">
        <v>1960</v>
      </c>
      <c r="K406">
        <v>237</v>
      </c>
      <c r="L406">
        <v>33813</v>
      </c>
      <c r="M406">
        <v>34555</v>
      </c>
      <c r="N406">
        <v>37057</v>
      </c>
      <c r="O406">
        <v>36752</v>
      </c>
      <c r="P406">
        <v>81</v>
      </c>
      <c r="Q406">
        <v>386</v>
      </c>
      <c r="R406">
        <v>37138</v>
      </c>
      <c r="S406">
        <v>3007</v>
      </c>
      <c r="T406">
        <v>1960</v>
      </c>
      <c r="U406">
        <v>237</v>
      </c>
      <c r="V406">
        <v>33813</v>
      </c>
      <c r="W406">
        <v>34555</v>
      </c>
      <c r="X406">
        <v>37057</v>
      </c>
      <c r="Y406">
        <v>36752</v>
      </c>
      <c r="Z406">
        <v>81</v>
      </c>
      <c r="AA406">
        <v>386</v>
      </c>
      <c r="AB406">
        <v>0</v>
      </c>
      <c r="AC406">
        <v>0</v>
      </c>
      <c r="AD406">
        <v>0</v>
      </c>
      <c r="AE406">
        <v>0</v>
      </c>
      <c r="AF406">
        <v>0</v>
      </c>
      <c r="AG406">
        <v>0</v>
      </c>
      <c r="AH406">
        <v>0</v>
      </c>
      <c r="AI406">
        <v>0</v>
      </c>
      <c r="AJ406">
        <v>0</v>
      </c>
      <c r="AK406">
        <v>0</v>
      </c>
      <c r="AL406">
        <v>-6403</v>
      </c>
      <c r="AM406">
        <v>34</v>
      </c>
      <c r="AN406">
        <v>19</v>
      </c>
      <c r="AO406">
        <v>-6</v>
      </c>
      <c r="AP406">
        <v>-6332</v>
      </c>
      <c r="AQ406">
        <v>-6558</v>
      </c>
      <c r="AR406">
        <v>-6304</v>
      </c>
      <c r="AS406">
        <v>-6545</v>
      </c>
      <c r="AT406">
        <v>-99</v>
      </c>
      <c r="AU406">
        <v>142</v>
      </c>
      <c r="AV406">
        <v>100</v>
      </c>
      <c r="AW406">
        <v>8.1</v>
      </c>
      <c r="AX406">
        <v>5.3</v>
      </c>
      <c r="AY406">
        <v>0.6</v>
      </c>
      <c r="AZ406">
        <v>91</v>
      </c>
      <c r="BA406">
        <v>93</v>
      </c>
      <c r="BB406">
        <v>99.8</v>
      </c>
      <c r="BC406">
        <v>99</v>
      </c>
      <c r="BD406">
        <v>0.2</v>
      </c>
      <c r="BE406">
        <v>1</v>
      </c>
      <c r="BF406">
        <v>100</v>
      </c>
      <c r="BG406">
        <v>8.1</v>
      </c>
      <c r="BH406">
        <v>5.3</v>
      </c>
      <c r="BI406">
        <v>0.6</v>
      </c>
      <c r="BJ406">
        <v>91</v>
      </c>
      <c r="BK406">
        <v>93</v>
      </c>
      <c r="BL406">
        <v>99.8</v>
      </c>
      <c r="BM406">
        <v>99</v>
      </c>
      <c r="BN406">
        <v>0.2</v>
      </c>
      <c r="BO406">
        <v>1</v>
      </c>
      <c r="BP406">
        <v>0</v>
      </c>
      <c r="BQ406">
        <v>0</v>
      </c>
      <c r="BR406">
        <v>0</v>
      </c>
      <c r="BS406">
        <v>0</v>
      </c>
      <c r="BT406">
        <v>0</v>
      </c>
      <c r="BU406">
        <v>0</v>
      </c>
      <c r="BV406">
        <v>0</v>
      </c>
      <c r="BW406">
        <v>0</v>
      </c>
      <c r="BX406">
        <v>0</v>
      </c>
      <c r="BY406">
        <v>0</v>
      </c>
      <c r="BZ406">
        <v>61</v>
      </c>
      <c r="CA406">
        <v>5</v>
      </c>
      <c r="CB406">
        <v>9</v>
      </c>
      <c r="CC406">
        <v>3</v>
      </c>
      <c r="CD406">
        <v>35</v>
      </c>
      <c r="CE406">
        <v>39</v>
      </c>
      <c r="CF406">
        <v>42</v>
      </c>
      <c r="CG406">
        <v>49</v>
      </c>
      <c r="CH406">
        <v>61</v>
      </c>
      <c r="CI406">
        <v>5</v>
      </c>
      <c r="CJ406">
        <v>9</v>
      </c>
      <c r="CK406">
        <v>3</v>
      </c>
      <c r="CL406">
        <v>35</v>
      </c>
      <c r="CM406">
        <v>39</v>
      </c>
      <c r="CN406">
        <v>42</v>
      </c>
      <c r="CO406">
        <v>49</v>
      </c>
      <c r="CP406">
        <v>0</v>
      </c>
      <c r="CQ406">
        <v>0</v>
      </c>
      <c r="CR406">
        <v>0</v>
      </c>
      <c r="CS406">
        <v>0</v>
      </c>
      <c r="CT406">
        <v>0</v>
      </c>
      <c r="CU406">
        <v>0</v>
      </c>
      <c r="CV406">
        <v>0</v>
      </c>
      <c r="CW406">
        <v>0</v>
      </c>
      <c r="CX406">
        <v>47.9</v>
      </c>
      <c r="CY406">
        <v>41.6</v>
      </c>
      <c r="CZ406">
        <v>67.2</v>
      </c>
      <c r="DA406">
        <v>64.099999999999994</v>
      </c>
      <c r="DB406">
        <v>43.6</v>
      </c>
      <c r="DC406">
        <v>37.299999999999997</v>
      </c>
      <c r="DD406">
        <v>58</v>
      </c>
      <c r="DE406">
        <v>57.1</v>
      </c>
      <c r="DF406">
        <v>47.9</v>
      </c>
      <c r="DG406">
        <v>41.6</v>
      </c>
      <c r="DH406">
        <v>67.2</v>
      </c>
      <c r="DI406">
        <v>64.099999999999994</v>
      </c>
      <c r="DJ406">
        <v>43.6</v>
      </c>
      <c r="DK406">
        <v>37.299999999999997</v>
      </c>
      <c r="DL406">
        <v>58</v>
      </c>
      <c r="DM406">
        <v>57.1</v>
      </c>
      <c r="DN406">
        <v>0</v>
      </c>
      <c r="DO406">
        <v>0</v>
      </c>
      <c r="DP406">
        <v>0</v>
      </c>
      <c r="DQ406">
        <v>0</v>
      </c>
      <c r="DR406">
        <v>0</v>
      </c>
      <c r="DS406">
        <v>0</v>
      </c>
      <c r="DT406">
        <v>0</v>
      </c>
      <c r="DU406">
        <v>0</v>
      </c>
      <c r="DV406" t="s">
        <v>279</v>
      </c>
    </row>
    <row r="407" spans="1:126" x14ac:dyDescent="0.35">
      <c r="A407" t="s">
        <v>687</v>
      </c>
      <c r="B407">
        <v>230110</v>
      </c>
      <c r="C407" s="1">
        <v>44936</v>
      </c>
      <c r="D407" t="s">
        <v>688</v>
      </c>
      <c r="E407" t="s">
        <v>227</v>
      </c>
      <c r="F407" t="s">
        <v>185</v>
      </c>
      <c r="G407" t="s">
        <v>652</v>
      </c>
      <c r="H407">
        <v>42072</v>
      </c>
      <c r="I407" s="17">
        <v>3157</v>
      </c>
      <c r="J407" s="17">
        <v>3253</v>
      </c>
      <c r="K407">
        <v>1055</v>
      </c>
      <c r="L407">
        <v>37494</v>
      </c>
      <c r="M407">
        <v>36803</v>
      </c>
      <c r="N407">
        <v>41706</v>
      </c>
      <c r="O407">
        <v>41111</v>
      </c>
      <c r="P407">
        <v>366</v>
      </c>
      <c r="Q407">
        <v>961</v>
      </c>
      <c r="R407">
        <v>42072</v>
      </c>
      <c r="S407">
        <v>3157</v>
      </c>
      <c r="T407">
        <v>3253</v>
      </c>
      <c r="U407">
        <v>1055</v>
      </c>
      <c r="V407">
        <v>37494</v>
      </c>
      <c r="W407">
        <v>36803</v>
      </c>
      <c r="X407">
        <v>41706</v>
      </c>
      <c r="Y407">
        <v>41111</v>
      </c>
      <c r="Z407">
        <v>366</v>
      </c>
      <c r="AA407">
        <v>961</v>
      </c>
      <c r="AB407">
        <v>0</v>
      </c>
      <c r="AC407">
        <v>0</v>
      </c>
      <c r="AD407">
        <v>0</v>
      </c>
      <c r="AE407">
        <v>0</v>
      </c>
      <c r="AF407">
        <v>0</v>
      </c>
      <c r="AG407">
        <v>0</v>
      </c>
      <c r="AH407">
        <v>0</v>
      </c>
      <c r="AI407">
        <v>0</v>
      </c>
      <c r="AJ407">
        <v>0</v>
      </c>
      <c r="AK407">
        <v>0</v>
      </c>
      <c r="AL407">
        <v>116</v>
      </c>
      <c r="AM407">
        <v>317</v>
      </c>
      <c r="AN407">
        <v>-1265</v>
      </c>
      <c r="AO407">
        <v>-42</v>
      </c>
      <c r="AP407">
        <v>-125</v>
      </c>
      <c r="AQ407">
        <v>1269</v>
      </c>
      <c r="AR407">
        <v>150</v>
      </c>
      <c r="AS407">
        <v>-38</v>
      </c>
      <c r="AT407">
        <v>-34</v>
      </c>
      <c r="AU407">
        <v>154</v>
      </c>
      <c r="AV407">
        <v>100</v>
      </c>
      <c r="AW407">
        <v>7.5</v>
      </c>
      <c r="AX407">
        <v>7.7</v>
      </c>
      <c r="AY407">
        <v>2.5</v>
      </c>
      <c r="AZ407">
        <v>89.1</v>
      </c>
      <c r="BA407">
        <v>87.5</v>
      </c>
      <c r="BB407">
        <v>99.1</v>
      </c>
      <c r="BC407">
        <v>97.7</v>
      </c>
      <c r="BD407">
        <v>0.9</v>
      </c>
      <c r="BE407">
        <v>2.2999999999999998</v>
      </c>
      <c r="BF407">
        <v>100</v>
      </c>
      <c r="BG407">
        <v>7.5</v>
      </c>
      <c r="BH407">
        <v>7.7</v>
      </c>
      <c r="BI407">
        <v>2.5</v>
      </c>
      <c r="BJ407">
        <v>89.1</v>
      </c>
      <c r="BK407">
        <v>87.5</v>
      </c>
      <c r="BL407">
        <v>99.1</v>
      </c>
      <c r="BM407">
        <v>97.7</v>
      </c>
      <c r="BN407">
        <v>0.9</v>
      </c>
      <c r="BO407">
        <v>2.2999999999999998</v>
      </c>
      <c r="BP407">
        <v>0</v>
      </c>
      <c r="BQ407">
        <v>0</v>
      </c>
      <c r="BR407">
        <v>0</v>
      </c>
      <c r="BS407">
        <v>0</v>
      </c>
      <c r="BT407">
        <v>0</v>
      </c>
      <c r="BU407">
        <v>0</v>
      </c>
      <c r="BV407">
        <v>0</v>
      </c>
      <c r="BW407">
        <v>0</v>
      </c>
      <c r="BX407">
        <v>0</v>
      </c>
      <c r="BY407">
        <v>0</v>
      </c>
      <c r="BZ407">
        <v>94</v>
      </c>
      <c r="CA407">
        <v>12</v>
      </c>
      <c r="CB407">
        <v>10</v>
      </c>
      <c r="CC407">
        <v>7</v>
      </c>
      <c r="CD407">
        <v>55</v>
      </c>
      <c r="CE407">
        <v>52</v>
      </c>
      <c r="CF407">
        <v>70</v>
      </c>
      <c r="CG407">
        <v>67</v>
      </c>
      <c r="CH407">
        <v>94</v>
      </c>
      <c r="CI407">
        <v>12</v>
      </c>
      <c r="CJ407">
        <v>10</v>
      </c>
      <c r="CK407">
        <v>7</v>
      </c>
      <c r="CL407">
        <v>55</v>
      </c>
      <c r="CM407">
        <v>52</v>
      </c>
      <c r="CN407">
        <v>70</v>
      </c>
      <c r="CO407">
        <v>67</v>
      </c>
      <c r="CP407">
        <v>0</v>
      </c>
      <c r="CQ407">
        <v>0</v>
      </c>
      <c r="CR407">
        <v>0</v>
      </c>
      <c r="CS407">
        <v>0</v>
      </c>
      <c r="CT407">
        <v>0</v>
      </c>
      <c r="CU407">
        <v>0</v>
      </c>
      <c r="CV407">
        <v>0</v>
      </c>
      <c r="CW407">
        <v>0</v>
      </c>
      <c r="CX407">
        <v>38.6</v>
      </c>
      <c r="CY407">
        <v>25.3</v>
      </c>
      <c r="CZ407">
        <v>51.9</v>
      </c>
      <c r="DA407">
        <v>42.9</v>
      </c>
      <c r="DB407">
        <v>32.4</v>
      </c>
      <c r="DC407">
        <v>22.6</v>
      </c>
      <c r="DD407">
        <v>41</v>
      </c>
      <c r="DE407">
        <v>38.1</v>
      </c>
      <c r="DF407">
        <v>38.6</v>
      </c>
      <c r="DG407">
        <v>25.3</v>
      </c>
      <c r="DH407">
        <v>51.9</v>
      </c>
      <c r="DI407">
        <v>42.9</v>
      </c>
      <c r="DJ407">
        <v>32.4</v>
      </c>
      <c r="DK407">
        <v>22.6</v>
      </c>
      <c r="DL407">
        <v>41</v>
      </c>
      <c r="DM407">
        <v>38.1</v>
      </c>
      <c r="DN407">
        <v>0</v>
      </c>
      <c r="DO407">
        <v>0</v>
      </c>
      <c r="DP407">
        <v>0</v>
      </c>
      <c r="DQ407">
        <v>0</v>
      </c>
      <c r="DR407">
        <v>0</v>
      </c>
      <c r="DS407">
        <v>0</v>
      </c>
      <c r="DT407">
        <v>0</v>
      </c>
      <c r="DU407">
        <v>0</v>
      </c>
      <c r="DV407" t="s">
        <v>279</v>
      </c>
    </row>
    <row r="408" spans="1:126" x14ac:dyDescent="0.35">
      <c r="A408" t="s">
        <v>687</v>
      </c>
      <c r="B408">
        <v>230103</v>
      </c>
      <c r="C408" s="1">
        <v>44929</v>
      </c>
      <c r="D408" t="s">
        <v>688</v>
      </c>
      <c r="E408" t="s">
        <v>227</v>
      </c>
      <c r="F408" t="s">
        <v>185</v>
      </c>
      <c r="G408" t="s">
        <v>652</v>
      </c>
      <c r="H408">
        <v>41956</v>
      </c>
      <c r="I408" s="17">
        <v>2840</v>
      </c>
      <c r="J408" s="17">
        <v>4518</v>
      </c>
      <c r="K408">
        <v>1097</v>
      </c>
      <c r="L408">
        <v>37619</v>
      </c>
      <c r="M408">
        <v>35534</v>
      </c>
      <c r="N408">
        <v>41556</v>
      </c>
      <c r="O408">
        <v>41149</v>
      </c>
      <c r="P408">
        <v>400</v>
      </c>
      <c r="Q408">
        <v>807</v>
      </c>
      <c r="R408">
        <v>41956</v>
      </c>
      <c r="S408">
        <v>2840</v>
      </c>
      <c r="T408">
        <v>4518</v>
      </c>
      <c r="U408">
        <v>1097</v>
      </c>
      <c r="V408">
        <v>37619</v>
      </c>
      <c r="W408">
        <v>35534</v>
      </c>
      <c r="X408">
        <v>41556</v>
      </c>
      <c r="Y408">
        <v>41149</v>
      </c>
      <c r="Z408">
        <v>400</v>
      </c>
      <c r="AA408">
        <v>807</v>
      </c>
      <c r="AB408">
        <v>0</v>
      </c>
      <c r="AC408">
        <v>0</v>
      </c>
      <c r="AD408">
        <v>0</v>
      </c>
      <c r="AE408">
        <v>0</v>
      </c>
      <c r="AF408">
        <v>0</v>
      </c>
      <c r="AG408">
        <v>0</v>
      </c>
      <c r="AH408">
        <v>0</v>
      </c>
      <c r="AI408">
        <v>0</v>
      </c>
      <c r="AJ408">
        <v>0</v>
      </c>
      <c r="AK408">
        <v>0</v>
      </c>
      <c r="AL408">
        <v>-10532</v>
      </c>
      <c r="AM408">
        <v>-137</v>
      </c>
      <c r="AN408">
        <v>-992</v>
      </c>
      <c r="AO408">
        <v>-437</v>
      </c>
      <c r="AP408">
        <v>-9895</v>
      </c>
      <c r="AQ408">
        <v>-9446</v>
      </c>
      <c r="AR408">
        <v>-10469</v>
      </c>
      <c r="AS408">
        <v>-10875</v>
      </c>
      <c r="AT408">
        <v>-63</v>
      </c>
      <c r="AU408">
        <v>343</v>
      </c>
      <c r="AV408">
        <v>100</v>
      </c>
      <c r="AW408">
        <v>6.8</v>
      </c>
      <c r="AX408">
        <v>10.8</v>
      </c>
      <c r="AY408">
        <v>2.6</v>
      </c>
      <c r="AZ408">
        <v>89.7</v>
      </c>
      <c r="BA408">
        <v>84.7</v>
      </c>
      <c r="BB408">
        <v>99</v>
      </c>
      <c r="BC408">
        <v>98.1</v>
      </c>
      <c r="BD408">
        <v>1</v>
      </c>
      <c r="BE408">
        <v>1.9</v>
      </c>
      <c r="BF408">
        <v>100</v>
      </c>
      <c r="BG408">
        <v>6.8</v>
      </c>
      <c r="BH408">
        <v>10.8</v>
      </c>
      <c r="BI408">
        <v>2.6</v>
      </c>
      <c r="BJ408">
        <v>89.7</v>
      </c>
      <c r="BK408">
        <v>84.7</v>
      </c>
      <c r="BL408">
        <v>99</v>
      </c>
      <c r="BM408">
        <v>98.1</v>
      </c>
      <c r="BN408">
        <v>1</v>
      </c>
      <c r="BO408">
        <v>1.9</v>
      </c>
      <c r="BP408">
        <v>0</v>
      </c>
      <c r="BQ408">
        <v>0</v>
      </c>
      <c r="BR408">
        <v>0</v>
      </c>
      <c r="BS408">
        <v>0</v>
      </c>
      <c r="BT408">
        <v>0</v>
      </c>
      <c r="BU408">
        <v>0</v>
      </c>
      <c r="BV408">
        <v>0</v>
      </c>
      <c r="BW408">
        <v>0</v>
      </c>
      <c r="BX408">
        <v>0</v>
      </c>
      <c r="BY408">
        <v>0</v>
      </c>
      <c r="BZ408">
        <v>93</v>
      </c>
      <c r="CA408">
        <v>12</v>
      </c>
      <c r="CB408">
        <v>11</v>
      </c>
      <c r="CC408">
        <v>5</v>
      </c>
      <c r="CD408">
        <v>52</v>
      </c>
      <c r="CE408">
        <v>49</v>
      </c>
      <c r="CF408">
        <v>66</v>
      </c>
      <c r="CG408">
        <v>64</v>
      </c>
      <c r="CH408">
        <v>93</v>
      </c>
      <c r="CI408">
        <v>12</v>
      </c>
      <c r="CJ408">
        <v>11</v>
      </c>
      <c r="CK408">
        <v>5</v>
      </c>
      <c r="CL408">
        <v>52</v>
      </c>
      <c r="CM408">
        <v>49</v>
      </c>
      <c r="CN408">
        <v>66</v>
      </c>
      <c r="CO408">
        <v>64</v>
      </c>
      <c r="CP408">
        <v>0</v>
      </c>
      <c r="CQ408">
        <v>0</v>
      </c>
      <c r="CR408">
        <v>0</v>
      </c>
      <c r="CS408">
        <v>0</v>
      </c>
      <c r="CT408">
        <v>0</v>
      </c>
      <c r="CU408">
        <v>0</v>
      </c>
      <c r="CV408">
        <v>0</v>
      </c>
      <c r="CW408">
        <v>0</v>
      </c>
      <c r="CX408">
        <v>39.4</v>
      </c>
      <c r="CY408">
        <v>25</v>
      </c>
      <c r="CZ408">
        <v>52.4</v>
      </c>
      <c r="DA408">
        <v>41.9</v>
      </c>
      <c r="DB408">
        <v>31.6</v>
      </c>
      <c r="DC408">
        <v>22.8</v>
      </c>
      <c r="DD408">
        <v>41</v>
      </c>
      <c r="DE408">
        <v>37.700000000000003</v>
      </c>
      <c r="DF408">
        <v>39.4</v>
      </c>
      <c r="DG408">
        <v>25</v>
      </c>
      <c r="DH408">
        <v>52.4</v>
      </c>
      <c r="DI408">
        <v>41.9</v>
      </c>
      <c r="DJ408">
        <v>31.6</v>
      </c>
      <c r="DK408">
        <v>22.8</v>
      </c>
      <c r="DL408">
        <v>41</v>
      </c>
      <c r="DM408">
        <v>37.700000000000003</v>
      </c>
      <c r="DN408">
        <v>0</v>
      </c>
      <c r="DO408">
        <v>0</v>
      </c>
      <c r="DP408">
        <v>0</v>
      </c>
      <c r="DQ408">
        <v>0</v>
      </c>
      <c r="DR408">
        <v>0</v>
      </c>
      <c r="DS408">
        <v>0</v>
      </c>
      <c r="DT408">
        <v>0</v>
      </c>
      <c r="DU408">
        <v>0</v>
      </c>
      <c r="DV408" t="s">
        <v>279</v>
      </c>
    </row>
    <row r="409" spans="1:126" x14ac:dyDescent="0.35">
      <c r="A409" t="s">
        <v>689</v>
      </c>
      <c r="B409">
        <v>230110</v>
      </c>
      <c r="C409" s="1">
        <v>44936</v>
      </c>
      <c r="D409" t="s">
        <v>690</v>
      </c>
      <c r="E409" t="s">
        <v>227</v>
      </c>
      <c r="F409" t="s">
        <v>185</v>
      </c>
      <c r="G409" t="s">
        <v>652</v>
      </c>
      <c r="H409">
        <v>35046</v>
      </c>
      <c r="I409" s="17">
        <v>972</v>
      </c>
      <c r="J409" s="17">
        <v>596</v>
      </c>
      <c r="K409">
        <v>339</v>
      </c>
      <c r="L409">
        <v>33401</v>
      </c>
      <c r="M409">
        <v>33805</v>
      </c>
      <c r="N409">
        <v>34712</v>
      </c>
      <c r="O409">
        <v>34740</v>
      </c>
      <c r="P409">
        <v>334</v>
      </c>
      <c r="Q409">
        <v>306</v>
      </c>
      <c r="R409">
        <v>35046</v>
      </c>
      <c r="S409">
        <v>972</v>
      </c>
      <c r="T409">
        <v>596</v>
      </c>
      <c r="U409">
        <v>339</v>
      </c>
      <c r="V409">
        <v>33401</v>
      </c>
      <c r="W409">
        <v>33805</v>
      </c>
      <c r="X409">
        <v>34712</v>
      </c>
      <c r="Y409">
        <v>34740</v>
      </c>
      <c r="Z409">
        <v>334</v>
      </c>
      <c r="AA409">
        <v>306</v>
      </c>
      <c r="AB409">
        <v>0</v>
      </c>
      <c r="AC409">
        <v>0</v>
      </c>
      <c r="AD409">
        <v>0</v>
      </c>
      <c r="AE409">
        <v>0</v>
      </c>
      <c r="AF409">
        <v>0</v>
      </c>
      <c r="AG409">
        <v>0</v>
      </c>
      <c r="AH409">
        <v>0</v>
      </c>
      <c r="AI409">
        <v>0</v>
      </c>
      <c r="AJ409">
        <v>0</v>
      </c>
      <c r="AK409">
        <v>0</v>
      </c>
      <c r="AL409">
        <v>1627</v>
      </c>
      <c r="AM409">
        <v>-192</v>
      </c>
      <c r="AN409">
        <v>-25</v>
      </c>
      <c r="AO409">
        <v>209</v>
      </c>
      <c r="AP409">
        <v>1508</v>
      </c>
      <c r="AQ409">
        <v>1443</v>
      </c>
      <c r="AR409">
        <v>1525</v>
      </c>
      <c r="AS409">
        <v>1627</v>
      </c>
      <c r="AT409">
        <v>102</v>
      </c>
      <c r="AU409">
        <v>0</v>
      </c>
      <c r="AV409">
        <v>100</v>
      </c>
      <c r="AW409">
        <v>2.8</v>
      </c>
      <c r="AX409">
        <v>1.7</v>
      </c>
      <c r="AY409">
        <v>1</v>
      </c>
      <c r="AZ409">
        <v>95.3</v>
      </c>
      <c r="BA409">
        <v>96.5</v>
      </c>
      <c r="BB409">
        <v>99</v>
      </c>
      <c r="BC409">
        <v>99.1</v>
      </c>
      <c r="BD409">
        <v>1</v>
      </c>
      <c r="BE409">
        <v>0.9</v>
      </c>
      <c r="BF409">
        <v>100</v>
      </c>
      <c r="BG409">
        <v>2.8</v>
      </c>
      <c r="BH409">
        <v>1.7</v>
      </c>
      <c r="BI409">
        <v>1</v>
      </c>
      <c r="BJ409">
        <v>95.3</v>
      </c>
      <c r="BK409">
        <v>96.5</v>
      </c>
      <c r="BL409">
        <v>99</v>
      </c>
      <c r="BM409">
        <v>99.1</v>
      </c>
      <c r="BN409">
        <v>1</v>
      </c>
      <c r="BO409">
        <v>0.9</v>
      </c>
      <c r="BP409">
        <v>0</v>
      </c>
      <c r="BQ409">
        <v>0</v>
      </c>
      <c r="BR409">
        <v>0</v>
      </c>
      <c r="BS409">
        <v>0</v>
      </c>
      <c r="BT409">
        <v>0</v>
      </c>
      <c r="BU409">
        <v>0</v>
      </c>
      <c r="BV409">
        <v>0</v>
      </c>
      <c r="BW409">
        <v>0</v>
      </c>
      <c r="BX409">
        <v>0</v>
      </c>
      <c r="BY409">
        <v>0</v>
      </c>
      <c r="BZ409">
        <v>53</v>
      </c>
      <c r="CA409">
        <v>6</v>
      </c>
      <c r="CB409">
        <v>6</v>
      </c>
      <c r="CC409">
        <v>3</v>
      </c>
      <c r="CD409">
        <v>26</v>
      </c>
      <c r="CE409">
        <v>31</v>
      </c>
      <c r="CF409">
        <v>34</v>
      </c>
      <c r="CG409">
        <v>38</v>
      </c>
      <c r="CH409">
        <v>53</v>
      </c>
      <c r="CI409">
        <v>6</v>
      </c>
      <c r="CJ409">
        <v>6</v>
      </c>
      <c r="CK409">
        <v>3</v>
      </c>
      <c r="CL409">
        <v>26</v>
      </c>
      <c r="CM409">
        <v>31</v>
      </c>
      <c r="CN409">
        <v>34</v>
      </c>
      <c r="CO409">
        <v>38</v>
      </c>
      <c r="CP409">
        <v>0</v>
      </c>
      <c r="CQ409">
        <v>0</v>
      </c>
      <c r="CR409">
        <v>0</v>
      </c>
      <c r="CS409">
        <v>0</v>
      </c>
      <c r="CT409">
        <v>0</v>
      </c>
      <c r="CU409">
        <v>0</v>
      </c>
      <c r="CV409">
        <v>0</v>
      </c>
      <c r="CW409">
        <v>0</v>
      </c>
      <c r="CX409">
        <v>71.099999999999994</v>
      </c>
      <c r="CY409">
        <v>45.9</v>
      </c>
      <c r="CZ409">
        <v>82.5</v>
      </c>
      <c r="DA409">
        <v>67.7</v>
      </c>
      <c r="DB409">
        <v>43.9</v>
      </c>
      <c r="DC409">
        <v>30.4</v>
      </c>
      <c r="DD409">
        <v>54.1</v>
      </c>
      <c r="DE409">
        <v>46.2</v>
      </c>
      <c r="DF409">
        <v>71.099999999999994</v>
      </c>
      <c r="DG409">
        <v>45.9</v>
      </c>
      <c r="DH409">
        <v>82.5</v>
      </c>
      <c r="DI409">
        <v>67.7</v>
      </c>
      <c r="DJ409">
        <v>43.9</v>
      </c>
      <c r="DK409">
        <v>30.4</v>
      </c>
      <c r="DL409">
        <v>54.1</v>
      </c>
      <c r="DM409">
        <v>46.2</v>
      </c>
      <c r="DN409">
        <v>0</v>
      </c>
      <c r="DO409">
        <v>0</v>
      </c>
      <c r="DP409">
        <v>0</v>
      </c>
      <c r="DQ409">
        <v>0</v>
      </c>
      <c r="DR409">
        <v>0</v>
      </c>
      <c r="DS409">
        <v>0</v>
      </c>
      <c r="DT409">
        <v>0</v>
      </c>
      <c r="DU409">
        <v>0</v>
      </c>
      <c r="DV409" t="s">
        <v>279</v>
      </c>
    </row>
    <row r="410" spans="1:126" x14ac:dyDescent="0.35">
      <c r="A410" t="s">
        <v>689</v>
      </c>
      <c r="B410">
        <v>230103</v>
      </c>
      <c r="C410" s="1">
        <v>44929</v>
      </c>
      <c r="D410" t="s">
        <v>690</v>
      </c>
      <c r="E410" t="s">
        <v>227</v>
      </c>
      <c r="F410" t="s">
        <v>185</v>
      </c>
      <c r="G410" t="s">
        <v>652</v>
      </c>
      <c r="H410">
        <v>33419</v>
      </c>
      <c r="I410" s="17">
        <v>1164</v>
      </c>
      <c r="J410" s="17">
        <v>621</v>
      </c>
      <c r="K410">
        <v>130</v>
      </c>
      <c r="L410">
        <v>31893</v>
      </c>
      <c r="M410">
        <v>32362</v>
      </c>
      <c r="N410">
        <v>33187</v>
      </c>
      <c r="O410">
        <v>33113</v>
      </c>
      <c r="P410">
        <v>232</v>
      </c>
      <c r="Q410">
        <v>306</v>
      </c>
      <c r="R410">
        <v>33419</v>
      </c>
      <c r="S410">
        <v>1164</v>
      </c>
      <c r="T410">
        <v>621</v>
      </c>
      <c r="U410">
        <v>130</v>
      </c>
      <c r="V410">
        <v>31893</v>
      </c>
      <c r="W410">
        <v>32362</v>
      </c>
      <c r="X410">
        <v>33187</v>
      </c>
      <c r="Y410">
        <v>33113</v>
      </c>
      <c r="Z410">
        <v>232</v>
      </c>
      <c r="AA410">
        <v>306</v>
      </c>
      <c r="AB410">
        <v>0</v>
      </c>
      <c r="AC410">
        <v>0</v>
      </c>
      <c r="AD410">
        <v>0</v>
      </c>
      <c r="AE410">
        <v>0</v>
      </c>
      <c r="AF410">
        <v>0</v>
      </c>
      <c r="AG410">
        <v>0</v>
      </c>
      <c r="AH410">
        <v>0</v>
      </c>
      <c r="AI410">
        <v>0</v>
      </c>
      <c r="AJ410">
        <v>0</v>
      </c>
      <c r="AK410">
        <v>0</v>
      </c>
      <c r="AL410">
        <v>-2644</v>
      </c>
      <c r="AM410">
        <v>-31</v>
      </c>
      <c r="AN410">
        <v>252</v>
      </c>
      <c r="AO410">
        <v>-351</v>
      </c>
      <c r="AP410">
        <v>-2296</v>
      </c>
      <c r="AQ410">
        <v>-2505</v>
      </c>
      <c r="AR410">
        <v>-2678</v>
      </c>
      <c r="AS410">
        <v>-2604</v>
      </c>
      <c r="AT410">
        <v>34</v>
      </c>
      <c r="AU410">
        <v>-40</v>
      </c>
      <c r="AV410">
        <v>100</v>
      </c>
      <c r="AW410">
        <v>3.5</v>
      </c>
      <c r="AX410">
        <v>1.9</v>
      </c>
      <c r="AY410">
        <v>0.4</v>
      </c>
      <c r="AZ410">
        <v>95.4</v>
      </c>
      <c r="BA410">
        <v>96.8</v>
      </c>
      <c r="BB410">
        <v>99.3</v>
      </c>
      <c r="BC410">
        <v>99.1</v>
      </c>
      <c r="BD410">
        <v>0.7</v>
      </c>
      <c r="BE410">
        <v>0.9</v>
      </c>
      <c r="BF410">
        <v>100</v>
      </c>
      <c r="BG410">
        <v>3.5</v>
      </c>
      <c r="BH410">
        <v>1.9</v>
      </c>
      <c r="BI410">
        <v>0.4</v>
      </c>
      <c r="BJ410">
        <v>95.4</v>
      </c>
      <c r="BK410">
        <v>96.8</v>
      </c>
      <c r="BL410">
        <v>99.3</v>
      </c>
      <c r="BM410">
        <v>99.1</v>
      </c>
      <c r="BN410">
        <v>0.7</v>
      </c>
      <c r="BO410">
        <v>0.9</v>
      </c>
      <c r="BP410">
        <v>0</v>
      </c>
      <c r="BQ410">
        <v>0</v>
      </c>
      <c r="BR410">
        <v>0</v>
      </c>
      <c r="BS410">
        <v>0</v>
      </c>
      <c r="BT410">
        <v>0</v>
      </c>
      <c r="BU410">
        <v>0</v>
      </c>
      <c r="BV410">
        <v>0</v>
      </c>
      <c r="BW410">
        <v>0</v>
      </c>
      <c r="BX410">
        <v>0</v>
      </c>
      <c r="BY410">
        <v>0</v>
      </c>
      <c r="BZ410">
        <v>54</v>
      </c>
      <c r="CA410">
        <v>7</v>
      </c>
      <c r="CB410">
        <v>6</v>
      </c>
      <c r="CC410">
        <v>2</v>
      </c>
      <c r="CD410">
        <v>26</v>
      </c>
      <c r="CE410">
        <v>30</v>
      </c>
      <c r="CF410">
        <v>34</v>
      </c>
      <c r="CG410">
        <v>37</v>
      </c>
      <c r="CH410">
        <v>54</v>
      </c>
      <c r="CI410">
        <v>7</v>
      </c>
      <c r="CJ410">
        <v>6</v>
      </c>
      <c r="CK410">
        <v>2</v>
      </c>
      <c r="CL410">
        <v>26</v>
      </c>
      <c r="CM410">
        <v>30</v>
      </c>
      <c r="CN410">
        <v>34</v>
      </c>
      <c r="CO410">
        <v>37</v>
      </c>
      <c r="CP410">
        <v>0</v>
      </c>
      <c r="CQ410">
        <v>0</v>
      </c>
      <c r="CR410">
        <v>0</v>
      </c>
      <c r="CS410">
        <v>0</v>
      </c>
      <c r="CT410">
        <v>0</v>
      </c>
      <c r="CU410">
        <v>0</v>
      </c>
      <c r="CV410">
        <v>0</v>
      </c>
      <c r="CW410">
        <v>0</v>
      </c>
      <c r="CX410">
        <v>72.7</v>
      </c>
      <c r="CY410">
        <v>45.6</v>
      </c>
      <c r="CZ410">
        <v>84.2</v>
      </c>
      <c r="DA410">
        <v>68.3</v>
      </c>
      <c r="DB410">
        <v>46</v>
      </c>
      <c r="DC410">
        <v>31.1</v>
      </c>
      <c r="DD410">
        <v>55.6</v>
      </c>
      <c r="DE410">
        <v>47.4</v>
      </c>
      <c r="DF410">
        <v>72.7</v>
      </c>
      <c r="DG410">
        <v>45.6</v>
      </c>
      <c r="DH410">
        <v>84.2</v>
      </c>
      <c r="DI410">
        <v>68.3</v>
      </c>
      <c r="DJ410">
        <v>46</v>
      </c>
      <c r="DK410">
        <v>31.1</v>
      </c>
      <c r="DL410">
        <v>55.6</v>
      </c>
      <c r="DM410">
        <v>47.4</v>
      </c>
      <c r="DN410">
        <v>0</v>
      </c>
      <c r="DO410">
        <v>0</v>
      </c>
      <c r="DP410">
        <v>0</v>
      </c>
      <c r="DQ410">
        <v>0</v>
      </c>
      <c r="DR410">
        <v>0</v>
      </c>
      <c r="DS410">
        <v>0</v>
      </c>
      <c r="DT410">
        <v>0</v>
      </c>
      <c r="DU410">
        <v>0</v>
      </c>
      <c r="DV410" t="s">
        <v>279</v>
      </c>
    </row>
    <row r="411" spans="1:126" x14ac:dyDescent="0.35">
      <c r="A411" t="s">
        <v>691</v>
      </c>
      <c r="B411">
        <v>230110</v>
      </c>
      <c r="C411" s="1">
        <v>44936</v>
      </c>
      <c r="D411" t="s">
        <v>692</v>
      </c>
      <c r="E411" t="s">
        <v>227</v>
      </c>
      <c r="F411" t="s">
        <v>185</v>
      </c>
      <c r="G411" t="s">
        <v>652</v>
      </c>
      <c r="H411">
        <v>25527</v>
      </c>
      <c r="I411" s="17">
        <v>494</v>
      </c>
      <c r="J411" s="17">
        <v>0</v>
      </c>
      <c r="K411">
        <v>500</v>
      </c>
      <c r="L411">
        <v>22846</v>
      </c>
      <c r="M411">
        <v>24496</v>
      </c>
      <c r="N411">
        <v>23840</v>
      </c>
      <c r="O411">
        <v>24996</v>
      </c>
      <c r="P411">
        <v>1687</v>
      </c>
      <c r="Q411">
        <v>531</v>
      </c>
      <c r="R411">
        <v>25527</v>
      </c>
      <c r="S411">
        <v>494</v>
      </c>
      <c r="T411">
        <v>0</v>
      </c>
      <c r="U411">
        <v>500</v>
      </c>
      <c r="V411">
        <v>22846</v>
      </c>
      <c r="W411">
        <v>24496</v>
      </c>
      <c r="X411">
        <v>23840</v>
      </c>
      <c r="Y411">
        <v>24996</v>
      </c>
      <c r="Z411">
        <v>1687</v>
      </c>
      <c r="AA411">
        <v>531</v>
      </c>
      <c r="AB411">
        <v>0</v>
      </c>
      <c r="AC411">
        <v>0</v>
      </c>
      <c r="AD411">
        <v>0</v>
      </c>
      <c r="AE411">
        <v>0</v>
      </c>
      <c r="AF411">
        <v>0</v>
      </c>
      <c r="AG411">
        <v>0</v>
      </c>
      <c r="AH411">
        <v>0</v>
      </c>
      <c r="AI411">
        <v>0</v>
      </c>
      <c r="AJ411">
        <v>0</v>
      </c>
      <c r="AK411">
        <v>0</v>
      </c>
      <c r="AL411">
        <v>98</v>
      </c>
      <c r="AM411">
        <v>150</v>
      </c>
      <c r="AN411">
        <v>-25</v>
      </c>
      <c r="AO411">
        <v>-26</v>
      </c>
      <c r="AP411">
        <v>-26</v>
      </c>
      <c r="AQ411">
        <v>149</v>
      </c>
      <c r="AR411">
        <v>98</v>
      </c>
      <c r="AS411">
        <v>98</v>
      </c>
      <c r="AT411">
        <v>0</v>
      </c>
      <c r="AU411">
        <v>0</v>
      </c>
      <c r="AV411">
        <v>100</v>
      </c>
      <c r="AW411">
        <v>1.9</v>
      </c>
      <c r="AX411">
        <v>0</v>
      </c>
      <c r="AY411">
        <v>2</v>
      </c>
      <c r="AZ411">
        <v>89.5</v>
      </c>
      <c r="BA411">
        <v>96</v>
      </c>
      <c r="BB411">
        <v>93.4</v>
      </c>
      <c r="BC411">
        <v>97.9</v>
      </c>
      <c r="BD411">
        <v>6.6</v>
      </c>
      <c r="BE411">
        <v>2.1</v>
      </c>
      <c r="BF411">
        <v>100</v>
      </c>
      <c r="BG411">
        <v>1.9</v>
      </c>
      <c r="BH411">
        <v>0</v>
      </c>
      <c r="BI411">
        <v>2</v>
      </c>
      <c r="BJ411">
        <v>89.5</v>
      </c>
      <c r="BK411">
        <v>96</v>
      </c>
      <c r="BL411">
        <v>93.4</v>
      </c>
      <c r="BM411">
        <v>97.9</v>
      </c>
      <c r="BN411">
        <v>6.6</v>
      </c>
      <c r="BO411">
        <v>2.1</v>
      </c>
      <c r="BP411">
        <v>0</v>
      </c>
      <c r="BQ411">
        <v>0</v>
      </c>
      <c r="BR411">
        <v>0</v>
      </c>
      <c r="BS411">
        <v>0</v>
      </c>
      <c r="BT411">
        <v>0</v>
      </c>
      <c r="BU411">
        <v>0</v>
      </c>
      <c r="BV411">
        <v>0</v>
      </c>
      <c r="BW411">
        <v>0</v>
      </c>
      <c r="BX411">
        <v>0</v>
      </c>
      <c r="BY411">
        <v>0</v>
      </c>
      <c r="BZ411">
        <v>51</v>
      </c>
      <c r="CA411">
        <v>2</v>
      </c>
      <c r="CB411">
        <v>0</v>
      </c>
      <c r="CC411">
        <v>2</v>
      </c>
      <c r="CD411">
        <v>41</v>
      </c>
      <c r="CE411">
        <v>37</v>
      </c>
      <c r="CF411">
        <v>44</v>
      </c>
      <c r="CG411">
        <v>39</v>
      </c>
      <c r="CH411">
        <v>51</v>
      </c>
      <c r="CI411">
        <v>2</v>
      </c>
      <c r="CJ411">
        <v>0</v>
      </c>
      <c r="CK411">
        <v>2</v>
      </c>
      <c r="CL411">
        <v>41</v>
      </c>
      <c r="CM411">
        <v>37</v>
      </c>
      <c r="CN411">
        <v>44</v>
      </c>
      <c r="CO411">
        <v>39</v>
      </c>
      <c r="CP411">
        <v>0</v>
      </c>
      <c r="CQ411">
        <v>0</v>
      </c>
      <c r="CR411">
        <v>0</v>
      </c>
      <c r="CS411">
        <v>0</v>
      </c>
      <c r="CT411">
        <v>0</v>
      </c>
      <c r="CU411">
        <v>0</v>
      </c>
      <c r="CV411">
        <v>0</v>
      </c>
      <c r="CW411">
        <v>0</v>
      </c>
      <c r="CX411">
        <v>30.3</v>
      </c>
      <c r="CY411">
        <v>54.1</v>
      </c>
      <c r="CZ411">
        <v>47.3</v>
      </c>
      <c r="DA411">
        <v>72.400000000000006</v>
      </c>
      <c r="DB411">
        <v>28.3</v>
      </c>
      <c r="DC411">
        <v>47.6</v>
      </c>
      <c r="DD411">
        <v>42.5</v>
      </c>
      <c r="DE411">
        <v>58.6</v>
      </c>
      <c r="DF411">
        <v>30.3</v>
      </c>
      <c r="DG411">
        <v>54.1</v>
      </c>
      <c r="DH411">
        <v>47.3</v>
      </c>
      <c r="DI411">
        <v>72.400000000000006</v>
      </c>
      <c r="DJ411">
        <v>28.3</v>
      </c>
      <c r="DK411">
        <v>47.6</v>
      </c>
      <c r="DL411">
        <v>42.5</v>
      </c>
      <c r="DM411">
        <v>58.6</v>
      </c>
      <c r="DN411">
        <v>0</v>
      </c>
      <c r="DO411">
        <v>0</v>
      </c>
      <c r="DP411">
        <v>0</v>
      </c>
      <c r="DQ411">
        <v>0</v>
      </c>
      <c r="DR411">
        <v>0</v>
      </c>
      <c r="DS411">
        <v>0</v>
      </c>
      <c r="DT411">
        <v>0</v>
      </c>
      <c r="DU411">
        <v>0</v>
      </c>
      <c r="DV411" t="s">
        <v>279</v>
      </c>
    </row>
    <row r="412" spans="1:126" x14ac:dyDescent="0.35">
      <c r="A412" t="s">
        <v>691</v>
      </c>
      <c r="B412">
        <v>230103</v>
      </c>
      <c r="C412" s="1">
        <v>44929</v>
      </c>
      <c r="D412" t="s">
        <v>692</v>
      </c>
      <c r="E412" t="s">
        <v>227</v>
      </c>
      <c r="F412" t="s">
        <v>185</v>
      </c>
      <c r="G412" t="s">
        <v>652</v>
      </c>
      <c r="H412">
        <v>25429</v>
      </c>
      <c r="I412" s="17">
        <v>344</v>
      </c>
      <c r="J412" s="17">
        <v>25</v>
      </c>
      <c r="K412">
        <v>526</v>
      </c>
      <c r="L412">
        <v>22872</v>
      </c>
      <c r="M412">
        <v>24347</v>
      </c>
      <c r="N412">
        <v>23742</v>
      </c>
      <c r="O412">
        <v>24898</v>
      </c>
      <c r="P412">
        <v>1687</v>
      </c>
      <c r="Q412">
        <v>531</v>
      </c>
      <c r="R412">
        <v>25429</v>
      </c>
      <c r="S412">
        <v>344</v>
      </c>
      <c r="T412">
        <v>25</v>
      </c>
      <c r="U412">
        <v>526</v>
      </c>
      <c r="V412">
        <v>22872</v>
      </c>
      <c r="W412">
        <v>24347</v>
      </c>
      <c r="X412">
        <v>23742</v>
      </c>
      <c r="Y412">
        <v>24898</v>
      </c>
      <c r="Z412">
        <v>1687</v>
      </c>
      <c r="AA412">
        <v>531</v>
      </c>
      <c r="AB412">
        <v>0</v>
      </c>
      <c r="AC412">
        <v>0</v>
      </c>
      <c r="AD412">
        <v>0</v>
      </c>
      <c r="AE412">
        <v>0</v>
      </c>
      <c r="AF412">
        <v>0</v>
      </c>
      <c r="AG412">
        <v>0</v>
      </c>
      <c r="AH412">
        <v>0</v>
      </c>
      <c r="AI412">
        <v>0</v>
      </c>
      <c r="AJ412">
        <v>0</v>
      </c>
      <c r="AK412">
        <v>0</v>
      </c>
      <c r="AL412">
        <v>-3548</v>
      </c>
      <c r="AM412">
        <v>-275</v>
      </c>
      <c r="AN412">
        <v>20</v>
      </c>
      <c r="AO412">
        <v>-168</v>
      </c>
      <c r="AP412">
        <v>-3127</v>
      </c>
      <c r="AQ412">
        <v>-3351</v>
      </c>
      <c r="AR412">
        <v>-3570</v>
      </c>
      <c r="AS412">
        <v>-3499</v>
      </c>
      <c r="AT412">
        <v>22</v>
      </c>
      <c r="AU412">
        <v>-49</v>
      </c>
      <c r="AV412">
        <v>100</v>
      </c>
      <c r="AW412">
        <v>1.4</v>
      </c>
      <c r="AX412">
        <v>0.1</v>
      </c>
      <c r="AY412">
        <v>2.1</v>
      </c>
      <c r="AZ412">
        <v>89.9</v>
      </c>
      <c r="BA412">
        <v>95.7</v>
      </c>
      <c r="BB412">
        <v>93.4</v>
      </c>
      <c r="BC412">
        <v>97.9</v>
      </c>
      <c r="BD412">
        <v>6.6</v>
      </c>
      <c r="BE412">
        <v>2.1</v>
      </c>
      <c r="BF412">
        <v>100</v>
      </c>
      <c r="BG412">
        <v>1.4</v>
      </c>
      <c r="BH412">
        <v>0.1</v>
      </c>
      <c r="BI412">
        <v>2.1</v>
      </c>
      <c r="BJ412">
        <v>89.9</v>
      </c>
      <c r="BK412">
        <v>95.7</v>
      </c>
      <c r="BL412">
        <v>93.4</v>
      </c>
      <c r="BM412">
        <v>97.9</v>
      </c>
      <c r="BN412">
        <v>6.6</v>
      </c>
      <c r="BO412">
        <v>2.1</v>
      </c>
      <c r="BP412">
        <v>0</v>
      </c>
      <c r="BQ412">
        <v>0</v>
      </c>
      <c r="BR412">
        <v>0</v>
      </c>
      <c r="BS412">
        <v>0</v>
      </c>
      <c r="BT412">
        <v>0</v>
      </c>
      <c r="BU412">
        <v>0</v>
      </c>
      <c r="BV412">
        <v>0</v>
      </c>
      <c r="BW412">
        <v>0</v>
      </c>
      <c r="BX412">
        <v>0</v>
      </c>
      <c r="BY412">
        <v>0</v>
      </c>
      <c r="BZ412">
        <v>52</v>
      </c>
      <c r="CA412">
        <v>2</v>
      </c>
      <c r="CB412">
        <v>1</v>
      </c>
      <c r="CC412">
        <v>2</v>
      </c>
      <c r="CD412">
        <v>41</v>
      </c>
      <c r="CE412">
        <v>37</v>
      </c>
      <c r="CF412">
        <v>44</v>
      </c>
      <c r="CG412">
        <v>39</v>
      </c>
      <c r="CH412">
        <v>52</v>
      </c>
      <c r="CI412">
        <v>2</v>
      </c>
      <c r="CJ412">
        <v>1</v>
      </c>
      <c r="CK412">
        <v>2</v>
      </c>
      <c r="CL412">
        <v>41</v>
      </c>
      <c r="CM412">
        <v>37</v>
      </c>
      <c r="CN412">
        <v>44</v>
      </c>
      <c r="CO412">
        <v>39</v>
      </c>
      <c r="CP412">
        <v>0</v>
      </c>
      <c r="CQ412">
        <v>0</v>
      </c>
      <c r="CR412">
        <v>0</v>
      </c>
      <c r="CS412">
        <v>0</v>
      </c>
      <c r="CT412">
        <v>0</v>
      </c>
      <c r="CU412">
        <v>0</v>
      </c>
      <c r="CV412">
        <v>0</v>
      </c>
      <c r="CW412">
        <v>0</v>
      </c>
      <c r="CX412">
        <v>31.2</v>
      </c>
      <c r="CY412">
        <v>53.7</v>
      </c>
      <c r="CZ412">
        <v>49</v>
      </c>
      <c r="DA412">
        <v>72.3</v>
      </c>
      <c r="DB412">
        <v>29.4</v>
      </c>
      <c r="DC412">
        <v>47.6</v>
      </c>
      <c r="DD412">
        <v>43.7</v>
      </c>
      <c r="DE412">
        <v>59</v>
      </c>
      <c r="DF412">
        <v>31.2</v>
      </c>
      <c r="DG412">
        <v>53.7</v>
      </c>
      <c r="DH412">
        <v>49</v>
      </c>
      <c r="DI412">
        <v>72.3</v>
      </c>
      <c r="DJ412">
        <v>29.4</v>
      </c>
      <c r="DK412">
        <v>47.6</v>
      </c>
      <c r="DL412">
        <v>43.7</v>
      </c>
      <c r="DM412">
        <v>59</v>
      </c>
      <c r="DN412">
        <v>0</v>
      </c>
      <c r="DO412">
        <v>0</v>
      </c>
      <c r="DP412">
        <v>0</v>
      </c>
      <c r="DQ412">
        <v>0</v>
      </c>
      <c r="DR412">
        <v>0</v>
      </c>
      <c r="DS412">
        <v>0</v>
      </c>
      <c r="DT412">
        <v>0</v>
      </c>
      <c r="DU412">
        <v>0</v>
      </c>
      <c r="DV412" t="s">
        <v>279</v>
      </c>
    </row>
    <row r="413" spans="1:126" x14ac:dyDescent="0.35">
      <c r="A413" t="s">
        <v>693</v>
      </c>
      <c r="B413">
        <v>230110</v>
      </c>
      <c r="C413" s="1">
        <v>44936</v>
      </c>
      <c r="D413" t="s">
        <v>694</v>
      </c>
      <c r="E413" t="s">
        <v>227</v>
      </c>
      <c r="F413" t="s">
        <v>185</v>
      </c>
      <c r="G413" t="s">
        <v>652</v>
      </c>
      <c r="H413">
        <v>1506</v>
      </c>
      <c r="I413" s="17">
        <v>0</v>
      </c>
      <c r="J413" s="17">
        <v>60</v>
      </c>
      <c r="K413">
        <v>82</v>
      </c>
      <c r="L413">
        <v>1405</v>
      </c>
      <c r="M413">
        <v>1317</v>
      </c>
      <c r="N413">
        <v>1487</v>
      </c>
      <c r="O413">
        <v>1459</v>
      </c>
      <c r="P413">
        <v>19</v>
      </c>
      <c r="Q413">
        <v>47</v>
      </c>
      <c r="R413">
        <v>1506</v>
      </c>
      <c r="S413">
        <v>0</v>
      </c>
      <c r="T413">
        <v>60</v>
      </c>
      <c r="U413">
        <v>82</v>
      </c>
      <c r="V413">
        <v>1405</v>
      </c>
      <c r="W413">
        <v>1317</v>
      </c>
      <c r="X413">
        <v>1487</v>
      </c>
      <c r="Y413">
        <v>1459</v>
      </c>
      <c r="Z413">
        <v>19</v>
      </c>
      <c r="AA413">
        <v>47</v>
      </c>
      <c r="AB413">
        <v>0</v>
      </c>
      <c r="AC413">
        <v>0</v>
      </c>
      <c r="AD413">
        <v>0</v>
      </c>
      <c r="AE413">
        <v>0</v>
      </c>
      <c r="AF413">
        <v>0</v>
      </c>
      <c r="AG413">
        <v>0</v>
      </c>
      <c r="AH413">
        <v>0</v>
      </c>
      <c r="AI413">
        <v>0</v>
      </c>
      <c r="AJ413">
        <v>0</v>
      </c>
      <c r="AK413">
        <v>0</v>
      </c>
      <c r="AV413">
        <v>100</v>
      </c>
      <c r="AW413">
        <v>0</v>
      </c>
      <c r="AX413">
        <v>4</v>
      </c>
      <c r="AY413">
        <v>5.4</v>
      </c>
      <c r="AZ413">
        <v>93.3</v>
      </c>
      <c r="BA413">
        <v>87.5</v>
      </c>
      <c r="BB413">
        <v>98.7</v>
      </c>
      <c r="BC413">
        <v>96.9</v>
      </c>
      <c r="BD413">
        <v>1.3</v>
      </c>
      <c r="BE413">
        <v>3.1</v>
      </c>
      <c r="BF413">
        <v>100</v>
      </c>
      <c r="BG413">
        <v>0</v>
      </c>
      <c r="BH413">
        <v>4</v>
      </c>
      <c r="BI413">
        <v>5.4</v>
      </c>
      <c r="BJ413">
        <v>93.3</v>
      </c>
      <c r="BK413">
        <v>87.5</v>
      </c>
      <c r="BL413">
        <v>98.7</v>
      </c>
      <c r="BM413">
        <v>96.9</v>
      </c>
      <c r="BN413">
        <v>1.3</v>
      </c>
      <c r="BO413">
        <v>3.1</v>
      </c>
      <c r="BP413">
        <v>0</v>
      </c>
      <c r="BQ413">
        <v>0</v>
      </c>
      <c r="BR413">
        <v>0</v>
      </c>
      <c r="BS413">
        <v>0</v>
      </c>
      <c r="BT413">
        <v>0</v>
      </c>
      <c r="BU413">
        <v>0</v>
      </c>
      <c r="BV413">
        <v>0</v>
      </c>
      <c r="BW413">
        <v>0</v>
      </c>
      <c r="BX413">
        <v>0</v>
      </c>
      <c r="BY413">
        <v>0</v>
      </c>
      <c r="BZ413">
        <v>22</v>
      </c>
      <c r="CA413">
        <v>0</v>
      </c>
      <c r="CB413">
        <v>1</v>
      </c>
      <c r="CC413">
        <v>1</v>
      </c>
      <c r="CD413">
        <v>10</v>
      </c>
      <c r="CE413">
        <v>15</v>
      </c>
      <c r="CF413">
        <v>11</v>
      </c>
      <c r="CG413">
        <v>16</v>
      </c>
      <c r="CH413">
        <v>22</v>
      </c>
      <c r="CI413">
        <v>0</v>
      </c>
      <c r="CJ413">
        <v>1</v>
      </c>
      <c r="CK413">
        <v>1</v>
      </c>
      <c r="CL413">
        <v>10</v>
      </c>
      <c r="CM413">
        <v>15</v>
      </c>
      <c r="CN413">
        <v>11</v>
      </c>
      <c r="CO413">
        <v>16</v>
      </c>
      <c r="CP413">
        <v>0</v>
      </c>
      <c r="CQ413">
        <v>0</v>
      </c>
      <c r="CR413">
        <v>0</v>
      </c>
      <c r="CS413">
        <v>0</v>
      </c>
      <c r="CT413">
        <v>0</v>
      </c>
      <c r="CU413">
        <v>0</v>
      </c>
      <c r="CV413">
        <v>0</v>
      </c>
      <c r="CW413">
        <v>0</v>
      </c>
      <c r="CX413">
        <v>56.8</v>
      </c>
      <c r="CY413">
        <v>41.6</v>
      </c>
      <c r="CZ413">
        <v>85.3</v>
      </c>
      <c r="DA413">
        <v>69.2</v>
      </c>
      <c r="DB413">
        <v>53.3</v>
      </c>
      <c r="DC413">
        <v>39.4</v>
      </c>
      <c r="DD413">
        <v>69.900000000000006</v>
      </c>
      <c r="DE413">
        <v>59.4</v>
      </c>
      <c r="DF413">
        <v>56.8</v>
      </c>
      <c r="DG413">
        <v>41.6</v>
      </c>
      <c r="DH413">
        <v>85.3</v>
      </c>
      <c r="DI413">
        <v>69.2</v>
      </c>
      <c r="DJ413">
        <v>53.3</v>
      </c>
      <c r="DK413">
        <v>39.4</v>
      </c>
      <c r="DL413">
        <v>69.900000000000006</v>
      </c>
      <c r="DM413">
        <v>59.4</v>
      </c>
      <c r="DN413">
        <v>0</v>
      </c>
      <c r="DO413">
        <v>0</v>
      </c>
      <c r="DP413">
        <v>0</v>
      </c>
      <c r="DQ413">
        <v>0</v>
      </c>
      <c r="DR413">
        <v>0</v>
      </c>
      <c r="DS413">
        <v>0</v>
      </c>
      <c r="DT413">
        <v>0</v>
      </c>
      <c r="DU413">
        <v>0</v>
      </c>
      <c r="DV413" t="s">
        <v>279</v>
      </c>
    </row>
    <row r="414" spans="1:126" x14ac:dyDescent="0.35">
      <c r="A414" t="s">
        <v>695</v>
      </c>
      <c r="B414">
        <v>230110</v>
      </c>
      <c r="C414" s="1">
        <v>44936</v>
      </c>
      <c r="D414" t="s">
        <v>696</v>
      </c>
      <c r="E414" t="s">
        <v>184</v>
      </c>
      <c r="F414" t="s">
        <v>185</v>
      </c>
      <c r="G414" t="s">
        <v>697</v>
      </c>
      <c r="H414">
        <v>25630</v>
      </c>
      <c r="I414" s="17">
        <v>1140</v>
      </c>
      <c r="J414" s="17">
        <v>0</v>
      </c>
      <c r="K414">
        <v>50</v>
      </c>
      <c r="L414">
        <v>24300</v>
      </c>
      <c r="M414">
        <v>25550</v>
      </c>
      <c r="N414">
        <v>25490</v>
      </c>
      <c r="O414">
        <v>25600</v>
      </c>
      <c r="P414">
        <v>140</v>
      </c>
      <c r="Q414">
        <v>30</v>
      </c>
      <c r="R414">
        <v>25630</v>
      </c>
      <c r="S414">
        <v>1140</v>
      </c>
      <c r="T414">
        <v>0</v>
      </c>
      <c r="U414">
        <v>50</v>
      </c>
      <c r="V414">
        <v>24300</v>
      </c>
      <c r="W414">
        <v>25550</v>
      </c>
      <c r="X414">
        <v>25490</v>
      </c>
      <c r="Y414">
        <v>25600</v>
      </c>
      <c r="Z414">
        <v>140</v>
      </c>
      <c r="AA414">
        <v>30</v>
      </c>
      <c r="AB414">
        <v>0</v>
      </c>
      <c r="AC414">
        <v>0</v>
      </c>
      <c r="AD414">
        <v>0</v>
      </c>
      <c r="AE414">
        <v>0</v>
      </c>
      <c r="AF414">
        <v>0</v>
      </c>
      <c r="AG414">
        <v>0</v>
      </c>
      <c r="AH414">
        <v>0</v>
      </c>
      <c r="AI414">
        <v>0</v>
      </c>
      <c r="AJ414">
        <v>0</v>
      </c>
      <c r="AK414">
        <v>0</v>
      </c>
      <c r="AL414">
        <v>5905</v>
      </c>
      <c r="AM414">
        <v>240</v>
      </c>
      <c r="AN414">
        <v>0</v>
      </c>
      <c r="AO414">
        <v>0</v>
      </c>
      <c r="AP414">
        <v>5665</v>
      </c>
      <c r="AQ414">
        <v>5905</v>
      </c>
      <c r="AR414">
        <v>5905</v>
      </c>
      <c r="AS414">
        <v>5905</v>
      </c>
      <c r="AT414">
        <v>0</v>
      </c>
      <c r="AU414">
        <v>0</v>
      </c>
      <c r="AV414">
        <v>100</v>
      </c>
      <c r="AW414">
        <v>4.4000000000000004</v>
      </c>
      <c r="AX414">
        <v>0</v>
      </c>
      <c r="AY414">
        <v>0.2</v>
      </c>
      <c r="AZ414">
        <v>94.8</v>
      </c>
      <c r="BA414">
        <v>99.7</v>
      </c>
      <c r="BB414">
        <v>99.5</v>
      </c>
      <c r="BC414">
        <v>99.9</v>
      </c>
      <c r="BD414">
        <v>0.5</v>
      </c>
      <c r="BE414">
        <v>0.1</v>
      </c>
      <c r="BF414">
        <v>100</v>
      </c>
      <c r="BG414">
        <v>4.4000000000000004</v>
      </c>
      <c r="BH414">
        <v>0</v>
      </c>
      <c r="BI414">
        <v>0.2</v>
      </c>
      <c r="BJ414">
        <v>94.8</v>
      </c>
      <c r="BK414">
        <v>99.7</v>
      </c>
      <c r="BL414">
        <v>99.5</v>
      </c>
      <c r="BM414">
        <v>99.9</v>
      </c>
      <c r="BN414">
        <v>0.5</v>
      </c>
      <c r="BO414">
        <v>0.1</v>
      </c>
      <c r="BP414">
        <v>0</v>
      </c>
      <c r="BQ414">
        <v>0</v>
      </c>
      <c r="BR414">
        <v>0</v>
      </c>
      <c r="BS414">
        <v>0</v>
      </c>
      <c r="BT414">
        <v>0</v>
      </c>
      <c r="BU414">
        <v>0</v>
      </c>
      <c r="BV414">
        <v>0</v>
      </c>
      <c r="BW414">
        <v>0</v>
      </c>
      <c r="BX414">
        <v>0</v>
      </c>
      <c r="BY414">
        <v>0</v>
      </c>
      <c r="BZ414">
        <v>30</v>
      </c>
      <c r="CA414">
        <v>1</v>
      </c>
      <c r="CB414">
        <v>0</v>
      </c>
      <c r="CC414">
        <v>1</v>
      </c>
      <c r="CD414">
        <v>23</v>
      </c>
      <c r="CE414">
        <v>20</v>
      </c>
      <c r="CF414">
        <v>25</v>
      </c>
      <c r="CG414">
        <v>21</v>
      </c>
      <c r="CH414">
        <v>30</v>
      </c>
      <c r="CI414">
        <v>1</v>
      </c>
      <c r="CJ414">
        <v>0</v>
      </c>
      <c r="CK414">
        <v>1</v>
      </c>
      <c r="CL414">
        <v>23</v>
      </c>
      <c r="CM414">
        <v>20</v>
      </c>
      <c r="CN414">
        <v>25</v>
      </c>
      <c r="CO414">
        <v>21</v>
      </c>
      <c r="CP414">
        <v>0</v>
      </c>
      <c r="CQ414">
        <v>0</v>
      </c>
      <c r="CR414">
        <v>0</v>
      </c>
      <c r="CS414">
        <v>0</v>
      </c>
      <c r="CT414">
        <v>0</v>
      </c>
      <c r="CU414">
        <v>0</v>
      </c>
      <c r="CV414">
        <v>0</v>
      </c>
      <c r="CW414">
        <v>0</v>
      </c>
      <c r="CX414">
        <v>48</v>
      </c>
      <c r="CY414">
        <v>55.8</v>
      </c>
      <c r="CZ414">
        <v>72.900000000000006</v>
      </c>
      <c r="DA414">
        <v>82.9</v>
      </c>
      <c r="DB414">
        <v>37</v>
      </c>
      <c r="DC414">
        <v>48.4</v>
      </c>
      <c r="DD414">
        <v>53.5</v>
      </c>
      <c r="DE414">
        <v>54.1</v>
      </c>
      <c r="DF414">
        <v>48</v>
      </c>
      <c r="DG414">
        <v>55.8</v>
      </c>
      <c r="DH414">
        <v>72.900000000000006</v>
      </c>
      <c r="DI414">
        <v>82.9</v>
      </c>
      <c r="DJ414">
        <v>37</v>
      </c>
      <c r="DK414">
        <v>48.4</v>
      </c>
      <c r="DL414">
        <v>53.5</v>
      </c>
      <c r="DM414">
        <v>54.1</v>
      </c>
      <c r="DN414">
        <v>0</v>
      </c>
      <c r="DO414">
        <v>0</v>
      </c>
      <c r="DP414">
        <v>0</v>
      </c>
      <c r="DQ414">
        <v>0</v>
      </c>
      <c r="DR414">
        <v>0</v>
      </c>
      <c r="DS414">
        <v>0</v>
      </c>
      <c r="DT414">
        <v>0</v>
      </c>
      <c r="DU414">
        <v>0</v>
      </c>
      <c r="DV414" t="s">
        <v>698</v>
      </c>
    </row>
    <row r="415" spans="1:126" x14ac:dyDescent="0.35">
      <c r="A415" t="s">
        <v>695</v>
      </c>
      <c r="B415">
        <v>230103</v>
      </c>
      <c r="C415" s="1">
        <v>44929</v>
      </c>
      <c r="D415" t="s">
        <v>696</v>
      </c>
      <c r="E415" t="s">
        <v>184</v>
      </c>
      <c r="F415" t="s">
        <v>185</v>
      </c>
      <c r="G415" t="s">
        <v>697</v>
      </c>
      <c r="H415">
        <v>19725</v>
      </c>
      <c r="I415" s="17">
        <v>900</v>
      </c>
      <c r="J415" s="17">
        <v>0</v>
      </c>
      <c r="K415">
        <v>50</v>
      </c>
      <c r="L415">
        <v>18635</v>
      </c>
      <c r="M415">
        <v>19645</v>
      </c>
      <c r="N415">
        <v>19585</v>
      </c>
      <c r="O415">
        <v>19695</v>
      </c>
      <c r="P415">
        <v>140</v>
      </c>
      <c r="Q415">
        <v>30</v>
      </c>
      <c r="R415">
        <v>19725</v>
      </c>
      <c r="S415">
        <v>900</v>
      </c>
      <c r="T415">
        <v>0</v>
      </c>
      <c r="U415">
        <v>50</v>
      </c>
      <c r="V415">
        <v>18635</v>
      </c>
      <c r="W415">
        <v>19645</v>
      </c>
      <c r="X415">
        <v>19585</v>
      </c>
      <c r="Y415">
        <v>19695</v>
      </c>
      <c r="Z415">
        <v>140</v>
      </c>
      <c r="AA415">
        <v>30</v>
      </c>
      <c r="AB415">
        <v>0</v>
      </c>
      <c r="AC415">
        <v>0</v>
      </c>
      <c r="AD415">
        <v>0</v>
      </c>
      <c r="AE415">
        <v>0</v>
      </c>
      <c r="AF415">
        <v>0</v>
      </c>
      <c r="AG415">
        <v>0</v>
      </c>
      <c r="AH415">
        <v>0</v>
      </c>
      <c r="AI415">
        <v>0</v>
      </c>
      <c r="AJ415">
        <v>0</v>
      </c>
      <c r="AK415">
        <v>0</v>
      </c>
      <c r="AL415">
        <v>-6885</v>
      </c>
      <c r="AM415">
        <v>0</v>
      </c>
      <c r="AN415">
        <v>0</v>
      </c>
      <c r="AO415">
        <v>0</v>
      </c>
      <c r="AP415">
        <v>-5870</v>
      </c>
      <c r="AQ415">
        <v>-6870</v>
      </c>
      <c r="AR415">
        <v>-5870</v>
      </c>
      <c r="AS415">
        <v>-6870</v>
      </c>
      <c r="AT415">
        <v>-1015</v>
      </c>
      <c r="AU415">
        <v>-15</v>
      </c>
      <c r="AV415">
        <v>100</v>
      </c>
      <c r="AW415">
        <v>4.5999999999999996</v>
      </c>
      <c r="AX415">
        <v>0</v>
      </c>
      <c r="AY415">
        <v>0.3</v>
      </c>
      <c r="AZ415">
        <v>94.5</v>
      </c>
      <c r="BA415">
        <v>99.6</v>
      </c>
      <c r="BB415">
        <v>99.3</v>
      </c>
      <c r="BC415">
        <v>99.8</v>
      </c>
      <c r="BD415">
        <v>0.7</v>
      </c>
      <c r="BE415">
        <v>0.2</v>
      </c>
      <c r="BF415">
        <v>100</v>
      </c>
      <c r="BG415">
        <v>4.5999999999999996</v>
      </c>
      <c r="BH415">
        <v>0</v>
      </c>
      <c r="BI415">
        <v>0.3</v>
      </c>
      <c r="BJ415">
        <v>94.5</v>
      </c>
      <c r="BK415">
        <v>99.6</v>
      </c>
      <c r="BL415">
        <v>99.3</v>
      </c>
      <c r="BM415">
        <v>99.8</v>
      </c>
      <c r="BN415">
        <v>0.7</v>
      </c>
      <c r="BO415">
        <v>0.2</v>
      </c>
      <c r="BP415">
        <v>0</v>
      </c>
      <c r="BQ415">
        <v>0</v>
      </c>
      <c r="BR415">
        <v>0</v>
      </c>
      <c r="BS415">
        <v>0</v>
      </c>
      <c r="BT415">
        <v>0</v>
      </c>
      <c r="BU415">
        <v>0</v>
      </c>
      <c r="BV415">
        <v>0</v>
      </c>
      <c r="BW415">
        <v>0</v>
      </c>
      <c r="BX415">
        <v>0</v>
      </c>
      <c r="BY415">
        <v>0</v>
      </c>
      <c r="BZ415">
        <v>30</v>
      </c>
      <c r="CA415">
        <v>1</v>
      </c>
      <c r="CB415">
        <v>0</v>
      </c>
      <c r="CC415">
        <v>1</v>
      </c>
      <c r="CD415">
        <v>21</v>
      </c>
      <c r="CE415">
        <v>18</v>
      </c>
      <c r="CF415">
        <v>23</v>
      </c>
      <c r="CG415">
        <v>19</v>
      </c>
      <c r="CH415">
        <v>30</v>
      </c>
      <c r="CI415">
        <v>1</v>
      </c>
      <c r="CJ415">
        <v>0</v>
      </c>
      <c r="CK415">
        <v>1</v>
      </c>
      <c r="CL415">
        <v>21</v>
      </c>
      <c r="CM415">
        <v>18</v>
      </c>
      <c r="CN415">
        <v>23</v>
      </c>
      <c r="CO415">
        <v>19</v>
      </c>
      <c r="CP415">
        <v>0</v>
      </c>
      <c r="CQ415">
        <v>0</v>
      </c>
      <c r="CR415">
        <v>0</v>
      </c>
      <c r="CS415">
        <v>0</v>
      </c>
      <c r="CT415">
        <v>0</v>
      </c>
      <c r="CU415">
        <v>0</v>
      </c>
      <c r="CV415">
        <v>0</v>
      </c>
      <c r="CW415">
        <v>0</v>
      </c>
      <c r="CX415">
        <v>57</v>
      </c>
      <c r="CY415">
        <v>58.2</v>
      </c>
      <c r="CZ415">
        <v>77.5</v>
      </c>
      <c r="DA415">
        <v>86.1</v>
      </c>
      <c r="DB415">
        <v>49.9</v>
      </c>
      <c r="DC415">
        <v>51.1</v>
      </c>
      <c r="DD415">
        <v>63</v>
      </c>
      <c r="DE415">
        <v>62.3</v>
      </c>
      <c r="DF415">
        <v>57</v>
      </c>
      <c r="DG415">
        <v>58.2</v>
      </c>
      <c r="DH415">
        <v>77.5</v>
      </c>
      <c r="DI415">
        <v>86.1</v>
      </c>
      <c r="DJ415">
        <v>49.9</v>
      </c>
      <c r="DK415">
        <v>51.1</v>
      </c>
      <c r="DL415">
        <v>63</v>
      </c>
      <c r="DM415">
        <v>62.3</v>
      </c>
      <c r="DN415">
        <v>0</v>
      </c>
      <c r="DO415">
        <v>0</v>
      </c>
      <c r="DP415">
        <v>0</v>
      </c>
      <c r="DQ415">
        <v>0</v>
      </c>
      <c r="DR415">
        <v>0</v>
      </c>
      <c r="DS415">
        <v>0</v>
      </c>
      <c r="DT415">
        <v>0</v>
      </c>
      <c r="DU415">
        <v>0</v>
      </c>
      <c r="DV415" t="s">
        <v>698</v>
      </c>
    </row>
    <row r="416" spans="1:126" x14ac:dyDescent="0.35">
      <c r="A416" t="s">
        <v>699</v>
      </c>
      <c r="B416">
        <v>230110</v>
      </c>
      <c r="C416" s="1">
        <v>44936</v>
      </c>
      <c r="D416" t="s">
        <v>700</v>
      </c>
      <c r="E416" t="s">
        <v>701</v>
      </c>
      <c r="F416" t="s">
        <v>185</v>
      </c>
      <c r="G416" t="s">
        <v>697</v>
      </c>
      <c r="H416">
        <v>375908</v>
      </c>
      <c r="I416" s="17">
        <v>97592</v>
      </c>
      <c r="J416" s="17">
        <v>51689</v>
      </c>
      <c r="K416">
        <v>73359</v>
      </c>
      <c r="L416">
        <v>193976</v>
      </c>
      <c r="M416">
        <v>237990</v>
      </c>
      <c r="N416">
        <v>364927</v>
      </c>
      <c r="O416">
        <v>363038</v>
      </c>
      <c r="P416">
        <v>10981</v>
      </c>
      <c r="Q416">
        <v>12870</v>
      </c>
      <c r="R416">
        <v>375908</v>
      </c>
      <c r="S416">
        <v>97592</v>
      </c>
      <c r="T416">
        <v>51689</v>
      </c>
      <c r="U416">
        <v>73359</v>
      </c>
      <c r="V416">
        <v>193976</v>
      </c>
      <c r="W416">
        <v>237990</v>
      </c>
      <c r="X416">
        <v>364927</v>
      </c>
      <c r="Y416">
        <v>363038</v>
      </c>
      <c r="Z416">
        <v>10981</v>
      </c>
      <c r="AA416">
        <v>12870</v>
      </c>
      <c r="AB416">
        <v>0</v>
      </c>
      <c r="AC416">
        <v>0</v>
      </c>
      <c r="AD416">
        <v>0</v>
      </c>
      <c r="AE416">
        <v>0</v>
      </c>
      <c r="AF416">
        <v>0</v>
      </c>
      <c r="AG416">
        <v>0</v>
      </c>
      <c r="AH416">
        <v>0</v>
      </c>
      <c r="AI416">
        <v>0</v>
      </c>
      <c r="AJ416">
        <v>0</v>
      </c>
      <c r="AK416">
        <v>0</v>
      </c>
      <c r="AL416">
        <v>12630</v>
      </c>
      <c r="AM416">
        <v>3076</v>
      </c>
      <c r="AN416">
        <v>622</v>
      </c>
      <c r="AO416">
        <v>5455</v>
      </c>
      <c r="AP416">
        <v>3889</v>
      </c>
      <c r="AQ416">
        <v>6796</v>
      </c>
      <c r="AR416">
        <v>12420</v>
      </c>
      <c r="AS416">
        <v>12873</v>
      </c>
      <c r="AT416">
        <v>210</v>
      </c>
      <c r="AU416">
        <v>-243</v>
      </c>
      <c r="AV416">
        <v>100</v>
      </c>
      <c r="AW416">
        <v>26</v>
      </c>
      <c r="AX416">
        <v>13.8</v>
      </c>
      <c r="AY416">
        <v>19.5</v>
      </c>
      <c r="AZ416">
        <v>51.6</v>
      </c>
      <c r="BA416">
        <v>63.3</v>
      </c>
      <c r="BB416">
        <v>97.1</v>
      </c>
      <c r="BC416">
        <v>96.6</v>
      </c>
      <c r="BD416">
        <v>2.9</v>
      </c>
      <c r="BE416">
        <v>3.4</v>
      </c>
      <c r="BF416">
        <v>100</v>
      </c>
      <c r="BG416">
        <v>26</v>
      </c>
      <c r="BH416">
        <v>13.8</v>
      </c>
      <c r="BI416">
        <v>19.5</v>
      </c>
      <c r="BJ416">
        <v>51.6</v>
      </c>
      <c r="BK416">
        <v>63.3</v>
      </c>
      <c r="BL416">
        <v>97.1</v>
      </c>
      <c r="BM416">
        <v>96.6</v>
      </c>
      <c r="BN416">
        <v>2.9</v>
      </c>
      <c r="BO416">
        <v>3.4</v>
      </c>
      <c r="BP416">
        <v>0</v>
      </c>
      <c r="BQ416">
        <v>0</v>
      </c>
      <c r="BR416">
        <v>0</v>
      </c>
      <c r="BS416">
        <v>0</v>
      </c>
      <c r="BT416">
        <v>0</v>
      </c>
      <c r="BU416">
        <v>0</v>
      </c>
      <c r="BV416">
        <v>0</v>
      </c>
      <c r="BW416">
        <v>0</v>
      </c>
      <c r="BX416">
        <v>0</v>
      </c>
      <c r="BY416">
        <v>0</v>
      </c>
      <c r="BZ416">
        <v>100</v>
      </c>
      <c r="CA416">
        <v>20</v>
      </c>
      <c r="CB416">
        <v>24</v>
      </c>
      <c r="CC416">
        <v>37</v>
      </c>
      <c r="CD416">
        <v>50</v>
      </c>
      <c r="CE416">
        <v>52</v>
      </c>
      <c r="CF416">
        <v>92</v>
      </c>
      <c r="CG416">
        <v>92</v>
      </c>
      <c r="CH416">
        <v>100</v>
      </c>
      <c r="CI416">
        <v>20</v>
      </c>
      <c r="CJ416">
        <v>24</v>
      </c>
      <c r="CK416">
        <v>37</v>
      </c>
      <c r="CL416">
        <v>50</v>
      </c>
      <c r="CM416">
        <v>52</v>
      </c>
      <c r="CN416">
        <v>92</v>
      </c>
      <c r="CO416">
        <v>92</v>
      </c>
      <c r="CP416">
        <v>0</v>
      </c>
      <c r="CQ416">
        <v>0</v>
      </c>
      <c r="CR416">
        <v>0</v>
      </c>
      <c r="CS416">
        <v>0</v>
      </c>
      <c r="CT416">
        <v>0</v>
      </c>
      <c r="CU416">
        <v>0</v>
      </c>
      <c r="CV416">
        <v>0</v>
      </c>
      <c r="CW416">
        <v>0</v>
      </c>
      <c r="CX416">
        <v>45.2</v>
      </c>
      <c r="CY416">
        <v>27.6</v>
      </c>
      <c r="CZ416">
        <v>59.1</v>
      </c>
      <c r="DA416">
        <v>43.7</v>
      </c>
      <c r="DB416">
        <v>38.5</v>
      </c>
      <c r="DC416">
        <v>22.8</v>
      </c>
      <c r="DD416">
        <v>46.8</v>
      </c>
      <c r="DE416">
        <v>34.4</v>
      </c>
      <c r="DF416">
        <v>45.2</v>
      </c>
      <c r="DG416">
        <v>27.6</v>
      </c>
      <c r="DH416">
        <v>59.1</v>
      </c>
      <c r="DI416">
        <v>43.7</v>
      </c>
      <c r="DJ416">
        <v>38.5</v>
      </c>
      <c r="DK416">
        <v>22.8</v>
      </c>
      <c r="DL416">
        <v>46.8</v>
      </c>
      <c r="DM416">
        <v>34.4</v>
      </c>
      <c r="DN416">
        <v>0</v>
      </c>
      <c r="DO416">
        <v>0</v>
      </c>
      <c r="DP416">
        <v>0</v>
      </c>
      <c r="DQ416">
        <v>0</v>
      </c>
      <c r="DR416">
        <v>0</v>
      </c>
      <c r="DS416">
        <v>0</v>
      </c>
      <c r="DT416">
        <v>0</v>
      </c>
      <c r="DU416">
        <v>0</v>
      </c>
      <c r="DV416" t="s">
        <v>702</v>
      </c>
    </row>
    <row r="417" spans="1:126" x14ac:dyDescent="0.35">
      <c r="A417" t="s">
        <v>699</v>
      </c>
      <c r="B417">
        <v>230103</v>
      </c>
      <c r="C417" s="1">
        <v>44929</v>
      </c>
      <c r="D417" t="s">
        <v>700</v>
      </c>
      <c r="E417" t="s">
        <v>701</v>
      </c>
      <c r="F417" t="s">
        <v>185</v>
      </c>
      <c r="G417" t="s">
        <v>697</v>
      </c>
      <c r="H417">
        <v>363278</v>
      </c>
      <c r="I417" s="17">
        <v>94516</v>
      </c>
      <c r="J417" s="17">
        <v>51067</v>
      </c>
      <c r="K417">
        <v>67904</v>
      </c>
      <c r="L417">
        <v>190087</v>
      </c>
      <c r="M417">
        <v>231194</v>
      </c>
      <c r="N417">
        <v>352507</v>
      </c>
      <c r="O417">
        <v>350165</v>
      </c>
      <c r="P417">
        <v>10771</v>
      </c>
      <c r="Q417">
        <v>13113</v>
      </c>
      <c r="R417">
        <v>363278</v>
      </c>
      <c r="S417">
        <v>94516</v>
      </c>
      <c r="T417">
        <v>51067</v>
      </c>
      <c r="U417">
        <v>67904</v>
      </c>
      <c r="V417">
        <v>190087</v>
      </c>
      <c r="W417">
        <v>231194</v>
      </c>
      <c r="X417">
        <v>352507</v>
      </c>
      <c r="Y417">
        <v>350165</v>
      </c>
      <c r="Z417">
        <v>10771</v>
      </c>
      <c r="AA417">
        <v>13113</v>
      </c>
      <c r="AB417">
        <v>0</v>
      </c>
      <c r="AC417">
        <v>0</v>
      </c>
      <c r="AD417">
        <v>0</v>
      </c>
      <c r="AE417">
        <v>0</v>
      </c>
      <c r="AF417">
        <v>0</v>
      </c>
      <c r="AG417">
        <v>0</v>
      </c>
      <c r="AH417">
        <v>0</v>
      </c>
      <c r="AI417">
        <v>0</v>
      </c>
      <c r="AJ417">
        <v>0</v>
      </c>
      <c r="AK417">
        <v>0</v>
      </c>
      <c r="AL417">
        <v>-3544</v>
      </c>
      <c r="AM417">
        <v>-10393</v>
      </c>
      <c r="AN417">
        <v>3176</v>
      </c>
      <c r="AO417">
        <v>913</v>
      </c>
      <c r="AP417">
        <v>5573</v>
      </c>
      <c r="AQ417">
        <v>-7908</v>
      </c>
      <c r="AR417">
        <v>-3907</v>
      </c>
      <c r="AS417">
        <v>-3819</v>
      </c>
      <c r="AT417">
        <v>363</v>
      </c>
      <c r="AU417">
        <v>275</v>
      </c>
      <c r="AV417">
        <v>100</v>
      </c>
      <c r="AW417">
        <v>26</v>
      </c>
      <c r="AX417">
        <v>14.1</v>
      </c>
      <c r="AY417">
        <v>18.7</v>
      </c>
      <c r="AZ417">
        <v>52.3</v>
      </c>
      <c r="BA417">
        <v>63.6</v>
      </c>
      <c r="BB417">
        <v>97</v>
      </c>
      <c r="BC417">
        <v>96.4</v>
      </c>
      <c r="BD417">
        <v>3</v>
      </c>
      <c r="BE417">
        <v>3.6</v>
      </c>
      <c r="BF417">
        <v>100</v>
      </c>
      <c r="BG417">
        <v>26</v>
      </c>
      <c r="BH417">
        <v>14.1</v>
      </c>
      <c r="BI417">
        <v>18.7</v>
      </c>
      <c r="BJ417">
        <v>52.3</v>
      </c>
      <c r="BK417">
        <v>63.6</v>
      </c>
      <c r="BL417">
        <v>97</v>
      </c>
      <c r="BM417">
        <v>96.4</v>
      </c>
      <c r="BN417">
        <v>3</v>
      </c>
      <c r="BO417">
        <v>3.6</v>
      </c>
      <c r="BP417">
        <v>0</v>
      </c>
      <c r="BQ417">
        <v>0</v>
      </c>
      <c r="BR417">
        <v>0</v>
      </c>
      <c r="BS417">
        <v>0</v>
      </c>
      <c r="BT417">
        <v>0</v>
      </c>
      <c r="BU417">
        <v>0</v>
      </c>
      <c r="BV417">
        <v>0</v>
      </c>
      <c r="BW417">
        <v>0</v>
      </c>
      <c r="BX417">
        <v>0</v>
      </c>
      <c r="BY417">
        <v>0</v>
      </c>
      <c r="BZ417">
        <v>100</v>
      </c>
      <c r="CA417">
        <v>18</v>
      </c>
      <c r="CB417">
        <v>27</v>
      </c>
      <c r="CC417">
        <v>31</v>
      </c>
      <c r="CD417">
        <v>48</v>
      </c>
      <c r="CE417">
        <v>50</v>
      </c>
      <c r="CF417">
        <v>88</v>
      </c>
      <c r="CG417">
        <v>87</v>
      </c>
      <c r="CH417">
        <v>100</v>
      </c>
      <c r="CI417">
        <v>18</v>
      </c>
      <c r="CJ417">
        <v>27</v>
      </c>
      <c r="CK417">
        <v>31</v>
      </c>
      <c r="CL417">
        <v>48</v>
      </c>
      <c r="CM417">
        <v>50</v>
      </c>
      <c r="CN417">
        <v>88</v>
      </c>
      <c r="CO417">
        <v>87</v>
      </c>
      <c r="CP417">
        <v>0</v>
      </c>
      <c r="CQ417">
        <v>0</v>
      </c>
      <c r="CR417">
        <v>0</v>
      </c>
      <c r="CS417">
        <v>0</v>
      </c>
      <c r="CT417">
        <v>0</v>
      </c>
      <c r="CU417">
        <v>0</v>
      </c>
      <c r="CV417">
        <v>0</v>
      </c>
      <c r="CW417">
        <v>0</v>
      </c>
      <c r="CX417">
        <v>45.7</v>
      </c>
      <c r="CY417">
        <v>27.1</v>
      </c>
      <c r="CZ417">
        <v>60.6</v>
      </c>
      <c r="DA417">
        <v>43.1</v>
      </c>
      <c r="DB417">
        <v>39.700000000000003</v>
      </c>
      <c r="DC417">
        <v>22.5</v>
      </c>
      <c r="DD417">
        <v>48.2</v>
      </c>
      <c r="DE417">
        <v>34.1</v>
      </c>
      <c r="DF417">
        <v>45.7</v>
      </c>
      <c r="DG417">
        <v>27.1</v>
      </c>
      <c r="DH417">
        <v>60.6</v>
      </c>
      <c r="DI417">
        <v>43.1</v>
      </c>
      <c r="DJ417">
        <v>39.700000000000003</v>
      </c>
      <c r="DK417">
        <v>22.5</v>
      </c>
      <c r="DL417">
        <v>48.2</v>
      </c>
      <c r="DM417">
        <v>34.1</v>
      </c>
      <c r="DN417">
        <v>0</v>
      </c>
      <c r="DO417">
        <v>0</v>
      </c>
      <c r="DP417">
        <v>0</v>
      </c>
      <c r="DQ417">
        <v>0</v>
      </c>
      <c r="DR417">
        <v>0</v>
      </c>
      <c r="DS417">
        <v>0</v>
      </c>
      <c r="DT417">
        <v>0</v>
      </c>
      <c r="DU417">
        <v>0</v>
      </c>
      <c r="DV417" t="s">
        <v>702</v>
      </c>
    </row>
    <row r="418" spans="1:126" x14ac:dyDescent="0.35">
      <c r="A418" t="s">
        <v>703</v>
      </c>
      <c r="B418">
        <v>230110</v>
      </c>
      <c r="C418" s="1">
        <v>44936</v>
      </c>
      <c r="D418" t="s">
        <v>704</v>
      </c>
      <c r="E418" t="s">
        <v>184</v>
      </c>
      <c r="F418" t="s">
        <v>185</v>
      </c>
      <c r="G418" t="s">
        <v>697</v>
      </c>
      <c r="H418">
        <v>21643</v>
      </c>
      <c r="I418" s="17">
        <v>0</v>
      </c>
      <c r="J418" s="17">
        <v>149</v>
      </c>
      <c r="K418">
        <v>0</v>
      </c>
      <c r="L418">
        <v>21568</v>
      </c>
      <c r="M418">
        <v>21344</v>
      </c>
      <c r="N418">
        <v>21568</v>
      </c>
      <c r="O418">
        <v>21493</v>
      </c>
      <c r="P418">
        <v>75</v>
      </c>
      <c r="Q418">
        <v>150</v>
      </c>
      <c r="R418">
        <v>21643</v>
      </c>
      <c r="S418">
        <v>0</v>
      </c>
      <c r="T418">
        <v>149</v>
      </c>
      <c r="U418">
        <v>0</v>
      </c>
      <c r="V418">
        <v>21568</v>
      </c>
      <c r="W418">
        <v>21344</v>
      </c>
      <c r="X418">
        <v>21568</v>
      </c>
      <c r="Y418">
        <v>21493</v>
      </c>
      <c r="Z418">
        <v>75</v>
      </c>
      <c r="AA418">
        <v>150</v>
      </c>
      <c r="AB418">
        <v>0</v>
      </c>
      <c r="AC418">
        <v>0</v>
      </c>
      <c r="AD418">
        <v>0</v>
      </c>
      <c r="AE418">
        <v>0</v>
      </c>
      <c r="AF418">
        <v>0</v>
      </c>
      <c r="AG418">
        <v>0</v>
      </c>
      <c r="AH418">
        <v>0</v>
      </c>
      <c r="AI418">
        <v>0</v>
      </c>
      <c r="AJ418">
        <v>0</v>
      </c>
      <c r="AK418">
        <v>0</v>
      </c>
      <c r="AL418">
        <v>803</v>
      </c>
      <c r="AM418">
        <v>0</v>
      </c>
      <c r="AN418">
        <v>-54</v>
      </c>
      <c r="AO418">
        <v>0</v>
      </c>
      <c r="AP418">
        <v>803</v>
      </c>
      <c r="AQ418">
        <v>857</v>
      </c>
      <c r="AR418">
        <v>803</v>
      </c>
      <c r="AS418">
        <v>803</v>
      </c>
      <c r="AT418">
        <v>0</v>
      </c>
      <c r="AU418">
        <v>0</v>
      </c>
      <c r="AV418">
        <v>100</v>
      </c>
      <c r="AW418">
        <v>0</v>
      </c>
      <c r="AX418">
        <v>0.7</v>
      </c>
      <c r="AY418">
        <v>0</v>
      </c>
      <c r="AZ418">
        <v>99.7</v>
      </c>
      <c r="BA418">
        <v>98.6</v>
      </c>
      <c r="BB418">
        <v>99.7</v>
      </c>
      <c r="BC418">
        <v>99.3</v>
      </c>
      <c r="BD418">
        <v>0.3</v>
      </c>
      <c r="BE418">
        <v>0.7</v>
      </c>
      <c r="BF418">
        <v>100</v>
      </c>
      <c r="BG418">
        <v>0</v>
      </c>
      <c r="BH418">
        <v>0.7</v>
      </c>
      <c r="BI418">
        <v>0</v>
      </c>
      <c r="BJ418">
        <v>99.7</v>
      </c>
      <c r="BK418">
        <v>98.6</v>
      </c>
      <c r="BL418">
        <v>99.7</v>
      </c>
      <c r="BM418">
        <v>99.3</v>
      </c>
      <c r="BN418">
        <v>0.3</v>
      </c>
      <c r="BO418">
        <v>0.7</v>
      </c>
      <c r="BP418">
        <v>0</v>
      </c>
      <c r="BQ418">
        <v>0</v>
      </c>
      <c r="BR418">
        <v>0</v>
      </c>
      <c r="BS418">
        <v>0</v>
      </c>
      <c r="BT418">
        <v>0</v>
      </c>
      <c r="BU418">
        <v>0</v>
      </c>
      <c r="BV418">
        <v>0</v>
      </c>
      <c r="BW418">
        <v>0</v>
      </c>
      <c r="BX418">
        <v>0</v>
      </c>
      <c r="BY418">
        <v>0</v>
      </c>
      <c r="BZ418">
        <v>30</v>
      </c>
      <c r="CA418">
        <v>0</v>
      </c>
      <c r="CB418">
        <v>1</v>
      </c>
      <c r="CC418">
        <v>0</v>
      </c>
      <c r="CD418">
        <v>21</v>
      </c>
      <c r="CE418">
        <v>22</v>
      </c>
      <c r="CF418">
        <v>21</v>
      </c>
      <c r="CG418">
        <v>23</v>
      </c>
      <c r="CH418">
        <v>30</v>
      </c>
      <c r="CI418">
        <v>0</v>
      </c>
      <c r="CJ418">
        <v>1</v>
      </c>
      <c r="CK418">
        <v>0</v>
      </c>
      <c r="CL418">
        <v>21</v>
      </c>
      <c r="CM418">
        <v>22</v>
      </c>
      <c r="CN418">
        <v>21</v>
      </c>
      <c r="CO418">
        <v>23</v>
      </c>
      <c r="CP418">
        <v>0</v>
      </c>
      <c r="CQ418">
        <v>0</v>
      </c>
      <c r="CR418">
        <v>0</v>
      </c>
      <c r="CS418">
        <v>0</v>
      </c>
      <c r="CT418">
        <v>0</v>
      </c>
      <c r="CU418">
        <v>0</v>
      </c>
      <c r="CV418">
        <v>0</v>
      </c>
      <c r="CW418">
        <v>0</v>
      </c>
      <c r="CX418">
        <v>56.9</v>
      </c>
      <c r="CY418">
        <v>54.4</v>
      </c>
      <c r="CZ418">
        <v>83.8</v>
      </c>
      <c r="DA418">
        <v>75.599999999999994</v>
      </c>
      <c r="DB418">
        <v>36.4</v>
      </c>
      <c r="DC418">
        <v>39.700000000000003</v>
      </c>
      <c r="DD418">
        <v>47.5</v>
      </c>
      <c r="DE418">
        <v>48.2</v>
      </c>
      <c r="DF418">
        <v>56.9</v>
      </c>
      <c r="DG418">
        <v>54.4</v>
      </c>
      <c r="DH418">
        <v>83.8</v>
      </c>
      <c r="DI418">
        <v>75.599999999999994</v>
      </c>
      <c r="DJ418">
        <v>36.4</v>
      </c>
      <c r="DK418">
        <v>39.700000000000003</v>
      </c>
      <c r="DL418">
        <v>47.5</v>
      </c>
      <c r="DM418">
        <v>48.2</v>
      </c>
      <c r="DN418">
        <v>0</v>
      </c>
      <c r="DO418">
        <v>0</v>
      </c>
      <c r="DP418">
        <v>0</v>
      </c>
      <c r="DQ418">
        <v>0</v>
      </c>
      <c r="DR418">
        <v>0</v>
      </c>
      <c r="DS418">
        <v>0</v>
      </c>
      <c r="DT418">
        <v>0</v>
      </c>
      <c r="DU418">
        <v>0</v>
      </c>
      <c r="DV418" t="s">
        <v>705</v>
      </c>
    </row>
    <row r="419" spans="1:126" x14ac:dyDescent="0.35">
      <c r="A419" t="s">
        <v>703</v>
      </c>
      <c r="B419">
        <v>230103</v>
      </c>
      <c r="C419" s="1">
        <v>44929</v>
      </c>
      <c r="D419" t="s">
        <v>704</v>
      </c>
      <c r="E419" t="s">
        <v>184</v>
      </c>
      <c r="F419" t="s">
        <v>185</v>
      </c>
      <c r="G419" t="s">
        <v>697</v>
      </c>
      <c r="H419">
        <v>20840</v>
      </c>
      <c r="I419" s="17">
        <v>0</v>
      </c>
      <c r="J419" s="17">
        <v>203</v>
      </c>
      <c r="K419">
        <v>0</v>
      </c>
      <c r="L419">
        <v>20765</v>
      </c>
      <c r="M419">
        <v>20487</v>
      </c>
      <c r="N419">
        <v>20765</v>
      </c>
      <c r="O419">
        <v>20690</v>
      </c>
      <c r="P419">
        <v>75</v>
      </c>
      <c r="Q419">
        <v>150</v>
      </c>
      <c r="R419">
        <v>20840</v>
      </c>
      <c r="S419">
        <v>0</v>
      </c>
      <c r="T419">
        <v>203</v>
      </c>
      <c r="U419">
        <v>0</v>
      </c>
      <c r="V419">
        <v>20765</v>
      </c>
      <c r="W419">
        <v>20487</v>
      </c>
      <c r="X419">
        <v>20765</v>
      </c>
      <c r="Y419">
        <v>20690</v>
      </c>
      <c r="Z419">
        <v>75</v>
      </c>
      <c r="AA419">
        <v>150</v>
      </c>
      <c r="AB419">
        <v>0</v>
      </c>
      <c r="AC419">
        <v>0</v>
      </c>
      <c r="AD419">
        <v>0</v>
      </c>
      <c r="AE419">
        <v>0</v>
      </c>
      <c r="AF419">
        <v>0</v>
      </c>
      <c r="AG419">
        <v>0</v>
      </c>
      <c r="AH419">
        <v>0</v>
      </c>
      <c r="AI419">
        <v>0</v>
      </c>
      <c r="AJ419">
        <v>0</v>
      </c>
      <c r="AK419">
        <v>0</v>
      </c>
      <c r="AL419">
        <v>647</v>
      </c>
      <c r="AM419">
        <v>0</v>
      </c>
      <c r="AN419">
        <v>12</v>
      </c>
      <c r="AO419">
        <v>0</v>
      </c>
      <c r="AP419">
        <v>652</v>
      </c>
      <c r="AQ419">
        <v>620</v>
      </c>
      <c r="AR419">
        <v>652</v>
      </c>
      <c r="AS419">
        <v>632</v>
      </c>
      <c r="AT419">
        <v>-5</v>
      </c>
      <c r="AU419">
        <v>15</v>
      </c>
      <c r="AV419">
        <v>100</v>
      </c>
      <c r="AW419">
        <v>0</v>
      </c>
      <c r="AX419">
        <v>1</v>
      </c>
      <c r="AY419">
        <v>0</v>
      </c>
      <c r="AZ419">
        <v>99.6</v>
      </c>
      <c r="BA419">
        <v>98.3</v>
      </c>
      <c r="BB419">
        <v>99.6</v>
      </c>
      <c r="BC419">
        <v>99.3</v>
      </c>
      <c r="BD419">
        <v>0.4</v>
      </c>
      <c r="BE419">
        <v>0.7</v>
      </c>
      <c r="BF419">
        <v>100</v>
      </c>
      <c r="BG419">
        <v>0</v>
      </c>
      <c r="BH419">
        <v>1</v>
      </c>
      <c r="BI419">
        <v>0</v>
      </c>
      <c r="BJ419">
        <v>99.6</v>
      </c>
      <c r="BK419">
        <v>98.3</v>
      </c>
      <c r="BL419">
        <v>99.6</v>
      </c>
      <c r="BM419">
        <v>99.3</v>
      </c>
      <c r="BN419">
        <v>0.4</v>
      </c>
      <c r="BO419">
        <v>0.7</v>
      </c>
      <c r="BP419">
        <v>0</v>
      </c>
      <c r="BQ419">
        <v>0</v>
      </c>
      <c r="BR419">
        <v>0</v>
      </c>
      <c r="BS419">
        <v>0</v>
      </c>
      <c r="BT419">
        <v>0</v>
      </c>
      <c r="BU419">
        <v>0</v>
      </c>
      <c r="BV419">
        <v>0</v>
      </c>
      <c r="BW419">
        <v>0</v>
      </c>
      <c r="BX419">
        <v>0</v>
      </c>
      <c r="BY419">
        <v>0</v>
      </c>
      <c r="BZ419">
        <v>29</v>
      </c>
      <c r="CA419">
        <v>0</v>
      </c>
      <c r="CB419">
        <v>1</v>
      </c>
      <c r="CC419">
        <v>0</v>
      </c>
      <c r="CD419">
        <v>20</v>
      </c>
      <c r="CE419">
        <v>21</v>
      </c>
      <c r="CF419">
        <v>20</v>
      </c>
      <c r="CG419">
        <v>22</v>
      </c>
      <c r="CH419">
        <v>29</v>
      </c>
      <c r="CI419">
        <v>0</v>
      </c>
      <c r="CJ419">
        <v>1</v>
      </c>
      <c r="CK419">
        <v>0</v>
      </c>
      <c r="CL419">
        <v>20</v>
      </c>
      <c r="CM419">
        <v>21</v>
      </c>
      <c r="CN419">
        <v>20</v>
      </c>
      <c r="CO419">
        <v>22</v>
      </c>
      <c r="CP419">
        <v>0</v>
      </c>
      <c r="CQ419">
        <v>0</v>
      </c>
      <c r="CR419">
        <v>0</v>
      </c>
      <c r="CS419">
        <v>0</v>
      </c>
      <c r="CT419">
        <v>0</v>
      </c>
      <c r="CU419">
        <v>0</v>
      </c>
      <c r="CV419">
        <v>0</v>
      </c>
      <c r="CW419">
        <v>0</v>
      </c>
      <c r="CX419">
        <v>56.6</v>
      </c>
      <c r="CY419">
        <v>51.3</v>
      </c>
      <c r="CZ419">
        <v>84.2</v>
      </c>
      <c r="DA419">
        <v>74.2</v>
      </c>
      <c r="DB419">
        <v>37.1</v>
      </c>
      <c r="DC419">
        <v>38.799999999999997</v>
      </c>
      <c r="DD419">
        <v>47.5</v>
      </c>
      <c r="DE419">
        <v>49.8</v>
      </c>
      <c r="DF419">
        <v>56.6</v>
      </c>
      <c r="DG419">
        <v>51.3</v>
      </c>
      <c r="DH419">
        <v>84.2</v>
      </c>
      <c r="DI419">
        <v>74.2</v>
      </c>
      <c r="DJ419">
        <v>37.1</v>
      </c>
      <c r="DK419">
        <v>38.799999999999997</v>
      </c>
      <c r="DL419">
        <v>47.5</v>
      </c>
      <c r="DM419">
        <v>49.8</v>
      </c>
      <c r="DN419">
        <v>0</v>
      </c>
      <c r="DO419">
        <v>0</v>
      </c>
      <c r="DP419">
        <v>0</v>
      </c>
      <c r="DQ419">
        <v>0</v>
      </c>
      <c r="DR419">
        <v>0</v>
      </c>
      <c r="DS419">
        <v>0</v>
      </c>
      <c r="DT419">
        <v>0</v>
      </c>
      <c r="DU419">
        <v>0</v>
      </c>
      <c r="DV419" t="s">
        <v>705</v>
      </c>
    </row>
    <row r="420" spans="1:126" x14ac:dyDescent="0.35">
      <c r="A420" t="s">
        <v>706</v>
      </c>
      <c r="B420">
        <v>230110</v>
      </c>
      <c r="C420" s="1">
        <v>44936</v>
      </c>
      <c r="D420" t="s">
        <v>707</v>
      </c>
      <c r="E420" t="s">
        <v>184</v>
      </c>
      <c r="F420" t="s">
        <v>185</v>
      </c>
      <c r="G420" t="s">
        <v>697</v>
      </c>
      <c r="H420">
        <v>12517</v>
      </c>
      <c r="I420" s="17">
        <v>0</v>
      </c>
      <c r="J420" s="17">
        <v>0</v>
      </c>
      <c r="K420">
        <v>0</v>
      </c>
      <c r="L420">
        <v>12496</v>
      </c>
      <c r="M420">
        <v>12273</v>
      </c>
      <c r="N420">
        <v>12496</v>
      </c>
      <c r="O420">
        <v>12273</v>
      </c>
      <c r="P420">
        <v>21</v>
      </c>
      <c r="Q420">
        <v>244</v>
      </c>
      <c r="R420">
        <v>12517</v>
      </c>
      <c r="S420">
        <v>0</v>
      </c>
      <c r="T420">
        <v>0</v>
      </c>
      <c r="U420">
        <v>0</v>
      </c>
      <c r="V420">
        <v>12496</v>
      </c>
      <c r="W420">
        <v>12273</v>
      </c>
      <c r="X420">
        <v>12496</v>
      </c>
      <c r="Y420">
        <v>12273</v>
      </c>
      <c r="Z420">
        <v>21</v>
      </c>
      <c r="AA420">
        <v>244</v>
      </c>
      <c r="AB420">
        <v>0</v>
      </c>
      <c r="AC420">
        <v>0</v>
      </c>
      <c r="AD420">
        <v>0</v>
      </c>
      <c r="AE420">
        <v>0</v>
      </c>
      <c r="AF420">
        <v>0</v>
      </c>
      <c r="AG420">
        <v>0</v>
      </c>
      <c r="AH420">
        <v>0</v>
      </c>
      <c r="AI420">
        <v>0</v>
      </c>
      <c r="AJ420">
        <v>0</v>
      </c>
      <c r="AK420">
        <v>0</v>
      </c>
      <c r="AL420">
        <v>2090</v>
      </c>
      <c r="AM420">
        <v>0</v>
      </c>
      <c r="AN420">
        <v>0</v>
      </c>
      <c r="AO420">
        <v>0</v>
      </c>
      <c r="AP420">
        <v>2090</v>
      </c>
      <c r="AQ420">
        <v>2090</v>
      </c>
      <c r="AR420">
        <v>2090</v>
      </c>
      <c r="AS420">
        <v>2090</v>
      </c>
      <c r="AT420">
        <v>0</v>
      </c>
      <c r="AU420">
        <v>0</v>
      </c>
      <c r="AV420">
        <v>100</v>
      </c>
      <c r="AW420">
        <v>0</v>
      </c>
      <c r="AX420">
        <v>0</v>
      </c>
      <c r="AY420">
        <v>0</v>
      </c>
      <c r="AZ420">
        <v>99.8</v>
      </c>
      <c r="BA420">
        <v>98.1</v>
      </c>
      <c r="BB420">
        <v>99.8</v>
      </c>
      <c r="BC420">
        <v>98.1</v>
      </c>
      <c r="BD420">
        <v>0.2</v>
      </c>
      <c r="BE420">
        <v>1.9</v>
      </c>
      <c r="BF420">
        <v>100</v>
      </c>
      <c r="BG420">
        <v>0</v>
      </c>
      <c r="BH420">
        <v>0</v>
      </c>
      <c r="BI420">
        <v>0</v>
      </c>
      <c r="BJ420">
        <v>99.8</v>
      </c>
      <c r="BK420">
        <v>98.1</v>
      </c>
      <c r="BL420">
        <v>99.8</v>
      </c>
      <c r="BM420">
        <v>98.1</v>
      </c>
      <c r="BN420">
        <v>0.2</v>
      </c>
      <c r="BO420">
        <v>1.9</v>
      </c>
      <c r="BP420">
        <v>0</v>
      </c>
      <c r="BQ420">
        <v>0</v>
      </c>
      <c r="BR420">
        <v>0</v>
      </c>
      <c r="BS420">
        <v>0</v>
      </c>
      <c r="BT420">
        <v>0</v>
      </c>
      <c r="BU420">
        <v>0</v>
      </c>
      <c r="BV420">
        <v>0</v>
      </c>
      <c r="BW420">
        <v>0</v>
      </c>
      <c r="BX420">
        <v>0</v>
      </c>
      <c r="BY420">
        <v>0</v>
      </c>
      <c r="BZ420">
        <v>21</v>
      </c>
      <c r="CA420">
        <v>0</v>
      </c>
      <c r="CB420">
        <v>0</v>
      </c>
      <c r="CC420">
        <v>0</v>
      </c>
      <c r="CD420">
        <v>15</v>
      </c>
      <c r="CE420">
        <v>16</v>
      </c>
      <c r="CF420">
        <v>15</v>
      </c>
      <c r="CG420">
        <v>16</v>
      </c>
      <c r="CH420">
        <v>21</v>
      </c>
      <c r="CI420">
        <v>0</v>
      </c>
      <c r="CJ420">
        <v>0</v>
      </c>
      <c r="CK420">
        <v>0</v>
      </c>
      <c r="CL420">
        <v>15</v>
      </c>
      <c r="CM420">
        <v>16</v>
      </c>
      <c r="CN420">
        <v>15</v>
      </c>
      <c r="CO420">
        <v>16</v>
      </c>
      <c r="CP420">
        <v>0</v>
      </c>
      <c r="CQ420">
        <v>0</v>
      </c>
      <c r="CR420">
        <v>0</v>
      </c>
      <c r="CS420">
        <v>0</v>
      </c>
      <c r="CT420">
        <v>0</v>
      </c>
      <c r="CU420">
        <v>0</v>
      </c>
      <c r="CV420">
        <v>0</v>
      </c>
      <c r="CW420">
        <v>0</v>
      </c>
      <c r="CX420">
        <v>78.7</v>
      </c>
      <c r="CY420">
        <v>68.5</v>
      </c>
      <c r="CZ420">
        <v>94.3</v>
      </c>
      <c r="DA420">
        <v>85.7</v>
      </c>
      <c r="DB420">
        <v>72.900000000000006</v>
      </c>
      <c r="DC420">
        <v>67.900000000000006</v>
      </c>
      <c r="DD420">
        <v>84.5</v>
      </c>
      <c r="DE420">
        <v>79.599999999999994</v>
      </c>
      <c r="DF420">
        <v>78.7</v>
      </c>
      <c r="DG420">
        <v>68.5</v>
      </c>
      <c r="DH420">
        <v>94.3</v>
      </c>
      <c r="DI420">
        <v>85.7</v>
      </c>
      <c r="DJ420">
        <v>72.900000000000006</v>
      </c>
      <c r="DK420">
        <v>67.900000000000006</v>
      </c>
      <c r="DL420">
        <v>84.5</v>
      </c>
      <c r="DM420">
        <v>79.599999999999994</v>
      </c>
      <c r="DN420">
        <v>0</v>
      </c>
      <c r="DO420">
        <v>0</v>
      </c>
      <c r="DP420">
        <v>0</v>
      </c>
      <c r="DQ420">
        <v>0</v>
      </c>
      <c r="DR420">
        <v>0</v>
      </c>
      <c r="DS420">
        <v>0</v>
      </c>
      <c r="DT420">
        <v>0</v>
      </c>
      <c r="DU420">
        <v>0</v>
      </c>
      <c r="DV420" t="s">
        <v>705</v>
      </c>
    </row>
    <row r="421" spans="1:126" x14ac:dyDescent="0.35">
      <c r="A421" t="s">
        <v>706</v>
      </c>
      <c r="B421">
        <v>230103</v>
      </c>
      <c r="C421" s="1">
        <v>44929</v>
      </c>
      <c r="D421" t="s">
        <v>707</v>
      </c>
      <c r="E421" t="s">
        <v>184</v>
      </c>
      <c r="F421" t="s">
        <v>185</v>
      </c>
      <c r="G421" t="s">
        <v>697</v>
      </c>
      <c r="H421">
        <v>10427</v>
      </c>
      <c r="I421" s="17">
        <v>0</v>
      </c>
      <c r="J421" s="17">
        <v>0</v>
      </c>
      <c r="K421">
        <v>0</v>
      </c>
      <c r="L421">
        <v>10406</v>
      </c>
      <c r="M421">
        <v>10183</v>
      </c>
      <c r="N421">
        <v>10406</v>
      </c>
      <c r="O421">
        <v>10183</v>
      </c>
      <c r="P421">
        <v>21</v>
      </c>
      <c r="Q421">
        <v>244</v>
      </c>
      <c r="R421">
        <v>10427</v>
      </c>
      <c r="S421">
        <v>0</v>
      </c>
      <c r="T421">
        <v>0</v>
      </c>
      <c r="U421">
        <v>0</v>
      </c>
      <c r="V421">
        <v>10406</v>
      </c>
      <c r="W421">
        <v>10183</v>
      </c>
      <c r="X421">
        <v>10406</v>
      </c>
      <c r="Y421">
        <v>10183</v>
      </c>
      <c r="Z421">
        <v>21</v>
      </c>
      <c r="AA421">
        <v>244</v>
      </c>
      <c r="AB421">
        <v>0</v>
      </c>
      <c r="AC421">
        <v>0</v>
      </c>
      <c r="AD421">
        <v>0</v>
      </c>
      <c r="AE421">
        <v>0</v>
      </c>
      <c r="AF421">
        <v>0</v>
      </c>
      <c r="AG421">
        <v>0</v>
      </c>
      <c r="AH421">
        <v>0</v>
      </c>
      <c r="AI421">
        <v>0</v>
      </c>
      <c r="AJ421">
        <v>0</v>
      </c>
      <c r="AK421">
        <v>0</v>
      </c>
      <c r="AL421">
        <v>60</v>
      </c>
      <c r="AM421">
        <v>0</v>
      </c>
      <c r="AN421">
        <v>0</v>
      </c>
      <c r="AO421">
        <v>0</v>
      </c>
      <c r="AP421">
        <v>60</v>
      </c>
      <c r="AQ421">
        <v>60</v>
      </c>
      <c r="AR421">
        <v>60</v>
      </c>
      <c r="AS421">
        <v>60</v>
      </c>
      <c r="AT421">
        <v>0</v>
      </c>
      <c r="AU421">
        <v>0</v>
      </c>
      <c r="AV421">
        <v>100</v>
      </c>
      <c r="AW421">
        <v>0</v>
      </c>
      <c r="AX421">
        <v>0</v>
      </c>
      <c r="AY421">
        <v>0</v>
      </c>
      <c r="AZ421">
        <v>99.8</v>
      </c>
      <c r="BA421">
        <v>97.7</v>
      </c>
      <c r="BB421">
        <v>99.8</v>
      </c>
      <c r="BC421">
        <v>97.7</v>
      </c>
      <c r="BD421">
        <v>0.2</v>
      </c>
      <c r="BE421">
        <v>2.2999999999999998</v>
      </c>
      <c r="BF421">
        <v>100</v>
      </c>
      <c r="BG421">
        <v>0</v>
      </c>
      <c r="BH421">
        <v>0</v>
      </c>
      <c r="BI421">
        <v>0</v>
      </c>
      <c r="BJ421">
        <v>99.8</v>
      </c>
      <c r="BK421">
        <v>97.7</v>
      </c>
      <c r="BL421">
        <v>99.8</v>
      </c>
      <c r="BM421">
        <v>97.7</v>
      </c>
      <c r="BN421">
        <v>0.2</v>
      </c>
      <c r="BO421">
        <v>2.2999999999999998</v>
      </c>
      <c r="BP421">
        <v>0</v>
      </c>
      <c r="BQ421">
        <v>0</v>
      </c>
      <c r="BR421">
        <v>0</v>
      </c>
      <c r="BS421">
        <v>0</v>
      </c>
      <c r="BT421">
        <v>0</v>
      </c>
      <c r="BU421">
        <v>0</v>
      </c>
      <c r="BV421">
        <v>0</v>
      </c>
      <c r="BW421">
        <v>0</v>
      </c>
      <c r="BX421">
        <v>0</v>
      </c>
      <c r="BY421">
        <v>0</v>
      </c>
      <c r="BZ421">
        <v>20</v>
      </c>
      <c r="CA421">
        <v>0</v>
      </c>
      <c r="CB421">
        <v>0</v>
      </c>
      <c r="CC421">
        <v>0</v>
      </c>
      <c r="CD421">
        <v>14</v>
      </c>
      <c r="CE421">
        <v>15</v>
      </c>
      <c r="CF421">
        <v>14</v>
      </c>
      <c r="CG421">
        <v>15</v>
      </c>
      <c r="CH421">
        <v>20</v>
      </c>
      <c r="CI421">
        <v>0</v>
      </c>
      <c r="CJ421">
        <v>0</v>
      </c>
      <c r="CK421">
        <v>0</v>
      </c>
      <c r="CL421">
        <v>14</v>
      </c>
      <c r="CM421">
        <v>15</v>
      </c>
      <c r="CN421">
        <v>14</v>
      </c>
      <c r="CO421">
        <v>15</v>
      </c>
      <c r="CP421">
        <v>0</v>
      </c>
      <c r="CQ421">
        <v>0</v>
      </c>
      <c r="CR421">
        <v>0</v>
      </c>
      <c r="CS421">
        <v>0</v>
      </c>
      <c r="CT421">
        <v>0</v>
      </c>
      <c r="CU421">
        <v>0</v>
      </c>
      <c r="CV421">
        <v>0</v>
      </c>
      <c r="CW421">
        <v>0</v>
      </c>
      <c r="CX421">
        <v>79.7</v>
      </c>
      <c r="CY421">
        <v>68.400000000000006</v>
      </c>
      <c r="CZ421">
        <v>95.3</v>
      </c>
      <c r="DA421">
        <v>84.9</v>
      </c>
      <c r="DB421">
        <v>72.900000000000006</v>
      </c>
      <c r="DC421">
        <v>67.900000000000006</v>
      </c>
      <c r="DD421">
        <v>85.8</v>
      </c>
      <c r="DE421">
        <v>78.900000000000006</v>
      </c>
      <c r="DF421">
        <v>79.7</v>
      </c>
      <c r="DG421">
        <v>68.400000000000006</v>
      </c>
      <c r="DH421">
        <v>95.3</v>
      </c>
      <c r="DI421">
        <v>84.9</v>
      </c>
      <c r="DJ421">
        <v>72.900000000000006</v>
      </c>
      <c r="DK421">
        <v>67.900000000000006</v>
      </c>
      <c r="DL421">
        <v>85.8</v>
      </c>
      <c r="DM421">
        <v>78.900000000000006</v>
      </c>
      <c r="DN421">
        <v>0</v>
      </c>
      <c r="DO421">
        <v>0</v>
      </c>
      <c r="DP421">
        <v>0</v>
      </c>
      <c r="DQ421">
        <v>0</v>
      </c>
      <c r="DR421">
        <v>0</v>
      </c>
      <c r="DS421">
        <v>0</v>
      </c>
      <c r="DT421">
        <v>0</v>
      </c>
      <c r="DU421">
        <v>0</v>
      </c>
      <c r="DV421" t="s">
        <v>705</v>
      </c>
    </row>
    <row r="422" spans="1:126" x14ac:dyDescent="0.35">
      <c r="A422" t="s">
        <v>708</v>
      </c>
      <c r="B422">
        <v>230110</v>
      </c>
      <c r="C422" s="1">
        <v>44936</v>
      </c>
      <c r="D422" t="s">
        <v>709</v>
      </c>
      <c r="E422" t="s">
        <v>227</v>
      </c>
      <c r="F422" t="s">
        <v>185</v>
      </c>
      <c r="G422" t="s">
        <v>697</v>
      </c>
      <c r="H422">
        <v>1557092</v>
      </c>
      <c r="I422" s="17">
        <v>307170</v>
      </c>
      <c r="J422" s="17">
        <v>101934</v>
      </c>
      <c r="K422">
        <v>593747</v>
      </c>
      <c r="L422">
        <v>583480</v>
      </c>
      <c r="M422">
        <v>808982</v>
      </c>
      <c r="N422">
        <v>1484397</v>
      </c>
      <c r="O422">
        <v>1504663</v>
      </c>
      <c r="P422">
        <v>72695</v>
      </c>
      <c r="Q422">
        <v>52429</v>
      </c>
      <c r="R422">
        <v>1557092</v>
      </c>
      <c r="S422">
        <v>307170</v>
      </c>
      <c r="T422">
        <v>101934</v>
      </c>
      <c r="U422">
        <v>593747</v>
      </c>
      <c r="V422">
        <v>583480</v>
      </c>
      <c r="W422">
        <v>808982</v>
      </c>
      <c r="X422">
        <v>1484397</v>
      </c>
      <c r="Y422">
        <v>1504663</v>
      </c>
      <c r="Z422">
        <v>72695</v>
      </c>
      <c r="AA422">
        <v>52429</v>
      </c>
      <c r="AB422">
        <v>0</v>
      </c>
      <c r="AC422">
        <v>0</v>
      </c>
      <c r="AD422">
        <v>0</v>
      </c>
      <c r="AE422">
        <v>0</v>
      </c>
      <c r="AF422">
        <v>0</v>
      </c>
      <c r="AG422">
        <v>0</v>
      </c>
      <c r="AH422">
        <v>0</v>
      </c>
      <c r="AI422">
        <v>0</v>
      </c>
      <c r="AJ422">
        <v>0</v>
      </c>
      <c r="AK422">
        <v>0</v>
      </c>
      <c r="AL422">
        <v>97156</v>
      </c>
      <c r="AM422">
        <v>-16376</v>
      </c>
      <c r="AN422">
        <v>5995</v>
      </c>
      <c r="AO422">
        <v>60230</v>
      </c>
      <c r="AP422">
        <v>55707</v>
      </c>
      <c r="AQ422">
        <v>32169</v>
      </c>
      <c r="AR422">
        <v>99561</v>
      </c>
      <c r="AS422">
        <v>98394</v>
      </c>
      <c r="AT422">
        <v>-2405</v>
      </c>
      <c r="AU422">
        <v>-1238</v>
      </c>
      <c r="AV422">
        <v>100</v>
      </c>
      <c r="AW422">
        <v>19.7</v>
      </c>
      <c r="AX422">
        <v>6.5</v>
      </c>
      <c r="AY422">
        <v>38.1</v>
      </c>
      <c r="AZ422">
        <v>37.5</v>
      </c>
      <c r="BA422">
        <v>52</v>
      </c>
      <c r="BB422">
        <v>95.3</v>
      </c>
      <c r="BC422">
        <v>96.6</v>
      </c>
      <c r="BD422">
        <v>4.7</v>
      </c>
      <c r="BE422">
        <v>3.4</v>
      </c>
      <c r="BF422">
        <v>100</v>
      </c>
      <c r="BG422">
        <v>19.7</v>
      </c>
      <c r="BH422">
        <v>6.5</v>
      </c>
      <c r="BI422">
        <v>38.1</v>
      </c>
      <c r="BJ422">
        <v>37.5</v>
      </c>
      <c r="BK422">
        <v>52</v>
      </c>
      <c r="BL422">
        <v>95.3</v>
      </c>
      <c r="BM422">
        <v>96.6</v>
      </c>
      <c r="BN422">
        <v>4.7</v>
      </c>
      <c r="BO422">
        <v>3.4</v>
      </c>
      <c r="BP422">
        <v>0</v>
      </c>
      <c r="BQ422">
        <v>0</v>
      </c>
      <c r="BR422">
        <v>0</v>
      </c>
      <c r="BS422">
        <v>0</v>
      </c>
      <c r="BT422">
        <v>0</v>
      </c>
      <c r="BU422">
        <v>0</v>
      </c>
      <c r="BV422">
        <v>0</v>
      </c>
      <c r="BW422">
        <v>0</v>
      </c>
      <c r="BX422">
        <v>0</v>
      </c>
      <c r="BY422">
        <v>0</v>
      </c>
      <c r="BZ422">
        <v>347</v>
      </c>
      <c r="CA422">
        <v>150</v>
      </c>
      <c r="CB422">
        <v>66</v>
      </c>
      <c r="CC422">
        <v>138</v>
      </c>
      <c r="CD422">
        <v>97</v>
      </c>
      <c r="CE422">
        <v>108</v>
      </c>
      <c r="CF422">
        <v>308</v>
      </c>
      <c r="CG422">
        <v>265</v>
      </c>
      <c r="CH422">
        <v>347</v>
      </c>
      <c r="CI422">
        <v>150</v>
      </c>
      <c r="CJ422">
        <v>66</v>
      </c>
      <c r="CK422">
        <v>138</v>
      </c>
      <c r="CL422">
        <v>97</v>
      </c>
      <c r="CM422">
        <v>108</v>
      </c>
      <c r="CN422">
        <v>308</v>
      </c>
      <c r="CO422">
        <v>265</v>
      </c>
      <c r="CP422">
        <v>0</v>
      </c>
      <c r="CQ422">
        <v>0</v>
      </c>
      <c r="CR422">
        <v>0</v>
      </c>
      <c r="CS422">
        <v>0</v>
      </c>
      <c r="CT422">
        <v>0</v>
      </c>
      <c r="CU422">
        <v>0</v>
      </c>
      <c r="CV422">
        <v>0</v>
      </c>
      <c r="CW422">
        <v>0</v>
      </c>
      <c r="CX422">
        <v>21.2</v>
      </c>
      <c r="CY422">
        <v>23</v>
      </c>
      <c r="CZ422">
        <v>29.3</v>
      </c>
      <c r="DA422">
        <v>34.5</v>
      </c>
      <c r="DB422">
        <v>6.8</v>
      </c>
      <c r="DC422">
        <v>11.9</v>
      </c>
      <c r="DD422">
        <v>11.2</v>
      </c>
      <c r="DE422">
        <v>17.2</v>
      </c>
      <c r="DF422">
        <v>21.2</v>
      </c>
      <c r="DG422">
        <v>23</v>
      </c>
      <c r="DH422">
        <v>29.3</v>
      </c>
      <c r="DI422">
        <v>34.5</v>
      </c>
      <c r="DJ422">
        <v>6.8</v>
      </c>
      <c r="DK422">
        <v>11.9</v>
      </c>
      <c r="DL422">
        <v>11.2</v>
      </c>
      <c r="DM422">
        <v>17.2</v>
      </c>
      <c r="DN422">
        <v>0</v>
      </c>
      <c r="DO422">
        <v>0</v>
      </c>
      <c r="DP422">
        <v>0</v>
      </c>
      <c r="DQ422">
        <v>0</v>
      </c>
      <c r="DR422">
        <v>0</v>
      </c>
      <c r="DS422">
        <v>0</v>
      </c>
      <c r="DT422">
        <v>0</v>
      </c>
      <c r="DU422">
        <v>0</v>
      </c>
      <c r="DV422" t="s">
        <v>702</v>
      </c>
    </row>
    <row r="423" spans="1:126" x14ac:dyDescent="0.35">
      <c r="A423" t="s">
        <v>708</v>
      </c>
      <c r="B423">
        <v>230103</v>
      </c>
      <c r="C423" s="1">
        <v>44929</v>
      </c>
      <c r="D423" t="s">
        <v>709</v>
      </c>
      <c r="E423" t="s">
        <v>227</v>
      </c>
      <c r="F423" t="s">
        <v>185</v>
      </c>
      <c r="G423" t="s">
        <v>697</v>
      </c>
      <c r="H423">
        <v>1459936</v>
      </c>
      <c r="I423" s="17">
        <v>323546</v>
      </c>
      <c r="J423" s="17">
        <v>95939</v>
      </c>
      <c r="K423">
        <v>533517</v>
      </c>
      <c r="L423">
        <v>527773</v>
      </c>
      <c r="M423">
        <v>776813</v>
      </c>
      <c r="N423">
        <v>1384836</v>
      </c>
      <c r="O423">
        <v>1406269</v>
      </c>
      <c r="P423">
        <v>75100</v>
      </c>
      <c r="Q423">
        <v>53667</v>
      </c>
      <c r="R423">
        <v>1459936</v>
      </c>
      <c r="S423">
        <v>323546</v>
      </c>
      <c r="T423">
        <v>95939</v>
      </c>
      <c r="U423">
        <v>533517</v>
      </c>
      <c r="V423">
        <v>527773</v>
      </c>
      <c r="W423">
        <v>776813</v>
      </c>
      <c r="X423">
        <v>1384836</v>
      </c>
      <c r="Y423">
        <v>1406269</v>
      </c>
      <c r="Z423">
        <v>75100</v>
      </c>
      <c r="AA423">
        <v>53667</v>
      </c>
      <c r="AB423">
        <v>0</v>
      </c>
      <c r="AC423">
        <v>0</v>
      </c>
      <c r="AD423">
        <v>0</v>
      </c>
      <c r="AE423">
        <v>0</v>
      </c>
      <c r="AF423">
        <v>0</v>
      </c>
      <c r="AG423">
        <v>0</v>
      </c>
      <c r="AH423">
        <v>0</v>
      </c>
      <c r="AI423">
        <v>0</v>
      </c>
      <c r="AJ423">
        <v>0</v>
      </c>
      <c r="AK423">
        <v>0</v>
      </c>
      <c r="AL423">
        <v>46391</v>
      </c>
      <c r="AM423">
        <v>-1471</v>
      </c>
      <c r="AN423">
        <v>18540</v>
      </c>
      <c r="AO423">
        <v>15925</v>
      </c>
      <c r="AP423">
        <v>30522</v>
      </c>
      <c r="AQ423">
        <v>13008</v>
      </c>
      <c r="AR423">
        <v>44976</v>
      </c>
      <c r="AS423">
        <v>47473</v>
      </c>
      <c r="AT423">
        <v>1415</v>
      </c>
      <c r="AU423">
        <v>-1082</v>
      </c>
      <c r="AV423">
        <v>100</v>
      </c>
      <c r="AW423">
        <v>22.2</v>
      </c>
      <c r="AX423">
        <v>6.6</v>
      </c>
      <c r="AY423">
        <v>36.5</v>
      </c>
      <c r="AZ423">
        <v>36.200000000000003</v>
      </c>
      <c r="BA423">
        <v>53.2</v>
      </c>
      <c r="BB423">
        <v>94.9</v>
      </c>
      <c r="BC423">
        <v>96.3</v>
      </c>
      <c r="BD423">
        <v>5.0999999999999996</v>
      </c>
      <c r="BE423">
        <v>3.7</v>
      </c>
      <c r="BF423">
        <v>100</v>
      </c>
      <c r="BG423">
        <v>22.2</v>
      </c>
      <c r="BH423">
        <v>6.6</v>
      </c>
      <c r="BI423">
        <v>36.5</v>
      </c>
      <c r="BJ423">
        <v>36.200000000000003</v>
      </c>
      <c r="BK423">
        <v>53.2</v>
      </c>
      <c r="BL423">
        <v>94.9</v>
      </c>
      <c r="BM423">
        <v>96.3</v>
      </c>
      <c r="BN423">
        <v>5.0999999999999996</v>
      </c>
      <c r="BO423">
        <v>3.7</v>
      </c>
      <c r="BP423">
        <v>0</v>
      </c>
      <c r="BQ423">
        <v>0</v>
      </c>
      <c r="BR423">
        <v>0</v>
      </c>
      <c r="BS423">
        <v>0</v>
      </c>
      <c r="BT423">
        <v>0</v>
      </c>
      <c r="BU423">
        <v>0</v>
      </c>
      <c r="BV423">
        <v>0</v>
      </c>
      <c r="BW423">
        <v>0</v>
      </c>
      <c r="BX423">
        <v>0</v>
      </c>
      <c r="BY423">
        <v>0</v>
      </c>
      <c r="BZ423">
        <v>329</v>
      </c>
      <c r="CA423">
        <v>140</v>
      </c>
      <c r="CB423">
        <v>67</v>
      </c>
      <c r="CC423">
        <v>136</v>
      </c>
      <c r="CD423">
        <v>92</v>
      </c>
      <c r="CE423">
        <v>105</v>
      </c>
      <c r="CF423">
        <v>293</v>
      </c>
      <c r="CG423">
        <v>258</v>
      </c>
      <c r="CH423">
        <v>329</v>
      </c>
      <c r="CI423">
        <v>140</v>
      </c>
      <c r="CJ423">
        <v>67</v>
      </c>
      <c r="CK423">
        <v>136</v>
      </c>
      <c r="CL423">
        <v>92</v>
      </c>
      <c r="CM423">
        <v>105</v>
      </c>
      <c r="CN423">
        <v>293</v>
      </c>
      <c r="CO423">
        <v>258</v>
      </c>
      <c r="CP423">
        <v>0</v>
      </c>
      <c r="CQ423">
        <v>0</v>
      </c>
      <c r="CR423">
        <v>0</v>
      </c>
      <c r="CS423">
        <v>0</v>
      </c>
      <c r="CT423">
        <v>0</v>
      </c>
      <c r="CU423">
        <v>0</v>
      </c>
      <c r="CV423">
        <v>0</v>
      </c>
      <c r="CW423">
        <v>0</v>
      </c>
      <c r="CX423">
        <v>21.3</v>
      </c>
      <c r="CY423">
        <v>22.9</v>
      </c>
      <c r="CZ423">
        <v>29.1</v>
      </c>
      <c r="DA423">
        <v>34.4</v>
      </c>
      <c r="DB423">
        <v>8.1</v>
      </c>
      <c r="DC423">
        <v>13.3</v>
      </c>
      <c r="DD423">
        <v>12.6</v>
      </c>
      <c r="DE423">
        <v>18.8</v>
      </c>
      <c r="DF423">
        <v>21.3</v>
      </c>
      <c r="DG423">
        <v>22.9</v>
      </c>
      <c r="DH423">
        <v>29.1</v>
      </c>
      <c r="DI423">
        <v>34.4</v>
      </c>
      <c r="DJ423">
        <v>8.1</v>
      </c>
      <c r="DK423">
        <v>13.3</v>
      </c>
      <c r="DL423">
        <v>12.6</v>
      </c>
      <c r="DM423">
        <v>18.8</v>
      </c>
      <c r="DN423">
        <v>0</v>
      </c>
      <c r="DO423">
        <v>0</v>
      </c>
      <c r="DP423">
        <v>0</v>
      </c>
      <c r="DQ423">
        <v>0</v>
      </c>
      <c r="DR423">
        <v>0</v>
      </c>
      <c r="DS423">
        <v>0</v>
      </c>
      <c r="DT423">
        <v>0</v>
      </c>
      <c r="DU423">
        <v>0</v>
      </c>
      <c r="DV423" t="s">
        <v>702</v>
      </c>
    </row>
    <row r="424" spans="1:126" x14ac:dyDescent="0.35">
      <c r="A424" t="s">
        <v>710</v>
      </c>
      <c r="B424">
        <v>230110</v>
      </c>
      <c r="C424" s="1">
        <v>44936</v>
      </c>
      <c r="D424" t="s">
        <v>711</v>
      </c>
      <c r="E424" t="s">
        <v>227</v>
      </c>
      <c r="F424" t="s">
        <v>185</v>
      </c>
      <c r="G424" t="s">
        <v>697</v>
      </c>
      <c r="H424">
        <v>139987</v>
      </c>
      <c r="I424" s="17">
        <v>45094</v>
      </c>
      <c r="J424" s="17">
        <v>10831</v>
      </c>
      <c r="K424">
        <v>10847</v>
      </c>
      <c r="L424">
        <v>47426</v>
      </c>
      <c r="M424">
        <v>86368</v>
      </c>
      <c r="N424">
        <v>103367</v>
      </c>
      <c r="O424">
        <v>108046</v>
      </c>
      <c r="P424">
        <v>36620</v>
      </c>
      <c r="Q424">
        <v>31941</v>
      </c>
      <c r="R424">
        <v>139987</v>
      </c>
      <c r="S424">
        <v>45094</v>
      </c>
      <c r="T424">
        <v>10831</v>
      </c>
      <c r="U424">
        <v>10847</v>
      </c>
      <c r="V424">
        <v>47426</v>
      </c>
      <c r="W424">
        <v>86368</v>
      </c>
      <c r="X424">
        <v>103367</v>
      </c>
      <c r="Y424">
        <v>108046</v>
      </c>
      <c r="Z424">
        <v>36620</v>
      </c>
      <c r="AA424">
        <v>31941</v>
      </c>
      <c r="AB424">
        <v>0</v>
      </c>
      <c r="AC424">
        <v>0</v>
      </c>
      <c r="AD424">
        <v>0</v>
      </c>
      <c r="AE424">
        <v>0</v>
      </c>
      <c r="AF424">
        <v>0</v>
      </c>
      <c r="AG424">
        <v>0</v>
      </c>
      <c r="AH424">
        <v>0</v>
      </c>
      <c r="AI424">
        <v>0</v>
      </c>
      <c r="AJ424">
        <v>0</v>
      </c>
      <c r="AK424">
        <v>0</v>
      </c>
      <c r="AL424">
        <v>8861</v>
      </c>
      <c r="AM424">
        <v>-1961</v>
      </c>
      <c r="AN424">
        <v>-117</v>
      </c>
      <c r="AO424">
        <v>3857</v>
      </c>
      <c r="AP424">
        <v>6581</v>
      </c>
      <c r="AQ424">
        <v>4110</v>
      </c>
      <c r="AR424">
        <v>8477</v>
      </c>
      <c r="AS424">
        <v>7850</v>
      </c>
      <c r="AT424">
        <v>384</v>
      </c>
      <c r="AU424">
        <v>1011</v>
      </c>
      <c r="AV424">
        <v>100</v>
      </c>
      <c r="AW424">
        <v>32.200000000000003</v>
      </c>
      <c r="AX424">
        <v>7.7</v>
      </c>
      <c r="AY424">
        <v>7.7</v>
      </c>
      <c r="AZ424">
        <v>33.9</v>
      </c>
      <c r="BA424">
        <v>61.7</v>
      </c>
      <c r="BB424">
        <v>73.8</v>
      </c>
      <c r="BC424">
        <v>77.2</v>
      </c>
      <c r="BD424">
        <v>26.2</v>
      </c>
      <c r="BE424">
        <v>22.8</v>
      </c>
      <c r="BF424">
        <v>100</v>
      </c>
      <c r="BG424">
        <v>32.200000000000003</v>
      </c>
      <c r="BH424">
        <v>7.7</v>
      </c>
      <c r="BI424">
        <v>7.7</v>
      </c>
      <c r="BJ424">
        <v>33.9</v>
      </c>
      <c r="BK424">
        <v>61.7</v>
      </c>
      <c r="BL424">
        <v>73.8</v>
      </c>
      <c r="BM424">
        <v>77.2</v>
      </c>
      <c r="BN424">
        <v>26.2</v>
      </c>
      <c r="BO424">
        <v>22.8</v>
      </c>
      <c r="BP424">
        <v>0</v>
      </c>
      <c r="BQ424">
        <v>0</v>
      </c>
      <c r="BR424">
        <v>0</v>
      </c>
      <c r="BS424">
        <v>0</v>
      </c>
      <c r="BT424">
        <v>0</v>
      </c>
      <c r="BU424">
        <v>0</v>
      </c>
      <c r="BV424">
        <v>0</v>
      </c>
      <c r="BW424">
        <v>0</v>
      </c>
      <c r="BX424">
        <v>0</v>
      </c>
      <c r="BY424">
        <v>0</v>
      </c>
      <c r="BZ424">
        <v>31</v>
      </c>
      <c r="CA424">
        <v>6</v>
      </c>
      <c r="CB424">
        <v>2</v>
      </c>
      <c r="CC424">
        <v>6</v>
      </c>
      <c r="CD424">
        <v>16</v>
      </c>
      <c r="CE424">
        <v>20</v>
      </c>
      <c r="CF424">
        <v>23</v>
      </c>
      <c r="CG424">
        <v>27</v>
      </c>
      <c r="CH424">
        <v>31</v>
      </c>
      <c r="CI424">
        <v>6</v>
      </c>
      <c r="CJ424">
        <v>2</v>
      </c>
      <c r="CK424">
        <v>6</v>
      </c>
      <c r="CL424">
        <v>16</v>
      </c>
      <c r="CM424">
        <v>20</v>
      </c>
      <c r="CN424">
        <v>23</v>
      </c>
      <c r="CO424">
        <v>27</v>
      </c>
      <c r="CP424">
        <v>0</v>
      </c>
      <c r="CQ424">
        <v>0</v>
      </c>
      <c r="CR424">
        <v>0</v>
      </c>
      <c r="CS424">
        <v>0</v>
      </c>
      <c r="CT424">
        <v>0</v>
      </c>
      <c r="CU424">
        <v>0</v>
      </c>
      <c r="CV424">
        <v>0</v>
      </c>
      <c r="CW424">
        <v>0</v>
      </c>
      <c r="CX424">
        <v>51.1</v>
      </c>
      <c r="CY424">
        <v>34.6</v>
      </c>
      <c r="CZ424">
        <v>61.3</v>
      </c>
      <c r="DA424">
        <v>55.3</v>
      </c>
      <c r="DB424">
        <v>44.6</v>
      </c>
      <c r="DC424">
        <v>34.5</v>
      </c>
      <c r="DD424">
        <v>51.9</v>
      </c>
      <c r="DE424">
        <v>52.5</v>
      </c>
      <c r="DF424">
        <v>51.1</v>
      </c>
      <c r="DG424">
        <v>34.6</v>
      </c>
      <c r="DH424">
        <v>61.3</v>
      </c>
      <c r="DI424">
        <v>55.3</v>
      </c>
      <c r="DJ424">
        <v>44.6</v>
      </c>
      <c r="DK424">
        <v>34.5</v>
      </c>
      <c r="DL424">
        <v>51.9</v>
      </c>
      <c r="DM424">
        <v>52.5</v>
      </c>
      <c r="DN424">
        <v>0</v>
      </c>
      <c r="DO424">
        <v>0</v>
      </c>
      <c r="DP424">
        <v>0</v>
      </c>
      <c r="DQ424">
        <v>0</v>
      </c>
      <c r="DR424">
        <v>0</v>
      </c>
      <c r="DS424">
        <v>0</v>
      </c>
      <c r="DT424">
        <v>0</v>
      </c>
      <c r="DU424">
        <v>0</v>
      </c>
      <c r="DV424" t="s">
        <v>702</v>
      </c>
    </row>
    <row r="425" spans="1:126" x14ac:dyDescent="0.35">
      <c r="A425" t="s">
        <v>710</v>
      </c>
      <c r="B425">
        <v>230103</v>
      </c>
      <c r="C425" s="1">
        <v>44929</v>
      </c>
      <c r="D425" t="s">
        <v>711</v>
      </c>
      <c r="E425" t="s">
        <v>227</v>
      </c>
      <c r="F425" t="s">
        <v>185</v>
      </c>
      <c r="G425" t="s">
        <v>697</v>
      </c>
      <c r="H425">
        <v>131126</v>
      </c>
      <c r="I425" s="17">
        <v>47055</v>
      </c>
      <c r="J425" s="17">
        <v>10948</v>
      </c>
      <c r="K425">
        <v>6990</v>
      </c>
      <c r="L425">
        <v>40845</v>
      </c>
      <c r="M425">
        <v>82258</v>
      </c>
      <c r="N425">
        <v>94890</v>
      </c>
      <c r="O425">
        <v>100196</v>
      </c>
      <c r="P425">
        <v>36236</v>
      </c>
      <c r="Q425">
        <v>30930</v>
      </c>
      <c r="R425">
        <v>131126</v>
      </c>
      <c r="S425">
        <v>47055</v>
      </c>
      <c r="T425">
        <v>10948</v>
      </c>
      <c r="U425">
        <v>6990</v>
      </c>
      <c r="V425">
        <v>40845</v>
      </c>
      <c r="W425">
        <v>82258</v>
      </c>
      <c r="X425">
        <v>94890</v>
      </c>
      <c r="Y425">
        <v>100196</v>
      </c>
      <c r="Z425">
        <v>36236</v>
      </c>
      <c r="AA425">
        <v>30930</v>
      </c>
      <c r="AB425">
        <v>0</v>
      </c>
      <c r="AC425">
        <v>0</v>
      </c>
      <c r="AD425">
        <v>0</v>
      </c>
      <c r="AE425">
        <v>0</v>
      </c>
      <c r="AF425">
        <v>0</v>
      </c>
      <c r="AG425">
        <v>0</v>
      </c>
      <c r="AH425">
        <v>0</v>
      </c>
      <c r="AI425">
        <v>0</v>
      </c>
      <c r="AJ425">
        <v>0</v>
      </c>
      <c r="AK425">
        <v>0</v>
      </c>
      <c r="AL425">
        <v>-16477</v>
      </c>
      <c r="AM425">
        <v>-6826</v>
      </c>
      <c r="AN425">
        <v>-6845</v>
      </c>
      <c r="AO425">
        <v>-1476</v>
      </c>
      <c r="AP425">
        <v>-13443</v>
      </c>
      <c r="AQ425">
        <v>-8168</v>
      </c>
      <c r="AR425">
        <v>-21745</v>
      </c>
      <c r="AS425">
        <v>-16489</v>
      </c>
      <c r="AT425">
        <v>5268</v>
      </c>
      <c r="AU425">
        <v>12</v>
      </c>
      <c r="AV425">
        <v>100</v>
      </c>
      <c r="AW425">
        <v>35.9</v>
      </c>
      <c r="AX425">
        <v>8.3000000000000007</v>
      </c>
      <c r="AY425">
        <v>5.3</v>
      </c>
      <c r="AZ425">
        <v>31.1</v>
      </c>
      <c r="BA425">
        <v>62.7</v>
      </c>
      <c r="BB425">
        <v>72.400000000000006</v>
      </c>
      <c r="BC425">
        <v>76.400000000000006</v>
      </c>
      <c r="BD425">
        <v>27.6</v>
      </c>
      <c r="BE425">
        <v>23.6</v>
      </c>
      <c r="BF425">
        <v>100</v>
      </c>
      <c r="BG425">
        <v>35.9</v>
      </c>
      <c r="BH425">
        <v>8.3000000000000007</v>
      </c>
      <c r="BI425">
        <v>5.3</v>
      </c>
      <c r="BJ425">
        <v>31.1</v>
      </c>
      <c r="BK425">
        <v>62.7</v>
      </c>
      <c r="BL425">
        <v>72.400000000000006</v>
      </c>
      <c r="BM425">
        <v>76.400000000000006</v>
      </c>
      <c r="BN425">
        <v>27.6</v>
      </c>
      <c r="BO425">
        <v>23.6</v>
      </c>
      <c r="BP425">
        <v>0</v>
      </c>
      <c r="BQ425">
        <v>0</v>
      </c>
      <c r="BR425">
        <v>0</v>
      </c>
      <c r="BS425">
        <v>0</v>
      </c>
      <c r="BT425">
        <v>0</v>
      </c>
      <c r="BU425">
        <v>0</v>
      </c>
      <c r="BV425">
        <v>0</v>
      </c>
      <c r="BW425">
        <v>0</v>
      </c>
      <c r="BX425">
        <v>0</v>
      </c>
      <c r="BY425">
        <v>0</v>
      </c>
      <c r="BZ425">
        <v>31</v>
      </c>
      <c r="CA425">
        <v>6</v>
      </c>
      <c r="CB425">
        <v>2</v>
      </c>
      <c r="CC425">
        <v>5</v>
      </c>
      <c r="CD425">
        <v>14</v>
      </c>
      <c r="CE425">
        <v>20</v>
      </c>
      <c r="CF425">
        <v>20</v>
      </c>
      <c r="CG425">
        <v>27</v>
      </c>
      <c r="CH425">
        <v>31</v>
      </c>
      <c r="CI425">
        <v>6</v>
      </c>
      <c r="CJ425">
        <v>2</v>
      </c>
      <c r="CK425">
        <v>5</v>
      </c>
      <c r="CL425">
        <v>14</v>
      </c>
      <c r="CM425">
        <v>20</v>
      </c>
      <c r="CN425">
        <v>20</v>
      </c>
      <c r="CO425">
        <v>27</v>
      </c>
      <c r="CP425">
        <v>0</v>
      </c>
      <c r="CQ425">
        <v>0</v>
      </c>
      <c r="CR425">
        <v>0</v>
      </c>
      <c r="CS425">
        <v>0</v>
      </c>
      <c r="CT425">
        <v>0</v>
      </c>
      <c r="CU425">
        <v>0</v>
      </c>
      <c r="CV425">
        <v>0</v>
      </c>
      <c r="CW425">
        <v>0</v>
      </c>
      <c r="CX425">
        <v>54.5</v>
      </c>
      <c r="CY425">
        <v>37</v>
      </c>
      <c r="CZ425">
        <v>63.6</v>
      </c>
      <c r="DA425">
        <v>58.9</v>
      </c>
      <c r="DB425">
        <v>48</v>
      </c>
      <c r="DC425">
        <v>37</v>
      </c>
      <c r="DD425">
        <v>55.8</v>
      </c>
      <c r="DE425">
        <v>56.1</v>
      </c>
      <c r="DF425">
        <v>54.5</v>
      </c>
      <c r="DG425">
        <v>37</v>
      </c>
      <c r="DH425">
        <v>63.6</v>
      </c>
      <c r="DI425">
        <v>58.9</v>
      </c>
      <c r="DJ425">
        <v>48</v>
      </c>
      <c r="DK425">
        <v>37</v>
      </c>
      <c r="DL425">
        <v>55.8</v>
      </c>
      <c r="DM425">
        <v>56.1</v>
      </c>
      <c r="DN425">
        <v>0</v>
      </c>
      <c r="DO425">
        <v>0</v>
      </c>
      <c r="DP425">
        <v>0</v>
      </c>
      <c r="DQ425">
        <v>0</v>
      </c>
      <c r="DR425">
        <v>0</v>
      </c>
      <c r="DS425">
        <v>0</v>
      </c>
      <c r="DT425">
        <v>0</v>
      </c>
      <c r="DU425">
        <v>0</v>
      </c>
      <c r="DV425" t="s">
        <v>702</v>
      </c>
    </row>
    <row r="426" spans="1:126" x14ac:dyDescent="0.35">
      <c r="A426" t="s">
        <v>712</v>
      </c>
      <c r="B426">
        <v>230110</v>
      </c>
      <c r="C426" s="1">
        <v>44936</v>
      </c>
      <c r="D426" t="s">
        <v>713</v>
      </c>
      <c r="E426" t="s">
        <v>227</v>
      </c>
      <c r="F426" t="s">
        <v>185</v>
      </c>
      <c r="G426" t="s">
        <v>697</v>
      </c>
      <c r="H426">
        <v>140391</v>
      </c>
      <c r="I426" s="17">
        <v>36422</v>
      </c>
      <c r="J426" s="17">
        <v>62631</v>
      </c>
      <c r="K426">
        <v>27318</v>
      </c>
      <c r="L426">
        <v>67246</v>
      </c>
      <c r="M426">
        <v>44783</v>
      </c>
      <c r="N426">
        <v>130986</v>
      </c>
      <c r="O426">
        <v>134732</v>
      </c>
      <c r="P426">
        <v>9405</v>
      </c>
      <c r="Q426">
        <v>5659</v>
      </c>
      <c r="R426">
        <v>140391</v>
      </c>
      <c r="S426">
        <v>36422</v>
      </c>
      <c r="T426">
        <v>62631</v>
      </c>
      <c r="U426">
        <v>27318</v>
      </c>
      <c r="V426">
        <v>67246</v>
      </c>
      <c r="W426">
        <v>44783</v>
      </c>
      <c r="X426">
        <v>130986</v>
      </c>
      <c r="Y426">
        <v>134732</v>
      </c>
      <c r="Z426">
        <v>9405</v>
      </c>
      <c r="AA426">
        <v>5659</v>
      </c>
      <c r="AB426">
        <v>0</v>
      </c>
      <c r="AC426">
        <v>0</v>
      </c>
      <c r="AD426">
        <v>0</v>
      </c>
      <c r="AE426">
        <v>0</v>
      </c>
      <c r="AF426">
        <v>0</v>
      </c>
      <c r="AG426">
        <v>0</v>
      </c>
      <c r="AH426">
        <v>0</v>
      </c>
      <c r="AI426">
        <v>0</v>
      </c>
      <c r="AJ426">
        <v>0</v>
      </c>
      <c r="AK426">
        <v>0</v>
      </c>
      <c r="AL426">
        <v>704</v>
      </c>
      <c r="AM426">
        <v>-3170</v>
      </c>
      <c r="AN426">
        <v>-3475</v>
      </c>
      <c r="AO426">
        <v>540</v>
      </c>
      <c r="AP426">
        <v>2727</v>
      </c>
      <c r="AQ426">
        <v>3345</v>
      </c>
      <c r="AR426">
        <v>97</v>
      </c>
      <c r="AS426">
        <v>410</v>
      </c>
      <c r="AT426">
        <v>607</v>
      </c>
      <c r="AU426">
        <v>294</v>
      </c>
      <c r="AV426">
        <v>100</v>
      </c>
      <c r="AW426">
        <v>25.9</v>
      </c>
      <c r="AX426">
        <v>44.6</v>
      </c>
      <c r="AY426">
        <v>19.5</v>
      </c>
      <c r="AZ426">
        <v>47.9</v>
      </c>
      <c r="BA426">
        <v>31.9</v>
      </c>
      <c r="BB426">
        <v>93.3</v>
      </c>
      <c r="BC426">
        <v>96</v>
      </c>
      <c r="BD426">
        <v>6.7</v>
      </c>
      <c r="BE426">
        <v>4</v>
      </c>
      <c r="BF426">
        <v>100</v>
      </c>
      <c r="BG426">
        <v>25.9</v>
      </c>
      <c r="BH426">
        <v>44.6</v>
      </c>
      <c r="BI426">
        <v>19.5</v>
      </c>
      <c r="BJ426">
        <v>47.9</v>
      </c>
      <c r="BK426">
        <v>31.9</v>
      </c>
      <c r="BL426">
        <v>93.3</v>
      </c>
      <c r="BM426">
        <v>96</v>
      </c>
      <c r="BN426">
        <v>6.7</v>
      </c>
      <c r="BO426">
        <v>4</v>
      </c>
      <c r="BP426">
        <v>0</v>
      </c>
      <c r="BQ426">
        <v>0</v>
      </c>
      <c r="BR426">
        <v>0</v>
      </c>
      <c r="BS426">
        <v>0</v>
      </c>
      <c r="BT426">
        <v>0</v>
      </c>
      <c r="BU426">
        <v>0</v>
      </c>
      <c r="BV426">
        <v>0</v>
      </c>
      <c r="BW426">
        <v>0</v>
      </c>
      <c r="BX426">
        <v>0</v>
      </c>
      <c r="BY426">
        <v>0</v>
      </c>
      <c r="BZ426">
        <v>43</v>
      </c>
      <c r="CA426">
        <v>15</v>
      </c>
      <c r="CB426">
        <v>8</v>
      </c>
      <c r="CC426">
        <v>18</v>
      </c>
      <c r="CD426">
        <v>16</v>
      </c>
      <c r="CE426">
        <v>16</v>
      </c>
      <c r="CF426">
        <v>38</v>
      </c>
      <c r="CG426">
        <v>35</v>
      </c>
      <c r="CH426">
        <v>43</v>
      </c>
      <c r="CI426">
        <v>15</v>
      </c>
      <c r="CJ426">
        <v>8</v>
      </c>
      <c r="CK426">
        <v>18</v>
      </c>
      <c r="CL426">
        <v>16</v>
      </c>
      <c r="CM426">
        <v>16</v>
      </c>
      <c r="CN426">
        <v>38</v>
      </c>
      <c r="CO426">
        <v>35</v>
      </c>
      <c r="CP426">
        <v>0</v>
      </c>
      <c r="CQ426">
        <v>0</v>
      </c>
      <c r="CR426">
        <v>0</v>
      </c>
      <c r="CS426">
        <v>0</v>
      </c>
      <c r="CT426">
        <v>0</v>
      </c>
      <c r="CU426">
        <v>0</v>
      </c>
      <c r="CV426">
        <v>0</v>
      </c>
      <c r="CW426">
        <v>0</v>
      </c>
      <c r="CX426">
        <v>35.299999999999997</v>
      </c>
      <c r="CY426">
        <v>64.900000000000006</v>
      </c>
      <c r="CZ426">
        <v>57.8</v>
      </c>
      <c r="DA426">
        <v>77.900000000000006</v>
      </c>
      <c r="DB426">
        <v>32.4</v>
      </c>
      <c r="DC426">
        <v>57.7</v>
      </c>
      <c r="DD426">
        <v>48.4</v>
      </c>
      <c r="DE426">
        <v>62.6</v>
      </c>
      <c r="DF426">
        <v>35.299999999999997</v>
      </c>
      <c r="DG426">
        <v>64.900000000000006</v>
      </c>
      <c r="DH426">
        <v>57.8</v>
      </c>
      <c r="DI426">
        <v>77.900000000000006</v>
      </c>
      <c r="DJ426">
        <v>32.4</v>
      </c>
      <c r="DK426">
        <v>57.7</v>
      </c>
      <c r="DL426">
        <v>48.4</v>
      </c>
      <c r="DM426">
        <v>62.6</v>
      </c>
      <c r="DN426">
        <v>0</v>
      </c>
      <c r="DO426">
        <v>0</v>
      </c>
      <c r="DP426">
        <v>0</v>
      </c>
      <c r="DQ426">
        <v>0</v>
      </c>
      <c r="DR426">
        <v>0</v>
      </c>
      <c r="DS426">
        <v>0</v>
      </c>
      <c r="DT426">
        <v>0</v>
      </c>
      <c r="DU426">
        <v>0</v>
      </c>
      <c r="DV426" t="s">
        <v>702</v>
      </c>
    </row>
    <row r="427" spans="1:126" x14ac:dyDescent="0.35">
      <c r="A427" t="s">
        <v>712</v>
      </c>
      <c r="B427">
        <v>230103</v>
      </c>
      <c r="C427" s="1">
        <v>44929</v>
      </c>
      <c r="D427" t="s">
        <v>713</v>
      </c>
      <c r="E427" t="s">
        <v>227</v>
      </c>
      <c r="F427" t="s">
        <v>185</v>
      </c>
      <c r="G427" t="s">
        <v>697</v>
      </c>
      <c r="H427">
        <v>139687</v>
      </c>
      <c r="I427" s="17">
        <v>39592</v>
      </c>
      <c r="J427" s="17">
        <v>66106</v>
      </c>
      <c r="K427">
        <v>26778</v>
      </c>
      <c r="L427">
        <v>64519</v>
      </c>
      <c r="M427">
        <v>41438</v>
      </c>
      <c r="N427">
        <v>130889</v>
      </c>
      <c r="O427">
        <v>134322</v>
      </c>
      <c r="P427">
        <v>8798</v>
      </c>
      <c r="Q427">
        <v>5365</v>
      </c>
      <c r="R427">
        <v>139687</v>
      </c>
      <c r="S427">
        <v>39592</v>
      </c>
      <c r="T427">
        <v>66106</v>
      </c>
      <c r="U427">
        <v>26778</v>
      </c>
      <c r="V427">
        <v>64519</v>
      </c>
      <c r="W427">
        <v>41438</v>
      </c>
      <c r="X427">
        <v>130889</v>
      </c>
      <c r="Y427">
        <v>134322</v>
      </c>
      <c r="Z427">
        <v>8798</v>
      </c>
      <c r="AA427">
        <v>5365</v>
      </c>
      <c r="AB427">
        <v>0</v>
      </c>
      <c r="AC427">
        <v>0</v>
      </c>
      <c r="AD427">
        <v>0</v>
      </c>
      <c r="AE427">
        <v>0</v>
      </c>
      <c r="AF427">
        <v>0</v>
      </c>
      <c r="AG427">
        <v>0</v>
      </c>
      <c r="AH427">
        <v>0</v>
      </c>
      <c r="AI427">
        <v>0</v>
      </c>
      <c r="AJ427">
        <v>0</v>
      </c>
      <c r="AK427">
        <v>0</v>
      </c>
      <c r="AL427">
        <v>-4128</v>
      </c>
      <c r="AM427">
        <v>1552</v>
      </c>
      <c r="AN427">
        <v>-2943</v>
      </c>
      <c r="AO427">
        <v>-1763</v>
      </c>
      <c r="AP427">
        <v>-3339</v>
      </c>
      <c r="AQ427">
        <v>1102</v>
      </c>
      <c r="AR427">
        <v>-3550</v>
      </c>
      <c r="AS427">
        <v>-3604</v>
      </c>
      <c r="AT427">
        <v>-578</v>
      </c>
      <c r="AU427">
        <v>-524</v>
      </c>
      <c r="AV427">
        <v>100</v>
      </c>
      <c r="AW427">
        <v>28.3</v>
      </c>
      <c r="AX427">
        <v>47.3</v>
      </c>
      <c r="AY427">
        <v>19.2</v>
      </c>
      <c r="AZ427">
        <v>46.2</v>
      </c>
      <c r="BA427">
        <v>29.7</v>
      </c>
      <c r="BB427">
        <v>93.7</v>
      </c>
      <c r="BC427">
        <v>96.2</v>
      </c>
      <c r="BD427">
        <v>6.3</v>
      </c>
      <c r="BE427">
        <v>3.8</v>
      </c>
      <c r="BF427">
        <v>100</v>
      </c>
      <c r="BG427">
        <v>28.3</v>
      </c>
      <c r="BH427">
        <v>47.3</v>
      </c>
      <c r="BI427">
        <v>19.2</v>
      </c>
      <c r="BJ427">
        <v>46.2</v>
      </c>
      <c r="BK427">
        <v>29.7</v>
      </c>
      <c r="BL427">
        <v>93.7</v>
      </c>
      <c r="BM427">
        <v>96.2</v>
      </c>
      <c r="BN427">
        <v>6.3</v>
      </c>
      <c r="BO427">
        <v>3.8</v>
      </c>
      <c r="BP427">
        <v>0</v>
      </c>
      <c r="BQ427">
        <v>0</v>
      </c>
      <c r="BR427">
        <v>0</v>
      </c>
      <c r="BS427">
        <v>0</v>
      </c>
      <c r="BT427">
        <v>0</v>
      </c>
      <c r="BU427">
        <v>0</v>
      </c>
      <c r="BV427">
        <v>0</v>
      </c>
      <c r="BW427">
        <v>0</v>
      </c>
      <c r="BX427">
        <v>0</v>
      </c>
      <c r="BY427">
        <v>0</v>
      </c>
      <c r="BZ427">
        <v>42</v>
      </c>
      <c r="CA427">
        <v>15</v>
      </c>
      <c r="CB427">
        <v>9</v>
      </c>
      <c r="CC427">
        <v>17</v>
      </c>
      <c r="CD427">
        <v>15</v>
      </c>
      <c r="CE427">
        <v>13</v>
      </c>
      <c r="CF427">
        <v>37</v>
      </c>
      <c r="CG427">
        <v>32</v>
      </c>
      <c r="CH427">
        <v>42</v>
      </c>
      <c r="CI427">
        <v>15</v>
      </c>
      <c r="CJ427">
        <v>9</v>
      </c>
      <c r="CK427">
        <v>17</v>
      </c>
      <c r="CL427">
        <v>15</v>
      </c>
      <c r="CM427">
        <v>13</v>
      </c>
      <c r="CN427">
        <v>37</v>
      </c>
      <c r="CO427">
        <v>32</v>
      </c>
      <c r="CP427">
        <v>0</v>
      </c>
      <c r="CQ427">
        <v>0</v>
      </c>
      <c r="CR427">
        <v>0</v>
      </c>
      <c r="CS427">
        <v>0</v>
      </c>
      <c r="CT427">
        <v>0</v>
      </c>
      <c r="CU427">
        <v>0</v>
      </c>
      <c r="CV427">
        <v>0</v>
      </c>
      <c r="CW427">
        <v>0</v>
      </c>
      <c r="CX427">
        <v>36.9</v>
      </c>
      <c r="CY427">
        <v>67.400000000000006</v>
      </c>
      <c r="CZ427">
        <v>57.3</v>
      </c>
      <c r="DA427">
        <v>80.5</v>
      </c>
      <c r="DB427">
        <v>33.9</v>
      </c>
      <c r="DC427">
        <v>60.3</v>
      </c>
      <c r="DD427">
        <v>48.8</v>
      </c>
      <c r="DE427">
        <v>64.400000000000006</v>
      </c>
      <c r="DF427">
        <v>36.9</v>
      </c>
      <c r="DG427">
        <v>67.400000000000006</v>
      </c>
      <c r="DH427">
        <v>57.3</v>
      </c>
      <c r="DI427">
        <v>80.5</v>
      </c>
      <c r="DJ427">
        <v>33.9</v>
      </c>
      <c r="DK427">
        <v>60.3</v>
      </c>
      <c r="DL427">
        <v>48.8</v>
      </c>
      <c r="DM427">
        <v>64.400000000000006</v>
      </c>
      <c r="DN427">
        <v>0</v>
      </c>
      <c r="DO427">
        <v>0</v>
      </c>
      <c r="DP427">
        <v>0</v>
      </c>
      <c r="DQ427">
        <v>0</v>
      </c>
      <c r="DR427">
        <v>0</v>
      </c>
      <c r="DS427">
        <v>0</v>
      </c>
      <c r="DT427">
        <v>0</v>
      </c>
      <c r="DU427">
        <v>0</v>
      </c>
      <c r="DV427" t="s">
        <v>702</v>
      </c>
    </row>
    <row r="428" spans="1:126" x14ac:dyDescent="0.35">
      <c r="A428" t="s">
        <v>714</v>
      </c>
      <c r="B428">
        <v>230110</v>
      </c>
      <c r="C428" s="1">
        <v>44936</v>
      </c>
      <c r="D428" t="s">
        <v>715</v>
      </c>
      <c r="E428" t="s">
        <v>227</v>
      </c>
      <c r="F428" t="s">
        <v>185</v>
      </c>
      <c r="G428" t="s">
        <v>697</v>
      </c>
      <c r="H428">
        <v>147484</v>
      </c>
      <c r="I428" s="17">
        <v>6071</v>
      </c>
      <c r="J428" s="17">
        <v>12335</v>
      </c>
      <c r="K428">
        <v>1282</v>
      </c>
      <c r="L428">
        <v>131110</v>
      </c>
      <c r="M428">
        <v>122691</v>
      </c>
      <c r="N428">
        <v>138463</v>
      </c>
      <c r="O428">
        <v>136308</v>
      </c>
      <c r="P428">
        <v>9021</v>
      </c>
      <c r="Q428">
        <v>11176</v>
      </c>
      <c r="R428">
        <v>147484</v>
      </c>
      <c r="S428">
        <v>6071</v>
      </c>
      <c r="T428">
        <v>12335</v>
      </c>
      <c r="U428">
        <v>1282</v>
      </c>
      <c r="V428">
        <v>131110</v>
      </c>
      <c r="W428">
        <v>122691</v>
      </c>
      <c r="X428">
        <v>138463</v>
      </c>
      <c r="Y428">
        <v>136308</v>
      </c>
      <c r="Z428">
        <v>9021</v>
      </c>
      <c r="AA428">
        <v>11176</v>
      </c>
      <c r="AB428">
        <v>0</v>
      </c>
      <c r="AC428">
        <v>0</v>
      </c>
      <c r="AD428">
        <v>0</v>
      </c>
      <c r="AE428">
        <v>0</v>
      </c>
      <c r="AF428">
        <v>0</v>
      </c>
      <c r="AG428">
        <v>0</v>
      </c>
      <c r="AH428">
        <v>0</v>
      </c>
      <c r="AI428">
        <v>0</v>
      </c>
      <c r="AJ428">
        <v>0</v>
      </c>
      <c r="AK428">
        <v>0</v>
      </c>
      <c r="AL428">
        <v>6159</v>
      </c>
      <c r="AM428">
        <v>321</v>
      </c>
      <c r="AN428">
        <v>-206</v>
      </c>
      <c r="AO428">
        <v>-128</v>
      </c>
      <c r="AP428">
        <v>15172</v>
      </c>
      <c r="AQ428">
        <v>5000</v>
      </c>
      <c r="AR428">
        <v>15365</v>
      </c>
      <c r="AS428">
        <v>4666</v>
      </c>
      <c r="AT428">
        <v>-9206</v>
      </c>
      <c r="AU428">
        <v>1493</v>
      </c>
      <c r="AV428">
        <v>100</v>
      </c>
      <c r="AW428">
        <v>4.0999999999999996</v>
      </c>
      <c r="AX428">
        <v>8.4</v>
      </c>
      <c r="AY428">
        <v>0.9</v>
      </c>
      <c r="AZ428">
        <v>88.9</v>
      </c>
      <c r="BA428">
        <v>83.2</v>
      </c>
      <c r="BB428">
        <v>93.9</v>
      </c>
      <c r="BC428">
        <v>92.4</v>
      </c>
      <c r="BD428">
        <v>6.1</v>
      </c>
      <c r="BE428">
        <v>7.6</v>
      </c>
      <c r="BF428">
        <v>100</v>
      </c>
      <c r="BG428">
        <v>4.0999999999999996</v>
      </c>
      <c r="BH428">
        <v>8.4</v>
      </c>
      <c r="BI428">
        <v>0.9</v>
      </c>
      <c r="BJ428">
        <v>88.9</v>
      </c>
      <c r="BK428">
        <v>83.2</v>
      </c>
      <c r="BL428">
        <v>93.9</v>
      </c>
      <c r="BM428">
        <v>92.4</v>
      </c>
      <c r="BN428">
        <v>6.1</v>
      </c>
      <c r="BO428">
        <v>7.6</v>
      </c>
      <c r="BP428">
        <v>0</v>
      </c>
      <c r="BQ428">
        <v>0</v>
      </c>
      <c r="BR428">
        <v>0</v>
      </c>
      <c r="BS428">
        <v>0</v>
      </c>
      <c r="BT428">
        <v>0</v>
      </c>
      <c r="BU428">
        <v>0</v>
      </c>
      <c r="BV428">
        <v>0</v>
      </c>
      <c r="BW428">
        <v>0</v>
      </c>
      <c r="BX428">
        <v>0</v>
      </c>
      <c r="BY428">
        <v>0</v>
      </c>
      <c r="BZ428">
        <v>29</v>
      </c>
      <c r="CA428">
        <v>2</v>
      </c>
      <c r="CB428">
        <v>2</v>
      </c>
      <c r="CC428">
        <v>3</v>
      </c>
      <c r="CD428">
        <v>20</v>
      </c>
      <c r="CE428">
        <v>20</v>
      </c>
      <c r="CF428">
        <v>23</v>
      </c>
      <c r="CG428">
        <v>24</v>
      </c>
      <c r="CH428">
        <v>29</v>
      </c>
      <c r="CI428">
        <v>2</v>
      </c>
      <c r="CJ428">
        <v>2</v>
      </c>
      <c r="CK428">
        <v>3</v>
      </c>
      <c r="CL428">
        <v>20</v>
      </c>
      <c r="CM428">
        <v>20</v>
      </c>
      <c r="CN428">
        <v>23</v>
      </c>
      <c r="CO428">
        <v>24</v>
      </c>
      <c r="CP428">
        <v>0</v>
      </c>
      <c r="CQ428">
        <v>0</v>
      </c>
      <c r="CR428">
        <v>0</v>
      </c>
      <c r="CS428">
        <v>0</v>
      </c>
      <c r="CT428">
        <v>0</v>
      </c>
      <c r="CU428">
        <v>0</v>
      </c>
      <c r="CV428">
        <v>0</v>
      </c>
      <c r="CW428">
        <v>0</v>
      </c>
      <c r="CX428">
        <v>43.7</v>
      </c>
      <c r="CY428">
        <v>48.7</v>
      </c>
      <c r="CZ428">
        <v>67.7</v>
      </c>
      <c r="DA428">
        <v>71.099999999999994</v>
      </c>
      <c r="DB428">
        <v>37.200000000000003</v>
      </c>
      <c r="DC428">
        <v>38.9</v>
      </c>
      <c r="DD428">
        <v>57.8</v>
      </c>
      <c r="DE428">
        <v>56.6</v>
      </c>
      <c r="DF428">
        <v>43.7</v>
      </c>
      <c r="DG428">
        <v>48.7</v>
      </c>
      <c r="DH428">
        <v>67.7</v>
      </c>
      <c r="DI428">
        <v>71.099999999999994</v>
      </c>
      <c r="DJ428">
        <v>37.200000000000003</v>
      </c>
      <c r="DK428">
        <v>38.9</v>
      </c>
      <c r="DL428">
        <v>57.8</v>
      </c>
      <c r="DM428">
        <v>56.6</v>
      </c>
      <c r="DN428">
        <v>0</v>
      </c>
      <c r="DO428">
        <v>0</v>
      </c>
      <c r="DP428">
        <v>0</v>
      </c>
      <c r="DQ428">
        <v>0</v>
      </c>
      <c r="DR428">
        <v>0</v>
      </c>
      <c r="DS428">
        <v>0</v>
      </c>
      <c r="DT428">
        <v>0</v>
      </c>
      <c r="DU428">
        <v>0</v>
      </c>
      <c r="DV428" t="s">
        <v>702</v>
      </c>
    </row>
    <row r="429" spans="1:126" x14ac:dyDescent="0.35">
      <c r="A429" t="s">
        <v>714</v>
      </c>
      <c r="B429">
        <v>230103</v>
      </c>
      <c r="C429" s="1">
        <v>44929</v>
      </c>
      <c r="D429" t="s">
        <v>715</v>
      </c>
      <c r="E429" t="s">
        <v>227</v>
      </c>
      <c r="F429" t="s">
        <v>185</v>
      </c>
      <c r="G429" t="s">
        <v>697</v>
      </c>
      <c r="H429">
        <v>141325</v>
      </c>
      <c r="I429" s="17">
        <v>5750</v>
      </c>
      <c r="J429" s="17">
        <v>12541</v>
      </c>
      <c r="K429">
        <v>1410</v>
      </c>
      <c r="L429">
        <v>115938</v>
      </c>
      <c r="M429">
        <v>117691</v>
      </c>
      <c r="N429">
        <v>123098</v>
      </c>
      <c r="O429">
        <v>131642</v>
      </c>
      <c r="P429">
        <v>18227</v>
      </c>
      <c r="Q429">
        <v>9683</v>
      </c>
      <c r="R429">
        <v>141325</v>
      </c>
      <c r="S429">
        <v>5750</v>
      </c>
      <c r="T429">
        <v>12541</v>
      </c>
      <c r="U429">
        <v>1410</v>
      </c>
      <c r="V429">
        <v>115938</v>
      </c>
      <c r="W429">
        <v>117691</v>
      </c>
      <c r="X429">
        <v>123098</v>
      </c>
      <c r="Y429">
        <v>131642</v>
      </c>
      <c r="Z429">
        <v>18227</v>
      </c>
      <c r="AA429">
        <v>9683</v>
      </c>
      <c r="AB429">
        <v>0</v>
      </c>
      <c r="AC429">
        <v>0</v>
      </c>
      <c r="AD429">
        <v>0</v>
      </c>
      <c r="AE429">
        <v>0</v>
      </c>
      <c r="AF429">
        <v>0</v>
      </c>
      <c r="AG429">
        <v>0</v>
      </c>
      <c r="AH429">
        <v>0</v>
      </c>
      <c r="AI429">
        <v>0</v>
      </c>
      <c r="AJ429">
        <v>0</v>
      </c>
      <c r="AK429">
        <v>0</v>
      </c>
      <c r="AL429">
        <v>687</v>
      </c>
      <c r="AM429">
        <v>500</v>
      </c>
      <c r="AN429">
        <v>426</v>
      </c>
      <c r="AO429">
        <v>66</v>
      </c>
      <c r="AP429">
        <v>350</v>
      </c>
      <c r="AQ429">
        <v>335</v>
      </c>
      <c r="AR429">
        <v>916</v>
      </c>
      <c r="AS429">
        <v>827</v>
      </c>
      <c r="AT429">
        <v>-229</v>
      </c>
      <c r="AU429">
        <v>-140</v>
      </c>
      <c r="AV429">
        <v>100</v>
      </c>
      <c r="AW429">
        <v>4.0999999999999996</v>
      </c>
      <c r="AX429">
        <v>8.9</v>
      </c>
      <c r="AY429">
        <v>1</v>
      </c>
      <c r="AZ429">
        <v>82</v>
      </c>
      <c r="BA429">
        <v>83.3</v>
      </c>
      <c r="BB429">
        <v>87.1</v>
      </c>
      <c r="BC429">
        <v>93.1</v>
      </c>
      <c r="BD429">
        <v>12.9</v>
      </c>
      <c r="BE429">
        <v>6.9</v>
      </c>
      <c r="BF429">
        <v>100</v>
      </c>
      <c r="BG429">
        <v>4.0999999999999996</v>
      </c>
      <c r="BH429">
        <v>8.9</v>
      </c>
      <c r="BI429">
        <v>1</v>
      </c>
      <c r="BJ429">
        <v>82</v>
      </c>
      <c r="BK429">
        <v>83.3</v>
      </c>
      <c r="BL429">
        <v>87.1</v>
      </c>
      <c r="BM429">
        <v>93.1</v>
      </c>
      <c r="BN429">
        <v>12.9</v>
      </c>
      <c r="BO429">
        <v>6.9</v>
      </c>
      <c r="BP429">
        <v>0</v>
      </c>
      <c r="BQ429">
        <v>0</v>
      </c>
      <c r="BR429">
        <v>0</v>
      </c>
      <c r="BS429">
        <v>0</v>
      </c>
      <c r="BT429">
        <v>0</v>
      </c>
      <c r="BU429">
        <v>0</v>
      </c>
      <c r="BV429">
        <v>0</v>
      </c>
      <c r="BW429">
        <v>0</v>
      </c>
      <c r="BX429">
        <v>0</v>
      </c>
      <c r="BY429">
        <v>0</v>
      </c>
      <c r="BZ429">
        <v>28</v>
      </c>
      <c r="CA429">
        <v>1</v>
      </c>
      <c r="CB429">
        <v>3</v>
      </c>
      <c r="CC429">
        <v>3</v>
      </c>
      <c r="CD429">
        <v>18</v>
      </c>
      <c r="CE429">
        <v>18</v>
      </c>
      <c r="CF429">
        <v>21</v>
      </c>
      <c r="CG429">
        <v>22</v>
      </c>
      <c r="CH429">
        <v>28</v>
      </c>
      <c r="CI429">
        <v>1</v>
      </c>
      <c r="CJ429">
        <v>3</v>
      </c>
      <c r="CK429">
        <v>3</v>
      </c>
      <c r="CL429">
        <v>18</v>
      </c>
      <c r="CM429">
        <v>18</v>
      </c>
      <c r="CN429">
        <v>21</v>
      </c>
      <c r="CO429">
        <v>22</v>
      </c>
      <c r="CP429">
        <v>0</v>
      </c>
      <c r="CQ429">
        <v>0</v>
      </c>
      <c r="CR429">
        <v>0</v>
      </c>
      <c r="CS429">
        <v>0</v>
      </c>
      <c r="CT429">
        <v>0</v>
      </c>
      <c r="CU429">
        <v>0</v>
      </c>
      <c r="CV429">
        <v>0</v>
      </c>
      <c r="CW429">
        <v>0</v>
      </c>
      <c r="CX429">
        <v>43.4</v>
      </c>
      <c r="CY429">
        <v>50.4</v>
      </c>
      <c r="CZ429">
        <v>66.5</v>
      </c>
      <c r="DA429">
        <v>71.8</v>
      </c>
      <c r="DB429">
        <v>35.5</v>
      </c>
      <c r="DC429">
        <v>39.299999999999997</v>
      </c>
      <c r="DD429">
        <v>55.3</v>
      </c>
      <c r="DE429">
        <v>57.8</v>
      </c>
      <c r="DF429">
        <v>43.4</v>
      </c>
      <c r="DG429">
        <v>50.4</v>
      </c>
      <c r="DH429">
        <v>66.5</v>
      </c>
      <c r="DI429">
        <v>71.8</v>
      </c>
      <c r="DJ429">
        <v>35.5</v>
      </c>
      <c r="DK429">
        <v>39.299999999999997</v>
      </c>
      <c r="DL429">
        <v>55.3</v>
      </c>
      <c r="DM429">
        <v>57.8</v>
      </c>
      <c r="DN429">
        <v>0</v>
      </c>
      <c r="DO429">
        <v>0</v>
      </c>
      <c r="DP429">
        <v>0</v>
      </c>
      <c r="DQ429">
        <v>0</v>
      </c>
      <c r="DR429">
        <v>0</v>
      </c>
      <c r="DS429">
        <v>0</v>
      </c>
      <c r="DT429">
        <v>0</v>
      </c>
      <c r="DU429">
        <v>0</v>
      </c>
      <c r="DV429" t="s">
        <v>702</v>
      </c>
    </row>
    <row r="430" spans="1:126" x14ac:dyDescent="0.35">
      <c r="A430" t="s">
        <v>716</v>
      </c>
      <c r="B430">
        <v>230110</v>
      </c>
      <c r="C430" s="1">
        <v>44936</v>
      </c>
      <c r="D430" t="s">
        <v>717</v>
      </c>
      <c r="E430" t="s">
        <v>227</v>
      </c>
      <c r="F430" t="s">
        <v>185</v>
      </c>
      <c r="G430" t="s">
        <v>697</v>
      </c>
      <c r="H430">
        <v>149923</v>
      </c>
      <c r="I430" s="17">
        <v>11835</v>
      </c>
      <c r="J430" s="17">
        <v>5770</v>
      </c>
      <c r="K430">
        <v>690</v>
      </c>
      <c r="L430">
        <v>126559</v>
      </c>
      <c r="M430">
        <v>124556</v>
      </c>
      <c r="N430">
        <v>139084</v>
      </c>
      <c r="O430">
        <v>131016</v>
      </c>
      <c r="P430">
        <v>10839</v>
      </c>
      <c r="Q430">
        <v>18907</v>
      </c>
      <c r="R430">
        <v>149923</v>
      </c>
      <c r="S430">
        <v>11835</v>
      </c>
      <c r="T430">
        <v>5770</v>
      </c>
      <c r="U430">
        <v>690</v>
      </c>
      <c r="V430">
        <v>126559</v>
      </c>
      <c r="W430">
        <v>124556</v>
      </c>
      <c r="X430">
        <v>139084</v>
      </c>
      <c r="Y430">
        <v>131016</v>
      </c>
      <c r="Z430">
        <v>10839</v>
      </c>
      <c r="AA430">
        <v>18907</v>
      </c>
      <c r="AB430">
        <v>0</v>
      </c>
      <c r="AC430">
        <v>0</v>
      </c>
      <c r="AD430">
        <v>0</v>
      </c>
      <c r="AE430">
        <v>0</v>
      </c>
      <c r="AF430">
        <v>0</v>
      </c>
      <c r="AG430">
        <v>0</v>
      </c>
      <c r="AH430">
        <v>0</v>
      </c>
      <c r="AI430">
        <v>0</v>
      </c>
      <c r="AJ430">
        <v>0</v>
      </c>
      <c r="AK430">
        <v>0</v>
      </c>
      <c r="AL430">
        <v>12065</v>
      </c>
      <c r="AM430">
        <v>0</v>
      </c>
      <c r="AN430">
        <v>240</v>
      </c>
      <c r="AO430">
        <v>0</v>
      </c>
      <c r="AP430">
        <v>11055</v>
      </c>
      <c r="AQ430">
        <v>10100</v>
      </c>
      <c r="AR430">
        <v>11055</v>
      </c>
      <c r="AS430">
        <v>10340</v>
      </c>
      <c r="AT430">
        <v>1010</v>
      </c>
      <c r="AU430">
        <v>1725</v>
      </c>
      <c r="AV430">
        <v>100</v>
      </c>
      <c r="AW430">
        <v>7.9</v>
      </c>
      <c r="AX430">
        <v>3.8</v>
      </c>
      <c r="AY430">
        <v>0.5</v>
      </c>
      <c r="AZ430">
        <v>84.4</v>
      </c>
      <c r="BA430">
        <v>83.1</v>
      </c>
      <c r="BB430">
        <v>92.8</v>
      </c>
      <c r="BC430">
        <v>87.4</v>
      </c>
      <c r="BD430">
        <v>7.2</v>
      </c>
      <c r="BE430">
        <v>12.6</v>
      </c>
      <c r="BF430">
        <v>100</v>
      </c>
      <c r="BG430">
        <v>7.9</v>
      </c>
      <c r="BH430">
        <v>3.8</v>
      </c>
      <c r="BI430">
        <v>0.5</v>
      </c>
      <c r="BJ430">
        <v>84.4</v>
      </c>
      <c r="BK430">
        <v>83.1</v>
      </c>
      <c r="BL430">
        <v>92.8</v>
      </c>
      <c r="BM430">
        <v>87.4</v>
      </c>
      <c r="BN430">
        <v>7.2</v>
      </c>
      <c r="BO430">
        <v>12.6</v>
      </c>
      <c r="BP430">
        <v>0</v>
      </c>
      <c r="BQ430">
        <v>0</v>
      </c>
      <c r="BR430">
        <v>0</v>
      </c>
      <c r="BS430">
        <v>0</v>
      </c>
      <c r="BT430">
        <v>0</v>
      </c>
      <c r="BU430">
        <v>0</v>
      </c>
      <c r="BV430">
        <v>0</v>
      </c>
      <c r="BW430">
        <v>0</v>
      </c>
      <c r="BX430">
        <v>0</v>
      </c>
      <c r="BY430">
        <v>0</v>
      </c>
      <c r="BZ430">
        <v>25</v>
      </c>
      <c r="CA430">
        <v>1</v>
      </c>
      <c r="CB430">
        <v>1</v>
      </c>
      <c r="CC430">
        <v>1</v>
      </c>
      <c r="CD430">
        <v>17</v>
      </c>
      <c r="CE430">
        <v>16</v>
      </c>
      <c r="CF430">
        <v>19</v>
      </c>
      <c r="CG430">
        <v>17</v>
      </c>
      <c r="CH430">
        <v>25</v>
      </c>
      <c r="CI430">
        <v>1</v>
      </c>
      <c r="CJ430">
        <v>1</v>
      </c>
      <c r="CK430">
        <v>1</v>
      </c>
      <c r="CL430">
        <v>17</v>
      </c>
      <c r="CM430">
        <v>16</v>
      </c>
      <c r="CN430">
        <v>19</v>
      </c>
      <c r="CO430">
        <v>17</v>
      </c>
      <c r="CP430">
        <v>0</v>
      </c>
      <c r="CQ430">
        <v>0</v>
      </c>
      <c r="CR430">
        <v>0</v>
      </c>
      <c r="CS430">
        <v>0</v>
      </c>
      <c r="CT430">
        <v>0</v>
      </c>
      <c r="CU430">
        <v>0</v>
      </c>
      <c r="CV430">
        <v>0</v>
      </c>
      <c r="CW430">
        <v>0</v>
      </c>
      <c r="CX430">
        <v>54.6</v>
      </c>
      <c r="CY430">
        <v>38.4</v>
      </c>
      <c r="CZ430">
        <v>85.3</v>
      </c>
      <c r="DA430">
        <v>63.2</v>
      </c>
      <c r="DB430">
        <v>53.9</v>
      </c>
      <c r="DC430">
        <v>38.200000000000003</v>
      </c>
      <c r="DD430">
        <v>83.8</v>
      </c>
      <c r="DE430">
        <v>62.2</v>
      </c>
      <c r="DF430">
        <v>54.6</v>
      </c>
      <c r="DG430">
        <v>38.4</v>
      </c>
      <c r="DH430">
        <v>85.3</v>
      </c>
      <c r="DI430">
        <v>63.2</v>
      </c>
      <c r="DJ430">
        <v>53.9</v>
      </c>
      <c r="DK430">
        <v>38.200000000000003</v>
      </c>
      <c r="DL430">
        <v>83.8</v>
      </c>
      <c r="DM430">
        <v>62.2</v>
      </c>
      <c r="DN430">
        <v>0</v>
      </c>
      <c r="DO430">
        <v>0</v>
      </c>
      <c r="DP430">
        <v>0</v>
      </c>
      <c r="DQ430">
        <v>0</v>
      </c>
      <c r="DR430">
        <v>0</v>
      </c>
      <c r="DS430">
        <v>0</v>
      </c>
      <c r="DT430">
        <v>0</v>
      </c>
      <c r="DU430">
        <v>0</v>
      </c>
      <c r="DV430" t="s">
        <v>702</v>
      </c>
    </row>
    <row r="431" spans="1:126" x14ac:dyDescent="0.35">
      <c r="A431" t="s">
        <v>716</v>
      </c>
      <c r="B431">
        <v>230103</v>
      </c>
      <c r="C431" s="1">
        <v>44929</v>
      </c>
      <c r="D431" t="s">
        <v>717</v>
      </c>
      <c r="E431" t="s">
        <v>227</v>
      </c>
      <c r="F431" t="s">
        <v>185</v>
      </c>
      <c r="G431" t="s">
        <v>697</v>
      </c>
      <c r="H431">
        <v>137858</v>
      </c>
      <c r="I431" s="17">
        <v>11835</v>
      </c>
      <c r="J431" s="17">
        <v>5530</v>
      </c>
      <c r="K431">
        <v>690</v>
      </c>
      <c r="L431">
        <v>115504</v>
      </c>
      <c r="M431">
        <v>114456</v>
      </c>
      <c r="N431">
        <v>128029</v>
      </c>
      <c r="O431">
        <v>120676</v>
      </c>
      <c r="P431">
        <v>9829</v>
      </c>
      <c r="Q431">
        <v>17182</v>
      </c>
      <c r="R431">
        <v>137858</v>
      </c>
      <c r="S431">
        <v>11835</v>
      </c>
      <c r="T431">
        <v>5530</v>
      </c>
      <c r="U431">
        <v>690</v>
      </c>
      <c r="V431">
        <v>115504</v>
      </c>
      <c r="W431">
        <v>114456</v>
      </c>
      <c r="X431">
        <v>128029</v>
      </c>
      <c r="Y431">
        <v>120676</v>
      </c>
      <c r="Z431">
        <v>9829</v>
      </c>
      <c r="AA431">
        <v>17182</v>
      </c>
      <c r="AB431">
        <v>0</v>
      </c>
      <c r="AC431">
        <v>0</v>
      </c>
      <c r="AD431">
        <v>0</v>
      </c>
      <c r="AE431">
        <v>0</v>
      </c>
      <c r="AF431">
        <v>0</v>
      </c>
      <c r="AG431">
        <v>0</v>
      </c>
      <c r="AH431">
        <v>0</v>
      </c>
      <c r="AI431">
        <v>0</v>
      </c>
      <c r="AJ431">
        <v>0</v>
      </c>
      <c r="AK431">
        <v>0</v>
      </c>
      <c r="AL431">
        <v>953</v>
      </c>
      <c r="AM431">
        <v>0</v>
      </c>
      <c r="AN431">
        <v>600</v>
      </c>
      <c r="AO431">
        <v>0</v>
      </c>
      <c r="AP431">
        <v>625</v>
      </c>
      <c r="AQ431">
        <v>80</v>
      </c>
      <c r="AR431">
        <v>625</v>
      </c>
      <c r="AS431">
        <v>680</v>
      </c>
      <c r="AT431">
        <v>328</v>
      </c>
      <c r="AU431">
        <v>273</v>
      </c>
      <c r="AV431">
        <v>100</v>
      </c>
      <c r="AW431">
        <v>8.6</v>
      </c>
      <c r="AX431">
        <v>4</v>
      </c>
      <c r="AY431">
        <v>0.5</v>
      </c>
      <c r="AZ431">
        <v>83.8</v>
      </c>
      <c r="BA431">
        <v>83</v>
      </c>
      <c r="BB431">
        <v>92.9</v>
      </c>
      <c r="BC431">
        <v>87.5</v>
      </c>
      <c r="BD431">
        <v>7.1</v>
      </c>
      <c r="BE431">
        <v>12.5</v>
      </c>
      <c r="BF431">
        <v>100</v>
      </c>
      <c r="BG431">
        <v>8.6</v>
      </c>
      <c r="BH431">
        <v>4</v>
      </c>
      <c r="BI431">
        <v>0.5</v>
      </c>
      <c r="BJ431">
        <v>83.8</v>
      </c>
      <c r="BK431">
        <v>83</v>
      </c>
      <c r="BL431">
        <v>92.9</v>
      </c>
      <c r="BM431">
        <v>87.5</v>
      </c>
      <c r="BN431">
        <v>7.1</v>
      </c>
      <c r="BO431">
        <v>12.5</v>
      </c>
      <c r="BP431">
        <v>0</v>
      </c>
      <c r="BQ431">
        <v>0</v>
      </c>
      <c r="BR431">
        <v>0</v>
      </c>
      <c r="BS431">
        <v>0</v>
      </c>
      <c r="BT431">
        <v>0</v>
      </c>
      <c r="BU431">
        <v>0</v>
      </c>
      <c r="BV431">
        <v>0</v>
      </c>
      <c r="BW431">
        <v>0</v>
      </c>
      <c r="BX431">
        <v>0</v>
      </c>
      <c r="BY431">
        <v>0</v>
      </c>
      <c r="BZ431">
        <v>24</v>
      </c>
      <c r="CA431">
        <v>1</v>
      </c>
      <c r="CB431">
        <v>1</v>
      </c>
      <c r="CC431">
        <v>1</v>
      </c>
      <c r="CD431">
        <v>15</v>
      </c>
      <c r="CE431">
        <v>15</v>
      </c>
      <c r="CF431">
        <v>17</v>
      </c>
      <c r="CG431">
        <v>16</v>
      </c>
      <c r="CH431">
        <v>24</v>
      </c>
      <c r="CI431">
        <v>1</v>
      </c>
      <c r="CJ431">
        <v>1</v>
      </c>
      <c r="CK431">
        <v>1</v>
      </c>
      <c r="CL431">
        <v>15</v>
      </c>
      <c r="CM431">
        <v>15</v>
      </c>
      <c r="CN431">
        <v>17</v>
      </c>
      <c r="CO431">
        <v>16</v>
      </c>
      <c r="CP431">
        <v>0</v>
      </c>
      <c r="CQ431">
        <v>0</v>
      </c>
      <c r="CR431">
        <v>0</v>
      </c>
      <c r="CS431">
        <v>0</v>
      </c>
      <c r="CT431">
        <v>0</v>
      </c>
      <c r="CU431">
        <v>0</v>
      </c>
      <c r="CV431">
        <v>0</v>
      </c>
      <c r="CW431">
        <v>0</v>
      </c>
      <c r="CX431">
        <v>58.5</v>
      </c>
      <c r="CY431">
        <v>38.700000000000003</v>
      </c>
      <c r="CZ431">
        <v>87.4</v>
      </c>
      <c r="DA431">
        <v>63.2</v>
      </c>
      <c r="DB431">
        <v>58.5</v>
      </c>
      <c r="DC431">
        <v>38.299999999999997</v>
      </c>
      <c r="DD431">
        <v>86.6</v>
      </c>
      <c r="DE431">
        <v>62.1</v>
      </c>
      <c r="DF431">
        <v>58.5</v>
      </c>
      <c r="DG431">
        <v>38.700000000000003</v>
      </c>
      <c r="DH431">
        <v>87.4</v>
      </c>
      <c r="DI431">
        <v>63.2</v>
      </c>
      <c r="DJ431">
        <v>58.5</v>
      </c>
      <c r="DK431">
        <v>38.299999999999997</v>
      </c>
      <c r="DL431">
        <v>86.6</v>
      </c>
      <c r="DM431">
        <v>62.1</v>
      </c>
      <c r="DN431">
        <v>0</v>
      </c>
      <c r="DO431">
        <v>0</v>
      </c>
      <c r="DP431">
        <v>0</v>
      </c>
      <c r="DQ431">
        <v>0</v>
      </c>
      <c r="DR431">
        <v>0</v>
      </c>
      <c r="DS431">
        <v>0</v>
      </c>
      <c r="DT431">
        <v>0</v>
      </c>
      <c r="DU431">
        <v>0</v>
      </c>
      <c r="DV431" t="s">
        <v>702</v>
      </c>
    </row>
    <row r="432" spans="1:126" x14ac:dyDescent="0.35">
      <c r="A432" t="s">
        <v>718</v>
      </c>
      <c r="B432">
        <v>230110</v>
      </c>
      <c r="C432" s="1">
        <v>44936</v>
      </c>
      <c r="D432" t="s">
        <v>719</v>
      </c>
      <c r="E432" t="s">
        <v>393</v>
      </c>
      <c r="F432" t="s">
        <v>185</v>
      </c>
      <c r="G432" t="s">
        <v>720</v>
      </c>
      <c r="H432">
        <v>297723</v>
      </c>
      <c r="I432" s="17">
        <v>94218</v>
      </c>
      <c r="J432" s="17">
        <v>66997</v>
      </c>
      <c r="K432">
        <v>57780</v>
      </c>
      <c r="L432">
        <v>132109</v>
      </c>
      <c r="M432">
        <v>163308</v>
      </c>
      <c r="N432">
        <v>284107</v>
      </c>
      <c r="O432">
        <v>288085</v>
      </c>
      <c r="P432">
        <v>13616</v>
      </c>
      <c r="Q432">
        <v>9638</v>
      </c>
      <c r="R432">
        <v>253722</v>
      </c>
      <c r="S432">
        <v>94324</v>
      </c>
      <c r="T432">
        <v>68362</v>
      </c>
      <c r="U432">
        <v>47963</v>
      </c>
      <c r="V432">
        <v>99232</v>
      </c>
      <c r="W432">
        <v>128098</v>
      </c>
      <c r="X432">
        <v>241519</v>
      </c>
      <c r="Y432">
        <v>244423</v>
      </c>
      <c r="Z432">
        <v>12203</v>
      </c>
      <c r="AA432">
        <v>9299</v>
      </c>
      <c r="AB432">
        <v>44001</v>
      </c>
      <c r="AC432">
        <v>7580</v>
      </c>
      <c r="AD432">
        <v>6321</v>
      </c>
      <c r="AE432">
        <v>2131</v>
      </c>
      <c r="AF432">
        <v>32877</v>
      </c>
      <c r="AG432">
        <v>35210</v>
      </c>
      <c r="AH432">
        <v>42588</v>
      </c>
      <c r="AI432">
        <v>43662</v>
      </c>
      <c r="AJ432">
        <v>1413</v>
      </c>
      <c r="AK432">
        <v>339</v>
      </c>
      <c r="AL432">
        <v>17417</v>
      </c>
      <c r="AM432">
        <v>6244</v>
      </c>
      <c r="AN432">
        <v>6861</v>
      </c>
      <c r="AO432">
        <v>279</v>
      </c>
      <c r="AP432">
        <v>10265</v>
      </c>
      <c r="AQ432">
        <v>9486</v>
      </c>
      <c r="AR432">
        <v>16788</v>
      </c>
      <c r="AS432">
        <v>16626</v>
      </c>
      <c r="AT432">
        <v>629</v>
      </c>
      <c r="AU432">
        <v>791</v>
      </c>
      <c r="AV432">
        <v>100</v>
      </c>
      <c r="AW432">
        <v>31.6</v>
      </c>
      <c r="AX432">
        <v>22.5</v>
      </c>
      <c r="AY432">
        <v>19.399999999999999</v>
      </c>
      <c r="AZ432">
        <v>44.4</v>
      </c>
      <c r="BA432">
        <v>54.9</v>
      </c>
      <c r="BB432">
        <v>95.4</v>
      </c>
      <c r="BC432">
        <v>96.8</v>
      </c>
      <c r="BD432">
        <v>4.5999999999999996</v>
      </c>
      <c r="BE432">
        <v>3.2</v>
      </c>
      <c r="BF432">
        <v>100</v>
      </c>
      <c r="BG432">
        <v>37.200000000000003</v>
      </c>
      <c r="BH432">
        <v>26.9</v>
      </c>
      <c r="BI432">
        <v>18.899999999999999</v>
      </c>
      <c r="BJ432">
        <v>39.1</v>
      </c>
      <c r="BK432">
        <v>50.5</v>
      </c>
      <c r="BL432">
        <v>95.2</v>
      </c>
      <c r="BM432">
        <v>96.3</v>
      </c>
      <c r="BN432">
        <v>4.8</v>
      </c>
      <c r="BO432">
        <v>3.7</v>
      </c>
      <c r="BP432">
        <v>100</v>
      </c>
      <c r="BQ432">
        <v>17.2</v>
      </c>
      <c r="BR432">
        <v>14.4</v>
      </c>
      <c r="BS432">
        <v>4.8</v>
      </c>
      <c r="BT432">
        <v>74.7</v>
      </c>
      <c r="BU432">
        <v>80</v>
      </c>
      <c r="BV432">
        <v>96.8</v>
      </c>
      <c r="BW432">
        <v>99.2</v>
      </c>
      <c r="BX432">
        <v>3.2</v>
      </c>
      <c r="BY432">
        <v>0.8</v>
      </c>
      <c r="BZ432">
        <v>234</v>
      </c>
      <c r="CA432">
        <v>98</v>
      </c>
      <c r="CB432">
        <v>65</v>
      </c>
      <c r="CC432">
        <v>72</v>
      </c>
      <c r="CD432">
        <v>61</v>
      </c>
      <c r="CE432">
        <v>45</v>
      </c>
      <c r="CF432">
        <v>197</v>
      </c>
      <c r="CG432">
        <v>149</v>
      </c>
      <c r="CH432">
        <v>234</v>
      </c>
      <c r="CI432">
        <v>99</v>
      </c>
      <c r="CJ432">
        <v>67</v>
      </c>
      <c r="CK432">
        <v>69</v>
      </c>
      <c r="CL432">
        <v>60</v>
      </c>
      <c r="CM432">
        <v>43</v>
      </c>
      <c r="CN432">
        <v>193</v>
      </c>
      <c r="CO432">
        <v>147</v>
      </c>
      <c r="CP432">
        <v>75</v>
      </c>
      <c r="CQ432">
        <v>25</v>
      </c>
      <c r="CR432">
        <v>6</v>
      </c>
      <c r="CS432">
        <v>12</v>
      </c>
      <c r="CT432">
        <v>36</v>
      </c>
      <c r="CU432">
        <v>21</v>
      </c>
      <c r="CV432">
        <v>63</v>
      </c>
      <c r="CW432">
        <v>37</v>
      </c>
      <c r="CX432">
        <v>14.6</v>
      </c>
      <c r="CY432">
        <v>22.9</v>
      </c>
      <c r="CZ432">
        <v>23.6</v>
      </c>
      <c r="DA432">
        <v>35.5</v>
      </c>
      <c r="DB432">
        <v>8.6</v>
      </c>
      <c r="DC432">
        <v>12.9</v>
      </c>
      <c r="DD432">
        <v>15.6</v>
      </c>
      <c r="DE432">
        <v>21.4</v>
      </c>
      <c r="DF432">
        <v>12.6</v>
      </c>
      <c r="DG432">
        <v>22.1</v>
      </c>
      <c r="DH432">
        <v>21.7</v>
      </c>
      <c r="DI432">
        <v>35.299999999999997</v>
      </c>
      <c r="DJ432">
        <v>9</v>
      </c>
      <c r="DK432">
        <v>13.5</v>
      </c>
      <c r="DL432">
        <v>16.8</v>
      </c>
      <c r="DM432">
        <v>23.3</v>
      </c>
      <c r="DN432">
        <v>40.5</v>
      </c>
      <c r="DO432">
        <v>56.6</v>
      </c>
      <c r="DP432">
        <v>55</v>
      </c>
      <c r="DQ432">
        <v>79</v>
      </c>
      <c r="DR432">
        <v>27.3</v>
      </c>
      <c r="DS432">
        <v>46.9</v>
      </c>
      <c r="DT432">
        <v>36</v>
      </c>
      <c r="DU432">
        <v>59.1</v>
      </c>
      <c r="DV432" t="s">
        <v>721</v>
      </c>
    </row>
    <row r="433" spans="1:126" x14ac:dyDescent="0.35">
      <c r="A433" t="s">
        <v>718</v>
      </c>
      <c r="B433">
        <v>230103</v>
      </c>
      <c r="C433" s="1">
        <v>44929</v>
      </c>
      <c r="D433" t="s">
        <v>719</v>
      </c>
      <c r="E433" t="s">
        <v>393</v>
      </c>
      <c r="F433" t="s">
        <v>185</v>
      </c>
      <c r="G433" t="s">
        <v>720</v>
      </c>
      <c r="H433">
        <v>280306</v>
      </c>
      <c r="I433" s="17">
        <v>87974</v>
      </c>
      <c r="J433" s="17">
        <v>60136</v>
      </c>
      <c r="K433">
        <v>57501</v>
      </c>
      <c r="L433">
        <v>121844</v>
      </c>
      <c r="M433">
        <v>153822</v>
      </c>
      <c r="N433">
        <v>267319</v>
      </c>
      <c r="O433">
        <v>271459</v>
      </c>
      <c r="P433">
        <v>12987</v>
      </c>
      <c r="Q433">
        <v>8847</v>
      </c>
      <c r="R433">
        <v>238476</v>
      </c>
      <c r="S433">
        <v>90643</v>
      </c>
      <c r="T433">
        <v>63326</v>
      </c>
      <c r="U433">
        <v>46799</v>
      </c>
      <c r="V433">
        <v>89085</v>
      </c>
      <c r="W433">
        <v>119646</v>
      </c>
      <c r="X433">
        <v>226527</v>
      </c>
      <c r="Y433">
        <v>229771</v>
      </c>
      <c r="Z433">
        <v>11949</v>
      </c>
      <c r="AA433">
        <v>8705</v>
      </c>
      <c r="AB433">
        <v>41830</v>
      </c>
      <c r="AC433">
        <v>5659</v>
      </c>
      <c r="AD433">
        <v>5138</v>
      </c>
      <c r="AE433">
        <v>2374</v>
      </c>
      <c r="AF433">
        <v>32759</v>
      </c>
      <c r="AG433">
        <v>34176</v>
      </c>
      <c r="AH433">
        <v>40792</v>
      </c>
      <c r="AI433">
        <v>41688</v>
      </c>
      <c r="AJ433">
        <v>1038</v>
      </c>
      <c r="AK433">
        <v>142</v>
      </c>
      <c r="AL433">
        <v>9924</v>
      </c>
      <c r="AM433">
        <v>-921</v>
      </c>
      <c r="AN433">
        <v>2144</v>
      </c>
      <c r="AO433">
        <v>6745</v>
      </c>
      <c r="AP433">
        <v>3952</v>
      </c>
      <c r="AQ433">
        <v>-208</v>
      </c>
      <c r="AR433">
        <v>9776</v>
      </c>
      <c r="AS433">
        <v>8681</v>
      </c>
      <c r="AT433">
        <v>148</v>
      </c>
      <c r="AU433">
        <v>1243</v>
      </c>
      <c r="AV433">
        <v>100</v>
      </c>
      <c r="AW433">
        <v>31.4</v>
      </c>
      <c r="AX433">
        <v>21.5</v>
      </c>
      <c r="AY433">
        <v>20.5</v>
      </c>
      <c r="AZ433">
        <v>43.5</v>
      </c>
      <c r="BA433">
        <v>54.9</v>
      </c>
      <c r="BB433">
        <v>95.4</v>
      </c>
      <c r="BC433">
        <v>96.8</v>
      </c>
      <c r="BD433">
        <v>4.5999999999999996</v>
      </c>
      <c r="BE433">
        <v>3.2</v>
      </c>
      <c r="BF433">
        <v>100</v>
      </c>
      <c r="BG433">
        <v>38</v>
      </c>
      <c r="BH433">
        <v>26.6</v>
      </c>
      <c r="BI433">
        <v>19.600000000000001</v>
      </c>
      <c r="BJ433">
        <v>37.4</v>
      </c>
      <c r="BK433">
        <v>50.2</v>
      </c>
      <c r="BL433">
        <v>95</v>
      </c>
      <c r="BM433">
        <v>96.3</v>
      </c>
      <c r="BN433">
        <v>5</v>
      </c>
      <c r="BO433">
        <v>3.7</v>
      </c>
      <c r="BP433">
        <v>100</v>
      </c>
      <c r="BQ433">
        <v>13.5</v>
      </c>
      <c r="BR433">
        <v>12.3</v>
      </c>
      <c r="BS433">
        <v>5.7</v>
      </c>
      <c r="BT433">
        <v>78.3</v>
      </c>
      <c r="BU433">
        <v>81.7</v>
      </c>
      <c r="BV433">
        <v>97.5</v>
      </c>
      <c r="BW433">
        <v>99.7</v>
      </c>
      <c r="BX433">
        <v>2.5</v>
      </c>
      <c r="BY433">
        <v>0.3</v>
      </c>
      <c r="BZ433">
        <v>227</v>
      </c>
      <c r="CA433">
        <v>92</v>
      </c>
      <c r="CB433">
        <v>63</v>
      </c>
      <c r="CC433">
        <v>69</v>
      </c>
      <c r="CD433">
        <v>62</v>
      </c>
      <c r="CE433">
        <v>46</v>
      </c>
      <c r="CF433">
        <v>192</v>
      </c>
      <c r="CG433">
        <v>145</v>
      </c>
      <c r="CH433">
        <v>226</v>
      </c>
      <c r="CI433">
        <v>92</v>
      </c>
      <c r="CJ433">
        <v>66</v>
      </c>
      <c r="CK433">
        <v>65</v>
      </c>
      <c r="CL433">
        <v>61</v>
      </c>
      <c r="CM433">
        <v>43</v>
      </c>
      <c r="CN433">
        <v>188</v>
      </c>
      <c r="CO433">
        <v>141</v>
      </c>
      <c r="CP433">
        <v>78</v>
      </c>
      <c r="CQ433">
        <v>27</v>
      </c>
      <c r="CR433">
        <v>5</v>
      </c>
      <c r="CS433">
        <v>12</v>
      </c>
      <c r="CT433">
        <v>36</v>
      </c>
      <c r="CU433">
        <v>22</v>
      </c>
      <c r="CV433">
        <v>67</v>
      </c>
      <c r="CW433">
        <v>36</v>
      </c>
      <c r="CX433">
        <v>14.1</v>
      </c>
      <c r="CY433">
        <v>22.9</v>
      </c>
      <c r="CZ433">
        <v>23.1</v>
      </c>
      <c r="DA433">
        <v>35.9</v>
      </c>
      <c r="DB433">
        <v>9.1</v>
      </c>
      <c r="DC433">
        <v>13.8</v>
      </c>
      <c r="DD433">
        <v>16.3</v>
      </c>
      <c r="DE433">
        <v>22.8</v>
      </c>
      <c r="DF433">
        <v>11.4</v>
      </c>
      <c r="DG433">
        <v>21.3</v>
      </c>
      <c r="DH433">
        <v>20.9</v>
      </c>
      <c r="DI433">
        <v>35.1</v>
      </c>
      <c r="DJ433">
        <v>9.4</v>
      </c>
      <c r="DK433">
        <v>14.5</v>
      </c>
      <c r="DL433">
        <v>17.5</v>
      </c>
      <c r="DM433">
        <v>24.8</v>
      </c>
      <c r="DN433">
        <v>41.6</v>
      </c>
      <c r="DO433">
        <v>58.9</v>
      </c>
      <c r="DP433">
        <v>56</v>
      </c>
      <c r="DQ433">
        <v>81.400000000000006</v>
      </c>
      <c r="DR433">
        <v>29.4</v>
      </c>
      <c r="DS433">
        <v>48.8</v>
      </c>
      <c r="DT433">
        <v>38.299999999999997</v>
      </c>
      <c r="DU433">
        <v>60.7</v>
      </c>
      <c r="DV433" t="s">
        <v>721</v>
      </c>
    </row>
    <row r="434" spans="1:126" x14ac:dyDescent="0.35">
      <c r="A434" t="s">
        <v>722</v>
      </c>
      <c r="B434">
        <v>230110</v>
      </c>
      <c r="C434" s="1">
        <v>44936</v>
      </c>
      <c r="D434" t="s">
        <v>723</v>
      </c>
      <c r="E434" t="s">
        <v>227</v>
      </c>
      <c r="F434" t="s">
        <v>185</v>
      </c>
      <c r="G434" t="s">
        <v>724</v>
      </c>
      <c r="H434">
        <v>8352</v>
      </c>
      <c r="I434" s="17">
        <v>2114</v>
      </c>
      <c r="J434" s="17">
        <v>4604</v>
      </c>
      <c r="K434">
        <v>424</v>
      </c>
      <c r="L434">
        <v>4452</v>
      </c>
      <c r="M434">
        <v>2115</v>
      </c>
      <c r="N434">
        <v>6990</v>
      </c>
      <c r="O434">
        <v>7143</v>
      </c>
      <c r="P434">
        <v>1362</v>
      </c>
      <c r="Q434">
        <v>1209</v>
      </c>
      <c r="R434">
        <v>8352</v>
      </c>
      <c r="S434">
        <v>2114</v>
      </c>
      <c r="T434">
        <v>4604</v>
      </c>
      <c r="U434">
        <v>424</v>
      </c>
      <c r="V434">
        <v>4452</v>
      </c>
      <c r="W434">
        <v>2115</v>
      </c>
      <c r="X434">
        <v>6990</v>
      </c>
      <c r="Y434">
        <v>7143</v>
      </c>
      <c r="Z434">
        <v>1362</v>
      </c>
      <c r="AA434">
        <v>1209</v>
      </c>
      <c r="AB434">
        <v>0</v>
      </c>
      <c r="AC434">
        <v>0</v>
      </c>
      <c r="AD434">
        <v>0</v>
      </c>
      <c r="AE434">
        <v>0</v>
      </c>
      <c r="AF434">
        <v>0</v>
      </c>
      <c r="AG434">
        <v>0</v>
      </c>
      <c r="AH434">
        <v>0</v>
      </c>
      <c r="AI434">
        <v>0</v>
      </c>
      <c r="AJ434">
        <v>0</v>
      </c>
      <c r="AK434">
        <v>0</v>
      </c>
      <c r="AL434">
        <v>-104</v>
      </c>
      <c r="AM434">
        <v>-6</v>
      </c>
      <c r="AN434">
        <v>-58</v>
      </c>
      <c r="AO434">
        <v>58</v>
      </c>
      <c r="AP434">
        <v>-248</v>
      </c>
      <c r="AQ434">
        <v>-163</v>
      </c>
      <c r="AR434">
        <v>-196</v>
      </c>
      <c r="AS434">
        <v>-163</v>
      </c>
      <c r="AT434">
        <v>92</v>
      </c>
      <c r="AU434">
        <v>59</v>
      </c>
      <c r="AV434">
        <v>100</v>
      </c>
      <c r="AW434">
        <v>25.3</v>
      </c>
      <c r="AX434">
        <v>55.1</v>
      </c>
      <c r="AY434">
        <v>5.0999999999999996</v>
      </c>
      <c r="AZ434">
        <v>53.3</v>
      </c>
      <c r="BA434">
        <v>25.3</v>
      </c>
      <c r="BB434">
        <v>83.7</v>
      </c>
      <c r="BC434">
        <v>85.5</v>
      </c>
      <c r="BD434">
        <v>16.3</v>
      </c>
      <c r="BE434">
        <v>14.5</v>
      </c>
      <c r="BF434">
        <v>100</v>
      </c>
      <c r="BG434">
        <v>25.3</v>
      </c>
      <c r="BH434">
        <v>55.1</v>
      </c>
      <c r="BI434">
        <v>5.0999999999999996</v>
      </c>
      <c r="BJ434">
        <v>53.3</v>
      </c>
      <c r="BK434">
        <v>25.3</v>
      </c>
      <c r="BL434">
        <v>83.7</v>
      </c>
      <c r="BM434">
        <v>85.5</v>
      </c>
      <c r="BN434">
        <v>16.3</v>
      </c>
      <c r="BO434">
        <v>14.5</v>
      </c>
      <c r="BP434">
        <v>0</v>
      </c>
      <c r="BQ434">
        <v>0</v>
      </c>
      <c r="BR434">
        <v>0</v>
      </c>
      <c r="BS434">
        <v>0</v>
      </c>
      <c r="BT434">
        <v>0</v>
      </c>
      <c r="BU434">
        <v>0</v>
      </c>
      <c r="BV434">
        <v>0</v>
      </c>
      <c r="BW434">
        <v>0</v>
      </c>
      <c r="BX434">
        <v>0</v>
      </c>
      <c r="BY434">
        <v>0</v>
      </c>
      <c r="BZ434">
        <v>98</v>
      </c>
      <c r="CA434">
        <v>20</v>
      </c>
      <c r="CB434">
        <v>38</v>
      </c>
      <c r="CC434">
        <v>9</v>
      </c>
      <c r="CD434">
        <v>22</v>
      </c>
      <c r="CE434">
        <v>20</v>
      </c>
      <c r="CF434">
        <v>48</v>
      </c>
      <c r="CG434">
        <v>62</v>
      </c>
      <c r="CH434">
        <v>98</v>
      </c>
      <c r="CI434">
        <v>20</v>
      </c>
      <c r="CJ434">
        <v>38</v>
      </c>
      <c r="CK434">
        <v>9</v>
      </c>
      <c r="CL434">
        <v>22</v>
      </c>
      <c r="CM434">
        <v>20</v>
      </c>
      <c r="CN434">
        <v>48</v>
      </c>
      <c r="CO434">
        <v>62</v>
      </c>
      <c r="CP434">
        <v>0</v>
      </c>
      <c r="CQ434">
        <v>0</v>
      </c>
      <c r="CR434">
        <v>0</v>
      </c>
      <c r="CS434">
        <v>0</v>
      </c>
      <c r="CT434">
        <v>0</v>
      </c>
      <c r="CU434">
        <v>0</v>
      </c>
      <c r="CV434">
        <v>0</v>
      </c>
      <c r="CW434">
        <v>0</v>
      </c>
      <c r="CX434">
        <v>26.7</v>
      </c>
      <c r="CY434">
        <v>21.5</v>
      </c>
      <c r="CZ434">
        <v>42.3</v>
      </c>
      <c r="DA434">
        <v>37.6</v>
      </c>
      <c r="DB434">
        <v>26.6</v>
      </c>
      <c r="DC434">
        <v>21.5</v>
      </c>
      <c r="DD434">
        <v>42.2</v>
      </c>
      <c r="DE434">
        <v>37.200000000000003</v>
      </c>
      <c r="DF434">
        <v>26.7</v>
      </c>
      <c r="DG434">
        <v>21.5</v>
      </c>
      <c r="DH434">
        <v>42.3</v>
      </c>
      <c r="DI434">
        <v>37.6</v>
      </c>
      <c r="DJ434">
        <v>26.6</v>
      </c>
      <c r="DK434">
        <v>21.5</v>
      </c>
      <c r="DL434">
        <v>42.2</v>
      </c>
      <c r="DM434">
        <v>37.200000000000003</v>
      </c>
      <c r="DN434">
        <v>0</v>
      </c>
      <c r="DO434">
        <v>0</v>
      </c>
      <c r="DP434">
        <v>0</v>
      </c>
      <c r="DQ434">
        <v>0</v>
      </c>
      <c r="DR434">
        <v>0</v>
      </c>
      <c r="DS434">
        <v>0</v>
      </c>
      <c r="DT434">
        <v>0</v>
      </c>
      <c r="DU434">
        <v>0</v>
      </c>
      <c r="DV434" t="s">
        <v>725</v>
      </c>
    </row>
    <row r="435" spans="1:126" x14ac:dyDescent="0.35">
      <c r="A435" t="s">
        <v>722</v>
      </c>
      <c r="B435">
        <v>230103</v>
      </c>
      <c r="C435" s="1">
        <v>44929</v>
      </c>
      <c r="D435" t="s">
        <v>723</v>
      </c>
      <c r="E435" t="s">
        <v>227</v>
      </c>
      <c r="F435" t="s">
        <v>185</v>
      </c>
      <c r="G435" t="s">
        <v>724</v>
      </c>
      <c r="H435">
        <v>8456</v>
      </c>
      <c r="I435" s="17">
        <v>2120</v>
      </c>
      <c r="J435" s="17">
        <v>4662</v>
      </c>
      <c r="K435">
        <v>366</v>
      </c>
      <c r="L435">
        <v>4700</v>
      </c>
      <c r="M435">
        <v>2278</v>
      </c>
      <c r="N435">
        <v>7186</v>
      </c>
      <c r="O435">
        <v>7306</v>
      </c>
      <c r="P435">
        <v>1270</v>
      </c>
      <c r="Q435">
        <v>1150</v>
      </c>
      <c r="R435">
        <v>8456</v>
      </c>
      <c r="S435">
        <v>2120</v>
      </c>
      <c r="T435">
        <v>4662</v>
      </c>
      <c r="U435">
        <v>366</v>
      </c>
      <c r="V435">
        <v>4700</v>
      </c>
      <c r="W435">
        <v>2278</v>
      </c>
      <c r="X435">
        <v>7186</v>
      </c>
      <c r="Y435">
        <v>7306</v>
      </c>
      <c r="Z435">
        <v>1270</v>
      </c>
      <c r="AA435">
        <v>1150</v>
      </c>
      <c r="AB435">
        <v>0</v>
      </c>
      <c r="AC435">
        <v>0</v>
      </c>
      <c r="AD435">
        <v>0</v>
      </c>
      <c r="AE435">
        <v>0</v>
      </c>
      <c r="AF435">
        <v>0</v>
      </c>
      <c r="AG435">
        <v>0</v>
      </c>
      <c r="AH435">
        <v>0</v>
      </c>
      <c r="AI435">
        <v>0</v>
      </c>
      <c r="AJ435">
        <v>0</v>
      </c>
      <c r="AK435">
        <v>0</v>
      </c>
      <c r="AL435">
        <v>181</v>
      </c>
      <c r="AM435">
        <v>-38</v>
      </c>
      <c r="AN435">
        <v>298</v>
      </c>
      <c r="AO435">
        <v>2</v>
      </c>
      <c r="AP435">
        <v>107</v>
      </c>
      <c r="AQ435">
        <v>-7</v>
      </c>
      <c r="AR435">
        <v>71</v>
      </c>
      <c r="AS435">
        <v>293</v>
      </c>
      <c r="AT435">
        <v>110</v>
      </c>
      <c r="AU435">
        <v>-112</v>
      </c>
      <c r="AV435">
        <v>100</v>
      </c>
      <c r="AW435">
        <v>25.1</v>
      </c>
      <c r="AX435">
        <v>55.1</v>
      </c>
      <c r="AY435">
        <v>4.3</v>
      </c>
      <c r="AZ435">
        <v>55.6</v>
      </c>
      <c r="BA435">
        <v>26.9</v>
      </c>
      <c r="BB435">
        <v>85</v>
      </c>
      <c r="BC435">
        <v>86.4</v>
      </c>
      <c r="BD435">
        <v>15</v>
      </c>
      <c r="BE435">
        <v>13.6</v>
      </c>
      <c r="BF435">
        <v>100</v>
      </c>
      <c r="BG435">
        <v>25.1</v>
      </c>
      <c r="BH435">
        <v>55.1</v>
      </c>
      <c r="BI435">
        <v>4.3</v>
      </c>
      <c r="BJ435">
        <v>55.6</v>
      </c>
      <c r="BK435">
        <v>26.9</v>
      </c>
      <c r="BL435">
        <v>85</v>
      </c>
      <c r="BM435">
        <v>86.4</v>
      </c>
      <c r="BN435">
        <v>15</v>
      </c>
      <c r="BO435">
        <v>13.6</v>
      </c>
      <c r="BP435">
        <v>0</v>
      </c>
      <c r="BQ435">
        <v>0</v>
      </c>
      <c r="BR435">
        <v>0</v>
      </c>
      <c r="BS435">
        <v>0</v>
      </c>
      <c r="BT435">
        <v>0</v>
      </c>
      <c r="BU435">
        <v>0</v>
      </c>
      <c r="BV435">
        <v>0</v>
      </c>
      <c r="BW435">
        <v>0</v>
      </c>
      <c r="BX435">
        <v>0</v>
      </c>
      <c r="BY435">
        <v>0</v>
      </c>
      <c r="BZ435">
        <v>113</v>
      </c>
      <c r="CA435">
        <v>29</v>
      </c>
      <c r="CB435">
        <v>39</v>
      </c>
      <c r="CC435">
        <v>6</v>
      </c>
      <c r="CD435">
        <v>25</v>
      </c>
      <c r="CE435">
        <v>23</v>
      </c>
      <c r="CF435">
        <v>58</v>
      </c>
      <c r="CG435">
        <v>65</v>
      </c>
      <c r="CH435">
        <v>113</v>
      </c>
      <c r="CI435">
        <v>29</v>
      </c>
      <c r="CJ435">
        <v>39</v>
      </c>
      <c r="CK435">
        <v>6</v>
      </c>
      <c r="CL435">
        <v>25</v>
      </c>
      <c r="CM435">
        <v>23</v>
      </c>
      <c r="CN435">
        <v>58</v>
      </c>
      <c r="CO435">
        <v>65</v>
      </c>
      <c r="CP435">
        <v>0</v>
      </c>
      <c r="CQ435">
        <v>0</v>
      </c>
      <c r="CR435">
        <v>0</v>
      </c>
      <c r="CS435">
        <v>0</v>
      </c>
      <c r="CT435">
        <v>0</v>
      </c>
      <c r="CU435">
        <v>0</v>
      </c>
      <c r="CV435">
        <v>0</v>
      </c>
      <c r="CW435">
        <v>0</v>
      </c>
      <c r="CX435">
        <v>26.4</v>
      </c>
      <c r="CY435">
        <v>22</v>
      </c>
      <c r="CZ435">
        <v>42.2</v>
      </c>
      <c r="DA435">
        <v>37.9</v>
      </c>
      <c r="DB435">
        <v>26.3</v>
      </c>
      <c r="DC435">
        <v>22</v>
      </c>
      <c r="DD435">
        <v>42.1</v>
      </c>
      <c r="DE435">
        <v>37.9</v>
      </c>
      <c r="DF435">
        <v>26.4</v>
      </c>
      <c r="DG435">
        <v>22</v>
      </c>
      <c r="DH435">
        <v>42.2</v>
      </c>
      <c r="DI435">
        <v>37.9</v>
      </c>
      <c r="DJ435">
        <v>26.3</v>
      </c>
      <c r="DK435">
        <v>22</v>
      </c>
      <c r="DL435">
        <v>42.1</v>
      </c>
      <c r="DM435">
        <v>37.9</v>
      </c>
      <c r="DN435">
        <v>0</v>
      </c>
      <c r="DO435">
        <v>0</v>
      </c>
      <c r="DP435">
        <v>0</v>
      </c>
      <c r="DQ435">
        <v>0</v>
      </c>
      <c r="DR435">
        <v>0</v>
      </c>
      <c r="DS435">
        <v>0</v>
      </c>
      <c r="DT435">
        <v>0</v>
      </c>
      <c r="DU435">
        <v>0</v>
      </c>
      <c r="DV435" t="s">
        <v>725</v>
      </c>
    </row>
    <row r="436" spans="1:126" x14ac:dyDescent="0.35">
      <c r="A436" t="s">
        <v>726</v>
      </c>
      <c r="B436">
        <v>230110</v>
      </c>
      <c r="C436" s="1">
        <v>44936</v>
      </c>
      <c r="D436" t="s">
        <v>727</v>
      </c>
      <c r="E436" t="s">
        <v>227</v>
      </c>
      <c r="F436" t="s">
        <v>185</v>
      </c>
      <c r="G436" t="s">
        <v>728</v>
      </c>
      <c r="H436">
        <v>72216</v>
      </c>
      <c r="I436" s="17">
        <v>43745</v>
      </c>
      <c r="J436" s="17">
        <v>13043</v>
      </c>
      <c r="K436">
        <v>2511</v>
      </c>
      <c r="L436">
        <v>19128</v>
      </c>
      <c r="M436">
        <v>53474</v>
      </c>
      <c r="N436">
        <v>65384</v>
      </c>
      <c r="O436">
        <v>69028</v>
      </c>
      <c r="P436">
        <v>6832</v>
      </c>
      <c r="Q436">
        <v>3188</v>
      </c>
      <c r="R436">
        <v>72216</v>
      </c>
      <c r="S436">
        <v>43745</v>
      </c>
      <c r="T436">
        <v>13043</v>
      </c>
      <c r="U436">
        <v>2511</v>
      </c>
      <c r="V436">
        <v>19128</v>
      </c>
      <c r="W436">
        <v>53474</v>
      </c>
      <c r="X436">
        <v>65384</v>
      </c>
      <c r="Y436">
        <v>69028</v>
      </c>
      <c r="Z436">
        <v>6832</v>
      </c>
      <c r="AA436">
        <v>3188</v>
      </c>
      <c r="AB436">
        <v>0</v>
      </c>
      <c r="AC436">
        <v>0</v>
      </c>
      <c r="AD436">
        <v>0</v>
      </c>
      <c r="AE436">
        <v>0</v>
      </c>
      <c r="AF436">
        <v>0</v>
      </c>
      <c r="AG436">
        <v>0</v>
      </c>
      <c r="AH436">
        <v>0</v>
      </c>
      <c r="AI436">
        <v>0</v>
      </c>
      <c r="AJ436">
        <v>0</v>
      </c>
      <c r="AK436">
        <v>0</v>
      </c>
      <c r="AL436">
        <v>2529</v>
      </c>
      <c r="AM436">
        <v>2190</v>
      </c>
      <c r="AN436">
        <v>1991</v>
      </c>
      <c r="AO436">
        <v>-8</v>
      </c>
      <c r="AP436">
        <v>394</v>
      </c>
      <c r="AQ436">
        <v>1583</v>
      </c>
      <c r="AR436">
        <v>2576</v>
      </c>
      <c r="AS436">
        <v>3566</v>
      </c>
      <c r="AT436">
        <v>-47</v>
      </c>
      <c r="AU436">
        <v>-1037</v>
      </c>
      <c r="AV436">
        <v>100</v>
      </c>
      <c r="AW436">
        <v>60.6</v>
      </c>
      <c r="AX436">
        <v>18.100000000000001</v>
      </c>
      <c r="AY436">
        <v>3.5</v>
      </c>
      <c r="AZ436">
        <v>26.5</v>
      </c>
      <c r="BA436">
        <v>74</v>
      </c>
      <c r="BB436">
        <v>90.5</v>
      </c>
      <c r="BC436">
        <v>95.6</v>
      </c>
      <c r="BD436">
        <v>9.5</v>
      </c>
      <c r="BE436">
        <v>4.4000000000000004</v>
      </c>
      <c r="BF436">
        <v>100</v>
      </c>
      <c r="BG436">
        <v>60.6</v>
      </c>
      <c r="BH436">
        <v>18.100000000000001</v>
      </c>
      <c r="BI436">
        <v>3.5</v>
      </c>
      <c r="BJ436">
        <v>26.5</v>
      </c>
      <c r="BK436">
        <v>74</v>
      </c>
      <c r="BL436">
        <v>90.5</v>
      </c>
      <c r="BM436">
        <v>95.6</v>
      </c>
      <c r="BN436">
        <v>9.5</v>
      </c>
      <c r="BO436">
        <v>4.4000000000000004</v>
      </c>
      <c r="BP436">
        <v>0</v>
      </c>
      <c r="BQ436">
        <v>0</v>
      </c>
      <c r="BR436">
        <v>0</v>
      </c>
      <c r="BS436">
        <v>0</v>
      </c>
      <c r="BT436">
        <v>0</v>
      </c>
      <c r="BU436">
        <v>0</v>
      </c>
      <c r="BV436">
        <v>0</v>
      </c>
      <c r="BW436">
        <v>0</v>
      </c>
      <c r="BX436">
        <v>0</v>
      </c>
      <c r="BY436">
        <v>0</v>
      </c>
      <c r="BZ436">
        <v>227</v>
      </c>
      <c r="CA436">
        <v>121</v>
      </c>
      <c r="CB436">
        <v>34</v>
      </c>
      <c r="CC436">
        <v>25</v>
      </c>
      <c r="CD436">
        <v>32</v>
      </c>
      <c r="CE436">
        <v>51</v>
      </c>
      <c r="CF436">
        <v>165</v>
      </c>
      <c r="CG436">
        <v>99</v>
      </c>
      <c r="CH436">
        <v>227</v>
      </c>
      <c r="CI436">
        <v>121</v>
      </c>
      <c r="CJ436">
        <v>34</v>
      </c>
      <c r="CK436">
        <v>25</v>
      </c>
      <c r="CL436">
        <v>32</v>
      </c>
      <c r="CM436">
        <v>51</v>
      </c>
      <c r="CN436">
        <v>165</v>
      </c>
      <c r="CO436">
        <v>99</v>
      </c>
      <c r="CP436">
        <v>0</v>
      </c>
      <c r="CQ436">
        <v>0</v>
      </c>
      <c r="CR436">
        <v>0</v>
      </c>
      <c r="CS436">
        <v>0</v>
      </c>
      <c r="CT436">
        <v>0</v>
      </c>
      <c r="CU436">
        <v>0</v>
      </c>
      <c r="CV436">
        <v>0</v>
      </c>
      <c r="CW436">
        <v>0</v>
      </c>
      <c r="CX436">
        <v>20.100000000000001</v>
      </c>
      <c r="CY436">
        <v>48</v>
      </c>
      <c r="CZ436">
        <v>30.4</v>
      </c>
      <c r="DA436">
        <v>62.7</v>
      </c>
      <c r="DB436">
        <v>20</v>
      </c>
      <c r="DC436">
        <v>44.3</v>
      </c>
      <c r="DD436">
        <v>30.3</v>
      </c>
      <c r="DE436">
        <v>58.9</v>
      </c>
      <c r="DF436">
        <v>20.100000000000001</v>
      </c>
      <c r="DG436">
        <v>48</v>
      </c>
      <c r="DH436">
        <v>30.4</v>
      </c>
      <c r="DI436">
        <v>62.7</v>
      </c>
      <c r="DJ436">
        <v>20</v>
      </c>
      <c r="DK436">
        <v>44.3</v>
      </c>
      <c r="DL436">
        <v>30.3</v>
      </c>
      <c r="DM436">
        <v>58.9</v>
      </c>
      <c r="DN436">
        <v>0</v>
      </c>
      <c r="DO436">
        <v>0</v>
      </c>
      <c r="DP436">
        <v>0</v>
      </c>
      <c r="DQ436">
        <v>0</v>
      </c>
      <c r="DR436">
        <v>0</v>
      </c>
      <c r="DS436">
        <v>0</v>
      </c>
      <c r="DT436">
        <v>0</v>
      </c>
      <c r="DU436">
        <v>0</v>
      </c>
      <c r="DV436" t="s">
        <v>729</v>
      </c>
    </row>
    <row r="437" spans="1:126" x14ac:dyDescent="0.35">
      <c r="A437" t="s">
        <v>726</v>
      </c>
      <c r="B437">
        <v>230103</v>
      </c>
      <c r="C437" s="1">
        <v>44929</v>
      </c>
      <c r="D437" t="s">
        <v>727</v>
      </c>
      <c r="E437" t="s">
        <v>227</v>
      </c>
      <c r="F437" t="s">
        <v>185</v>
      </c>
      <c r="G437" t="s">
        <v>728</v>
      </c>
      <c r="H437">
        <v>69687</v>
      </c>
      <c r="I437" s="17">
        <v>41555</v>
      </c>
      <c r="J437" s="17">
        <v>11052</v>
      </c>
      <c r="K437">
        <v>2519</v>
      </c>
      <c r="L437">
        <v>18734</v>
      </c>
      <c r="M437">
        <v>51891</v>
      </c>
      <c r="N437">
        <v>62808</v>
      </c>
      <c r="O437">
        <v>65462</v>
      </c>
      <c r="P437">
        <v>6879</v>
      </c>
      <c r="Q437">
        <v>4225</v>
      </c>
      <c r="R437">
        <v>69687</v>
      </c>
      <c r="S437">
        <v>41555</v>
      </c>
      <c r="T437">
        <v>11052</v>
      </c>
      <c r="U437">
        <v>2519</v>
      </c>
      <c r="V437">
        <v>18734</v>
      </c>
      <c r="W437">
        <v>51891</v>
      </c>
      <c r="X437">
        <v>62808</v>
      </c>
      <c r="Y437">
        <v>65462</v>
      </c>
      <c r="Z437">
        <v>6879</v>
      </c>
      <c r="AA437">
        <v>4225</v>
      </c>
      <c r="AB437">
        <v>0</v>
      </c>
      <c r="AC437">
        <v>0</v>
      </c>
      <c r="AD437">
        <v>0</v>
      </c>
      <c r="AE437">
        <v>0</v>
      </c>
      <c r="AF437">
        <v>0</v>
      </c>
      <c r="AG437">
        <v>0</v>
      </c>
      <c r="AH437">
        <v>0</v>
      </c>
      <c r="AI437">
        <v>0</v>
      </c>
      <c r="AJ437">
        <v>0</v>
      </c>
      <c r="AK437">
        <v>0</v>
      </c>
      <c r="AL437">
        <v>2870</v>
      </c>
      <c r="AM437">
        <v>5229</v>
      </c>
      <c r="AN437">
        <v>-608</v>
      </c>
      <c r="AO437">
        <v>339</v>
      </c>
      <c r="AP437">
        <v>-1900</v>
      </c>
      <c r="AQ437">
        <v>1693</v>
      </c>
      <c r="AR437">
        <v>3668</v>
      </c>
      <c r="AS437">
        <v>1424</v>
      </c>
      <c r="AT437">
        <v>-798</v>
      </c>
      <c r="AU437">
        <v>1446</v>
      </c>
      <c r="AV437">
        <v>100</v>
      </c>
      <c r="AW437">
        <v>59.6</v>
      </c>
      <c r="AX437">
        <v>15.9</v>
      </c>
      <c r="AY437">
        <v>3.6</v>
      </c>
      <c r="AZ437">
        <v>26.9</v>
      </c>
      <c r="BA437">
        <v>74.5</v>
      </c>
      <c r="BB437">
        <v>90.1</v>
      </c>
      <c r="BC437">
        <v>93.9</v>
      </c>
      <c r="BD437">
        <v>9.9</v>
      </c>
      <c r="BE437">
        <v>6.1</v>
      </c>
      <c r="BF437">
        <v>100</v>
      </c>
      <c r="BG437">
        <v>59.6</v>
      </c>
      <c r="BH437">
        <v>15.9</v>
      </c>
      <c r="BI437">
        <v>3.6</v>
      </c>
      <c r="BJ437">
        <v>26.9</v>
      </c>
      <c r="BK437">
        <v>74.5</v>
      </c>
      <c r="BL437">
        <v>90.1</v>
      </c>
      <c r="BM437">
        <v>93.9</v>
      </c>
      <c r="BN437">
        <v>9.9</v>
      </c>
      <c r="BO437">
        <v>6.1</v>
      </c>
      <c r="BP437">
        <v>0</v>
      </c>
      <c r="BQ437">
        <v>0</v>
      </c>
      <c r="BR437">
        <v>0</v>
      </c>
      <c r="BS437">
        <v>0</v>
      </c>
      <c r="BT437">
        <v>0</v>
      </c>
      <c r="BU437">
        <v>0</v>
      </c>
      <c r="BV437">
        <v>0</v>
      </c>
      <c r="BW437">
        <v>0</v>
      </c>
      <c r="BX437">
        <v>0</v>
      </c>
      <c r="BY437">
        <v>0</v>
      </c>
      <c r="BZ437">
        <v>224</v>
      </c>
      <c r="CA437">
        <v>117</v>
      </c>
      <c r="CB437">
        <v>36</v>
      </c>
      <c r="CC437">
        <v>24</v>
      </c>
      <c r="CD437">
        <v>32</v>
      </c>
      <c r="CE437">
        <v>47</v>
      </c>
      <c r="CF437">
        <v>158</v>
      </c>
      <c r="CG437">
        <v>98</v>
      </c>
      <c r="CH437">
        <v>224</v>
      </c>
      <c r="CI437">
        <v>117</v>
      </c>
      <c r="CJ437">
        <v>36</v>
      </c>
      <c r="CK437">
        <v>24</v>
      </c>
      <c r="CL437">
        <v>32</v>
      </c>
      <c r="CM437">
        <v>47</v>
      </c>
      <c r="CN437">
        <v>158</v>
      </c>
      <c r="CO437">
        <v>98</v>
      </c>
      <c r="CP437">
        <v>0</v>
      </c>
      <c r="CQ437">
        <v>0</v>
      </c>
      <c r="CR437">
        <v>0</v>
      </c>
      <c r="CS437">
        <v>0</v>
      </c>
      <c r="CT437">
        <v>0</v>
      </c>
      <c r="CU437">
        <v>0</v>
      </c>
      <c r="CV437">
        <v>0</v>
      </c>
      <c r="CW437">
        <v>0</v>
      </c>
      <c r="CX437">
        <v>20.5</v>
      </c>
      <c r="CY437">
        <v>46.7</v>
      </c>
      <c r="CZ437">
        <v>29.9</v>
      </c>
      <c r="DA437">
        <v>61.6</v>
      </c>
      <c r="DB437">
        <v>20.5</v>
      </c>
      <c r="DC437">
        <v>43.6</v>
      </c>
      <c r="DD437">
        <v>29.9</v>
      </c>
      <c r="DE437">
        <v>58.5</v>
      </c>
      <c r="DF437">
        <v>20.5</v>
      </c>
      <c r="DG437">
        <v>46.7</v>
      </c>
      <c r="DH437">
        <v>29.9</v>
      </c>
      <c r="DI437">
        <v>61.6</v>
      </c>
      <c r="DJ437">
        <v>20.5</v>
      </c>
      <c r="DK437">
        <v>43.6</v>
      </c>
      <c r="DL437">
        <v>29.9</v>
      </c>
      <c r="DM437">
        <v>58.5</v>
      </c>
      <c r="DN437">
        <v>0</v>
      </c>
      <c r="DO437">
        <v>0</v>
      </c>
      <c r="DP437">
        <v>0</v>
      </c>
      <c r="DQ437">
        <v>0</v>
      </c>
      <c r="DR437">
        <v>0</v>
      </c>
      <c r="DS437">
        <v>0</v>
      </c>
      <c r="DT437">
        <v>0</v>
      </c>
      <c r="DU437">
        <v>0</v>
      </c>
      <c r="DV437" t="s">
        <v>729</v>
      </c>
    </row>
    <row r="438" spans="1:126" x14ac:dyDescent="0.35">
      <c r="A438" t="s">
        <v>730</v>
      </c>
      <c r="B438">
        <v>230110</v>
      </c>
      <c r="C438" s="1">
        <v>44936</v>
      </c>
      <c r="D438" t="s">
        <v>731</v>
      </c>
      <c r="E438" t="s">
        <v>393</v>
      </c>
      <c r="F438" t="s">
        <v>185</v>
      </c>
      <c r="G438" t="s">
        <v>732</v>
      </c>
      <c r="H438">
        <v>905839</v>
      </c>
      <c r="I438" s="17">
        <v>274296</v>
      </c>
      <c r="J438" s="17">
        <v>86583</v>
      </c>
      <c r="K438">
        <v>141691</v>
      </c>
      <c r="L438">
        <v>399818</v>
      </c>
      <c r="M438">
        <v>632327</v>
      </c>
      <c r="N438">
        <v>815805</v>
      </c>
      <c r="O438">
        <v>860601</v>
      </c>
      <c r="P438">
        <v>90034</v>
      </c>
      <c r="Q438">
        <v>45238</v>
      </c>
      <c r="R438">
        <v>905839</v>
      </c>
      <c r="S438">
        <v>274296</v>
      </c>
      <c r="T438">
        <v>86583</v>
      </c>
      <c r="U438">
        <v>141691</v>
      </c>
      <c r="V438">
        <v>399818</v>
      </c>
      <c r="W438">
        <v>632327</v>
      </c>
      <c r="X438">
        <v>815805</v>
      </c>
      <c r="Y438">
        <v>860601</v>
      </c>
      <c r="Z438">
        <v>90034</v>
      </c>
      <c r="AA438">
        <v>45238</v>
      </c>
      <c r="AB438">
        <v>0</v>
      </c>
      <c r="AC438">
        <v>0</v>
      </c>
      <c r="AD438">
        <v>0</v>
      </c>
      <c r="AE438">
        <v>0</v>
      </c>
      <c r="AF438">
        <v>0</v>
      </c>
      <c r="AG438">
        <v>0</v>
      </c>
      <c r="AH438">
        <v>0</v>
      </c>
      <c r="AI438">
        <v>0</v>
      </c>
      <c r="AJ438">
        <v>0</v>
      </c>
      <c r="AK438">
        <v>0</v>
      </c>
      <c r="AL438">
        <v>-34182</v>
      </c>
      <c r="AM438">
        <v>-51389</v>
      </c>
      <c r="AN438">
        <v>-10610</v>
      </c>
      <c r="AO438">
        <v>2361</v>
      </c>
      <c r="AP438">
        <v>18732</v>
      </c>
      <c r="AQ438">
        <v>-22256</v>
      </c>
      <c r="AR438">
        <v>-30296</v>
      </c>
      <c r="AS438">
        <v>-30505</v>
      </c>
      <c r="AT438">
        <v>-3886</v>
      </c>
      <c r="AU438">
        <v>-3677</v>
      </c>
      <c r="AV438">
        <v>100</v>
      </c>
      <c r="AW438">
        <v>30.3</v>
      </c>
      <c r="AX438">
        <v>9.6</v>
      </c>
      <c r="AY438">
        <v>15.6</v>
      </c>
      <c r="AZ438">
        <v>44.1</v>
      </c>
      <c r="BA438">
        <v>69.8</v>
      </c>
      <c r="BB438">
        <v>90.1</v>
      </c>
      <c r="BC438">
        <v>95</v>
      </c>
      <c r="BD438">
        <v>9.9</v>
      </c>
      <c r="BE438">
        <v>5</v>
      </c>
      <c r="BF438">
        <v>100</v>
      </c>
      <c r="BG438">
        <v>30.3</v>
      </c>
      <c r="BH438">
        <v>9.6</v>
      </c>
      <c r="BI438">
        <v>15.6</v>
      </c>
      <c r="BJ438">
        <v>44.1</v>
      </c>
      <c r="BK438">
        <v>69.8</v>
      </c>
      <c r="BL438">
        <v>90.1</v>
      </c>
      <c r="BM438">
        <v>95</v>
      </c>
      <c r="BN438">
        <v>9.9</v>
      </c>
      <c r="BO438">
        <v>5</v>
      </c>
      <c r="BP438">
        <v>0</v>
      </c>
      <c r="BQ438">
        <v>0</v>
      </c>
      <c r="BR438">
        <v>0</v>
      </c>
      <c r="BS438">
        <v>0</v>
      </c>
      <c r="BT438">
        <v>0</v>
      </c>
      <c r="BU438">
        <v>0</v>
      </c>
      <c r="BV438">
        <v>0</v>
      </c>
      <c r="BW438">
        <v>0</v>
      </c>
      <c r="BX438">
        <v>0</v>
      </c>
      <c r="BY438">
        <v>0</v>
      </c>
      <c r="BZ438">
        <v>253</v>
      </c>
      <c r="CA438">
        <v>103</v>
      </c>
      <c r="CB438">
        <v>45</v>
      </c>
      <c r="CC438">
        <v>76</v>
      </c>
      <c r="CD438">
        <v>77</v>
      </c>
      <c r="CE438">
        <v>84</v>
      </c>
      <c r="CF438">
        <v>214</v>
      </c>
      <c r="CG438">
        <v>175</v>
      </c>
      <c r="CH438">
        <v>253</v>
      </c>
      <c r="CI438">
        <v>103</v>
      </c>
      <c r="CJ438">
        <v>45</v>
      </c>
      <c r="CK438">
        <v>76</v>
      </c>
      <c r="CL438">
        <v>77</v>
      </c>
      <c r="CM438">
        <v>84</v>
      </c>
      <c r="CN438">
        <v>214</v>
      </c>
      <c r="CO438">
        <v>175</v>
      </c>
      <c r="CP438">
        <v>0</v>
      </c>
      <c r="CQ438">
        <v>0</v>
      </c>
      <c r="CR438">
        <v>0</v>
      </c>
      <c r="CS438">
        <v>0</v>
      </c>
      <c r="CT438">
        <v>0</v>
      </c>
      <c r="CU438">
        <v>0</v>
      </c>
      <c r="CV438">
        <v>0</v>
      </c>
      <c r="CW438">
        <v>0</v>
      </c>
      <c r="CX438">
        <v>10.9</v>
      </c>
      <c r="CY438">
        <v>24.1</v>
      </c>
      <c r="CZ438">
        <v>19.100000000000001</v>
      </c>
      <c r="DA438">
        <v>39.5</v>
      </c>
      <c r="DB438">
        <v>8.1999999999999993</v>
      </c>
      <c r="DC438">
        <v>19.3</v>
      </c>
      <c r="DD438">
        <v>14</v>
      </c>
      <c r="DE438">
        <v>29.6</v>
      </c>
      <c r="DF438">
        <v>10.9</v>
      </c>
      <c r="DG438">
        <v>24.1</v>
      </c>
      <c r="DH438">
        <v>19.100000000000001</v>
      </c>
      <c r="DI438">
        <v>39.5</v>
      </c>
      <c r="DJ438">
        <v>8.1999999999999993</v>
      </c>
      <c r="DK438">
        <v>19.3</v>
      </c>
      <c r="DL438">
        <v>14</v>
      </c>
      <c r="DM438">
        <v>29.6</v>
      </c>
      <c r="DN438">
        <v>0</v>
      </c>
      <c r="DO438">
        <v>0</v>
      </c>
      <c r="DP438">
        <v>0</v>
      </c>
      <c r="DQ438">
        <v>0</v>
      </c>
      <c r="DR438">
        <v>0</v>
      </c>
      <c r="DS438">
        <v>0</v>
      </c>
      <c r="DT438">
        <v>0</v>
      </c>
      <c r="DU438">
        <v>0</v>
      </c>
      <c r="DV438" t="s">
        <v>733</v>
      </c>
    </row>
    <row r="439" spans="1:126" x14ac:dyDescent="0.35">
      <c r="A439" t="s">
        <v>730</v>
      </c>
      <c r="B439">
        <v>230103</v>
      </c>
      <c r="C439" s="1">
        <v>44929</v>
      </c>
      <c r="D439" t="s">
        <v>731</v>
      </c>
      <c r="E439" t="s">
        <v>393</v>
      </c>
      <c r="F439" t="s">
        <v>185</v>
      </c>
      <c r="G439" t="s">
        <v>732</v>
      </c>
      <c r="H439">
        <v>940021</v>
      </c>
      <c r="I439" s="17">
        <v>325685</v>
      </c>
      <c r="J439" s="17">
        <v>97193</v>
      </c>
      <c r="K439">
        <v>139330</v>
      </c>
      <c r="L439">
        <v>381086</v>
      </c>
      <c r="M439">
        <v>654583</v>
      </c>
      <c r="N439">
        <v>846101</v>
      </c>
      <c r="O439">
        <v>891106</v>
      </c>
      <c r="P439">
        <v>93920</v>
      </c>
      <c r="Q439">
        <v>48915</v>
      </c>
      <c r="R439">
        <v>940021</v>
      </c>
      <c r="S439">
        <v>325685</v>
      </c>
      <c r="T439">
        <v>97193</v>
      </c>
      <c r="U439">
        <v>139330</v>
      </c>
      <c r="V439">
        <v>381086</v>
      </c>
      <c r="W439">
        <v>654583</v>
      </c>
      <c r="X439">
        <v>846101</v>
      </c>
      <c r="Y439">
        <v>891106</v>
      </c>
      <c r="Z439">
        <v>93920</v>
      </c>
      <c r="AA439">
        <v>48915</v>
      </c>
      <c r="AB439">
        <v>0</v>
      </c>
      <c r="AC439">
        <v>0</v>
      </c>
      <c r="AD439">
        <v>0</v>
      </c>
      <c r="AE439">
        <v>0</v>
      </c>
      <c r="AF439">
        <v>0</v>
      </c>
      <c r="AG439">
        <v>0</v>
      </c>
      <c r="AH439">
        <v>0</v>
      </c>
      <c r="AI439">
        <v>0</v>
      </c>
      <c r="AJ439">
        <v>0</v>
      </c>
      <c r="AK439">
        <v>0</v>
      </c>
      <c r="AL439">
        <v>-3780</v>
      </c>
      <c r="AM439">
        <v>-16797</v>
      </c>
      <c r="AN439">
        <v>1141</v>
      </c>
      <c r="AO439">
        <v>11862</v>
      </c>
      <c r="AP439">
        <v>7453</v>
      </c>
      <c r="AQ439">
        <v>-15805</v>
      </c>
      <c r="AR439">
        <v>2518</v>
      </c>
      <c r="AS439">
        <v>-2802</v>
      </c>
      <c r="AT439">
        <v>-6298</v>
      </c>
      <c r="AU439">
        <v>-978</v>
      </c>
      <c r="AV439">
        <v>100</v>
      </c>
      <c r="AW439">
        <v>34.6</v>
      </c>
      <c r="AX439">
        <v>10.3</v>
      </c>
      <c r="AY439">
        <v>14.8</v>
      </c>
      <c r="AZ439">
        <v>40.5</v>
      </c>
      <c r="BA439">
        <v>69.599999999999994</v>
      </c>
      <c r="BB439">
        <v>90</v>
      </c>
      <c r="BC439">
        <v>94.8</v>
      </c>
      <c r="BD439">
        <v>10</v>
      </c>
      <c r="BE439">
        <v>5.2</v>
      </c>
      <c r="BF439">
        <v>100</v>
      </c>
      <c r="BG439">
        <v>34.6</v>
      </c>
      <c r="BH439">
        <v>10.3</v>
      </c>
      <c r="BI439">
        <v>14.8</v>
      </c>
      <c r="BJ439">
        <v>40.5</v>
      </c>
      <c r="BK439">
        <v>69.599999999999994</v>
      </c>
      <c r="BL439">
        <v>90</v>
      </c>
      <c r="BM439">
        <v>94.8</v>
      </c>
      <c r="BN439">
        <v>10</v>
      </c>
      <c r="BO439">
        <v>5.2</v>
      </c>
      <c r="BP439">
        <v>0</v>
      </c>
      <c r="BQ439">
        <v>0</v>
      </c>
      <c r="BR439">
        <v>0</v>
      </c>
      <c r="BS439">
        <v>0</v>
      </c>
      <c r="BT439">
        <v>0</v>
      </c>
      <c r="BU439">
        <v>0</v>
      </c>
      <c r="BV439">
        <v>0</v>
      </c>
      <c r="BW439">
        <v>0</v>
      </c>
      <c r="BX439">
        <v>0</v>
      </c>
      <c r="BY439">
        <v>0</v>
      </c>
      <c r="BZ439">
        <v>264</v>
      </c>
      <c r="CA439">
        <v>108</v>
      </c>
      <c r="CB439">
        <v>46</v>
      </c>
      <c r="CC439">
        <v>76</v>
      </c>
      <c r="CD439">
        <v>80</v>
      </c>
      <c r="CE439">
        <v>84</v>
      </c>
      <c r="CF439">
        <v>226</v>
      </c>
      <c r="CG439">
        <v>175</v>
      </c>
      <c r="CH439">
        <v>264</v>
      </c>
      <c r="CI439">
        <v>108</v>
      </c>
      <c r="CJ439">
        <v>46</v>
      </c>
      <c r="CK439">
        <v>76</v>
      </c>
      <c r="CL439">
        <v>80</v>
      </c>
      <c r="CM439">
        <v>84</v>
      </c>
      <c r="CN439">
        <v>226</v>
      </c>
      <c r="CO439">
        <v>175</v>
      </c>
      <c r="CP439">
        <v>0</v>
      </c>
      <c r="CQ439">
        <v>0</v>
      </c>
      <c r="CR439">
        <v>0</v>
      </c>
      <c r="CS439">
        <v>0</v>
      </c>
      <c r="CT439">
        <v>0</v>
      </c>
      <c r="CU439">
        <v>0</v>
      </c>
      <c r="CV439">
        <v>0</v>
      </c>
      <c r="CW439">
        <v>0</v>
      </c>
      <c r="CX439">
        <v>10.3</v>
      </c>
      <c r="CY439">
        <v>23.5</v>
      </c>
      <c r="CZ439">
        <v>18</v>
      </c>
      <c r="DA439">
        <v>38</v>
      </c>
      <c r="DB439">
        <v>8.5</v>
      </c>
      <c r="DC439">
        <v>19.2</v>
      </c>
      <c r="DD439">
        <v>14.8</v>
      </c>
      <c r="DE439">
        <v>30.1</v>
      </c>
      <c r="DF439">
        <v>10.3</v>
      </c>
      <c r="DG439">
        <v>23.5</v>
      </c>
      <c r="DH439">
        <v>18</v>
      </c>
      <c r="DI439">
        <v>38</v>
      </c>
      <c r="DJ439">
        <v>8.5</v>
      </c>
      <c r="DK439">
        <v>19.2</v>
      </c>
      <c r="DL439">
        <v>14.8</v>
      </c>
      <c r="DM439">
        <v>30.1</v>
      </c>
      <c r="DN439">
        <v>0</v>
      </c>
      <c r="DO439">
        <v>0</v>
      </c>
      <c r="DP439">
        <v>0</v>
      </c>
      <c r="DQ439">
        <v>0</v>
      </c>
      <c r="DR439">
        <v>0</v>
      </c>
      <c r="DS439">
        <v>0</v>
      </c>
      <c r="DT439">
        <v>0</v>
      </c>
      <c r="DU439">
        <v>0</v>
      </c>
      <c r="DV439" t="s">
        <v>733</v>
      </c>
    </row>
    <row r="440" spans="1:126" x14ac:dyDescent="0.35">
      <c r="A440" t="s">
        <v>734</v>
      </c>
      <c r="B440">
        <v>230110</v>
      </c>
      <c r="C440" s="1">
        <v>44936</v>
      </c>
      <c r="D440" t="s">
        <v>735</v>
      </c>
      <c r="E440" t="s">
        <v>393</v>
      </c>
      <c r="F440" t="s">
        <v>185</v>
      </c>
      <c r="G440" t="s">
        <v>736</v>
      </c>
      <c r="H440">
        <v>210169</v>
      </c>
      <c r="I440" s="17">
        <v>48809</v>
      </c>
      <c r="J440" s="17">
        <v>63548</v>
      </c>
      <c r="K440">
        <v>40862</v>
      </c>
      <c r="L440">
        <v>108900</v>
      </c>
      <c r="M440">
        <v>97590</v>
      </c>
      <c r="N440">
        <v>198571</v>
      </c>
      <c r="O440">
        <v>202000</v>
      </c>
      <c r="P440">
        <v>11598</v>
      </c>
      <c r="Q440">
        <v>8169</v>
      </c>
      <c r="R440">
        <v>188108</v>
      </c>
      <c r="S440">
        <v>47947</v>
      </c>
      <c r="T440">
        <v>66632</v>
      </c>
      <c r="U440">
        <v>32241</v>
      </c>
      <c r="V440">
        <v>98865</v>
      </c>
      <c r="W440">
        <v>81451</v>
      </c>
      <c r="X440">
        <v>179053</v>
      </c>
      <c r="Y440">
        <v>180324</v>
      </c>
      <c r="Z440">
        <v>9055</v>
      </c>
      <c r="AA440">
        <v>7784</v>
      </c>
      <c r="AB440">
        <v>22061</v>
      </c>
      <c r="AC440">
        <v>8167</v>
      </c>
      <c r="AD440">
        <v>4221</v>
      </c>
      <c r="AE440">
        <v>1316</v>
      </c>
      <c r="AF440">
        <v>10035</v>
      </c>
      <c r="AG440">
        <v>16139</v>
      </c>
      <c r="AH440">
        <v>19518</v>
      </c>
      <c r="AI440">
        <v>21676</v>
      </c>
      <c r="AJ440">
        <v>2543</v>
      </c>
      <c r="AK440">
        <v>385</v>
      </c>
      <c r="AL440">
        <v>22402</v>
      </c>
      <c r="AM440">
        <v>2398</v>
      </c>
      <c r="AN440">
        <v>16325</v>
      </c>
      <c r="AO440">
        <v>5358</v>
      </c>
      <c r="AP440">
        <v>12477</v>
      </c>
      <c r="AQ440">
        <v>526</v>
      </c>
      <c r="AR440">
        <v>20233</v>
      </c>
      <c r="AS440">
        <v>22209</v>
      </c>
      <c r="AT440">
        <v>2169</v>
      </c>
      <c r="AU440">
        <v>193</v>
      </c>
      <c r="AV440">
        <v>100</v>
      </c>
      <c r="AW440">
        <v>23.2</v>
      </c>
      <c r="AX440">
        <v>30.2</v>
      </c>
      <c r="AY440">
        <v>19.399999999999999</v>
      </c>
      <c r="AZ440">
        <v>51.8</v>
      </c>
      <c r="BA440">
        <v>46.4</v>
      </c>
      <c r="BB440">
        <v>94.5</v>
      </c>
      <c r="BC440">
        <v>96.1</v>
      </c>
      <c r="BD440">
        <v>5.5</v>
      </c>
      <c r="BE440">
        <v>3.9</v>
      </c>
      <c r="BF440">
        <v>100</v>
      </c>
      <c r="BG440">
        <v>25.5</v>
      </c>
      <c r="BH440">
        <v>35.4</v>
      </c>
      <c r="BI440">
        <v>17.100000000000001</v>
      </c>
      <c r="BJ440">
        <v>52.6</v>
      </c>
      <c r="BK440">
        <v>43.3</v>
      </c>
      <c r="BL440">
        <v>95.2</v>
      </c>
      <c r="BM440">
        <v>95.9</v>
      </c>
      <c r="BN440">
        <v>4.8</v>
      </c>
      <c r="BO440">
        <v>4.0999999999999996</v>
      </c>
      <c r="BP440">
        <v>100</v>
      </c>
      <c r="BQ440">
        <v>37</v>
      </c>
      <c r="BR440">
        <v>19.100000000000001</v>
      </c>
      <c r="BS440">
        <v>6</v>
      </c>
      <c r="BT440">
        <v>45.5</v>
      </c>
      <c r="BU440">
        <v>73.2</v>
      </c>
      <c r="BV440">
        <v>88.5</v>
      </c>
      <c r="BW440">
        <v>98.3</v>
      </c>
      <c r="BX440">
        <v>11.5</v>
      </c>
      <c r="BY440">
        <v>1.7</v>
      </c>
      <c r="BZ440">
        <v>378</v>
      </c>
      <c r="CA440">
        <v>127</v>
      </c>
      <c r="CB440">
        <v>102</v>
      </c>
      <c r="CC440">
        <v>108</v>
      </c>
      <c r="CD440">
        <v>125</v>
      </c>
      <c r="CE440">
        <v>104</v>
      </c>
      <c r="CF440">
        <v>306</v>
      </c>
      <c r="CG440">
        <v>269</v>
      </c>
      <c r="CH440">
        <v>374</v>
      </c>
      <c r="CI440">
        <v>127</v>
      </c>
      <c r="CJ440">
        <v>103</v>
      </c>
      <c r="CK440">
        <v>99</v>
      </c>
      <c r="CL440">
        <v>121</v>
      </c>
      <c r="CM440">
        <v>98</v>
      </c>
      <c r="CN440">
        <v>294</v>
      </c>
      <c r="CO440">
        <v>259</v>
      </c>
      <c r="CP440">
        <v>143</v>
      </c>
      <c r="CQ440">
        <v>26</v>
      </c>
      <c r="CR440">
        <v>23</v>
      </c>
      <c r="CS440">
        <v>16</v>
      </c>
      <c r="CT440">
        <v>73</v>
      </c>
      <c r="CU440">
        <v>47</v>
      </c>
      <c r="CV440">
        <v>107</v>
      </c>
      <c r="CW440">
        <v>80</v>
      </c>
      <c r="CX440">
        <v>18.5</v>
      </c>
      <c r="CY440">
        <v>16.899999999999999</v>
      </c>
      <c r="CZ440">
        <v>29.2</v>
      </c>
      <c r="DA440">
        <v>28.3</v>
      </c>
      <c r="DB440">
        <v>11.7</v>
      </c>
      <c r="DC440">
        <v>13.9</v>
      </c>
      <c r="DD440">
        <v>18.7</v>
      </c>
      <c r="DE440">
        <v>21.4</v>
      </c>
      <c r="DF440">
        <v>19.8</v>
      </c>
      <c r="DG440">
        <v>17.7</v>
      </c>
      <c r="DH440">
        <v>30.8</v>
      </c>
      <c r="DI440">
        <v>29.4</v>
      </c>
      <c r="DJ440">
        <v>14.8</v>
      </c>
      <c r="DK440">
        <v>15.6</v>
      </c>
      <c r="DL440">
        <v>22.1</v>
      </c>
      <c r="DM440">
        <v>23.8</v>
      </c>
      <c r="DN440">
        <v>26.7</v>
      </c>
      <c r="DO440">
        <v>40.6</v>
      </c>
      <c r="DP440">
        <v>41.3</v>
      </c>
      <c r="DQ440">
        <v>55.8</v>
      </c>
      <c r="DR440">
        <v>26</v>
      </c>
      <c r="DS440">
        <v>38.9</v>
      </c>
      <c r="DT440">
        <v>38.4</v>
      </c>
      <c r="DU440">
        <v>52.3</v>
      </c>
      <c r="DV440" t="s">
        <v>737</v>
      </c>
    </row>
    <row r="441" spans="1:126" x14ac:dyDescent="0.35">
      <c r="A441" t="s">
        <v>734</v>
      </c>
      <c r="B441">
        <v>230103</v>
      </c>
      <c r="C441" s="1">
        <v>44929</v>
      </c>
      <c r="D441" t="s">
        <v>735</v>
      </c>
      <c r="E441" t="s">
        <v>393</v>
      </c>
      <c r="F441" t="s">
        <v>185</v>
      </c>
      <c r="G441" t="s">
        <v>736</v>
      </c>
      <c r="H441">
        <v>187767</v>
      </c>
      <c r="I441" s="17">
        <v>46411</v>
      </c>
      <c r="J441" s="17">
        <v>47223</v>
      </c>
      <c r="K441">
        <v>35504</v>
      </c>
      <c r="L441">
        <v>96423</v>
      </c>
      <c r="M441">
        <v>97064</v>
      </c>
      <c r="N441">
        <v>178338</v>
      </c>
      <c r="O441">
        <v>179791</v>
      </c>
      <c r="P441">
        <v>9429</v>
      </c>
      <c r="Q441">
        <v>7976</v>
      </c>
      <c r="R441">
        <v>167956</v>
      </c>
      <c r="S441">
        <v>44758</v>
      </c>
      <c r="T441">
        <v>49729</v>
      </c>
      <c r="U441">
        <v>27966</v>
      </c>
      <c r="V441">
        <v>87480</v>
      </c>
      <c r="W441">
        <v>82632</v>
      </c>
      <c r="X441">
        <v>160204</v>
      </c>
      <c r="Y441">
        <v>160327</v>
      </c>
      <c r="Z441">
        <v>7752</v>
      </c>
      <c r="AA441">
        <v>7629</v>
      </c>
      <c r="AB441">
        <v>19811</v>
      </c>
      <c r="AC441">
        <v>7545</v>
      </c>
      <c r="AD441">
        <v>3386</v>
      </c>
      <c r="AE441">
        <v>1646</v>
      </c>
      <c r="AF441">
        <v>8943</v>
      </c>
      <c r="AG441">
        <v>14432</v>
      </c>
      <c r="AH441">
        <v>18134</v>
      </c>
      <c r="AI441">
        <v>19464</v>
      </c>
      <c r="AJ441">
        <v>1677</v>
      </c>
      <c r="AK441">
        <v>347</v>
      </c>
      <c r="AL441">
        <v>2508</v>
      </c>
      <c r="AM441">
        <v>-753</v>
      </c>
      <c r="AN441">
        <v>-2645</v>
      </c>
      <c r="AO441">
        <v>1262</v>
      </c>
      <c r="AP441">
        <v>1280</v>
      </c>
      <c r="AQ441">
        <v>3725</v>
      </c>
      <c r="AR441">
        <v>1789</v>
      </c>
      <c r="AS441">
        <v>2342</v>
      </c>
      <c r="AT441">
        <v>719</v>
      </c>
      <c r="AU441">
        <v>166</v>
      </c>
      <c r="AV441">
        <v>100</v>
      </c>
      <c r="AW441">
        <v>24.7</v>
      </c>
      <c r="AX441">
        <v>25.1</v>
      </c>
      <c r="AY441">
        <v>18.899999999999999</v>
      </c>
      <c r="AZ441">
        <v>51.4</v>
      </c>
      <c r="BA441">
        <v>51.7</v>
      </c>
      <c r="BB441">
        <v>95</v>
      </c>
      <c r="BC441">
        <v>95.8</v>
      </c>
      <c r="BD441">
        <v>5</v>
      </c>
      <c r="BE441">
        <v>4.2</v>
      </c>
      <c r="BF441">
        <v>100</v>
      </c>
      <c r="BG441">
        <v>26.6</v>
      </c>
      <c r="BH441">
        <v>29.6</v>
      </c>
      <c r="BI441">
        <v>16.7</v>
      </c>
      <c r="BJ441">
        <v>52.1</v>
      </c>
      <c r="BK441">
        <v>49.2</v>
      </c>
      <c r="BL441">
        <v>95.4</v>
      </c>
      <c r="BM441">
        <v>95.5</v>
      </c>
      <c r="BN441">
        <v>4.5999999999999996</v>
      </c>
      <c r="BO441">
        <v>4.5</v>
      </c>
      <c r="BP441">
        <v>100</v>
      </c>
      <c r="BQ441">
        <v>38.1</v>
      </c>
      <c r="BR441">
        <v>17.100000000000001</v>
      </c>
      <c r="BS441">
        <v>8.3000000000000007</v>
      </c>
      <c r="BT441">
        <v>45.1</v>
      </c>
      <c r="BU441">
        <v>72.8</v>
      </c>
      <c r="BV441">
        <v>91.5</v>
      </c>
      <c r="BW441">
        <v>98.2</v>
      </c>
      <c r="BX441">
        <v>8.5</v>
      </c>
      <c r="BY441">
        <v>1.8</v>
      </c>
      <c r="BZ441">
        <v>354</v>
      </c>
      <c r="CA441">
        <v>120</v>
      </c>
      <c r="CB441">
        <v>83</v>
      </c>
      <c r="CC441">
        <v>103</v>
      </c>
      <c r="CD441">
        <v>123</v>
      </c>
      <c r="CE441">
        <v>106</v>
      </c>
      <c r="CF441">
        <v>293</v>
      </c>
      <c r="CG441">
        <v>255</v>
      </c>
      <c r="CH441">
        <v>350</v>
      </c>
      <c r="CI441">
        <v>119</v>
      </c>
      <c r="CJ441">
        <v>86</v>
      </c>
      <c r="CK441">
        <v>97</v>
      </c>
      <c r="CL441">
        <v>118</v>
      </c>
      <c r="CM441">
        <v>103</v>
      </c>
      <c r="CN441">
        <v>282</v>
      </c>
      <c r="CO441">
        <v>249</v>
      </c>
      <c r="CP441">
        <v>137</v>
      </c>
      <c r="CQ441">
        <v>21</v>
      </c>
      <c r="CR441">
        <v>25</v>
      </c>
      <c r="CS441">
        <v>16</v>
      </c>
      <c r="CT441">
        <v>72</v>
      </c>
      <c r="CU441">
        <v>46</v>
      </c>
      <c r="CV441">
        <v>101</v>
      </c>
      <c r="CW441">
        <v>80</v>
      </c>
      <c r="CX441">
        <v>17.5</v>
      </c>
      <c r="CY441">
        <v>18.899999999999999</v>
      </c>
      <c r="CZ441">
        <v>28.1</v>
      </c>
      <c r="DA441">
        <v>29.9</v>
      </c>
      <c r="DB441">
        <v>12.1</v>
      </c>
      <c r="DC441">
        <v>15.6</v>
      </c>
      <c r="DD441">
        <v>19.2</v>
      </c>
      <c r="DE441">
        <v>23.6</v>
      </c>
      <c r="DF441">
        <v>19.2</v>
      </c>
      <c r="DG441">
        <v>20</v>
      </c>
      <c r="DH441">
        <v>29.9</v>
      </c>
      <c r="DI441">
        <v>30.5</v>
      </c>
      <c r="DJ441">
        <v>15.1</v>
      </c>
      <c r="DK441">
        <v>17.2</v>
      </c>
      <c r="DL441">
        <v>23</v>
      </c>
      <c r="DM441">
        <v>25.9</v>
      </c>
      <c r="DN441">
        <v>29.9</v>
      </c>
      <c r="DO441">
        <v>39.1</v>
      </c>
      <c r="DP441">
        <v>46</v>
      </c>
      <c r="DQ441">
        <v>54.1</v>
      </c>
      <c r="DR441">
        <v>29.3</v>
      </c>
      <c r="DS441">
        <v>37.5</v>
      </c>
      <c r="DT441">
        <v>41.2</v>
      </c>
      <c r="DU441">
        <v>50.3</v>
      </c>
      <c r="DV441" t="s">
        <v>737</v>
      </c>
    </row>
    <row r="442" spans="1:126" x14ac:dyDescent="0.35">
      <c r="A442" t="s">
        <v>738</v>
      </c>
      <c r="B442">
        <v>230110</v>
      </c>
      <c r="C442" s="1">
        <v>44936</v>
      </c>
      <c r="D442" t="s">
        <v>739</v>
      </c>
      <c r="E442" t="s">
        <v>740</v>
      </c>
      <c r="F442" t="s">
        <v>185</v>
      </c>
      <c r="G442" t="s">
        <v>741</v>
      </c>
      <c r="H442">
        <v>129961</v>
      </c>
      <c r="I442" s="17">
        <v>56770</v>
      </c>
      <c r="J442" s="17">
        <v>27757</v>
      </c>
      <c r="K442">
        <v>6654</v>
      </c>
      <c r="L442">
        <v>42599</v>
      </c>
      <c r="M442">
        <v>85524</v>
      </c>
      <c r="N442">
        <v>106023</v>
      </c>
      <c r="O442">
        <v>119935</v>
      </c>
      <c r="P442">
        <v>23938</v>
      </c>
      <c r="Q442">
        <v>10026</v>
      </c>
      <c r="R442">
        <v>129961</v>
      </c>
      <c r="S442">
        <v>56770</v>
      </c>
      <c r="T442">
        <v>27757</v>
      </c>
      <c r="U442">
        <v>6654</v>
      </c>
      <c r="V442">
        <v>42599</v>
      </c>
      <c r="W442">
        <v>85524</v>
      </c>
      <c r="X442">
        <v>106023</v>
      </c>
      <c r="Y442">
        <v>119935</v>
      </c>
      <c r="Z442">
        <v>23938</v>
      </c>
      <c r="AA442">
        <v>10026</v>
      </c>
      <c r="AB442">
        <v>0</v>
      </c>
      <c r="AC442">
        <v>0</v>
      </c>
      <c r="AD442">
        <v>0</v>
      </c>
      <c r="AE442">
        <v>0</v>
      </c>
      <c r="AF442">
        <v>0</v>
      </c>
      <c r="AG442">
        <v>0</v>
      </c>
      <c r="AH442">
        <v>0</v>
      </c>
      <c r="AI442">
        <v>0</v>
      </c>
      <c r="AJ442">
        <v>0</v>
      </c>
      <c r="AK442">
        <v>0</v>
      </c>
      <c r="AL442">
        <v>-2029</v>
      </c>
      <c r="AM442">
        <v>-1031</v>
      </c>
      <c r="AN442">
        <v>890</v>
      </c>
      <c r="AO442">
        <v>270</v>
      </c>
      <c r="AP442">
        <v>-1630</v>
      </c>
      <c r="AQ442">
        <v>-2916</v>
      </c>
      <c r="AR442">
        <v>-2391</v>
      </c>
      <c r="AS442">
        <v>-1756</v>
      </c>
      <c r="AT442">
        <v>362</v>
      </c>
      <c r="AU442">
        <v>-273</v>
      </c>
      <c r="AV442">
        <v>100</v>
      </c>
      <c r="AW442">
        <v>43.7</v>
      </c>
      <c r="AX442">
        <v>21.4</v>
      </c>
      <c r="AY442">
        <v>5.0999999999999996</v>
      </c>
      <c r="AZ442">
        <v>32.799999999999997</v>
      </c>
      <c r="BA442">
        <v>65.8</v>
      </c>
      <c r="BB442">
        <v>81.599999999999994</v>
      </c>
      <c r="BC442">
        <v>92.3</v>
      </c>
      <c r="BD442">
        <v>18.399999999999999</v>
      </c>
      <c r="BE442">
        <v>7.7</v>
      </c>
      <c r="BF442">
        <v>100</v>
      </c>
      <c r="BG442">
        <v>43.7</v>
      </c>
      <c r="BH442">
        <v>21.4</v>
      </c>
      <c r="BI442">
        <v>5.0999999999999996</v>
      </c>
      <c r="BJ442">
        <v>32.799999999999997</v>
      </c>
      <c r="BK442">
        <v>65.8</v>
      </c>
      <c r="BL442">
        <v>81.599999999999994</v>
      </c>
      <c r="BM442">
        <v>92.3</v>
      </c>
      <c r="BN442">
        <v>18.399999999999999</v>
      </c>
      <c r="BO442">
        <v>7.7</v>
      </c>
      <c r="BP442">
        <v>0</v>
      </c>
      <c r="BQ442">
        <v>0</v>
      </c>
      <c r="BR442">
        <v>0</v>
      </c>
      <c r="BS442">
        <v>0</v>
      </c>
      <c r="BT442">
        <v>0</v>
      </c>
      <c r="BU442">
        <v>0</v>
      </c>
      <c r="BV442">
        <v>0</v>
      </c>
      <c r="BW442">
        <v>0</v>
      </c>
      <c r="BX442">
        <v>0</v>
      </c>
      <c r="BY442">
        <v>0</v>
      </c>
      <c r="BZ442">
        <v>206</v>
      </c>
      <c r="CA442">
        <v>94</v>
      </c>
      <c r="CB442">
        <v>49</v>
      </c>
      <c r="CC442">
        <v>50</v>
      </c>
      <c r="CD442">
        <v>28</v>
      </c>
      <c r="CE442">
        <v>44</v>
      </c>
      <c r="CF442">
        <v>147</v>
      </c>
      <c r="CG442">
        <v>122</v>
      </c>
      <c r="CH442">
        <v>206</v>
      </c>
      <c r="CI442">
        <v>94</v>
      </c>
      <c r="CJ442">
        <v>49</v>
      </c>
      <c r="CK442">
        <v>50</v>
      </c>
      <c r="CL442">
        <v>28</v>
      </c>
      <c r="CM442">
        <v>44</v>
      </c>
      <c r="CN442">
        <v>147</v>
      </c>
      <c r="CO442">
        <v>122</v>
      </c>
      <c r="CP442">
        <v>0</v>
      </c>
      <c r="CQ442">
        <v>0</v>
      </c>
      <c r="CR442">
        <v>0</v>
      </c>
      <c r="CS442">
        <v>0</v>
      </c>
      <c r="CT442">
        <v>0</v>
      </c>
      <c r="CU442">
        <v>0</v>
      </c>
      <c r="CV442">
        <v>0</v>
      </c>
      <c r="CW442">
        <v>0</v>
      </c>
      <c r="CX442">
        <v>17.8</v>
      </c>
      <c r="CY442">
        <v>36.4</v>
      </c>
      <c r="CZ442">
        <v>29.9</v>
      </c>
      <c r="DA442">
        <v>53.5</v>
      </c>
      <c r="DB442">
        <v>17.7</v>
      </c>
      <c r="DC442">
        <v>33.700000000000003</v>
      </c>
      <c r="DD442">
        <v>29.4</v>
      </c>
      <c r="DE442">
        <v>50.7</v>
      </c>
      <c r="DF442">
        <v>17.8</v>
      </c>
      <c r="DG442">
        <v>36.4</v>
      </c>
      <c r="DH442">
        <v>29.9</v>
      </c>
      <c r="DI442">
        <v>53.5</v>
      </c>
      <c r="DJ442">
        <v>17.7</v>
      </c>
      <c r="DK442">
        <v>33.700000000000003</v>
      </c>
      <c r="DL442">
        <v>29.4</v>
      </c>
      <c r="DM442">
        <v>50.7</v>
      </c>
      <c r="DN442">
        <v>0</v>
      </c>
      <c r="DO442">
        <v>0</v>
      </c>
      <c r="DP442">
        <v>0</v>
      </c>
      <c r="DQ442">
        <v>0</v>
      </c>
      <c r="DR442">
        <v>0</v>
      </c>
      <c r="DS442">
        <v>0</v>
      </c>
      <c r="DT442">
        <v>0</v>
      </c>
      <c r="DU442">
        <v>0</v>
      </c>
      <c r="DV442" t="s">
        <v>742</v>
      </c>
    </row>
    <row r="443" spans="1:126" x14ac:dyDescent="0.35">
      <c r="A443" t="s">
        <v>738</v>
      </c>
      <c r="B443">
        <v>230103</v>
      </c>
      <c r="C443" s="1">
        <v>44929</v>
      </c>
      <c r="D443" t="s">
        <v>739</v>
      </c>
      <c r="E443" t="s">
        <v>740</v>
      </c>
      <c r="F443" t="s">
        <v>185</v>
      </c>
      <c r="G443" t="s">
        <v>741</v>
      </c>
      <c r="H443">
        <v>131990</v>
      </c>
      <c r="I443" s="17">
        <v>57801</v>
      </c>
      <c r="J443" s="17">
        <v>26867</v>
      </c>
      <c r="K443">
        <v>6384</v>
      </c>
      <c r="L443">
        <v>44229</v>
      </c>
      <c r="M443">
        <v>88440</v>
      </c>
      <c r="N443">
        <v>108414</v>
      </c>
      <c r="O443">
        <v>121691</v>
      </c>
      <c r="P443">
        <v>23576</v>
      </c>
      <c r="Q443">
        <v>10299</v>
      </c>
      <c r="R443">
        <v>131990</v>
      </c>
      <c r="S443">
        <v>57801</v>
      </c>
      <c r="T443">
        <v>26867</v>
      </c>
      <c r="U443">
        <v>6384</v>
      </c>
      <c r="V443">
        <v>44229</v>
      </c>
      <c r="W443">
        <v>88440</v>
      </c>
      <c r="X443">
        <v>108414</v>
      </c>
      <c r="Y443">
        <v>121691</v>
      </c>
      <c r="Z443">
        <v>23576</v>
      </c>
      <c r="AA443">
        <v>10299</v>
      </c>
      <c r="AB443">
        <v>0</v>
      </c>
      <c r="AC443">
        <v>0</v>
      </c>
      <c r="AD443">
        <v>0</v>
      </c>
      <c r="AE443">
        <v>0</v>
      </c>
      <c r="AF443">
        <v>0</v>
      </c>
      <c r="AG443">
        <v>0</v>
      </c>
      <c r="AH443">
        <v>0</v>
      </c>
      <c r="AI443">
        <v>0</v>
      </c>
      <c r="AJ443">
        <v>0</v>
      </c>
      <c r="AK443">
        <v>0</v>
      </c>
      <c r="AL443">
        <v>3523</v>
      </c>
      <c r="AM443">
        <v>1931</v>
      </c>
      <c r="AN443">
        <v>2024</v>
      </c>
      <c r="AO443">
        <v>1410</v>
      </c>
      <c r="AP443">
        <v>185</v>
      </c>
      <c r="AQ443">
        <v>1479</v>
      </c>
      <c r="AR443">
        <v>3526</v>
      </c>
      <c r="AS443">
        <v>4913</v>
      </c>
      <c r="AT443">
        <v>-3</v>
      </c>
      <c r="AU443">
        <v>-1390</v>
      </c>
      <c r="AV443">
        <v>100</v>
      </c>
      <c r="AW443">
        <v>43.8</v>
      </c>
      <c r="AX443">
        <v>20.399999999999999</v>
      </c>
      <c r="AY443">
        <v>4.8</v>
      </c>
      <c r="AZ443">
        <v>33.5</v>
      </c>
      <c r="BA443">
        <v>67</v>
      </c>
      <c r="BB443">
        <v>82.1</v>
      </c>
      <c r="BC443">
        <v>92.2</v>
      </c>
      <c r="BD443">
        <v>17.899999999999999</v>
      </c>
      <c r="BE443">
        <v>7.8</v>
      </c>
      <c r="BF443">
        <v>100</v>
      </c>
      <c r="BG443">
        <v>43.8</v>
      </c>
      <c r="BH443">
        <v>20.399999999999999</v>
      </c>
      <c r="BI443">
        <v>4.8</v>
      </c>
      <c r="BJ443">
        <v>33.5</v>
      </c>
      <c r="BK443">
        <v>67</v>
      </c>
      <c r="BL443">
        <v>82.1</v>
      </c>
      <c r="BM443">
        <v>92.2</v>
      </c>
      <c r="BN443">
        <v>17.899999999999999</v>
      </c>
      <c r="BO443">
        <v>7.8</v>
      </c>
      <c r="BP443">
        <v>0</v>
      </c>
      <c r="BQ443">
        <v>0</v>
      </c>
      <c r="BR443">
        <v>0</v>
      </c>
      <c r="BS443">
        <v>0</v>
      </c>
      <c r="BT443">
        <v>0</v>
      </c>
      <c r="BU443">
        <v>0</v>
      </c>
      <c r="BV443">
        <v>0</v>
      </c>
      <c r="BW443">
        <v>0</v>
      </c>
      <c r="BX443">
        <v>0</v>
      </c>
      <c r="BY443">
        <v>0</v>
      </c>
      <c r="BZ443">
        <v>215</v>
      </c>
      <c r="CA443">
        <v>94</v>
      </c>
      <c r="CB443">
        <v>55</v>
      </c>
      <c r="CC443">
        <v>47</v>
      </c>
      <c r="CD443">
        <v>28</v>
      </c>
      <c r="CE443">
        <v>49</v>
      </c>
      <c r="CF443">
        <v>149</v>
      </c>
      <c r="CG443">
        <v>127</v>
      </c>
      <c r="CH443">
        <v>215</v>
      </c>
      <c r="CI443">
        <v>94</v>
      </c>
      <c r="CJ443">
        <v>55</v>
      </c>
      <c r="CK443">
        <v>47</v>
      </c>
      <c r="CL443">
        <v>28</v>
      </c>
      <c r="CM443">
        <v>49</v>
      </c>
      <c r="CN443">
        <v>149</v>
      </c>
      <c r="CO443">
        <v>127</v>
      </c>
      <c r="CP443">
        <v>0</v>
      </c>
      <c r="CQ443">
        <v>0</v>
      </c>
      <c r="CR443">
        <v>0</v>
      </c>
      <c r="CS443">
        <v>0</v>
      </c>
      <c r="CT443">
        <v>0</v>
      </c>
      <c r="CU443">
        <v>0</v>
      </c>
      <c r="CV443">
        <v>0</v>
      </c>
      <c r="CW443">
        <v>0</v>
      </c>
      <c r="CX443">
        <v>17.7</v>
      </c>
      <c r="CY443">
        <v>36.1</v>
      </c>
      <c r="CZ443">
        <v>30.1</v>
      </c>
      <c r="DA443">
        <v>53</v>
      </c>
      <c r="DB443">
        <v>17.600000000000001</v>
      </c>
      <c r="DC443">
        <v>33.4</v>
      </c>
      <c r="DD443">
        <v>29.6</v>
      </c>
      <c r="DE443">
        <v>50.2</v>
      </c>
      <c r="DF443">
        <v>17.7</v>
      </c>
      <c r="DG443">
        <v>36.1</v>
      </c>
      <c r="DH443">
        <v>30.1</v>
      </c>
      <c r="DI443">
        <v>53</v>
      </c>
      <c r="DJ443">
        <v>17.600000000000001</v>
      </c>
      <c r="DK443">
        <v>33.4</v>
      </c>
      <c r="DL443">
        <v>29.6</v>
      </c>
      <c r="DM443">
        <v>50.2</v>
      </c>
      <c r="DN443">
        <v>0</v>
      </c>
      <c r="DO443">
        <v>0</v>
      </c>
      <c r="DP443">
        <v>0</v>
      </c>
      <c r="DQ443">
        <v>0</v>
      </c>
      <c r="DR443">
        <v>0</v>
      </c>
      <c r="DS443">
        <v>0</v>
      </c>
      <c r="DT443">
        <v>0</v>
      </c>
      <c r="DU443">
        <v>0</v>
      </c>
      <c r="DV443" t="s">
        <v>742</v>
      </c>
    </row>
    <row r="444" spans="1:126" x14ac:dyDescent="0.35">
      <c r="A444" t="s">
        <v>743</v>
      </c>
      <c r="B444">
        <v>230110</v>
      </c>
      <c r="C444" s="1">
        <v>44936</v>
      </c>
      <c r="D444" t="s">
        <v>744</v>
      </c>
      <c r="E444" t="s">
        <v>740</v>
      </c>
      <c r="F444" t="s">
        <v>185</v>
      </c>
      <c r="G444" t="s">
        <v>745</v>
      </c>
      <c r="H444">
        <v>186383</v>
      </c>
      <c r="I444" s="17">
        <v>74753</v>
      </c>
      <c r="J444" s="17">
        <v>64526</v>
      </c>
      <c r="K444">
        <v>22152</v>
      </c>
      <c r="L444">
        <v>69787</v>
      </c>
      <c r="M444">
        <v>86040</v>
      </c>
      <c r="N444">
        <v>166692</v>
      </c>
      <c r="O444">
        <v>172718</v>
      </c>
      <c r="P444">
        <v>19691</v>
      </c>
      <c r="Q444">
        <v>13665</v>
      </c>
      <c r="R444">
        <v>186383</v>
      </c>
      <c r="S444">
        <v>74753</v>
      </c>
      <c r="T444">
        <v>64526</v>
      </c>
      <c r="U444">
        <v>22152</v>
      </c>
      <c r="V444">
        <v>69787</v>
      </c>
      <c r="W444">
        <v>86040</v>
      </c>
      <c r="X444">
        <v>166692</v>
      </c>
      <c r="Y444">
        <v>172718</v>
      </c>
      <c r="Z444">
        <v>19691</v>
      </c>
      <c r="AA444">
        <v>13665</v>
      </c>
      <c r="AB444">
        <v>0</v>
      </c>
      <c r="AC444">
        <v>0</v>
      </c>
      <c r="AD444">
        <v>0</v>
      </c>
      <c r="AE444">
        <v>0</v>
      </c>
      <c r="AF444">
        <v>0</v>
      </c>
      <c r="AG444">
        <v>0</v>
      </c>
      <c r="AH444">
        <v>0</v>
      </c>
      <c r="AI444">
        <v>0</v>
      </c>
      <c r="AJ444">
        <v>0</v>
      </c>
      <c r="AK444">
        <v>0</v>
      </c>
      <c r="AL444">
        <v>21789</v>
      </c>
      <c r="AM444">
        <v>17562</v>
      </c>
      <c r="AN444">
        <v>2660</v>
      </c>
      <c r="AO444">
        <v>733</v>
      </c>
      <c r="AP444">
        <v>882</v>
      </c>
      <c r="AQ444">
        <v>16972</v>
      </c>
      <c r="AR444">
        <v>19177</v>
      </c>
      <c r="AS444">
        <v>20365</v>
      </c>
      <c r="AT444">
        <v>2612</v>
      </c>
      <c r="AU444">
        <v>1424</v>
      </c>
      <c r="AV444">
        <v>100</v>
      </c>
      <c r="AW444">
        <v>40.1</v>
      </c>
      <c r="AX444">
        <v>34.6</v>
      </c>
      <c r="AY444">
        <v>11.9</v>
      </c>
      <c r="AZ444">
        <v>37.4</v>
      </c>
      <c r="BA444">
        <v>46.2</v>
      </c>
      <c r="BB444">
        <v>89.4</v>
      </c>
      <c r="BC444">
        <v>92.7</v>
      </c>
      <c r="BD444">
        <v>10.6</v>
      </c>
      <c r="BE444">
        <v>7.3</v>
      </c>
      <c r="BF444">
        <v>100</v>
      </c>
      <c r="BG444">
        <v>40.1</v>
      </c>
      <c r="BH444">
        <v>34.6</v>
      </c>
      <c r="BI444">
        <v>11.9</v>
      </c>
      <c r="BJ444">
        <v>37.4</v>
      </c>
      <c r="BK444">
        <v>46.2</v>
      </c>
      <c r="BL444">
        <v>89.4</v>
      </c>
      <c r="BM444">
        <v>92.7</v>
      </c>
      <c r="BN444">
        <v>10.6</v>
      </c>
      <c r="BO444">
        <v>7.3</v>
      </c>
      <c r="BP444">
        <v>0</v>
      </c>
      <c r="BQ444">
        <v>0</v>
      </c>
      <c r="BR444">
        <v>0</v>
      </c>
      <c r="BS444">
        <v>0</v>
      </c>
      <c r="BT444">
        <v>0</v>
      </c>
      <c r="BU444">
        <v>0</v>
      </c>
      <c r="BV444">
        <v>0</v>
      </c>
      <c r="BW444">
        <v>0</v>
      </c>
      <c r="BX444">
        <v>0</v>
      </c>
      <c r="BY444">
        <v>0</v>
      </c>
      <c r="BZ444">
        <v>280</v>
      </c>
      <c r="CA444">
        <v>116</v>
      </c>
      <c r="CB444">
        <v>77</v>
      </c>
      <c r="CC444">
        <v>70</v>
      </c>
      <c r="CD444">
        <v>56</v>
      </c>
      <c r="CE444">
        <v>69</v>
      </c>
      <c r="CF444">
        <v>201</v>
      </c>
      <c r="CG444">
        <v>189</v>
      </c>
      <c r="CH444">
        <v>280</v>
      </c>
      <c r="CI444">
        <v>116</v>
      </c>
      <c r="CJ444">
        <v>77</v>
      </c>
      <c r="CK444">
        <v>70</v>
      </c>
      <c r="CL444">
        <v>56</v>
      </c>
      <c r="CM444">
        <v>69</v>
      </c>
      <c r="CN444">
        <v>201</v>
      </c>
      <c r="CO444">
        <v>189</v>
      </c>
      <c r="CP444">
        <v>0</v>
      </c>
      <c r="CQ444">
        <v>0</v>
      </c>
      <c r="CR444">
        <v>0</v>
      </c>
      <c r="CS444">
        <v>0</v>
      </c>
      <c r="CT444">
        <v>0</v>
      </c>
      <c r="CU444">
        <v>0</v>
      </c>
      <c r="CV444">
        <v>0</v>
      </c>
      <c r="CW444">
        <v>0</v>
      </c>
      <c r="CX444">
        <v>18.899999999999999</v>
      </c>
      <c r="CY444">
        <v>29</v>
      </c>
      <c r="CZ444">
        <v>29.4</v>
      </c>
      <c r="DA444">
        <v>42</v>
      </c>
      <c r="DB444">
        <v>16.5</v>
      </c>
      <c r="DC444">
        <v>26</v>
      </c>
      <c r="DD444">
        <v>26.5</v>
      </c>
      <c r="DE444">
        <v>38.4</v>
      </c>
      <c r="DF444">
        <v>18.899999999999999</v>
      </c>
      <c r="DG444">
        <v>29</v>
      </c>
      <c r="DH444">
        <v>29.4</v>
      </c>
      <c r="DI444">
        <v>42</v>
      </c>
      <c r="DJ444">
        <v>16.5</v>
      </c>
      <c r="DK444">
        <v>26</v>
      </c>
      <c r="DL444">
        <v>26.5</v>
      </c>
      <c r="DM444">
        <v>38.4</v>
      </c>
      <c r="DN444">
        <v>0</v>
      </c>
      <c r="DO444">
        <v>0</v>
      </c>
      <c r="DP444">
        <v>0</v>
      </c>
      <c r="DQ444">
        <v>0</v>
      </c>
      <c r="DR444">
        <v>0</v>
      </c>
      <c r="DS444">
        <v>0</v>
      </c>
      <c r="DT444">
        <v>0</v>
      </c>
      <c r="DU444">
        <v>0</v>
      </c>
      <c r="DV444" t="s">
        <v>746</v>
      </c>
    </row>
    <row r="445" spans="1:126" x14ac:dyDescent="0.35">
      <c r="A445" t="s">
        <v>743</v>
      </c>
      <c r="B445">
        <v>230103</v>
      </c>
      <c r="C445" s="1">
        <v>44929</v>
      </c>
      <c r="D445" t="s">
        <v>744</v>
      </c>
      <c r="E445" t="s">
        <v>740</v>
      </c>
      <c r="F445" t="s">
        <v>185</v>
      </c>
      <c r="G445" t="s">
        <v>745</v>
      </c>
      <c r="H445">
        <v>164594</v>
      </c>
      <c r="I445" s="17">
        <v>57191</v>
      </c>
      <c r="J445" s="17">
        <v>61866</v>
      </c>
      <c r="K445">
        <v>21419</v>
      </c>
      <c r="L445">
        <v>68905</v>
      </c>
      <c r="M445">
        <v>69068</v>
      </c>
      <c r="N445">
        <v>147515</v>
      </c>
      <c r="O445">
        <v>152353</v>
      </c>
      <c r="P445">
        <v>17079</v>
      </c>
      <c r="Q445">
        <v>12241</v>
      </c>
      <c r="R445">
        <v>164594</v>
      </c>
      <c r="S445">
        <v>57191</v>
      </c>
      <c r="T445">
        <v>61866</v>
      </c>
      <c r="U445">
        <v>21419</v>
      </c>
      <c r="V445">
        <v>68905</v>
      </c>
      <c r="W445">
        <v>69068</v>
      </c>
      <c r="X445">
        <v>147515</v>
      </c>
      <c r="Y445">
        <v>152353</v>
      </c>
      <c r="Z445">
        <v>17079</v>
      </c>
      <c r="AA445">
        <v>12241</v>
      </c>
      <c r="AB445">
        <v>0</v>
      </c>
      <c r="AC445">
        <v>0</v>
      </c>
      <c r="AD445">
        <v>0</v>
      </c>
      <c r="AE445">
        <v>0</v>
      </c>
      <c r="AF445">
        <v>0</v>
      </c>
      <c r="AG445">
        <v>0</v>
      </c>
      <c r="AH445">
        <v>0</v>
      </c>
      <c r="AI445">
        <v>0</v>
      </c>
      <c r="AJ445">
        <v>0</v>
      </c>
      <c r="AK445">
        <v>0</v>
      </c>
      <c r="AL445">
        <v>4260</v>
      </c>
      <c r="AM445">
        <v>-1279</v>
      </c>
      <c r="AN445">
        <v>4120</v>
      </c>
      <c r="AO445">
        <v>2723</v>
      </c>
      <c r="AP445">
        <v>1840</v>
      </c>
      <c r="AQ445">
        <v>-2698</v>
      </c>
      <c r="AR445">
        <v>3284</v>
      </c>
      <c r="AS445">
        <v>4145</v>
      </c>
      <c r="AT445">
        <v>976</v>
      </c>
      <c r="AU445">
        <v>115</v>
      </c>
      <c r="AV445">
        <v>100</v>
      </c>
      <c r="AW445">
        <v>34.700000000000003</v>
      </c>
      <c r="AX445">
        <v>37.6</v>
      </c>
      <c r="AY445">
        <v>13</v>
      </c>
      <c r="AZ445">
        <v>41.9</v>
      </c>
      <c r="BA445">
        <v>42</v>
      </c>
      <c r="BB445">
        <v>89.6</v>
      </c>
      <c r="BC445">
        <v>92.6</v>
      </c>
      <c r="BD445">
        <v>10.4</v>
      </c>
      <c r="BE445">
        <v>7.4</v>
      </c>
      <c r="BF445">
        <v>100</v>
      </c>
      <c r="BG445">
        <v>34.700000000000003</v>
      </c>
      <c r="BH445">
        <v>37.6</v>
      </c>
      <c r="BI445">
        <v>13</v>
      </c>
      <c r="BJ445">
        <v>41.9</v>
      </c>
      <c r="BK445">
        <v>42</v>
      </c>
      <c r="BL445">
        <v>89.6</v>
      </c>
      <c r="BM445">
        <v>92.6</v>
      </c>
      <c r="BN445">
        <v>10.4</v>
      </c>
      <c r="BO445">
        <v>7.4</v>
      </c>
      <c r="BP445">
        <v>0</v>
      </c>
      <c r="BQ445">
        <v>0</v>
      </c>
      <c r="BR445">
        <v>0</v>
      </c>
      <c r="BS445">
        <v>0</v>
      </c>
      <c r="BT445">
        <v>0</v>
      </c>
      <c r="BU445">
        <v>0</v>
      </c>
      <c r="BV445">
        <v>0</v>
      </c>
      <c r="BW445">
        <v>0</v>
      </c>
      <c r="BX445">
        <v>0</v>
      </c>
      <c r="BY445">
        <v>0</v>
      </c>
      <c r="BZ445">
        <v>242</v>
      </c>
      <c r="CA445">
        <v>95</v>
      </c>
      <c r="CB445">
        <v>61</v>
      </c>
      <c r="CC445">
        <v>67</v>
      </c>
      <c r="CD445">
        <v>60</v>
      </c>
      <c r="CE445">
        <v>63</v>
      </c>
      <c r="CF445">
        <v>191</v>
      </c>
      <c r="CG445">
        <v>161</v>
      </c>
      <c r="CH445">
        <v>242</v>
      </c>
      <c r="CI445">
        <v>95</v>
      </c>
      <c r="CJ445">
        <v>61</v>
      </c>
      <c r="CK445">
        <v>67</v>
      </c>
      <c r="CL445">
        <v>60</v>
      </c>
      <c r="CM445">
        <v>63</v>
      </c>
      <c r="CN445">
        <v>191</v>
      </c>
      <c r="CO445">
        <v>161</v>
      </c>
      <c r="CP445">
        <v>0</v>
      </c>
      <c r="CQ445">
        <v>0</v>
      </c>
      <c r="CR445">
        <v>0</v>
      </c>
      <c r="CS445">
        <v>0</v>
      </c>
      <c r="CT445">
        <v>0</v>
      </c>
      <c r="CU445">
        <v>0</v>
      </c>
      <c r="CV445">
        <v>0</v>
      </c>
      <c r="CW445">
        <v>0</v>
      </c>
      <c r="CX445">
        <v>19</v>
      </c>
      <c r="CY445">
        <v>30</v>
      </c>
      <c r="CZ445">
        <v>29.3</v>
      </c>
      <c r="DA445">
        <v>46.7</v>
      </c>
      <c r="DB445">
        <v>17.8</v>
      </c>
      <c r="DC445">
        <v>26.9</v>
      </c>
      <c r="DD445">
        <v>27.9</v>
      </c>
      <c r="DE445">
        <v>42.8</v>
      </c>
      <c r="DF445">
        <v>19</v>
      </c>
      <c r="DG445">
        <v>30</v>
      </c>
      <c r="DH445">
        <v>29.3</v>
      </c>
      <c r="DI445">
        <v>46.7</v>
      </c>
      <c r="DJ445">
        <v>17.8</v>
      </c>
      <c r="DK445">
        <v>26.9</v>
      </c>
      <c r="DL445">
        <v>27.9</v>
      </c>
      <c r="DM445">
        <v>42.8</v>
      </c>
      <c r="DN445">
        <v>0</v>
      </c>
      <c r="DO445">
        <v>0</v>
      </c>
      <c r="DP445">
        <v>0</v>
      </c>
      <c r="DQ445">
        <v>0</v>
      </c>
      <c r="DR445">
        <v>0</v>
      </c>
      <c r="DS445">
        <v>0</v>
      </c>
      <c r="DT445">
        <v>0</v>
      </c>
      <c r="DU445">
        <v>0</v>
      </c>
      <c r="DV445" t="s">
        <v>746</v>
      </c>
    </row>
    <row r="446" spans="1:126" x14ac:dyDescent="0.35">
      <c r="A446" t="s">
        <v>747</v>
      </c>
      <c r="B446">
        <v>230110</v>
      </c>
      <c r="C446" s="1">
        <v>44936</v>
      </c>
      <c r="D446" t="s">
        <v>748</v>
      </c>
      <c r="E446" t="s">
        <v>740</v>
      </c>
      <c r="F446" t="s">
        <v>185</v>
      </c>
      <c r="G446" t="s">
        <v>749</v>
      </c>
      <c r="H446">
        <v>481519</v>
      </c>
      <c r="I446" s="17">
        <v>243566</v>
      </c>
      <c r="J446" s="17">
        <v>93031</v>
      </c>
      <c r="K446">
        <v>79862</v>
      </c>
      <c r="L446">
        <v>111718</v>
      </c>
      <c r="M446">
        <v>284196</v>
      </c>
      <c r="N446">
        <v>435146</v>
      </c>
      <c r="O446">
        <v>457089</v>
      </c>
      <c r="P446">
        <v>46373</v>
      </c>
      <c r="Q446">
        <v>24430</v>
      </c>
      <c r="R446">
        <v>481519</v>
      </c>
      <c r="S446">
        <v>243566</v>
      </c>
      <c r="T446">
        <v>93031</v>
      </c>
      <c r="U446">
        <v>79862</v>
      </c>
      <c r="V446">
        <v>111718</v>
      </c>
      <c r="W446">
        <v>284196</v>
      </c>
      <c r="X446">
        <v>435146</v>
      </c>
      <c r="Y446">
        <v>457089</v>
      </c>
      <c r="Z446">
        <v>46373</v>
      </c>
      <c r="AA446">
        <v>24430</v>
      </c>
      <c r="AB446">
        <v>0</v>
      </c>
      <c r="AC446">
        <v>0</v>
      </c>
      <c r="AD446">
        <v>0</v>
      </c>
      <c r="AE446">
        <v>0</v>
      </c>
      <c r="AF446">
        <v>0</v>
      </c>
      <c r="AG446">
        <v>0</v>
      </c>
      <c r="AH446">
        <v>0</v>
      </c>
      <c r="AI446">
        <v>0</v>
      </c>
      <c r="AJ446">
        <v>0</v>
      </c>
      <c r="AK446">
        <v>0</v>
      </c>
      <c r="AL446">
        <v>32126</v>
      </c>
      <c r="AM446">
        <v>12765</v>
      </c>
      <c r="AN446">
        <v>3896</v>
      </c>
      <c r="AO446">
        <v>17127</v>
      </c>
      <c r="AP446">
        <v>-1802</v>
      </c>
      <c r="AQ446">
        <v>10702</v>
      </c>
      <c r="AR446">
        <v>28090</v>
      </c>
      <c r="AS446">
        <v>31725</v>
      </c>
      <c r="AT446">
        <v>4036</v>
      </c>
      <c r="AU446">
        <v>401</v>
      </c>
      <c r="AV446">
        <v>100</v>
      </c>
      <c r="AW446">
        <v>50.6</v>
      </c>
      <c r="AX446">
        <v>19.3</v>
      </c>
      <c r="AY446">
        <v>16.600000000000001</v>
      </c>
      <c r="AZ446">
        <v>23.2</v>
      </c>
      <c r="BA446">
        <v>59</v>
      </c>
      <c r="BB446">
        <v>90.4</v>
      </c>
      <c r="BC446">
        <v>94.9</v>
      </c>
      <c r="BD446">
        <v>9.6</v>
      </c>
      <c r="BE446">
        <v>5.0999999999999996</v>
      </c>
      <c r="BF446">
        <v>100</v>
      </c>
      <c r="BG446">
        <v>50.6</v>
      </c>
      <c r="BH446">
        <v>19.3</v>
      </c>
      <c r="BI446">
        <v>16.600000000000001</v>
      </c>
      <c r="BJ446">
        <v>23.2</v>
      </c>
      <c r="BK446">
        <v>59</v>
      </c>
      <c r="BL446">
        <v>90.4</v>
      </c>
      <c r="BM446">
        <v>94.9</v>
      </c>
      <c r="BN446">
        <v>9.6</v>
      </c>
      <c r="BO446">
        <v>5.0999999999999996</v>
      </c>
      <c r="BP446">
        <v>0</v>
      </c>
      <c r="BQ446">
        <v>0</v>
      </c>
      <c r="BR446">
        <v>0</v>
      </c>
      <c r="BS446">
        <v>0</v>
      </c>
      <c r="BT446">
        <v>0</v>
      </c>
      <c r="BU446">
        <v>0</v>
      </c>
      <c r="BV446">
        <v>0</v>
      </c>
      <c r="BW446">
        <v>0</v>
      </c>
      <c r="BX446">
        <v>0</v>
      </c>
      <c r="BY446">
        <v>0</v>
      </c>
      <c r="BZ446">
        <v>305</v>
      </c>
      <c r="CA446">
        <v>177</v>
      </c>
      <c r="CB446">
        <v>64</v>
      </c>
      <c r="CC446">
        <v>76</v>
      </c>
      <c r="CD446">
        <v>40</v>
      </c>
      <c r="CE446">
        <v>53</v>
      </c>
      <c r="CF446">
        <v>247</v>
      </c>
      <c r="CG446">
        <v>165</v>
      </c>
      <c r="CH446">
        <v>305</v>
      </c>
      <c r="CI446">
        <v>177</v>
      </c>
      <c r="CJ446">
        <v>64</v>
      </c>
      <c r="CK446">
        <v>76</v>
      </c>
      <c r="CL446">
        <v>40</v>
      </c>
      <c r="CM446">
        <v>53</v>
      </c>
      <c r="CN446">
        <v>247</v>
      </c>
      <c r="CO446">
        <v>165</v>
      </c>
      <c r="CP446">
        <v>0</v>
      </c>
      <c r="CQ446">
        <v>0</v>
      </c>
      <c r="CR446">
        <v>0</v>
      </c>
      <c r="CS446">
        <v>0</v>
      </c>
      <c r="CT446">
        <v>0</v>
      </c>
      <c r="CU446">
        <v>0</v>
      </c>
      <c r="CV446">
        <v>0</v>
      </c>
      <c r="CW446">
        <v>0</v>
      </c>
      <c r="CX446">
        <v>18.100000000000001</v>
      </c>
      <c r="CY446">
        <v>30.8</v>
      </c>
      <c r="CZ446">
        <v>28.4</v>
      </c>
      <c r="DA446">
        <v>48</v>
      </c>
      <c r="DB446">
        <v>17.899999999999999</v>
      </c>
      <c r="DC446">
        <v>27.1</v>
      </c>
      <c r="DD446">
        <v>26.5</v>
      </c>
      <c r="DE446">
        <v>43.8</v>
      </c>
      <c r="DF446">
        <v>18.100000000000001</v>
      </c>
      <c r="DG446">
        <v>30.8</v>
      </c>
      <c r="DH446">
        <v>28.4</v>
      </c>
      <c r="DI446">
        <v>48</v>
      </c>
      <c r="DJ446">
        <v>17.899999999999999</v>
      </c>
      <c r="DK446">
        <v>27.1</v>
      </c>
      <c r="DL446">
        <v>26.5</v>
      </c>
      <c r="DM446">
        <v>43.8</v>
      </c>
      <c r="DN446">
        <v>0</v>
      </c>
      <c r="DO446">
        <v>0</v>
      </c>
      <c r="DP446">
        <v>0</v>
      </c>
      <c r="DQ446">
        <v>0</v>
      </c>
      <c r="DR446">
        <v>0</v>
      </c>
      <c r="DS446">
        <v>0</v>
      </c>
      <c r="DT446">
        <v>0</v>
      </c>
      <c r="DU446">
        <v>0</v>
      </c>
      <c r="DV446" t="s">
        <v>725</v>
      </c>
    </row>
    <row r="447" spans="1:126" x14ac:dyDescent="0.35">
      <c r="A447" t="s">
        <v>747</v>
      </c>
      <c r="B447">
        <v>230103</v>
      </c>
      <c r="C447" s="1">
        <v>44929</v>
      </c>
      <c r="D447" t="s">
        <v>748</v>
      </c>
      <c r="E447" t="s">
        <v>740</v>
      </c>
      <c r="F447" t="s">
        <v>185</v>
      </c>
      <c r="G447" t="s">
        <v>749</v>
      </c>
      <c r="H447">
        <v>449393</v>
      </c>
      <c r="I447" s="17">
        <v>230801</v>
      </c>
      <c r="J447" s="17">
        <v>89135</v>
      </c>
      <c r="K447">
        <v>62735</v>
      </c>
      <c r="L447">
        <v>113520</v>
      </c>
      <c r="M447">
        <v>273494</v>
      </c>
      <c r="N447">
        <v>407056</v>
      </c>
      <c r="O447">
        <v>425364</v>
      </c>
      <c r="P447">
        <v>42337</v>
      </c>
      <c r="Q447">
        <v>24029</v>
      </c>
      <c r="R447">
        <v>449393</v>
      </c>
      <c r="S447">
        <v>230801</v>
      </c>
      <c r="T447">
        <v>89135</v>
      </c>
      <c r="U447">
        <v>62735</v>
      </c>
      <c r="V447">
        <v>113520</v>
      </c>
      <c r="W447">
        <v>273494</v>
      </c>
      <c r="X447">
        <v>407056</v>
      </c>
      <c r="Y447">
        <v>425364</v>
      </c>
      <c r="Z447">
        <v>42337</v>
      </c>
      <c r="AA447">
        <v>24029</v>
      </c>
      <c r="AB447">
        <v>0</v>
      </c>
      <c r="AC447">
        <v>0</v>
      </c>
      <c r="AD447">
        <v>0</v>
      </c>
      <c r="AE447">
        <v>0</v>
      </c>
      <c r="AF447">
        <v>0</v>
      </c>
      <c r="AG447">
        <v>0</v>
      </c>
      <c r="AH447">
        <v>0</v>
      </c>
      <c r="AI447">
        <v>0</v>
      </c>
      <c r="AJ447">
        <v>0</v>
      </c>
      <c r="AK447">
        <v>0</v>
      </c>
      <c r="AL447">
        <v>9353</v>
      </c>
      <c r="AM447">
        <v>1276</v>
      </c>
      <c r="AN447">
        <v>-3510</v>
      </c>
      <c r="AO447">
        <v>8388</v>
      </c>
      <c r="AP447">
        <v>-3224</v>
      </c>
      <c r="AQ447">
        <v>2974</v>
      </c>
      <c r="AR447">
        <v>6440</v>
      </c>
      <c r="AS447">
        <v>7852</v>
      </c>
      <c r="AT447">
        <v>2913</v>
      </c>
      <c r="AU447">
        <v>1501</v>
      </c>
      <c r="AV447">
        <v>100</v>
      </c>
      <c r="AW447">
        <v>51.4</v>
      </c>
      <c r="AX447">
        <v>19.8</v>
      </c>
      <c r="AY447">
        <v>14</v>
      </c>
      <c r="AZ447">
        <v>25.3</v>
      </c>
      <c r="BA447">
        <v>60.9</v>
      </c>
      <c r="BB447">
        <v>90.6</v>
      </c>
      <c r="BC447">
        <v>94.7</v>
      </c>
      <c r="BD447">
        <v>9.4</v>
      </c>
      <c r="BE447">
        <v>5.3</v>
      </c>
      <c r="BF447">
        <v>100</v>
      </c>
      <c r="BG447">
        <v>51.4</v>
      </c>
      <c r="BH447">
        <v>19.8</v>
      </c>
      <c r="BI447">
        <v>14</v>
      </c>
      <c r="BJ447">
        <v>25.3</v>
      </c>
      <c r="BK447">
        <v>60.9</v>
      </c>
      <c r="BL447">
        <v>90.6</v>
      </c>
      <c r="BM447">
        <v>94.7</v>
      </c>
      <c r="BN447">
        <v>9.4</v>
      </c>
      <c r="BO447">
        <v>5.3</v>
      </c>
      <c r="BP447">
        <v>0</v>
      </c>
      <c r="BQ447">
        <v>0</v>
      </c>
      <c r="BR447">
        <v>0</v>
      </c>
      <c r="BS447">
        <v>0</v>
      </c>
      <c r="BT447">
        <v>0</v>
      </c>
      <c r="BU447">
        <v>0</v>
      </c>
      <c r="BV447">
        <v>0</v>
      </c>
      <c r="BW447">
        <v>0</v>
      </c>
      <c r="BX447">
        <v>0</v>
      </c>
      <c r="BY447">
        <v>0</v>
      </c>
      <c r="BZ447">
        <v>293</v>
      </c>
      <c r="CA447">
        <v>164</v>
      </c>
      <c r="CB447">
        <v>63</v>
      </c>
      <c r="CC447">
        <v>74</v>
      </c>
      <c r="CD447">
        <v>42</v>
      </c>
      <c r="CE447">
        <v>47</v>
      </c>
      <c r="CF447">
        <v>234</v>
      </c>
      <c r="CG447">
        <v>160</v>
      </c>
      <c r="CH447">
        <v>293</v>
      </c>
      <c r="CI447">
        <v>164</v>
      </c>
      <c r="CJ447">
        <v>63</v>
      </c>
      <c r="CK447">
        <v>74</v>
      </c>
      <c r="CL447">
        <v>42</v>
      </c>
      <c r="CM447">
        <v>47</v>
      </c>
      <c r="CN447">
        <v>234</v>
      </c>
      <c r="CO447">
        <v>160</v>
      </c>
      <c r="CP447">
        <v>0</v>
      </c>
      <c r="CQ447">
        <v>0</v>
      </c>
      <c r="CR447">
        <v>0</v>
      </c>
      <c r="CS447">
        <v>0</v>
      </c>
      <c r="CT447">
        <v>0</v>
      </c>
      <c r="CU447">
        <v>0</v>
      </c>
      <c r="CV447">
        <v>0</v>
      </c>
      <c r="CW447">
        <v>0</v>
      </c>
      <c r="CX447">
        <v>19.399999999999999</v>
      </c>
      <c r="CY447">
        <v>32.799999999999997</v>
      </c>
      <c r="CZ447">
        <v>30.6</v>
      </c>
      <c r="DA447">
        <v>51.4</v>
      </c>
      <c r="DB447">
        <v>19.100000000000001</v>
      </c>
      <c r="DC447">
        <v>29</v>
      </c>
      <c r="DD447">
        <v>28.3</v>
      </c>
      <c r="DE447">
        <v>47</v>
      </c>
      <c r="DF447">
        <v>19.399999999999999</v>
      </c>
      <c r="DG447">
        <v>32.799999999999997</v>
      </c>
      <c r="DH447">
        <v>30.6</v>
      </c>
      <c r="DI447">
        <v>51.4</v>
      </c>
      <c r="DJ447">
        <v>19.100000000000001</v>
      </c>
      <c r="DK447">
        <v>29</v>
      </c>
      <c r="DL447">
        <v>28.3</v>
      </c>
      <c r="DM447">
        <v>47</v>
      </c>
      <c r="DN447">
        <v>0</v>
      </c>
      <c r="DO447">
        <v>0</v>
      </c>
      <c r="DP447">
        <v>0</v>
      </c>
      <c r="DQ447">
        <v>0</v>
      </c>
      <c r="DR447">
        <v>0</v>
      </c>
      <c r="DS447">
        <v>0</v>
      </c>
      <c r="DT447">
        <v>0</v>
      </c>
      <c r="DU447">
        <v>0</v>
      </c>
      <c r="DV447" t="s">
        <v>725</v>
      </c>
    </row>
    <row r="448" spans="1:126" x14ac:dyDescent="0.35">
      <c r="A448" t="s">
        <v>750</v>
      </c>
      <c r="B448">
        <v>230110</v>
      </c>
      <c r="C448" s="1">
        <v>44936</v>
      </c>
      <c r="D448" t="s">
        <v>751</v>
      </c>
      <c r="E448" t="s">
        <v>402</v>
      </c>
      <c r="F448" t="s">
        <v>165</v>
      </c>
      <c r="G448" t="s">
        <v>752</v>
      </c>
      <c r="H448">
        <v>133888</v>
      </c>
      <c r="I448" s="17">
        <v>22166</v>
      </c>
      <c r="J448" s="17">
        <v>53121</v>
      </c>
      <c r="K448">
        <v>3379</v>
      </c>
      <c r="L448">
        <v>75060</v>
      </c>
      <c r="M448">
        <v>47795</v>
      </c>
      <c r="N448">
        <v>100605</v>
      </c>
      <c r="O448">
        <v>104295</v>
      </c>
      <c r="P448">
        <v>33283</v>
      </c>
      <c r="Q448">
        <v>29593</v>
      </c>
      <c r="R448">
        <v>133888</v>
      </c>
      <c r="S448">
        <v>22166</v>
      </c>
      <c r="T448">
        <v>53121</v>
      </c>
      <c r="U448">
        <v>3379</v>
      </c>
      <c r="V448">
        <v>75060</v>
      </c>
      <c r="W448">
        <v>47795</v>
      </c>
      <c r="X448">
        <v>100605</v>
      </c>
      <c r="Y448">
        <v>104295</v>
      </c>
      <c r="Z448">
        <v>33283</v>
      </c>
      <c r="AA448">
        <v>29593</v>
      </c>
      <c r="AB448">
        <v>0</v>
      </c>
      <c r="AC448">
        <v>0</v>
      </c>
      <c r="AD448">
        <v>0</v>
      </c>
      <c r="AE448">
        <v>0</v>
      </c>
      <c r="AF448">
        <v>0</v>
      </c>
      <c r="AG448">
        <v>0</v>
      </c>
      <c r="AH448">
        <v>0</v>
      </c>
      <c r="AI448">
        <v>0</v>
      </c>
      <c r="AJ448">
        <v>0</v>
      </c>
      <c r="AK448">
        <v>0</v>
      </c>
      <c r="AL448">
        <v>-5107</v>
      </c>
      <c r="AM448">
        <v>-3331</v>
      </c>
      <c r="AN448">
        <v>858</v>
      </c>
      <c r="AO448">
        <v>-625</v>
      </c>
      <c r="AP448">
        <v>-2564</v>
      </c>
      <c r="AQ448">
        <v>-5288</v>
      </c>
      <c r="AR448">
        <v>-6520</v>
      </c>
      <c r="AS448">
        <v>-5055</v>
      </c>
      <c r="AT448">
        <v>1413</v>
      </c>
      <c r="AU448">
        <v>-52</v>
      </c>
      <c r="AV448">
        <v>100</v>
      </c>
      <c r="AW448">
        <v>16.600000000000001</v>
      </c>
      <c r="AX448">
        <v>39.700000000000003</v>
      </c>
      <c r="AY448">
        <v>2.5</v>
      </c>
      <c r="AZ448">
        <v>56.1</v>
      </c>
      <c r="BA448">
        <v>35.700000000000003</v>
      </c>
      <c r="BB448">
        <v>75.099999999999994</v>
      </c>
      <c r="BC448">
        <v>77.900000000000006</v>
      </c>
      <c r="BD448">
        <v>24.9</v>
      </c>
      <c r="BE448">
        <v>22.1</v>
      </c>
      <c r="BF448">
        <v>100</v>
      </c>
      <c r="BG448">
        <v>16.600000000000001</v>
      </c>
      <c r="BH448">
        <v>39.700000000000003</v>
      </c>
      <c r="BI448">
        <v>2.5</v>
      </c>
      <c r="BJ448">
        <v>56.1</v>
      </c>
      <c r="BK448">
        <v>35.700000000000003</v>
      </c>
      <c r="BL448">
        <v>75.099999999999994</v>
      </c>
      <c r="BM448">
        <v>77.900000000000006</v>
      </c>
      <c r="BN448">
        <v>24.9</v>
      </c>
      <c r="BO448">
        <v>22.1</v>
      </c>
      <c r="BP448">
        <v>0</v>
      </c>
      <c r="BQ448">
        <v>0</v>
      </c>
      <c r="BR448">
        <v>0</v>
      </c>
      <c r="BS448">
        <v>0</v>
      </c>
      <c r="BT448">
        <v>0</v>
      </c>
      <c r="BU448">
        <v>0</v>
      </c>
      <c r="BV448">
        <v>0</v>
      </c>
      <c r="BW448">
        <v>0</v>
      </c>
      <c r="BX448">
        <v>0</v>
      </c>
      <c r="BY448">
        <v>0</v>
      </c>
      <c r="BZ448">
        <v>93</v>
      </c>
      <c r="CA448">
        <v>13</v>
      </c>
      <c r="CB448">
        <v>28</v>
      </c>
      <c r="CC448">
        <v>10</v>
      </c>
      <c r="CD448">
        <v>32</v>
      </c>
      <c r="CE448">
        <v>29</v>
      </c>
      <c r="CF448">
        <v>52</v>
      </c>
      <c r="CG448">
        <v>60</v>
      </c>
      <c r="CH448">
        <v>93</v>
      </c>
      <c r="CI448">
        <v>13</v>
      </c>
      <c r="CJ448">
        <v>28</v>
      </c>
      <c r="CK448">
        <v>10</v>
      </c>
      <c r="CL448">
        <v>32</v>
      </c>
      <c r="CM448">
        <v>29</v>
      </c>
      <c r="CN448">
        <v>52</v>
      </c>
      <c r="CO448">
        <v>60</v>
      </c>
      <c r="CP448">
        <v>0</v>
      </c>
      <c r="CQ448">
        <v>0</v>
      </c>
      <c r="CR448">
        <v>0</v>
      </c>
      <c r="CS448">
        <v>0</v>
      </c>
      <c r="CT448">
        <v>0</v>
      </c>
      <c r="CU448">
        <v>0</v>
      </c>
      <c r="CV448">
        <v>0</v>
      </c>
      <c r="CW448">
        <v>0</v>
      </c>
      <c r="CX448">
        <v>27.2</v>
      </c>
      <c r="CY448">
        <v>23</v>
      </c>
      <c r="CZ448">
        <v>43</v>
      </c>
      <c r="DA448">
        <v>33</v>
      </c>
      <c r="DB448">
        <v>27.2</v>
      </c>
      <c r="DC448">
        <v>23</v>
      </c>
      <c r="DD448">
        <v>41.3</v>
      </c>
      <c r="DE448">
        <v>32.6</v>
      </c>
      <c r="DF448">
        <v>27.2</v>
      </c>
      <c r="DG448">
        <v>23</v>
      </c>
      <c r="DH448">
        <v>43</v>
      </c>
      <c r="DI448">
        <v>33</v>
      </c>
      <c r="DJ448">
        <v>27.2</v>
      </c>
      <c r="DK448">
        <v>23</v>
      </c>
      <c r="DL448">
        <v>41.3</v>
      </c>
      <c r="DM448">
        <v>32.6</v>
      </c>
      <c r="DN448">
        <v>0</v>
      </c>
      <c r="DO448">
        <v>0</v>
      </c>
      <c r="DP448">
        <v>0</v>
      </c>
      <c r="DQ448">
        <v>0</v>
      </c>
      <c r="DR448">
        <v>0</v>
      </c>
      <c r="DS448">
        <v>0</v>
      </c>
      <c r="DT448">
        <v>0</v>
      </c>
      <c r="DU448">
        <v>0</v>
      </c>
      <c r="DV448" t="s">
        <v>753</v>
      </c>
    </row>
    <row r="449" spans="1:126" x14ac:dyDescent="0.35">
      <c r="A449" t="s">
        <v>750</v>
      </c>
      <c r="B449">
        <v>230103</v>
      </c>
      <c r="C449" s="1">
        <v>44929</v>
      </c>
      <c r="D449" t="s">
        <v>751</v>
      </c>
      <c r="E449" t="s">
        <v>402</v>
      </c>
      <c r="F449" t="s">
        <v>165</v>
      </c>
      <c r="G449" t="s">
        <v>752</v>
      </c>
      <c r="H449">
        <v>138995</v>
      </c>
      <c r="I449" s="17">
        <v>25497</v>
      </c>
      <c r="J449" s="17">
        <v>52263</v>
      </c>
      <c r="K449">
        <v>4004</v>
      </c>
      <c r="L449">
        <v>77624</v>
      </c>
      <c r="M449">
        <v>53083</v>
      </c>
      <c r="N449">
        <v>107125</v>
      </c>
      <c r="O449">
        <v>109350</v>
      </c>
      <c r="P449">
        <v>31870</v>
      </c>
      <c r="Q449">
        <v>29645</v>
      </c>
      <c r="R449">
        <v>138995</v>
      </c>
      <c r="S449">
        <v>25497</v>
      </c>
      <c r="T449">
        <v>52263</v>
      </c>
      <c r="U449">
        <v>4004</v>
      </c>
      <c r="V449">
        <v>77624</v>
      </c>
      <c r="W449">
        <v>53083</v>
      </c>
      <c r="X449">
        <v>107125</v>
      </c>
      <c r="Y449">
        <v>109350</v>
      </c>
      <c r="Z449">
        <v>31870</v>
      </c>
      <c r="AA449">
        <v>29645</v>
      </c>
      <c r="AB449">
        <v>0</v>
      </c>
      <c r="AC449">
        <v>0</v>
      </c>
      <c r="AD449">
        <v>0</v>
      </c>
      <c r="AE449">
        <v>0</v>
      </c>
      <c r="AF449">
        <v>0</v>
      </c>
      <c r="AG449">
        <v>0</v>
      </c>
      <c r="AH449">
        <v>0</v>
      </c>
      <c r="AI449">
        <v>0</v>
      </c>
      <c r="AJ449">
        <v>0</v>
      </c>
      <c r="AK449">
        <v>0</v>
      </c>
      <c r="AL449">
        <v>-1549</v>
      </c>
      <c r="AM449">
        <v>-3382</v>
      </c>
      <c r="AN449">
        <v>-6649</v>
      </c>
      <c r="AO449">
        <v>1238</v>
      </c>
      <c r="AP449">
        <v>-1000</v>
      </c>
      <c r="AQ449">
        <v>2885</v>
      </c>
      <c r="AR449">
        <v>-3144</v>
      </c>
      <c r="AS449">
        <v>-2526</v>
      </c>
      <c r="AT449">
        <v>1595</v>
      </c>
      <c r="AU449">
        <v>977</v>
      </c>
      <c r="AV449">
        <v>100</v>
      </c>
      <c r="AW449">
        <v>18.3</v>
      </c>
      <c r="AX449">
        <v>37.6</v>
      </c>
      <c r="AY449">
        <v>2.9</v>
      </c>
      <c r="AZ449">
        <v>55.8</v>
      </c>
      <c r="BA449">
        <v>38.200000000000003</v>
      </c>
      <c r="BB449">
        <v>77.099999999999994</v>
      </c>
      <c r="BC449">
        <v>78.7</v>
      </c>
      <c r="BD449">
        <v>22.9</v>
      </c>
      <c r="BE449">
        <v>21.3</v>
      </c>
      <c r="BF449">
        <v>100</v>
      </c>
      <c r="BG449">
        <v>18.3</v>
      </c>
      <c r="BH449">
        <v>37.6</v>
      </c>
      <c r="BI449">
        <v>2.9</v>
      </c>
      <c r="BJ449">
        <v>55.8</v>
      </c>
      <c r="BK449">
        <v>38.200000000000003</v>
      </c>
      <c r="BL449">
        <v>77.099999999999994</v>
      </c>
      <c r="BM449">
        <v>78.7</v>
      </c>
      <c r="BN449">
        <v>22.9</v>
      </c>
      <c r="BO449">
        <v>21.3</v>
      </c>
      <c r="BP449">
        <v>0</v>
      </c>
      <c r="BQ449">
        <v>0</v>
      </c>
      <c r="BR449">
        <v>0</v>
      </c>
      <c r="BS449">
        <v>0</v>
      </c>
      <c r="BT449">
        <v>0</v>
      </c>
      <c r="BU449">
        <v>0</v>
      </c>
      <c r="BV449">
        <v>0</v>
      </c>
      <c r="BW449">
        <v>0</v>
      </c>
      <c r="BX449">
        <v>0</v>
      </c>
      <c r="BY449">
        <v>0</v>
      </c>
      <c r="BZ449">
        <v>105</v>
      </c>
      <c r="CA449">
        <v>18</v>
      </c>
      <c r="CB449">
        <v>32</v>
      </c>
      <c r="CC449">
        <v>13</v>
      </c>
      <c r="CD449">
        <v>36</v>
      </c>
      <c r="CE449">
        <v>31</v>
      </c>
      <c r="CF449">
        <v>62</v>
      </c>
      <c r="CG449">
        <v>68</v>
      </c>
      <c r="CH449">
        <v>105</v>
      </c>
      <c r="CI449">
        <v>18</v>
      </c>
      <c r="CJ449">
        <v>32</v>
      </c>
      <c r="CK449">
        <v>13</v>
      </c>
      <c r="CL449">
        <v>36</v>
      </c>
      <c r="CM449">
        <v>31</v>
      </c>
      <c r="CN449">
        <v>62</v>
      </c>
      <c r="CO449">
        <v>68</v>
      </c>
      <c r="CP449">
        <v>0</v>
      </c>
      <c r="CQ449">
        <v>0</v>
      </c>
      <c r="CR449">
        <v>0</v>
      </c>
      <c r="CS449">
        <v>0</v>
      </c>
      <c r="CT449">
        <v>0</v>
      </c>
      <c r="CU449">
        <v>0</v>
      </c>
      <c r="CV449">
        <v>0</v>
      </c>
      <c r="CW449">
        <v>0</v>
      </c>
      <c r="CX449">
        <v>27</v>
      </c>
      <c r="CY449">
        <v>22.5</v>
      </c>
      <c r="CZ449">
        <v>41.3</v>
      </c>
      <c r="DA449">
        <v>32.9</v>
      </c>
      <c r="DB449">
        <v>27</v>
      </c>
      <c r="DC449">
        <v>22.5</v>
      </c>
      <c r="DD449">
        <v>39.9</v>
      </c>
      <c r="DE449">
        <v>32.1</v>
      </c>
      <c r="DF449">
        <v>27</v>
      </c>
      <c r="DG449">
        <v>22.5</v>
      </c>
      <c r="DH449">
        <v>41.3</v>
      </c>
      <c r="DI449">
        <v>32.9</v>
      </c>
      <c r="DJ449">
        <v>27</v>
      </c>
      <c r="DK449">
        <v>22.5</v>
      </c>
      <c r="DL449">
        <v>39.9</v>
      </c>
      <c r="DM449">
        <v>32.1</v>
      </c>
      <c r="DN449">
        <v>0</v>
      </c>
      <c r="DO449">
        <v>0</v>
      </c>
      <c r="DP449">
        <v>0</v>
      </c>
      <c r="DQ449">
        <v>0</v>
      </c>
      <c r="DR449">
        <v>0</v>
      </c>
      <c r="DS449">
        <v>0</v>
      </c>
      <c r="DT449">
        <v>0</v>
      </c>
      <c r="DU449">
        <v>0</v>
      </c>
      <c r="DV449" t="s">
        <v>753</v>
      </c>
    </row>
    <row r="450" spans="1:126" x14ac:dyDescent="0.35">
      <c r="A450" t="s">
        <v>754</v>
      </c>
      <c r="B450">
        <v>230110</v>
      </c>
      <c r="C450" s="1">
        <v>44936</v>
      </c>
      <c r="D450" t="s">
        <v>755</v>
      </c>
      <c r="E450" t="s">
        <v>402</v>
      </c>
      <c r="F450" t="s">
        <v>165</v>
      </c>
      <c r="G450" t="s">
        <v>756</v>
      </c>
      <c r="H450">
        <v>33266</v>
      </c>
      <c r="I450" s="17">
        <v>3668</v>
      </c>
      <c r="J450" s="17">
        <v>11038</v>
      </c>
      <c r="K450">
        <v>22</v>
      </c>
      <c r="L450">
        <v>17034</v>
      </c>
      <c r="M450">
        <v>8828</v>
      </c>
      <c r="N450">
        <v>20724</v>
      </c>
      <c r="O450">
        <v>19888</v>
      </c>
      <c r="P450">
        <v>12542</v>
      </c>
      <c r="Q450">
        <v>13378</v>
      </c>
      <c r="R450">
        <v>33266</v>
      </c>
      <c r="S450">
        <v>3668</v>
      </c>
      <c r="T450">
        <v>11038</v>
      </c>
      <c r="U450">
        <v>22</v>
      </c>
      <c r="V450">
        <v>17034</v>
      </c>
      <c r="W450">
        <v>8828</v>
      </c>
      <c r="X450">
        <v>20724</v>
      </c>
      <c r="Y450">
        <v>19888</v>
      </c>
      <c r="Z450">
        <v>12542</v>
      </c>
      <c r="AA450">
        <v>13378</v>
      </c>
      <c r="AB450">
        <v>0</v>
      </c>
      <c r="AC450">
        <v>0</v>
      </c>
      <c r="AD450">
        <v>0</v>
      </c>
      <c r="AE450">
        <v>0</v>
      </c>
      <c r="AF450">
        <v>0</v>
      </c>
      <c r="AG450">
        <v>0</v>
      </c>
      <c r="AH450">
        <v>0</v>
      </c>
      <c r="AI450">
        <v>0</v>
      </c>
      <c r="AJ450">
        <v>0</v>
      </c>
      <c r="AK450">
        <v>0</v>
      </c>
      <c r="AL450">
        <v>16</v>
      </c>
      <c r="AM450">
        <v>-2964</v>
      </c>
      <c r="AN450">
        <v>1552</v>
      </c>
      <c r="AO450">
        <v>0</v>
      </c>
      <c r="AP450">
        <v>760</v>
      </c>
      <c r="AQ450">
        <v>-1015</v>
      </c>
      <c r="AR450">
        <v>-2204</v>
      </c>
      <c r="AS450">
        <v>537</v>
      </c>
      <c r="AT450">
        <v>2220</v>
      </c>
      <c r="AU450">
        <v>-521</v>
      </c>
      <c r="AV450">
        <v>100</v>
      </c>
      <c r="AW450">
        <v>11</v>
      </c>
      <c r="AX450">
        <v>33.200000000000003</v>
      </c>
      <c r="AY450">
        <v>0.1</v>
      </c>
      <c r="AZ450">
        <v>51.2</v>
      </c>
      <c r="BA450">
        <v>26.5</v>
      </c>
      <c r="BB450">
        <v>62.3</v>
      </c>
      <c r="BC450">
        <v>59.8</v>
      </c>
      <c r="BD450">
        <v>37.700000000000003</v>
      </c>
      <c r="BE450">
        <v>40.200000000000003</v>
      </c>
      <c r="BF450">
        <v>100</v>
      </c>
      <c r="BG450">
        <v>11</v>
      </c>
      <c r="BH450">
        <v>33.200000000000003</v>
      </c>
      <c r="BI450">
        <v>0.1</v>
      </c>
      <c r="BJ450">
        <v>51.2</v>
      </c>
      <c r="BK450">
        <v>26.5</v>
      </c>
      <c r="BL450">
        <v>62.3</v>
      </c>
      <c r="BM450">
        <v>59.8</v>
      </c>
      <c r="BN450">
        <v>37.700000000000003</v>
      </c>
      <c r="BO450">
        <v>40.200000000000003</v>
      </c>
      <c r="BP450">
        <v>0</v>
      </c>
      <c r="BQ450">
        <v>0</v>
      </c>
      <c r="BR450">
        <v>0</v>
      </c>
      <c r="BS450">
        <v>0</v>
      </c>
      <c r="BT450">
        <v>0</v>
      </c>
      <c r="BU450">
        <v>0</v>
      </c>
      <c r="BV450">
        <v>0</v>
      </c>
      <c r="BW450">
        <v>0</v>
      </c>
      <c r="BX450">
        <v>0</v>
      </c>
      <c r="BY450">
        <v>0</v>
      </c>
      <c r="BZ450">
        <v>32</v>
      </c>
      <c r="CA450">
        <v>6</v>
      </c>
      <c r="CB450">
        <v>7</v>
      </c>
      <c r="CC450">
        <v>2</v>
      </c>
      <c r="CD450">
        <v>12</v>
      </c>
      <c r="CE450">
        <v>10</v>
      </c>
      <c r="CF450">
        <v>18</v>
      </c>
      <c r="CG450">
        <v>19</v>
      </c>
      <c r="CH450">
        <v>32</v>
      </c>
      <c r="CI450">
        <v>6</v>
      </c>
      <c r="CJ450">
        <v>7</v>
      </c>
      <c r="CK450">
        <v>2</v>
      </c>
      <c r="CL450">
        <v>12</v>
      </c>
      <c r="CM450">
        <v>10</v>
      </c>
      <c r="CN450">
        <v>18</v>
      </c>
      <c r="CO450">
        <v>19</v>
      </c>
      <c r="CP450">
        <v>0</v>
      </c>
      <c r="CQ450">
        <v>0</v>
      </c>
      <c r="CR450">
        <v>0</v>
      </c>
      <c r="CS450">
        <v>0</v>
      </c>
      <c r="CT450">
        <v>0</v>
      </c>
      <c r="CU450">
        <v>0</v>
      </c>
      <c r="CV450">
        <v>0</v>
      </c>
      <c r="CW450">
        <v>0</v>
      </c>
      <c r="CX450">
        <v>42.2</v>
      </c>
      <c r="CY450">
        <v>27.5</v>
      </c>
      <c r="CZ450">
        <v>54.1</v>
      </c>
      <c r="DA450">
        <v>40.9</v>
      </c>
      <c r="DB450">
        <v>42.2</v>
      </c>
      <c r="DC450">
        <v>27.5</v>
      </c>
      <c r="DD450">
        <v>54.1</v>
      </c>
      <c r="DE450">
        <v>40.9</v>
      </c>
      <c r="DF450">
        <v>42.2</v>
      </c>
      <c r="DG450">
        <v>27.5</v>
      </c>
      <c r="DH450">
        <v>54.1</v>
      </c>
      <c r="DI450">
        <v>40.9</v>
      </c>
      <c r="DJ450">
        <v>42.2</v>
      </c>
      <c r="DK450">
        <v>27.5</v>
      </c>
      <c r="DL450">
        <v>54.1</v>
      </c>
      <c r="DM450">
        <v>40.9</v>
      </c>
      <c r="DN450">
        <v>0</v>
      </c>
      <c r="DO450">
        <v>0</v>
      </c>
      <c r="DP450">
        <v>0</v>
      </c>
      <c r="DQ450">
        <v>0</v>
      </c>
      <c r="DR450">
        <v>0</v>
      </c>
      <c r="DS450">
        <v>0</v>
      </c>
      <c r="DT450">
        <v>0</v>
      </c>
      <c r="DU450">
        <v>0</v>
      </c>
      <c r="DV450" t="s">
        <v>757</v>
      </c>
    </row>
    <row r="451" spans="1:126" x14ac:dyDescent="0.35">
      <c r="A451" t="s">
        <v>754</v>
      </c>
      <c r="B451">
        <v>230103</v>
      </c>
      <c r="C451" s="1">
        <v>44929</v>
      </c>
      <c r="D451" t="s">
        <v>755</v>
      </c>
      <c r="E451" t="s">
        <v>402</v>
      </c>
      <c r="F451" t="s">
        <v>165</v>
      </c>
      <c r="G451" t="s">
        <v>756</v>
      </c>
      <c r="H451">
        <v>33250</v>
      </c>
      <c r="I451" s="17">
        <v>6632</v>
      </c>
      <c r="J451" s="17">
        <v>9486</v>
      </c>
      <c r="K451">
        <v>22</v>
      </c>
      <c r="L451">
        <v>16274</v>
      </c>
      <c r="M451">
        <v>9843</v>
      </c>
      <c r="N451">
        <v>22928</v>
      </c>
      <c r="O451">
        <v>19351</v>
      </c>
      <c r="P451">
        <v>10322</v>
      </c>
      <c r="Q451">
        <v>13899</v>
      </c>
      <c r="R451">
        <v>33250</v>
      </c>
      <c r="S451">
        <v>6632</v>
      </c>
      <c r="T451">
        <v>9486</v>
      </c>
      <c r="U451">
        <v>22</v>
      </c>
      <c r="V451">
        <v>16274</v>
      </c>
      <c r="W451">
        <v>9843</v>
      </c>
      <c r="X451">
        <v>22928</v>
      </c>
      <c r="Y451">
        <v>19351</v>
      </c>
      <c r="Z451">
        <v>10322</v>
      </c>
      <c r="AA451">
        <v>13899</v>
      </c>
      <c r="AB451">
        <v>0</v>
      </c>
      <c r="AC451">
        <v>0</v>
      </c>
      <c r="AD451">
        <v>0</v>
      </c>
      <c r="AE451">
        <v>0</v>
      </c>
      <c r="AF451">
        <v>0</v>
      </c>
      <c r="AG451">
        <v>0</v>
      </c>
      <c r="AH451">
        <v>0</v>
      </c>
      <c r="AI451">
        <v>0</v>
      </c>
      <c r="AJ451">
        <v>0</v>
      </c>
      <c r="AK451">
        <v>0</v>
      </c>
      <c r="AL451">
        <v>3399</v>
      </c>
      <c r="AM451">
        <v>2703</v>
      </c>
      <c r="AN451">
        <v>1426</v>
      </c>
      <c r="AO451">
        <v>-64</v>
      </c>
      <c r="AP451">
        <v>2656</v>
      </c>
      <c r="AQ451">
        <v>392</v>
      </c>
      <c r="AR451">
        <v>5295</v>
      </c>
      <c r="AS451">
        <v>1754</v>
      </c>
      <c r="AT451">
        <v>-1896</v>
      </c>
      <c r="AU451">
        <v>1645</v>
      </c>
      <c r="AV451">
        <v>100</v>
      </c>
      <c r="AW451">
        <v>19.899999999999999</v>
      </c>
      <c r="AX451">
        <v>28.5</v>
      </c>
      <c r="AY451">
        <v>0.1</v>
      </c>
      <c r="AZ451">
        <v>48.9</v>
      </c>
      <c r="BA451">
        <v>29.6</v>
      </c>
      <c r="BB451">
        <v>69</v>
      </c>
      <c r="BC451">
        <v>58.2</v>
      </c>
      <c r="BD451">
        <v>31</v>
      </c>
      <c r="BE451">
        <v>41.8</v>
      </c>
      <c r="BF451">
        <v>100</v>
      </c>
      <c r="BG451">
        <v>19.899999999999999</v>
      </c>
      <c r="BH451">
        <v>28.5</v>
      </c>
      <c r="BI451">
        <v>0.1</v>
      </c>
      <c r="BJ451">
        <v>48.9</v>
      </c>
      <c r="BK451">
        <v>29.6</v>
      </c>
      <c r="BL451">
        <v>69</v>
      </c>
      <c r="BM451">
        <v>58.2</v>
      </c>
      <c r="BN451">
        <v>31</v>
      </c>
      <c r="BO451">
        <v>41.8</v>
      </c>
      <c r="BP451">
        <v>0</v>
      </c>
      <c r="BQ451">
        <v>0</v>
      </c>
      <c r="BR451">
        <v>0</v>
      </c>
      <c r="BS451">
        <v>0</v>
      </c>
      <c r="BT451">
        <v>0</v>
      </c>
      <c r="BU451">
        <v>0</v>
      </c>
      <c r="BV451">
        <v>0</v>
      </c>
      <c r="BW451">
        <v>0</v>
      </c>
      <c r="BX451">
        <v>0</v>
      </c>
      <c r="BY451">
        <v>0</v>
      </c>
      <c r="BZ451">
        <v>36</v>
      </c>
      <c r="CA451">
        <v>8</v>
      </c>
      <c r="CB451">
        <v>7</v>
      </c>
      <c r="CC451">
        <v>3</v>
      </c>
      <c r="CD451">
        <v>12</v>
      </c>
      <c r="CE451">
        <v>12</v>
      </c>
      <c r="CF451">
        <v>20</v>
      </c>
      <c r="CG451">
        <v>22</v>
      </c>
      <c r="CH451">
        <v>36</v>
      </c>
      <c r="CI451">
        <v>8</v>
      </c>
      <c r="CJ451">
        <v>7</v>
      </c>
      <c r="CK451">
        <v>3</v>
      </c>
      <c r="CL451">
        <v>12</v>
      </c>
      <c r="CM451">
        <v>12</v>
      </c>
      <c r="CN451">
        <v>20</v>
      </c>
      <c r="CO451">
        <v>22</v>
      </c>
      <c r="CP451">
        <v>0</v>
      </c>
      <c r="CQ451">
        <v>0</v>
      </c>
      <c r="CR451">
        <v>0</v>
      </c>
      <c r="CS451">
        <v>0</v>
      </c>
      <c r="CT451">
        <v>0</v>
      </c>
      <c r="CU451">
        <v>0</v>
      </c>
      <c r="CV451">
        <v>0</v>
      </c>
      <c r="CW451">
        <v>0</v>
      </c>
      <c r="CX451">
        <v>41.4</v>
      </c>
      <c r="CY451">
        <v>27.4</v>
      </c>
      <c r="CZ451">
        <v>54.4</v>
      </c>
      <c r="DA451">
        <v>42.6</v>
      </c>
      <c r="DB451">
        <v>41.4</v>
      </c>
      <c r="DC451">
        <v>27.4</v>
      </c>
      <c r="DD451">
        <v>54.3</v>
      </c>
      <c r="DE451">
        <v>42.6</v>
      </c>
      <c r="DF451">
        <v>41.4</v>
      </c>
      <c r="DG451">
        <v>27.4</v>
      </c>
      <c r="DH451">
        <v>54.4</v>
      </c>
      <c r="DI451">
        <v>42.6</v>
      </c>
      <c r="DJ451">
        <v>41.4</v>
      </c>
      <c r="DK451">
        <v>27.4</v>
      </c>
      <c r="DL451">
        <v>54.3</v>
      </c>
      <c r="DM451">
        <v>42.6</v>
      </c>
      <c r="DN451">
        <v>0</v>
      </c>
      <c r="DO451">
        <v>0</v>
      </c>
      <c r="DP451">
        <v>0</v>
      </c>
      <c r="DQ451">
        <v>0</v>
      </c>
      <c r="DR451">
        <v>0</v>
      </c>
      <c r="DS451">
        <v>0</v>
      </c>
      <c r="DT451">
        <v>0</v>
      </c>
      <c r="DU451">
        <v>0</v>
      </c>
      <c r="DV451" t="s">
        <v>757</v>
      </c>
    </row>
    <row r="452" spans="1:126" x14ac:dyDescent="0.35">
      <c r="A452" t="s">
        <v>758</v>
      </c>
      <c r="B452">
        <v>230110</v>
      </c>
      <c r="C452" s="1">
        <v>44936</v>
      </c>
      <c r="D452" t="s">
        <v>759</v>
      </c>
      <c r="E452" t="s">
        <v>402</v>
      </c>
      <c r="F452" t="s">
        <v>165</v>
      </c>
      <c r="G452" t="s">
        <v>760</v>
      </c>
      <c r="H452">
        <v>270826</v>
      </c>
      <c r="I452" s="17">
        <v>149517</v>
      </c>
      <c r="J452" s="17">
        <v>202898</v>
      </c>
      <c r="K452">
        <v>746</v>
      </c>
      <c r="L452">
        <v>111970</v>
      </c>
      <c r="M452">
        <v>64764</v>
      </c>
      <c r="N452">
        <v>262233</v>
      </c>
      <c r="O452">
        <v>268408</v>
      </c>
      <c r="P452">
        <v>8593</v>
      </c>
      <c r="Q452">
        <v>2418</v>
      </c>
      <c r="R452">
        <v>270826</v>
      </c>
      <c r="S452">
        <v>149517</v>
      </c>
      <c r="T452">
        <v>202898</v>
      </c>
      <c r="U452">
        <v>746</v>
      </c>
      <c r="V452">
        <v>111970</v>
      </c>
      <c r="W452">
        <v>64764</v>
      </c>
      <c r="X452">
        <v>262233</v>
      </c>
      <c r="Y452">
        <v>268408</v>
      </c>
      <c r="Z452">
        <v>8593</v>
      </c>
      <c r="AA452">
        <v>2418</v>
      </c>
      <c r="AB452">
        <v>0</v>
      </c>
      <c r="AC452">
        <v>0</v>
      </c>
      <c r="AD452">
        <v>0</v>
      </c>
      <c r="AE452">
        <v>0</v>
      </c>
      <c r="AF452">
        <v>0</v>
      </c>
      <c r="AG452">
        <v>0</v>
      </c>
      <c r="AH452">
        <v>0</v>
      </c>
      <c r="AI452">
        <v>0</v>
      </c>
      <c r="AJ452">
        <v>0</v>
      </c>
      <c r="AK452">
        <v>0</v>
      </c>
      <c r="AL452">
        <v>25797</v>
      </c>
      <c r="AM452">
        <v>18316</v>
      </c>
      <c r="AN452">
        <v>15321</v>
      </c>
      <c r="AO452">
        <v>397</v>
      </c>
      <c r="AP452">
        <v>6569</v>
      </c>
      <c r="AQ452">
        <v>9625</v>
      </c>
      <c r="AR452">
        <v>25282</v>
      </c>
      <c r="AS452">
        <v>25343</v>
      </c>
      <c r="AT452">
        <v>515</v>
      </c>
      <c r="AU452">
        <v>454</v>
      </c>
      <c r="AV452">
        <v>100</v>
      </c>
      <c r="AW452">
        <v>55.2</v>
      </c>
      <c r="AX452">
        <v>74.900000000000006</v>
      </c>
      <c r="AY452">
        <v>0.3</v>
      </c>
      <c r="AZ452">
        <v>41.3</v>
      </c>
      <c r="BA452">
        <v>23.9</v>
      </c>
      <c r="BB452">
        <v>96.8</v>
      </c>
      <c r="BC452">
        <v>99.1</v>
      </c>
      <c r="BD452">
        <v>3.2</v>
      </c>
      <c r="BE452">
        <v>0.9</v>
      </c>
      <c r="BF452">
        <v>100</v>
      </c>
      <c r="BG452">
        <v>55.2</v>
      </c>
      <c r="BH452">
        <v>74.900000000000006</v>
      </c>
      <c r="BI452">
        <v>0.3</v>
      </c>
      <c r="BJ452">
        <v>41.3</v>
      </c>
      <c r="BK452">
        <v>23.9</v>
      </c>
      <c r="BL452">
        <v>96.8</v>
      </c>
      <c r="BM452">
        <v>99.1</v>
      </c>
      <c r="BN452">
        <v>3.2</v>
      </c>
      <c r="BO452">
        <v>0.9</v>
      </c>
      <c r="BP452">
        <v>0</v>
      </c>
      <c r="BQ452">
        <v>0</v>
      </c>
      <c r="BR452">
        <v>0</v>
      </c>
      <c r="BS452">
        <v>0</v>
      </c>
      <c r="BT452">
        <v>0</v>
      </c>
      <c r="BU452">
        <v>0</v>
      </c>
      <c r="BV452">
        <v>0</v>
      </c>
      <c r="BW452">
        <v>0</v>
      </c>
      <c r="BX452">
        <v>0</v>
      </c>
      <c r="BY452">
        <v>0</v>
      </c>
      <c r="BZ452">
        <v>182</v>
      </c>
      <c r="CA452">
        <v>88</v>
      </c>
      <c r="CB452">
        <v>25</v>
      </c>
      <c r="CC452">
        <v>4</v>
      </c>
      <c r="CD452">
        <v>44</v>
      </c>
      <c r="CE452">
        <v>36</v>
      </c>
      <c r="CF452">
        <v>134</v>
      </c>
      <c r="CG452">
        <v>64</v>
      </c>
      <c r="CH452">
        <v>182</v>
      </c>
      <c r="CI452">
        <v>88</v>
      </c>
      <c r="CJ452">
        <v>25</v>
      </c>
      <c r="CK452">
        <v>4</v>
      </c>
      <c r="CL452">
        <v>44</v>
      </c>
      <c r="CM452">
        <v>36</v>
      </c>
      <c r="CN452">
        <v>134</v>
      </c>
      <c r="CO452">
        <v>64</v>
      </c>
      <c r="CP452">
        <v>0</v>
      </c>
      <c r="CQ452">
        <v>0</v>
      </c>
      <c r="CR452">
        <v>0</v>
      </c>
      <c r="CS452">
        <v>0</v>
      </c>
      <c r="CT452">
        <v>0</v>
      </c>
      <c r="CU452">
        <v>0</v>
      </c>
      <c r="CV452">
        <v>0</v>
      </c>
      <c r="CW452">
        <v>0</v>
      </c>
      <c r="CX452">
        <v>26.6</v>
      </c>
      <c r="CY452">
        <v>73.8</v>
      </c>
      <c r="CZ452">
        <v>46.6</v>
      </c>
      <c r="DA452">
        <v>83.6</v>
      </c>
      <c r="DB452">
        <v>26.6</v>
      </c>
      <c r="DC452">
        <v>73.8</v>
      </c>
      <c r="DD452">
        <v>46.6</v>
      </c>
      <c r="DE452">
        <v>83.5</v>
      </c>
      <c r="DF452">
        <v>26.6</v>
      </c>
      <c r="DG452">
        <v>73.8</v>
      </c>
      <c r="DH452">
        <v>46.6</v>
      </c>
      <c r="DI452">
        <v>83.6</v>
      </c>
      <c r="DJ452">
        <v>26.6</v>
      </c>
      <c r="DK452">
        <v>73.8</v>
      </c>
      <c r="DL452">
        <v>46.6</v>
      </c>
      <c r="DM452">
        <v>83.5</v>
      </c>
      <c r="DN452">
        <v>0</v>
      </c>
      <c r="DO452">
        <v>0</v>
      </c>
      <c r="DP452">
        <v>0</v>
      </c>
      <c r="DQ452">
        <v>0</v>
      </c>
      <c r="DR452">
        <v>0</v>
      </c>
      <c r="DS452">
        <v>0</v>
      </c>
      <c r="DT452">
        <v>0</v>
      </c>
      <c r="DU452">
        <v>0</v>
      </c>
      <c r="DV452" t="s">
        <v>761</v>
      </c>
    </row>
    <row r="453" spans="1:126" x14ac:dyDescent="0.35">
      <c r="A453" t="s">
        <v>758</v>
      </c>
      <c r="B453">
        <v>230103</v>
      </c>
      <c r="C453" s="1">
        <v>44929</v>
      </c>
      <c r="D453" t="s">
        <v>759</v>
      </c>
      <c r="E453" t="s">
        <v>402</v>
      </c>
      <c r="F453" t="s">
        <v>165</v>
      </c>
      <c r="G453" t="s">
        <v>760</v>
      </c>
      <c r="H453">
        <v>245029</v>
      </c>
      <c r="I453" s="17">
        <v>131201</v>
      </c>
      <c r="J453" s="17">
        <v>187577</v>
      </c>
      <c r="K453">
        <v>349</v>
      </c>
      <c r="L453">
        <v>105401</v>
      </c>
      <c r="M453">
        <v>55139</v>
      </c>
      <c r="N453">
        <v>236951</v>
      </c>
      <c r="O453">
        <v>243065</v>
      </c>
      <c r="P453">
        <v>8078</v>
      </c>
      <c r="Q453">
        <v>1964</v>
      </c>
      <c r="R453">
        <v>245029</v>
      </c>
      <c r="S453">
        <v>131201</v>
      </c>
      <c r="T453">
        <v>187577</v>
      </c>
      <c r="U453">
        <v>349</v>
      </c>
      <c r="V453">
        <v>105401</v>
      </c>
      <c r="W453">
        <v>55139</v>
      </c>
      <c r="X453">
        <v>236951</v>
      </c>
      <c r="Y453">
        <v>243065</v>
      </c>
      <c r="Z453">
        <v>8078</v>
      </c>
      <c r="AA453">
        <v>1964</v>
      </c>
      <c r="AB453">
        <v>0</v>
      </c>
      <c r="AC453">
        <v>0</v>
      </c>
      <c r="AD453">
        <v>0</v>
      </c>
      <c r="AE453">
        <v>0</v>
      </c>
      <c r="AF453">
        <v>0</v>
      </c>
      <c r="AG453">
        <v>0</v>
      </c>
      <c r="AH453">
        <v>0</v>
      </c>
      <c r="AI453">
        <v>0</v>
      </c>
      <c r="AJ453">
        <v>0</v>
      </c>
      <c r="AK453">
        <v>0</v>
      </c>
      <c r="AL453">
        <v>12622</v>
      </c>
      <c r="AM453">
        <v>5310</v>
      </c>
      <c r="AN453">
        <v>9960</v>
      </c>
      <c r="AO453">
        <v>127</v>
      </c>
      <c r="AP453">
        <v>6980</v>
      </c>
      <c r="AQ453">
        <v>2582</v>
      </c>
      <c r="AR453">
        <v>12417</v>
      </c>
      <c r="AS453">
        <v>12669</v>
      </c>
      <c r="AT453">
        <v>205</v>
      </c>
      <c r="AU453">
        <v>-47</v>
      </c>
      <c r="AV453">
        <v>100</v>
      </c>
      <c r="AW453">
        <v>53.5</v>
      </c>
      <c r="AX453">
        <v>76.599999999999994</v>
      </c>
      <c r="AY453">
        <v>0.1</v>
      </c>
      <c r="AZ453">
        <v>43</v>
      </c>
      <c r="BA453">
        <v>22.5</v>
      </c>
      <c r="BB453">
        <v>96.7</v>
      </c>
      <c r="BC453">
        <v>99.2</v>
      </c>
      <c r="BD453">
        <v>3.3</v>
      </c>
      <c r="BE453">
        <v>0.8</v>
      </c>
      <c r="BF453">
        <v>100</v>
      </c>
      <c r="BG453">
        <v>53.5</v>
      </c>
      <c r="BH453">
        <v>76.599999999999994</v>
      </c>
      <c r="BI453">
        <v>0.1</v>
      </c>
      <c r="BJ453">
        <v>43</v>
      </c>
      <c r="BK453">
        <v>22.5</v>
      </c>
      <c r="BL453">
        <v>96.7</v>
      </c>
      <c r="BM453">
        <v>99.2</v>
      </c>
      <c r="BN453">
        <v>3.3</v>
      </c>
      <c r="BO453">
        <v>0.8</v>
      </c>
      <c r="BP453">
        <v>0</v>
      </c>
      <c r="BQ453">
        <v>0</v>
      </c>
      <c r="BR453">
        <v>0</v>
      </c>
      <c r="BS453">
        <v>0</v>
      </c>
      <c r="BT453">
        <v>0</v>
      </c>
      <c r="BU453">
        <v>0</v>
      </c>
      <c r="BV453">
        <v>0</v>
      </c>
      <c r="BW453">
        <v>0</v>
      </c>
      <c r="BX453">
        <v>0</v>
      </c>
      <c r="BY453">
        <v>0</v>
      </c>
      <c r="BZ453">
        <v>165</v>
      </c>
      <c r="CA453">
        <v>82</v>
      </c>
      <c r="CB453">
        <v>19</v>
      </c>
      <c r="CC453">
        <v>4</v>
      </c>
      <c r="CD453">
        <v>45</v>
      </c>
      <c r="CE453">
        <v>30</v>
      </c>
      <c r="CF453">
        <v>127</v>
      </c>
      <c r="CG453">
        <v>53</v>
      </c>
      <c r="CH453">
        <v>165</v>
      </c>
      <c r="CI453">
        <v>82</v>
      </c>
      <c r="CJ453">
        <v>19</v>
      </c>
      <c r="CK453">
        <v>4</v>
      </c>
      <c r="CL453">
        <v>45</v>
      </c>
      <c r="CM453">
        <v>30</v>
      </c>
      <c r="CN453">
        <v>127</v>
      </c>
      <c r="CO453">
        <v>53</v>
      </c>
      <c r="CP453">
        <v>0</v>
      </c>
      <c r="CQ453">
        <v>0</v>
      </c>
      <c r="CR453">
        <v>0</v>
      </c>
      <c r="CS453">
        <v>0</v>
      </c>
      <c r="CT453">
        <v>0</v>
      </c>
      <c r="CU453">
        <v>0</v>
      </c>
      <c r="CV453">
        <v>0</v>
      </c>
      <c r="CW453">
        <v>0</v>
      </c>
      <c r="CX453">
        <v>25.9</v>
      </c>
      <c r="CY453">
        <v>77.5</v>
      </c>
      <c r="CZ453">
        <v>45.7</v>
      </c>
      <c r="DA453">
        <v>86.8</v>
      </c>
      <c r="DB453">
        <v>25.9</v>
      </c>
      <c r="DC453">
        <v>77.5</v>
      </c>
      <c r="DD453">
        <v>45.7</v>
      </c>
      <c r="DE453">
        <v>86.8</v>
      </c>
      <c r="DF453">
        <v>25.9</v>
      </c>
      <c r="DG453">
        <v>77.5</v>
      </c>
      <c r="DH453">
        <v>45.7</v>
      </c>
      <c r="DI453">
        <v>86.8</v>
      </c>
      <c r="DJ453">
        <v>25.9</v>
      </c>
      <c r="DK453">
        <v>77.5</v>
      </c>
      <c r="DL453">
        <v>45.7</v>
      </c>
      <c r="DM453">
        <v>86.8</v>
      </c>
      <c r="DN453">
        <v>0</v>
      </c>
      <c r="DO453">
        <v>0</v>
      </c>
      <c r="DP453">
        <v>0</v>
      </c>
      <c r="DQ453">
        <v>0</v>
      </c>
      <c r="DR453">
        <v>0</v>
      </c>
      <c r="DS453">
        <v>0</v>
      </c>
      <c r="DT453">
        <v>0</v>
      </c>
      <c r="DU453">
        <v>0</v>
      </c>
      <c r="DV453" t="s">
        <v>761</v>
      </c>
    </row>
    <row r="454" spans="1:126" x14ac:dyDescent="0.35">
      <c r="A454" t="s">
        <v>762</v>
      </c>
      <c r="B454">
        <v>230110</v>
      </c>
      <c r="C454" s="1">
        <v>44936</v>
      </c>
      <c r="D454" t="s">
        <v>763</v>
      </c>
      <c r="E454" t="s">
        <v>402</v>
      </c>
      <c r="F454" t="s">
        <v>165</v>
      </c>
      <c r="G454" t="s">
        <v>764</v>
      </c>
      <c r="H454">
        <v>202713</v>
      </c>
      <c r="I454" s="17">
        <v>36007</v>
      </c>
      <c r="J454" s="17">
        <v>65463</v>
      </c>
      <c r="K454">
        <v>4615</v>
      </c>
      <c r="L454">
        <v>138532</v>
      </c>
      <c r="M454">
        <v>103264</v>
      </c>
      <c r="N454">
        <v>179154</v>
      </c>
      <c r="O454">
        <v>173342</v>
      </c>
      <c r="P454">
        <v>23559</v>
      </c>
      <c r="Q454">
        <v>29371</v>
      </c>
      <c r="R454">
        <v>202713</v>
      </c>
      <c r="S454">
        <v>36007</v>
      </c>
      <c r="T454">
        <v>65463</v>
      </c>
      <c r="U454">
        <v>4615</v>
      </c>
      <c r="V454">
        <v>138532</v>
      </c>
      <c r="W454">
        <v>103264</v>
      </c>
      <c r="X454">
        <v>179154</v>
      </c>
      <c r="Y454">
        <v>173342</v>
      </c>
      <c r="Z454">
        <v>23559</v>
      </c>
      <c r="AA454">
        <v>29371</v>
      </c>
      <c r="AB454">
        <v>0</v>
      </c>
      <c r="AC454">
        <v>0</v>
      </c>
      <c r="AD454">
        <v>0</v>
      </c>
      <c r="AE454">
        <v>0</v>
      </c>
      <c r="AF454">
        <v>0</v>
      </c>
      <c r="AG454">
        <v>0</v>
      </c>
      <c r="AH454">
        <v>0</v>
      </c>
      <c r="AI454">
        <v>0</v>
      </c>
      <c r="AJ454">
        <v>0</v>
      </c>
      <c r="AK454">
        <v>0</v>
      </c>
      <c r="AL454">
        <v>-3009</v>
      </c>
      <c r="AM454">
        <v>-7618</v>
      </c>
      <c r="AN454">
        <v>1537</v>
      </c>
      <c r="AO454">
        <v>0</v>
      </c>
      <c r="AP454">
        <v>3218</v>
      </c>
      <c r="AQ454">
        <v>-2358</v>
      </c>
      <c r="AR454">
        <v>-4400</v>
      </c>
      <c r="AS454">
        <v>-821</v>
      </c>
      <c r="AT454">
        <v>1391</v>
      </c>
      <c r="AU454">
        <v>-2188</v>
      </c>
      <c r="AV454">
        <v>100</v>
      </c>
      <c r="AW454">
        <v>17.8</v>
      </c>
      <c r="AX454">
        <v>32.299999999999997</v>
      </c>
      <c r="AY454">
        <v>2.2999999999999998</v>
      </c>
      <c r="AZ454">
        <v>68.3</v>
      </c>
      <c r="BA454">
        <v>50.9</v>
      </c>
      <c r="BB454">
        <v>88.4</v>
      </c>
      <c r="BC454">
        <v>85.5</v>
      </c>
      <c r="BD454">
        <v>11.6</v>
      </c>
      <c r="BE454">
        <v>14.5</v>
      </c>
      <c r="BF454">
        <v>100</v>
      </c>
      <c r="BG454">
        <v>17.8</v>
      </c>
      <c r="BH454">
        <v>32.299999999999997</v>
      </c>
      <c r="BI454">
        <v>2.2999999999999998</v>
      </c>
      <c r="BJ454">
        <v>68.3</v>
      </c>
      <c r="BK454">
        <v>50.9</v>
      </c>
      <c r="BL454">
        <v>88.4</v>
      </c>
      <c r="BM454">
        <v>85.5</v>
      </c>
      <c r="BN454">
        <v>11.6</v>
      </c>
      <c r="BO454">
        <v>14.5</v>
      </c>
      <c r="BP454">
        <v>0</v>
      </c>
      <c r="BQ454">
        <v>0</v>
      </c>
      <c r="BR454">
        <v>0</v>
      </c>
      <c r="BS454">
        <v>0</v>
      </c>
      <c r="BT454">
        <v>0</v>
      </c>
      <c r="BU454">
        <v>0</v>
      </c>
      <c r="BV454">
        <v>0</v>
      </c>
      <c r="BW454">
        <v>0</v>
      </c>
      <c r="BX454">
        <v>0</v>
      </c>
      <c r="BY454">
        <v>0</v>
      </c>
      <c r="BZ454">
        <v>124</v>
      </c>
      <c r="CA454">
        <v>24</v>
      </c>
      <c r="CB454">
        <v>31</v>
      </c>
      <c r="CC454">
        <v>13</v>
      </c>
      <c r="CD454">
        <v>32</v>
      </c>
      <c r="CE454">
        <v>50</v>
      </c>
      <c r="CF454">
        <v>61</v>
      </c>
      <c r="CG454">
        <v>90</v>
      </c>
      <c r="CH454">
        <v>124</v>
      </c>
      <c r="CI454">
        <v>24</v>
      </c>
      <c r="CJ454">
        <v>31</v>
      </c>
      <c r="CK454">
        <v>13</v>
      </c>
      <c r="CL454">
        <v>32</v>
      </c>
      <c r="CM454">
        <v>50</v>
      </c>
      <c r="CN454">
        <v>61</v>
      </c>
      <c r="CO454">
        <v>90</v>
      </c>
      <c r="CP454">
        <v>0</v>
      </c>
      <c r="CQ454">
        <v>0</v>
      </c>
      <c r="CR454">
        <v>0</v>
      </c>
      <c r="CS454">
        <v>0</v>
      </c>
      <c r="CT454">
        <v>0</v>
      </c>
      <c r="CU454">
        <v>0</v>
      </c>
      <c r="CV454">
        <v>0</v>
      </c>
      <c r="CW454">
        <v>0</v>
      </c>
      <c r="CX454">
        <v>47.6</v>
      </c>
      <c r="CY454">
        <v>21.4</v>
      </c>
      <c r="CZ454">
        <v>61.9</v>
      </c>
      <c r="DA454">
        <v>31.9</v>
      </c>
      <c r="DB454">
        <v>44.9</v>
      </c>
      <c r="DC454">
        <v>21.3</v>
      </c>
      <c r="DD454">
        <v>58.7</v>
      </c>
      <c r="DE454">
        <v>31.4</v>
      </c>
      <c r="DF454">
        <v>47.6</v>
      </c>
      <c r="DG454">
        <v>21.4</v>
      </c>
      <c r="DH454">
        <v>61.9</v>
      </c>
      <c r="DI454">
        <v>31.9</v>
      </c>
      <c r="DJ454">
        <v>44.9</v>
      </c>
      <c r="DK454">
        <v>21.3</v>
      </c>
      <c r="DL454">
        <v>58.7</v>
      </c>
      <c r="DM454">
        <v>31.4</v>
      </c>
      <c r="DN454">
        <v>0</v>
      </c>
      <c r="DO454">
        <v>0</v>
      </c>
      <c r="DP454">
        <v>0</v>
      </c>
      <c r="DQ454">
        <v>0</v>
      </c>
      <c r="DR454">
        <v>0</v>
      </c>
      <c r="DS454">
        <v>0</v>
      </c>
      <c r="DT454">
        <v>0</v>
      </c>
      <c r="DU454">
        <v>0</v>
      </c>
      <c r="DV454" t="s">
        <v>765</v>
      </c>
    </row>
    <row r="455" spans="1:126" x14ac:dyDescent="0.35">
      <c r="A455" t="s">
        <v>762</v>
      </c>
      <c r="B455">
        <v>230103</v>
      </c>
      <c r="C455" s="1">
        <v>44929</v>
      </c>
      <c r="D455" t="s">
        <v>763</v>
      </c>
      <c r="E455" t="s">
        <v>402</v>
      </c>
      <c r="F455" t="s">
        <v>165</v>
      </c>
      <c r="G455" t="s">
        <v>764</v>
      </c>
      <c r="H455">
        <v>205722</v>
      </c>
      <c r="I455" s="17">
        <v>43625</v>
      </c>
      <c r="J455" s="17">
        <v>63926</v>
      </c>
      <c r="K455">
        <v>4615</v>
      </c>
      <c r="L455">
        <v>135314</v>
      </c>
      <c r="M455">
        <v>105622</v>
      </c>
      <c r="N455">
        <v>183554</v>
      </c>
      <c r="O455">
        <v>174163</v>
      </c>
      <c r="P455">
        <v>22168</v>
      </c>
      <c r="Q455">
        <v>31559</v>
      </c>
      <c r="R455">
        <v>205722</v>
      </c>
      <c r="S455">
        <v>43625</v>
      </c>
      <c r="T455">
        <v>63926</v>
      </c>
      <c r="U455">
        <v>4615</v>
      </c>
      <c r="V455">
        <v>135314</v>
      </c>
      <c r="W455">
        <v>105622</v>
      </c>
      <c r="X455">
        <v>183554</v>
      </c>
      <c r="Y455">
        <v>174163</v>
      </c>
      <c r="Z455">
        <v>22168</v>
      </c>
      <c r="AA455">
        <v>31559</v>
      </c>
      <c r="AB455">
        <v>0</v>
      </c>
      <c r="AC455">
        <v>0</v>
      </c>
      <c r="AD455">
        <v>0</v>
      </c>
      <c r="AE455">
        <v>0</v>
      </c>
      <c r="AF455">
        <v>0</v>
      </c>
      <c r="AG455">
        <v>0</v>
      </c>
      <c r="AH455">
        <v>0</v>
      </c>
      <c r="AI455">
        <v>0</v>
      </c>
      <c r="AJ455">
        <v>0</v>
      </c>
      <c r="AK455">
        <v>0</v>
      </c>
      <c r="AL455">
        <v>10282</v>
      </c>
      <c r="AM455">
        <v>3040</v>
      </c>
      <c r="AN455">
        <v>12454</v>
      </c>
      <c r="AO455">
        <v>-571</v>
      </c>
      <c r="AP455">
        <v>7224</v>
      </c>
      <c r="AQ455">
        <v>-3207</v>
      </c>
      <c r="AR455">
        <v>9693</v>
      </c>
      <c r="AS455">
        <v>8676</v>
      </c>
      <c r="AT455">
        <v>589</v>
      </c>
      <c r="AU455">
        <v>1606</v>
      </c>
      <c r="AV455">
        <v>100</v>
      </c>
      <c r="AW455">
        <v>21.2</v>
      </c>
      <c r="AX455">
        <v>31.1</v>
      </c>
      <c r="AY455">
        <v>2.2000000000000002</v>
      </c>
      <c r="AZ455">
        <v>65.8</v>
      </c>
      <c r="BA455">
        <v>51.3</v>
      </c>
      <c r="BB455">
        <v>89.2</v>
      </c>
      <c r="BC455">
        <v>84.7</v>
      </c>
      <c r="BD455">
        <v>10.8</v>
      </c>
      <c r="BE455">
        <v>15.3</v>
      </c>
      <c r="BF455">
        <v>100</v>
      </c>
      <c r="BG455">
        <v>21.2</v>
      </c>
      <c r="BH455">
        <v>31.1</v>
      </c>
      <c r="BI455">
        <v>2.2000000000000002</v>
      </c>
      <c r="BJ455">
        <v>65.8</v>
      </c>
      <c r="BK455">
        <v>51.3</v>
      </c>
      <c r="BL455">
        <v>89.2</v>
      </c>
      <c r="BM455">
        <v>84.7</v>
      </c>
      <c r="BN455">
        <v>10.8</v>
      </c>
      <c r="BO455">
        <v>15.3</v>
      </c>
      <c r="BP455">
        <v>0</v>
      </c>
      <c r="BQ455">
        <v>0</v>
      </c>
      <c r="BR455">
        <v>0</v>
      </c>
      <c r="BS455">
        <v>0</v>
      </c>
      <c r="BT455">
        <v>0</v>
      </c>
      <c r="BU455">
        <v>0</v>
      </c>
      <c r="BV455">
        <v>0</v>
      </c>
      <c r="BW455">
        <v>0</v>
      </c>
      <c r="BX455">
        <v>0</v>
      </c>
      <c r="BY455">
        <v>0</v>
      </c>
      <c r="BZ455">
        <v>127</v>
      </c>
      <c r="CA455">
        <v>21</v>
      </c>
      <c r="CB455">
        <v>35</v>
      </c>
      <c r="CC455">
        <v>12</v>
      </c>
      <c r="CD455">
        <v>32</v>
      </c>
      <c r="CE455">
        <v>51</v>
      </c>
      <c r="CF455">
        <v>58</v>
      </c>
      <c r="CG455">
        <v>94</v>
      </c>
      <c r="CH455">
        <v>127</v>
      </c>
      <c r="CI455">
        <v>21</v>
      </c>
      <c r="CJ455">
        <v>35</v>
      </c>
      <c r="CK455">
        <v>12</v>
      </c>
      <c r="CL455">
        <v>32</v>
      </c>
      <c r="CM455">
        <v>51</v>
      </c>
      <c r="CN455">
        <v>58</v>
      </c>
      <c r="CO455">
        <v>94</v>
      </c>
      <c r="CP455">
        <v>0</v>
      </c>
      <c r="CQ455">
        <v>0</v>
      </c>
      <c r="CR455">
        <v>0</v>
      </c>
      <c r="CS455">
        <v>0</v>
      </c>
      <c r="CT455">
        <v>0</v>
      </c>
      <c r="CU455">
        <v>0</v>
      </c>
      <c r="CV455">
        <v>0</v>
      </c>
      <c r="CW455">
        <v>0</v>
      </c>
      <c r="CX455">
        <v>46.4</v>
      </c>
      <c r="CY455">
        <v>20</v>
      </c>
      <c r="CZ455">
        <v>59.5</v>
      </c>
      <c r="DA455">
        <v>30.3</v>
      </c>
      <c r="DB455">
        <v>43.8</v>
      </c>
      <c r="DC455">
        <v>19.899999999999999</v>
      </c>
      <c r="DD455">
        <v>56.2</v>
      </c>
      <c r="DE455">
        <v>29.7</v>
      </c>
      <c r="DF455">
        <v>46.4</v>
      </c>
      <c r="DG455">
        <v>20</v>
      </c>
      <c r="DH455">
        <v>59.5</v>
      </c>
      <c r="DI455">
        <v>30.3</v>
      </c>
      <c r="DJ455">
        <v>43.8</v>
      </c>
      <c r="DK455">
        <v>19.899999999999999</v>
      </c>
      <c r="DL455">
        <v>56.2</v>
      </c>
      <c r="DM455">
        <v>29.7</v>
      </c>
      <c r="DN455">
        <v>0</v>
      </c>
      <c r="DO455">
        <v>0</v>
      </c>
      <c r="DP455">
        <v>0</v>
      </c>
      <c r="DQ455">
        <v>0</v>
      </c>
      <c r="DR455">
        <v>0</v>
      </c>
      <c r="DS455">
        <v>0</v>
      </c>
      <c r="DT455">
        <v>0</v>
      </c>
      <c r="DU455">
        <v>0</v>
      </c>
      <c r="DV455" t="s">
        <v>765</v>
      </c>
    </row>
    <row r="456" spans="1:126" x14ac:dyDescent="0.35">
      <c r="A456" t="s">
        <v>766</v>
      </c>
      <c r="B456">
        <v>230110</v>
      </c>
      <c r="C456" s="1">
        <v>44936</v>
      </c>
      <c r="D456" t="s">
        <v>767</v>
      </c>
      <c r="E456" t="s">
        <v>402</v>
      </c>
      <c r="F456" t="s">
        <v>165</v>
      </c>
      <c r="G456" t="s">
        <v>768</v>
      </c>
      <c r="H456">
        <v>175745</v>
      </c>
      <c r="I456" s="17">
        <v>26395</v>
      </c>
      <c r="J456" s="17">
        <v>61772</v>
      </c>
      <c r="K456">
        <v>1211</v>
      </c>
      <c r="L456">
        <v>119166</v>
      </c>
      <c r="M456">
        <v>84678</v>
      </c>
      <c r="N456">
        <v>146772</v>
      </c>
      <c r="O456">
        <v>147661</v>
      </c>
      <c r="P456">
        <v>28973</v>
      </c>
      <c r="Q456">
        <v>28084</v>
      </c>
      <c r="R456">
        <v>175745</v>
      </c>
      <c r="S456">
        <v>26395</v>
      </c>
      <c r="T456">
        <v>61772</v>
      </c>
      <c r="U456">
        <v>1211</v>
      </c>
      <c r="V456">
        <v>119166</v>
      </c>
      <c r="W456">
        <v>84678</v>
      </c>
      <c r="X456">
        <v>146772</v>
      </c>
      <c r="Y456">
        <v>147661</v>
      </c>
      <c r="Z456">
        <v>28973</v>
      </c>
      <c r="AA456">
        <v>28084</v>
      </c>
      <c r="AB456">
        <v>0</v>
      </c>
      <c r="AC456">
        <v>0</v>
      </c>
      <c r="AD456">
        <v>0</v>
      </c>
      <c r="AE456">
        <v>0</v>
      </c>
      <c r="AF456">
        <v>0</v>
      </c>
      <c r="AG456">
        <v>0</v>
      </c>
      <c r="AH456">
        <v>0</v>
      </c>
      <c r="AI456">
        <v>0</v>
      </c>
      <c r="AJ456">
        <v>0</v>
      </c>
      <c r="AK456">
        <v>0</v>
      </c>
      <c r="AL456">
        <v>3155</v>
      </c>
      <c r="AM456">
        <v>1018</v>
      </c>
      <c r="AN456">
        <v>-10469</v>
      </c>
      <c r="AO456">
        <v>-776</v>
      </c>
      <c r="AP456">
        <v>1207</v>
      </c>
      <c r="AQ456">
        <v>13492</v>
      </c>
      <c r="AR456">
        <v>1449</v>
      </c>
      <c r="AS456">
        <v>2247</v>
      </c>
      <c r="AT456">
        <v>1706</v>
      </c>
      <c r="AU456">
        <v>908</v>
      </c>
      <c r="AV456">
        <v>100</v>
      </c>
      <c r="AW456">
        <v>15</v>
      </c>
      <c r="AX456">
        <v>35.1</v>
      </c>
      <c r="AY456">
        <v>0.7</v>
      </c>
      <c r="AZ456">
        <v>67.8</v>
      </c>
      <c r="BA456">
        <v>48.2</v>
      </c>
      <c r="BB456">
        <v>83.5</v>
      </c>
      <c r="BC456">
        <v>84</v>
      </c>
      <c r="BD456">
        <v>16.5</v>
      </c>
      <c r="BE456">
        <v>16</v>
      </c>
      <c r="BF456">
        <v>100</v>
      </c>
      <c r="BG456">
        <v>15</v>
      </c>
      <c r="BH456">
        <v>35.1</v>
      </c>
      <c r="BI456">
        <v>0.7</v>
      </c>
      <c r="BJ456">
        <v>67.8</v>
      </c>
      <c r="BK456">
        <v>48.2</v>
      </c>
      <c r="BL456">
        <v>83.5</v>
      </c>
      <c r="BM456">
        <v>84</v>
      </c>
      <c r="BN456">
        <v>16.5</v>
      </c>
      <c r="BO456">
        <v>16</v>
      </c>
      <c r="BP456">
        <v>0</v>
      </c>
      <c r="BQ456">
        <v>0</v>
      </c>
      <c r="BR456">
        <v>0</v>
      </c>
      <c r="BS456">
        <v>0</v>
      </c>
      <c r="BT456">
        <v>0</v>
      </c>
      <c r="BU456">
        <v>0</v>
      </c>
      <c r="BV456">
        <v>0</v>
      </c>
      <c r="BW456">
        <v>0</v>
      </c>
      <c r="BX456">
        <v>0</v>
      </c>
      <c r="BY456">
        <v>0</v>
      </c>
      <c r="BZ456">
        <v>107</v>
      </c>
      <c r="CA456">
        <v>17</v>
      </c>
      <c r="CB456">
        <v>31</v>
      </c>
      <c r="CC456">
        <v>8</v>
      </c>
      <c r="CD456">
        <v>41</v>
      </c>
      <c r="CE456">
        <v>37</v>
      </c>
      <c r="CF456">
        <v>62</v>
      </c>
      <c r="CG456">
        <v>72</v>
      </c>
      <c r="CH456">
        <v>107</v>
      </c>
      <c r="CI456">
        <v>17</v>
      </c>
      <c r="CJ456">
        <v>31</v>
      </c>
      <c r="CK456">
        <v>8</v>
      </c>
      <c r="CL456">
        <v>41</v>
      </c>
      <c r="CM456">
        <v>37</v>
      </c>
      <c r="CN456">
        <v>62</v>
      </c>
      <c r="CO456">
        <v>72</v>
      </c>
      <c r="CP456">
        <v>0</v>
      </c>
      <c r="CQ456">
        <v>0</v>
      </c>
      <c r="CR456">
        <v>0</v>
      </c>
      <c r="CS456">
        <v>0</v>
      </c>
      <c r="CT456">
        <v>0</v>
      </c>
      <c r="CU456">
        <v>0</v>
      </c>
      <c r="CV456">
        <v>0</v>
      </c>
      <c r="CW456">
        <v>0</v>
      </c>
      <c r="CX456">
        <v>42.2</v>
      </c>
      <c r="CY456">
        <v>36.799999999999997</v>
      </c>
      <c r="CZ456">
        <v>56.3</v>
      </c>
      <c r="DA456">
        <v>48.6</v>
      </c>
      <c r="DB456">
        <v>39.700000000000003</v>
      </c>
      <c r="DC456">
        <v>33.4</v>
      </c>
      <c r="DD456">
        <v>51</v>
      </c>
      <c r="DE456">
        <v>42.9</v>
      </c>
      <c r="DF456">
        <v>42.2</v>
      </c>
      <c r="DG456">
        <v>36.799999999999997</v>
      </c>
      <c r="DH456">
        <v>56.3</v>
      </c>
      <c r="DI456">
        <v>48.6</v>
      </c>
      <c r="DJ456">
        <v>39.700000000000003</v>
      </c>
      <c r="DK456">
        <v>33.4</v>
      </c>
      <c r="DL456">
        <v>51</v>
      </c>
      <c r="DM456">
        <v>42.9</v>
      </c>
      <c r="DN456">
        <v>0</v>
      </c>
      <c r="DO456">
        <v>0</v>
      </c>
      <c r="DP456">
        <v>0</v>
      </c>
      <c r="DQ456">
        <v>0</v>
      </c>
      <c r="DR456">
        <v>0</v>
      </c>
      <c r="DS456">
        <v>0</v>
      </c>
      <c r="DT456">
        <v>0</v>
      </c>
      <c r="DU456">
        <v>0</v>
      </c>
      <c r="DV456" t="s">
        <v>769</v>
      </c>
    </row>
    <row r="457" spans="1:126" x14ac:dyDescent="0.35">
      <c r="A457" t="s">
        <v>766</v>
      </c>
      <c r="B457">
        <v>230103</v>
      </c>
      <c r="C457" s="1">
        <v>44929</v>
      </c>
      <c r="D457" t="s">
        <v>767</v>
      </c>
      <c r="E457" t="s">
        <v>402</v>
      </c>
      <c r="F457" t="s">
        <v>165</v>
      </c>
      <c r="G457" t="s">
        <v>768</v>
      </c>
      <c r="H457">
        <v>172590</v>
      </c>
      <c r="I457" s="17">
        <v>25377</v>
      </c>
      <c r="J457" s="17">
        <v>72241</v>
      </c>
      <c r="K457">
        <v>1987</v>
      </c>
      <c r="L457">
        <v>117959</v>
      </c>
      <c r="M457">
        <v>71186</v>
      </c>
      <c r="N457">
        <v>145323</v>
      </c>
      <c r="O457">
        <v>145414</v>
      </c>
      <c r="P457">
        <v>27267</v>
      </c>
      <c r="Q457">
        <v>27176</v>
      </c>
      <c r="R457">
        <v>172590</v>
      </c>
      <c r="S457">
        <v>25377</v>
      </c>
      <c r="T457">
        <v>72241</v>
      </c>
      <c r="U457">
        <v>1987</v>
      </c>
      <c r="V457">
        <v>117959</v>
      </c>
      <c r="W457">
        <v>71186</v>
      </c>
      <c r="X457">
        <v>145323</v>
      </c>
      <c r="Y457">
        <v>145414</v>
      </c>
      <c r="Z457">
        <v>27267</v>
      </c>
      <c r="AA457">
        <v>27176</v>
      </c>
      <c r="AB457">
        <v>0</v>
      </c>
      <c r="AC457">
        <v>0</v>
      </c>
      <c r="AD457">
        <v>0</v>
      </c>
      <c r="AE457">
        <v>0</v>
      </c>
      <c r="AF457">
        <v>0</v>
      </c>
      <c r="AG457">
        <v>0</v>
      </c>
      <c r="AH457">
        <v>0</v>
      </c>
      <c r="AI457">
        <v>0</v>
      </c>
      <c r="AJ457">
        <v>0</v>
      </c>
      <c r="AK457">
        <v>0</v>
      </c>
      <c r="AL457">
        <v>-546</v>
      </c>
      <c r="AM457">
        <v>-4308</v>
      </c>
      <c r="AN457">
        <v>4826</v>
      </c>
      <c r="AO457">
        <v>122</v>
      </c>
      <c r="AP457">
        <v>-640</v>
      </c>
      <c r="AQ457">
        <v>-1412</v>
      </c>
      <c r="AR457">
        <v>-4826</v>
      </c>
      <c r="AS457">
        <v>3536</v>
      </c>
      <c r="AT457">
        <v>4280</v>
      </c>
      <c r="AU457">
        <v>-4082</v>
      </c>
      <c r="AV457">
        <v>100</v>
      </c>
      <c r="AW457">
        <v>14.7</v>
      </c>
      <c r="AX457">
        <v>41.9</v>
      </c>
      <c r="AY457">
        <v>1.2</v>
      </c>
      <c r="AZ457">
        <v>68.3</v>
      </c>
      <c r="BA457">
        <v>41.2</v>
      </c>
      <c r="BB457">
        <v>84.2</v>
      </c>
      <c r="BC457">
        <v>84.3</v>
      </c>
      <c r="BD457">
        <v>15.8</v>
      </c>
      <c r="BE457">
        <v>15.7</v>
      </c>
      <c r="BF457">
        <v>100</v>
      </c>
      <c r="BG457">
        <v>14.7</v>
      </c>
      <c r="BH457">
        <v>41.9</v>
      </c>
      <c r="BI457">
        <v>1.2</v>
      </c>
      <c r="BJ457">
        <v>68.3</v>
      </c>
      <c r="BK457">
        <v>41.2</v>
      </c>
      <c r="BL457">
        <v>84.2</v>
      </c>
      <c r="BM457">
        <v>84.3</v>
      </c>
      <c r="BN457">
        <v>15.8</v>
      </c>
      <c r="BO457">
        <v>15.7</v>
      </c>
      <c r="BP457">
        <v>0</v>
      </c>
      <c r="BQ457">
        <v>0</v>
      </c>
      <c r="BR457">
        <v>0</v>
      </c>
      <c r="BS457">
        <v>0</v>
      </c>
      <c r="BT457">
        <v>0</v>
      </c>
      <c r="BU457">
        <v>0</v>
      </c>
      <c r="BV457">
        <v>0</v>
      </c>
      <c r="BW457">
        <v>0</v>
      </c>
      <c r="BX457">
        <v>0</v>
      </c>
      <c r="BY457">
        <v>0</v>
      </c>
      <c r="BZ457">
        <v>114</v>
      </c>
      <c r="CA457">
        <v>20</v>
      </c>
      <c r="CB457">
        <v>37</v>
      </c>
      <c r="CC457">
        <v>11</v>
      </c>
      <c r="CD457">
        <v>39</v>
      </c>
      <c r="CE457">
        <v>38</v>
      </c>
      <c r="CF457">
        <v>65</v>
      </c>
      <c r="CG457">
        <v>80</v>
      </c>
      <c r="CH457">
        <v>114</v>
      </c>
      <c r="CI457">
        <v>20</v>
      </c>
      <c r="CJ457">
        <v>37</v>
      </c>
      <c r="CK457">
        <v>11</v>
      </c>
      <c r="CL457">
        <v>39</v>
      </c>
      <c r="CM457">
        <v>38</v>
      </c>
      <c r="CN457">
        <v>65</v>
      </c>
      <c r="CO457">
        <v>80</v>
      </c>
      <c r="CP457">
        <v>0</v>
      </c>
      <c r="CQ457">
        <v>0</v>
      </c>
      <c r="CR457">
        <v>0</v>
      </c>
      <c r="CS457">
        <v>0</v>
      </c>
      <c r="CT457">
        <v>0</v>
      </c>
      <c r="CU457">
        <v>0</v>
      </c>
      <c r="CV457">
        <v>0</v>
      </c>
      <c r="CW457">
        <v>0</v>
      </c>
      <c r="CX457">
        <v>42.9</v>
      </c>
      <c r="CY457">
        <v>35.299999999999997</v>
      </c>
      <c r="CZ457">
        <v>56.2</v>
      </c>
      <c r="DA457">
        <v>46.9</v>
      </c>
      <c r="DB457">
        <v>39.700000000000003</v>
      </c>
      <c r="DC457">
        <v>31.9</v>
      </c>
      <c r="DD457">
        <v>51</v>
      </c>
      <c r="DE457">
        <v>41.9</v>
      </c>
      <c r="DF457">
        <v>42.9</v>
      </c>
      <c r="DG457">
        <v>35.299999999999997</v>
      </c>
      <c r="DH457">
        <v>56.2</v>
      </c>
      <c r="DI457">
        <v>46.9</v>
      </c>
      <c r="DJ457">
        <v>39.700000000000003</v>
      </c>
      <c r="DK457">
        <v>31.9</v>
      </c>
      <c r="DL457">
        <v>51</v>
      </c>
      <c r="DM457">
        <v>41.9</v>
      </c>
      <c r="DN457">
        <v>0</v>
      </c>
      <c r="DO457">
        <v>0</v>
      </c>
      <c r="DP457">
        <v>0</v>
      </c>
      <c r="DQ457">
        <v>0</v>
      </c>
      <c r="DR457">
        <v>0</v>
      </c>
      <c r="DS457">
        <v>0</v>
      </c>
      <c r="DT457">
        <v>0</v>
      </c>
      <c r="DU457">
        <v>0</v>
      </c>
      <c r="DV457" t="s">
        <v>769</v>
      </c>
    </row>
    <row r="458" spans="1:126" x14ac:dyDescent="0.35">
      <c r="A458" t="s">
        <v>770</v>
      </c>
      <c r="B458">
        <v>230110</v>
      </c>
      <c r="C458" s="1">
        <v>44936</v>
      </c>
      <c r="D458" t="s">
        <v>771</v>
      </c>
      <c r="E458" t="s">
        <v>393</v>
      </c>
      <c r="F458" t="s">
        <v>185</v>
      </c>
      <c r="G458" t="s">
        <v>772</v>
      </c>
      <c r="H458">
        <v>42307</v>
      </c>
      <c r="I458" s="17">
        <v>33928</v>
      </c>
      <c r="J458" s="17">
        <v>17388</v>
      </c>
      <c r="K458">
        <v>1437</v>
      </c>
      <c r="L458">
        <v>1158</v>
      </c>
      <c r="M458">
        <v>20438</v>
      </c>
      <c r="N458">
        <v>36523</v>
      </c>
      <c r="O458">
        <v>39263</v>
      </c>
      <c r="P458">
        <v>5784</v>
      </c>
      <c r="Q458">
        <v>3044</v>
      </c>
      <c r="R458">
        <v>42307</v>
      </c>
      <c r="S458">
        <v>33928</v>
      </c>
      <c r="T458">
        <v>17388</v>
      </c>
      <c r="U458">
        <v>1437</v>
      </c>
      <c r="V458">
        <v>1158</v>
      </c>
      <c r="W458">
        <v>20438</v>
      </c>
      <c r="X458">
        <v>36523</v>
      </c>
      <c r="Y458">
        <v>39263</v>
      </c>
      <c r="Z458">
        <v>5784</v>
      </c>
      <c r="AA458">
        <v>3044</v>
      </c>
      <c r="AB458">
        <v>0</v>
      </c>
      <c r="AC458">
        <v>0</v>
      </c>
      <c r="AD458">
        <v>0</v>
      </c>
      <c r="AE458">
        <v>0</v>
      </c>
      <c r="AF458">
        <v>0</v>
      </c>
      <c r="AG458">
        <v>0</v>
      </c>
      <c r="AH458">
        <v>0</v>
      </c>
      <c r="AI458">
        <v>0</v>
      </c>
      <c r="AJ458">
        <v>0</v>
      </c>
      <c r="AK458">
        <v>0</v>
      </c>
      <c r="AL458">
        <v>457</v>
      </c>
      <c r="AM458">
        <v>757</v>
      </c>
      <c r="AN458">
        <v>1978</v>
      </c>
      <c r="AO458">
        <v>-116</v>
      </c>
      <c r="AP458">
        <v>-430</v>
      </c>
      <c r="AQ458">
        <v>-1354</v>
      </c>
      <c r="AR458">
        <v>211</v>
      </c>
      <c r="AS458">
        <v>508</v>
      </c>
      <c r="AT458">
        <v>246</v>
      </c>
      <c r="AU458">
        <v>-51</v>
      </c>
      <c r="AV458">
        <v>100</v>
      </c>
      <c r="AW458">
        <v>80.2</v>
      </c>
      <c r="AX458">
        <v>41.1</v>
      </c>
      <c r="AY458">
        <v>3.4</v>
      </c>
      <c r="AZ458">
        <v>2.7</v>
      </c>
      <c r="BA458">
        <v>48.3</v>
      </c>
      <c r="BB458">
        <v>86.3</v>
      </c>
      <c r="BC458">
        <v>92.8</v>
      </c>
      <c r="BD458">
        <v>13.7</v>
      </c>
      <c r="BE458">
        <v>7.2</v>
      </c>
      <c r="BF458">
        <v>100</v>
      </c>
      <c r="BG458">
        <v>80.2</v>
      </c>
      <c r="BH458">
        <v>41.1</v>
      </c>
      <c r="BI458">
        <v>3.4</v>
      </c>
      <c r="BJ458">
        <v>2.7</v>
      </c>
      <c r="BK458">
        <v>48.3</v>
      </c>
      <c r="BL458">
        <v>86.3</v>
      </c>
      <c r="BM458">
        <v>92.8</v>
      </c>
      <c r="BN458">
        <v>13.7</v>
      </c>
      <c r="BO458">
        <v>7.2</v>
      </c>
      <c r="BP458">
        <v>0</v>
      </c>
      <c r="BQ458">
        <v>0</v>
      </c>
      <c r="BR458">
        <v>0</v>
      </c>
      <c r="BS458">
        <v>0</v>
      </c>
      <c r="BT458">
        <v>0</v>
      </c>
      <c r="BU458">
        <v>0</v>
      </c>
      <c r="BV458">
        <v>0</v>
      </c>
      <c r="BW458">
        <v>0</v>
      </c>
      <c r="BX458">
        <v>0</v>
      </c>
      <c r="BY458">
        <v>0</v>
      </c>
      <c r="BZ458">
        <v>85</v>
      </c>
      <c r="CA458">
        <v>44</v>
      </c>
      <c r="CB458">
        <v>32</v>
      </c>
      <c r="CC458">
        <v>5</v>
      </c>
      <c r="CD458">
        <v>4</v>
      </c>
      <c r="CE458">
        <v>6</v>
      </c>
      <c r="CF458">
        <v>52</v>
      </c>
      <c r="CG458">
        <v>39</v>
      </c>
      <c r="CH458">
        <v>85</v>
      </c>
      <c r="CI458">
        <v>44</v>
      </c>
      <c r="CJ458">
        <v>32</v>
      </c>
      <c r="CK458">
        <v>5</v>
      </c>
      <c r="CL458">
        <v>4</v>
      </c>
      <c r="CM458">
        <v>6</v>
      </c>
      <c r="CN458">
        <v>52</v>
      </c>
      <c r="CO458">
        <v>39</v>
      </c>
      <c r="CP458">
        <v>0</v>
      </c>
      <c r="CQ458">
        <v>0</v>
      </c>
      <c r="CR458">
        <v>0</v>
      </c>
      <c r="CS458">
        <v>0</v>
      </c>
      <c r="CT458">
        <v>0</v>
      </c>
      <c r="CU458">
        <v>0</v>
      </c>
      <c r="CV458">
        <v>0</v>
      </c>
      <c r="CW458">
        <v>0</v>
      </c>
      <c r="CX458">
        <v>55.1</v>
      </c>
      <c r="CY458">
        <v>65.5</v>
      </c>
      <c r="CZ458">
        <v>65</v>
      </c>
      <c r="DA458">
        <v>79.7</v>
      </c>
      <c r="DB458">
        <v>53</v>
      </c>
      <c r="DC458">
        <v>65.5</v>
      </c>
      <c r="DD458">
        <v>62.9</v>
      </c>
      <c r="DE458">
        <v>78.900000000000006</v>
      </c>
      <c r="DF458">
        <v>55.1</v>
      </c>
      <c r="DG458">
        <v>65.5</v>
      </c>
      <c r="DH458">
        <v>65</v>
      </c>
      <c r="DI458">
        <v>79.7</v>
      </c>
      <c r="DJ458">
        <v>53</v>
      </c>
      <c r="DK458">
        <v>65.5</v>
      </c>
      <c r="DL458">
        <v>62.9</v>
      </c>
      <c r="DM458">
        <v>78.900000000000006</v>
      </c>
      <c r="DN458">
        <v>0</v>
      </c>
      <c r="DO458">
        <v>0</v>
      </c>
      <c r="DP458">
        <v>0</v>
      </c>
      <c r="DQ458">
        <v>0</v>
      </c>
      <c r="DR458">
        <v>0</v>
      </c>
      <c r="DS458">
        <v>0</v>
      </c>
      <c r="DT458">
        <v>0</v>
      </c>
      <c r="DU458">
        <v>0</v>
      </c>
      <c r="DV458" t="s">
        <v>773</v>
      </c>
    </row>
    <row r="459" spans="1:126" x14ac:dyDescent="0.35">
      <c r="A459" t="s">
        <v>770</v>
      </c>
      <c r="B459">
        <v>230103</v>
      </c>
      <c r="C459" s="1">
        <v>44929</v>
      </c>
      <c r="D459" t="s">
        <v>771</v>
      </c>
      <c r="E459" t="s">
        <v>393</v>
      </c>
      <c r="F459" t="s">
        <v>185</v>
      </c>
      <c r="G459" t="s">
        <v>772</v>
      </c>
      <c r="H459">
        <v>41850</v>
      </c>
      <c r="I459" s="17">
        <v>33171</v>
      </c>
      <c r="J459" s="17">
        <v>15410</v>
      </c>
      <c r="K459">
        <v>1553</v>
      </c>
      <c r="L459">
        <v>1588</v>
      </c>
      <c r="M459">
        <v>21792</v>
      </c>
      <c r="N459">
        <v>36312</v>
      </c>
      <c r="O459">
        <v>38755</v>
      </c>
      <c r="P459">
        <v>5538</v>
      </c>
      <c r="Q459">
        <v>3095</v>
      </c>
      <c r="R459">
        <v>41850</v>
      </c>
      <c r="S459">
        <v>33171</v>
      </c>
      <c r="T459">
        <v>15410</v>
      </c>
      <c r="U459">
        <v>1553</v>
      </c>
      <c r="V459">
        <v>1588</v>
      </c>
      <c r="W459">
        <v>21792</v>
      </c>
      <c r="X459">
        <v>36312</v>
      </c>
      <c r="Y459">
        <v>38755</v>
      </c>
      <c r="Z459">
        <v>5538</v>
      </c>
      <c r="AA459">
        <v>3095</v>
      </c>
      <c r="AB459">
        <v>0</v>
      </c>
      <c r="AC459">
        <v>0</v>
      </c>
      <c r="AD459">
        <v>0</v>
      </c>
      <c r="AE459">
        <v>0</v>
      </c>
      <c r="AF459">
        <v>0</v>
      </c>
      <c r="AG459">
        <v>0</v>
      </c>
      <c r="AH459">
        <v>0</v>
      </c>
      <c r="AI459">
        <v>0</v>
      </c>
      <c r="AJ459">
        <v>0</v>
      </c>
      <c r="AK459">
        <v>0</v>
      </c>
      <c r="AL459">
        <v>197</v>
      </c>
      <c r="AM459">
        <v>29</v>
      </c>
      <c r="AN459">
        <v>-791</v>
      </c>
      <c r="AO459">
        <v>102</v>
      </c>
      <c r="AP459">
        <v>91</v>
      </c>
      <c r="AQ459">
        <v>175</v>
      </c>
      <c r="AR459">
        <v>222</v>
      </c>
      <c r="AS459">
        <v>-514</v>
      </c>
      <c r="AT459">
        <v>-25</v>
      </c>
      <c r="AU459">
        <v>711</v>
      </c>
      <c r="AV459">
        <v>100</v>
      </c>
      <c r="AW459">
        <v>79.3</v>
      </c>
      <c r="AX459">
        <v>36.799999999999997</v>
      </c>
      <c r="AY459">
        <v>3.7</v>
      </c>
      <c r="AZ459">
        <v>3.8</v>
      </c>
      <c r="BA459">
        <v>52.1</v>
      </c>
      <c r="BB459">
        <v>86.8</v>
      </c>
      <c r="BC459">
        <v>92.6</v>
      </c>
      <c r="BD459">
        <v>13.2</v>
      </c>
      <c r="BE459">
        <v>7.4</v>
      </c>
      <c r="BF459">
        <v>100</v>
      </c>
      <c r="BG459">
        <v>79.3</v>
      </c>
      <c r="BH459">
        <v>36.799999999999997</v>
      </c>
      <c r="BI459">
        <v>3.7</v>
      </c>
      <c r="BJ459">
        <v>3.8</v>
      </c>
      <c r="BK459">
        <v>52.1</v>
      </c>
      <c r="BL459">
        <v>86.8</v>
      </c>
      <c r="BM459">
        <v>92.6</v>
      </c>
      <c r="BN459">
        <v>13.2</v>
      </c>
      <c r="BO459">
        <v>7.4</v>
      </c>
      <c r="BP459">
        <v>0</v>
      </c>
      <c r="BQ459">
        <v>0</v>
      </c>
      <c r="BR459">
        <v>0</v>
      </c>
      <c r="BS459">
        <v>0</v>
      </c>
      <c r="BT459">
        <v>0</v>
      </c>
      <c r="BU459">
        <v>0</v>
      </c>
      <c r="BV459">
        <v>0</v>
      </c>
      <c r="BW459">
        <v>0</v>
      </c>
      <c r="BX459">
        <v>0</v>
      </c>
      <c r="BY459">
        <v>0</v>
      </c>
      <c r="BZ459">
        <v>86</v>
      </c>
      <c r="CA459">
        <v>48</v>
      </c>
      <c r="CB459">
        <v>29</v>
      </c>
      <c r="CC459">
        <v>7</v>
      </c>
      <c r="CD459">
        <v>5</v>
      </c>
      <c r="CE459">
        <v>5</v>
      </c>
      <c r="CF459">
        <v>57</v>
      </c>
      <c r="CG459">
        <v>37</v>
      </c>
      <c r="CH459">
        <v>86</v>
      </c>
      <c r="CI459">
        <v>48</v>
      </c>
      <c r="CJ459">
        <v>29</v>
      </c>
      <c r="CK459">
        <v>7</v>
      </c>
      <c r="CL459">
        <v>5</v>
      </c>
      <c r="CM459">
        <v>5</v>
      </c>
      <c r="CN459">
        <v>57</v>
      </c>
      <c r="CO459">
        <v>37</v>
      </c>
      <c r="CP459">
        <v>0</v>
      </c>
      <c r="CQ459">
        <v>0</v>
      </c>
      <c r="CR459">
        <v>0</v>
      </c>
      <c r="CS459">
        <v>0</v>
      </c>
      <c r="CT459">
        <v>0</v>
      </c>
      <c r="CU459">
        <v>0</v>
      </c>
      <c r="CV459">
        <v>0</v>
      </c>
      <c r="CW459">
        <v>0</v>
      </c>
      <c r="CX459">
        <v>55.5</v>
      </c>
      <c r="CY459">
        <v>67.5</v>
      </c>
      <c r="CZ459">
        <v>65.900000000000006</v>
      </c>
      <c r="DA459">
        <v>78.2</v>
      </c>
      <c r="DB459">
        <v>53.3</v>
      </c>
      <c r="DC459">
        <v>67.5</v>
      </c>
      <c r="DD459">
        <v>63.6</v>
      </c>
      <c r="DE459">
        <v>77.2</v>
      </c>
      <c r="DF459">
        <v>55.5</v>
      </c>
      <c r="DG459">
        <v>67.5</v>
      </c>
      <c r="DH459">
        <v>65.900000000000006</v>
      </c>
      <c r="DI459">
        <v>78.2</v>
      </c>
      <c r="DJ459">
        <v>53.3</v>
      </c>
      <c r="DK459">
        <v>67.5</v>
      </c>
      <c r="DL459">
        <v>63.6</v>
      </c>
      <c r="DM459">
        <v>77.2</v>
      </c>
      <c r="DN459">
        <v>0</v>
      </c>
      <c r="DO459">
        <v>0</v>
      </c>
      <c r="DP459">
        <v>0</v>
      </c>
      <c r="DQ459">
        <v>0</v>
      </c>
      <c r="DR459">
        <v>0</v>
      </c>
      <c r="DS459">
        <v>0</v>
      </c>
      <c r="DT459">
        <v>0</v>
      </c>
      <c r="DU459">
        <v>0</v>
      </c>
      <c r="DV459" t="s">
        <v>773</v>
      </c>
    </row>
    <row r="460" spans="1:126" x14ac:dyDescent="0.35">
      <c r="A460" t="s">
        <v>35</v>
      </c>
      <c r="B460">
        <v>230110</v>
      </c>
      <c r="C460" s="1">
        <v>44936</v>
      </c>
      <c r="D460" t="s">
        <v>774</v>
      </c>
      <c r="E460" t="s">
        <v>402</v>
      </c>
      <c r="F460" t="s">
        <v>165</v>
      </c>
      <c r="G460" t="s">
        <v>775</v>
      </c>
      <c r="H460">
        <v>746163</v>
      </c>
      <c r="I460" s="17">
        <v>238623</v>
      </c>
      <c r="J460" s="17">
        <v>103641</v>
      </c>
      <c r="K460">
        <v>15490</v>
      </c>
      <c r="L460">
        <v>400775</v>
      </c>
      <c r="M460">
        <v>582985</v>
      </c>
      <c r="N460">
        <v>654888</v>
      </c>
      <c r="O460">
        <v>702116</v>
      </c>
      <c r="P460">
        <v>91275</v>
      </c>
      <c r="Q460">
        <v>44047</v>
      </c>
      <c r="R460">
        <v>746163</v>
      </c>
      <c r="S460">
        <v>238623</v>
      </c>
      <c r="T460">
        <v>103641</v>
      </c>
      <c r="U460">
        <v>15490</v>
      </c>
      <c r="V460">
        <v>400775</v>
      </c>
      <c r="W460">
        <v>582985</v>
      </c>
      <c r="X460">
        <v>654888</v>
      </c>
      <c r="Y460">
        <v>702116</v>
      </c>
      <c r="Z460">
        <v>91275</v>
      </c>
      <c r="AA460">
        <v>44047</v>
      </c>
      <c r="AB460">
        <v>0</v>
      </c>
      <c r="AC460">
        <v>0</v>
      </c>
      <c r="AD460">
        <v>0</v>
      </c>
      <c r="AE460">
        <v>0</v>
      </c>
      <c r="AF460">
        <v>0</v>
      </c>
      <c r="AG460">
        <v>0</v>
      </c>
      <c r="AH460">
        <v>0</v>
      </c>
      <c r="AI460">
        <v>0</v>
      </c>
      <c r="AJ460">
        <v>0</v>
      </c>
      <c r="AK460">
        <v>0</v>
      </c>
      <c r="AL460">
        <v>34133</v>
      </c>
      <c r="AM460">
        <v>16080</v>
      </c>
      <c r="AN460">
        <v>11013</v>
      </c>
      <c r="AO460">
        <v>1073</v>
      </c>
      <c r="AP460">
        <v>10914</v>
      </c>
      <c r="AQ460">
        <v>19043</v>
      </c>
      <c r="AR460">
        <v>28067</v>
      </c>
      <c r="AS460">
        <v>31129</v>
      </c>
      <c r="AT460">
        <v>6066</v>
      </c>
      <c r="AU460">
        <v>3004</v>
      </c>
      <c r="AV460">
        <v>100</v>
      </c>
      <c r="AW460">
        <v>32</v>
      </c>
      <c r="AX460">
        <v>13.9</v>
      </c>
      <c r="AY460">
        <v>2.1</v>
      </c>
      <c r="AZ460">
        <v>53.7</v>
      </c>
      <c r="BA460">
        <v>78.099999999999994</v>
      </c>
      <c r="BB460">
        <v>87.8</v>
      </c>
      <c r="BC460">
        <v>94.1</v>
      </c>
      <c r="BD460">
        <v>12.2</v>
      </c>
      <c r="BE460">
        <v>5.9</v>
      </c>
      <c r="BF460">
        <v>100</v>
      </c>
      <c r="BG460">
        <v>32</v>
      </c>
      <c r="BH460">
        <v>13.9</v>
      </c>
      <c r="BI460">
        <v>2.1</v>
      </c>
      <c r="BJ460">
        <v>53.7</v>
      </c>
      <c r="BK460">
        <v>78.099999999999994</v>
      </c>
      <c r="BL460">
        <v>87.8</v>
      </c>
      <c r="BM460">
        <v>94.1</v>
      </c>
      <c r="BN460">
        <v>12.2</v>
      </c>
      <c r="BO460">
        <v>5.9</v>
      </c>
      <c r="BP460">
        <v>0</v>
      </c>
      <c r="BQ460">
        <v>0</v>
      </c>
      <c r="BR460">
        <v>0</v>
      </c>
      <c r="BS460">
        <v>0</v>
      </c>
      <c r="BT460">
        <v>0</v>
      </c>
      <c r="BU460">
        <v>0</v>
      </c>
      <c r="BV460">
        <v>0</v>
      </c>
      <c r="BW460">
        <v>0</v>
      </c>
      <c r="BX460">
        <v>0</v>
      </c>
      <c r="BY460">
        <v>0</v>
      </c>
      <c r="BZ460">
        <v>304</v>
      </c>
      <c r="CA460">
        <v>100</v>
      </c>
      <c r="CB460">
        <v>43</v>
      </c>
      <c r="CC460">
        <v>36</v>
      </c>
      <c r="CD460">
        <v>131</v>
      </c>
      <c r="CE460">
        <v>81</v>
      </c>
      <c r="CF460">
        <v>239</v>
      </c>
      <c r="CG460">
        <v>152</v>
      </c>
      <c r="CH460">
        <v>304</v>
      </c>
      <c r="CI460">
        <v>100</v>
      </c>
      <c r="CJ460">
        <v>43</v>
      </c>
      <c r="CK460">
        <v>36</v>
      </c>
      <c r="CL460">
        <v>131</v>
      </c>
      <c r="CM460">
        <v>81</v>
      </c>
      <c r="CN460">
        <v>239</v>
      </c>
      <c r="CO460">
        <v>152</v>
      </c>
      <c r="CP460">
        <v>0</v>
      </c>
      <c r="CQ460">
        <v>0</v>
      </c>
      <c r="CR460">
        <v>0</v>
      </c>
      <c r="CS460">
        <v>0</v>
      </c>
      <c r="CT460">
        <v>0</v>
      </c>
      <c r="CU460">
        <v>0</v>
      </c>
      <c r="CV460">
        <v>0</v>
      </c>
      <c r="CW460">
        <v>0</v>
      </c>
      <c r="CX460">
        <v>14.5</v>
      </c>
      <c r="CY460">
        <v>57.9</v>
      </c>
      <c r="CZ460">
        <v>24.6</v>
      </c>
      <c r="DA460">
        <v>67.099999999999994</v>
      </c>
      <c r="DB460">
        <v>13.8</v>
      </c>
      <c r="DC460">
        <v>57.9</v>
      </c>
      <c r="DD460">
        <v>23.3</v>
      </c>
      <c r="DE460">
        <v>67</v>
      </c>
      <c r="DF460">
        <v>14.5</v>
      </c>
      <c r="DG460">
        <v>57.9</v>
      </c>
      <c r="DH460">
        <v>24.6</v>
      </c>
      <c r="DI460">
        <v>67.099999999999994</v>
      </c>
      <c r="DJ460">
        <v>13.8</v>
      </c>
      <c r="DK460">
        <v>57.9</v>
      </c>
      <c r="DL460">
        <v>23.3</v>
      </c>
      <c r="DM460">
        <v>67</v>
      </c>
      <c r="DN460">
        <v>0</v>
      </c>
      <c r="DO460">
        <v>0</v>
      </c>
      <c r="DP460">
        <v>0</v>
      </c>
      <c r="DQ460">
        <v>0</v>
      </c>
      <c r="DR460">
        <v>0</v>
      </c>
      <c r="DS460">
        <v>0</v>
      </c>
      <c r="DT460">
        <v>0</v>
      </c>
      <c r="DU460">
        <v>0</v>
      </c>
      <c r="DV460" t="s">
        <v>776</v>
      </c>
    </row>
    <row r="461" spans="1:126" x14ac:dyDescent="0.35">
      <c r="A461" t="s">
        <v>35</v>
      </c>
      <c r="B461">
        <v>230103</v>
      </c>
      <c r="C461" s="1">
        <v>44929</v>
      </c>
      <c r="D461" t="s">
        <v>774</v>
      </c>
      <c r="E461" t="s">
        <v>402</v>
      </c>
      <c r="F461" t="s">
        <v>165</v>
      </c>
      <c r="G461" t="s">
        <v>775</v>
      </c>
      <c r="H461">
        <v>712030</v>
      </c>
      <c r="I461" s="17">
        <v>222543</v>
      </c>
      <c r="J461" s="17">
        <v>92628</v>
      </c>
      <c r="K461">
        <v>14417</v>
      </c>
      <c r="L461">
        <v>389861</v>
      </c>
      <c r="M461">
        <v>563942</v>
      </c>
      <c r="N461">
        <v>626821</v>
      </c>
      <c r="O461">
        <v>670987</v>
      </c>
      <c r="P461">
        <v>85209</v>
      </c>
      <c r="Q461">
        <v>41043</v>
      </c>
      <c r="R461">
        <v>712030</v>
      </c>
      <c r="S461">
        <v>222543</v>
      </c>
      <c r="T461">
        <v>92628</v>
      </c>
      <c r="U461">
        <v>14417</v>
      </c>
      <c r="V461">
        <v>389861</v>
      </c>
      <c r="W461">
        <v>563942</v>
      </c>
      <c r="X461">
        <v>626821</v>
      </c>
      <c r="Y461">
        <v>670987</v>
      </c>
      <c r="Z461">
        <v>85209</v>
      </c>
      <c r="AA461">
        <v>41043</v>
      </c>
      <c r="AB461">
        <v>0</v>
      </c>
      <c r="AC461">
        <v>0</v>
      </c>
      <c r="AD461">
        <v>0</v>
      </c>
      <c r="AE461">
        <v>0</v>
      </c>
      <c r="AF461">
        <v>0</v>
      </c>
      <c r="AG461">
        <v>0</v>
      </c>
      <c r="AH461">
        <v>0</v>
      </c>
      <c r="AI461">
        <v>0</v>
      </c>
      <c r="AJ461">
        <v>0</v>
      </c>
      <c r="AK461">
        <v>0</v>
      </c>
      <c r="AL461">
        <v>-16357</v>
      </c>
      <c r="AM461">
        <v>-29344</v>
      </c>
      <c r="AN461">
        <v>-13097</v>
      </c>
      <c r="AO461">
        <v>819</v>
      </c>
      <c r="AP461">
        <v>10785</v>
      </c>
      <c r="AQ461">
        <v>-1954</v>
      </c>
      <c r="AR461">
        <v>-17740</v>
      </c>
      <c r="AS461">
        <v>-14232</v>
      </c>
      <c r="AT461">
        <v>1383</v>
      </c>
      <c r="AU461">
        <v>-2125</v>
      </c>
      <c r="AV461">
        <v>100</v>
      </c>
      <c r="AW461">
        <v>31.3</v>
      </c>
      <c r="AX461">
        <v>13</v>
      </c>
      <c r="AY461">
        <v>2</v>
      </c>
      <c r="AZ461">
        <v>54.8</v>
      </c>
      <c r="BA461">
        <v>79.2</v>
      </c>
      <c r="BB461">
        <v>88</v>
      </c>
      <c r="BC461">
        <v>94.2</v>
      </c>
      <c r="BD461">
        <v>12</v>
      </c>
      <c r="BE461">
        <v>5.8</v>
      </c>
      <c r="BF461">
        <v>100</v>
      </c>
      <c r="BG461">
        <v>31.3</v>
      </c>
      <c r="BH461">
        <v>13</v>
      </c>
      <c r="BI461">
        <v>2</v>
      </c>
      <c r="BJ461">
        <v>54.8</v>
      </c>
      <c r="BK461">
        <v>79.2</v>
      </c>
      <c r="BL461">
        <v>88</v>
      </c>
      <c r="BM461">
        <v>94.2</v>
      </c>
      <c r="BN461">
        <v>12</v>
      </c>
      <c r="BO461">
        <v>5.8</v>
      </c>
      <c r="BP461">
        <v>0</v>
      </c>
      <c r="BQ461">
        <v>0</v>
      </c>
      <c r="BR461">
        <v>0</v>
      </c>
      <c r="BS461">
        <v>0</v>
      </c>
      <c r="BT461">
        <v>0</v>
      </c>
      <c r="BU461">
        <v>0</v>
      </c>
      <c r="BV461">
        <v>0</v>
      </c>
      <c r="BW461">
        <v>0</v>
      </c>
      <c r="BX461">
        <v>0</v>
      </c>
      <c r="BY461">
        <v>0</v>
      </c>
      <c r="BZ461">
        <v>299</v>
      </c>
      <c r="CA461">
        <v>89</v>
      </c>
      <c r="CB461">
        <v>48</v>
      </c>
      <c r="CC461">
        <v>35</v>
      </c>
      <c r="CD461">
        <v>127</v>
      </c>
      <c r="CE461">
        <v>81</v>
      </c>
      <c r="CF461">
        <v>225</v>
      </c>
      <c r="CG461">
        <v>155</v>
      </c>
      <c r="CH461">
        <v>299</v>
      </c>
      <c r="CI461">
        <v>89</v>
      </c>
      <c r="CJ461">
        <v>48</v>
      </c>
      <c r="CK461">
        <v>35</v>
      </c>
      <c r="CL461">
        <v>127</v>
      </c>
      <c r="CM461">
        <v>81</v>
      </c>
      <c r="CN461">
        <v>225</v>
      </c>
      <c r="CO461">
        <v>155</v>
      </c>
      <c r="CP461">
        <v>0</v>
      </c>
      <c r="CQ461">
        <v>0</v>
      </c>
      <c r="CR461">
        <v>0</v>
      </c>
      <c r="CS461">
        <v>0</v>
      </c>
      <c r="CT461">
        <v>0</v>
      </c>
      <c r="CU461">
        <v>0</v>
      </c>
      <c r="CV461">
        <v>0</v>
      </c>
      <c r="CW461">
        <v>0</v>
      </c>
      <c r="CX461">
        <v>16.100000000000001</v>
      </c>
      <c r="CY461">
        <v>58.4</v>
      </c>
      <c r="CZ461">
        <v>26.4</v>
      </c>
      <c r="DA461">
        <v>66.2</v>
      </c>
      <c r="DB461">
        <v>15.4</v>
      </c>
      <c r="DC461">
        <v>58.4</v>
      </c>
      <c r="DD461">
        <v>25.4</v>
      </c>
      <c r="DE461">
        <v>66</v>
      </c>
      <c r="DF461">
        <v>16.100000000000001</v>
      </c>
      <c r="DG461">
        <v>58.4</v>
      </c>
      <c r="DH461">
        <v>26.4</v>
      </c>
      <c r="DI461">
        <v>66.2</v>
      </c>
      <c r="DJ461">
        <v>15.4</v>
      </c>
      <c r="DK461">
        <v>58.4</v>
      </c>
      <c r="DL461">
        <v>25.4</v>
      </c>
      <c r="DM461">
        <v>66</v>
      </c>
      <c r="DN461">
        <v>0</v>
      </c>
      <c r="DO461">
        <v>0</v>
      </c>
      <c r="DP461">
        <v>0</v>
      </c>
      <c r="DQ461">
        <v>0</v>
      </c>
      <c r="DR461">
        <v>0</v>
      </c>
      <c r="DS461">
        <v>0</v>
      </c>
      <c r="DT461">
        <v>0</v>
      </c>
      <c r="DU461">
        <v>0</v>
      </c>
      <c r="DV461" t="s">
        <v>776</v>
      </c>
    </row>
    <row r="462" spans="1:126" x14ac:dyDescent="0.35">
      <c r="A462" t="s">
        <v>777</v>
      </c>
      <c r="B462">
        <v>230110</v>
      </c>
      <c r="C462" s="1">
        <v>44936</v>
      </c>
      <c r="D462" t="s">
        <v>778</v>
      </c>
      <c r="E462" t="s">
        <v>402</v>
      </c>
      <c r="F462" t="s">
        <v>165</v>
      </c>
      <c r="G462" t="s">
        <v>779</v>
      </c>
      <c r="H462">
        <v>33429</v>
      </c>
      <c r="I462" s="17">
        <v>25210</v>
      </c>
      <c r="J462" s="17">
        <v>3509</v>
      </c>
      <c r="K462">
        <v>336</v>
      </c>
      <c r="L462">
        <v>4322</v>
      </c>
      <c r="M462">
        <v>27896</v>
      </c>
      <c r="N462">
        <v>29868</v>
      </c>
      <c r="O462">
        <v>31741</v>
      </c>
      <c r="P462">
        <v>3561</v>
      </c>
      <c r="Q462">
        <v>1688</v>
      </c>
      <c r="R462">
        <v>33429</v>
      </c>
      <c r="S462">
        <v>25210</v>
      </c>
      <c r="T462">
        <v>3509</v>
      </c>
      <c r="U462">
        <v>336</v>
      </c>
      <c r="V462">
        <v>4322</v>
      </c>
      <c r="W462">
        <v>27896</v>
      </c>
      <c r="X462">
        <v>29868</v>
      </c>
      <c r="Y462">
        <v>31741</v>
      </c>
      <c r="Z462">
        <v>3561</v>
      </c>
      <c r="AA462">
        <v>1688</v>
      </c>
      <c r="AB462">
        <v>0</v>
      </c>
      <c r="AC462">
        <v>0</v>
      </c>
      <c r="AD462">
        <v>0</v>
      </c>
      <c r="AE462">
        <v>0</v>
      </c>
      <c r="AF462">
        <v>0</v>
      </c>
      <c r="AG462">
        <v>0</v>
      </c>
      <c r="AH462">
        <v>0</v>
      </c>
      <c r="AI462">
        <v>0</v>
      </c>
      <c r="AJ462">
        <v>0</v>
      </c>
      <c r="AK462">
        <v>0</v>
      </c>
      <c r="AL462">
        <v>-4558</v>
      </c>
      <c r="AM462">
        <v>-6895</v>
      </c>
      <c r="AN462">
        <v>-385</v>
      </c>
      <c r="AO462">
        <v>329</v>
      </c>
      <c r="AP462">
        <v>1543</v>
      </c>
      <c r="AQ462">
        <v>-4531</v>
      </c>
      <c r="AR462">
        <v>-5023</v>
      </c>
      <c r="AS462">
        <v>-4587</v>
      </c>
      <c r="AT462">
        <v>465</v>
      </c>
      <c r="AU462">
        <v>29</v>
      </c>
      <c r="AV462">
        <v>100</v>
      </c>
      <c r="AW462">
        <v>75.400000000000006</v>
      </c>
      <c r="AX462">
        <v>10.5</v>
      </c>
      <c r="AY462">
        <v>1</v>
      </c>
      <c r="AZ462">
        <v>12.9</v>
      </c>
      <c r="BA462">
        <v>83.4</v>
      </c>
      <c r="BB462">
        <v>89.3</v>
      </c>
      <c r="BC462">
        <v>95</v>
      </c>
      <c r="BD462">
        <v>10.7</v>
      </c>
      <c r="BE462">
        <v>5</v>
      </c>
      <c r="BF462">
        <v>100</v>
      </c>
      <c r="BG462">
        <v>75.400000000000006</v>
      </c>
      <c r="BH462">
        <v>10.5</v>
      </c>
      <c r="BI462">
        <v>1</v>
      </c>
      <c r="BJ462">
        <v>12.9</v>
      </c>
      <c r="BK462">
        <v>83.4</v>
      </c>
      <c r="BL462">
        <v>89.3</v>
      </c>
      <c r="BM462">
        <v>95</v>
      </c>
      <c r="BN462">
        <v>10.7</v>
      </c>
      <c r="BO462">
        <v>5</v>
      </c>
      <c r="BP462">
        <v>0</v>
      </c>
      <c r="BQ462">
        <v>0</v>
      </c>
      <c r="BR462">
        <v>0</v>
      </c>
      <c r="BS462">
        <v>0</v>
      </c>
      <c r="BT462">
        <v>0</v>
      </c>
      <c r="BU462">
        <v>0</v>
      </c>
      <c r="BV462">
        <v>0</v>
      </c>
      <c r="BW462">
        <v>0</v>
      </c>
      <c r="BX462">
        <v>0</v>
      </c>
      <c r="BY462">
        <v>0</v>
      </c>
      <c r="BZ462">
        <v>68</v>
      </c>
      <c r="CA462">
        <v>27</v>
      </c>
      <c r="CB462">
        <v>12</v>
      </c>
      <c r="CC462">
        <v>3</v>
      </c>
      <c r="CD462">
        <v>16</v>
      </c>
      <c r="CE462">
        <v>16</v>
      </c>
      <c r="CF462">
        <v>44</v>
      </c>
      <c r="CG462">
        <v>30</v>
      </c>
      <c r="CH462">
        <v>68</v>
      </c>
      <c r="CI462">
        <v>27</v>
      </c>
      <c r="CJ462">
        <v>12</v>
      </c>
      <c r="CK462">
        <v>3</v>
      </c>
      <c r="CL462">
        <v>16</v>
      </c>
      <c r="CM462">
        <v>16</v>
      </c>
      <c r="CN462">
        <v>44</v>
      </c>
      <c r="CO462">
        <v>30</v>
      </c>
      <c r="CP462">
        <v>0</v>
      </c>
      <c r="CQ462">
        <v>0</v>
      </c>
      <c r="CR462">
        <v>0</v>
      </c>
      <c r="CS462">
        <v>0</v>
      </c>
      <c r="CT462">
        <v>0</v>
      </c>
      <c r="CU462">
        <v>0</v>
      </c>
      <c r="CV462">
        <v>0</v>
      </c>
      <c r="CW462">
        <v>0</v>
      </c>
      <c r="CX462">
        <v>47</v>
      </c>
      <c r="CY462">
        <v>69</v>
      </c>
      <c r="CZ462">
        <v>59</v>
      </c>
      <c r="DA462">
        <v>78.2</v>
      </c>
      <c r="DB462">
        <v>47</v>
      </c>
      <c r="DC462">
        <v>69</v>
      </c>
      <c r="DD462">
        <v>59</v>
      </c>
      <c r="DE462">
        <v>77.8</v>
      </c>
      <c r="DF462">
        <v>47</v>
      </c>
      <c r="DG462">
        <v>69</v>
      </c>
      <c r="DH462">
        <v>59</v>
      </c>
      <c r="DI462">
        <v>78.2</v>
      </c>
      <c r="DJ462">
        <v>47</v>
      </c>
      <c r="DK462">
        <v>69</v>
      </c>
      <c r="DL462">
        <v>59</v>
      </c>
      <c r="DM462">
        <v>77.8</v>
      </c>
      <c r="DN462">
        <v>0</v>
      </c>
      <c r="DO462">
        <v>0</v>
      </c>
      <c r="DP462">
        <v>0</v>
      </c>
      <c r="DQ462">
        <v>0</v>
      </c>
      <c r="DR462">
        <v>0</v>
      </c>
      <c r="DS462">
        <v>0</v>
      </c>
      <c r="DT462">
        <v>0</v>
      </c>
      <c r="DU462">
        <v>0</v>
      </c>
      <c r="DV462" t="s">
        <v>780</v>
      </c>
    </row>
    <row r="463" spans="1:126" x14ac:dyDescent="0.35">
      <c r="A463" t="s">
        <v>777</v>
      </c>
      <c r="B463">
        <v>230103</v>
      </c>
      <c r="C463" s="1">
        <v>44929</v>
      </c>
      <c r="D463" t="s">
        <v>778</v>
      </c>
      <c r="E463" t="s">
        <v>402</v>
      </c>
      <c r="F463" t="s">
        <v>165</v>
      </c>
      <c r="G463" t="s">
        <v>779</v>
      </c>
      <c r="H463">
        <v>37987</v>
      </c>
      <c r="I463" s="17">
        <v>32105</v>
      </c>
      <c r="J463" s="17">
        <v>3894</v>
      </c>
      <c r="K463">
        <v>7</v>
      </c>
      <c r="L463">
        <v>2779</v>
      </c>
      <c r="M463">
        <v>32427</v>
      </c>
      <c r="N463">
        <v>34891</v>
      </c>
      <c r="O463">
        <v>36328</v>
      </c>
      <c r="P463">
        <v>3096</v>
      </c>
      <c r="Q463">
        <v>1659</v>
      </c>
      <c r="R463">
        <v>37987</v>
      </c>
      <c r="S463">
        <v>32105</v>
      </c>
      <c r="T463">
        <v>3894</v>
      </c>
      <c r="U463">
        <v>7</v>
      </c>
      <c r="V463">
        <v>2779</v>
      </c>
      <c r="W463">
        <v>32427</v>
      </c>
      <c r="X463">
        <v>34891</v>
      </c>
      <c r="Y463">
        <v>36328</v>
      </c>
      <c r="Z463">
        <v>3096</v>
      </c>
      <c r="AA463">
        <v>1659</v>
      </c>
      <c r="AB463">
        <v>0</v>
      </c>
      <c r="AC463">
        <v>0</v>
      </c>
      <c r="AD463">
        <v>0</v>
      </c>
      <c r="AE463">
        <v>0</v>
      </c>
      <c r="AF463">
        <v>0</v>
      </c>
      <c r="AG463">
        <v>0</v>
      </c>
      <c r="AH463">
        <v>0</v>
      </c>
      <c r="AI463">
        <v>0</v>
      </c>
      <c r="AJ463">
        <v>0</v>
      </c>
      <c r="AK463">
        <v>0</v>
      </c>
      <c r="AL463">
        <v>-22848</v>
      </c>
      <c r="AM463">
        <v>-572</v>
      </c>
      <c r="AN463">
        <v>-21368</v>
      </c>
      <c r="AO463">
        <v>-63</v>
      </c>
      <c r="AP463">
        <v>-21223</v>
      </c>
      <c r="AQ463">
        <v>-1005</v>
      </c>
      <c r="AR463">
        <v>-21858</v>
      </c>
      <c r="AS463">
        <v>-22436</v>
      </c>
      <c r="AT463">
        <v>-990</v>
      </c>
      <c r="AU463">
        <v>-412</v>
      </c>
      <c r="AV463">
        <v>100</v>
      </c>
      <c r="AW463">
        <v>84.5</v>
      </c>
      <c r="AX463">
        <v>10.3</v>
      </c>
      <c r="AY463">
        <v>0</v>
      </c>
      <c r="AZ463">
        <v>7.3</v>
      </c>
      <c r="BA463">
        <v>85.4</v>
      </c>
      <c r="BB463">
        <v>91.8</v>
      </c>
      <c r="BC463">
        <v>95.6</v>
      </c>
      <c r="BD463">
        <v>8.1999999999999993</v>
      </c>
      <c r="BE463">
        <v>4.4000000000000004</v>
      </c>
      <c r="BF463">
        <v>100</v>
      </c>
      <c r="BG463">
        <v>84.5</v>
      </c>
      <c r="BH463">
        <v>10.3</v>
      </c>
      <c r="BI463">
        <v>0</v>
      </c>
      <c r="BJ463">
        <v>7.3</v>
      </c>
      <c r="BK463">
        <v>85.4</v>
      </c>
      <c r="BL463">
        <v>91.8</v>
      </c>
      <c r="BM463">
        <v>95.6</v>
      </c>
      <c r="BN463">
        <v>8.1999999999999993</v>
      </c>
      <c r="BO463">
        <v>4.4000000000000004</v>
      </c>
      <c r="BP463">
        <v>0</v>
      </c>
      <c r="BQ463">
        <v>0</v>
      </c>
      <c r="BR463">
        <v>0</v>
      </c>
      <c r="BS463">
        <v>0</v>
      </c>
      <c r="BT463">
        <v>0</v>
      </c>
      <c r="BU463">
        <v>0</v>
      </c>
      <c r="BV463">
        <v>0</v>
      </c>
      <c r="BW463">
        <v>0</v>
      </c>
      <c r="BX463">
        <v>0</v>
      </c>
      <c r="BY463">
        <v>0</v>
      </c>
      <c r="BZ463">
        <v>64</v>
      </c>
      <c r="CA463">
        <v>26</v>
      </c>
      <c r="CB463">
        <v>12</v>
      </c>
      <c r="CC463">
        <v>2</v>
      </c>
      <c r="CD463">
        <v>12</v>
      </c>
      <c r="CE463">
        <v>17</v>
      </c>
      <c r="CF463">
        <v>39</v>
      </c>
      <c r="CG463">
        <v>30</v>
      </c>
      <c r="CH463">
        <v>64</v>
      </c>
      <c r="CI463">
        <v>26</v>
      </c>
      <c r="CJ463">
        <v>12</v>
      </c>
      <c r="CK463">
        <v>2</v>
      </c>
      <c r="CL463">
        <v>12</v>
      </c>
      <c r="CM463">
        <v>17</v>
      </c>
      <c r="CN463">
        <v>39</v>
      </c>
      <c r="CO463">
        <v>30</v>
      </c>
      <c r="CP463">
        <v>0</v>
      </c>
      <c r="CQ463">
        <v>0</v>
      </c>
      <c r="CR463">
        <v>0</v>
      </c>
      <c r="CS463">
        <v>0</v>
      </c>
      <c r="CT463">
        <v>0</v>
      </c>
      <c r="CU463">
        <v>0</v>
      </c>
      <c r="CV463">
        <v>0</v>
      </c>
      <c r="CW463">
        <v>0</v>
      </c>
      <c r="CX463">
        <v>61.5</v>
      </c>
      <c r="CY463">
        <v>67.3</v>
      </c>
      <c r="CZ463">
        <v>71.099999999999994</v>
      </c>
      <c r="DA463">
        <v>80.099999999999994</v>
      </c>
      <c r="DB463">
        <v>61.5</v>
      </c>
      <c r="DC463">
        <v>67.3</v>
      </c>
      <c r="DD463">
        <v>71.099999999999994</v>
      </c>
      <c r="DE463">
        <v>79.7</v>
      </c>
      <c r="DF463">
        <v>61.5</v>
      </c>
      <c r="DG463">
        <v>67.3</v>
      </c>
      <c r="DH463">
        <v>71.099999999999994</v>
      </c>
      <c r="DI463">
        <v>80.099999999999994</v>
      </c>
      <c r="DJ463">
        <v>61.5</v>
      </c>
      <c r="DK463">
        <v>67.3</v>
      </c>
      <c r="DL463">
        <v>71.099999999999994</v>
      </c>
      <c r="DM463">
        <v>79.7</v>
      </c>
      <c r="DN463">
        <v>0</v>
      </c>
      <c r="DO463">
        <v>0</v>
      </c>
      <c r="DP463">
        <v>0</v>
      </c>
      <c r="DQ463">
        <v>0</v>
      </c>
      <c r="DR463">
        <v>0</v>
      </c>
      <c r="DS463">
        <v>0</v>
      </c>
      <c r="DT463">
        <v>0</v>
      </c>
      <c r="DU463">
        <v>0</v>
      </c>
      <c r="DV463" t="s">
        <v>780</v>
      </c>
    </row>
    <row r="464" spans="1:126" x14ac:dyDescent="0.35">
      <c r="A464" t="s">
        <v>781</v>
      </c>
      <c r="B464">
        <v>230110</v>
      </c>
      <c r="C464" s="1">
        <v>44936</v>
      </c>
      <c r="D464" t="s">
        <v>782</v>
      </c>
      <c r="E464" t="s">
        <v>227</v>
      </c>
      <c r="F464" t="s">
        <v>185</v>
      </c>
      <c r="G464" t="s">
        <v>783</v>
      </c>
      <c r="H464">
        <v>257742</v>
      </c>
      <c r="I464" s="17">
        <v>76471</v>
      </c>
      <c r="J464" s="17">
        <v>18783</v>
      </c>
      <c r="K464">
        <v>39232</v>
      </c>
      <c r="L464">
        <v>120957</v>
      </c>
      <c r="M464">
        <v>183765</v>
      </c>
      <c r="N464">
        <v>236660</v>
      </c>
      <c r="O464">
        <v>241780</v>
      </c>
      <c r="P464">
        <v>21082</v>
      </c>
      <c r="Q464">
        <v>15962</v>
      </c>
      <c r="R464">
        <v>257742</v>
      </c>
      <c r="S464">
        <v>76471</v>
      </c>
      <c r="T464">
        <v>18783</v>
      </c>
      <c r="U464">
        <v>39232</v>
      </c>
      <c r="V464">
        <v>120957</v>
      </c>
      <c r="W464">
        <v>183765</v>
      </c>
      <c r="X464">
        <v>236660</v>
      </c>
      <c r="Y464">
        <v>241780</v>
      </c>
      <c r="Z464">
        <v>21082</v>
      </c>
      <c r="AA464">
        <v>15962</v>
      </c>
      <c r="AB464">
        <v>0</v>
      </c>
      <c r="AC464">
        <v>0</v>
      </c>
      <c r="AD464">
        <v>0</v>
      </c>
      <c r="AE464">
        <v>0</v>
      </c>
      <c r="AF464">
        <v>0</v>
      </c>
      <c r="AG464">
        <v>0</v>
      </c>
      <c r="AH464">
        <v>0</v>
      </c>
      <c r="AI464">
        <v>0</v>
      </c>
      <c r="AJ464">
        <v>0</v>
      </c>
      <c r="AK464">
        <v>0</v>
      </c>
      <c r="AL464">
        <v>19325</v>
      </c>
      <c r="AM464">
        <v>3670</v>
      </c>
      <c r="AN464">
        <v>-2500</v>
      </c>
      <c r="AO464">
        <v>3141</v>
      </c>
      <c r="AP464">
        <v>11322</v>
      </c>
      <c r="AQ464">
        <v>16195</v>
      </c>
      <c r="AR464">
        <v>18133</v>
      </c>
      <c r="AS464">
        <v>16836</v>
      </c>
      <c r="AT464">
        <v>1192</v>
      </c>
      <c r="AU464">
        <v>2489</v>
      </c>
      <c r="AV464">
        <v>100</v>
      </c>
      <c r="AW464">
        <v>29.7</v>
      </c>
      <c r="AX464">
        <v>7.3</v>
      </c>
      <c r="AY464">
        <v>15.2</v>
      </c>
      <c r="AZ464">
        <v>46.9</v>
      </c>
      <c r="BA464">
        <v>71.3</v>
      </c>
      <c r="BB464">
        <v>91.8</v>
      </c>
      <c r="BC464">
        <v>93.8</v>
      </c>
      <c r="BD464">
        <v>8.1999999999999993</v>
      </c>
      <c r="BE464">
        <v>6.2</v>
      </c>
      <c r="BF464">
        <v>100</v>
      </c>
      <c r="BG464">
        <v>29.7</v>
      </c>
      <c r="BH464">
        <v>7.3</v>
      </c>
      <c r="BI464">
        <v>15.2</v>
      </c>
      <c r="BJ464">
        <v>46.9</v>
      </c>
      <c r="BK464">
        <v>71.3</v>
      </c>
      <c r="BL464">
        <v>91.8</v>
      </c>
      <c r="BM464">
        <v>93.8</v>
      </c>
      <c r="BN464">
        <v>8.1999999999999993</v>
      </c>
      <c r="BO464">
        <v>6.2</v>
      </c>
      <c r="BP464">
        <v>0</v>
      </c>
      <c r="BQ464">
        <v>0</v>
      </c>
      <c r="BR464">
        <v>0</v>
      </c>
      <c r="BS464">
        <v>0</v>
      </c>
      <c r="BT464">
        <v>0</v>
      </c>
      <c r="BU464">
        <v>0</v>
      </c>
      <c r="BV464">
        <v>0</v>
      </c>
      <c r="BW464">
        <v>0</v>
      </c>
      <c r="BX464">
        <v>0</v>
      </c>
      <c r="BY464">
        <v>0</v>
      </c>
      <c r="BZ464">
        <v>203</v>
      </c>
      <c r="CA464">
        <v>69</v>
      </c>
      <c r="CB464">
        <v>26</v>
      </c>
      <c r="CC464">
        <v>55</v>
      </c>
      <c r="CD464">
        <v>76</v>
      </c>
      <c r="CE464">
        <v>97</v>
      </c>
      <c r="CF464">
        <v>166</v>
      </c>
      <c r="CG464">
        <v>161</v>
      </c>
      <c r="CH464">
        <v>203</v>
      </c>
      <c r="CI464">
        <v>69</v>
      </c>
      <c r="CJ464">
        <v>26</v>
      </c>
      <c r="CK464">
        <v>55</v>
      </c>
      <c r="CL464">
        <v>76</v>
      </c>
      <c r="CM464">
        <v>97</v>
      </c>
      <c r="CN464">
        <v>166</v>
      </c>
      <c r="CO464">
        <v>161</v>
      </c>
      <c r="CP464">
        <v>0</v>
      </c>
      <c r="CQ464">
        <v>0</v>
      </c>
      <c r="CR464">
        <v>0</v>
      </c>
      <c r="CS464">
        <v>0</v>
      </c>
      <c r="CT464">
        <v>0</v>
      </c>
      <c r="CU464">
        <v>0</v>
      </c>
      <c r="CV464">
        <v>0</v>
      </c>
      <c r="CW464">
        <v>0</v>
      </c>
      <c r="CX464">
        <v>13.8</v>
      </c>
      <c r="CY464">
        <v>16.2</v>
      </c>
      <c r="CZ464">
        <v>23.5</v>
      </c>
      <c r="DA464">
        <v>25</v>
      </c>
      <c r="DB464">
        <v>10.4</v>
      </c>
      <c r="DC464">
        <v>11.5</v>
      </c>
      <c r="DD464">
        <v>17.3</v>
      </c>
      <c r="DE464">
        <v>18.899999999999999</v>
      </c>
      <c r="DF464">
        <v>13.8</v>
      </c>
      <c r="DG464">
        <v>16.2</v>
      </c>
      <c r="DH464">
        <v>23.5</v>
      </c>
      <c r="DI464">
        <v>25</v>
      </c>
      <c r="DJ464">
        <v>10.4</v>
      </c>
      <c r="DK464">
        <v>11.5</v>
      </c>
      <c r="DL464">
        <v>17.3</v>
      </c>
      <c r="DM464">
        <v>18.899999999999999</v>
      </c>
      <c r="DN464">
        <v>0</v>
      </c>
      <c r="DO464">
        <v>0</v>
      </c>
      <c r="DP464">
        <v>0</v>
      </c>
      <c r="DQ464">
        <v>0</v>
      </c>
      <c r="DR464">
        <v>0</v>
      </c>
      <c r="DS464">
        <v>0</v>
      </c>
      <c r="DT464">
        <v>0</v>
      </c>
      <c r="DU464">
        <v>0</v>
      </c>
      <c r="DV464" t="s">
        <v>276</v>
      </c>
    </row>
    <row r="465" spans="1:126" x14ac:dyDescent="0.35">
      <c r="A465" t="s">
        <v>781</v>
      </c>
      <c r="B465">
        <v>230103</v>
      </c>
      <c r="C465" s="1">
        <v>44929</v>
      </c>
      <c r="D465" t="s">
        <v>782</v>
      </c>
      <c r="E465" t="s">
        <v>227</v>
      </c>
      <c r="F465" t="s">
        <v>185</v>
      </c>
      <c r="G465" t="s">
        <v>783</v>
      </c>
      <c r="H465">
        <v>238417</v>
      </c>
      <c r="I465" s="17">
        <v>72801</v>
      </c>
      <c r="J465" s="17">
        <v>21283</v>
      </c>
      <c r="K465">
        <v>36091</v>
      </c>
      <c r="L465">
        <v>109635</v>
      </c>
      <c r="M465">
        <v>167570</v>
      </c>
      <c r="N465">
        <v>218527</v>
      </c>
      <c r="O465">
        <v>224944</v>
      </c>
      <c r="P465">
        <v>19890</v>
      </c>
      <c r="Q465">
        <v>13473</v>
      </c>
      <c r="R465">
        <v>238417</v>
      </c>
      <c r="S465">
        <v>72801</v>
      </c>
      <c r="T465">
        <v>21283</v>
      </c>
      <c r="U465">
        <v>36091</v>
      </c>
      <c r="V465">
        <v>109635</v>
      </c>
      <c r="W465">
        <v>167570</v>
      </c>
      <c r="X465">
        <v>218527</v>
      </c>
      <c r="Y465">
        <v>224944</v>
      </c>
      <c r="Z465">
        <v>19890</v>
      </c>
      <c r="AA465">
        <v>13473</v>
      </c>
      <c r="AB465">
        <v>0</v>
      </c>
      <c r="AC465">
        <v>0</v>
      </c>
      <c r="AD465">
        <v>0</v>
      </c>
      <c r="AE465">
        <v>0</v>
      </c>
      <c r="AF465">
        <v>0</v>
      </c>
      <c r="AG465">
        <v>0</v>
      </c>
      <c r="AH465">
        <v>0</v>
      </c>
      <c r="AI465">
        <v>0</v>
      </c>
      <c r="AJ465">
        <v>0</v>
      </c>
      <c r="AK465">
        <v>0</v>
      </c>
      <c r="AL465">
        <v>-8979</v>
      </c>
      <c r="AM465">
        <v>321</v>
      </c>
      <c r="AN465">
        <v>-322</v>
      </c>
      <c r="AO465">
        <v>-2601</v>
      </c>
      <c r="AP465">
        <v>-7130</v>
      </c>
      <c r="AQ465">
        <v>-4019</v>
      </c>
      <c r="AR465">
        <v>-9410</v>
      </c>
      <c r="AS465">
        <v>-6942</v>
      </c>
      <c r="AT465">
        <v>431</v>
      </c>
      <c r="AU465">
        <v>-2037</v>
      </c>
      <c r="AV465">
        <v>100</v>
      </c>
      <c r="AW465">
        <v>30.5</v>
      </c>
      <c r="AX465">
        <v>8.9</v>
      </c>
      <c r="AY465">
        <v>15.1</v>
      </c>
      <c r="AZ465">
        <v>46</v>
      </c>
      <c r="BA465">
        <v>70.3</v>
      </c>
      <c r="BB465">
        <v>91.7</v>
      </c>
      <c r="BC465">
        <v>94.3</v>
      </c>
      <c r="BD465">
        <v>8.3000000000000007</v>
      </c>
      <c r="BE465">
        <v>5.7</v>
      </c>
      <c r="BF465">
        <v>100</v>
      </c>
      <c r="BG465">
        <v>30.5</v>
      </c>
      <c r="BH465">
        <v>8.9</v>
      </c>
      <c r="BI465">
        <v>15.1</v>
      </c>
      <c r="BJ465">
        <v>46</v>
      </c>
      <c r="BK465">
        <v>70.3</v>
      </c>
      <c r="BL465">
        <v>91.7</v>
      </c>
      <c r="BM465">
        <v>94.3</v>
      </c>
      <c r="BN465">
        <v>8.3000000000000007</v>
      </c>
      <c r="BO465">
        <v>5.7</v>
      </c>
      <c r="BP465">
        <v>0</v>
      </c>
      <c r="BQ465">
        <v>0</v>
      </c>
      <c r="BR465">
        <v>0</v>
      </c>
      <c r="BS465">
        <v>0</v>
      </c>
      <c r="BT465">
        <v>0</v>
      </c>
      <c r="BU465">
        <v>0</v>
      </c>
      <c r="BV465">
        <v>0</v>
      </c>
      <c r="BW465">
        <v>0</v>
      </c>
      <c r="BX465">
        <v>0</v>
      </c>
      <c r="BY465">
        <v>0</v>
      </c>
      <c r="BZ465">
        <v>207</v>
      </c>
      <c r="CA465">
        <v>69</v>
      </c>
      <c r="CB465">
        <v>30</v>
      </c>
      <c r="CC465">
        <v>60</v>
      </c>
      <c r="CD465">
        <v>75</v>
      </c>
      <c r="CE465">
        <v>97</v>
      </c>
      <c r="CF465">
        <v>170</v>
      </c>
      <c r="CG465">
        <v>164</v>
      </c>
      <c r="CH465">
        <v>207</v>
      </c>
      <c r="CI465">
        <v>69</v>
      </c>
      <c r="CJ465">
        <v>30</v>
      </c>
      <c r="CK465">
        <v>60</v>
      </c>
      <c r="CL465">
        <v>75</v>
      </c>
      <c r="CM465">
        <v>97</v>
      </c>
      <c r="CN465">
        <v>170</v>
      </c>
      <c r="CO465">
        <v>164</v>
      </c>
      <c r="CP465">
        <v>0</v>
      </c>
      <c r="CQ465">
        <v>0</v>
      </c>
      <c r="CR465">
        <v>0</v>
      </c>
      <c r="CS465">
        <v>0</v>
      </c>
      <c r="CT465">
        <v>0</v>
      </c>
      <c r="CU465">
        <v>0</v>
      </c>
      <c r="CV465">
        <v>0</v>
      </c>
      <c r="CW465">
        <v>0</v>
      </c>
      <c r="CX465">
        <v>13.8</v>
      </c>
      <c r="CY465">
        <v>17.399999999999999</v>
      </c>
      <c r="CZ465">
        <v>23.7</v>
      </c>
      <c r="DA465">
        <v>26.9</v>
      </c>
      <c r="DB465">
        <v>11.7</v>
      </c>
      <c r="DC465">
        <v>12.4</v>
      </c>
      <c r="DD465">
        <v>18.600000000000001</v>
      </c>
      <c r="DE465">
        <v>19.7</v>
      </c>
      <c r="DF465">
        <v>13.8</v>
      </c>
      <c r="DG465">
        <v>17.399999999999999</v>
      </c>
      <c r="DH465">
        <v>23.7</v>
      </c>
      <c r="DI465">
        <v>26.9</v>
      </c>
      <c r="DJ465">
        <v>11.7</v>
      </c>
      <c r="DK465">
        <v>12.4</v>
      </c>
      <c r="DL465">
        <v>18.600000000000001</v>
      </c>
      <c r="DM465">
        <v>19.7</v>
      </c>
      <c r="DN465">
        <v>0</v>
      </c>
      <c r="DO465">
        <v>0</v>
      </c>
      <c r="DP465">
        <v>0</v>
      </c>
      <c r="DQ465">
        <v>0</v>
      </c>
      <c r="DR465">
        <v>0</v>
      </c>
      <c r="DS465">
        <v>0</v>
      </c>
      <c r="DT465">
        <v>0</v>
      </c>
      <c r="DU465">
        <v>0</v>
      </c>
      <c r="DV465" t="s">
        <v>276</v>
      </c>
    </row>
    <row r="466" spans="1:126" x14ac:dyDescent="0.35">
      <c r="A466" t="s">
        <v>784</v>
      </c>
      <c r="B466">
        <v>230110</v>
      </c>
      <c r="C466" s="1">
        <v>44936</v>
      </c>
      <c r="D466" t="s">
        <v>785</v>
      </c>
      <c r="E466" t="s">
        <v>402</v>
      </c>
      <c r="F466" t="s">
        <v>165</v>
      </c>
      <c r="G466" t="s">
        <v>786</v>
      </c>
      <c r="H466">
        <v>27566</v>
      </c>
      <c r="I466" s="17">
        <v>12607</v>
      </c>
      <c r="J466" s="17">
        <v>5257</v>
      </c>
      <c r="K466">
        <v>233</v>
      </c>
      <c r="L466">
        <v>10520</v>
      </c>
      <c r="M466">
        <v>19019</v>
      </c>
      <c r="N466">
        <v>23360</v>
      </c>
      <c r="O466">
        <v>24509</v>
      </c>
      <c r="P466">
        <v>4206</v>
      </c>
      <c r="Q466">
        <v>3057</v>
      </c>
      <c r="R466">
        <v>27566</v>
      </c>
      <c r="S466">
        <v>12607</v>
      </c>
      <c r="T466">
        <v>5257</v>
      </c>
      <c r="U466">
        <v>233</v>
      </c>
      <c r="V466">
        <v>10520</v>
      </c>
      <c r="W466">
        <v>19019</v>
      </c>
      <c r="X466">
        <v>23360</v>
      </c>
      <c r="Y466">
        <v>24509</v>
      </c>
      <c r="Z466">
        <v>4206</v>
      </c>
      <c r="AA466">
        <v>3057</v>
      </c>
      <c r="AB466">
        <v>0</v>
      </c>
      <c r="AC466">
        <v>0</v>
      </c>
      <c r="AD466">
        <v>0</v>
      </c>
      <c r="AE466">
        <v>0</v>
      </c>
      <c r="AF466">
        <v>0</v>
      </c>
      <c r="AG466">
        <v>0</v>
      </c>
      <c r="AH466">
        <v>0</v>
      </c>
      <c r="AI466">
        <v>0</v>
      </c>
      <c r="AJ466">
        <v>0</v>
      </c>
      <c r="AK466">
        <v>0</v>
      </c>
      <c r="AL466">
        <v>-2207</v>
      </c>
      <c r="AM466">
        <v>-759</v>
      </c>
      <c r="AN466">
        <v>-629</v>
      </c>
      <c r="AO466">
        <v>46</v>
      </c>
      <c r="AP466">
        <v>-1858</v>
      </c>
      <c r="AQ466">
        <v>-1529</v>
      </c>
      <c r="AR466">
        <v>-2571</v>
      </c>
      <c r="AS466">
        <v>-2112</v>
      </c>
      <c r="AT466">
        <v>364</v>
      </c>
      <c r="AU466">
        <v>-95</v>
      </c>
      <c r="AV466">
        <v>100</v>
      </c>
      <c r="AW466">
        <v>45.7</v>
      </c>
      <c r="AX466">
        <v>19.100000000000001</v>
      </c>
      <c r="AY466">
        <v>0.8</v>
      </c>
      <c r="AZ466">
        <v>38.200000000000003</v>
      </c>
      <c r="BA466">
        <v>69</v>
      </c>
      <c r="BB466">
        <v>84.7</v>
      </c>
      <c r="BC466">
        <v>88.9</v>
      </c>
      <c r="BD466">
        <v>15.3</v>
      </c>
      <c r="BE466">
        <v>11.1</v>
      </c>
      <c r="BF466">
        <v>100</v>
      </c>
      <c r="BG466">
        <v>45.7</v>
      </c>
      <c r="BH466">
        <v>19.100000000000001</v>
      </c>
      <c r="BI466">
        <v>0.8</v>
      </c>
      <c r="BJ466">
        <v>38.200000000000003</v>
      </c>
      <c r="BK466">
        <v>69</v>
      </c>
      <c r="BL466">
        <v>84.7</v>
      </c>
      <c r="BM466">
        <v>88.9</v>
      </c>
      <c r="BN466">
        <v>15.3</v>
      </c>
      <c r="BO466">
        <v>11.1</v>
      </c>
      <c r="BP466">
        <v>0</v>
      </c>
      <c r="BQ466">
        <v>0</v>
      </c>
      <c r="BR466">
        <v>0</v>
      </c>
      <c r="BS466">
        <v>0</v>
      </c>
      <c r="BT466">
        <v>0</v>
      </c>
      <c r="BU466">
        <v>0</v>
      </c>
      <c r="BV466">
        <v>0</v>
      </c>
      <c r="BW466">
        <v>0</v>
      </c>
      <c r="BX466">
        <v>0</v>
      </c>
      <c r="BY466">
        <v>0</v>
      </c>
      <c r="BZ466">
        <v>70</v>
      </c>
      <c r="CA466">
        <v>23</v>
      </c>
      <c r="CB466">
        <v>14</v>
      </c>
      <c r="CC466">
        <v>4</v>
      </c>
      <c r="CD466">
        <v>19</v>
      </c>
      <c r="CE466">
        <v>21</v>
      </c>
      <c r="CF466">
        <v>44</v>
      </c>
      <c r="CG466">
        <v>37</v>
      </c>
      <c r="CH466">
        <v>70</v>
      </c>
      <c r="CI466">
        <v>23</v>
      </c>
      <c r="CJ466">
        <v>14</v>
      </c>
      <c r="CK466">
        <v>4</v>
      </c>
      <c r="CL466">
        <v>19</v>
      </c>
      <c r="CM466">
        <v>21</v>
      </c>
      <c r="CN466">
        <v>44</v>
      </c>
      <c r="CO466">
        <v>37</v>
      </c>
      <c r="CP466">
        <v>0</v>
      </c>
      <c r="CQ466">
        <v>0</v>
      </c>
      <c r="CR466">
        <v>0</v>
      </c>
      <c r="CS466">
        <v>0</v>
      </c>
      <c r="CT466">
        <v>0</v>
      </c>
      <c r="CU466">
        <v>0</v>
      </c>
      <c r="CV466">
        <v>0</v>
      </c>
      <c r="CW466">
        <v>0</v>
      </c>
      <c r="CX466">
        <v>31.8</v>
      </c>
      <c r="CY466">
        <v>44.5</v>
      </c>
      <c r="CZ466">
        <v>48.8</v>
      </c>
      <c r="DA466">
        <v>62.8</v>
      </c>
      <c r="DB466">
        <v>31.5</v>
      </c>
      <c r="DC466">
        <v>43.9</v>
      </c>
      <c r="DD466">
        <v>48.6</v>
      </c>
      <c r="DE466">
        <v>62</v>
      </c>
      <c r="DF466">
        <v>31.8</v>
      </c>
      <c r="DG466">
        <v>44.5</v>
      </c>
      <c r="DH466">
        <v>48.8</v>
      </c>
      <c r="DI466">
        <v>62.8</v>
      </c>
      <c r="DJ466">
        <v>31.5</v>
      </c>
      <c r="DK466">
        <v>43.9</v>
      </c>
      <c r="DL466">
        <v>48.6</v>
      </c>
      <c r="DM466">
        <v>62</v>
      </c>
      <c r="DN466">
        <v>0</v>
      </c>
      <c r="DO466">
        <v>0</v>
      </c>
      <c r="DP466">
        <v>0</v>
      </c>
      <c r="DQ466">
        <v>0</v>
      </c>
      <c r="DR466">
        <v>0</v>
      </c>
      <c r="DS466">
        <v>0</v>
      </c>
      <c r="DT466">
        <v>0</v>
      </c>
      <c r="DU466">
        <v>0</v>
      </c>
      <c r="DV466" t="s">
        <v>787</v>
      </c>
    </row>
    <row r="467" spans="1:126" x14ac:dyDescent="0.35">
      <c r="A467" t="s">
        <v>784</v>
      </c>
      <c r="B467">
        <v>230103</v>
      </c>
      <c r="C467" s="1">
        <v>44929</v>
      </c>
      <c r="D467" t="s">
        <v>785</v>
      </c>
      <c r="E467" t="s">
        <v>402</v>
      </c>
      <c r="F467" t="s">
        <v>165</v>
      </c>
      <c r="G467" t="s">
        <v>786</v>
      </c>
      <c r="H467">
        <v>29773</v>
      </c>
      <c r="I467" s="17">
        <v>13366</v>
      </c>
      <c r="J467" s="17">
        <v>5886</v>
      </c>
      <c r="K467">
        <v>187</v>
      </c>
      <c r="L467">
        <v>12378</v>
      </c>
      <c r="M467">
        <v>20548</v>
      </c>
      <c r="N467">
        <v>25931</v>
      </c>
      <c r="O467">
        <v>26621</v>
      </c>
      <c r="P467">
        <v>3842</v>
      </c>
      <c r="Q467">
        <v>3152</v>
      </c>
      <c r="R467">
        <v>29773</v>
      </c>
      <c r="S467">
        <v>13366</v>
      </c>
      <c r="T467">
        <v>5886</v>
      </c>
      <c r="U467">
        <v>187</v>
      </c>
      <c r="V467">
        <v>12378</v>
      </c>
      <c r="W467">
        <v>20548</v>
      </c>
      <c r="X467">
        <v>25931</v>
      </c>
      <c r="Y467">
        <v>26621</v>
      </c>
      <c r="Z467">
        <v>3842</v>
      </c>
      <c r="AA467">
        <v>3152</v>
      </c>
      <c r="AB467">
        <v>0</v>
      </c>
      <c r="AC467">
        <v>0</v>
      </c>
      <c r="AD467">
        <v>0</v>
      </c>
      <c r="AE467">
        <v>0</v>
      </c>
      <c r="AF467">
        <v>0</v>
      </c>
      <c r="AG467">
        <v>0</v>
      </c>
      <c r="AH467">
        <v>0</v>
      </c>
      <c r="AI467">
        <v>0</v>
      </c>
      <c r="AJ467">
        <v>0</v>
      </c>
      <c r="AK467">
        <v>0</v>
      </c>
      <c r="AL467">
        <v>-3779</v>
      </c>
      <c r="AM467">
        <v>-2210</v>
      </c>
      <c r="AN467">
        <v>-2783</v>
      </c>
      <c r="AO467">
        <v>-245</v>
      </c>
      <c r="AP467">
        <v>-1105</v>
      </c>
      <c r="AQ467">
        <v>-1207</v>
      </c>
      <c r="AR467">
        <v>-3560</v>
      </c>
      <c r="AS467">
        <v>-4235</v>
      </c>
      <c r="AT467">
        <v>-219</v>
      </c>
      <c r="AU467">
        <v>456</v>
      </c>
      <c r="AV467">
        <v>100</v>
      </c>
      <c r="AW467">
        <v>44.9</v>
      </c>
      <c r="AX467">
        <v>19.8</v>
      </c>
      <c r="AY467">
        <v>0.6</v>
      </c>
      <c r="AZ467">
        <v>41.6</v>
      </c>
      <c r="BA467">
        <v>69</v>
      </c>
      <c r="BB467">
        <v>87.1</v>
      </c>
      <c r="BC467">
        <v>89.4</v>
      </c>
      <c r="BD467">
        <v>12.9</v>
      </c>
      <c r="BE467">
        <v>10.6</v>
      </c>
      <c r="BF467">
        <v>100</v>
      </c>
      <c r="BG467">
        <v>44.9</v>
      </c>
      <c r="BH467">
        <v>19.8</v>
      </c>
      <c r="BI467">
        <v>0.6</v>
      </c>
      <c r="BJ467">
        <v>41.6</v>
      </c>
      <c r="BK467">
        <v>69</v>
      </c>
      <c r="BL467">
        <v>87.1</v>
      </c>
      <c r="BM467">
        <v>89.4</v>
      </c>
      <c r="BN467">
        <v>12.9</v>
      </c>
      <c r="BO467">
        <v>10.6</v>
      </c>
      <c r="BP467">
        <v>0</v>
      </c>
      <c r="BQ467">
        <v>0</v>
      </c>
      <c r="BR467">
        <v>0</v>
      </c>
      <c r="BS467">
        <v>0</v>
      </c>
      <c r="BT467">
        <v>0</v>
      </c>
      <c r="BU467">
        <v>0</v>
      </c>
      <c r="BV467">
        <v>0</v>
      </c>
      <c r="BW467">
        <v>0</v>
      </c>
      <c r="BX467">
        <v>0</v>
      </c>
      <c r="BY467">
        <v>0</v>
      </c>
      <c r="BZ467">
        <v>70</v>
      </c>
      <c r="CA467">
        <v>23</v>
      </c>
      <c r="CB467">
        <v>15</v>
      </c>
      <c r="CC467">
        <v>5</v>
      </c>
      <c r="CD467">
        <v>18</v>
      </c>
      <c r="CE467">
        <v>20</v>
      </c>
      <c r="CF467">
        <v>43</v>
      </c>
      <c r="CG467">
        <v>38</v>
      </c>
      <c r="CH467">
        <v>70</v>
      </c>
      <c r="CI467">
        <v>23</v>
      </c>
      <c r="CJ467">
        <v>15</v>
      </c>
      <c r="CK467">
        <v>5</v>
      </c>
      <c r="CL467">
        <v>18</v>
      </c>
      <c r="CM467">
        <v>20</v>
      </c>
      <c r="CN467">
        <v>43</v>
      </c>
      <c r="CO467">
        <v>38</v>
      </c>
      <c r="CP467">
        <v>0</v>
      </c>
      <c r="CQ467">
        <v>0</v>
      </c>
      <c r="CR467">
        <v>0</v>
      </c>
      <c r="CS467">
        <v>0</v>
      </c>
      <c r="CT467">
        <v>0</v>
      </c>
      <c r="CU467">
        <v>0</v>
      </c>
      <c r="CV467">
        <v>0</v>
      </c>
      <c r="CW467">
        <v>0</v>
      </c>
      <c r="CX467">
        <v>33.5</v>
      </c>
      <c r="CY467">
        <v>46.4</v>
      </c>
      <c r="CZ467">
        <v>53.4</v>
      </c>
      <c r="DA467">
        <v>65.2</v>
      </c>
      <c r="DB467">
        <v>33.5</v>
      </c>
      <c r="DC467">
        <v>46.2</v>
      </c>
      <c r="DD467">
        <v>53.3</v>
      </c>
      <c r="DE467">
        <v>64.599999999999994</v>
      </c>
      <c r="DF467">
        <v>33.5</v>
      </c>
      <c r="DG467">
        <v>46.4</v>
      </c>
      <c r="DH467">
        <v>53.4</v>
      </c>
      <c r="DI467">
        <v>65.2</v>
      </c>
      <c r="DJ467">
        <v>33.5</v>
      </c>
      <c r="DK467">
        <v>46.2</v>
      </c>
      <c r="DL467">
        <v>53.3</v>
      </c>
      <c r="DM467">
        <v>64.599999999999994</v>
      </c>
      <c r="DN467">
        <v>0</v>
      </c>
      <c r="DO467">
        <v>0</v>
      </c>
      <c r="DP467">
        <v>0</v>
      </c>
      <c r="DQ467">
        <v>0</v>
      </c>
      <c r="DR467">
        <v>0</v>
      </c>
      <c r="DS467">
        <v>0</v>
      </c>
      <c r="DT467">
        <v>0</v>
      </c>
      <c r="DU467">
        <v>0</v>
      </c>
      <c r="DV467" t="s">
        <v>787</v>
      </c>
    </row>
    <row r="468" spans="1:126" x14ac:dyDescent="0.35">
      <c r="A468" t="s">
        <v>788</v>
      </c>
      <c r="B468">
        <v>230110</v>
      </c>
      <c r="C468" s="1">
        <v>44936</v>
      </c>
      <c r="D468" t="s">
        <v>789</v>
      </c>
      <c r="E468" t="s">
        <v>790</v>
      </c>
      <c r="F468" t="s">
        <v>165</v>
      </c>
      <c r="G468" t="s">
        <v>791</v>
      </c>
      <c r="H468">
        <v>301215</v>
      </c>
      <c r="I468" s="17">
        <v>50080</v>
      </c>
      <c r="J468" s="17">
        <v>122887</v>
      </c>
      <c r="K468">
        <v>61162</v>
      </c>
      <c r="L468">
        <v>170766</v>
      </c>
      <c r="M468">
        <v>90956</v>
      </c>
      <c r="N468">
        <v>282008</v>
      </c>
      <c r="O468">
        <v>275005</v>
      </c>
      <c r="P468">
        <v>19207</v>
      </c>
      <c r="Q468">
        <v>26210</v>
      </c>
      <c r="R468">
        <v>301215</v>
      </c>
      <c r="S468">
        <v>50080</v>
      </c>
      <c r="T468">
        <v>122887</v>
      </c>
      <c r="U468">
        <v>61162</v>
      </c>
      <c r="V468">
        <v>170766</v>
      </c>
      <c r="W468">
        <v>90956</v>
      </c>
      <c r="X468">
        <v>282008</v>
      </c>
      <c r="Y468">
        <v>275005</v>
      </c>
      <c r="Z468">
        <v>19207</v>
      </c>
      <c r="AA468">
        <v>26210</v>
      </c>
      <c r="AB468">
        <v>0</v>
      </c>
      <c r="AC468">
        <v>0</v>
      </c>
      <c r="AD468">
        <v>0</v>
      </c>
      <c r="AE468">
        <v>0</v>
      </c>
      <c r="AF468">
        <v>0</v>
      </c>
      <c r="AG468">
        <v>0</v>
      </c>
      <c r="AH468">
        <v>0</v>
      </c>
      <c r="AI468">
        <v>0</v>
      </c>
      <c r="AJ468">
        <v>0</v>
      </c>
      <c r="AK468">
        <v>0</v>
      </c>
      <c r="AL468">
        <v>3886</v>
      </c>
      <c r="AM468">
        <v>-6633</v>
      </c>
      <c r="AN468">
        <v>-1826</v>
      </c>
      <c r="AO468">
        <v>7860</v>
      </c>
      <c r="AP468">
        <v>2440</v>
      </c>
      <c r="AQ468">
        <v>-2041</v>
      </c>
      <c r="AR468">
        <v>3667</v>
      </c>
      <c r="AS468">
        <v>3993</v>
      </c>
      <c r="AT468">
        <v>219</v>
      </c>
      <c r="AU468">
        <v>-107</v>
      </c>
      <c r="AV468">
        <v>100</v>
      </c>
      <c r="AW468">
        <v>16.600000000000001</v>
      </c>
      <c r="AX468">
        <v>40.799999999999997</v>
      </c>
      <c r="AY468">
        <v>20.3</v>
      </c>
      <c r="AZ468">
        <v>56.7</v>
      </c>
      <c r="BA468">
        <v>30.2</v>
      </c>
      <c r="BB468">
        <v>93.6</v>
      </c>
      <c r="BC468">
        <v>91.3</v>
      </c>
      <c r="BD468">
        <v>6.4</v>
      </c>
      <c r="BE468">
        <v>8.6999999999999993</v>
      </c>
      <c r="BF468">
        <v>100</v>
      </c>
      <c r="BG468">
        <v>16.600000000000001</v>
      </c>
      <c r="BH468">
        <v>40.799999999999997</v>
      </c>
      <c r="BI468">
        <v>20.3</v>
      </c>
      <c r="BJ468">
        <v>56.7</v>
      </c>
      <c r="BK468">
        <v>30.2</v>
      </c>
      <c r="BL468">
        <v>93.6</v>
      </c>
      <c r="BM468">
        <v>91.3</v>
      </c>
      <c r="BN468">
        <v>6.4</v>
      </c>
      <c r="BO468">
        <v>8.6999999999999993</v>
      </c>
      <c r="BP468">
        <v>0</v>
      </c>
      <c r="BQ468">
        <v>0</v>
      </c>
      <c r="BR468">
        <v>0</v>
      </c>
      <c r="BS468">
        <v>0</v>
      </c>
      <c r="BT468">
        <v>0</v>
      </c>
      <c r="BU468">
        <v>0</v>
      </c>
      <c r="BV468">
        <v>0</v>
      </c>
      <c r="BW468">
        <v>0</v>
      </c>
      <c r="BX468">
        <v>0</v>
      </c>
      <c r="BY468">
        <v>0</v>
      </c>
      <c r="BZ468">
        <v>175</v>
      </c>
      <c r="CA468">
        <v>47</v>
      </c>
      <c r="CB468">
        <v>67</v>
      </c>
      <c r="CC468">
        <v>65</v>
      </c>
      <c r="CD468">
        <v>45</v>
      </c>
      <c r="CE468">
        <v>40</v>
      </c>
      <c r="CF468">
        <v>127</v>
      </c>
      <c r="CG468">
        <v>143</v>
      </c>
      <c r="CH468">
        <v>175</v>
      </c>
      <c r="CI468">
        <v>47</v>
      </c>
      <c r="CJ468">
        <v>67</v>
      </c>
      <c r="CK468">
        <v>65</v>
      </c>
      <c r="CL468">
        <v>45</v>
      </c>
      <c r="CM468">
        <v>40</v>
      </c>
      <c r="CN468">
        <v>127</v>
      </c>
      <c r="CO468">
        <v>143</v>
      </c>
      <c r="CP468">
        <v>0</v>
      </c>
      <c r="CQ468">
        <v>0</v>
      </c>
      <c r="CR468">
        <v>0</v>
      </c>
      <c r="CS468">
        <v>0</v>
      </c>
      <c r="CT468">
        <v>0</v>
      </c>
      <c r="CU468">
        <v>0</v>
      </c>
      <c r="CV468">
        <v>0</v>
      </c>
      <c r="CW468">
        <v>0</v>
      </c>
      <c r="CX468">
        <v>31.2</v>
      </c>
      <c r="CY468">
        <v>19.7</v>
      </c>
      <c r="CZ468">
        <v>40.200000000000003</v>
      </c>
      <c r="DA468">
        <v>31.7</v>
      </c>
      <c r="DB468">
        <v>28.9</v>
      </c>
      <c r="DC468">
        <v>15.7</v>
      </c>
      <c r="DD468">
        <v>36.700000000000003</v>
      </c>
      <c r="DE468">
        <v>25.4</v>
      </c>
      <c r="DF468">
        <v>31.2</v>
      </c>
      <c r="DG468">
        <v>19.7</v>
      </c>
      <c r="DH468">
        <v>40.200000000000003</v>
      </c>
      <c r="DI468">
        <v>31.7</v>
      </c>
      <c r="DJ468">
        <v>28.9</v>
      </c>
      <c r="DK468">
        <v>15.7</v>
      </c>
      <c r="DL468">
        <v>36.700000000000003</v>
      </c>
      <c r="DM468">
        <v>25.4</v>
      </c>
      <c r="DN468">
        <v>0</v>
      </c>
      <c r="DO468">
        <v>0</v>
      </c>
      <c r="DP468">
        <v>0</v>
      </c>
      <c r="DQ468">
        <v>0</v>
      </c>
      <c r="DR468">
        <v>0</v>
      </c>
      <c r="DS468">
        <v>0</v>
      </c>
      <c r="DT468">
        <v>0</v>
      </c>
      <c r="DU468">
        <v>0</v>
      </c>
      <c r="DV468" t="s">
        <v>792</v>
      </c>
    </row>
    <row r="469" spans="1:126" x14ac:dyDescent="0.35">
      <c r="A469" t="s">
        <v>788</v>
      </c>
      <c r="B469">
        <v>230103</v>
      </c>
      <c r="C469" s="1">
        <v>44929</v>
      </c>
      <c r="D469" t="s">
        <v>789</v>
      </c>
      <c r="E469" t="s">
        <v>790</v>
      </c>
      <c r="F469" t="s">
        <v>165</v>
      </c>
      <c r="G469" t="s">
        <v>791</v>
      </c>
      <c r="H469">
        <v>297329</v>
      </c>
      <c r="I469" s="17">
        <v>56713</v>
      </c>
      <c r="J469" s="17">
        <v>124713</v>
      </c>
      <c r="K469">
        <v>53302</v>
      </c>
      <c r="L469">
        <v>168326</v>
      </c>
      <c r="M469">
        <v>92997</v>
      </c>
      <c r="N469">
        <v>278341</v>
      </c>
      <c r="O469">
        <v>271012</v>
      </c>
      <c r="P469">
        <v>18988</v>
      </c>
      <c r="Q469">
        <v>26317</v>
      </c>
      <c r="R469">
        <v>297329</v>
      </c>
      <c r="S469">
        <v>56713</v>
      </c>
      <c r="T469">
        <v>124713</v>
      </c>
      <c r="U469">
        <v>53302</v>
      </c>
      <c r="V469">
        <v>168326</v>
      </c>
      <c r="W469">
        <v>92997</v>
      </c>
      <c r="X469">
        <v>278341</v>
      </c>
      <c r="Y469">
        <v>271012</v>
      </c>
      <c r="Z469">
        <v>18988</v>
      </c>
      <c r="AA469">
        <v>26317</v>
      </c>
      <c r="AB469">
        <v>0</v>
      </c>
      <c r="AC469">
        <v>0</v>
      </c>
      <c r="AD469">
        <v>0</v>
      </c>
      <c r="AE469">
        <v>0</v>
      </c>
      <c r="AF469">
        <v>0</v>
      </c>
      <c r="AG469">
        <v>0</v>
      </c>
      <c r="AH469">
        <v>0</v>
      </c>
      <c r="AI469">
        <v>0</v>
      </c>
      <c r="AJ469">
        <v>0</v>
      </c>
      <c r="AK469">
        <v>0</v>
      </c>
      <c r="AL469">
        <v>7810</v>
      </c>
      <c r="AM469">
        <v>8108</v>
      </c>
      <c r="AN469">
        <v>7693</v>
      </c>
      <c r="AO469">
        <v>-3002</v>
      </c>
      <c r="AP469">
        <v>1771</v>
      </c>
      <c r="AQ469">
        <v>3323</v>
      </c>
      <c r="AR469">
        <v>6877</v>
      </c>
      <c r="AS469">
        <v>8014</v>
      </c>
      <c r="AT469">
        <v>933</v>
      </c>
      <c r="AU469">
        <v>-204</v>
      </c>
      <c r="AV469">
        <v>100</v>
      </c>
      <c r="AW469">
        <v>19.100000000000001</v>
      </c>
      <c r="AX469">
        <v>41.9</v>
      </c>
      <c r="AY469">
        <v>17.899999999999999</v>
      </c>
      <c r="AZ469">
        <v>56.6</v>
      </c>
      <c r="BA469">
        <v>31.3</v>
      </c>
      <c r="BB469">
        <v>93.6</v>
      </c>
      <c r="BC469">
        <v>91.1</v>
      </c>
      <c r="BD469">
        <v>6.4</v>
      </c>
      <c r="BE469">
        <v>8.9</v>
      </c>
      <c r="BF469">
        <v>100</v>
      </c>
      <c r="BG469">
        <v>19.100000000000001</v>
      </c>
      <c r="BH469">
        <v>41.9</v>
      </c>
      <c r="BI469">
        <v>17.899999999999999</v>
      </c>
      <c r="BJ469">
        <v>56.6</v>
      </c>
      <c r="BK469">
        <v>31.3</v>
      </c>
      <c r="BL469">
        <v>93.6</v>
      </c>
      <c r="BM469">
        <v>91.1</v>
      </c>
      <c r="BN469">
        <v>6.4</v>
      </c>
      <c r="BO469">
        <v>8.9</v>
      </c>
      <c r="BP469">
        <v>0</v>
      </c>
      <c r="BQ469">
        <v>0</v>
      </c>
      <c r="BR469">
        <v>0</v>
      </c>
      <c r="BS469">
        <v>0</v>
      </c>
      <c r="BT469">
        <v>0</v>
      </c>
      <c r="BU469">
        <v>0</v>
      </c>
      <c r="BV469">
        <v>0</v>
      </c>
      <c r="BW469">
        <v>0</v>
      </c>
      <c r="BX469">
        <v>0</v>
      </c>
      <c r="BY469">
        <v>0</v>
      </c>
      <c r="BZ469">
        <v>164</v>
      </c>
      <c r="CA469">
        <v>45</v>
      </c>
      <c r="CB469">
        <v>63</v>
      </c>
      <c r="CC469">
        <v>61</v>
      </c>
      <c r="CD469">
        <v>40</v>
      </c>
      <c r="CE469">
        <v>36</v>
      </c>
      <c r="CF469">
        <v>119</v>
      </c>
      <c r="CG469">
        <v>134</v>
      </c>
      <c r="CH469">
        <v>164</v>
      </c>
      <c r="CI469">
        <v>45</v>
      </c>
      <c r="CJ469">
        <v>63</v>
      </c>
      <c r="CK469">
        <v>61</v>
      </c>
      <c r="CL469">
        <v>40</v>
      </c>
      <c r="CM469">
        <v>36</v>
      </c>
      <c r="CN469">
        <v>119</v>
      </c>
      <c r="CO469">
        <v>134</v>
      </c>
      <c r="CP469">
        <v>0</v>
      </c>
      <c r="CQ469">
        <v>0</v>
      </c>
      <c r="CR469">
        <v>0</v>
      </c>
      <c r="CS469">
        <v>0</v>
      </c>
      <c r="CT469">
        <v>0</v>
      </c>
      <c r="CU469">
        <v>0</v>
      </c>
      <c r="CV469">
        <v>0</v>
      </c>
      <c r="CW469">
        <v>0</v>
      </c>
      <c r="CX469">
        <v>32.700000000000003</v>
      </c>
      <c r="CY469">
        <v>24.4</v>
      </c>
      <c r="CZ469">
        <v>43.4</v>
      </c>
      <c r="DA469">
        <v>39.6</v>
      </c>
      <c r="DB469">
        <v>28.9</v>
      </c>
      <c r="DC469">
        <v>19.399999999999999</v>
      </c>
      <c r="DD469">
        <v>36.4</v>
      </c>
      <c r="DE469">
        <v>28.2</v>
      </c>
      <c r="DF469">
        <v>32.700000000000003</v>
      </c>
      <c r="DG469">
        <v>24.4</v>
      </c>
      <c r="DH469">
        <v>43.4</v>
      </c>
      <c r="DI469">
        <v>39.6</v>
      </c>
      <c r="DJ469">
        <v>28.9</v>
      </c>
      <c r="DK469">
        <v>19.399999999999999</v>
      </c>
      <c r="DL469">
        <v>36.4</v>
      </c>
      <c r="DM469">
        <v>28.2</v>
      </c>
      <c r="DN469">
        <v>0</v>
      </c>
      <c r="DO469">
        <v>0</v>
      </c>
      <c r="DP469">
        <v>0</v>
      </c>
      <c r="DQ469">
        <v>0</v>
      </c>
      <c r="DR469">
        <v>0</v>
      </c>
      <c r="DS469">
        <v>0</v>
      </c>
      <c r="DT469">
        <v>0</v>
      </c>
      <c r="DU469">
        <v>0</v>
      </c>
      <c r="DV469" t="s">
        <v>792</v>
      </c>
    </row>
    <row r="470" spans="1:126" x14ac:dyDescent="0.35">
      <c r="A470" t="s">
        <v>793</v>
      </c>
      <c r="B470">
        <v>230110</v>
      </c>
      <c r="C470" s="1">
        <v>44936</v>
      </c>
      <c r="D470" t="s">
        <v>794</v>
      </c>
      <c r="E470" t="s">
        <v>402</v>
      </c>
      <c r="F470" t="s">
        <v>165</v>
      </c>
      <c r="G470" t="s">
        <v>795</v>
      </c>
      <c r="H470">
        <v>10751</v>
      </c>
      <c r="I470" s="17">
        <v>7467</v>
      </c>
      <c r="J470" s="17">
        <v>5276</v>
      </c>
      <c r="K470">
        <v>0</v>
      </c>
      <c r="L470">
        <v>1698</v>
      </c>
      <c r="M470">
        <v>4292</v>
      </c>
      <c r="N470">
        <v>9165</v>
      </c>
      <c r="O470">
        <v>9568</v>
      </c>
      <c r="P470">
        <v>1586</v>
      </c>
      <c r="Q470">
        <v>1183</v>
      </c>
      <c r="R470">
        <v>10751</v>
      </c>
      <c r="S470">
        <v>7467</v>
      </c>
      <c r="T470">
        <v>5276</v>
      </c>
      <c r="U470">
        <v>0</v>
      </c>
      <c r="V470">
        <v>1698</v>
      </c>
      <c r="W470">
        <v>4292</v>
      </c>
      <c r="X470">
        <v>9165</v>
      </c>
      <c r="Y470">
        <v>9568</v>
      </c>
      <c r="Z470">
        <v>1586</v>
      </c>
      <c r="AA470">
        <v>1183</v>
      </c>
      <c r="AB470">
        <v>0</v>
      </c>
      <c r="AC470">
        <v>0</v>
      </c>
      <c r="AD470">
        <v>0</v>
      </c>
      <c r="AE470">
        <v>0</v>
      </c>
      <c r="AF470">
        <v>0</v>
      </c>
      <c r="AG470">
        <v>0</v>
      </c>
      <c r="AH470">
        <v>0</v>
      </c>
      <c r="AI470">
        <v>0</v>
      </c>
      <c r="AJ470">
        <v>0</v>
      </c>
      <c r="AK470">
        <v>0</v>
      </c>
      <c r="AL470">
        <v>2802</v>
      </c>
      <c r="AM470">
        <v>4061</v>
      </c>
      <c r="AN470">
        <v>2632</v>
      </c>
      <c r="AO470">
        <v>0</v>
      </c>
      <c r="AP470">
        <v>-1278</v>
      </c>
      <c r="AQ470">
        <v>210</v>
      </c>
      <c r="AR470">
        <v>2783</v>
      </c>
      <c r="AS470">
        <v>2842</v>
      </c>
      <c r="AT470">
        <v>19</v>
      </c>
      <c r="AU470">
        <v>-40</v>
      </c>
      <c r="AV470">
        <v>100</v>
      </c>
      <c r="AW470">
        <v>69.5</v>
      </c>
      <c r="AX470">
        <v>49.1</v>
      </c>
      <c r="AY470">
        <v>0</v>
      </c>
      <c r="AZ470">
        <v>15.8</v>
      </c>
      <c r="BA470">
        <v>39.9</v>
      </c>
      <c r="BB470">
        <v>85.2</v>
      </c>
      <c r="BC470">
        <v>89</v>
      </c>
      <c r="BD470">
        <v>14.8</v>
      </c>
      <c r="BE470">
        <v>11</v>
      </c>
      <c r="BF470">
        <v>100</v>
      </c>
      <c r="BG470">
        <v>69.5</v>
      </c>
      <c r="BH470">
        <v>49.1</v>
      </c>
      <c r="BI470">
        <v>0</v>
      </c>
      <c r="BJ470">
        <v>15.8</v>
      </c>
      <c r="BK470">
        <v>39.9</v>
      </c>
      <c r="BL470">
        <v>85.2</v>
      </c>
      <c r="BM470">
        <v>89</v>
      </c>
      <c r="BN470">
        <v>14.8</v>
      </c>
      <c r="BO470">
        <v>11</v>
      </c>
      <c r="BP470">
        <v>0</v>
      </c>
      <c r="BQ470">
        <v>0</v>
      </c>
      <c r="BR470">
        <v>0</v>
      </c>
      <c r="BS470">
        <v>0</v>
      </c>
      <c r="BT470">
        <v>0</v>
      </c>
      <c r="BU470">
        <v>0</v>
      </c>
      <c r="BV470">
        <v>0</v>
      </c>
      <c r="BW470">
        <v>0</v>
      </c>
      <c r="BX470">
        <v>0</v>
      </c>
      <c r="BY470">
        <v>0</v>
      </c>
      <c r="BZ470">
        <v>26</v>
      </c>
      <c r="CA470">
        <v>9</v>
      </c>
      <c r="CB470">
        <v>5</v>
      </c>
      <c r="CC470">
        <v>0</v>
      </c>
      <c r="CD470">
        <v>5</v>
      </c>
      <c r="CE470">
        <v>8</v>
      </c>
      <c r="CF470">
        <v>14</v>
      </c>
      <c r="CG470">
        <v>13</v>
      </c>
      <c r="CH470">
        <v>26</v>
      </c>
      <c r="CI470">
        <v>9</v>
      </c>
      <c r="CJ470">
        <v>5</v>
      </c>
      <c r="CK470">
        <v>0</v>
      </c>
      <c r="CL470">
        <v>5</v>
      </c>
      <c r="CM470">
        <v>8</v>
      </c>
      <c r="CN470">
        <v>14</v>
      </c>
      <c r="CO470">
        <v>13</v>
      </c>
      <c r="CP470">
        <v>0</v>
      </c>
      <c r="CQ470">
        <v>0</v>
      </c>
      <c r="CR470">
        <v>0</v>
      </c>
      <c r="CS470">
        <v>0</v>
      </c>
      <c r="CT470">
        <v>0</v>
      </c>
      <c r="CU470">
        <v>0</v>
      </c>
      <c r="CV470">
        <v>0</v>
      </c>
      <c r="CW470">
        <v>0</v>
      </c>
      <c r="CX470">
        <v>67.7</v>
      </c>
      <c r="CY470">
        <v>73.2</v>
      </c>
      <c r="CZ470">
        <v>77.8</v>
      </c>
      <c r="DA470">
        <v>84.4</v>
      </c>
      <c r="DB470">
        <v>67.599999999999994</v>
      </c>
      <c r="DC470">
        <v>73.2</v>
      </c>
      <c r="DD470">
        <v>77.7</v>
      </c>
      <c r="DE470">
        <v>84.4</v>
      </c>
      <c r="DF470">
        <v>67.7</v>
      </c>
      <c r="DG470">
        <v>73.2</v>
      </c>
      <c r="DH470">
        <v>77.8</v>
      </c>
      <c r="DI470">
        <v>84.4</v>
      </c>
      <c r="DJ470">
        <v>67.599999999999994</v>
      </c>
      <c r="DK470">
        <v>73.2</v>
      </c>
      <c r="DL470">
        <v>77.7</v>
      </c>
      <c r="DM470">
        <v>84.4</v>
      </c>
      <c r="DN470">
        <v>0</v>
      </c>
      <c r="DO470">
        <v>0</v>
      </c>
      <c r="DP470">
        <v>0</v>
      </c>
      <c r="DQ470">
        <v>0</v>
      </c>
      <c r="DR470">
        <v>0</v>
      </c>
      <c r="DS470">
        <v>0</v>
      </c>
      <c r="DT470">
        <v>0</v>
      </c>
      <c r="DU470">
        <v>0</v>
      </c>
      <c r="DV470" t="s">
        <v>796</v>
      </c>
    </row>
    <row r="471" spans="1:126" x14ac:dyDescent="0.35">
      <c r="A471" t="s">
        <v>793</v>
      </c>
      <c r="B471">
        <v>230103</v>
      </c>
      <c r="C471" s="1">
        <v>44929</v>
      </c>
      <c r="D471" t="s">
        <v>794</v>
      </c>
      <c r="E471" t="s">
        <v>402</v>
      </c>
      <c r="F471" t="s">
        <v>165</v>
      </c>
      <c r="G471" t="s">
        <v>795</v>
      </c>
      <c r="H471">
        <v>7949</v>
      </c>
      <c r="I471" s="17">
        <v>3406</v>
      </c>
      <c r="J471" s="17">
        <v>2644</v>
      </c>
      <c r="K471">
        <v>0</v>
      </c>
      <c r="L471">
        <v>2976</v>
      </c>
      <c r="M471">
        <v>4082</v>
      </c>
      <c r="N471">
        <v>6382</v>
      </c>
      <c r="O471">
        <v>6726</v>
      </c>
      <c r="P471">
        <v>1567</v>
      </c>
      <c r="Q471">
        <v>1223</v>
      </c>
      <c r="R471">
        <v>7949</v>
      </c>
      <c r="S471">
        <v>3406</v>
      </c>
      <c r="T471">
        <v>2644</v>
      </c>
      <c r="U471">
        <v>0</v>
      </c>
      <c r="V471">
        <v>2976</v>
      </c>
      <c r="W471">
        <v>4082</v>
      </c>
      <c r="X471">
        <v>6382</v>
      </c>
      <c r="Y471">
        <v>6726</v>
      </c>
      <c r="Z471">
        <v>1567</v>
      </c>
      <c r="AA471">
        <v>1223</v>
      </c>
      <c r="AB471">
        <v>0</v>
      </c>
      <c r="AC471">
        <v>0</v>
      </c>
      <c r="AD471">
        <v>0</v>
      </c>
      <c r="AE471">
        <v>0</v>
      </c>
      <c r="AF471">
        <v>0</v>
      </c>
      <c r="AG471">
        <v>0</v>
      </c>
      <c r="AH471">
        <v>0</v>
      </c>
      <c r="AI471">
        <v>0</v>
      </c>
      <c r="AJ471">
        <v>0</v>
      </c>
      <c r="AK471">
        <v>0</v>
      </c>
      <c r="AL471">
        <v>-247</v>
      </c>
      <c r="AM471">
        <v>54</v>
      </c>
      <c r="AN471">
        <v>353</v>
      </c>
      <c r="AO471">
        <v>0</v>
      </c>
      <c r="AP471">
        <v>-338</v>
      </c>
      <c r="AQ471">
        <v>-471</v>
      </c>
      <c r="AR471">
        <v>-284</v>
      </c>
      <c r="AS471">
        <v>-118</v>
      </c>
      <c r="AT471">
        <v>37</v>
      </c>
      <c r="AU471">
        <v>-129</v>
      </c>
      <c r="AV471">
        <v>100</v>
      </c>
      <c r="AW471">
        <v>42.8</v>
      </c>
      <c r="AX471">
        <v>33.299999999999997</v>
      </c>
      <c r="AY471">
        <v>0</v>
      </c>
      <c r="AZ471">
        <v>37.4</v>
      </c>
      <c r="BA471">
        <v>51.4</v>
      </c>
      <c r="BB471">
        <v>80.3</v>
      </c>
      <c r="BC471">
        <v>84.6</v>
      </c>
      <c r="BD471">
        <v>19.7</v>
      </c>
      <c r="BE471">
        <v>15.4</v>
      </c>
      <c r="BF471">
        <v>100</v>
      </c>
      <c r="BG471">
        <v>42.8</v>
      </c>
      <c r="BH471">
        <v>33.299999999999997</v>
      </c>
      <c r="BI471">
        <v>0</v>
      </c>
      <c r="BJ471">
        <v>37.4</v>
      </c>
      <c r="BK471">
        <v>51.4</v>
      </c>
      <c r="BL471">
        <v>80.3</v>
      </c>
      <c r="BM471">
        <v>84.6</v>
      </c>
      <c r="BN471">
        <v>19.7</v>
      </c>
      <c r="BO471">
        <v>15.4</v>
      </c>
      <c r="BP471">
        <v>0</v>
      </c>
      <c r="BQ471">
        <v>0</v>
      </c>
      <c r="BR471">
        <v>0</v>
      </c>
      <c r="BS471">
        <v>0</v>
      </c>
      <c r="BT471">
        <v>0</v>
      </c>
      <c r="BU471">
        <v>0</v>
      </c>
      <c r="BV471">
        <v>0</v>
      </c>
      <c r="BW471">
        <v>0</v>
      </c>
      <c r="BX471">
        <v>0</v>
      </c>
      <c r="BY471">
        <v>0</v>
      </c>
      <c r="BZ471">
        <v>26</v>
      </c>
      <c r="CA471">
        <v>5</v>
      </c>
      <c r="CB471">
        <v>6</v>
      </c>
      <c r="CC471">
        <v>0</v>
      </c>
      <c r="CD471">
        <v>9</v>
      </c>
      <c r="CE471">
        <v>7</v>
      </c>
      <c r="CF471">
        <v>14</v>
      </c>
      <c r="CG471">
        <v>13</v>
      </c>
      <c r="CH471">
        <v>26</v>
      </c>
      <c r="CI471">
        <v>5</v>
      </c>
      <c r="CJ471">
        <v>6</v>
      </c>
      <c r="CK471">
        <v>0</v>
      </c>
      <c r="CL471">
        <v>9</v>
      </c>
      <c r="CM471">
        <v>7</v>
      </c>
      <c r="CN471">
        <v>14</v>
      </c>
      <c r="CO471">
        <v>13</v>
      </c>
      <c r="CP471">
        <v>0</v>
      </c>
      <c r="CQ471">
        <v>0</v>
      </c>
      <c r="CR471">
        <v>0</v>
      </c>
      <c r="CS471">
        <v>0</v>
      </c>
      <c r="CT471">
        <v>0</v>
      </c>
      <c r="CU471">
        <v>0</v>
      </c>
      <c r="CV471">
        <v>0</v>
      </c>
      <c r="CW471">
        <v>0</v>
      </c>
      <c r="CX471">
        <v>53.2</v>
      </c>
      <c r="CY471">
        <v>63.3</v>
      </c>
      <c r="CZ471">
        <v>68.3</v>
      </c>
      <c r="DA471">
        <v>78</v>
      </c>
      <c r="DB471">
        <v>52.9</v>
      </c>
      <c r="DC471">
        <v>63.3</v>
      </c>
      <c r="DD471">
        <v>68.099999999999994</v>
      </c>
      <c r="DE471">
        <v>78</v>
      </c>
      <c r="DF471">
        <v>53.2</v>
      </c>
      <c r="DG471">
        <v>63.3</v>
      </c>
      <c r="DH471">
        <v>68.3</v>
      </c>
      <c r="DI471">
        <v>78</v>
      </c>
      <c r="DJ471">
        <v>52.9</v>
      </c>
      <c r="DK471">
        <v>63.3</v>
      </c>
      <c r="DL471">
        <v>68.099999999999994</v>
      </c>
      <c r="DM471">
        <v>78</v>
      </c>
      <c r="DN471">
        <v>0</v>
      </c>
      <c r="DO471">
        <v>0</v>
      </c>
      <c r="DP471">
        <v>0</v>
      </c>
      <c r="DQ471">
        <v>0</v>
      </c>
      <c r="DR471">
        <v>0</v>
      </c>
      <c r="DS471">
        <v>0</v>
      </c>
      <c r="DT471">
        <v>0</v>
      </c>
      <c r="DU471">
        <v>0</v>
      </c>
      <c r="DV471" t="s">
        <v>796</v>
      </c>
    </row>
    <row r="472" spans="1:126" x14ac:dyDescent="0.35">
      <c r="A472" t="s">
        <v>797</v>
      </c>
      <c r="B472">
        <v>230110</v>
      </c>
      <c r="C472" s="1">
        <v>44936</v>
      </c>
      <c r="D472" t="s">
        <v>798</v>
      </c>
      <c r="E472" t="s">
        <v>164</v>
      </c>
      <c r="F472" t="s">
        <v>165</v>
      </c>
      <c r="G472" t="s">
        <v>799</v>
      </c>
      <c r="H472">
        <v>38814</v>
      </c>
      <c r="I472" s="17">
        <v>12972</v>
      </c>
      <c r="J472" s="17">
        <v>17543</v>
      </c>
      <c r="K472">
        <v>1135</v>
      </c>
      <c r="L472">
        <v>18560</v>
      </c>
      <c r="M472">
        <v>12237</v>
      </c>
      <c r="N472">
        <v>32666</v>
      </c>
      <c r="O472">
        <v>30914</v>
      </c>
      <c r="P472">
        <v>6148</v>
      </c>
      <c r="Q472">
        <v>7901</v>
      </c>
      <c r="R472">
        <v>38814</v>
      </c>
      <c r="S472">
        <v>12972</v>
      </c>
      <c r="T472">
        <v>17543</v>
      </c>
      <c r="U472">
        <v>1135</v>
      </c>
      <c r="V472">
        <v>18560</v>
      </c>
      <c r="W472">
        <v>12237</v>
      </c>
      <c r="X472">
        <v>32666</v>
      </c>
      <c r="Y472">
        <v>30914</v>
      </c>
      <c r="Z472">
        <v>6148</v>
      </c>
      <c r="AA472">
        <v>7901</v>
      </c>
      <c r="AB472">
        <v>0</v>
      </c>
      <c r="AC472">
        <v>0</v>
      </c>
      <c r="AD472">
        <v>0</v>
      </c>
      <c r="AE472">
        <v>0</v>
      </c>
      <c r="AF472">
        <v>0</v>
      </c>
      <c r="AG472">
        <v>0</v>
      </c>
      <c r="AH472">
        <v>0</v>
      </c>
      <c r="AI472">
        <v>0</v>
      </c>
      <c r="AJ472">
        <v>0</v>
      </c>
      <c r="AK472">
        <v>0</v>
      </c>
      <c r="AL472">
        <v>-1052</v>
      </c>
      <c r="AM472">
        <v>348</v>
      </c>
      <c r="AN472">
        <v>-1027</v>
      </c>
      <c r="AO472">
        <v>114</v>
      </c>
      <c r="AP472">
        <v>-1890</v>
      </c>
      <c r="AQ472">
        <v>-194</v>
      </c>
      <c r="AR472">
        <v>-1429</v>
      </c>
      <c r="AS472">
        <v>-1108</v>
      </c>
      <c r="AT472">
        <v>378</v>
      </c>
      <c r="AU472">
        <v>56</v>
      </c>
      <c r="AV472">
        <v>100</v>
      </c>
      <c r="AW472">
        <v>33.4</v>
      </c>
      <c r="AX472">
        <v>45.2</v>
      </c>
      <c r="AY472">
        <v>2.9</v>
      </c>
      <c r="AZ472">
        <v>47.8</v>
      </c>
      <c r="BA472">
        <v>31.5</v>
      </c>
      <c r="BB472">
        <v>84.2</v>
      </c>
      <c r="BC472">
        <v>79.599999999999994</v>
      </c>
      <c r="BD472">
        <v>15.8</v>
      </c>
      <c r="BE472">
        <v>20.399999999999999</v>
      </c>
      <c r="BF472">
        <v>100</v>
      </c>
      <c r="BG472">
        <v>33.4</v>
      </c>
      <c r="BH472">
        <v>45.2</v>
      </c>
      <c r="BI472">
        <v>2.9</v>
      </c>
      <c r="BJ472">
        <v>47.8</v>
      </c>
      <c r="BK472">
        <v>31.5</v>
      </c>
      <c r="BL472">
        <v>84.2</v>
      </c>
      <c r="BM472">
        <v>79.599999999999994</v>
      </c>
      <c r="BN472">
        <v>15.8</v>
      </c>
      <c r="BO472">
        <v>20.399999999999999</v>
      </c>
      <c r="BP472">
        <v>0</v>
      </c>
      <c r="BQ472">
        <v>0</v>
      </c>
      <c r="BR472">
        <v>0</v>
      </c>
      <c r="BS472">
        <v>0</v>
      </c>
      <c r="BT472">
        <v>0</v>
      </c>
      <c r="BU472">
        <v>0</v>
      </c>
      <c r="BV472">
        <v>0</v>
      </c>
      <c r="BW472">
        <v>0</v>
      </c>
      <c r="BX472">
        <v>0</v>
      </c>
      <c r="BY472">
        <v>0</v>
      </c>
      <c r="BZ472">
        <v>87</v>
      </c>
      <c r="CA472">
        <v>22</v>
      </c>
      <c r="CB472">
        <v>23</v>
      </c>
      <c r="CC472">
        <v>11</v>
      </c>
      <c r="CD472">
        <v>27</v>
      </c>
      <c r="CE472">
        <v>20</v>
      </c>
      <c r="CF472">
        <v>55</v>
      </c>
      <c r="CG472">
        <v>48</v>
      </c>
      <c r="CH472">
        <v>87</v>
      </c>
      <c r="CI472">
        <v>22</v>
      </c>
      <c r="CJ472">
        <v>23</v>
      </c>
      <c r="CK472">
        <v>11</v>
      </c>
      <c r="CL472">
        <v>27</v>
      </c>
      <c r="CM472">
        <v>20</v>
      </c>
      <c r="CN472">
        <v>55</v>
      </c>
      <c r="CO472">
        <v>48</v>
      </c>
      <c r="CP472">
        <v>0</v>
      </c>
      <c r="CQ472">
        <v>0</v>
      </c>
      <c r="CR472">
        <v>0</v>
      </c>
      <c r="CS472">
        <v>0</v>
      </c>
      <c r="CT472">
        <v>0</v>
      </c>
      <c r="CU472">
        <v>0</v>
      </c>
      <c r="CV472">
        <v>0</v>
      </c>
      <c r="CW472">
        <v>0</v>
      </c>
      <c r="CX472">
        <v>35.799999999999997</v>
      </c>
      <c r="CY472">
        <v>42.1</v>
      </c>
      <c r="CZ472">
        <v>50.4</v>
      </c>
      <c r="DA472">
        <v>53.7</v>
      </c>
      <c r="DB472">
        <v>35.4</v>
      </c>
      <c r="DC472">
        <v>42.1</v>
      </c>
      <c r="DD472">
        <v>48.4</v>
      </c>
      <c r="DE472">
        <v>53.2</v>
      </c>
      <c r="DF472">
        <v>35.799999999999997</v>
      </c>
      <c r="DG472">
        <v>42.1</v>
      </c>
      <c r="DH472">
        <v>50.4</v>
      </c>
      <c r="DI472">
        <v>53.7</v>
      </c>
      <c r="DJ472">
        <v>35.4</v>
      </c>
      <c r="DK472">
        <v>42.1</v>
      </c>
      <c r="DL472">
        <v>48.4</v>
      </c>
      <c r="DM472">
        <v>53.2</v>
      </c>
      <c r="DN472">
        <v>0</v>
      </c>
      <c r="DO472">
        <v>0</v>
      </c>
      <c r="DP472">
        <v>0</v>
      </c>
      <c r="DQ472">
        <v>0</v>
      </c>
      <c r="DR472">
        <v>0</v>
      </c>
      <c r="DS472">
        <v>0</v>
      </c>
      <c r="DT472">
        <v>0</v>
      </c>
      <c r="DU472">
        <v>0</v>
      </c>
      <c r="DV472" t="s">
        <v>800</v>
      </c>
    </row>
    <row r="473" spans="1:126" x14ac:dyDescent="0.35">
      <c r="A473" t="s">
        <v>797</v>
      </c>
      <c r="B473">
        <v>230103</v>
      </c>
      <c r="C473" s="1">
        <v>44929</v>
      </c>
      <c r="D473" t="s">
        <v>798</v>
      </c>
      <c r="E473" t="s">
        <v>164</v>
      </c>
      <c r="F473" t="s">
        <v>165</v>
      </c>
      <c r="G473" t="s">
        <v>799</v>
      </c>
      <c r="H473">
        <v>39866</v>
      </c>
      <c r="I473" s="17">
        <v>12624</v>
      </c>
      <c r="J473" s="17">
        <v>18570</v>
      </c>
      <c r="K473">
        <v>1021</v>
      </c>
      <c r="L473">
        <v>20450</v>
      </c>
      <c r="M473">
        <v>12431</v>
      </c>
      <c r="N473">
        <v>34095</v>
      </c>
      <c r="O473">
        <v>32021</v>
      </c>
      <c r="P473">
        <v>5771</v>
      </c>
      <c r="Q473">
        <v>7845</v>
      </c>
      <c r="R473">
        <v>39866</v>
      </c>
      <c r="S473">
        <v>12624</v>
      </c>
      <c r="T473">
        <v>18570</v>
      </c>
      <c r="U473">
        <v>1021</v>
      </c>
      <c r="V473">
        <v>20450</v>
      </c>
      <c r="W473">
        <v>12431</v>
      </c>
      <c r="X473">
        <v>34095</v>
      </c>
      <c r="Y473">
        <v>32021</v>
      </c>
      <c r="Z473">
        <v>5771</v>
      </c>
      <c r="AA473">
        <v>7845</v>
      </c>
      <c r="AB473">
        <v>0</v>
      </c>
      <c r="AC473">
        <v>0</v>
      </c>
      <c r="AD473">
        <v>0</v>
      </c>
      <c r="AE473">
        <v>0</v>
      </c>
      <c r="AF473">
        <v>0</v>
      </c>
      <c r="AG473">
        <v>0</v>
      </c>
      <c r="AH473">
        <v>0</v>
      </c>
      <c r="AI473">
        <v>0</v>
      </c>
      <c r="AJ473">
        <v>0</v>
      </c>
      <c r="AK473">
        <v>0</v>
      </c>
      <c r="AL473">
        <v>2391</v>
      </c>
      <c r="AM473">
        <v>888</v>
      </c>
      <c r="AN473">
        <v>811</v>
      </c>
      <c r="AO473">
        <v>459</v>
      </c>
      <c r="AP473">
        <v>1629</v>
      </c>
      <c r="AQ473">
        <v>1088</v>
      </c>
      <c r="AR473">
        <v>2975</v>
      </c>
      <c r="AS473">
        <v>2357</v>
      </c>
      <c r="AT473">
        <v>-584</v>
      </c>
      <c r="AU473">
        <v>34</v>
      </c>
      <c r="AV473">
        <v>100</v>
      </c>
      <c r="AW473">
        <v>31.7</v>
      </c>
      <c r="AX473">
        <v>46.6</v>
      </c>
      <c r="AY473">
        <v>2.6</v>
      </c>
      <c r="AZ473">
        <v>51.3</v>
      </c>
      <c r="BA473">
        <v>31.2</v>
      </c>
      <c r="BB473">
        <v>85.5</v>
      </c>
      <c r="BC473">
        <v>80.3</v>
      </c>
      <c r="BD473">
        <v>14.5</v>
      </c>
      <c r="BE473">
        <v>19.7</v>
      </c>
      <c r="BF473">
        <v>100</v>
      </c>
      <c r="BG473">
        <v>31.7</v>
      </c>
      <c r="BH473">
        <v>46.6</v>
      </c>
      <c r="BI473">
        <v>2.6</v>
      </c>
      <c r="BJ473">
        <v>51.3</v>
      </c>
      <c r="BK473">
        <v>31.2</v>
      </c>
      <c r="BL473">
        <v>85.5</v>
      </c>
      <c r="BM473">
        <v>80.3</v>
      </c>
      <c r="BN473">
        <v>14.5</v>
      </c>
      <c r="BO473">
        <v>19.7</v>
      </c>
      <c r="BP473">
        <v>0</v>
      </c>
      <c r="BQ473">
        <v>0</v>
      </c>
      <c r="BR473">
        <v>0</v>
      </c>
      <c r="BS473">
        <v>0</v>
      </c>
      <c r="BT473">
        <v>0</v>
      </c>
      <c r="BU473">
        <v>0</v>
      </c>
      <c r="BV473">
        <v>0</v>
      </c>
      <c r="BW473">
        <v>0</v>
      </c>
      <c r="BX473">
        <v>0</v>
      </c>
      <c r="BY473">
        <v>0</v>
      </c>
      <c r="BZ473">
        <v>87</v>
      </c>
      <c r="CA473">
        <v>22</v>
      </c>
      <c r="CB473">
        <v>24</v>
      </c>
      <c r="CC473">
        <v>10</v>
      </c>
      <c r="CD473">
        <v>28</v>
      </c>
      <c r="CE473">
        <v>19</v>
      </c>
      <c r="CF473">
        <v>57</v>
      </c>
      <c r="CG473">
        <v>46</v>
      </c>
      <c r="CH473">
        <v>87</v>
      </c>
      <c r="CI473">
        <v>22</v>
      </c>
      <c r="CJ473">
        <v>24</v>
      </c>
      <c r="CK473">
        <v>10</v>
      </c>
      <c r="CL473">
        <v>28</v>
      </c>
      <c r="CM473">
        <v>19</v>
      </c>
      <c r="CN473">
        <v>57</v>
      </c>
      <c r="CO473">
        <v>46</v>
      </c>
      <c r="CP473">
        <v>0</v>
      </c>
      <c r="CQ473">
        <v>0</v>
      </c>
      <c r="CR473">
        <v>0</v>
      </c>
      <c r="CS473">
        <v>0</v>
      </c>
      <c r="CT473">
        <v>0</v>
      </c>
      <c r="CU473">
        <v>0</v>
      </c>
      <c r="CV473">
        <v>0</v>
      </c>
      <c r="CW473">
        <v>0</v>
      </c>
      <c r="CX473">
        <v>35.1</v>
      </c>
      <c r="CY473">
        <v>40.799999999999997</v>
      </c>
      <c r="CZ473">
        <v>48.7</v>
      </c>
      <c r="DA473">
        <v>55.7</v>
      </c>
      <c r="DB473">
        <v>34</v>
      </c>
      <c r="DC473">
        <v>40.799999999999997</v>
      </c>
      <c r="DD473">
        <v>46.7</v>
      </c>
      <c r="DE473">
        <v>53.9</v>
      </c>
      <c r="DF473">
        <v>35.1</v>
      </c>
      <c r="DG473">
        <v>40.799999999999997</v>
      </c>
      <c r="DH473">
        <v>48.7</v>
      </c>
      <c r="DI473">
        <v>55.7</v>
      </c>
      <c r="DJ473">
        <v>34</v>
      </c>
      <c r="DK473">
        <v>40.799999999999997</v>
      </c>
      <c r="DL473">
        <v>46.7</v>
      </c>
      <c r="DM473">
        <v>53.9</v>
      </c>
      <c r="DN473">
        <v>0</v>
      </c>
      <c r="DO473">
        <v>0</v>
      </c>
      <c r="DP473">
        <v>0</v>
      </c>
      <c r="DQ473">
        <v>0</v>
      </c>
      <c r="DR473">
        <v>0</v>
      </c>
      <c r="DS473">
        <v>0</v>
      </c>
      <c r="DT473">
        <v>0</v>
      </c>
      <c r="DU473">
        <v>0</v>
      </c>
      <c r="DV473" t="s">
        <v>800</v>
      </c>
    </row>
    <row r="474" spans="1:126" x14ac:dyDescent="0.35">
      <c r="A474" t="s">
        <v>801</v>
      </c>
      <c r="B474">
        <v>230110</v>
      </c>
      <c r="C474" s="1">
        <v>44936</v>
      </c>
      <c r="D474" t="s">
        <v>802</v>
      </c>
      <c r="E474" t="s">
        <v>164</v>
      </c>
      <c r="F474" t="s">
        <v>165</v>
      </c>
      <c r="G474" t="s">
        <v>799</v>
      </c>
      <c r="H474">
        <v>77628</v>
      </c>
      <c r="I474" s="17">
        <v>25943</v>
      </c>
      <c r="J474" s="17">
        <v>35085</v>
      </c>
      <c r="K474">
        <v>2269</v>
      </c>
      <c r="L474">
        <v>37120</v>
      </c>
      <c r="M474">
        <v>24473</v>
      </c>
      <c r="N474">
        <v>65332</v>
      </c>
      <c r="O474">
        <v>61827</v>
      </c>
      <c r="P474">
        <v>12296</v>
      </c>
      <c r="Q474">
        <v>15801</v>
      </c>
      <c r="R474">
        <v>77628</v>
      </c>
      <c r="S474">
        <v>25943</v>
      </c>
      <c r="T474">
        <v>35085</v>
      </c>
      <c r="U474">
        <v>2269</v>
      </c>
      <c r="V474">
        <v>37120</v>
      </c>
      <c r="W474">
        <v>24473</v>
      </c>
      <c r="X474">
        <v>65332</v>
      </c>
      <c r="Y474">
        <v>61827</v>
      </c>
      <c r="Z474">
        <v>12296</v>
      </c>
      <c r="AA474">
        <v>15801</v>
      </c>
      <c r="AB474">
        <v>0</v>
      </c>
      <c r="AC474">
        <v>0</v>
      </c>
      <c r="AD474">
        <v>0</v>
      </c>
      <c r="AE474">
        <v>0</v>
      </c>
      <c r="AF474">
        <v>0</v>
      </c>
      <c r="AG474">
        <v>0</v>
      </c>
      <c r="AH474">
        <v>0</v>
      </c>
      <c r="AI474">
        <v>0</v>
      </c>
      <c r="AJ474">
        <v>0</v>
      </c>
      <c r="AK474">
        <v>0</v>
      </c>
      <c r="AL474">
        <v>-2103</v>
      </c>
      <c r="AM474">
        <v>695</v>
      </c>
      <c r="AN474">
        <v>-2054</v>
      </c>
      <c r="AO474">
        <v>227</v>
      </c>
      <c r="AP474">
        <v>-3780</v>
      </c>
      <c r="AQ474">
        <v>-388</v>
      </c>
      <c r="AR474">
        <v>-2858</v>
      </c>
      <c r="AS474">
        <v>-2215</v>
      </c>
      <c r="AT474">
        <v>755</v>
      </c>
      <c r="AU474">
        <v>112</v>
      </c>
      <c r="AV474">
        <v>100</v>
      </c>
      <c r="AW474">
        <v>33.4</v>
      </c>
      <c r="AX474">
        <v>45.2</v>
      </c>
      <c r="AY474">
        <v>2.9</v>
      </c>
      <c r="AZ474">
        <v>47.8</v>
      </c>
      <c r="BA474">
        <v>31.5</v>
      </c>
      <c r="BB474">
        <v>84.2</v>
      </c>
      <c r="BC474">
        <v>79.599999999999994</v>
      </c>
      <c r="BD474">
        <v>15.8</v>
      </c>
      <c r="BE474">
        <v>20.399999999999999</v>
      </c>
      <c r="BF474">
        <v>100</v>
      </c>
      <c r="BG474">
        <v>33.4</v>
      </c>
      <c r="BH474">
        <v>45.2</v>
      </c>
      <c r="BI474">
        <v>2.9</v>
      </c>
      <c r="BJ474">
        <v>47.8</v>
      </c>
      <c r="BK474">
        <v>31.5</v>
      </c>
      <c r="BL474">
        <v>84.2</v>
      </c>
      <c r="BM474">
        <v>79.599999999999994</v>
      </c>
      <c r="BN474">
        <v>15.8</v>
      </c>
      <c r="BO474">
        <v>20.399999999999999</v>
      </c>
      <c r="BP474">
        <v>0</v>
      </c>
      <c r="BQ474">
        <v>0</v>
      </c>
      <c r="BR474">
        <v>0</v>
      </c>
      <c r="BS474">
        <v>0</v>
      </c>
      <c r="BT474">
        <v>0</v>
      </c>
      <c r="BU474">
        <v>0</v>
      </c>
      <c r="BV474">
        <v>0</v>
      </c>
      <c r="BW474">
        <v>0</v>
      </c>
      <c r="BX474">
        <v>0</v>
      </c>
      <c r="BY474">
        <v>0</v>
      </c>
      <c r="BZ474">
        <v>87</v>
      </c>
      <c r="CA474">
        <v>22</v>
      </c>
      <c r="CB474">
        <v>23</v>
      </c>
      <c r="CC474">
        <v>11</v>
      </c>
      <c r="CD474">
        <v>27</v>
      </c>
      <c r="CE474">
        <v>20</v>
      </c>
      <c r="CF474">
        <v>55</v>
      </c>
      <c r="CG474">
        <v>48</v>
      </c>
      <c r="CH474">
        <v>87</v>
      </c>
      <c r="CI474">
        <v>22</v>
      </c>
      <c r="CJ474">
        <v>23</v>
      </c>
      <c r="CK474">
        <v>11</v>
      </c>
      <c r="CL474">
        <v>27</v>
      </c>
      <c r="CM474">
        <v>20</v>
      </c>
      <c r="CN474">
        <v>55</v>
      </c>
      <c r="CO474">
        <v>48</v>
      </c>
      <c r="CP474">
        <v>0</v>
      </c>
      <c r="CQ474">
        <v>0</v>
      </c>
      <c r="CR474">
        <v>0</v>
      </c>
      <c r="CS474">
        <v>0</v>
      </c>
      <c r="CT474">
        <v>0</v>
      </c>
      <c r="CU474">
        <v>0</v>
      </c>
      <c r="CV474">
        <v>0</v>
      </c>
      <c r="CW474">
        <v>0</v>
      </c>
      <c r="CX474">
        <v>35.799999999999997</v>
      </c>
      <c r="CY474">
        <v>42.1</v>
      </c>
      <c r="CZ474">
        <v>50.4</v>
      </c>
      <c r="DA474">
        <v>53.7</v>
      </c>
      <c r="DB474">
        <v>35.4</v>
      </c>
      <c r="DC474">
        <v>42.1</v>
      </c>
      <c r="DD474">
        <v>48.4</v>
      </c>
      <c r="DE474">
        <v>53.2</v>
      </c>
      <c r="DF474">
        <v>35.799999999999997</v>
      </c>
      <c r="DG474">
        <v>42.1</v>
      </c>
      <c r="DH474">
        <v>50.4</v>
      </c>
      <c r="DI474">
        <v>53.7</v>
      </c>
      <c r="DJ474">
        <v>35.4</v>
      </c>
      <c r="DK474">
        <v>42.1</v>
      </c>
      <c r="DL474">
        <v>48.4</v>
      </c>
      <c r="DM474">
        <v>53.2</v>
      </c>
      <c r="DN474">
        <v>0</v>
      </c>
      <c r="DO474">
        <v>0</v>
      </c>
      <c r="DP474">
        <v>0</v>
      </c>
      <c r="DQ474">
        <v>0</v>
      </c>
      <c r="DR474">
        <v>0</v>
      </c>
      <c r="DS474">
        <v>0</v>
      </c>
      <c r="DT474">
        <v>0</v>
      </c>
      <c r="DU474">
        <v>0</v>
      </c>
      <c r="DV474" t="s">
        <v>803</v>
      </c>
    </row>
    <row r="475" spans="1:126" x14ac:dyDescent="0.35">
      <c r="A475" t="s">
        <v>801</v>
      </c>
      <c r="B475">
        <v>230103</v>
      </c>
      <c r="C475" s="1">
        <v>44929</v>
      </c>
      <c r="D475" t="s">
        <v>802</v>
      </c>
      <c r="E475" t="s">
        <v>164</v>
      </c>
      <c r="F475" t="s">
        <v>165</v>
      </c>
      <c r="G475" t="s">
        <v>799</v>
      </c>
      <c r="H475">
        <v>79731</v>
      </c>
      <c r="I475" s="17">
        <v>25248</v>
      </c>
      <c r="J475" s="17">
        <v>37139</v>
      </c>
      <c r="K475">
        <v>2042</v>
      </c>
      <c r="L475">
        <v>40900</v>
      </c>
      <c r="M475">
        <v>24861</v>
      </c>
      <c r="N475">
        <v>68190</v>
      </c>
      <c r="O475">
        <v>64042</v>
      </c>
      <c r="P475">
        <v>11541</v>
      </c>
      <c r="Q475">
        <v>15689</v>
      </c>
      <c r="R475">
        <v>79731</v>
      </c>
      <c r="S475">
        <v>25248</v>
      </c>
      <c r="T475">
        <v>37139</v>
      </c>
      <c r="U475">
        <v>2042</v>
      </c>
      <c r="V475">
        <v>40900</v>
      </c>
      <c r="W475">
        <v>24861</v>
      </c>
      <c r="X475">
        <v>68190</v>
      </c>
      <c r="Y475">
        <v>64042</v>
      </c>
      <c r="Z475">
        <v>11541</v>
      </c>
      <c r="AA475">
        <v>15689</v>
      </c>
      <c r="AB475">
        <v>0</v>
      </c>
      <c r="AC475">
        <v>0</v>
      </c>
      <c r="AD475">
        <v>0</v>
      </c>
      <c r="AE475">
        <v>0</v>
      </c>
      <c r="AF475">
        <v>0</v>
      </c>
      <c r="AG475">
        <v>0</v>
      </c>
      <c r="AH475">
        <v>0</v>
      </c>
      <c r="AI475">
        <v>0</v>
      </c>
      <c r="AJ475">
        <v>0</v>
      </c>
      <c r="AK475">
        <v>0</v>
      </c>
      <c r="AL475">
        <v>4781</v>
      </c>
      <c r="AM475">
        <v>1775</v>
      </c>
      <c r="AN475">
        <v>1621</v>
      </c>
      <c r="AO475">
        <v>917</v>
      </c>
      <c r="AP475">
        <v>3257</v>
      </c>
      <c r="AQ475">
        <v>2175</v>
      </c>
      <c r="AR475">
        <v>5949</v>
      </c>
      <c r="AS475">
        <v>4713</v>
      </c>
      <c r="AT475">
        <v>-1168</v>
      </c>
      <c r="AU475">
        <v>68</v>
      </c>
      <c r="AV475">
        <v>100</v>
      </c>
      <c r="AW475">
        <v>31.7</v>
      </c>
      <c r="AX475">
        <v>46.6</v>
      </c>
      <c r="AY475">
        <v>2.6</v>
      </c>
      <c r="AZ475">
        <v>51.3</v>
      </c>
      <c r="BA475">
        <v>31.2</v>
      </c>
      <c r="BB475">
        <v>85.5</v>
      </c>
      <c r="BC475">
        <v>80.3</v>
      </c>
      <c r="BD475">
        <v>14.5</v>
      </c>
      <c r="BE475">
        <v>19.7</v>
      </c>
      <c r="BF475">
        <v>100</v>
      </c>
      <c r="BG475">
        <v>31.7</v>
      </c>
      <c r="BH475">
        <v>46.6</v>
      </c>
      <c r="BI475">
        <v>2.6</v>
      </c>
      <c r="BJ475">
        <v>51.3</v>
      </c>
      <c r="BK475">
        <v>31.2</v>
      </c>
      <c r="BL475">
        <v>85.5</v>
      </c>
      <c r="BM475">
        <v>80.3</v>
      </c>
      <c r="BN475">
        <v>14.5</v>
      </c>
      <c r="BO475">
        <v>19.7</v>
      </c>
      <c r="BP475">
        <v>0</v>
      </c>
      <c r="BQ475">
        <v>0</v>
      </c>
      <c r="BR475">
        <v>0</v>
      </c>
      <c r="BS475">
        <v>0</v>
      </c>
      <c r="BT475">
        <v>0</v>
      </c>
      <c r="BU475">
        <v>0</v>
      </c>
      <c r="BV475">
        <v>0</v>
      </c>
      <c r="BW475">
        <v>0</v>
      </c>
      <c r="BX475">
        <v>0</v>
      </c>
      <c r="BY475">
        <v>0</v>
      </c>
      <c r="BZ475">
        <v>87</v>
      </c>
      <c r="CA475">
        <v>22</v>
      </c>
      <c r="CB475">
        <v>24</v>
      </c>
      <c r="CC475">
        <v>10</v>
      </c>
      <c r="CD475">
        <v>28</v>
      </c>
      <c r="CE475">
        <v>19</v>
      </c>
      <c r="CF475">
        <v>57</v>
      </c>
      <c r="CG475">
        <v>46</v>
      </c>
      <c r="CH475">
        <v>87</v>
      </c>
      <c r="CI475">
        <v>22</v>
      </c>
      <c r="CJ475">
        <v>24</v>
      </c>
      <c r="CK475">
        <v>10</v>
      </c>
      <c r="CL475">
        <v>28</v>
      </c>
      <c r="CM475">
        <v>19</v>
      </c>
      <c r="CN475">
        <v>57</v>
      </c>
      <c r="CO475">
        <v>46</v>
      </c>
      <c r="CP475">
        <v>0</v>
      </c>
      <c r="CQ475">
        <v>0</v>
      </c>
      <c r="CR475">
        <v>0</v>
      </c>
      <c r="CS475">
        <v>0</v>
      </c>
      <c r="CT475">
        <v>0</v>
      </c>
      <c r="CU475">
        <v>0</v>
      </c>
      <c r="CV475">
        <v>0</v>
      </c>
      <c r="CW475">
        <v>0</v>
      </c>
      <c r="CX475">
        <v>35.1</v>
      </c>
      <c r="CY475">
        <v>40.799999999999997</v>
      </c>
      <c r="CZ475">
        <v>48.7</v>
      </c>
      <c r="DA475">
        <v>55.7</v>
      </c>
      <c r="DB475">
        <v>34</v>
      </c>
      <c r="DC475">
        <v>40.799999999999997</v>
      </c>
      <c r="DD475">
        <v>46.7</v>
      </c>
      <c r="DE475">
        <v>53.9</v>
      </c>
      <c r="DF475">
        <v>35.1</v>
      </c>
      <c r="DG475">
        <v>40.799999999999997</v>
      </c>
      <c r="DH475">
        <v>48.7</v>
      </c>
      <c r="DI475">
        <v>55.7</v>
      </c>
      <c r="DJ475">
        <v>34</v>
      </c>
      <c r="DK475">
        <v>40.799999999999997</v>
      </c>
      <c r="DL475">
        <v>46.7</v>
      </c>
      <c r="DM475">
        <v>53.9</v>
      </c>
      <c r="DN475">
        <v>0</v>
      </c>
      <c r="DO475">
        <v>0</v>
      </c>
      <c r="DP475">
        <v>0</v>
      </c>
      <c r="DQ475">
        <v>0</v>
      </c>
      <c r="DR475">
        <v>0</v>
      </c>
      <c r="DS475">
        <v>0</v>
      </c>
      <c r="DT475">
        <v>0</v>
      </c>
      <c r="DU475">
        <v>0</v>
      </c>
      <c r="DV475" t="s">
        <v>803</v>
      </c>
    </row>
    <row r="476" spans="1:126" x14ac:dyDescent="0.35">
      <c r="A476" t="s">
        <v>804</v>
      </c>
      <c r="B476">
        <v>230110</v>
      </c>
      <c r="C476" s="1">
        <v>44936</v>
      </c>
      <c r="D476" t="s">
        <v>805</v>
      </c>
      <c r="E476" t="s">
        <v>164</v>
      </c>
      <c r="F476" t="s">
        <v>165</v>
      </c>
      <c r="G476" t="s">
        <v>799</v>
      </c>
      <c r="H476">
        <v>47920</v>
      </c>
      <c r="I476" s="17">
        <v>2702</v>
      </c>
      <c r="J476" s="17">
        <v>795</v>
      </c>
      <c r="K476">
        <v>0</v>
      </c>
      <c r="L476">
        <v>42836</v>
      </c>
      <c r="M476">
        <v>46146</v>
      </c>
      <c r="N476">
        <v>45538</v>
      </c>
      <c r="O476">
        <v>46941</v>
      </c>
      <c r="P476">
        <v>2382</v>
      </c>
      <c r="Q476">
        <v>979</v>
      </c>
      <c r="R476">
        <v>47920</v>
      </c>
      <c r="S476">
        <v>2702</v>
      </c>
      <c r="T476">
        <v>795</v>
      </c>
      <c r="U476">
        <v>0</v>
      </c>
      <c r="V476">
        <v>42836</v>
      </c>
      <c r="W476">
        <v>46146</v>
      </c>
      <c r="X476">
        <v>45538</v>
      </c>
      <c r="Y476">
        <v>46941</v>
      </c>
      <c r="Z476">
        <v>2382</v>
      </c>
      <c r="AA476">
        <v>979</v>
      </c>
      <c r="AB476">
        <v>0</v>
      </c>
      <c r="AC476">
        <v>0</v>
      </c>
      <c r="AD476">
        <v>0</v>
      </c>
      <c r="AE476">
        <v>0</v>
      </c>
      <c r="AF476">
        <v>0</v>
      </c>
      <c r="AG476">
        <v>0</v>
      </c>
      <c r="AH476">
        <v>0</v>
      </c>
      <c r="AI476">
        <v>0</v>
      </c>
      <c r="AJ476">
        <v>0</v>
      </c>
      <c r="AK476">
        <v>0</v>
      </c>
      <c r="AL476">
        <v>-2066</v>
      </c>
      <c r="AM476">
        <v>-191</v>
      </c>
      <c r="AN476">
        <v>-517</v>
      </c>
      <c r="AO476">
        <v>0</v>
      </c>
      <c r="AP476">
        <v>-2095</v>
      </c>
      <c r="AQ476">
        <v>-1429</v>
      </c>
      <c r="AR476">
        <v>-2286</v>
      </c>
      <c r="AS476">
        <v>-1946</v>
      </c>
      <c r="AT476">
        <v>220</v>
      </c>
      <c r="AU476">
        <v>-120</v>
      </c>
      <c r="AV476">
        <v>100</v>
      </c>
      <c r="AW476">
        <v>5.6</v>
      </c>
      <c r="AX476">
        <v>1.7</v>
      </c>
      <c r="AY476">
        <v>0</v>
      </c>
      <c r="AZ476">
        <v>89.4</v>
      </c>
      <c r="BA476">
        <v>96.3</v>
      </c>
      <c r="BB476">
        <v>95</v>
      </c>
      <c r="BC476">
        <v>98</v>
      </c>
      <c r="BD476">
        <v>5</v>
      </c>
      <c r="BE476">
        <v>2</v>
      </c>
      <c r="BF476">
        <v>100</v>
      </c>
      <c r="BG476">
        <v>5.6</v>
      </c>
      <c r="BH476">
        <v>1.7</v>
      </c>
      <c r="BI476">
        <v>0</v>
      </c>
      <c r="BJ476">
        <v>89.4</v>
      </c>
      <c r="BK476">
        <v>96.3</v>
      </c>
      <c r="BL476">
        <v>95</v>
      </c>
      <c r="BM476">
        <v>98</v>
      </c>
      <c r="BN476">
        <v>5</v>
      </c>
      <c r="BO476">
        <v>2</v>
      </c>
      <c r="BP476">
        <v>0</v>
      </c>
      <c r="BQ476">
        <v>0</v>
      </c>
      <c r="BR476">
        <v>0</v>
      </c>
      <c r="BS476">
        <v>0</v>
      </c>
      <c r="BT476">
        <v>0</v>
      </c>
      <c r="BU476">
        <v>0</v>
      </c>
      <c r="BV476">
        <v>0</v>
      </c>
      <c r="BW476">
        <v>0</v>
      </c>
      <c r="BX476">
        <v>0</v>
      </c>
      <c r="BY476">
        <v>0</v>
      </c>
      <c r="BZ476">
        <v>33</v>
      </c>
      <c r="CA476">
        <v>3</v>
      </c>
      <c r="CB476">
        <v>2</v>
      </c>
      <c r="CC476">
        <v>0</v>
      </c>
      <c r="CD476">
        <v>21</v>
      </c>
      <c r="CE476">
        <v>10</v>
      </c>
      <c r="CF476">
        <v>24</v>
      </c>
      <c r="CG476">
        <v>12</v>
      </c>
      <c r="CH476">
        <v>33</v>
      </c>
      <c r="CI476">
        <v>3</v>
      </c>
      <c r="CJ476">
        <v>2</v>
      </c>
      <c r="CK476">
        <v>0</v>
      </c>
      <c r="CL476">
        <v>21</v>
      </c>
      <c r="CM476">
        <v>10</v>
      </c>
      <c r="CN476">
        <v>24</v>
      </c>
      <c r="CO476">
        <v>12</v>
      </c>
      <c r="CP476">
        <v>0</v>
      </c>
      <c r="CQ476">
        <v>0</v>
      </c>
      <c r="CR476">
        <v>0</v>
      </c>
      <c r="CS476">
        <v>0</v>
      </c>
      <c r="CT476">
        <v>0</v>
      </c>
      <c r="CU476">
        <v>0</v>
      </c>
      <c r="CV476">
        <v>0</v>
      </c>
      <c r="CW476">
        <v>0</v>
      </c>
      <c r="CX476">
        <v>49.4</v>
      </c>
      <c r="CY476">
        <v>72.7</v>
      </c>
      <c r="CZ476">
        <v>68</v>
      </c>
      <c r="DA476">
        <v>94.6</v>
      </c>
      <c r="DB476">
        <v>49.2</v>
      </c>
      <c r="DC476">
        <v>70.599999999999994</v>
      </c>
      <c r="DD476">
        <v>65.400000000000006</v>
      </c>
      <c r="DE476">
        <v>91.5</v>
      </c>
      <c r="DF476">
        <v>49.4</v>
      </c>
      <c r="DG476">
        <v>72.7</v>
      </c>
      <c r="DH476">
        <v>68</v>
      </c>
      <c r="DI476">
        <v>94.6</v>
      </c>
      <c r="DJ476">
        <v>49.2</v>
      </c>
      <c r="DK476">
        <v>70.599999999999994</v>
      </c>
      <c r="DL476">
        <v>65.400000000000006</v>
      </c>
      <c r="DM476">
        <v>91.5</v>
      </c>
      <c r="DN476">
        <v>0</v>
      </c>
      <c r="DO476">
        <v>0</v>
      </c>
      <c r="DP476">
        <v>0</v>
      </c>
      <c r="DQ476">
        <v>0</v>
      </c>
      <c r="DR476">
        <v>0</v>
      </c>
      <c r="DS476">
        <v>0</v>
      </c>
      <c r="DT476">
        <v>0</v>
      </c>
      <c r="DU476">
        <v>0</v>
      </c>
      <c r="DV476" t="s">
        <v>806</v>
      </c>
    </row>
    <row r="477" spans="1:126" x14ac:dyDescent="0.35">
      <c r="A477" t="s">
        <v>804</v>
      </c>
      <c r="B477">
        <v>230103</v>
      </c>
      <c r="C477" s="1">
        <v>44929</v>
      </c>
      <c r="D477" t="s">
        <v>805</v>
      </c>
      <c r="E477" t="s">
        <v>164</v>
      </c>
      <c r="F477" t="s">
        <v>165</v>
      </c>
      <c r="G477" t="s">
        <v>799</v>
      </c>
      <c r="H477">
        <v>49986</v>
      </c>
      <c r="I477" s="17">
        <v>2893</v>
      </c>
      <c r="J477" s="17">
        <v>1312</v>
      </c>
      <c r="K477">
        <v>0</v>
      </c>
      <c r="L477">
        <v>44931</v>
      </c>
      <c r="M477">
        <v>47575</v>
      </c>
      <c r="N477">
        <v>47824</v>
      </c>
      <c r="O477">
        <v>48887</v>
      </c>
      <c r="P477">
        <v>2162</v>
      </c>
      <c r="Q477">
        <v>1099</v>
      </c>
      <c r="R477">
        <v>49986</v>
      </c>
      <c r="S477">
        <v>2893</v>
      </c>
      <c r="T477">
        <v>1312</v>
      </c>
      <c r="U477">
        <v>0</v>
      </c>
      <c r="V477">
        <v>44931</v>
      </c>
      <c r="W477">
        <v>47575</v>
      </c>
      <c r="X477">
        <v>47824</v>
      </c>
      <c r="Y477">
        <v>48887</v>
      </c>
      <c r="Z477">
        <v>2162</v>
      </c>
      <c r="AA477">
        <v>1099</v>
      </c>
      <c r="AB477">
        <v>0</v>
      </c>
      <c r="AC477">
        <v>0</v>
      </c>
      <c r="AD477">
        <v>0</v>
      </c>
      <c r="AE477">
        <v>0</v>
      </c>
      <c r="AF477">
        <v>0</v>
      </c>
      <c r="AG477">
        <v>0</v>
      </c>
      <c r="AH477">
        <v>0</v>
      </c>
      <c r="AI477">
        <v>0</v>
      </c>
      <c r="AJ477">
        <v>0</v>
      </c>
      <c r="AK477">
        <v>0</v>
      </c>
      <c r="AL477">
        <v>5574</v>
      </c>
      <c r="AM477">
        <v>845</v>
      </c>
      <c r="AN477">
        <v>438</v>
      </c>
      <c r="AO477">
        <v>-2</v>
      </c>
      <c r="AP477">
        <v>4931</v>
      </c>
      <c r="AQ477">
        <v>5042</v>
      </c>
      <c r="AR477">
        <v>5774</v>
      </c>
      <c r="AS477">
        <v>5478</v>
      </c>
      <c r="AT477">
        <v>-200</v>
      </c>
      <c r="AU477">
        <v>96</v>
      </c>
      <c r="AV477">
        <v>100</v>
      </c>
      <c r="AW477">
        <v>5.8</v>
      </c>
      <c r="AX477">
        <v>2.6</v>
      </c>
      <c r="AY477">
        <v>0</v>
      </c>
      <c r="AZ477">
        <v>89.9</v>
      </c>
      <c r="BA477">
        <v>95.2</v>
      </c>
      <c r="BB477">
        <v>95.7</v>
      </c>
      <c r="BC477">
        <v>97.8</v>
      </c>
      <c r="BD477">
        <v>4.3</v>
      </c>
      <c r="BE477">
        <v>2.2000000000000002</v>
      </c>
      <c r="BF477">
        <v>100</v>
      </c>
      <c r="BG477">
        <v>5.8</v>
      </c>
      <c r="BH477">
        <v>2.6</v>
      </c>
      <c r="BI477">
        <v>0</v>
      </c>
      <c r="BJ477">
        <v>89.9</v>
      </c>
      <c r="BK477">
        <v>95.2</v>
      </c>
      <c r="BL477">
        <v>95.7</v>
      </c>
      <c r="BM477">
        <v>97.8</v>
      </c>
      <c r="BN477">
        <v>4.3</v>
      </c>
      <c r="BO477">
        <v>2.2000000000000002</v>
      </c>
      <c r="BP477">
        <v>0</v>
      </c>
      <c r="BQ477">
        <v>0</v>
      </c>
      <c r="BR477">
        <v>0</v>
      </c>
      <c r="BS477">
        <v>0</v>
      </c>
      <c r="BT477">
        <v>0</v>
      </c>
      <c r="BU477">
        <v>0</v>
      </c>
      <c r="BV477">
        <v>0</v>
      </c>
      <c r="BW477">
        <v>0</v>
      </c>
      <c r="BX477">
        <v>0</v>
      </c>
      <c r="BY477">
        <v>0</v>
      </c>
      <c r="BZ477">
        <v>33</v>
      </c>
      <c r="CA477">
        <v>3</v>
      </c>
      <c r="CB477">
        <v>2</v>
      </c>
      <c r="CC477">
        <v>0</v>
      </c>
      <c r="CD477">
        <v>21</v>
      </c>
      <c r="CE477">
        <v>10</v>
      </c>
      <c r="CF477">
        <v>24</v>
      </c>
      <c r="CG477">
        <v>12</v>
      </c>
      <c r="CH477">
        <v>33</v>
      </c>
      <c r="CI477">
        <v>3</v>
      </c>
      <c r="CJ477">
        <v>2</v>
      </c>
      <c r="CK477">
        <v>0</v>
      </c>
      <c r="CL477">
        <v>21</v>
      </c>
      <c r="CM477">
        <v>10</v>
      </c>
      <c r="CN477">
        <v>24</v>
      </c>
      <c r="CO477">
        <v>12</v>
      </c>
      <c r="CP477">
        <v>0</v>
      </c>
      <c r="CQ477">
        <v>0</v>
      </c>
      <c r="CR477">
        <v>0</v>
      </c>
      <c r="CS477">
        <v>0</v>
      </c>
      <c r="CT477">
        <v>0</v>
      </c>
      <c r="CU477">
        <v>0</v>
      </c>
      <c r="CV477">
        <v>0</v>
      </c>
      <c r="CW477">
        <v>0</v>
      </c>
      <c r="CX477">
        <v>47.5</v>
      </c>
      <c r="CY477">
        <v>72.900000000000006</v>
      </c>
      <c r="CZ477">
        <v>67.8</v>
      </c>
      <c r="DA477">
        <v>94.1</v>
      </c>
      <c r="DB477">
        <v>47.4</v>
      </c>
      <c r="DC477">
        <v>71.099999999999994</v>
      </c>
      <c r="DD477">
        <v>65.3</v>
      </c>
      <c r="DE477">
        <v>91.4</v>
      </c>
      <c r="DF477">
        <v>47.5</v>
      </c>
      <c r="DG477">
        <v>72.900000000000006</v>
      </c>
      <c r="DH477">
        <v>67.8</v>
      </c>
      <c r="DI477">
        <v>94.1</v>
      </c>
      <c r="DJ477">
        <v>47.4</v>
      </c>
      <c r="DK477">
        <v>71.099999999999994</v>
      </c>
      <c r="DL477">
        <v>65.3</v>
      </c>
      <c r="DM477">
        <v>91.4</v>
      </c>
      <c r="DN477">
        <v>0</v>
      </c>
      <c r="DO477">
        <v>0</v>
      </c>
      <c r="DP477">
        <v>0</v>
      </c>
      <c r="DQ477">
        <v>0</v>
      </c>
      <c r="DR477">
        <v>0</v>
      </c>
      <c r="DS477">
        <v>0</v>
      </c>
      <c r="DT477">
        <v>0</v>
      </c>
      <c r="DU477">
        <v>0</v>
      </c>
      <c r="DV477" t="s">
        <v>806</v>
      </c>
    </row>
    <row r="478" spans="1:126" x14ac:dyDescent="0.35">
      <c r="A478" t="s">
        <v>807</v>
      </c>
      <c r="B478">
        <v>230110</v>
      </c>
      <c r="C478" s="1">
        <v>44936</v>
      </c>
      <c r="D478" t="s">
        <v>808</v>
      </c>
      <c r="E478" t="s">
        <v>164</v>
      </c>
      <c r="F478" t="s">
        <v>165</v>
      </c>
      <c r="G478" t="s">
        <v>799</v>
      </c>
      <c r="H478">
        <v>22155</v>
      </c>
      <c r="I478" s="17">
        <v>12283</v>
      </c>
      <c r="J478" s="17">
        <v>3206</v>
      </c>
      <c r="K478">
        <v>2033</v>
      </c>
      <c r="L478">
        <v>1645</v>
      </c>
      <c r="M478">
        <v>317</v>
      </c>
      <c r="N478">
        <v>15961</v>
      </c>
      <c r="O478">
        <v>5556</v>
      </c>
      <c r="P478">
        <v>6194</v>
      </c>
      <c r="Q478">
        <v>16599</v>
      </c>
      <c r="R478">
        <v>22155</v>
      </c>
      <c r="S478">
        <v>12283</v>
      </c>
      <c r="T478">
        <v>3206</v>
      </c>
      <c r="U478">
        <v>2033</v>
      </c>
      <c r="V478">
        <v>1645</v>
      </c>
      <c r="W478">
        <v>317</v>
      </c>
      <c r="X478">
        <v>15961</v>
      </c>
      <c r="Y478">
        <v>5556</v>
      </c>
      <c r="Z478">
        <v>6194</v>
      </c>
      <c r="AA478">
        <v>16599</v>
      </c>
      <c r="AB478">
        <v>0</v>
      </c>
      <c r="AC478">
        <v>0</v>
      </c>
      <c r="AD478">
        <v>0</v>
      </c>
      <c r="AE478">
        <v>0</v>
      </c>
      <c r="AF478">
        <v>0</v>
      </c>
      <c r="AG478">
        <v>0</v>
      </c>
      <c r="AH478">
        <v>0</v>
      </c>
      <c r="AI478">
        <v>0</v>
      </c>
      <c r="AJ478">
        <v>0</v>
      </c>
      <c r="AK478">
        <v>0</v>
      </c>
      <c r="AV478">
        <v>100</v>
      </c>
      <c r="AW478">
        <v>55.4</v>
      </c>
      <c r="AX478">
        <v>14.5</v>
      </c>
      <c r="AY478">
        <v>9.1999999999999993</v>
      </c>
      <c r="AZ478">
        <v>7.4</v>
      </c>
      <c r="BA478">
        <v>1.4</v>
      </c>
      <c r="BB478">
        <v>72</v>
      </c>
      <c r="BC478">
        <v>25.1</v>
      </c>
      <c r="BD478">
        <v>28</v>
      </c>
      <c r="BE478">
        <v>74.900000000000006</v>
      </c>
      <c r="BF478">
        <v>100</v>
      </c>
      <c r="BG478">
        <v>55.4</v>
      </c>
      <c r="BH478">
        <v>14.5</v>
      </c>
      <c r="BI478">
        <v>9.1999999999999993</v>
      </c>
      <c r="BJ478">
        <v>7.4</v>
      </c>
      <c r="BK478">
        <v>1.4</v>
      </c>
      <c r="BL478">
        <v>72</v>
      </c>
      <c r="BM478">
        <v>25.1</v>
      </c>
      <c r="BN478">
        <v>28</v>
      </c>
      <c r="BO478">
        <v>74.900000000000006</v>
      </c>
      <c r="BP478">
        <v>0</v>
      </c>
      <c r="BQ478">
        <v>0</v>
      </c>
      <c r="BR478">
        <v>0</v>
      </c>
      <c r="BS478">
        <v>0</v>
      </c>
      <c r="BT478">
        <v>0</v>
      </c>
      <c r="BU478">
        <v>0</v>
      </c>
      <c r="BV478">
        <v>0</v>
      </c>
      <c r="BW478">
        <v>0</v>
      </c>
      <c r="BX478">
        <v>0</v>
      </c>
      <c r="BY478">
        <v>0</v>
      </c>
      <c r="BZ478">
        <v>21</v>
      </c>
      <c r="CA478">
        <v>7</v>
      </c>
      <c r="CB478">
        <v>11</v>
      </c>
      <c r="CC478">
        <v>4</v>
      </c>
      <c r="CD478">
        <v>3</v>
      </c>
      <c r="CE478">
        <v>1</v>
      </c>
      <c r="CF478">
        <v>11</v>
      </c>
      <c r="CG478">
        <v>15</v>
      </c>
      <c r="CH478">
        <v>21</v>
      </c>
      <c r="CI478">
        <v>7</v>
      </c>
      <c r="CJ478">
        <v>11</v>
      </c>
      <c r="CK478">
        <v>4</v>
      </c>
      <c r="CL478">
        <v>3</v>
      </c>
      <c r="CM478">
        <v>1</v>
      </c>
      <c r="CN478">
        <v>11</v>
      </c>
      <c r="CO478">
        <v>15</v>
      </c>
      <c r="CP478">
        <v>0</v>
      </c>
      <c r="CQ478">
        <v>0</v>
      </c>
      <c r="CR478">
        <v>0</v>
      </c>
      <c r="CS478">
        <v>0</v>
      </c>
      <c r="CT478">
        <v>0</v>
      </c>
      <c r="CU478">
        <v>0</v>
      </c>
      <c r="CV478">
        <v>0</v>
      </c>
      <c r="CW478">
        <v>0</v>
      </c>
      <c r="CX478">
        <v>60.6</v>
      </c>
      <c r="CY478">
        <v>14.7</v>
      </c>
      <c r="CZ478">
        <v>69.3</v>
      </c>
      <c r="DA478">
        <v>20</v>
      </c>
      <c r="DB478">
        <v>51.9</v>
      </c>
      <c r="DC478">
        <v>7.5</v>
      </c>
      <c r="DD478">
        <v>59.1</v>
      </c>
      <c r="DE478">
        <v>12.1</v>
      </c>
      <c r="DF478">
        <v>60.6</v>
      </c>
      <c r="DG478">
        <v>14.7</v>
      </c>
      <c r="DH478">
        <v>69.3</v>
      </c>
      <c r="DI478">
        <v>20</v>
      </c>
      <c r="DJ478">
        <v>51.9</v>
      </c>
      <c r="DK478">
        <v>7.5</v>
      </c>
      <c r="DL478">
        <v>59.1</v>
      </c>
      <c r="DM478">
        <v>12.1</v>
      </c>
      <c r="DN478">
        <v>0</v>
      </c>
      <c r="DO478">
        <v>0</v>
      </c>
      <c r="DP478">
        <v>0</v>
      </c>
      <c r="DQ478">
        <v>0</v>
      </c>
      <c r="DR478">
        <v>0</v>
      </c>
      <c r="DS478">
        <v>0</v>
      </c>
      <c r="DT478">
        <v>0</v>
      </c>
      <c r="DU478">
        <v>0</v>
      </c>
      <c r="DV478" t="s">
        <v>809</v>
      </c>
    </row>
    <row r="479" spans="1:126" x14ac:dyDescent="0.35">
      <c r="A479" t="s">
        <v>810</v>
      </c>
      <c r="B479">
        <v>230110</v>
      </c>
      <c r="C479" s="1">
        <v>44936</v>
      </c>
      <c r="D479" t="s">
        <v>811</v>
      </c>
      <c r="E479" t="s">
        <v>402</v>
      </c>
      <c r="F479" t="s">
        <v>165</v>
      </c>
      <c r="G479" t="s">
        <v>812</v>
      </c>
      <c r="H479">
        <v>6013989</v>
      </c>
      <c r="I479" s="17">
        <v>450880</v>
      </c>
      <c r="J479" s="17">
        <v>1506415</v>
      </c>
      <c r="K479">
        <v>1055223</v>
      </c>
      <c r="L479">
        <v>4201292</v>
      </c>
      <c r="M479">
        <v>2942488</v>
      </c>
      <c r="N479">
        <v>5707395</v>
      </c>
      <c r="O479">
        <v>5504126</v>
      </c>
      <c r="P479">
        <v>306594</v>
      </c>
      <c r="Q479">
        <v>509863</v>
      </c>
      <c r="R479">
        <v>6013989</v>
      </c>
      <c r="S479">
        <v>450880</v>
      </c>
      <c r="T479">
        <v>1506415</v>
      </c>
      <c r="U479">
        <v>1055223</v>
      </c>
      <c r="V479">
        <v>4201292</v>
      </c>
      <c r="W479">
        <v>2942488</v>
      </c>
      <c r="X479">
        <v>5707395</v>
      </c>
      <c r="Y479">
        <v>5504126</v>
      </c>
      <c r="Z479">
        <v>306594</v>
      </c>
      <c r="AA479">
        <v>509863</v>
      </c>
      <c r="AB479">
        <v>0</v>
      </c>
      <c r="AC479">
        <v>0</v>
      </c>
      <c r="AD479">
        <v>0</v>
      </c>
      <c r="AE479">
        <v>0</v>
      </c>
      <c r="AF479">
        <v>0</v>
      </c>
      <c r="AG479">
        <v>0</v>
      </c>
      <c r="AH479">
        <v>0</v>
      </c>
      <c r="AI479">
        <v>0</v>
      </c>
      <c r="AJ479">
        <v>0</v>
      </c>
      <c r="AK479">
        <v>0</v>
      </c>
      <c r="AL479">
        <v>1446</v>
      </c>
      <c r="AM479">
        <v>-46548</v>
      </c>
      <c r="AN479">
        <v>25226</v>
      </c>
      <c r="AO479">
        <v>2562</v>
      </c>
      <c r="AP479">
        <v>46789</v>
      </c>
      <c r="AQ479">
        <v>-32509</v>
      </c>
      <c r="AR479">
        <v>2803</v>
      </c>
      <c r="AS479">
        <v>-4721</v>
      </c>
      <c r="AT479">
        <v>-1357</v>
      </c>
      <c r="AU479">
        <v>6167</v>
      </c>
      <c r="AV479">
        <v>100</v>
      </c>
      <c r="AW479">
        <v>7.5</v>
      </c>
      <c r="AX479">
        <v>25</v>
      </c>
      <c r="AY479">
        <v>17.5</v>
      </c>
      <c r="AZ479">
        <v>69.900000000000006</v>
      </c>
      <c r="BA479">
        <v>48.9</v>
      </c>
      <c r="BB479">
        <v>94.9</v>
      </c>
      <c r="BC479">
        <v>91.5</v>
      </c>
      <c r="BD479">
        <v>5.0999999999999996</v>
      </c>
      <c r="BE479">
        <v>8.5</v>
      </c>
      <c r="BF479">
        <v>100</v>
      </c>
      <c r="BG479">
        <v>7.5</v>
      </c>
      <c r="BH479">
        <v>25</v>
      </c>
      <c r="BI479">
        <v>17.5</v>
      </c>
      <c r="BJ479">
        <v>69.900000000000006</v>
      </c>
      <c r="BK479">
        <v>48.9</v>
      </c>
      <c r="BL479">
        <v>94.9</v>
      </c>
      <c r="BM479">
        <v>91.5</v>
      </c>
      <c r="BN479">
        <v>5.0999999999999996</v>
      </c>
      <c r="BO479">
        <v>8.5</v>
      </c>
      <c r="BP479">
        <v>0</v>
      </c>
      <c r="BQ479">
        <v>0</v>
      </c>
      <c r="BR479">
        <v>0</v>
      </c>
      <c r="BS479">
        <v>0</v>
      </c>
      <c r="BT479">
        <v>0</v>
      </c>
      <c r="BU479">
        <v>0</v>
      </c>
      <c r="BV479">
        <v>0</v>
      </c>
      <c r="BW479">
        <v>0</v>
      </c>
      <c r="BX479">
        <v>0</v>
      </c>
      <c r="BY479">
        <v>0</v>
      </c>
      <c r="BZ479">
        <v>138</v>
      </c>
      <c r="CA479">
        <v>20</v>
      </c>
      <c r="CB479">
        <v>38</v>
      </c>
      <c r="CC479">
        <v>51</v>
      </c>
      <c r="CD479">
        <v>67</v>
      </c>
      <c r="CE479">
        <v>72</v>
      </c>
      <c r="CF479">
        <v>120</v>
      </c>
      <c r="CG479">
        <v>131</v>
      </c>
      <c r="CH479">
        <v>138</v>
      </c>
      <c r="CI479">
        <v>20</v>
      </c>
      <c r="CJ479">
        <v>38</v>
      </c>
      <c r="CK479">
        <v>51</v>
      </c>
      <c r="CL479">
        <v>67</v>
      </c>
      <c r="CM479">
        <v>72</v>
      </c>
      <c r="CN479">
        <v>120</v>
      </c>
      <c r="CO479">
        <v>131</v>
      </c>
      <c r="CP479">
        <v>0</v>
      </c>
      <c r="CQ479">
        <v>0</v>
      </c>
      <c r="CR479">
        <v>0</v>
      </c>
      <c r="CS479">
        <v>0</v>
      </c>
      <c r="CT479">
        <v>0</v>
      </c>
      <c r="CU479">
        <v>0</v>
      </c>
      <c r="CV479">
        <v>0</v>
      </c>
      <c r="CW479">
        <v>0</v>
      </c>
      <c r="CX479">
        <v>29.5</v>
      </c>
      <c r="CY479">
        <v>30.3</v>
      </c>
      <c r="CZ479">
        <v>42.5</v>
      </c>
      <c r="DA479">
        <v>43.3</v>
      </c>
      <c r="DB479">
        <v>25.8</v>
      </c>
      <c r="DC479">
        <v>24.4</v>
      </c>
      <c r="DD479">
        <v>33.6</v>
      </c>
      <c r="DE479">
        <v>33.6</v>
      </c>
      <c r="DF479">
        <v>29.5</v>
      </c>
      <c r="DG479">
        <v>30.3</v>
      </c>
      <c r="DH479">
        <v>42.5</v>
      </c>
      <c r="DI479">
        <v>43.3</v>
      </c>
      <c r="DJ479">
        <v>25.8</v>
      </c>
      <c r="DK479">
        <v>24.4</v>
      </c>
      <c r="DL479">
        <v>33.6</v>
      </c>
      <c r="DM479">
        <v>33.6</v>
      </c>
      <c r="DN479">
        <v>0</v>
      </c>
      <c r="DO479">
        <v>0</v>
      </c>
      <c r="DP479">
        <v>0</v>
      </c>
      <c r="DQ479">
        <v>0</v>
      </c>
      <c r="DR479">
        <v>0</v>
      </c>
      <c r="DS479">
        <v>0</v>
      </c>
      <c r="DT479">
        <v>0</v>
      </c>
      <c r="DU479">
        <v>0</v>
      </c>
      <c r="DV479" t="s">
        <v>813</v>
      </c>
    </row>
    <row r="480" spans="1:126" x14ac:dyDescent="0.35">
      <c r="A480" t="s">
        <v>810</v>
      </c>
      <c r="B480">
        <v>230103</v>
      </c>
      <c r="C480" s="1">
        <v>44929</v>
      </c>
      <c r="D480" t="s">
        <v>811</v>
      </c>
      <c r="E480" t="s">
        <v>402</v>
      </c>
      <c r="F480" t="s">
        <v>165</v>
      </c>
      <c r="G480" t="s">
        <v>812</v>
      </c>
      <c r="H480">
        <v>6012543</v>
      </c>
      <c r="I480" s="17">
        <v>497428</v>
      </c>
      <c r="J480" s="17">
        <v>1481189</v>
      </c>
      <c r="K480">
        <v>1052661</v>
      </c>
      <c r="L480">
        <v>4154503</v>
      </c>
      <c r="M480">
        <v>2974997</v>
      </c>
      <c r="N480">
        <v>5704592</v>
      </c>
      <c r="O480">
        <v>5508847</v>
      </c>
      <c r="P480">
        <v>307951</v>
      </c>
      <c r="Q480">
        <v>503696</v>
      </c>
      <c r="R480">
        <v>6012543</v>
      </c>
      <c r="S480">
        <v>497428</v>
      </c>
      <c r="T480">
        <v>1481189</v>
      </c>
      <c r="U480">
        <v>1052661</v>
      </c>
      <c r="V480">
        <v>4154503</v>
      </c>
      <c r="W480">
        <v>2974997</v>
      </c>
      <c r="X480">
        <v>5704592</v>
      </c>
      <c r="Y480">
        <v>5508847</v>
      </c>
      <c r="Z480">
        <v>307951</v>
      </c>
      <c r="AA480">
        <v>503696</v>
      </c>
      <c r="AB480">
        <v>0</v>
      </c>
      <c r="AC480">
        <v>0</v>
      </c>
      <c r="AD480">
        <v>0</v>
      </c>
      <c r="AE480">
        <v>0</v>
      </c>
      <c r="AF480">
        <v>0</v>
      </c>
      <c r="AG480">
        <v>0</v>
      </c>
      <c r="AH480">
        <v>0</v>
      </c>
      <c r="AI480">
        <v>0</v>
      </c>
      <c r="AJ480">
        <v>0</v>
      </c>
      <c r="AK480">
        <v>0</v>
      </c>
      <c r="AL480">
        <v>33440</v>
      </c>
      <c r="AM480">
        <v>35228</v>
      </c>
      <c r="AN480">
        <v>28278</v>
      </c>
      <c r="AO480">
        <v>-6925</v>
      </c>
      <c r="AP480">
        <v>31523</v>
      </c>
      <c r="AQ480">
        <v>34147</v>
      </c>
      <c r="AR480">
        <v>59826</v>
      </c>
      <c r="AS480">
        <v>55500</v>
      </c>
      <c r="AT480">
        <v>-26386</v>
      </c>
      <c r="AU480">
        <v>-22060</v>
      </c>
      <c r="AV480">
        <v>100</v>
      </c>
      <c r="AW480">
        <v>8.3000000000000007</v>
      </c>
      <c r="AX480">
        <v>24.6</v>
      </c>
      <c r="AY480">
        <v>17.5</v>
      </c>
      <c r="AZ480">
        <v>69.099999999999994</v>
      </c>
      <c r="BA480">
        <v>49.5</v>
      </c>
      <c r="BB480">
        <v>94.9</v>
      </c>
      <c r="BC480">
        <v>91.6</v>
      </c>
      <c r="BD480">
        <v>5.0999999999999996</v>
      </c>
      <c r="BE480">
        <v>8.4</v>
      </c>
      <c r="BF480">
        <v>100</v>
      </c>
      <c r="BG480">
        <v>8.3000000000000007</v>
      </c>
      <c r="BH480">
        <v>24.6</v>
      </c>
      <c r="BI480">
        <v>17.5</v>
      </c>
      <c r="BJ480">
        <v>69.099999999999994</v>
      </c>
      <c r="BK480">
        <v>49.5</v>
      </c>
      <c r="BL480">
        <v>94.9</v>
      </c>
      <c r="BM480">
        <v>91.6</v>
      </c>
      <c r="BN480">
        <v>5.0999999999999996</v>
      </c>
      <c r="BO480">
        <v>8.4</v>
      </c>
      <c r="BP480">
        <v>0</v>
      </c>
      <c r="BQ480">
        <v>0</v>
      </c>
      <c r="BR480">
        <v>0</v>
      </c>
      <c r="BS480">
        <v>0</v>
      </c>
      <c r="BT480">
        <v>0</v>
      </c>
      <c r="BU480">
        <v>0</v>
      </c>
      <c r="BV480">
        <v>0</v>
      </c>
      <c r="BW480">
        <v>0</v>
      </c>
      <c r="BX480">
        <v>0</v>
      </c>
      <c r="BY480">
        <v>0</v>
      </c>
      <c r="BZ480">
        <v>139</v>
      </c>
      <c r="CA480">
        <v>21</v>
      </c>
      <c r="CB480">
        <v>38</v>
      </c>
      <c r="CC480">
        <v>48</v>
      </c>
      <c r="CD480">
        <v>67</v>
      </c>
      <c r="CE480">
        <v>73</v>
      </c>
      <c r="CF480">
        <v>118</v>
      </c>
      <c r="CG480">
        <v>131</v>
      </c>
      <c r="CH480">
        <v>139</v>
      </c>
      <c r="CI480">
        <v>21</v>
      </c>
      <c r="CJ480">
        <v>38</v>
      </c>
      <c r="CK480">
        <v>48</v>
      </c>
      <c r="CL480">
        <v>67</v>
      </c>
      <c r="CM480">
        <v>73</v>
      </c>
      <c r="CN480">
        <v>118</v>
      </c>
      <c r="CO480">
        <v>131</v>
      </c>
      <c r="CP480">
        <v>0</v>
      </c>
      <c r="CQ480">
        <v>0</v>
      </c>
      <c r="CR480">
        <v>0</v>
      </c>
      <c r="CS480">
        <v>0</v>
      </c>
      <c r="CT480">
        <v>0</v>
      </c>
      <c r="CU480">
        <v>0</v>
      </c>
      <c r="CV480">
        <v>0</v>
      </c>
      <c r="CW480">
        <v>0</v>
      </c>
      <c r="CX480">
        <v>29.2</v>
      </c>
      <c r="CY480">
        <v>30.5</v>
      </c>
      <c r="CZ480">
        <v>42.3</v>
      </c>
      <c r="DA480">
        <v>43.8</v>
      </c>
      <c r="DB480">
        <v>25.6</v>
      </c>
      <c r="DC480">
        <v>24</v>
      </c>
      <c r="DD480">
        <v>33.299999999999997</v>
      </c>
      <c r="DE480">
        <v>33.200000000000003</v>
      </c>
      <c r="DF480">
        <v>29.2</v>
      </c>
      <c r="DG480">
        <v>30.5</v>
      </c>
      <c r="DH480">
        <v>42.3</v>
      </c>
      <c r="DI480">
        <v>43.8</v>
      </c>
      <c r="DJ480">
        <v>25.6</v>
      </c>
      <c r="DK480">
        <v>24</v>
      </c>
      <c r="DL480">
        <v>33.299999999999997</v>
      </c>
      <c r="DM480">
        <v>33.200000000000003</v>
      </c>
      <c r="DN480">
        <v>0</v>
      </c>
      <c r="DO480">
        <v>0</v>
      </c>
      <c r="DP480">
        <v>0</v>
      </c>
      <c r="DQ480">
        <v>0</v>
      </c>
      <c r="DR480">
        <v>0</v>
      </c>
      <c r="DS480">
        <v>0</v>
      </c>
      <c r="DT480">
        <v>0</v>
      </c>
      <c r="DU480">
        <v>0</v>
      </c>
      <c r="DV480" t="s">
        <v>813</v>
      </c>
    </row>
    <row r="481" spans="1:126" x14ac:dyDescent="0.35">
      <c r="A481" t="s">
        <v>814</v>
      </c>
      <c r="B481">
        <v>230110</v>
      </c>
      <c r="C481" s="1">
        <v>44936</v>
      </c>
      <c r="D481" t="s">
        <v>815</v>
      </c>
      <c r="E481" t="s">
        <v>402</v>
      </c>
      <c r="F481" t="s">
        <v>165</v>
      </c>
      <c r="G481" t="s">
        <v>816</v>
      </c>
      <c r="H481">
        <v>14891</v>
      </c>
      <c r="I481" s="17">
        <v>11989</v>
      </c>
      <c r="J481" s="17">
        <v>12583</v>
      </c>
      <c r="K481">
        <v>1116</v>
      </c>
      <c r="L481">
        <v>447</v>
      </c>
      <c r="M481">
        <v>476</v>
      </c>
      <c r="N481">
        <v>13552</v>
      </c>
      <c r="O481">
        <v>14175</v>
      </c>
      <c r="P481">
        <v>1339</v>
      </c>
      <c r="Q481">
        <v>716</v>
      </c>
      <c r="R481">
        <v>14891</v>
      </c>
      <c r="S481">
        <v>11989</v>
      </c>
      <c r="T481">
        <v>12583</v>
      </c>
      <c r="U481">
        <v>1116</v>
      </c>
      <c r="V481">
        <v>447</v>
      </c>
      <c r="W481">
        <v>476</v>
      </c>
      <c r="X481">
        <v>13552</v>
      </c>
      <c r="Y481">
        <v>14175</v>
      </c>
      <c r="Z481">
        <v>1339</v>
      </c>
      <c r="AA481">
        <v>716</v>
      </c>
      <c r="AB481">
        <v>0</v>
      </c>
      <c r="AC481">
        <v>0</v>
      </c>
      <c r="AD481">
        <v>0</v>
      </c>
      <c r="AE481">
        <v>0</v>
      </c>
      <c r="AF481">
        <v>0</v>
      </c>
      <c r="AG481">
        <v>0</v>
      </c>
      <c r="AH481">
        <v>0</v>
      </c>
      <c r="AI481">
        <v>0</v>
      </c>
      <c r="AJ481">
        <v>0</v>
      </c>
      <c r="AK481">
        <v>0</v>
      </c>
      <c r="AL481">
        <v>361</v>
      </c>
      <c r="AM481">
        <v>242</v>
      </c>
      <c r="AN481">
        <v>1225</v>
      </c>
      <c r="AO481">
        <v>-491</v>
      </c>
      <c r="AP481">
        <v>374</v>
      </c>
      <c r="AQ481">
        <v>-175</v>
      </c>
      <c r="AR481">
        <v>125</v>
      </c>
      <c r="AS481">
        <v>559</v>
      </c>
      <c r="AT481">
        <v>236</v>
      </c>
      <c r="AU481">
        <v>-198</v>
      </c>
      <c r="AV481">
        <v>100</v>
      </c>
      <c r="AW481">
        <v>80.5</v>
      </c>
      <c r="AX481">
        <v>84.5</v>
      </c>
      <c r="AY481">
        <v>7.5</v>
      </c>
      <c r="AZ481">
        <v>3</v>
      </c>
      <c r="BA481">
        <v>3.2</v>
      </c>
      <c r="BB481">
        <v>91</v>
      </c>
      <c r="BC481">
        <v>95.2</v>
      </c>
      <c r="BD481">
        <v>9</v>
      </c>
      <c r="BE481">
        <v>4.8</v>
      </c>
      <c r="BF481">
        <v>100</v>
      </c>
      <c r="BG481">
        <v>80.5</v>
      </c>
      <c r="BH481">
        <v>84.5</v>
      </c>
      <c r="BI481">
        <v>7.5</v>
      </c>
      <c r="BJ481">
        <v>3</v>
      </c>
      <c r="BK481">
        <v>3.2</v>
      </c>
      <c r="BL481">
        <v>91</v>
      </c>
      <c r="BM481">
        <v>95.2</v>
      </c>
      <c r="BN481">
        <v>9</v>
      </c>
      <c r="BO481">
        <v>4.8</v>
      </c>
      <c r="BP481">
        <v>0</v>
      </c>
      <c r="BQ481">
        <v>0</v>
      </c>
      <c r="BR481">
        <v>0</v>
      </c>
      <c r="BS481">
        <v>0</v>
      </c>
      <c r="BT481">
        <v>0</v>
      </c>
      <c r="BU481">
        <v>0</v>
      </c>
      <c r="BV481">
        <v>0</v>
      </c>
      <c r="BW481">
        <v>0</v>
      </c>
      <c r="BX481">
        <v>0</v>
      </c>
      <c r="BY481">
        <v>0</v>
      </c>
      <c r="BZ481">
        <v>111</v>
      </c>
      <c r="CA481">
        <v>41</v>
      </c>
      <c r="CB481">
        <v>59</v>
      </c>
      <c r="CC481">
        <v>23</v>
      </c>
      <c r="CD481">
        <v>4</v>
      </c>
      <c r="CE481">
        <v>6</v>
      </c>
      <c r="CF481">
        <v>62</v>
      </c>
      <c r="CG481">
        <v>72</v>
      </c>
      <c r="CH481">
        <v>111</v>
      </c>
      <c r="CI481">
        <v>41</v>
      </c>
      <c r="CJ481">
        <v>59</v>
      </c>
      <c r="CK481">
        <v>23</v>
      </c>
      <c r="CL481">
        <v>4</v>
      </c>
      <c r="CM481">
        <v>6</v>
      </c>
      <c r="CN481">
        <v>62</v>
      </c>
      <c r="CO481">
        <v>72</v>
      </c>
      <c r="CP481">
        <v>0</v>
      </c>
      <c r="CQ481">
        <v>0</v>
      </c>
      <c r="CR481">
        <v>0</v>
      </c>
      <c r="CS481">
        <v>0</v>
      </c>
      <c r="CT481">
        <v>0</v>
      </c>
      <c r="CU481">
        <v>0</v>
      </c>
      <c r="CV481">
        <v>0</v>
      </c>
      <c r="CW481">
        <v>0</v>
      </c>
      <c r="CX481">
        <v>57.5</v>
      </c>
      <c r="CY481">
        <v>37.5</v>
      </c>
      <c r="CZ481">
        <v>66.900000000000006</v>
      </c>
      <c r="DA481">
        <v>49.7</v>
      </c>
      <c r="DB481">
        <v>53.5</v>
      </c>
      <c r="DC481">
        <v>36.9</v>
      </c>
      <c r="DD481">
        <v>62.9</v>
      </c>
      <c r="DE481">
        <v>47.9</v>
      </c>
      <c r="DF481">
        <v>57.5</v>
      </c>
      <c r="DG481">
        <v>37.5</v>
      </c>
      <c r="DH481">
        <v>66.900000000000006</v>
      </c>
      <c r="DI481">
        <v>49.7</v>
      </c>
      <c r="DJ481">
        <v>53.5</v>
      </c>
      <c r="DK481">
        <v>36.9</v>
      </c>
      <c r="DL481">
        <v>62.9</v>
      </c>
      <c r="DM481">
        <v>47.9</v>
      </c>
      <c r="DN481">
        <v>0</v>
      </c>
      <c r="DO481">
        <v>0</v>
      </c>
      <c r="DP481">
        <v>0</v>
      </c>
      <c r="DQ481">
        <v>0</v>
      </c>
      <c r="DR481">
        <v>0</v>
      </c>
      <c r="DS481">
        <v>0</v>
      </c>
      <c r="DT481">
        <v>0</v>
      </c>
      <c r="DU481">
        <v>0</v>
      </c>
      <c r="DV481" t="s">
        <v>817</v>
      </c>
    </row>
    <row r="482" spans="1:126" x14ac:dyDescent="0.35">
      <c r="A482" t="s">
        <v>814</v>
      </c>
      <c r="B482">
        <v>230103</v>
      </c>
      <c r="C482" s="1">
        <v>44929</v>
      </c>
      <c r="D482" t="s">
        <v>815</v>
      </c>
      <c r="E482" t="s">
        <v>402</v>
      </c>
      <c r="F482" t="s">
        <v>165</v>
      </c>
      <c r="G482" t="s">
        <v>816</v>
      </c>
      <c r="H482">
        <v>14530</v>
      </c>
      <c r="I482" s="17">
        <v>11747</v>
      </c>
      <c r="J482" s="17">
        <v>11358</v>
      </c>
      <c r="K482">
        <v>1607</v>
      </c>
      <c r="L482">
        <v>73</v>
      </c>
      <c r="M482">
        <v>651</v>
      </c>
      <c r="N482">
        <v>13427</v>
      </c>
      <c r="O482">
        <v>13616</v>
      </c>
      <c r="P482">
        <v>1103</v>
      </c>
      <c r="Q482">
        <v>914</v>
      </c>
      <c r="R482">
        <v>14530</v>
      </c>
      <c r="S482">
        <v>11747</v>
      </c>
      <c r="T482">
        <v>11358</v>
      </c>
      <c r="U482">
        <v>1607</v>
      </c>
      <c r="V482">
        <v>73</v>
      </c>
      <c r="W482">
        <v>651</v>
      </c>
      <c r="X482">
        <v>13427</v>
      </c>
      <c r="Y482">
        <v>13616</v>
      </c>
      <c r="Z482">
        <v>1103</v>
      </c>
      <c r="AA482">
        <v>914</v>
      </c>
      <c r="AB482">
        <v>0</v>
      </c>
      <c r="AC482">
        <v>0</v>
      </c>
      <c r="AD482">
        <v>0</v>
      </c>
      <c r="AE482">
        <v>0</v>
      </c>
      <c r="AF482">
        <v>0</v>
      </c>
      <c r="AG482">
        <v>0</v>
      </c>
      <c r="AH482">
        <v>0</v>
      </c>
      <c r="AI482">
        <v>0</v>
      </c>
      <c r="AJ482">
        <v>0</v>
      </c>
      <c r="AK482">
        <v>0</v>
      </c>
      <c r="AL482">
        <v>-1498</v>
      </c>
      <c r="AM482">
        <v>-614</v>
      </c>
      <c r="AN482">
        <v>-310</v>
      </c>
      <c r="AO482">
        <v>-726</v>
      </c>
      <c r="AP482">
        <v>30</v>
      </c>
      <c r="AQ482">
        <v>-431</v>
      </c>
      <c r="AR482">
        <v>-1310</v>
      </c>
      <c r="AS482">
        <v>-1467</v>
      </c>
      <c r="AT482">
        <v>-188</v>
      </c>
      <c r="AU482">
        <v>-31</v>
      </c>
      <c r="AV482">
        <v>100</v>
      </c>
      <c r="AW482">
        <v>80.8</v>
      </c>
      <c r="AX482">
        <v>78.2</v>
      </c>
      <c r="AY482">
        <v>11.1</v>
      </c>
      <c r="AZ482">
        <v>0.5</v>
      </c>
      <c r="BA482">
        <v>4.5</v>
      </c>
      <c r="BB482">
        <v>92.4</v>
      </c>
      <c r="BC482">
        <v>93.7</v>
      </c>
      <c r="BD482">
        <v>7.6</v>
      </c>
      <c r="BE482">
        <v>6.3</v>
      </c>
      <c r="BF482">
        <v>100</v>
      </c>
      <c r="BG482">
        <v>80.8</v>
      </c>
      <c r="BH482">
        <v>78.2</v>
      </c>
      <c r="BI482">
        <v>11.1</v>
      </c>
      <c r="BJ482">
        <v>0.5</v>
      </c>
      <c r="BK482">
        <v>4.5</v>
      </c>
      <c r="BL482">
        <v>92.4</v>
      </c>
      <c r="BM482">
        <v>93.7</v>
      </c>
      <c r="BN482">
        <v>7.6</v>
      </c>
      <c r="BO482">
        <v>6.3</v>
      </c>
      <c r="BP482">
        <v>0</v>
      </c>
      <c r="BQ482">
        <v>0</v>
      </c>
      <c r="BR482">
        <v>0</v>
      </c>
      <c r="BS482">
        <v>0</v>
      </c>
      <c r="BT482">
        <v>0</v>
      </c>
      <c r="BU482">
        <v>0</v>
      </c>
      <c r="BV482">
        <v>0</v>
      </c>
      <c r="BW482">
        <v>0</v>
      </c>
      <c r="BX482">
        <v>0</v>
      </c>
      <c r="BY482">
        <v>0</v>
      </c>
      <c r="BZ482">
        <v>99</v>
      </c>
      <c r="CA482">
        <v>35</v>
      </c>
      <c r="CB482">
        <v>55</v>
      </c>
      <c r="CC482">
        <v>15</v>
      </c>
      <c r="CD482">
        <v>2</v>
      </c>
      <c r="CE482">
        <v>7</v>
      </c>
      <c r="CF482">
        <v>47</v>
      </c>
      <c r="CG482">
        <v>68</v>
      </c>
      <c r="CH482">
        <v>99</v>
      </c>
      <c r="CI482">
        <v>35</v>
      </c>
      <c r="CJ482">
        <v>55</v>
      </c>
      <c r="CK482">
        <v>15</v>
      </c>
      <c r="CL482">
        <v>2</v>
      </c>
      <c r="CM482">
        <v>7</v>
      </c>
      <c r="CN482">
        <v>47</v>
      </c>
      <c r="CO482">
        <v>68</v>
      </c>
      <c r="CP482">
        <v>0</v>
      </c>
      <c r="CQ482">
        <v>0</v>
      </c>
      <c r="CR482">
        <v>0</v>
      </c>
      <c r="CS482">
        <v>0</v>
      </c>
      <c r="CT482">
        <v>0</v>
      </c>
      <c r="CU482">
        <v>0</v>
      </c>
      <c r="CV482">
        <v>0</v>
      </c>
      <c r="CW482">
        <v>0</v>
      </c>
      <c r="CX482">
        <v>58.2</v>
      </c>
      <c r="CY482">
        <v>35.9</v>
      </c>
      <c r="CZ482">
        <v>71.2</v>
      </c>
      <c r="DA482">
        <v>48.3</v>
      </c>
      <c r="DB482">
        <v>53.3</v>
      </c>
      <c r="DC482">
        <v>34.299999999999997</v>
      </c>
      <c r="DD482">
        <v>65.5</v>
      </c>
      <c r="DE482">
        <v>46.3</v>
      </c>
      <c r="DF482">
        <v>58.2</v>
      </c>
      <c r="DG482">
        <v>35.9</v>
      </c>
      <c r="DH482">
        <v>71.2</v>
      </c>
      <c r="DI482">
        <v>48.3</v>
      </c>
      <c r="DJ482">
        <v>53.3</v>
      </c>
      <c r="DK482">
        <v>34.299999999999997</v>
      </c>
      <c r="DL482">
        <v>65.5</v>
      </c>
      <c r="DM482">
        <v>46.3</v>
      </c>
      <c r="DN482">
        <v>0</v>
      </c>
      <c r="DO482">
        <v>0</v>
      </c>
      <c r="DP482">
        <v>0</v>
      </c>
      <c r="DQ482">
        <v>0</v>
      </c>
      <c r="DR482">
        <v>0</v>
      </c>
      <c r="DS482">
        <v>0</v>
      </c>
      <c r="DT482">
        <v>0</v>
      </c>
      <c r="DU482">
        <v>0</v>
      </c>
      <c r="DV482" t="s">
        <v>817</v>
      </c>
    </row>
    <row r="483" spans="1:126" x14ac:dyDescent="0.35">
      <c r="A483" t="s">
        <v>818</v>
      </c>
      <c r="B483">
        <v>230110</v>
      </c>
      <c r="C483" s="1">
        <v>44936</v>
      </c>
      <c r="D483" t="s">
        <v>819</v>
      </c>
      <c r="E483" t="s">
        <v>402</v>
      </c>
      <c r="F483" t="s">
        <v>165</v>
      </c>
      <c r="G483" t="s">
        <v>816</v>
      </c>
      <c r="H483">
        <v>7262</v>
      </c>
      <c r="I483" s="17">
        <v>4077</v>
      </c>
      <c r="J483" s="17">
        <v>5462</v>
      </c>
      <c r="K483">
        <v>668</v>
      </c>
      <c r="L483">
        <v>52</v>
      </c>
      <c r="M483">
        <v>0</v>
      </c>
      <c r="N483">
        <v>4797</v>
      </c>
      <c r="O483">
        <v>6130</v>
      </c>
      <c r="P483">
        <v>2465</v>
      </c>
      <c r="Q483">
        <v>1132</v>
      </c>
      <c r="R483">
        <v>7262</v>
      </c>
      <c r="S483">
        <v>4077</v>
      </c>
      <c r="T483">
        <v>5462</v>
      </c>
      <c r="U483">
        <v>668</v>
      </c>
      <c r="V483">
        <v>52</v>
      </c>
      <c r="W483">
        <v>0</v>
      </c>
      <c r="X483">
        <v>4797</v>
      </c>
      <c r="Y483">
        <v>6130</v>
      </c>
      <c r="Z483">
        <v>2465</v>
      </c>
      <c r="AA483">
        <v>1132</v>
      </c>
      <c r="AB483">
        <v>0</v>
      </c>
      <c r="AC483">
        <v>0</v>
      </c>
      <c r="AD483">
        <v>0</v>
      </c>
      <c r="AE483">
        <v>0</v>
      </c>
      <c r="AF483">
        <v>0</v>
      </c>
      <c r="AG483">
        <v>0</v>
      </c>
      <c r="AH483">
        <v>0</v>
      </c>
      <c r="AI483">
        <v>0</v>
      </c>
      <c r="AJ483">
        <v>0</v>
      </c>
      <c r="AK483">
        <v>0</v>
      </c>
      <c r="AL483">
        <v>833</v>
      </c>
      <c r="AM483">
        <v>577</v>
      </c>
      <c r="AN483">
        <v>1046</v>
      </c>
      <c r="AO483">
        <v>-234</v>
      </c>
      <c r="AP483">
        <v>0</v>
      </c>
      <c r="AQ483">
        <v>0</v>
      </c>
      <c r="AR483">
        <v>343</v>
      </c>
      <c r="AS483">
        <v>812</v>
      </c>
      <c r="AT483">
        <v>490</v>
      </c>
      <c r="AU483">
        <v>21</v>
      </c>
      <c r="AV483">
        <v>100</v>
      </c>
      <c r="AW483">
        <v>56.1</v>
      </c>
      <c r="AX483">
        <v>75.2</v>
      </c>
      <c r="AY483">
        <v>9.1999999999999993</v>
      </c>
      <c r="AZ483">
        <v>0.7</v>
      </c>
      <c r="BA483">
        <v>0</v>
      </c>
      <c r="BB483">
        <v>66.099999999999994</v>
      </c>
      <c r="BC483">
        <v>84.4</v>
      </c>
      <c r="BD483">
        <v>33.9</v>
      </c>
      <c r="BE483">
        <v>15.6</v>
      </c>
      <c r="BF483">
        <v>100</v>
      </c>
      <c r="BG483">
        <v>56.1</v>
      </c>
      <c r="BH483">
        <v>75.2</v>
      </c>
      <c r="BI483">
        <v>9.1999999999999993</v>
      </c>
      <c r="BJ483">
        <v>0.7</v>
      </c>
      <c r="BK483">
        <v>0</v>
      </c>
      <c r="BL483">
        <v>66.099999999999994</v>
      </c>
      <c r="BM483">
        <v>84.4</v>
      </c>
      <c r="BN483">
        <v>33.9</v>
      </c>
      <c r="BO483">
        <v>15.6</v>
      </c>
      <c r="BP483">
        <v>0</v>
      </c>
      <c r="BQ483">
        <v>0</v>
      </c>
      <c r="BR483">
        <v>0</v>
      </c>
      <c r="BS483">
        <v>0</v>
      </c>
      <c r="BT483">
        <v>0</v>
      </c>
      <c r="BU483">
        <v>0</v>
      </c>
      <c r="BV483">
        <v>0</v>
      </c>
      <c r="BW483">
        <v>0</v>
      </c>
      <c r="BX483">
        <v>0</v>
      </c>
      <c r="BY483">
        <v>0</v>
      </c>
      <c r="BZ483">
        <v>75</v>
      </c>
      <c r="CA483">
        <v>44</v>
      </c>
      <c r="CB483">
        <v>30</v>
      </c>
      <c r="CC483">
        <v>6</v>
      </c>
      <c r="CD483">
        <v>1</v>
      </c>
      <c r="CE483">
        <v>0</v>
      </c>
      <c r="CF483">
        <v>49</v>
      </c>
      <c r="CG483">
        <v>32</v>
      </c>
      <c r="CH483">
        <v>75</v>
      </c>
      <c r="CI483">
        <v>44</v>
      </c>
      <c r="CJ483">
        <v>30</v>
      </c>
      <c r="CK483">
        <v>6</v>
      </c>
      <c r="CL483">
        <v>1</v>
      </c>
      <c r="CM483">
        <v>0</v>
      </c>
      <c r="CN483">
        <v>49</v>
      </c>
      <c r="CO483">
        <v>32</v>
      </c>
      <c r="CP483">
        <v>0</v>
      </c>
      <c r="CQ483">
        <v>0</v>
      </c>
      <c r="CR483">
        <v>0</v>
      </c>
      <c r="CS483">
        <v>0</v>
      </c>
      <c r="CT483">
        <v>0</v>
      </c>
      <c r="CU483">
        <v>0</v>
      </c>
      <c r="CV483">
        <v>0</v>
      </c>
      <c r="CW483">
        <v>0</v>
      </c>
      <c r="CX483">
        <v>33.9</v>
      </c>
      <c r="CY483">
        <v>50</v>
      </c>
      <c r="CZ483">
        <v>41</v>
      </c>
      <c r="DA483">
        <v>64.2</v>
      </c>
      <c r="DB483">
        <v>26.8</v>
      </c>
      <c r="DC483">
        <v>47</v>
      </c>
      <c r="DD483">
        <v>33.9</v>
      </c>
      <c r="DE483">
        <v>59.2</v>
      </c>
      <c r="DF483">
        <v>33.9</v>
      </c>
      <c r="DG483">
        <v>50</v>
      </c>
      <c r="DH483">
        <v>41</v>
      </c>
      <c r="DI483">
        <v>64.2</v>
      </c>
      <c r="DJ483">
        <v>26.8</v>
      </c>
      <c r="DK483">
        <v>47</v>
      </c>
      <c r="DL483">
        <v>33.9</v>
      </c>
      <c r="DM483">
        <v>59.2</v>
      </c>
      <c r="DN483">
        <v>0</v>
      </c>
      <c r="DO483">
        <v>0</v>
      </c>
      <c r="DP483">
        <v>0</v>
      </c>
      <c r="DQ483">
        <v>0</v>
      </c>
      <c r="DR483">
        <v>0</v>
      </c>
      <c r="DS483">
        <v>0</v>
      </c>
      <c r="DT483">
        <v>0</v>
      </c>
      <c r="DU483">
        <v>0</v>
      </c>
      <c r="DV483" t="s">
        <v>820</v>
      </c>
    </row>
    <row r="484" spans="1:126" x14ac:dyDescent="0.35">
      <c r="A484" t="s">
        <v>818</v>
      </c>
      <c r="B484">
        <v>230103</v>
      </c>
      <c r="C484" s="1">
        <v>44929</v>
      </c>
      <c r="D484" t="s">
        <v>819</v>
      </c>
      <c r="E484" t="s">
        <v>402</v>
      </c>
      <c r="F484" t="s">
        <v>165</v>
      </c>
      <c r="G484" t="s">
        <v>816</v>
      </c>
      <c r="H484">
        <v>6429</v>
      </c>
      <c r="I484" s="17">
        <v>3500</v>
      </c>
      <c r="J484" s="17">
        <v>4416</v>
      </c>
      <c r="K484">
        <v>902</v>
      </c>
      <c r="L484">
        <v>52</v>
      </c>
      <c r="M484">
        <v>0</v>
      </c>
      <c r="N484">
        <v>4454</v>
      </c>
      <c r="O484">
        <v>5318</v>
      </c>
      <c r="P484">
        <v>1975</v>
      </c>
      <c r="Q484">
        <v>1111</v>
      </c>
      <c r="R484">
        <v>6429</v>
      </c>
      <c r="S484">
        <v>3500</v>
      </c>
      <c r="T484">
        <v>4416</v>
      </c>
      <c r="U484">
        <v>902</v>
      </c>
      <c r="V484">
        <v>52</v>
      </c>
      <c r="W484">
        <v>0</v>
      </c>
      <c r="X484">
        <v>4454</v>
      </c>
      <c r="Y484">
        <v>5318</v>
      </c>
      <c r="Z484">
        <v>1975</v>
      </c>
      <c r="AA484">
        <v>1111</v>
      </c>
      <c r="AB484">
        <v>0</v>
      </c>
      <c r="AC484">
        <v>0</v>
      </c>
      <c r="AD484">
        <v>0</v>
      </c>
      <c r="AE484">
        <v>0</v>
      </c>
      <c r="AF484">
        <v>0</v>
      </c>
      <c r="AG484">
        <v>0</v>
      </c>
      <c r="AH484">
        <v>0</v>
      </c>
      <c r="AI484">
        <v>0</v>
      </c>
      <c r="AJ484">
        <v>0</v>
      </c>
      <c r="AK484">
        <v>0</v>
      </c>
      <c r="AL484">
        <v>-4717</v>
      </c>
      <c r="AM484">
        <v>-4530</v>
      </c>
      <c r="AN484">
        <v>-3592</v>
      </c>
      <c r="AO484">
        <v>74</v>
      </c>
      <c r="AP484">
        <v>52</v>
      </c>
      <c r="AQ484">
        <v>-800</v>
      </c>
      <c r="AR484">
        <v>-4404</v>
      </c>
      <c r="AS484">
        <v>-4318</v>
      </c>
      <c r="AT484">
        <v>-313</v>
      </c>
      <c r="AU484">
        <v>-399</v>
      </c>
      <c r="AV484">
        <v>100</v>
      </c>
      <c r="AW484">
        <v>54.4</v>
      </c>
      <c r="AX484">
        <v>68.7</v>
      </c>
      <c r="AY484">
        <v>14</v>
      </c>
      <c r="AZ484">
        <v>0.8</v>
      </c>
      <c r="BA484">
        <v>0</v>
      </c>
      <c r="BB484">
        <v>69.3</v>
      </c>
      <c r="BC484">
        <v>82.7</v>
      </c>
      <c r="BD484">
        <v>30.7</v>
      </c>
      <c r="BE484">
        <v>17.3</v>
      </c>
      <c r="BF484">
        <v>100</v>
      </c>
      <c r="BG484">
        <v>54.4</v>
      </c>
      <c r="BH484">
        <v>68.7</v>
      </c>
      <c r="BI484">
        <v>14</v>
      </c>
      <c r="BJ484">
        <v>0.8</v>
      </c>
      <c r="BK484">
        <v>0</v>
      </c>
      <c r="BL484">
        <v>69.3</v>
      </c>
      <c r="BM484">
        <v>82.7</v>
      </c>
      <c r="BN484">
        <v>30.7</v>
      </c>
      <c r="BO484">
        <v>17.3</v>
      </c>
      <c r="BP484">
        <v>0</v>
      </c>
      <c r="BQ484">
        <v>0</v>
      </c>
      <c r="BR484">
        <v>0</v>
      </c>
      <c r="BS484">
        <v>0</v>
      </c>
      <c r="BT484">
        <v>0</v>
      </c>
      <c r="BU484">
        <v>0</v>
      </c>
      <c r="BV484">
        <v>0</v>
      </c>
      <c r="BW484">
        <v>0</v>
      </c>
      <c r="BX484">
        <v>0</v>
      </c>
      <c r="BY484">
        <v>0</v>
      </c>
      <c r="BZ484">
        <v>70</v>
      </c>
      <c r="CA484">
        <v>35</v>
      </c>
      <c r="CB484">
        <v>34</v>
      </c>
      <c r="CC484">
        <v>7</v>
      </c>
      <c r="CD484">
        <v>1</v>
      </c>
      <c r="CE484">
        <v>0</v>
      </c>
      <c r="CF484">
        <v>40</v>
      </c>
      <c r="CG484">
        <v>37</v>
      </c>
      <c r="CH484">
        <v>70</v>
      </c>
      <c r="CI484">
        <v>35</v>
      </c>
      <c r="CJ484">
        <v>34</v>
      </c>
      <c r="CK484">
        <v>7</v>
      </c>
      <c r="CL484">
        <v>1</v>
      </c>
      <c r="CM484">
        <v>0</v>
      </c>
      <c r="CN484">
        <v>40</v>
      </c>
      <c r="CO484">
        <v>37</v>
      </c>
      <c r="CP484">
        <v>0</v>
      </c>
      <c r="CQ484">
        <v>0</v>
      </c>
      <c r="CR484">
        <v>0</v>
      </c>
      <c r="CS484">
        <v>0</v>
      </c>
      <c r="CT484">
        <v>0</v>
      </c>
      <c r="CU484">
        <v>0</v>
      </c>
      <c r="CV484">
        <v>0</v>
      </c>
      <c r="CW484">
        <v>0</v>
      </c>
      <c r="CX484">
        <v>35</v>
      </c>
      <c r="CY484">
        <v>41.9</v>
      </c>
      <c r="CZ484">
        <v>46.2</v>
      </c>
      <c r="DA484">
        <v>57.1</v>
      </c>
      <c r="DB484">
        <v>24.1</v>
      </c>
      <c r="DC484">
        <v>37.5</v>
      </c>
      <c r="DD484">
        <v>35.299999999999997</v>
      </c>
      <c r="DE484">
        <v>49.4</v>
      </c>
      <c r="DF484">
        <v>35</v>
      </c>
      <c r="DG484">
        <v>41.9</v>
      </c>
      <c r="DH484">
        <v>46.2</v>
      </c>
      <c r="DI484">
        <v>57.1</v>
      </c>
      <c r="DJ484">
        <v>24.1</v>
      </c>
      <c r="DK484">
        <v>37.5</v>
      </c>
      <c r="DL484">
        <v>35.299999999999997</v>
      </c>
      <c r="DM484">
        <v>49.4</v>
      </c>
      <c r="DN484">
        <v>0</v>
      </c>
      <c r="DO484">
        <v>0</v>
      </c>
      <c r="DP484">
        <v>0</v>
      </c>
      <c r="DQ484">
        <v>0</v>
      </c>
      <c r="DR484">
        <v>0</v>
      </c>
      <c r="DS484">
        <v>0</v>
      </c>
      <c r="DT484">
        <v>0</v>
      </c>
      <c r="DU484">
        <v>0</v>
      </c>
      <c r="DV484" t="s">
        <v>820</v>
      </c>
    </row>
    <row r="485" spans="1:126" x14ac:dyDescent="0.35">
      <c r="A485" t="s">
        <v>821</v>
      </c>
      <c r="B485">
        <v>230110</v>
      </c>
      <c r="C485" s="1">
        <v>44936</v>
      </c>
      <c r="D485" t="s">
        <v>822</v>
      </c>
      <c r="E485" t="s">
        <v>402</v>
      </c>
      <c r="F485" t="s">
        <v>165</v>
      </c>
      <c r="G485" t="s">
        <v>823</v>
      </c>
      <c r="H485">
        <v>8567996</v>
      </c>
      <c r="I485" s="17">
        <v>1523303</v>
      </c>
      <c r="J485" s="17">
        <v>1662281</v>
      </c>
      <c r="K485">
        <v>1953407</v>
      </c>
      <c r="L485">
        <v>5071058</v>
      </c>
      <c r="M485">
        <v>4924887</v>
      </c>
      <c r="N485">
        <v>8547768</v>
      </c>
      <c r="O485">
        <v>8540575</v>
      </c>
      <c r="P485">
        <v>20228</v>
      </c>
      <c r="Q485">
        <v>27421</v>
      </c>
      <c r="R485">
        <v>8567996</v>
      </c>
      <c r="S485">
        <v>1523303</v>
      </c>
      <c r="T485">
        <v>1662281</v>
      </c>
      <c r="U485">
        <v>1953407</v>
      </c>
      <c r="V485">
        <v>5071058</v>
      </c>
      <c r="W485">
        <v>4924887</v>
      </c>
      <c r="X485">
        <v>8547768</v>
      </c>
      <c r="Y485">
        <v>8540575</v>
      </c>
      <c r="Z485">
        <v>20228</v>
      </c>
      <c r="AA485">
        <v>27421</v>
      </c>
      <c r="AB485">
        <v>0</v>
      </c>
      <c r="AC485">
        <v>0</v>
      </c>
      <c r="AD485">
        <v>0</v>
      </c>
      <c r="AE485">
        <v>0</v>
      </c>
      <c r="AF485">
        <v>0</v>
      </c>
      <c r="AG485">
        <v>0</v>
      </c>
      <c r="AH485">
        <v>0</v>
      </c>
      <c r="AI485">
        <v>0</v>
      </c>
      <c r="AJ485">
        <v>0</v>
      </c>
      <c r="AK485">
        <v>0</v>
      </c>
      <c r="AL485">
        <v>431098</v>
      </c>
      <c r="AM485">
        <v>8730</v>
      </c>
      <c r="AN485">
        <v>-27510</v>
      </c>
      <c r="AO485">
        <v>154278</v>
      </c>
      <c r="AP485">
        <v>267779</v>
      </c>
      <c r="AQ485">
        <v>300287</v>
      </c>
      <c r="AR485">
        <v>430787</v>
      </c>
      <c r="AS485">
        <v>427055</v>
      </c>
      <c r="AT485">
        <v>311</v>
      </c>
      <c r="AU485">
        <v>4043</v>
      </c>
      <c r="AV485">
        <v>100</v>
      </c>
      <c r="AW485">
        <v>17.8</v>
      </c>
      <c r="AX485">
        <v>19.399999999999999</v>
      </c>
      <c r="AY485">
        <v>22.8</v>
      </c>
      <c r="AZ485">
        <v>59.2</v>
      </c>
      <c r="BA485">
        <v>57.5</v>
      </c>
      <c r="BB485">
        <v>99.8</v>
      </c>
      <c r="BC485">
        <v>99.7</v>
      </c>
      <c r="BD485">
        <v>0.2</v>
      </c>
      <c r="BE485">
        <v>0.3</v>
      </c>
      <c r="BF485">
        <v>100</v>
      </c>
      <c r="BG485">
        <v>17.8</v>
      </c>
      <c r="BH485">
        <v>19.399999999999999</v>
      </c>
      <c r="BI485">
        <v>22.8</v>
      </c>
      <c r="BJ485">
        <v>59.2</v>
      </c>
      <c r="BK485">
        <v>57.5</v>
      </c>
      <c r="BL485">
        <v>99.8</v>
      </c>
      <c r="BM485">
        <v>99.7</v>
      </c>
      <c r="BN485">
        <v>0.2</v>
      </c>
      <c r="BO485">
        <v>0.3</v>
      </c>
      <c r="BP485">
        <v>0</v>
      </c>
      <c r="BQ485">
        <v>0</v>
      </c>
      <c r="BR485">
        <v>0</v>
      </c>
      <c r="BS485">
        <v>0</v>
      </c>
      <c r="BT485">
        <v>0</v>
      </c>
      <c r="BU485">
        <v>0</v>
      </c>
      <c r="BV485">
        <v>0</v>
      </c>
      <c r="BW485">
        <v>0</v>
      </c>
      <c r="BX485">
        <v>0</v>
      </c>
      <c r="BY485">
        <v>0</v>
      </c>
      <c r="BZ485">
        <v>583</v>
      </c>
      <c r="CA485">
        <v>93</v>
      </c>
      <c r="CB485">
        <v>205</v>
      </c>
      <c r="CC485">
        <v>215</v>
      </c>
      <c r="CD485">
        <v>190</v>
      </c>
      <c r="CE485">
        <v>208</v>
      </c>
      <c r="CF485">
        <v>432</v>
      </c>
      <c r="CG485">
        <v>528</v>
      </c>
      <c r="CH485">
        <v>583</v>
      </c>
      <c r="CI485">
        <v>93</v>
      </c>
      <c r="CJ485">
        <v>205</v>
      </c>
      <c r="CK485">
        <v>215</v>
      </c>
      <c r="CL485">
        <v>190</v>
      </c>
      <c r="CM485">
        <v>208</v>
      </c>
      <c r="CN485">
        <v>432</v>
      </c>
      <c r="CO485">
        <v>528</v>
      </c>
      <c r="CP485">
        <v>0</v>
      </c>
      <c r="CQ485">
        <v>0</v>
      </c>
      <c r="CR485">
        <v>0</v>
      </c>
      <c r="CS485">
        <v>0</v>
      </c>
      <c r="CT485">
        <v>0</v>
      </c>
      <c r="CU485">
        <v>0</v>
      </c>
      <c r="CV485">
        <v>0</v>
      </c>
      <c r="CW485">
        <v>0</v>
      </c>
      <c r="CX485">
        <v>27.9</v>
      </c>
      <c r="CY485">
        <v>29.2</v>
      </c>
      <c r="CZ485">
        <v>40.299999999999997</v>
      </c>
      <c r="DA485">
        <v>39.9</v>
      </c>
      <c r="DB485">
        <v>26.3</v>
      </c>
      <c r="DC485">
        <v>27.4</v>
      </c>
      <c r="DD485">
        <v>34</v>
      </c>
      <c r="DE485">
        <v>32.299999999999997</v>
      </c>
      <c r="DF485">
        <v>27.9</v>
      </c>
      <c r="DG485">
        <v>29.2</v>
      </c>
      <c r="DH485">
        <v>40.299999999999997</v>
      </c>
      <c r="DI485">
        <v>39.9</v>
      </c>
      <c r="DJ485">
        <v>26.3</v>
      </c>
      <c r="DK485">
        <v>27.4</v>
      </c>
      <c r="DL485">
        <v>34</v>
      </c>
      <c r="DM485">
        <v>32.299999999999997</v>
      </c>
      <c r="DN485">
        <v>0</v>
      </c>
      <c r="DO485">
        <v>0</v>
      </c>
      <c r="DP485">
        <v>0</v>
      </c>
      <c r="DQ485">
        <v>0</v>
      </c>
      <c r="DR485">
        <v>0</v>
      </c>
      <c r="DS485">
        <v>0</v>
      </c>
      <c r="DT485">
        <v>0</v>
      </c>
      <c r="DU485">
        <v>0</v>
      </c>
      <c r="DV485" t="s">
        <v>824</v>
      </c>
    </row>
    <row r="486" spans="1:126" x14ac:dyDescent="0.35">
      <c r="A486" t="s">
        <v>821</v>
      </c>
      <c r="B486">
        <v>230103</v>
      </c>
      <c r="C486" s="1">
        <v>44929</v>
      </c>
      <c r="D486" t="s">
        <v>822</v>
      </c>
      <c r="E486" t="s">
        <v>402</v>
      </c>
      <c r="F486" t="s">
        <v>165</v>
      </c>
      <c r="G486" t="s">
        <v>823</v>
      </c>
      <c r="H486">
        <v>8136898</v>
      </c>
      <c r="I486" s="17">
        <v>1514573</v>
      </c>
      <c r="J486" s="17">
        <v>1689791</v>
      </c>
      <c r="K486">
        <v>1799129</v>
      </c>
      <c r="L486">
        <v>4803279</v>
      </c>
      <c r="M486">
        <v>4624600</v>
      </c>
      <c r="N486">
        <v>8116981</v>
      </c>
      <c r="O486">
        <v>8113520</v>
      </c>
      <c r="P486">
        <v>19917</v>
      </c>
      <c r="Q486">
        <v>23378</v>
      </c>
      <c r="R486">
        <v>8136898</v>
      </c>
      <c r="S486">
        <v>1514573</v>
      </c>
      <c r="T486">
        <v>1689791</v>
      </c>
      <c r="U486">
        <v>1799129</v>
      </c>
      <c r="V486">
        <v>4803279</v>
      </c>
      <c r="W486">
        <v>4624600</v>
      </c>
      <c r="X486">
        <v>8116981</v>
      </c>
      <c r="Y486">
        <v>8113520</v>
      </c>
      <c r="Z486">
        <v>19917</v>
      </c>
      <c r="AA486">
        <v>23378</v>
      </c>
      <c r="AB486">
        <v>0</v>
      </c>
      <c r="AC486">
        <v>0</v>
      </c>
      <c r="AD486">
        <v>0</v>
      </c>
      <c r="AE486">
        <v>0</v>
      </c>
      <c r="AF486">
        <v>0</v>
      </c>
      <c r="AG486">
        <v>0</v>
      </c>
      <c r="AH486">
        <v>0</v>
      </c>
      <c r="AI486">
        <v>0</v>
      </c>
      <c r="AJ486">
        <v>0</v>
      </c>
      <c r="AK486">
        <v>0</v>
      </c>
      <c r="AL486">
        <v>11071</v>
      </c>
      <c r="AM486">
        <v>-6898</v>
      </c>
      <c r="AN486">
        <v>80721</v>
      </c>
      <c r="AO486">
        <v>-56764</v>
      </c>
      <c r="AP486">
        <v>74843</v>
      </c>
      <c r="AQ486">
        <v>-12048</v>
      </c>
      <c r="AR486">
        <v>11181</v>
      </c>
      <c r="AS486">
        <v>11909</v>
      </c>
      <c r="AT486">
        <v>-110</v>
      </c>
      <c r="AU486">
        <v>-838</v>
      </c>
      <c r="AV486">
        <v>100</v>
      </c>
      <c r="AW486">
        <v>18.600000000000001</v>
      </c>
      <c r="AX486">
        <v>20.8</v>
      </c>
      <c r="AY486">
        <v>22.1</v>
      </c>
      <c r="AZ486">
        <v>59</v>
      </c>
      <c r="BA486">
        <v>56.8</v>
      </c>
      <c r="BB486">
        <v>99.8</v>
      </c>
      <c r="BC486">
        <v>99.7</v>
      </c>
      <c r="BD486">
        <v>0.2</v>
      </c>
      <c r="BE486">
        <v>0.3</v>
      </c>
      <c r="BF486">
        <v>100</v>
      </c>
      <c r="BG486">
        <v>18.600000000000001</v>
      </c>
      <c r="BH486">
        <v>20.8</v>
      </c>
      <c r="BI486">
        <v>22.1</v>
      </c>
      <c r="BJ486">
        <v>59</v>
      </c>
      <c r="BK486">
        <v>56.8</v>
      </c>
      <c r="BL486">
        <v>99.8</v>
      </c>
      <c r="BM486">
        <v>99.7</v>
      </c>
      <c r="BN486">
        <v>0.2</v>
      </c>
      <c r="BO486">
        <v>0.3</v>
      </c>
      <c r="BP486">
        <v>0</v>
      </c>
      <c r="BQ486">
        <v>0</v>
      </c>
      <c r="BR486">
        <v>0</v>
      </c>
      <c r="BS486">
        <v>0</v>
      </c>
      <c r="BT486">
        <v>0</v>
      </c>
      <c r="BU486">
        <v>0</v>
      </c>
      <c r="BV486">
        <v>0</v>
      </c>
      <c r="BW486">
        <v>0</v>
      </c>
      <c r="BX486">
        <v>0</v>
      </c>
      <c r="BY486">
        <v>0</v>
      </c>
      <c r="BZ486">
        <v>562</v>
      </c>
      <c r="CA486">
        <v>88</v>
      </c>
      <c r="CB486">
        <v>206</v>
      </c>
      <c r="CC486">
        <v>192</v>
      </c>
      <c r="CD486">
        <v>187</v>
      </c>
      <c r="CE486">
        <v>208</v>
      </c>
      <c r="CF486">
        <v>410</v>
      </c>
      <c r="CG486">
        <v>506</v>
      </c>
      <c r="CH486">
        <v>562</v>
      </c>
      <c r="CI486">
        <v>88</v>
      </c>
      <c r="CJ486">
        <v>206</v>
      </c>
      <c r="CK486">
        <v>192</v>
      </c>
      <c r="CL486">
        <v>187</v>
      </c>
      <c r="CM486">
        <v>208</v>
      </c>
      <c r="CN486">
        <v>410</v>
      </c>
      <c r="CO486">
        <v>506</v>
      </c>
      <c r="CP486">
        <v>0</v>
      </c>
      <c r="CQ486">
        <v>0</v>
      </c>
      <c r="CR486">
        <v>0</v>
      </c>
      <c r="CS486">
        <v>0</v>
      </c>
      <c r="CT486">
        <v>0</v>
      </c>
      <c r="CU486">
        <v>0</v>
      </c>
      <c r="CV486">
        <v>0</v>
      </c>
      <c r="CW486">
        <v>0</v>
      </c>
      <c r="CX486">
        <v>28</v>
      </c>
      <c r="CY486">
        <v>29.1</v>
      </c>
      <c r="CZ486">
        <v>41.1</v>
      </c>
      <c r="DA486">
        <v>39.9</v>
      </c>
      <c r="DB486">
        <v>26.8</v>
      </c>
      <c r="DC486">
        <v>27</v>
      </c>
      <c r="DD486">
        <v>35</v>
      </c>
      <c r="DE486">
        <v>32.1</v>
      </c>
      <c r="DF486">
        <v>28</v>
      </c>
      <c r="DG486">
        <v>29.1</v>
      </c>
      <c r="DH486">
        <v>41.1</v>
      </c>
      <c r="DI486">
        <v>39.9</v>
      </c>
      <c r="DJ486">
        <v>26.8</v>
      </c>
      <c r="DK486">
        <v>27</v>
      </c>
      <c r="DL486">
        <v>35</v>
      </c>
      <c r="DM486">
        <v>32.1</v>
      </c>
      <c r="DN486">
        <v>0</v>
      </c>
      <c r="DO486">
        <v>0</v>
      </c>
      <c r="DP486">
        <v>0</v>
      </c>
      <c r="DQ486">
        <v>0</v>
      </c>
      <c r="DR486">
        <v>0</v>
      </c>
      <c r="DS486">
        <v>0</v>
      </c>
      <c r="DT486">
        <v>0</v>
      </c>
      <c r="DU486">
        <v>0</v>
      </c>
      <c r="DV486" t="s">
        <v>824</v>
      </c>
    </row>
    <row r="487" spans="1:126" x14ac:dyDescent="0.35">
      <c r="A487" t="s">
        <v>825</v>
      </c>
      <c r="B487">
        <v>230110</v>
      </c>
      <c r="C487" s="1">
        <v>44936</v>
      </c>
      <c r="D487" t="s">
        <v>826</v>
      </c>
      <c r="E487" t="s">
        <v>402</v>
      </c>
      <c r="F487" t="s">
        <v>165</v>
      </c>
      <c r="G487" t="s">
        <v>823</v>
      </c>
      <c r="H487">
        <v>610680</v>
      </c>
      <c r="I487" s="17">
        <v>143983</v>
      </c>
      <c r="J487" s="17">
        <v>107477</v>
      </c>
      <c r="K487">
        <v>85055</v>
      </c>
      <c r="L487">
        <v>381490</v>
      </c>
      <c r="M487">
        <v>417865</v>
      </c>
      <c r="N487">
        <v>610528</v>
      </c>
      <c r="O487">
        <v>610397</v>
      </c>
      <c r="P487">
        <v>152</v>
      </c>
      <c r="Q487">
        <v>283</v>
      </c>
      <c r="R487">
        <v>610680</v>
      </c>
      <c r="S487">
        <v>143983</v>
      </c>
      <c r="T487">
        <v>107477</v>
      </c>
      <c r="U487">
        <v>85055</v>
      </c>
      <c r="V487">
        <v>381490</v>
      </c>
      <c r="W487">
        <v>417865</v>
      </c>
      <c r="X487">
        <v>610528</v>
      </c>
      <c r="Y487">
        <v>610397</v>
      </c>
      <c r="Z487">
        <v>152</v>
      </c>
      <c r="AA487">
        <v>283</v>
      </c>
      <c r="AB487">
        <v>0</v>
      </c>
      <c r="AC487">
        <v>0</v>
      </c>
      <c r="AD487">
        <v>0</v>
      </c>
      <c r="AE487">
        <v>0</v>
      </c>
      <c r="AF487">
        <v>0</v>
      </c>
      <c r="AG487">
        <v>0</v>
      </c>
      <c r="AH487">
        <v>0</v>
      </c>
      <c r="AI487">
        <v>0</v>
      </c>
      <c r="AJ487">
        <v>0</v>
      </c>
      <c r="AK487">
        <v>0</v>
      </c>
      <c r="AL487">
        <v>38889</v>
      </c>
      <c r="AM487">
        <v>21525</v>
      </c>
      <c r="AN487">
        <v>-9463</v>
      </c>
      <c r="AO487">
        <v>5769</v>
      </c>
      <c r="AP487">
        <v>11571</v>
      </c>
      <c r="AQ487">
        <v>42918</v>
      </c>
      <c r="AR487">
        <v>38865</v>
      </c>
      <c r="AS487">
        <v>39224</v>
      </c>
      <c r="AT487">
        <v>24</v>
      </c>
      <c r="AU487">
        <v>-335</v>
      </c>
      <c r="AV487">
        <v>100</v>
      </c>
      <c r="AW487">
        <v>23.6</v>
      </c>
      <c r="AX487">
        <v>17.600000000000001</v>
      </c>
      <c r="AY487">
        <v>13.9</v>
      </c>
      <c r="AZ487">
        <v>62.5</v>
      </c>
      <c r="BA487">
        <v>68.400000000000006</v>
      </c>
      <c r="BB487">
        <v>100</v>
      </c>
      <c r="BC487">
        <v>100</v>
      </c>
      <c r="BD487">
        <v>0</v>
      </c>
      <c r="BE487">
        <v>0</v>
      </c>
      <c r="BF487">
        <v>100</v>
      </c>
      <c r="BG487">
        <v>23.6</v>
      </c>
      <c r="BH487">
        <v>17.600000000000001</v>
      </c>
      <c r="BI487">
        <v>13.9</v>
      </c>
      <c r="BJ487">
        <v>62.5</v>
      </c>
      <c r="BK487">
        <v>68.400000000000006</v>
      </c>
      <c r="BL487">
        <v>100</v>
      </c>
      <c r="BM487">
        <v>100</v>
      </c>
      <c r="BN487">
        <v>0</v>
      </c>
      <c r="BO487">
        <v>0</v>
      </c>
      <c r="BP487">
        <v>0</v>
      </c>
      <c r="BQ487">
        <v>0</v>
      </c>
      <c r="BR487">
        <v>0</v>
      </c>
      <c r="BS487">
        <v>0</v>
      </c>
      <c r="BT487">
        <v>0</v>
      </c>
      <c r="BU487">
        <v>0</v>
      </c>
      <c r="BV487">
        <v>0</v>
      </c>
      <c r="BW487">
        <v>0</v>
      </c>
      <c r="BX487">
        <v>0</v>
      </c>
      <c r="BY487">
        <v>0</v>
      </c>
      <c r="BZ487">
        <v>168</v>
      </c>
      <c r="CA487">
        <v>38</v>
      </c>
      <c r="CB487">
        <v>37</v>
      </c>
      <c r="CC487">
        <v>52</v>
      </c>
      <c r="CD487">
        <v>62</v>
      </c>
      <c r="CE487">
        <v>80</v>
      </c>
      <c r="CF487">
        <v>122</v>
      </c>
      <c r="CG487">
        <v>149</v>
      </c>
      <c r="CH487">
        <v>168</v>
      </c>
      <c r="CI487">
        <v>38</v>
      </c>
      <c r="CJ487">
        <v>37</v>
      </c>
      <c r="CK487">
        <v>52</v>
      </c>
      <c r="CL487">
        <v>62</v>
      </c>
      <c r="CM487">
        <v>80</v>
      </c>
      <c r="CN487">
        <v>122</v>
      </c>
      <c r="CO487">
        <v>149</v>
      </c>
      <c r="CP487">
        <v>0</v>
      </c>
      <c r="CQ487">
        <v>0</v>
      </c>
      <c r="CR487">
        <v>0</v>
      </c>
      <c r="CS487">
        <v>0</v>
      </c>
      <c r="CT487">
        <v>0</v>
      </c>
      <c r="CU487">
        <v>0</v>
      </c>
      <c r="CV487">
        <v>0</v>
      </c>
      <c r="CW487">
        <v>0</v>
      </c>
      <c r="CX487">
        <v>36.6</v>
      </c>
      <c r="CY487">
        <v>30.6</v>
      </c>
      <c r="CZ487">
        <v>52.1</v>
      </c>
      <c r="DA487">
        <v>44.1</v>
      </c>
      <c r="DB487">
        <v>34.4</v>
      </c>
      <c r="DC487">
        <v>25.8</v>
      </c>
      <c r="DD487">
        <v>45</v>
      </c>
      <c r="DE487">
        <v>33.4</v>
      </c>
      <c r="DF487">
        <v>36.6</v>
      </c>
      <c r="DG487">
        <v>30.6</v>
      </c>
      <c r="DH487">
        <v>52.1</v>
      </c>
      <c r="DI487">
        <v>44.1</v>
      </c>
      <c r="DJ487">
        <v>34.4</v>
      </c>
      <c r="DK487">
        <v>25.8</v>
      </c>
      <c r="DL487">
        <v>45</v>
      </c>
      <c r="DM487">
        <v>33.4</v>
      </c>
      <c r="DN487">
        <v>0</v>
      </c>
      <c r="DO487">
        <v>0</v>
      </c>
      <c r="DP487">
        <v>0</v>
      </c>
      <c r="DQ487">
        <v>0</v>
      </c>
      <c r="DR487">
        <v>0</v>
      </c>
      <c r="DS487">
        <v>0</v>
      </c>
      <c r="DT487">
        <v>0</v>
      </c>
      <c r="DU487">
        <v>0</v>
      </c>
      <c r="DV487" t="s">
        <v>827</v>
      </c>
    </row>
    <row r="488" spans="1:126" x14ac:dyDescent="0.35">
      <c r="A488" t="s">
        <v>825</v>
      </c>
      <c r="B488">
        <v>230103</v>
      </c>
      <c r="C488" s="1">
        <v>44929</v>
      </c>
      <c r="D488" t="s">
        <v>826</v>
      </c>
      <c r="E488" t="s">
        <v>402</v>
      </c>
      <c r="F488" t="s">
        <v>165</v>
      </c>
      <c r="G488" t="s">
        <v>823</v>
      </c>
      <c r="H488">
        <v>571791</v>
      </c>
      <c r="I488" s="17">
        <v>122458</v>
      </c>
      <c r="J488" s="17">
        <v>116940</v>
      </c>
      <c r="K488">
        <v>79286</v>
      </c>
      <c r="L488">
        <v>369919</v>
      </c>
      <c r="M488">
        <v>374947</v>
      </c>
      <c r="N488">
        <v>571663</v>
      </c>
      <c r="O488">
        <v>571173</v>
      </c>
      <c r="P488">
        <v>128</v>
      </c>
      <c r="Q488">
        <v>618</v>
      </c>
      <c r="R488">
        <v>571791</v>
      </c>
      <c r="S488">
        <v>122458</v>
      </c>
      <c r="T488">
        <v>116940</v>
      </c>
      <c r="U488">
        <v>79286</v>
      </c>
      <c r="V488">
        <v>369919</v>
      </c>
      <c r="W488">
        <v>374947</v>
      </c>
      <c r="X488">
        <v>571663</v>
      </c>
      <c r="Y488">
        <v>571173</v>
      </c>
      <c r="Z488">
        <v>128</v>
      </c>
      <c r="AA488">
        <v>618</v>
      </c>
      <c r="AB488">
        <v>0</v>
      </c>
      <c r="AC488">
        <v>0</v>
      </c>
      <c r="AD488">
        <v>0</v>
      </c>
      <c r="AE488">
        <v>0</v>
      </c>
      <c r="AF488">
        <v>0</v>
      </c>
      <c r="AG488">
        <v>0</v>
      </c>
      <c r="AH488">
        <v>0</v>
      </c>
      <c r="AI488">
        <v>0</v>
      </c>
      <c r="AJ488">
        <v>0</v>
      </c>
      <c r="AK488">
        <v>0</v>
      </c>
      <c r="AL488">
        <v>-175502</v>
      </c>
      <c r="AM488">
        <v>-17989</v>
      </c>
      <c r="AN488">
        <v>-18329</v>
      </c>
      <c r="AO488">
        <v>-21611</v>
      </c>
      <c r="AP488">
        <v>-135762</v>
      </c>
      <c r="AQ488">
        <v>-135934</v>
      </c>
      <c r="AR488">
        <v>-175362</v>
      </c>
      <c r="AS488">
        <v>-175874</v>
      </c>
      <c r="AT488">
        <v>-140</v>
      </c>
      <c r="AU488">
        <v>372</v>
      </c>
      <c r="AV488">
        <v>100</v>
      </c>
      <c r="AW488">
        <v>21.4</v>
      </c>
      <c r="AX488">
        <v>20.5</v>
      </c>
      <c r="AY488">
        <v>13.9</v>
      </c>
      <c r="AZ488">
        <v>64.7</v>
      </c>
      <c r="BA488">
        <v>65.599999999999994</v>
      </c>
      <c r="BB488">
        <v>100</v>
      </c>
      <c r="BC488">
        <v>99.9</v>
      </c>
      <c r="BD488">
        <v>0</v>
      </c>
      <c r="BE488">
        <v>0.1</v>
      </c>
      <c r="BF488">
        <v>100</v>
      </c>
      <c r="BG488">
        <v>21.4</v>
      </c>
      <c r="BH488">
        <v>20.5</v>
      </c>
      <c r="BI488">
        <v>13.9</v>
      </c>
      <c r="BJ488">
        <v>64.7</v>
      </c>
      <c r="BK488">
        <v>65.599999999999994</v>
      </c>
      <c r="BL488">
        <v>100</v>
      </c>
      <c r="BM488">
        <v>99.9</v>
      </c>
      <c r="BN488">
        <v>0</v>
      </c>
      <c r="BO488">
        <v>0.1</v>
      </c>
      <c r="BP488">
        <v>0</v>
      </c>
      <c r="BQ488">
        <v>0</v>
      </c>
      <c r="BR488">
        <v>0</v>
      </c>
      <c r="BS488">
        <v>0</v>
      </c>
      <c r="BT488">
        <v>0</v>
      </c>
      <c r="BU488">
        <v>0</v>
      </c>
      <c r="BV488">
        <v>0</v>
      </c>
      <c r="BW488">
        <v>0</v>
      </c>
      <c r="BX488">
        <v>0</v>
      </c>
      <c r="BY488">
        <v>0</v>
      </c>
      <c r="BZ488">
        <v>165</v>
      </c>
      <c r="CA488">
        <v>32</v>
      </c>
      <c r="CB488">
        <v>41</v>
      </c>
      <c r="CC488">
        <v>50</v>
      </c>
      <c r="CD488">
        <v>61</v>
      </c>
      <c r="CE488">
        <v>79</v>
      </c>
      <c r="CF488">
        <v>120</v>
      </c>
      <c r="CG488">
        <v>145</v>
      </c>
      <c r="CH488">
        <v>165</v>
      </c>
      <c r="CI488">
        <v>32</v>
      </c>
      <c r="CJ488">
        <v>41</v>
      </c>
      <c r="CK488">
        <v>50</v>
      </c>
      <c r="CL488">
        <v>61</v>
      </c>
      <c r="CM488">
        <v>79</v>
      </c>
      <c r="CN488">
        <v>120</v>
      </c>
      <c r="CO488">
        <v>145</v>
      </c>
      <c r="CP488">
        <v>0</v>
      </c>
      <c r="CQ488">
        <v>0</v>
      </c>
      <c r="CR488">
        <v>0</v>
      </c>
      <c r="CS488">
        <v>0</v>
      </c>
      <c r="CT488">
        <v>0</v>
      </c>
      <c r="CU488">
        <v>0</v>
      </c>
      <c r="CV488">
        <v>0</v>
      </c>
      <c r="CW488">
        <v>0</v>
      </c>
      <c r="CX488">
        <v>38.299999999999997</v>
      </c>
      <c r="CY488">
        <v>30.9</v>
      </c>
      <c r="CZ488">
        <v>53.8</v>
      </c>
      <c r="DA488">
        <v>43.9</v>
      </c>
      <c r="DB488">
        <v>35.4</v>
      </c>
      <c r="DC488">
        <v>25</v>
      </c>
      <c r="DD488">
        <v>47.1</v>
      </c>
      <c r="DE488">
        <v>33.200000000000003</v>
      </c>
      <c r="DF488">
        <v>38.299999999999997</v>
      </c>
      <c r="DG488">
        <v>30.9</v>
      </c>
      <c r="DH488">
        <v>53.8</v>
      </c>
      <c r="DI488">
        <v>43.9</v>
      </c>
      <c r="DJ488">
        <v>35.4</v>
      </c>
      <c r="DK488">
        <v>25</v>
      </c>
      <c r="DL488">
        <v>47.1</v>
      </c>
      <c r="DM488">
        <v>33.200000000000003</v>
      </c>
      <c r="DN488">
        <v>0</v>
      </c>
      <c r="DO488">
        <v>0</v>
      </c>
      <c r="DP488">
        <v>0</v>
      </c>
      <c r="DQ488">
        <v>0</v>
      </c>
      <c r="DR488">
        <v>0</v>
      </c>
      <c r="DS488">
        <v>0</v>
      </c>
      <c r="DT488">
        <v>0</v>
      </c>
      <c r="DU488">
        <v>0</v>
      </c>
      <c r="DV488" t="s">
        <v>827</v>
      </c>
    </row>
    <row r="489" spans="1:126" x14ac:dyDescent="0.35">
      <c r="A489" t="s">
        <v>828</v>
      </c>
      <c r="B489">
        <v>230110</v>
      </c>
      <c r="C489" s="1">
        <v>44936</v>
      </c>
      <c r="D489" t="s">
        <v>829</v>
      </c>
      <c r="E489" t="s">
        <v>393</v>
      </c>
      <c r="F489" t="s">
        <v>185</v>
      </c>
      <c r="G489" t="s">
        <v>830</v>
      </c>
      <c r="H489">
        <v>213017</v>
      </c>
      <c r="I489" s="17">
        <v>23657</v>
      </c>
      <c r="J489" s="17">
        <v>27919</v>
      </c>
      <c r="K489">
        <v>12995</v>
      </c>
      <c r="L489">
        <v>175322</v>
      </c>
      <c r="M489">
        <v>170561</v>
      </c>
      <c r="N489">
        <v>211974</v>
      </c>
      <c r="O489">
        <v>211475</v>
      </c>
      <c r="P489">
        <v>1043</v>
      </c>
      <c r="Q489">
        <v>1542</v>
      </c>
      <c r="R489">
        <v>182870</v>
      </c>
      <c r="S489">
        <v>25255</v>
      </c>
      <c r="T489">
        <v>23867</v>
      </c>
      <c r="U489">
        <v>10921</v>
      </c>
      <c r="V489">
        <v>145739</v>
      </c>
      <c r="W489">
        <v>146956</v>
      </c>
      <c r="X489">
        <v>181915</v>
      </c>
      <c r="Y489">
        <v>181744</v>
      </c>
      <c r="Z489">
        <v>955</v>
      </c>
      <c r="AA489">
        <v>1126</v>
      </c>
      <c r="AB489">
        <v>30147</v>
      </c>
      <c r="AC489">
        <v>336</v>
      </c>
      <c r="AD489">
        <v>5986</v>
      </c>
      <c r="AE489">
        <v>140</v>
      </c>
      <c r="AF489">
        <v>29583</v>
      </c>
      <c r="AG489">
        <v>23605</v>
      </c>
      <c r="AH489">
        <v>30059</v>
      </c>
      <c r="AI489">
        <v>29731</v>
      </c>
      <c r="AJ489">
        <v>88</v>
      </c>
      <c r="AK489">
        <v>416</v>
      </c>
      <c r="AL489">
        <v>-10824</v>
      </c>
      <c r="AM489">
        <v>-6017</v>
      </c>
      <c r="AN489">
        <v>3125</v>
      </c>
      <c r="AO489">
        <v>1540</v>
      </c>
      <c r="AP489">
        <v>-6306</v>
      </c>
      <c r="AQ489">
        <v>-15877</v>
      </c>
      <c r="AR489">
        <v>-10783</v>
      </c>
      <c r="AS489">
        <v>-11212</v>
      </c>
      <c r="AT489">
        <v>-41</v>
      </c>
      <c r="AU489">
        <v>388</v>
      </c>
      <c r="AV489">
        <v>100</v>
      </c>
      <c r="AW489">
        <v>11.1</v>
      </c>
      <c r="AX489">
        <v>13.1</v>
      </c>
      <c r="AY489">
        <v>6.1</v>
      </c>
      <c r="AZ489">
        <v>82.3</v>
      </c>
      <c r="BA489">
        <v>80.099999999999994</v>
      </c>
      <c r="BB489">
        <v>99.5</v>
      </c>
      <c r="BC489">
        <v>99.3</v>
      </c>
      <c r="BD489">
        <v>0.5</v>
      </c>
      <c r="BE489">
        <v>0.7</v>
      </c>
      <c r="BF489">
        <v>100</v>
      </c>
      <c r="BG489">
        <v>13.8</v>
      </c>
      <c r="BH489">
        <v>13.1</v>
      </c>
      <c r="BI489">
        <v>6</v>
      </c>
      <c r="BJ489">
        <v>79.7</v>
      </c>
      <c r="BK489">
        <v>80.400000000000006</v>
      </c>
      <c r="BL489">
        <v>99.5</v>
      </c>
      <c r="BM489">
        <v>99.4</v>
      </c>
      <c r="BN489">
        <v>0.5</v>
      </c>
      <c r="BO489">
        <v>0.6</v>
      </c>
      <c r="BP489">
        <v>100</v>
      </c>
      <c r="BQ489">
        <v>1.1000000000000001</v>
      </c>
      <c r="BR489">
        <v>19.899999999999999</v>
      </c>
      <c r="BS489">
        <v>0.5</v>
      </c>
      <c r="BT489">
        <v>98.1</v>
      </c>
      <c r="BU489">
        <v>78.3</v>
      </c>
      <c r="BV489">
        <v>99.7</v>
      </c>
      <c r="BW489">
        <v>98.6</v>
      </c>
      <c r="BX489">
        <v>0.3</v>
      </c>
      <c r="BY489">
        <v>1.4</v>
      </c>
      <c r="BZ489">
        <v>204</v>
      </c>
      <c r="CA489">
        <v>66</v>
      </c>
      <c r="CB489">
        <v>65</v>
      </c>
      <c r="CC489">
        <v>35</v>
      </c>
      <c r="CD489">
        <v>41</v>
      </c>
      <c r="CE489">
        <v>62</v>
      </c>
      <c r="CF489">
        <v>131</v>
      </c>
      <c r="CG489">
        <v>143</v>
      </c>
      <c r="CH489">
        <v>190</v>
      </c>
      <c r="CI489">
        <v>70</v>
      </c>
      <c r="CJ489">
        <v>55</v>
      </c>
      <c r="CK489">
        <v>26</v>
      </c>
      <c r="CL489">
        <v>37</v>
      </c>
      <c r="CM489">
        <v>47</v>
      </c>
      <c r="CN489">
        <v>123</v>
      </c>
      <c r="CO489">
        <v>115</v>
      </c>
      <c r="CP489">
        <v>82</v>
      </c>
      <c r="CQ489">
        <v>8</v>
      </c>
      <c r="CR489">
        <v>29</v>
      </c>
      <c r="CS489">
        <v>5</v>
      </c>
      <c r="CT489">
        <v>14</v>
      </c>
      <c r="CU489">
        <v>35</v>
      </c>
      <c r="CV489">
        <v>26</v>
      </c>
      <c r="CW489">
        <v>65</v>
      </c>
      <c r="CX489">
        <v>54.2</v>
      </c>
      <c r="CY489">
        <v>39.200000000000003</v>
      </c>
      <c r="CZ489">
        <v>70.2</v>
      </c>
      <c r="DA489">
        <v>56.2</v>
      </c>
      <c r="DB489">
        <v>50.4</v>
      </c>
      <c r="DC489">
        <v>34.5</v>
      </c>
      <c r="DD489">
        <v>60.7</v>
      </c>
      <c r="DE489">
        <v>49</v>
      </c>
      <c r="DF489">
        <v>56.3</v>
      </c>
      <c r="DG489">
        <v>42.1</v>
      </c>
      <c r="DH489">
        <v>71.2</v>
      </c>
      <c r="DI489">
        <v>61</v>
      </c>
      <c r="DJ489">
        <v>52.5</v>
      </c>
      <c r="DK489">
        <v>42</v>
      </c>
      <c r="DL489">
        <v>66</v>
      </c>
      <c r="DM489">
        <v>60.2</v>
      </c>
      <c r="DN489">
        <v>83.2</v>
      </c>
      <c r="DO489">
        <v>40.200000000000003</v>
      </c>
      <c r="DP489">
        <v>96.7</v>
      </c>
      <c r="DQ489">
        <v>66.400000000000006</v>
      </c>
      <c r="DR489">
        <v>83.2</v>
      </c>
      <c r="DS489">
        <v>40.200000000000003</v>
      </c>
      <c r="DT489">
        <v>96.2</v>
      </c>
      <c r="DU489">
        <v>66.400000000000006</v>
      </c>
      <c r="DV489" t="s">
        <v>831</v>
      </c>
    </row>
    <row r="490" spans="1:126" x14ac:dyDescent="0.35">
      <c r="A490" t="s">
        <v>828</v>
      </c>
      <c r="B490">
        <v>230103</v>
      </c>
      <c r="C490" s="1">
        <v>44929</v>
      </c>
      <c r="D490" t="s">
        <v>829</v>
      </c>
      <c r="E490" t="s">
        <v>393</v>
      </c>
      <c r="F490" t="s">
        <v>185</v>
      </c>
      <c r="G490" t="s">
        <v>830</v>
      </c>
      <c r="H490">
        <v>223841</v>
      </c>
      <c r="I490" s="17">
        <v>29674</v>
      </c>
      <c r="J490" s="17">
        <v>24794</v>
      </c>
      <c r="K490">
        <v>11455</v>
      </c>
      <c r="L490">
        <v>181628</v>
      </c>
      <c r="M490">
        <v>186438</v>
      </c>
      <c r="N490">
        <v>222757</v>
      </c>
      <c r="O490">
        <v>222687</v>
      </c>
      <c r="P490">
        <v>1084</v>
      </c>
      <c r="Q490">
        <v>1154</v>
      </c>
      <c r="R490">
        <v>195013</v>
      </c>
      <c r="S490">
        <v>30331</v>
      </c>
      <c r="T490">
        <v>20103</v>
      </c>
      <c r="U490">
        <v>10425</v>
      </c>
      <c r="V490">
        <v>153240</v>
      </c>
      <c r="W490">
        <v>163731</v>
      </c>
      <c r="X490">
        <v>193996</v>
      </c>
      <c r="Y490">
        <v>194259</v>
      </c>
      <c r="Z490">
        <v>1017</v>
      </c>
      <c r="AA490">
        <v>754</v>
      </c>
      <c r="AB490">
        <v>28828</v>
      </c>
      <c r="AC490">
        <v>286</v>
      </c>
      <c r="AD490">
        <v>5634</v>
      </c>
      <c r="AE490">
        <v>87</v>
      </c>
      <c r="AF490">
        <v>28388</v>
      </c>
      <c r="AG490">
        <v>22707</v>
      </c>
      <c r="AH490">
        <v>28761</v>
      </c>
      <c r="AI490">
        <v>28428</v>
      </c>
      <c r="AJ490">
        <v>67</v>
      </c>
      <c r="AK490">
        <v>400</v>
      </c>
      <c r="AL490">
        <v>1346</v>
      </c>
      <c r="AM490">
        <v>11059</v>
      </c>
      <c r="AN490">
        <v>-1188</v>
      </c>
      <c r="AO490">
        <v>-1274</v>
      </c>
      <c r="AP490">
        <v>-8400</v>
      </c>
      <c r="AQ490">
        <v>4140</v>
      </c>
      <c r="AR490">
        <v>1385</v>
      </c>
      <c r="AS490">
        <v>1678</v>
      </c>
      <c r="AT490">
        <v>-39</v>
      </c>
      <c r="AU490">
        <v>-332</v>
      </c>
      <c r="AV490">
        <v>100</v>
      </c>
      <c r="AW490">
        <v>13.3</v>
      </c>
      <c r="AX490">
        <v>11.1</v>
      </c>
      <c r="AY490">
        <v>5.0999999999999996</v>
      </c>
      <c r="AZ490">
        <v>81.099999999999994</v>
      </c>
      <c r="BA490">
        <v>83.3</v>
      </c>
      <c r="BB490">
        <v>99.5</v>
      </c>
      <c r="BC490">
        <v>99.5</v>
      </c>
      <c r="BD490">
        <v>0.5</v>
      </c>
      <c r="BE490">
        <v>0.5</v>
      </c>
      <c r="BF490">
        <v>100</v>
      </c>
      <c r="BG490">
        <v>15.6</v>
      </c>
      <c r="BH490">
        <v>10.3</v>
      </c>
      <c r="BI490">
        <v>5.3</v>
      </c>
      <c r="BJ490">
        <v>78.599999999999994</v>
      </c>
      <c r="BK490">
        <v>84</v>
      </c>
      <c r="BL490">
        <v>99.5</v>
      </c>
      <c r="BM490">
        <v>99.6</v>
      </c>
      <c r="BN490">
        <v>0.5</v>
      </c>
      <c r="BO490">
        <v>0.4</v>
      </c>
      <c r="BP490">
        <v>100</v>
      </c>
      <c r="BQ490">
        <v>1</v>
      </c>
      <c r="BR490">
        <v>19.5</v>
      </c>
      <c r="BS490">
        <v>0.3</v>
      </c>
      <c r="BT490">
        <v>98.5</v>
      </c>
      <c r="BU490">
        <v>78.8</v>
      </c>
      <c r="BV490">
        <v>99.8</v>
      </c>
      <c r="BW490">
        <v>98.6</v>
      </c>
      <c r="BX490">
        <v>0.2</v>
      </c>
      <c r="BY490">
        <v>1.4</v>
      </c>
      <c r="BZ490">
        <v>210</v>
      </c>
      <c r="CA490">
        <v>78</v>
      </c>
      <c r="CB490">
        <v>64</v>
      </c>
      <c r="CC490">
        <v>41</v>
      </c>
      <c r="CD490">
        <v>42</v>
      </c>
      <c r="CE490">
        <v>58</v>
      </c>
      <c r="CF490">
        <v>147</v>
      </c>
      <c r="CG490">
        <v>140</v>
      </c>
      <c r="CH490">
        <v>196</v>
      </c>
      <c r="CI490">
        <v>82</v>
      </c>
      <c r="CJ490">
        <v>54</v>
      </c>
      <c r="CK490">
        <v>32</v>
      </c>
      <c r="CL490">
        <v>38</v>
      </c>
      <c r="CM490">
        <v>44</v>
      </c>
      <c r="CN490">
        <v>138</v>
      </c>
      <c r="CO490">
        <v>113</v>
      </c>
      <c r="CP490">
        <v>83</v>
      </c>
      <c r="CQ490">
        <v>9</v>
      </c>
      <c r="CR490">
        <v>30</v>
      </c>
      <c r="CS490">
        <v>4</v>
      </c>
      <c r="CT490">
        <v>14</v>
      </c>
      <c r="CU490">
        <v>33</v>
      </c>
      <c r="CV490">
        <v>26</v>
      </c>
      <c r="CW490">
        <v>64</v>
      </c>
      <c r="CX490">
        <v>55.2</v>
      </c>
      <c r="CY490">
        <v>38.9</v>
      </c>
      <c r="CZ490">
        <v>70.7</v>
      </c>
      <c r="DA490">
        <v>58.2</v>
      </c>
      <c r="DB490">
        <v>51.2</v>
      </c>
      <c r="DC490">
        <v>34.4</v>
      </c>
      <c r="DD490">
        <v>61.7</v>
      </c>
      <c r="DE490">
        <v>51.4</v>
      </c>
      <c r="DF490">
        <v>57.4</v>
      </c>
      <c r="DG490">
        <v>41.2</v>
      </c>
      <c r="DH490">
        <v>71.400000000000006</v>
      </c>
      <c r="DI490">
        <v>62</v>
      </c>
      <c r="DJ490">
        <v>55.1</v>
      </c>
      <c r="DK490">
        <v>41.1</v>
      </c>
      <c r="DL490">
        <v>66.5</v>
      </c>
      <c r="DM490">
        <v>61.2</v>
      </c>
      <c r="DN490">
        <v>85.4</v>
      </c>
      <c r="DO490">
        <v>42.7</v>
      </c>
      <c r="DP490">
        <v>97.1</v>
      </c>
      <c r="DQ490">
        <v>69.900000000000006</v>
      </c>
      <c r="DR490">
        <v>85.4</v>
      </c>
      <c r="DS490">
        <v>42.7</v>
      </c>
      <c r="DT490">
        <v>97</v>
      </c>
      <c r="DU490">
        <v>69.900000000000006</v>
      </c>
      <c r="DV490" t="s">
        <v>831</v>
      </c>
    </row>
    <row r="491" spans="1:126" x14ac:dyDescent="0.35">
      <c r="A491" t="s">
        <v>832</v>
      </c>
      <c r="B491">
        <v>230110</v>
      </c>
      <c r="C491" s="1">
        <v>44936</v>
      </c>
      <c r="D491" t="s">
        <v>833</v>
      </c>
      <c r="E491" t="s">
        <v>402</v>
      </c>
      <c r="F491" t="s">
        <v>165</v>
      </c>
      <c r="G491" t="s">
        <v>834</v>
      </c>
      <c r="H491">
        <v>406513</v>
      </c>
      <c r="I491" s="17">
        <v>48701</v>
      </c>
      <c r="J491" s="17">
        <v>91335</v>
      </c>
      <c r="K491">
        <v>7837</v>
      </c>
      <c r="L491">
        <v>302587</v>
      </c>
      <c r="M491">
        <v>262000</v>
      </c>
      <c r="N491">
        <v>359124</v>
      </c>
      <c r="O491">
        <v>361172</v>
      </c>
      <c r="P491">
        <v>47389</v>
      </c>
      <c r="Q491">
        <v>45341</v>
      </c>
      <c r="R491">
        <v>406513</v>
      </c>
      <c r="S491">
        <v>48701</v>
      </c>
      <c r="T491">
        <v>91335</v>
      </c>
      <c r="U491">
        <v>7837</v>
      </c>
      <c r="V491">
        <v>302587</v>
      </c>
      <c r="W491">
        <v>262000</v>
      </c>
      <c r="X491">
        <v>359124</v>
      </c>
      <c r="Y491">
        <v>361172</v>
      </c>
      <c r="Z491">
        <v>47389</v>
      </c>
      <c r="AA491">
        <v>45341</v>
      </c>
      <c r="AB491">
        <v>0</v>
      </c>
      <c r="AC491">
        <v>0</v>
      </c>
      <c r="AD491">
        <v>0</v>
      </c>
      <c r="AE491">
        <v>0</v>
      </c>
      <c r="AF491">
        <v>0</v>
      </c>
      <c r="AG491">
        <v>0</v>
      </c>
      <c r="AH491">
        <v>0</v>
      </c>
      <c r="AI491">
        <v>0</v>
      </c>
      <c r="AJ491">
        <v>0</v>
      </c>
      <c r="AK491">
        <v>0</v>
      </c>
      <c r="AL491">
        <v>4314</v>
      </c>
      <c r="AM491">
        <v>-3551</v>
      </c>
      <c r="AN491">
        <v>5623</v>
      </c>
      <c r="AO491">
        <v>-578</v>
      </c>
      <c r="AP491">
        <v>7624</v>
      </c>
      <c r="AQ491">
        <v>348</v>
      </c>
      <c r="AR491">
        <v>3495</v>
      </c>
      <c r="AS491">
        <v>5394</v>
      </c>
      <c r="AT491">
        <v>819</v>
      </c>
      <c r="AU491">
        <v>-1080</v>
      </c>
      <c r="AV491">
        <v>100</v>
      </c>
      <c r="AW491">
        <v>12</v>
      </c>
      <c r="AX491">
        <v>22.5</v>
      </c>
      <c r="AY491">
        <v>1.9</v>
      </c>
      <c r="AZ491">
        <v>74.400000000000006</v>
      </c>
      <c r="BA491">
        <v>64.5</v>
      </c>
      <c r="BB491">
        <v>88.3</v>
      </c>
      <c r="BC491">
        <v>88.8</v>
      </c>
      <c r="BD491">
        <v>11.7</v>
      </c>
      <c r="BE491">
        <v>11.2</v>
      </c>
      <c r="BF491">
        <v>100</v>
      </c>
      <c r="BG491">
        <v>12</v>
      </c>
      <c r="BH491">
        <v>22.5</v>
      </c>
      <c r="BI491">
        <v>1.9</v>
      </c>
      <c r="BJ491">
        <v>74.400000000000006</v>
      </c>
      <c r="BK491">
        <v>64.5</v>
      </c>
      <c r="BL491">
        <v>88.3</v>
      </c>
      <c r="BM491">
        <v>88.8</v>
      </c>
      <c r="BN491">
        <v>11.7</v>
      </c>
      <c r="BO491">
        <v>11.2</v>
      </c>
      <c r="BP491">
        <v>0</v>
      </c>
      <c r="BQ491">
        <v>0</v>
      </c>
      <c r="BR491">
        <v>0</v>
      </c>
      <c r="BS491">
        <v>0</v>
      </c>
      <c r="BT491">
        <v>0</v>
      </c>
      <c r="BU491">
        <v>0</v>
      </c>
      <c r="BV491">
        <v>0</v>
      </c>
      <c r="BW491">
        <v>0</v>
      </c>
      <c r="BX491">
        <v>0</v>
      </c>
      <c r="BY491">
        <v>0</v>
      </c>
      <c r="BZ491">
        <v>528</v>
      </c>
      <c r="CA491">
        <v>77</v>
      </c>
      <c r="CB491">
        <v>96</v>
      </c>
      <c r="CC491">
        <v>40</v>
      </c>
      <c r="CD491">
        <v>257</v>
      </c>
      <c r="CE491">
        <v>247</v>
      </c>
      <c r="CF491">
        <v>361</v>
      </c>
      <c r="CG491">
        <v>356</v>
      </c>
      <c r="CH491">
        <v>528</v>
      </c>
      <c r="CI491">
        <v>77</v>
      </c>
      <c r="CJ491">
        <v>96</v>
      </c>
      <c r="CK491">
        <v>40</v>
      </c>
      <c r="CL491">
        <v>257</v>
      </c>
      <c r="CM491">
        <v>247</v>
      </c>
      <c r="CN491">
        <v>361</v>
      </c>
      <c r="CO491">
        <v>356</v>
      </c>
      <c r="CP491">
        <v>0</v>
      </c>
      <c r="CQ491">
        <v>0</v>
      </c>
      <c r="CR491">
        <v>0</v>
      </c>
      <c r="CS491">
        <v>0</v>
      </c>
      <c r="CT491">
        <v>0</v>
      </c>
      <c r="CU491">
        <v>0</v>
      </c>
      <c r="CV491">
        <v>0</v>
      </c>
      <c r="CW491">
        <v>0</v>
      </c>
      <c r="CX491">
        <v>16</v>
      </c>
      <c r="CY491">
        <v>13.8</v>
      </c>
      <c r="CZ491">
        <v>23.1</v>
      </c>
      <c r="DA491">
        <v>22.4</v>
      </c>
      <c r="DB491">
        <v>14.2</v>
      </c>
      <c r="DC491">
        <v>13</v>
      </c>
      <c r="DD491">
        <v>21.1</v>
      </c>
      <c r="DE491">
        <v>21.2</v>
      </c>
      <c r="DF491">
        <v>16</v>
      </c>
      <c r="DG491">
        <v>13.8</v>
      </c>
      <c r="DH491">
        <v>23.1</v>
      </c>
      <c r="DI491">
        <v>22.4</v>
      </c>
      <c r="DJ491">
        <v>14.2</v>
      </c>
      <c r="DK491">
        <v>13</v>
      </c>
      <c r="DL491">
        <v>21.1</v>
      </c>
      <c r="DM491">
        <v>21.2</v>
      </c>
      <c r="DN491">
        <v>0</v>
      </c>
      <c r="DO491">
        <v>0</v>
      </c>
      <c r="DP491">
        <v>0</v>
      </c>
      <c r="DQ491">
        <v>0</v>
      </c>
      <c r="DR491">
        <v>0</v>
      </c>
      <c r="DS491">
        <v>0</v>
      </c>
      <c r="DT491">
        <v>0</v>
      </c>
      <c r="DU491">
        <v>0</v>
      </c>
      <c r="DV491" t="s">
        <v>835</v>
      </c>
    </row>
    <row r="492" spans="1:126" x14ac:dyDescent="0.35">
      <c r="A492" t="s">
        <v>832</v>
      </c>
      <c r="B492">
        <v>230103</v>
      </c>
      <c r="C492" s="1">
        <v>44929</v>
      </c>
      <c r="D492" t="s">
        <v>833</v>
      </c>
      <c r="E492" t="s">
        <v>402</v>
      </c>
      <c r="F492" t="s">
        <v>165</v>
      </c>
      <c r="G492" t="s">
        <v>834</v>
      </c>
      <c r="H492">
        <v>402199</v>
      </c>
      <c r="I492" s="17">
        <v>52252</v>
      </c>
      <c r="J492" s="17">
        <v>85712</v>
      </c>
      <c r="K492">
        <v>8414</v>
      </c>
      <c r="L492">
        <v>294962</v>
      </c>
      <c r="M492">
        <v>261652</v>
      </c>
      <c r="N492">
        <v>355629</v>
      </c>
      <c r="O492">
        <v>355778</v>
      </c>
      <c r="P492">
        <v>46571</v>
      </c>
      <c r="Q492">
        <v>46421</v>
      </c>
      <c r="R492">
        <v>402199</v>
      </c>
      <c r="S492">
        <v>52252</v>
      </c>
      <c r="T492">
        <v>85712</v>
      </c>
      <c r="U492">
        <v>8414</v>
      </c>
      <c r="V492">
        <v>294962</v>
      </c>
      <c r="W492">
        <v>261652</v>
      </c>
      <c r="X492">
        <v>355629</v>
      </c>
      <c r="Y492">
        <v>355778</v>
      </c>
      <c r="Z492">
        <v>46571</v>
      </c>
      <c r="AA492">
        <v>46421</v>
      </c>
      <c r="AB492">
        <v>0</v>
      </c>
      <c r="AC492">
        <v>0</v>
      </c>
      <c r="AD492">
        <v>0</v>
      </c>
      <c r="AE492">
        <v>0</v>
      </c>
      <c r="AF492">
        <v>0</v>
      </c>
      <c r="AG492">
        <v>0</v>
      </c>
      <c r="AH492">
        <v>0</v>
      </c>
      <c r="AI492">
        <v>0</v>
      </c>
      <c r="AJ492">
        <v>0</v>
      </c>
      <c r="AK492">
        <v>0</v>
      </c>
      <c r="AL492">
        <v>9937</v>
      </c>
      <c r="AM492">
        <v>3257</v>
      </c>
      <c r="AN492">
        <v>1861</v>
      </c>
      <c r="AO492">
        <v>-421</v>
      </c>
      <c r="AP492">
        <v>5506</v>
      </c>
      <c r="AQ492">
        <v>7993</v>
      </c>
      <c r="AR492">
        <v>8342</v>
      </c>
      <c r="AS492">
        <v>9433</v>
      </c>
      <c r="AT492">
        <v>1595</v>
      </c>
      <c r="AU492">
        <v>505</v>
      </c>
      <c r="AV492">
        <v>100</v>
      </c>
      <c r="AW492">
        <v>13</v>
      </c>
      <c r="AX492">
        <v>21.3</v>
      </c>
      <c r="AY492">
        <v>2.1</v>
      </c>
      <c r="AZ492">
        <v>73.3</v>
      </c>
      <c r="BA492">
        <v>65.099999999999994</v>
      </c>
      <c r="BB492">
        <v>88.4</v>
      </c>
      <c r="BC492">
        <v>88.5</v>
      </c>
      <c r="BD492">
        <v>11.6</v>
      </c>
      <c r="BE492">
        <v>11.5</v>
      </c>
      <c r="BF492">
        <v>100</v>
      </c>
      <c r="BG492">
        <v>13</v>
      </c>
      <c r="BH492">
        <v>21.3</v>
      </c>
      <c r="BI492">
        <v>2.1</v>
      </c>
      <c r="BJ492">
        <v>73.3</v>
      </c>
      <c r="BK492">
        <v>65.099999999999994</v>
      </c>
      <c r="BL492">
        <v>88.4</v>
      </c>
      <c r="BM492">
        <v>88.5</v>
      </c>
      <c r="BN492">
        <v>11.6</v>
      </c>
      <c r="BO492">
        <v>11.5</v>
      </c>
      <c r="BP492">
        <v>0</v>
      </c>
      <c r="BQ492">
        <v>0</v>
      </c>
      <c r="BR492">
        <v>0</v>
      </c>
      <c r="BS492">
        <v>0</v>
      </c>
      <c r="BT492">
        <v>0</v>
      </c>
      <c r="BU492">
        <v>0</v>
      </c>
      <c r="BV492">
        <v>0</v>
      </c>
      <c r="BW492">
        <v>0</v>
      </c>
      <c r="BX492">
        <v>0</v>
      </c>
      <c r="BY492">
        <v>0</v>
      </c>
      <c r="BZ492">
        <v>530</v>
      </c>
      <c r="CA492">
        <v>75</v>
      </c>
      <c r="CB492">
        <v>97</v>
      </c>
      <c r="CC492">
        <v>43</v>
      </c>
      <c r="CD492">
        <v>256</v>
      </c>
      <c r="CE492">
        <v>251</v>
      </c>
      <c r="CF492">
        <v>361</v>
      </c>
      <c r="CG492">
        <v>361</v>
      </c>
      <c r="CH492">
        <v>530</v>
      </c>
      <c r="CI492">
        <v>75</v>
      </c>
      <c r="CJ492">
        <v>97</v>
      </c>
      <c r="CK492">
        <v>43</v>
      </c>
      <c r="CL492">
        <v>256</v>
      </c>
      <c r="CM492">
        <v>251</v>
      </c>
      <c r="CN492">
        <v>361</v>
      </c>
      <c r="CO492">
        <v>361</v>
      </c>
      <c r="CP492">
        <v>0</v>
      </c>
      <c r="CQ492">
        <v>0</v>
      </c>
      <c r="CR492">
        <v>0</v>
      </c>
      <c r="CS492">
        <v>0</v>
      </c>
      <c r="CT492">
        <v>0</v>
      </c>
      <c r="CU492">
        <v>0</v>
      </c>
      <c r="CV492">
        <v>0</v>
      </c>
      <c r="CW492">
        <v>0</v>
      </c>
      <c r="CX492">
        <v>15.7</v>
      </c>
      <c r="CY492">
        <v>11.4</v>
      </c>
      <c r="CZ492">
        <v>22.2</v>
      </c>
      <c r="DA492">
        <v>19.100000000000001</v>
      </c>
      <c r="DB492">
        <v>13.7</v>
      </c>
      <c r="DC492">
        <v>10.8</v>
      </c>
      <c r="DD492">
        <v>19.899999999999999</v>
      </c>
      <c r="DE492">
        <v>17.7</v>
      </c>
      <c r="DF492">
        <v>15.7</v>
      </c>
      <c r="DG492">
        <v>11.4</v>
      </c>
      <c r="DH492">
        <v>22.2</v>
      </c>
      <c r="DI492">
        <v>19.100000000000001</v>
      </c>
      <c r="DJ492">
        <v>13.7</v>
      </c>
      <c r="DK492">
        <v>10.8</v>
      </c>
      <c r="DL492">
        <v>19.899999999999999</v>
      </c>
      <c r="DM492">
        <v>17.7</v>
      </c>
      <c r="DN492">
        <v>0</v>
      </c>
      <c r="DO492">
        <v>0</v>
      </c>
      <c r="DP492">
        <v>0</v>
      </c>
      <c r="DQ492">
        <v>0</v>
      </c>
      <c r="DR492">
        <v>0</v>
      </c>
      <c r="DS492">
        <v>0</v>
      </c>
      <c r="DT492">
        <v>0</v>
      </c>
      <c r="DU492">
        <v>0</v>
      </c>
      <c r="DV492" t="s">
        <v>835</v>
      </c>
    </row>
    <row r="493" spans="1:126" x14ac:dyDescent="0.35">
      <c r="A493" t="s">
        <v>836</v>
      </c>
      <c r="B493">
        <v>230110</v>
      </c>
      <c r="C493" s="1">
        <v>44936</v>
      </c>
      <c r="D493" t="s">
        <v>837</v>
      </c>
      <c r="E493" t="s">
        <v>402</v>
      </c>
      <c r="F493" t="s">
        <v>165</v>
      </c>
      <c r="G493" t="s">
        <v>834</v>
      </c>
      <c r="H493">
        <v>24796</v>
      </c>
      <c r="I493" s="17">
        <v>959</v>
      </c>
      <c r="J493" s="17">
        <v>0</v>
      </c>
      <c r="K493">
        <v>0</v>
      </c>
      <c r="L493">
        <v>20431</v>
      </c>
      <c r="M493">
        <v>23351</v>
      </c>
      <c r="N493">
        <v>21390</v>
      </c>
      <c r="O493">
        <v>23351</v>
      </c>
      <c r="P493">
        <v>3406</v>
      </c>
      <c r="Q493">
        <v>1445</v>
      </c>
      <c r="R493">
        <v>24796</v>
      </c>
      <c r="S493">
        <v>959</v>
      </c>
      <c r="T493">
        <v>0</v>
      </c>
      <c r="U493">
        <v>0</v>
      </c>
      <c r="V493">
        <v>20431</v>
      </c>
      <c r="W493">
        <v>23351</v>
      </c>
      <c r="X493">
        <v>21390</v>
      </c>
      <c r="Y493">
        <v>23351</v>
      </c>
      <c r="Z493">
        <v>3406</v>
      </c>
      <c r="AA493">
        <v>1445</v>
      </c>
      <c r="AB493">
        <v>0</v>
      </c>
      <c r="AC493">
        <v>0</v>
      </c>
      <c r="AD493">
        <v>0</v>
      </c>
      <c r="AE493">
        <v>0</v>
      </c>
      <c r="AF493">
        <v>0</v>
      </c>
      <c r="AG493">
        <v>0</v>
      </c>
      <c r="AH493">
        <v>0</v>
      </c>
      <c r="AI493">
        <v>0</v>
      </c>
      <c r="AJ493">
        <v>0</v>
      </c>
      <c r="AK493">
        <v>0</v>
      </c>
      <c r="AL493">
        <v>-1312</v>
      </c>
      <c r="AM493">
        <v>-20</v>
      </c>
      <c r="AN493">
        <v>0</v>
      </c>
      <c r="AO493">
        <v>0</v>
      </c>
      <c r="AP493">
        <v>-881</v>
      </c>
      <c r="AQ493">
        <v>-1465</v>
      </c>
      <c r="AR493">
        <v>-901</v>
      </c>
      <c r="AS493">
        <v>-1465</v>
      </c>
      <c r="AT493">
        <v>-411</v>
      </c>
      <c r="AU493">
        <v>153</v>
      </c>
      <c r="AV493">
        <v>100</v>
      </c>
      <c r="AW493">
        <v>3.9</v>
      </c>
      <c r="AX493">
        <v>0</v>
      </c>
      <c r="AY493">
        <v>0</v>
      </c>
      <c r="AZ493">
        <v>82.4</v>
      </c>
      <c r="BA493">
        <v>94.2</v>
      </c>
      <c r="BB493">
        <v>86.3</v>
      </c>
      <c r="BC493">
        <v>94.2</v>
      </c>
      <c r="BD493">
        <v>13.7</v>
      </c>
      <c r="BE493">
        <v>5.8</v>
      </c>
      <c r="BF493">
        <v>100</v>
      </c>
      <c r="BG493">
        <v>3.9</v>
      </c>
      <c r="BH493">
        <v>0</v>
      </c>
      <c r="BI493">
        <v>0</v>
      </c>
      <c r="BJ493">
        <v>82.4</v>
      </c>
      <c r="BK493">
        <v>94.2</v>
      </c>
      <c r="BL493">
        <v>86.3</v>
      </c>
      <c r="BM493">
        <v>94.2</v>
      </c>
      <c r="BN493">
        <v>13.7</v>
      </c>
      <c r="BO493">
        <v>5.8</v>
      </c>
      <c r="BP493">
        <v>0</v>
      </c>
      <c r="BQ493">
        <v>0</v>
      </c>
      <c r="BR493">
        <v>0</v>
      </c>
      <c r="BS493">
        <v>0</v>
      </c>
      <c r="BT493">
        <v>0</v>
      </c>
      <c r="BU493">
        <v>0</v>
      </c>
      <c r="BV493">
        <v>0</v>
      </c>
      <c r="BW493">
        <v>0</v>
      </c>
      <c r="BX493">
        <v>0</v>
      </c>
      <c r="BY493">
        <v>0</v>
      </c>
      <c r="BZ493">
        <v>27</v>
      </c>
      <c r="CA493">
        <v>2</v>
      </c>
      <c r="CB493">
        <v>0</v>
      </c>
      <c r="CC493">
        <v>0</v>
      </c>
      <c r="CD493">
        <v>18</v>
      </c>
      <c r="CE493">
        <v>7</v>
      </c>
      <c r="CF493">
        <v>20</v>
      </c>
      <c r="CG493">
        <v>7</v>
      </c>
      <c r="CH493">
        <v>27</v>
      </c>
      <c r="CI493">
        <v>2</v>
      </c>
      <c r="CJ493">
        <v>0</v>
      </c>
      <c r="CK493">
        <v>0</v>
      </c>
      <c r="CL493">
        <v>18</v>
      </c>
      <c r="CM493">
        <v>7</v>
      </c>
      <c r="CN493">
        <v>20</v>
      </c>
      <c r="CO493">
        <v>7</v>
      </c>
      <c r="CP493">
        <v>0</v>
      </c>
      <c r="CQ493">
        <v>0</v>
      </c>
      <c r="CR493">
        <v>0</v>
      </c>
      <c r="CS493">
        <v>0</v>
      </c>
      <c r="CT493">
        <v>0</v>
      </c>
      <c r="CU493">
        <v>0</v>
      </c>
      <c r="CV493">
        <v>0</v>
      </c>
      <c r="CW493">
        <v>0</v>
      </c>
      <c r="CX493">
        <v>46.4</v>
      </c>
      <c r="CY493">
        <v>90.3</v>
      </c>
      <c r="CZ493">
        <v>69</v>
      </c>
      <c r="DA493">
        <v>94.2</v>
      </c>
      <c r="DB493">
        <v>46.4</v>
      </c>
      <c r="DC493">
        <v>90.3</v>
      </c>
      <c r="DD493">
        <v>69</v>
      </c>
      <c r="DE493">
        <v>94.2</v>
      </c>
      <c r="DF493">
        <v>46.4</v>
      </c>
      <c r="DG493">
        <v>90.3</v>
      </c>
      <c r="DH493">
        <v>69</v>
      </c>
      <c r="DI493">
        <v>94.2</v>
      </c>
      <c r="DJ493">
        <v>46.4</v>
      </c>
      <c r="DK493">
        <v>90.3</v>
      </c>
      <c r="DL493">
        <v>69</v>
      </c>
      <c r="DM493">
        <v>94.2</v>
      </c>
      <c r="DN493">
        <v>0</v>
      </c>
      <c r="DO493">
        <v>0</v>
      </c>
      <c r="DP493">
        <v>0</v>
      </c>
      <c r="DQ493">
        <v>0</v>
      </c>
      <c r="DR493">
        <v>0</v>
      </c>
      <c r="DS493">
        <v>0</v>
      </c>
      <c r="DT493">
        <v>0</v>
      </c>
      <c r="DU493">
        <v>0</v>
      </c>
      <c r="DV493" t="s">
        <v>838</v>
      </c>
    </row>
    <row r="494" spans="1:126" x14ac:dyDescent="0.35">
      <c r="A494" t="s">
        <v>836</v>
      </c>
      <c r="B494">
        <v>230103</v>
      </c>
      <c r="C494" s="1">
        <v>44929</v>
      </c>
      <c r="D494" t="s">
        <v>837</v>
      </c>
      <c r="E494" t="s">
        <v>402</v>
      </c>
      <c r="F494" t="s">
        <v>165</v>
      </c>
      <c r="G494" t="s">
        <v>834</v>
      </c>
      <c r="H494">
        <v>26108</v>
      </c>
      <c r="I494" s="17">
        <v>979</v>
      </c>
      <c r="J494" s="17">
        <v>0</v>
      </c>
      <c r="K494">
        <v>0</v>
      </c>
      <c r="L494">
        <v>21312</v>
      </c>
      <c r="M494">
        <v>24816</v>
      </c>
      <c r="N494">
        <v>22291</v>
      </c>
      <c r="O494">
        <v>24816</v>
      </c>
      <c r="P494">
        <v>3817</v>
      </c>
      <c r="Q494">
        <v>1292</v>
      </c>
      <c r="R494">
        <v>26108</v>
      </c>
      <c r="S494">
        <v>979</v>
      </c>
      <c r="T494">
        <v>0</v>
      </c>
      <c r="U494">
        <v>0</v>
      </c>
      <c r="V494">
        <v>21312</v>
      </c>
      <c r="W494">
        <v>24816</v>
      </c>
      <c r="X494">
        <v>22291</v>
      </c>
      <c r="Y494">
        <v>24816</v>
      </c>
      <c r="Z494">
        <v>3817</v>
      </c>
      <c r="AA494">
        <v>1292</v>
      </c>
      <c r="AB494">
        <v>0</v>
      </c>
      <c r="AC494">
        <v>0</v>
      </c>
      <c r="AD494">
        <v>0</v>
      </c>
      <c r="AE494">
        <v>0</v>
      </c>
      <c r="AF494">
        <v>0</v>
      </c>
      <c r="AG494">
        <v>0</v>
      </c>
      <c r="AH494">
        <v>0</v>
      </c>
      <c r="AI494">
        <v>0</v>
      </c>
      <c r="AJ494">
        <v>0</v>
      </c>
      <c r="AK494">
        <v>0</v>
      </c>
      <c r="AL494">
        <v>-112</v>
      </c>
      <c r="AM494">
        <v>-482</v>
      </c>
      <c r="AN494">
        <v>0</v>
      </c>
      <c r="AO494">
        <v>0</v>
      </c>
      <c r="AP494">
        <v>-111</v>
      </c>
      <c r="AQ494">
        <v>157</v>
      </c>
      <c r="AR494">
        <v>-593</v>
      </c>
      <c r="AS494">
        <v>157</v>
      </c>
      <c r="AT494">
        <v>481</v>
      </c>
      <c r="AU494">
        <v>-269</v>
      </c>
      <c r="AV494">
        <v>100</v>
      </c>
      <c r="AW494">
        <v>3.7</v>
      </c>
      <c r="AX494">
        <v>0</v>
      </c>
      <c r="AY494">
        <v>0</v>
      </c>
      <c r="AZ494">
        <v>81.599999999999994</v>
      </c>
      <c r="BA494">
        <v>95.1</v>
      </c>
      <c r="BB494">
        <v>85.4</v>
      </c>
      <c r="BC494">
        <v>95.1</v>
      </c>
      <c r="BD494">
        <v>14.6</v>
      </c>
      <c r="BE494">
        <v>4.9000000000000004</v>
      </c>
      <c r="BF494">
        <v>100</v>
      </c>
      <c r="BG494">
        <v>3.7</v>
      </c>
      <c r="BH494">
        <v>0</v>
      </c>
      <c r="BI494">
        <v>0</v>
      </c>
      <c r="BJ494">
        <v>81.599999999999994</v>
      </c>
      <c r="BK494">
        <v>95.1</v>
      </c>
      <c r="BL494">
        <v>85.4</v>
      </c>
      <c r="BM494">
        <v>95.1</v>
      </c>
      <c r="BN494">
        <v>14.6</v>
      </c>
      <c r="BO494">
        <v>4.9000000000000004</v>
      </c>
      <c r="BP494">
        <v>0</v>
      </c>
      <c r="BQ494">
        <v>0</v>
      </c>
      <c r="BR494">
        <v>0</v>
      </c>
      <c r="BS494">
        <v>0</v>
      </c>
      <c r="BT494">
        <v>0</v>
      </c>
      <c r="BU494">
        <v>0</v>
      </c>
      <c r="BV494">
        <v>0</v>
      </c>
      <c r="BW494">
        <v>0</v>
      </c>
      <c r="BX494">
        <v>0</v>
      </c>
      <c r="BY494">
        <v>0</v>
      </c>
      <c r="BZ494">
        <v>30</v>
      </c>
      <c r="CA494">
        <v>2</v>
      </c>
      <c r="CB494">
        <v>0</v>
      </c>
      <c r="CC494">
        <v>0</v>
      </c>
      <c r="CD494">
        <v>18</v>
      </c>
      <c r="CE494">
        <v>11</v>
      </c>
      <c r="CF494">
        <v>20</v>
      </c>
      <c r="CG494">
        <v>11</v>
      </c>
      <c r="CH494">
        <v>30</v>
      </c>
      <c r="CI494">
        <v>2</v>
      </c>
      <c r="CJ494">
        <v>0</v>
      </c>
      <c r="CK494">
        <v>0</v>
      </c>
      <c r="CL494">
        <v>18</v>
      </c>
      <c r="CM494">
        <v>11</v>
      </c>
      <c r="CN494">
        <v>20</v>
      </c>
      <c r="CO494">
        <v>11</v>
      </c>
      <c r="CP494">
        <v>0</v>
      </c>
      <c r="CQ494">
        <v>0</v>
      </c>
      <c r="CR494">
        <v>0</v>
      </c>
      <c r="CS494">
        <v>0</v>
      </c>
      <c r="CT494">
        <v>0</v>
      </c>
      <c r="CU494">
        <v>0</v>
      </c>
      <c r="CV494">
        <v>0</v>
      </c>
      <c r="CW494">
        <v>0</v>
      </c>
      <c r="CX494">
        <v>50.3</v>
      </c>
      <c r="CY494">
        <v>80.099999999999994</v>
      </c>
      <c r="CZ494">
        <v>70</v>
      </c>
      <c r="DA494">
        <v>91.8</v>
      </c>
      <c r="DB494">
        <v>50.3</v>
      </c>
      <c r="DC494">
        <v>80.099999999999994</v>
      </c>
      <c r="DD494">
        <v>70</v>
      </c>
      <c r="DE494">
        <v>91.8</v>
      </c>
      <c r="DF494">
        <v>50.3</v>
      </c>
      <c r="DG494">
        <v>80.099999999999994</v>
      </c>
      <c r="DH494">
        <v>70</v>
      </c>
      <c r="DI494">
        <v>91.8</v>
      </c>
      <c r="DJ494">
        <v>50.3</v>
      </c>
      <c r="DK494">
        <v>80.099999999999994</v>
      </c>
      <c r="DL494">
        <v>70</v>
      </c>
      <c r="DM494">
        <v>91.8</v>
      </c>
      <c r="DN494">
        <v>0</v>
      </c>
      <c r="DO494">
        <v>0</v>
      </c>
      <c r="DP494">
        <v>0</v>
      </c>
      <c r="DQ494">
        <v>0</v>
      </c>
      <c r="DR494">
        <v>0</v>
      </c>
      <c r="DS494">
        <v>0</v>
      </c>
      <c r="DT494">
        <v>0</v>
      </c>
      <c r="DU494">
        <v>0</v>
      </c>
      <c r="DV494" t="s">
        <v>838</v>
      </c>
    </row>
    <row r="495" spans="1:126" x14ac:dyDescent="0.35">
      <c r="A495" t="s">
        <v>839</v>
      </c>
      <c r="B495">
        <v>230110</v>
      </c>
      <c r="C495" s="1">
        <v>44936</v>
      </c>
      <c r="D495" t="s">
        <v>840</v>
      </c>
      <c r="E495" t="s">
        <v>402</v>
      </c>
      <c r="F495" t="s">
        <v>165</v>
      </c>
      <c r="G495" t="s">
        <v>834</v>
      </c>
      <c r="H495">
        <v>2032566</v>
      </c>
      <c r="I495" s="17">
        <v>243503</v>
      </c>
      <c r="J495" s="17">
        <v>456677</v>
      </c>
      <c r="K495">
        <v>39184</v>
      </c>
      <c r="L495">
        <v>1512933</v>
      </c>
      <c r="M495">
        <v>1310000</v>
      </c>
      <c r="N495">
        <v>1795620</v>
      </c>
      <c r="O495">
        <v>1805861</v>
      </c>
      <c r="P495">
        <v>236946</v>
      </c>
      <c r="Q495">
        <v>226705</v>
      </c>
      <c r="R495">
        <v>2032566</v>
      </c>
      <c r="S495">
        <v>243503</v>
      </c>
      <c r="T495">
        <v>456677</v>
      </c>
      <c r="U495">
        <v>39184</v>
      </c>
      <c r="V495">
        <v>1512933</v>
      </c>
      <c r="W495">
        <v>1310000</v>
      </c>
      <c r="X495">
        <v>1795620</v>
      </c>
      <c r="Y495">
        <v>1805861</v>
      </c>
      <c r="Z495">
        <v>236946</v>
      </c>
      <c r="AA495">
        <v>226705</v>
      </c>
      <c r="AB495">
        <v>0</v>
      </c>
      <c r="AC495">
        <v>0</v>
      </c>
      <c r="AD495">
        <v>0</v>
      </c>
      <c r="AE495">
        <v>0</v>
      </c>
      <c r="AF495">
        <v>0</v>
      </c>
      <c r="AG495">
        <v>0</v>
      </c>
      <c r="AH495">
        <v>0</v>
      </c>
      <c r="AI495">
        <v>0</v>
      </c>
      <c r="AJ495">
        <v>0</v>
      </c>
      <c r="AK495">
        <v>0</v>
      </c>
      <c r="AL495">
        <v>21570</v>
      </c>
      <c r="AM495">
        <v>-17757</v>
      </c>
      <c r="AN495">
        <v>28116</v>
      </c>
      <c r="AO495">
        <v>-2888</v>
      </c>
      <c r="AP495">
        <v>38122</v>
      </c>
      <c r="AQ495">
        <v>1741</v>
      </c>
      <c r="AR495">
        <v>17477</v>
      </c>
      <c r="AS495">
        <v>26969</v>
      </c>
      <c r="AT495">
        <v>4093</v>
      </c>
      <c r="AU495">
        <v>-5399</v>
      </c>
      <c r="AV495">
        <v>100</v>
      </c>
      <c r="AW495">
        <v>12</v>
      </c>
      <c r="AX495">
        <v>22.5</v>
      </c>
      <c r="AY495">
        <v>1.9</v>
      </c>
      <c r="AZ495">
        <v>74.400000000000006</v>
      </c>
      <c r="BA495">
        <v>64.5</v>
      </c>
      <c r="BB495">
        <v>88.3</v>
      </c>
      <c r="BC495">
        <v>88.8</v>
      </c>
      <c r="BD495">
        <v>11.7</v>
      </c>
      <c r="BE495">
        <v>11.2</v>
      </c>
      <c r="BF495">
        <v>100</v>
      </c>
      <c r="BG495">
        <v>12</v>
      </c>
      <c r="BH495">
        <v>22.5</v>
      </c>
      <c r="BI495">
        <v>1.9</v>
      </c>
      <c r="BJ495">
        <v>74.400000000000006</v>
      </c>
      <c r="BK495">
        <v>64.5</v>
      </c>
      <c r="BL495">
        <v>88.3</v>
      </c>
      <c r="BM495">
        <v>88.8</v>
      </c>
      <c r="BN495">
        <v>11.7</v>
      </c>
      <c r="BO495">
        <v>11.2</v>
      </c>
      <c r="BP495">
        <v>0</v>
      </c>
      <c r="BQ495">
        <v>0</v>
      </c>
      <c r="BR495">
        <v>0</v>
      </c>
      <c r="BS495">
        <v>0</v>
      </c>
      <c r="BT495">
        <v>0</v>
      </c>
      <c r="BU495">
        <v>0</v>
      </c>
      <c r="BV495">
        <v>0</v>
      </c>
      <c r="BW495">
        <v>0</v>
      </c>
      <c r="BX495">
        <v>0</v>
      </c>
      <c r="BY495">
        <v>0</v>
      </c>
      <c r="BZ495">
        <v>528</v>
      </c>
      <c r="CA495">
        <v>77</v>
      </c>
      <c r="CB495">
        <v>96</v>
      </c>
      <c r="CC495">
        <v>40</v>
      </c>
      <c r="CD495">
        <v>257</v>
      </c>
      <c r="CE495">
        <v>247</v>
      </c>
      <c r="CF495">
        <v>361</v>
      </c>
      <c r="CG495">
        <v>356</v>
      </c>
      <c r="CH495">
        <v>528</v>
      </c>
      <c r="CI495">
        <v>77</v>
      </c>
      <c r="CJ495">
        <v>96</v>
      </c>
      <c r="CK495">
        <v>40</v>
      </c>
      <c r="CL495">
        <v>257</v>
      </c>
      <c r="CM495">
        <v>247</v>
      </c>
      <c r="CN495">
        <v>361</v>
      </c>
      <c r="CO495">
        <v>356</v>
      </c>
      <c r="CP495">
        <v>0</v>
      </c>
      <c r="CQ495">
        <v>0</v>
      </c>
      <c r="CR495">
        <v>0</v>
      </c>
      <c r="CS495">
        <v>0</v>
      </c>
      <c r="CT495">
        <v>0</v>
      </c>
      <c r="CU495">
        <v>0</v>
      </c>
      <c r="CV495">
        <v>0</v>
      </c>
      <c r="CW495">
        <v>0</v>
      </c>
      <c r="CX495">
        <v>16</v>
      </c>
      <c r="CY495">
        <v>13.8</v>
      </c>
      <c r="CZ495">
        <v>23.1</v>
      </c>
      <c r="DA495">
        <v>22.4</v>
      </c>
      <c r="DB495">
        <v>14.2</v>
      </c>
      <c r="DC495">
        <v>13</v>
      </c>
      <c r="DD495">
        <v>21.1</v>
      </c>
      <c r="DE495">
        <v>21.2</v>
      </c>
      <c r="DF495">
        <v>16</v>
      </c>
      <c r="DG495">
        <v>13.8</v>
      </c>
      <c r="DH495">
        <v>23.1</v>
      </c>
      <c r="DI495">
        <v>22.4</v>
      </c>
      <c r="DJ495">
        <v>14.2</v>
      </c>
      <c r="DK495">
        <v>13</v>
      </c>
      <c r="DL495">
        <v>21.1</v>
      </c>
      <c r="DM495">
        <v>21.2</v>
      </c>
      <c r="DN495">
        <v>0</v>
      </c>
      <c r="DO495">
        <v>0</v>
      </c>
      <c r="DP495">
        <v>0</v>
      </c>
      <c r="DQ495">
        <v>0</v>
      </c>
      <c r="DR495">
        <v>0</v>
      </c>
      <c r="DS495">
        <v>0</v>
      </c>
      <c r="DT495">
        <v>0</v>
      </c>
      <c r="DU495">
        <v>0</v>
      </c>
      <c r="DV495" t="s">
        <v>841</v>
      </c>
    </row>
    <row r="496" spans="1:126" x14ac:dyDescent="0.35">
      <c r="A496" t="s">
        <v>839</v>
      </c>
      <c r="B496">
        <v>230103</v>
      </c>
      <c r="C496" s="1">
        <v>44929</v>
      </c>
      <c r="D496" t="s">
        <v>840</v>
      </c>
      <c r="E496" t="s">
        <v>402</v>
      </c>
      <c r="F496" t="s">
        <v>165</v>
      </c>
      <c r="G496" t="s">
        <v>834</v>
      </c>
      <c r="H496">
        <v>2010996</v>
      </c>
      <c r="I496" s="17">
        <v>261260</v>
      </c>
      <c r="J496" s="17">
        <v>428561</v>
      </c>
      <c r="K496">
        <v>42072</v>
      </c>
      <c r="L496">
        <v>1474811</v>
      </c>
      <c r="M496">
        <v>1308259</v>
      </c>
      <c r="N496">
        <v>1778143</v>
      </c>
      <c r="O496">
        <v>1778892</v>
      </c>
      <c r="P496">
        <v>232853</v>
      </c>
      <c r="Q496">
        <v>232104</v>
      </c>
      <c r="R496">
        <v>2010996</v>
      </c>
      <c r="S496">
        <v>261260</v>
      </c>
      <c r="T496">
        <v>428561</v>
      </c>
      <c r="U496">
        <v>42072</v>
      </c>
      <c r="V496">
        <v>1474811</v>
      </c>
      <c r="W496">
        <v>1308259</v>
      </c>
      <c r="X496">
        <v>1778143</v>
      </c>
      <c r="Y496">
        <v>1778892</v>
      </c>
      <c r="Z496">
        <v>232853</v>
      </c>
      <c r="AA496">
        <v>232104</v>
      </c>
      <c r="AB496">
        <v>0</v>
      </c>
      <c r="AC496">
        <v>0</v>
      </c>
      <c r="AD496">
        <v>0</v>
      </c>
      <c r="AE496">
        <v>0</v>
      </c>
      <c r="AF496">
        <v>0</v>
      </c>
      <c r="AG496">
        <v>0</v>
      </c>
      <c r="AH496">
        <v>0</v>
      </c>
      <c r="AI496">
        <v>0</v>
      </c>
      <c r="AJ496">
        <v>0</v>
      </c>
      <c r="AK496">
        <v>0</v>
      </c>
      <c r="AL496">
        <v>49686</v>
      </c>
      <c r="AM496">
        <v>16284</v>
      </c>
      <c r="AN496">
        <v>9304</v>
      </c>
      <c r="AO496">
        <v>-2104</v>
      </c>
      <c r="AP496">
        <v>27529</v>
      </c>
      <c r="AQ496">
        <v>39963</v>
      </c>
      <c r="AR496">
        <v>41709</v>
      </c>
      <c r="AS496">
        <v>47163</v>
      </c>
      <c r="AT496">
        <v>7977</v>
      </c>
      <c r="AU496">
        <v>2523</v>
      </c>
      <c r="AV496">
        <v>100</v>
      </c>
      <c r="AW496">
        <v>13</v>
      </c>
      <c r="AX496">
        <v>21.3</v>
      </c>
      <c r="AY496">
        <v>2.1</v>
      </c>
      <c r="AZ496">
        <v>73.3</v>
      </c>
      <c r="BA496">
        <v>65.099999999999994</v>
      </c>
      <c r="BB496">
        <v>88.4</v>
      </c>
      <c r="BC496">
        <v>88.5</v>
      </c>
      <c r="BD496">
        <v>11.6</v>
      </c>
      <c r="BE496">
        <v>11.5</v>
      </c>
      <c r="BF496">
        <v>100</v>
      </c>
      <c r="BG496">
        <v>13</v>
      </c>
      <c r="BH496">
        <v>21.3</v>
      </c>
      <c r="BI496">
        <v>2.1</v>
      </c>
      <c r="BJ496">
        <v>73.3</v>
      </c>
      <c r="BK496">
        <v>65.099999999999994</v>
      </c>
      <c r="BL496">
        <v>88.4</v>
      </c>
      <c r="BM496">
        <v>88.5</v>
      </c>
      <c r="BN496">
        <v>11.6</v>
      </c>
      <c r="BO496">
        <v>11.5</v>
      </c>
      <c r="BP496">
        <v>0</v>
      </c>
      <c r="BQ496">
        <v>0</v>
      </c>
      <c r="BR496">
        <v>0</v>
      </c>
      <c r="BS496">
        <v>0</v>
      </c>
      <c r="BT496">
        <v>0</v>
      </c>
      <c r="BU496">
        <v>0</v>
      </c>
      <c r="BV496">
        <v>0</v>
      </c>
      <c r="BW496">
        <v>0</v>
      </c>
      <c r="BX496">
        <v>0</v>
      </c>
      <c r="BY496">
        <v>0</v>
      </c>
      <c r="BZ496">
        <v>530</v>
      </c>
      <c r="CA496">
        <v>75</v>
      </c>
      <c r="CB496">
        <v>97</v>
      </c>
      <c r="CC496">
        <v>43</v>
      </c>
      <c r="CD496">
        <v>256</v>
      </c>
      <c r="CE496">
        <v>251</v>
      </c>
      <c r="CF496">
        <v>361</v>
      </c>
      <c r="CG496">
        <v>361</v>
      </c>
      <c r="CH496">
        <v>530</v>
      </c>
      <c r="CI496">
        <v>75</v>
      </c>
      <c r="CJ496">
        <v>97</v>
      </c>
      <c r="CK496">
        <v>43</v>
      </c>
      <c r="CL496">
        <v>256</v>
      </c>
      <c r="CM496">
        <v>251</v>
      </c>
      <c r="CN496">
        <v>361</v>
      </c>
      <c r="CO496">
        <v>361</v>
      </c>
      <c r="CP496">
        <v>0</v>
      </c>
      <c r="CQ496">
        <v>0</v>
      </c>
      <c r="CR496">
        <v>0</v>
      </c>
      <c r="CS496">
        <v>0</v>
      </c>
      <c r="CT496">
        <v>0</v>
      </c>
      <c r="CU496">
        <v>0</v>
      </c>
      <c r="CV496">
        <v>0</v>
      </c>
      <c r="CW496">
        <v>0</v>
      </c>
      <c r="CX496">
        <v>15.7</v>
      </c>
      <c r="CY496">
        <v>11.4</v>
      </c>
      <c r="CZ496">
        <v>22.2</v>
      </c>
      <c r="DA496">
        <v>19.100000000000001</v>
      </c>
      <c r="DB496">
        <v>13.7</v>
      </c>
      <c r="DC496">
        <v>10.8</v>
      </c>
      <c r="DD496">
        <v>19.899999999999999</v>
      </c>
      <c r="DE496">
        <v>17.7</v>
      </c>
      <c r="DF496">
        <v>15.7</v>
      </c>
      <c r="DG496">
        <v>11.4</v>
      </c>
      <c r="DH496">
        <v>22.2</v>
      </c>
      <c r="DI496">
        <v>19.100000000000001</v>
      </c>
      <c r="DJ496">
        <v>13.7</v>
      </c>
      <c r="DK496">
        <v>10.8</v>
      </c>
      <c r="DL496">
        <v>19.899999999999999</v>
      </c>
      <c r="DM496">
        <v>17.7</v>
      </c>
      <c r="DN496">
        <v>0</v>
      </c>
      <c r="DO496">
        <v>0</v>
      </c>
      <c r="DP496">
        <v>0</v>
      </c>
      <c r="DQ496">
        <v>0</v>
      </c>
      <c r="DR496">
        <v>0</v>
      </c>
      <c r="DS496">
        <v>0</v>
      </c>
      <c r="DT496">
        <v>0</v>
      </c>
      <c r="DU496">
        <v>0</v>
      </c>
      <c r="DV496" t="s">
        <v>841</v>
      </c>
    </row>
    <row r="497" spans="1:126" x14ac:dyDescent="0.35">
      <c r="A497" t="s">
        <v>842</v>
      </c>
      <c r="B497">
        <v>230110</v>
      </c>
      <c r="C497" s="1">
        <v>44936</v>
      </c>
      <c r="D497" t="s">
        <v>843</v>
      </c>
      <c r="E497" t="s">
        <v>402</v>
      </c>
      <c r="F497" t="s">
        <v>165</v>
      </c>
      <c r="G497" t="s">
        <v>834</v>
      </c>
      <c r="H497">
        <v>26125</v>
      </c>
      <c r="I497" s="17">
        <v>257</v>
      </c>
      <c r="J497" s="17">
        <v>0</v>
      </c>
      <c r="K497">
        <v>0</v>
      </c>
      <c r="L497">
        <v>23601</v>
      </c>
      <c r="M497">
        <v>25112</v>
      </c>
      <c r="N497">
        <v>23858</v>
      </c>
      <c r="O497">
        <v>25112</v>
      </c>
      <c r="P497">
        <v>2267</v>
      </c>
      <c r="Q497">
        <v>1013</v>
      </c>
      <c r="R497">
        <v>26125</v>
      </c>
      <c r="S497">
        <v>257</v>
      </c>
      <c r="T497">
        <v>0</v>
      </c>
      <c r="U497">
        <v>0</v>
      </c>
      <c r="V497">
        <v>23601</v>
      </c>
      <c r="W497">
        <v>25112</v>
      </c>
      <c r="X497">
        <v>23858</v>
      </c>
      <c r="Y497">
        <v>25112</v>
      </c>
      <c r="Z497">
        <v>2267</v>
      </c>
      <c r="AA497">
        <v>1013</v>
      </c>
      <c r="AB497">
        <v>0</v>
      </c>
      <c r="AC497">
        <v>0</v>
      </c>
      <c r="AD497">
        <v>0</v>
      </c>
      <c r="AE497">
        <v>0</v>
      </c>
      <c r="AF497">
        <v>0</v>
      </c>
      <c r="AG497">
        <v>0</v>
      </c>
      <c r="AH497">
        <v>0</v>
      </c>
      <c r="AI497">
        <v>0</v>
      </c>
      <c r="AJ497">
        <v>0</v>
      </c>
      <c r="AK497">
        <v>0</v>
      </c>
      <c r="AL497">
        <v>3112</v>
      </c>
      <c r="AM497">
        <v>257</v>
      </c>
      <c r="AN497">
        <v>0</v>
      </c>
      <c r="AO497">
        <v>0</v>
      </c>
      <c r="AP497">
        <v>2531</v>
      </c>
      <c r="AQ497">
        <v>3269</v>
      </c>
      <c r="AR497">
        <v>2788</v>
      </c>
      <c r="AS497">
        <v>3269</v>
      </c>
      <c r="AT497">
        <v>324</v>
      </c>
      <c r="AU497">
        <v>-157</v>
      </c>
      <c r="AV497">
        <v>100</v>
      </c>
      <c r="AW497">
        <v>1</v>
      </c>
      <c r="AX497">
        <v>0</v>
      </c>
      <c r="AY497">
        <v>0</v>
      </c>
      <c r="AZ497">
        <v>90.3</v>
      </c>
      <c r="BA497">
        <v>96.1</v>
      </c>
      <c r="BB497">
        <v>91.3</v>
      </c>
      <c r="BC497">
        <v>96.1</v>
      </c>
      <c r="BD497">
        <v>8.6999999999999993</v>
      </c>
      <c r="BE497">
        <v>3.9</v>
      </c>
      <c r="BF497">
        <v>100</v>
      </c>
      <c r="BG497">
        <v>1</v>
      </c>
      <c r="BH497">
        <v>0</v>
      </c>
      <c r="BI497">
        <v>0</v>
      </c>
      <c r="BJ497">
        <v>90.3</v>
      </c>
      <c r="BK497">
        <v>96.1</v>
      </c>
      <c r="BL497">
        <v>91.3</v>
      </c>
      <c r="BM497">
        <v>96.1</v>
      </c>
      <c r="BN497">
        <v>8.6999999999999993</v>
      </c>
      <c r="BO497">
        <v>3.9</v>
      </c>
      <c r="BP497">
        <v>0</v>
      </c>
      <c r="BQ497">
        <v>0</v>
      </c>
      <c r="BR497">
        <v>0</v>
      </c>
      <c r="BS497">
        <v>0</v>
      </c>
      <c r="BT497">
        <v>0</v>
      </c>
      <c r="BU497">
        <v>0</v>
      </c>
      <c r="BV497">
        <v>0</v>
      </c>
      <c r="BW497">
        <v>0</v>
      </c>
      <c r="BX497">
        <v>0</v>
      </c>
      <c r="BY497">
        <v>0</v>
      </c>
      <c r="BZ497">
        <v>23</v>
      </c>
      <c r="CA497">
        <v>1</v>
      </c>
      <c r="CB497">
        <v>0</v>
      </c>
      <c r="CC497">
        <v>0</v>
      </c>
      <c r="CD497">
        <v>11</v>
      </c>
      <c r="CE497">
        <v>12</v>
      </c>
      <c r="CF497">
        <v>12</v>
      </c>
      <c r="CG497">
        <v>12</v>
      </c>
      <c r="CH497">
        <v>23</v>
      </c>
      <c r="CI497">
        <v>1</v>
      </c>
      <c r="CJ497">
        <v>0</v>
      </c>
      <c r="CK497">
        <v>0</v>
      </c>
      <c r="CL497">
        <v>11</v>
      </c>
      <c r="CM497">
        <v>12</v>
      </c>
      <c r="CN497">
        <v>12</v>
      </c>
      <c r="CO497">
        <v>12</v>
      </c>
      <c r="CP497">
        <v>0</v>
      </c>
      <c r="CQ497">
        <v>0</v>
      </c>
      <c r="CR497">
        <v>0</v>
      </c>
      <c r="CS497">
        <v>0</v>
      </c>
      <c r="CT497">
        <v>0</v>
      </c>
      <c r="CU497">
        <v>0</v>
      </c>
      <c r="CV497">
        <v>0</v>
      </c>
      <c r="CW497">
        <v>0</v>
      </c>
      <c r="CX497">
        <v>62.7</v>
      </c>
      <c r="CY497">
        <v>73.3</v>
      </c>
      <c r="CZ497">
        <v>86.7</v>
      </c>
      <c r="DA497">
        <v>92.5</v>
      </c>
      <c r="DB497">
        <v>62.7</v>
      </c>
      <c r="DC497">
        <v>73.3</v>
      </c>
      <c r="DD497">
        <v>86.6</v>
      </c>
      <c r="DE497">
        <v>92.5</v>
      </c>
      <c r="DF497">
        <v>62.7</v>
      </c>
      <c r="DG497">
        <v>73.3</v>
      </c>
      <c r="DH497">
        <v>86.7</v>
      </c>
      <c r="DI497">
        <v>92.5</v>
      </c>
      <c r="DJ497">
        <v>62.7</v>
      </c>
      <c r="DK497">
        <v>73.3</v>
      </c>
      <c r="DL497">
        <v>86.6</v>
      </c>
      <c r="DM497">
        <v>92.5</v>
      </c>
      <c r="DN497">
        <v>0</v>
      </c>
      <c r="DO497">
        <v>0</v>
      </c>
      <c r="DP497">
        <v>0</v>
      </c>
      <c r="DQ497">
        <v>0</v>
      </c>
      <c r="DR497">
        <v>0</v>
      </c>
      <c r="DS497">
        <v>0</v>
      </c>
      <c r="DT497">
        <v>0</v>
      </c>
      <c r="DU497">
        <v>0</v>
      </c>
      <c r="DV497" t="s">
        <v>844</v>
      </c>
    </row>
    <row r="498" spans="1:126" x14ac:dyDescent="0.35">
      <c r="A498" t="s">
        <v>842</v>
      </c>
      <c r="B498">
        <v>230103</v>
      </c>
      <c r="C498" s="1">
        <v>44929</v>
      </c>
      <c r="D498" t="s">
        <v>843</v>
      </c>
      <c r="E498" t="s">
        <v>402</v>
      </c>
      <c r="F498" t="s">
        <v>165</v>
      </c>
      <c r="G498" t="s">
        <v>834</v>
      </c>
      <c r="H498">
        <v>23013</v>
      </c>
      <c r="I498" s="17">
        <v>0</v>
      </c>
      <c r="J498" s="17">
        <v>0</v>
      </c>
      <c r="K498">
        <v>0</v>
      </c>
      <c r="L498">
        <v>21070</v>
      </c>
      <c r="M498">
        <v>21843</v>
      </c>
      <c r="N498">
        <v>21070</v>
      </c>
      <c r="O498">
        <v>21843</v>
      </c>
      <c r="P498">
        <v>1943</v>
      </c>
      <c r="Q498">
        <v>1170</v>
      </c>
      <c r="R498">
        <v>23013</v>
      </c>
      <c r="S498">
        <v>0</v>
      </c>
      <c r="T498">
        <v>0</v>
      </c>
      <c r="U498">
        <v>0</v>
      </c>
      <c r="V498">
        <v>21070</v>
      </c>
      <c r="W498">
        <v>21843</v>
      </c>
      <c r="X498">
        <v>21070</v>
      </c>
      <c r="Y498">
        <v>21843</v>
      </c>
      <c r="Z498">
        <v>1943</v>
      </c>
      <c r="AA498">
        <v>1170</v>
      </c>
      <c r="AB498">
        <v>0</v>
      </c>
      <c r="AC498">
        <v>0</v>
      </c>
      <c r="AD498">
        <v>0</v>
      </c>
      <c r="AE498">
        <v>0</v>
      </c>
      <c r="AF498">
        <v>0</v>
      </c>
      <c r="AG498">
        <v>0</v>
      </c>
      <c r="AH498">
        <v>0</v>
      </c>
      <c r="AI498">
        <v>0</v>
      </c>
      <c r="AJ498">
        <v>0</v>
      </c>
      <c r="AK498">
        <v>0</v>
      </c>
      <c r="AL498">
        <v>-481</v>
      </c>
      <c r="AM498">
        <v>0</v>
      </c>
      <c r="AN498">
        <v>0</v>
      </c>
      <c r="AO498">
        <v>0</v>
      </c>
      <c r="AP498">
        <v>-811</v>
      </c>
      <c r="AQ498">
        <v>-387</v>
      </c>
      <c r="AR498">
        <v>-811</v>
      </c>
      <c r="AS498">
        <v>-387</v>
      </c>
      <c r="AT498">
        <v>330</v>
      </c>
      <c r="AU498">
        <v>-94</v>
      </c>
      <c r="AV498">
        <v>100</v>
      </c>
      <c r="AW498">
        <v>0</v>
      </c>
      <c r="AX498">
        <v>0</v>
      </c>
      <c r="AY498">
        <v>0</v>
      </c>
      <c r="AZ498">
        <v>91.6</v>
      </c>
      <c r="BA498">
        <v>94.9</v>
      </c>
      <c r="BB498">
        <v>91.6</v>
      </c>
      <c r="BC498">
        <v>94.9</v>
      </c>
      <c r="BD498">
        <v>8.4</v>
      </c>
      <c r="BE498">
        <v>5.0999999999999996</v>
      </c>
      <c r="BF498">
        <v>100</v>
      </c>
      <c r="BG498">
        <v>0</v>
      </c>
      <c r="BH498">
        <v>0</v>
      </c>
      <c r="BI498">
        <v>0</v>
      </c>
      <c r="BJ498">
        <v>91.6</v>
      </c>
      <c r="BK498">
        <v>94.9</v>
      </c>
      <c r="BL498">
        <v>91.6</v>
      </c>
      <c r="BM498">
        <v>94.9</v>
      </c>
      <c r="BN498">
        <v>8.4</v>
      </c>
      <c r="BO498">
        <v>5.0999999999999996</v>
      </c>
      <c r="BP498">
        <v>0</v>
      </c>
      <c r="BQ498">
        <v>0</v>
      </c>
      <c r="BR498">
        <v>0</v>
      </c>
      <c r="BS498">
        <v>0</v>
      </c>
      <c r="BT498">
        <v>0</v>
      </c>
      <c r="BU498">
        <v>0</v>
      </c>
      <c r="BV498">
        <v>0</v>
      </c>
      <c r="BW498">
        <v>0</v>
      </c>
      <c r="BX498">
        <v>0</v>
      </c>
      <c r="BY498">
        <v>0</v>
      </c>
      <c r="BZ498">
        <v>20</v>
      </c>
      <c r="CA498">
        <v>0</v>
      </c>
      <c r="CB498">
        <v>0</v>
      </c>
      <c r="CC498">
        <v>0</v>
      </c>
      <c r="CD498">
        <v>10</v>
      </c>
      <c r="CE498">
        <v>11</v>
      </c>
      <c r="CF498">
        <v>10</v>
      </c>
      <c r="CG498">
        <v>11</v>
      </c>
      <c r="CH498">
        <v>20</v>
      </c>
      <c r="CI498">
        <v>0</v>
      </c>
      <c r="CJ498">
        <v>0</v>
      </c>
      <c r="CK498">
        <v>0</v>
      </c>
      <c r="CL498">
        <v>10</v>
      </c>
      <c r="CM498">
        <v>11</v>
      </c>
      <c r="CN498">
        <v>10</v>
      </c>
      <c r="CO498">
        <v>11</v>
      </c>
      <c r="CP498">
        <v>0</v>
      </c>
      <c r="CQ498">
        <v>0</v>
      </c>
      <c r="CR498">
        <v>0</v>
      </c>
      <c r="CS498">
        <v>0</v>
      </c>
      <c r="CT498">
        <v>0</v>
      </c>
      <c r="CU498">
        <v>0</v>
      </c>
      <c r="CV498">
        <v>0</v>
      </c>
      <c r="CW498">
        <v>0</v>
      </c>
      <c r="CX498">
        <v>71.400000000000006</v>
      </c>
      <c r="CY498">
        <v>75.2</v>
      </c>
      <c r="CZ498">
        <v>89.4</v>
      </c>
      <c r="DA498">
        <v>91.9</v>
      </c>
      <c r="DB498">
        <v>71.400000000000006</v>
      </c>
      <c r="DC498">
        <v>75.2</v>
      </c>
      <c r="DD498">
        <v>88.8</v>
      </c>
      <c r="DE498">
        <v>91.9</v>
      </c>
      <c r="DF498">
        <v>71.400000000000006</v>
      </c>
      <c r="DG498">
        <v>75.2</v>
      </c>
      <c r="DH498">
        <v>89.4</v>
      </c>
      <c r="DI498">
        <v>91.9</v>
      </c>
      <c r="DJ498">
        <v>71.400000000000006</v>
      </c>
      <c r="DK498">
        <v>75.2</v>
      </c>
      <c r="DL498">
        <v>88.8</v>
      </c>
      <c r="DM498">
        <v>91.9</v>
      </c>
      <c r="DN498">
        <v>0</v>
      </c>
      <c r="DO498">
        <v>0</v>
      </c>
      <c r="DP498">
        <v>0</v>
      </c>
      <c r="DQ498">
        <v>0</v>
      </c>
      <c r="DR498">
        <v>0</v>
      </c>
      <c r="DS498">
        <v>0</v>
      </c>
      <c r="DT498">
        <v>0</v>
      </c>
      <c r="DU498">
        <v>0</v>
      </c>
      <c r="DV498" t="s">
        <v>844</v>
      </c>
    </row>
    <row r="499" spans="1:126" x14ac:dyDescent="0.35">
      <c r="A499" t="s">
        <v>845</v>
      </c>
      <c r="B499">
        <v>230110</v>
      </c>
      <c r="C499" s="1">
        <v>44936</v>
      </c>
      <c r="D499" t="s">
        <v>846</v>
      </c>
      <c r="E499" t="s">
        <v>402</v>
      </c>
      <c r="F499" t="s">
        <v>165</v>
      </c>
      <c r="G499" t="s">
        <v>834</v>
      </c>
      <c r="H499">
        <v>12250</v>
      </c>
      <c r="I499" s="17">
        <v>859</v>
      </c>
      <c r="J499" s="17">
        <v>1535</v>
      </c>
      <c r="K499">
        <v>0</v>
      </c>
      <c r="L499">
        <v>8572</v>
      </c>
      <c r="M499">
        <v>10203</v>
      </c>
      <c r="N499">
        <v>9431</v>
      </c>
      <c r="O499">
        <v>11738</v>
      </c>
      <c r="P499">
        <v>2819</v>
      </c>
      <c r="Q499">
        <v>512</v>
      </c>
      <c r="R499">
        <v>12250</v>
      </c>
      <c r="S499">
        <v>859</v>
      </c>
      <c r="T499">
        <v>1535</v>
      </c>
      <c r="U499">
        <v>0</v>
      </c>
      <c r="V499">
        <v>8572</v>
      </c>
      <c r="W499">
        <v>10203</v>
      </c>
      <c r="X499">
        <v>9431</v>
      </c>
      <c r="Y499">
        <v>11738</v>
      </c>
      <c r="Z499">
        <v>2819</v>
      </c>
      <c r="AA499">
        <v>512</v>
      </c>
      <c r="AB499">
        <v>0</v>
      </c>
      <c r="AC499">
        <v>0</v>
      </c>
      <c r="AD499">
        <v>0</v>
      </c>
      <c r="AE499">
        <v>0</v>
      </c>
      <c r="AF499">
        <v>0</v>
      </c>
      <c r="AG499">
        <v>0</v>
      </c>
      <c r="AH499">
        <v>0</v>
      </c>
      <c r="AI499">
        <v>0</v>
      </c>
      <c r="AJ499">
        <v>0</v>
      </c>
      <c r="AK499">
        <v>0</v>
      </c>
      <c r="AL499">
        <v>38</v>
      </c>
      <c r="AM499">
        <v>-122</v>
      </c>
      <c r="AN499">
        <v>-10</v>
      </c>
      <c r="AO499">
        <v>0</v>
      </c>
      <c r="AP499">
        <v>-9</v>
      </c>
      <c r="AQ499">
        <v>112</v>
      </c>
      <c r="AR499">
        <v>-131</v>
      </c>
      <c r="AS499">
        <v>102</v>
      </c>
      <c r="AT499">
        <v>169</v>
      </c>
      <c r="AU499">
        <v>-64</v>
      </c>
      <c r="AV499">
        <v>100</v>
      </c>
      <c r="AW499">
        <v>7</v>
      </c>
      <c r="AX499">
        <v>12.5</v>
      </c>
      <c r="AY499">
        <v>0</v>
      </c>
      <c r="AZ499">
        <v>70</v>
      </c>
      <c r="BA499">
        <v>83.3</v>
      </c>
      <c r="BB499">
        <v>77</v>
      </c>
      <c r="BC499">
        <v>95.8</v>
      </c>
      <c r="BD499">
        <v>23</v>
      </c>
      <c r="BE499">
        <v>4.2</v>
      </c>
      <c r="BF499">
        <v>100</v>
      </c>
      <c r="BG499">
        <v>7</v>
      </c>
      <c r="BH499">
        <v>12.5</v>
      </c>
      <c r="BI499">
        <v>0</v>
      </c>
      <c r="BJ499">
        <v>70</v>
      </c>
      <c r="BK499">
        <v>83.3</v>
      </c>
      <c r="BL499">
        <v>77</v>
      </c>
      <c r="BM499">
        <v>95.8</v>
      </c>
      <c r="BN499">
        <v>23</v>
      </c>
      <c r="BO499">
        <v>4.2</v>
      </c>
      <c r="BP499">
        <v>0</v>
      </c>
      <c r="BQ499">
        <v>0</v>
      </c>
      <c r="BR499">
        <v>0</v>
      </c>
      <c r="BS499">
        <v>0</v>
      </c>
      <c r="BT499">
        <v>0</v>
      </c>
      <c r="BU499">
        <v>0</v>
      </c>
      <c r="BV499">
        <v>0</v>
      </c>
      <c r="BW499">
        <v>0</v>
      </c>
      <c r="BX499">
        <v>0</v>
      </c>
      <c r="BY499">
        <v>0</v>
      </c>
      <c r="BZ499">
        <v>21</v>
      </c>
      <c r="CA499">
        <v>2</v>
      </c>
      <c r="CB499">
        <v>1</v>
      </c>
      <c r="CC499">
        <v>0</v>
      </c>
      <c r="CD499">
        <v>11</v>
      </c>
      <c r="CE499">
        <v>7</v>
      </c>
      <c r="CF499">
        <v>13</v>
      </c>
      <c r="CG499">
        <v>8</v>
      </c>
      <c r="CH499">
        <v>21</v>
      </c>
      <c r="CI499">
        <v>2</v>
      </c>
      <c r="CJ499">
        <v>1</v>
      </c>
      <c r="CK499">
        <v>0</v>
      </c>
      <c r="CL499">
        <v>11</v>
      </c>
      <c r="CM499">
        <v>7</v>
      </c>
      <c r="CN499">
        <v>13</v>
      </c>
      <c r="CO499">
        <v>8</v>
      </c>
      <c r="CP499">
        <v>0</v>
      </c>
      <c r="CQ499">
        <v>0</v>
      </c>
      <c r="CR499">
        <v>0</v>
      </c>
      <c r="CS499">
        <v>0</v>
      </c>
      <c r="CT499">
        <v>0</v>
      </c>
      <c r="CU499">
        <v>0</v>
      </c>
      <c r="CV499">
        <v>0</v>
      </c>
      <c r="CW499">
        <v>0</v>
      </c>
      <c r="CX499">
        <v>52.3</v>
      </c>
      <c r="CY499">
        <v>72</v>
      </c>
      <c r="CZ499">
        <v>65.5</v>
      </c>
      <c r="DA499">
        <v>95.8</v>
      </c>
      <c r="DB499">
        <v>52.3</v>
      </c>
      <c r="DC499">
        <v>72</v>
      </c>
      <c r="DD499">
        <v>65.5</v>
      </c>
      <c r="DE499">
        <v>95.8</v>
      </c>
      <c r="DF499">
        <v>52.3</v>
      </c>
      <c r="DG499">
        <v>72</v>
      </c>
      <c r="DH499">
        <v>65.5</v>
      </c>
      <c r="DI499">
        <v>95.8</v>
      </c>
      <c r="DJ499">
        <v>52.3</v>
      </c>
      <c r="DK499">
        <v>72</v>
      </c>
      <c r="DL499">
        <v>65.5</v>
      </c>
      <c r="DM499">
        <v>95.8</v>
      </c>
      <c r="DN499">
        <v>0</v>
      </c>
      <c r="DO499">
        <v>0</v>
      </c>
      <c r="DP499">
        <v>0</v>
      </c>
      <c r="DQ499">
        <v>0</v>
      </c>
      <c r="DR499">
        <v>0</v>
      </c>
      <c r="DS499">
        <v>0</v>
      </c>
      <c r="DT499">
        <v>0</v>
      </c>
      <c r="DU499">
        <v>0</v>
      </c>
      <c r="DV499" t="s">
        <v>847</v>
      </c>
    </row>
    <row r="500" spans="1:126" x14ac:dyDescent="0.35">
      <c r="A500" t="s">
        <v>845</v>
      </c>
      <c r="B500">
        <v>230103</v>
      </c>
      <c r="C500" s="1">
        <v>44929</v>
      </c>
      <c r="D500" t="s">
        <v>846</v>
      </c>
      <c r="E500" t="s">
        <v>402</v>
      </c>
      <c r="F500" t="s">
        <v>165</v>
      </c>
      <c r="G500" t="s">
        <v>834</v>
      </c>
      <c r="H500">
        <v>12212</v>
      </c>
      <c r="I500" s="17">
        <v>981</v>
      </c>
      <c r="J500" s="17">
        <v>1545</v>
      </c>
      <c r="K500">
        <v>0</v>
      </c>
      <c r="L500">
        <v>8581</v>
      </c>
      <c r="M500">
        <v>10091</v>
      </c>
      <c r="N500">
        <v>9562</v>
      </c>
      <c r="O500">
        <v>11636</v>
      </c>
      <c r="P500">
        <v>2650</v>
      </c>
      <c r="Q500">
        <v>576</v>
      </c>
      <c r="R500">
        <v>12212</v>
      </c>
      <c r="S500">
        <v>981</v>
      </c>
      <c r="T500">
        <v>1545</v>
      </c>
      <c r="U500">
        <v>0</v>
      </c>
      <c r="V500">
        <v>8581</v>
      </c>
      <c r="W500">
        <v>10091</v>
      </c>
      <c r="X500">
        <v>9562</v>
      </c>
      <c r="Y500">
        <v>11636</v>
      </c>
      <c r="Z500">
        <v>2650</v>
      </c>
      <c r="AA500">
        <v>576</v>
      </c>
      <c r="AB500">
        <v>0</v>
      </c>
      <c r="AC500">
        <v>0</v>
      </c>
      <c r="AD500">
        <v>0</v>
      </c>
      <c r="AE500">
        <v>0</v>
      </c>
      <c r="AF500">
        <v>0</v>
      </c>
      <c r="AG500">
        <v>0</v>
      </c>
      <c r="AH500">
        <v>0</v>
      </c>
      <c r="AI500">
        <v>0</v>
      </c>
      <c r="AJ500">
        <v>0</v>
      </c>
      <c r="AK500">
        <v>0</v>
      </c>
      <c r="AL500">
        <v>-259</v>
      </c>
      <c r="AM500">
        <v>-36</v>
      </c>
      <c r="AN500">
        <v>-350</v>
      </c>
      <c r="AO500">
        <v>0</v>
      </c>
      <c r="AP500">
        <v>-185</v>
      </c>
      <c r="AQ500">
        <v>0</v>
      </c>
      <c r="AR500">
        <v>-221</v>
      </c>
      <c r="AS500">
        <v>-350</v>
      </c>
      <c r="AT500">
        <v>-38</v>
      </c>
      <c r="AU500">
        <v>91</v>
      </c>
      <c r="AV500">
        <v>100</v>
      </c>
      <c r="AW500">
        <v>8</v>
      </c>
      <c r="AX500">
        <v>12.7</v>
      </c>
      <c r="AY500">
        <v>0</v>
      </c>
      <c r="AZ500">
        <v>70.3</v>
      </c>
      <c r="BA500">
        <v>82.6</v>
      </c>
      <c r="BB500">
        <v>78.3</v>
      </c>
      <c r="BC500">
        <v>95.3</v>
      </c>
      <c r="BD500">
        <v>21.7</v>
      </c>
      <c r="BE500">
        <v>4.7</v>
      </c>
      <c r="BF500">
        <v>100</v>
      </c>
      <c r="BG500">
        <v>8</v>
      </c>
      <c r="BH500">
        <v>12.7</v>
      </c>
      <c r="BI500">
        <v>0</v>
      </c>
      <c r="BJ500">
        <v>70.3</v>
      </c>
      <c r="BK500">
        <v>82.6</v>
      </c>
      <c r="BL500">
        <v>78.3</v>
      </c>
      <c r="BM500">
        <v>95.3</v>
      </c>
      <c r="BN500">
        <v>21.7</v>
      </c>
      <c r="BO500">
        <v>4.7</v>
      </c>
      <c r="BP500">
        <v>0</v>
      </c>
      <c r="BQ500">
        <v>0</v>
      </c>
      <c r="BR500">
        <v>0</v>
      </c>
      <c r="BS500">
        <v>0</v>
      </c>
      <c r="BT500">
        <v>0</v>
      </c>
      <c r="BU500">
        <v>0</v>
      </c>
      <c r="BV500">
        <v>0</v>
      </c>
      <c r="BW500">
        <v>0</v>
      </c>
      <c r="BX500">
        <v>0</v>
      </c>
      <c r="BY500">
        <v>0</v>
      </c>
      <c r="BZ500">
        <v>21</v>
      </c>
      <c r="CA500">
        <v>2</v>
      </c>
      <c r="CB500">
        <v>1</v>
      </c>
      <c r="CC500">
        <v>0</v>
      </c>
      <c r="CD500">
        <v>11</v>
      </c>
      <c r="CE500">
        <v>8</v>
      </c>
      <c r="CF500">
        <v>13</v>
      </c>
      <c r="CG500">
        <v>9</v>
      </c>
      <c r="CH500">
        <v>21</v>
      </c>
      <c r="CI500">
        <v>2</v>
      </c>
      <c r="CJ500">
        <v>1</v>
      </c>
      <c r="CK500">
        <v>0</v>
      </c>
      <c r="CL500">
        <v>11</v>
      </c>
      <c r="CM500">
        <v>8</v>
      </c>
      <c r="CN500">
        <v>13</v>
      </c>
      <c r="CO500">
        <v>9</v>
      </c>
      <c r="CP500">
        <v>0</v>
      </c>
      <c r="CQ500">
        <v>0</v>
      </c>
      <c r="CR500">
        <v>0</v>
      </c>
      <c r="CS500">
        <v>0</v>
      </c>
      <c r="CT500">
        <v>0</v>
      </c>
      <c r="CU500">
        <v>0</v>
      </c>
      <c r="CV500">
        <v>0</v>
      </c>
      <c r="CW500">
        <v>0</v>
      </c>
      <c r="CX500">
        <v>53.1</v>
      </c>
      <c r="CY500">
        <v>71.3</v>
      </c>
      <c r="CZ500">
        <v>67</v>
      </c>
      <c r="DA500">
        <v>95.3</v>
      </c>
      <c r="DB500">
        <v>53.1</v>
      </c>
      <c r="DC500">
        <v>71.3</v>
      </c>
      <c r="DD500">
        <v>67</v>
      </c>
      <c r="DE500">
        <v>95.3</v>
      </c>
      <c r="DF500">
        <v>53.1</v>
      </c>
      <c r="DG500">
        <v>71.3</v>
      </c>
      <c r="DH500">
        <v>67</v>
      </c>
      <c r="DI500">
        <v>95.3</v>
      </c>
      <c r="DJ500">
        <v>53.1</v>
      </c>
      <c r="DK500">
        <v>71.3</v>
      </c>
      <c r="DL500">
        <v>67</v>
      </c>
      <c r="DM500">
        <v>95.3</v>
      </c>
      <c r="DN500">
        <v>0</v>
      </c>
      <c r="DO500">
        <v>0</v>
      </c>
      <c r="DP500">
        <v>0</v>
      </c>
      <c r="DQ500">
        <v>0</v>
      </c>
      <c r="DR500">
        <v>0</v>
      </c>
      <c r="DS500">
        <v>0</v>
      </c>
      <c r="DT500">
        <v>0</v>
      </c>
      <c r="DU500">
        <v>0</v>
      </c>
      <c r="DV500" t="s">
        <v>847</v>
      </c>
    </row>
    <row r="501" spans="1:126" x14ac:dyDescent="0.35">
      <c r="A501" t="s">
        <v>848</v>
      </c>
      <c r="B501">
        <v>230110</v>
      </c>
      <c r="C501" s="1">
        <v>44936</v>
      </c>
      <c r="D501" t="s">
        <v>849</v>
      </c>
      <c r="E501" t="s">
        <v>402</v>
      </c>
      <c r="F501" t="s">
        <v>165</v>
      </c>
      <c r="G501" t="s">
        <v>834</v>
      </c>
      <c r="H501">
        <v>19244</v>
      </c>
      <c r="I501" s="17">
        <v>0</v>
      </c>
      <c r="J501" s="17">
        <v>622</v>
      </c>
      <c r="K501">
        <v>0</v>
      </c>
      <c r="L501">
        <v>17906</v>
      </c>
      <c r="M501">
        <v>16938</v>
      </c>
      <c r="N501">
        <v>17906</v>
      </c>
      <c r="O501">
        <v>17560</v>
      </c>
      <c r="P501">
        <v>1338</v>
      </c>
      <c r="Q501">
        <v>1684</v>
      </c>
      <c r="R501">
        <v>19244</v>
      </c>
      <c r="S501">
        <v>0</v>
      </c>
      <c r="T501">
        <v>622</v>
      </c>
      <c r="U501">
        <v>0</v>
      </c>
      <c r="V501">
        <v>17906</v>
      </c>
      <c r="W501">
        <v>16938</v>
      </c>
      <c r="X501">
        <v>17906</v>
      </c>
      <c r="Y501">
        <v>17560</v>
      </c>
      <c r="Z501">
        <v>1338</v>
      </c>
      <c r="AA501">
        <v>1684</v>
      </c>
      <c r="AB501">
        <v>0</v>
      </c>
      <c r="AC501">
        <v>0</v>
      </c>
      <c r="AD501">
        <v>0</v>
      </c>
      <c r="AE501">
        <v>0</v>
      </c>
      <c r="AF501">
        <v>0</v>
      </c>
      <c r="AG501">
        <v>0</v>
      </c>
      <c r="AH501">
        <v>0</v>
      </c>
      <c r="AI501">
        <v>0</v>
      </c>
      <c r="AJ501">
        <v>0</v>
      </c>
      <c r="AK501">
        <v>0</v>
      </c>
      <c r="AL501">
        <v>5925</v>
      </c>
      <c r="AM501">
        <v>0</v>
      </c>
      <c r="AN501">
        <v>-220</v>
      </c>
      <c r="AO501">
        <v>0</v>
      </c>
      <c r="AP501">
        <v>5830</v>
      </c>
      <c r="AQ501">
        <v>5731</v>
      </c>
      <c r="AR501">
        <v>5830</v>
      </c>
      <c r="AS501">
        <v>5511</v>
      </c>
      <c r="AT501">
        <v>95</v>
      </c>
      <c r="AU501">
        <v>414</v>
      </c>
      <c r="AV501">
        <v>100</v>
      </c>
      <c r="AW501">
        <v>0</v>
      </c>
      <c r="AX501">
        <v>3.2</v>
      </c>
      <c r="AY501">
        <v>0</v>
      </c>
      <c r="AZ501">
        <v>93</v>
      </c>
      <c r="BA501">
        <v>88</v>
      </c>
      <c r="BB501">
        <v>93</v>
      </c>
      <c r="BC501">
        <v>91.2</v>
      </c>
      <c r="BD501">
        <v>7</v>
      </c>
      <c r="BE501">
        <v>8.8000000000000007</v>
      </c>
      <c r="BF501">
        <v>100</v>
      </c>
      <c r="BG501">
        <v>0</v>
      </c>
      <c r="BH501">
        <v>3.2</v>
      </c>
      <c r="BI501">
        <v>0</v>
      </c>
      <c r="BJ501">
        <v>93</v>
      </c>
      <c r="BK501">
        <v>88</v>
      </c>
      <c r="BL501">
        <v>93</v>
      </c>
      <c r="BM501">
        <v>91.2</v>
      </c>
      <c r="BN501">
        <v>7</v>
      </c>
      <c r="BO501">
        <v>8.8000000000000007</v>
      </c>
      <c r="BP501">
        <v>0</v>
      </c>
      <c r="BQ501">
        <v>0</v>
      </c>
      <c r="BR501">
        <v>0</v>
      </c>
      <c r="BS501">
        <v>0</v>
      </c>
      <c r="BT501">
        <v>0</v>
      </c>
      <c r="BU501">
        <v>0</v>
      </c>
      <c r="BV501">
        <v>0</v>
      </c>
      <c r="BW501">
        <v>0</v>
      </c>
      <c r="BX501">
        <v>0</v>
      </c>
      <c r="BY501">
        <v>0</v>
      </c>
      <c r="BZ501">
        <v>22</v>
      </c>
      <c r="CA501">
        <v>0</v>
      </c>
      <c r="CB501">
        <v>2</v>
      </c>
      <c r="CC501">
        <v>0</v>
      </c>
      <c r="CD501">
        <v>8</v>
      </c>
      <c r="CE501">
        <v>12</v>
      </c>
      <c r="CF501">
        <v>8</v>
      </c>
      <c r="CG501">
        <v>14</v>
      </c>
      <c r="CH501">
        <v>22</v>
      </c>
      <c r="CI501">
        <v>0</v>
      </c>
      <c r="CJ501">
        <v>2</v>
      </c>
      <c r="CK501">
        <v>0</v>
      </c>
      <c r="CL501">
        <v>8</v>
      </c>
      <c r="CM501">
        <v>12</v>
      </c>
      <c r="CN501">
        <v>8</v>
      </c>
      <c r="CO501">
        <v>14</v>
      </c>
      <c r="CP501">
        <v>0</v>
      </c>
      <c r="CQ501">
        <v>0</v>
      </c>
      <c r="CR501">
        <v>0</v>
      </c>
      <c r="CS501">
        <v>0</v>
      </c>
      <c r="CT501">
        <v>0</v>
      </c>
      <c r="CU501">
        <v>0</v>
      </c>
      <c r="CV501">
        <v>0</v>
      </c>
      <c r="CW501">
        <v>0</v>
      </c>
      <c r="CX501">
        <v>84.6</v>
      </c>
      <c r="CY501">
        <v>69.7</v>
      </c>
      <c r="CZ501">
        <v>93</v>
      </c>
      <c r="DA501">
        <v>81</v>
      </c>
      <c r="DB501">
        <v>84.6</v>
      </c>
      <c r="DC501">
        <v>69.7</v>
      </c>
      <c r="DD501">
        <v>93</v>
      </c>
      <c r="DE501">
        <v>81</v>
      </c>
      <c r="DF501">
        <v>84.6</v>
      </c>
      <c r="DG501">
        <v>69.7</v>
      </c>
      <c r="DH501">
        <v>93</v>
      </c>
      <c r="DI501">
        <v>81</v>
      </c>
      <c r="DJ501">
        <v>84.6</v>
      </c>
      <c r="DK501">
        <v>69.7</v>
      </c>
      <c r="DL501">
        <v>93</v>
      </c>
      <c r="DM501">
        <v>81</v>
      </c>
      <c r="DN501">
        <v>0</v>
      </c>
      <c r="DO501">
        <v>0</v>
      </c>
      <c r="DP501">
        <v>0</v>
      </c>
      <c r="DQ501">
        <v>0</v>
      </c>
      <c r="DR501">
        <v>0</v>
      </c>
      <c r="DS501">
        <v>0</v>
      </c>
      <c r="DT501">
        <v>0</v>
      </c>
      <c r="DU501">
        <v>0</v>
      </c>
      <c r="DV501" t="s">
        <v>850</v>
      </c>
    </row>
    <row r="502" spans="1:126" x14ac:dyDescent="0.35">
      <c r="A502" t="s">
        <v>848</v>
      </c>
      <c r="B502">
        <v>230103</v>
      </c>
      <c r="C502" s="1">
        <v>44929</v>
      </c>
      <c r="D502" t="s">
        <v>849</v>
      </c>
      <c r="E502" t="s">
        <v>402</v>
      </c>
      <c r="F502" t="s">
        <v>165</v>
      </c>
      <c r="G502" t="s">
        <v>834</v>
      </c>
      <c r="H502">
        <v>13319</v>
      </c>
      <c r="I502" s="17">
        <v>0</v>
      </c>
      <c r="J502" s="17">
        <v>842</v>
      </c>
      <c r="K502">
        <v>0</v>
      </c>
      <c r="L502">
        <v>12076</v>
      </c>
      <c r="M502">
        <v>11207</v>
      </c>
      <c r="N502">
        <v>12076</v>
      </c>
      <c r="O502">
        <v>12049</v>
      </c>
      <c r="P502">
        <v>1243</v>
      </c>
      <c r="Q502">
        <v>1270</v>
      </c>
      <c r="R502">
        <v>13319</v>
      </c>
      <c r="S502">
        <v>0</v>
      </c>
      <c r="T502">
        <v>842</v>
      </c>
      <c r="U502">
        <v>0</v>
      </c>
      <c r="V502">
        <v>12076</v>
      </c>
      <c r="W502">
        <v>11207</v>
      </c>
      <c r="X502">
        <v>12076</v>
      </c>
      <c r="Y502">
        <v>12049</v>
      </c>
      <c r="Z502">
        <v>1243</v>
      </c>
      <c r="AA502">
        <v>1270</v>
      </c>
      <c r="AB502">
        <v>0</v>
      </c>
      <c r="AC502">
        <v>0</v>
      </c>
      <c r="AD502">
        <v>0</v>
      </c>
      <c r="AE502">
        <v>0</v>
      </c>
      <c r="AF502">
        <v>0</v>
      </c>
      <c r="AG502">
        <v>0</v>
      </c>
      <c r="AH502">
        <v>0</v>
      </c>
      <c r="AI502">
        <v>0</v>
      </c>
      <c r="AJ502">
        <v>0</v>
      </c>
      <c r="AK502">
        <v>0</v>
      </c>
      <c r="AL502">
        <v>13</v>
      </c>
      <c r="AM502">
        <v>0</v>
      </c>
      <c r="AN502">
        <v>7</v>
      </c>
      <c r="AO502">
        <v>0</v>
      </c>
      <c r="AP502">
        <v>0</v>
      </c>
      <c r="AQ502">
        <v>13</v>
      </c>
      <c r="AR502">
        <v>0</v>
      </c>
      <c r="AS502">
        <v>20</v>
      </c>
      <c r="AT502">
        <v>13</v>
      </c>
      <c r="AU502">
        <v>-7</v>
      </c>
      <c r="AV502">
        <v>100</v>
      </c>
      <c r="AW502">
        <v>0</v>
      </c>
      <c r="AX502">
        <v>6.3</v>
      </c>
      <c r="AY502">
        <v>0</v>
      </c>
      <c r="AZ502">
        <v>90.7</v>
      </c>
      <c r="BA502">
        <v>84.1</v>
      </c>
      <c r="BB502">
        <v>90.7</v>
      </c>
      <c r="BC502">
        <v>90.5</v>
      </c>
      <c r="BD502">
        <v>9.3000000000000007</v>
      </c>
      <c r="BE502">
        <v>9.5</v>
      </c>
      <c r="BF502">
        <v>100</v>
      </c>
      <c r="BG502">
        <v>0</v>
      </c>
      <c r="BH502">
        <v>6.3</v>
      </c>
      <c r="BI502">
        <v>0</v>
      </c>
      <c r="BJ502">
        <v>90.7</v>
      </c>
      <c r="BK502">
        <v>84.1</v>
      </c>
      <c r="BL502">
        <v>90.7</v>
      </c>
      <c r="BM502">
        <v>90.5</v>
      </c>
      <c r="BN502">
        <v>9.3000000000000007</v>
      </c>
      <c r="BO502">
        <v>9.5</v>
      </c>
      <c r="BP502">
        <v>0</v>
      </c>
      <c r="BQ502">
        <v>0</v>
      </c>
      <c r="BR502">
        <v>0</v>
      </c>
      <c r="BS502">
        <v>0</v>
      </c>
      <c r="BT502">
        <v>0</v>
      </c>
      <c r="BU502">
        <v>0</v>
      </c>
      <c r="BV502">
        <v>0</v>
      </c>
      <c r="BW502">
        <v>0</v>
      </c>
      <c r="BX502">
        <v>0</v>
      </c>
      <c r="BY502">
        <v>0</v>
      </c>
      <c r="BZ502">
        <v>23</v>
      </c>
      <c r="CA502">
        <v>0</v>
      </c>
      <c r="CB502">
        <v>3</v>
      </c>
      <c r="CC502">
        <v>0</v>
      </c>
      <c r="CD502">
        <v>8</v>
      </c>
      <c r="CE502">
        <v>12</v>
      </c>
      <c r="CF502">
        <v>8</v>
      </c>
      <c r="CG502">
        <v>15</v>
      </c>
      <c r="CH502">
        <v>23</v>
      </c>
      <c r="CI502">
        <v>0</v>
      </c>
      <c r="CJ502">
        <v>3</v>
      </c>
      <c r="CK502">
        <v>0</v>
      </c>
      <c r="CL502">
        <v>8</v>
      </c>
      <c r="CM502">
        <v>12</v>
      </c>
      <c r="CN502">
        <v>8</v>
      </c>
      <c r="CO502">
        <v>15</v>
      </c>
      <c r="CP502">
        <v>0</v>
      </c>
      <c r="CQ502">
        <v>0</v>
      </c>
      <c r="CR502">
        <v>0</v>
      </c>
      <c r="CS502">
        <v>0</v>
      </c>
      <c r="CT502">
        <v>0</v>
      </c>
      <c r="CU502">
        <v>0</v>
      </c>
      <c r="CV502">
        <v>0</v>
      </c>
      <c r="CW502">
        <v>0</v>
      </c>
      <c r="CX502">
        <v>78.5</v>
      </c>
      <c r="CY502">
        <v>57.6</v>
      </c>
      <c r="CZ502">
        <v>90.7</v>
      </c>
      <c r="DA502">
        <v>73.3</v>
      </c>
      <c r="DB502">
        <v>78.5</v>
      </c>
      <c r="DC502">
        <v>57.6</v>
      </c>
      <c r="DD502">
        <v>90.7</v>
      </c>
      <c r="DE502">
        <v>73.3</v>
      </c>
      <c r="DF502">
        <v>78.5</v>
      </c>
      <c r="DG502">
        <v>57.6</v>
      </c>
      <c r="DH502">
        <v>90.7</v>
      </c>
      <c r="DI502">
        <v>73.3</v>
      </c>
      <c r="DJ502">
        <v>78.5</v>
      </c>
      <c r="DK502">
        <v>57.6</v>
      </c>
      <c r="DL502">
        <v>90.7</v>
      </c>
      <c r="DM502">
        <v>73.3</v>
      </c>
      <c r="DN502">
        <v>0</v>
      </c>
      <c r="DO502">
        <v>0</v>
      </c>
      <c r="DP502">
        <v>0</v>
      </c>
      <c r="DQ502">
        <v>0</v>
      </c>
      <c r="DR502">
        <v>0</v>
      </c>
      <c r="DS502">
        <v>0</v>
      </c>
      <c r="DT502">
        <v>0</v>
      </c>
      <c r="DU502">
        <v>0</v>
      </c>
      <c r="DV502" t="s">
        <v>850</v>
      </c>
    </row>
    <row r="503" spans="1:126" x14ac:dyDescent="0.35">
      <c r="A503" t="s">
        <v>851</v>
      </c>
      <c r="B503">
        <v>230110</v>
      </c>
      <c r="C503" s="1">
        <v>44936</v>
      </c>
      <c r="D503" t="s">
        <v>852</v>
      </c>
      <c r="E503" t="s">
        <v>402</v>
      </c>
      <c r="F503" t="s">
        <v>165</v>
      </c>
      <c r="G503" t="s">
        <v>834</v>
      </c>
      <c r="H503">
        <v>17721</v>
      </c>
      <c r="I503" s="17">
        <v>1766</v>
      </c>
      <c r="J503" s="17">
        <v>650</v>
      </c>
      <c r="K503">
        <v>0</v>
      </c>
      <c r="L503">
        <v>13678</v>
      </c>
      <c r="M503">
        <v>16309</v>
      </c>
      <c r="N503">
        <v>15444</v>
      </c>
      <c r="O503">
        <v>16959</v>
      </c>
      <c r="P503">
        <v>2277</v>
      </c>
      <c r="Q503">
        <v>762</v>
      </c>
      <c r="R503">
        <v>17721</v>
      </c>
      <c r="S503">
        <v>1766</v>
      </c>
      <c r="T503">
        <v>650</v>
      </c>
      <c r="U503">
        <v>0</v>
      </c>
      <c r="V503">
        <v>13678</v>
      </c>
      <c r="W503">
        <v>16309</v>
      </c>
      <c r="X503">
        <v>15444</v>
      </c>
      <c r="Y503">
        <v>16959</v>
      </c>
      <c r="Z503">
        <v>2277</v>
      </c>
      <c r="AA503">
        <v>762</v>
      </c>
      <c r="AB503">
        <v>0</v>
      </c>
      <c r="AC503">
        <v>0</v>
      </c>
      <c r="AD503">
        <v>0</v>
      </c>
      <c r="AE503">
        <v>0</v>
      </c>
      <c r="AF503">
        <v>0</v>
      </c>
      <c r="AG503">
        <v>0</v>
      </c>
      <c r="AH503">
        <v>0</v>
      </c>
      <c r="AI503">
        <v>0</v>
      </c>
      <c r="AJ503">
        <v>0</v>
      </c>
      <c r="AK503">
        <v>0</v>
      </c>
      <c r="AL503">
        <v>-1599</v>
      </c>
      <c r="AM503">
        <v>-30</v>
      </c>
      <c r="AN503">
        <v>0</v>
      </c>
      <c r="AO503">
        <v>0</v>
      </c>
      <c r="AP503">
        <v>-1526</v>
      </c>
      <c r="AQ503">
        <v>-1498</v>
      </c>
      <c r="AR503">
        <v>-1556</v>
      </c>
      <c r="AS503">
        <v>-1498</v>
      </c>
      <c r="AT503">
        <v>-43</v>
      </c>
      <c r="AU503">
        <v>-101</v>
      </c>
      <c r="AV503">
        <v>100</v>
      </c>
      <c r="AW503">
        <v>10</v>
      </c>
      <c r="AX503">
        <v>3.7</v>
      </c>
      <c r="AY503">
        <v>0</v>
      </c>
      <c r="AZ503">
        <v>77.2</v>
      </c>
      <c r="BA503">
        <v>92</v>
      </c>
      <c r="BB503">
        <v>87.2</v>
      </c>
      <c r="BC503">
        <v>95.7</v>
      </c>
      <c r="BD503">
        <v>12.8</v>
      </c>
      <c r="BE503">
        <v>4.3</v>
      </c>
      <c r="BF503">
        <v>100</v>
      </c>
      <c r="BG503">
        <v>10</v>
      </c>
      <c r="BH503">
        <v>3.7</v>
      </c>
      <c r="BI503">
        <v>0</v>
      </c>
      <c r="BJ503">
        <v>77.2</v>
      </c>
      <c r="BK503">
        <v>92</v>
      </c>
      <c r="BL503">
        <v>87.2</v>
      </c>
      <c r="BM503">
        <v>95.7</v>
      </c>
      <c r="BN503">
        <v>12.8</v>
      </c>
      <c r="BO503">
        <v>4.3</v>
      </c>
      <c r="BP503">
        <v>0</v>
      </c>
      <c r="BQ503">
        <v>0</v>
      </c>
      <c r="BR503">
        <v>0</v>
      </c>
      <c r="BS503">
        <v>0</v>
      </c>
      <c r="BT503">
        <v>0</v>
      </c>
      <c r="BU503">
        <v>0</v>
      </c>
      <c r="BV503">
        <v>0</v>
      </c>
      <c r="BW503">
        <v>0</v>
      </c>
      <c r="BX503">
        <v>0</v>
      </c>
      <c r="BY503">
        <v>0</v>
      </c>
      <c r="BZ503">
        <v>25</v>
      </c>
      <c r="CA503">
        <v>3</v>
      </c>
      <c r="CB503">
        <v>1</v>
      </c>
      <c r="CC503">
        <v>0</v>
      </c>
      <c r="CD503">
        <v>12</v>
      </c>
      <c r="CE503">
        <v>10</v>
      </c>
      <c r="CF503">
        <v>15</v>
      </c>
      <c r="CG503">
        <v>11</v>
      </c>
      <c r="CH503">
        <v>25</v>
      </c>
      <c r="CI503">
        <v>3</v>
      </c>
      <c r="CJ503">
        <v>1</v>
      </c>
      <c r="CK503">
        <v>0</v>
      </c>
      <c r="CL503">
        <v>12</v>
      </c>
      <c r="CM503">
        <v>10</v>
      </c>
      <c r="CN503">
        <v>15</v>
      </c>
      <c r="CO503">
        <v>11</v>
      </c>
      <c r="CP503">
        <v>0</v>
      </c>
      <c r="CQ503">
        <v>0</v>
      </c>
      <c r="CR503">
        <v>0</v>
      </c>
      <c r="CS503">
        <v>0</v>
      </c>
      <c r="CT503">
        <v>0</v>
      </c>
      <c r="CU503">
        <v>0</v>
      </c>
      <c r="CV503">
        <v>0</v>
      </c>
      <c r="CW503">
        <v>0</v>
      </c>
      <c r="CX503">
        <v>56.9</v>
      </c>
      <c r="CY503">
        <v>65.599999999999994</v>
      </c>
      <c r="CZ503">
        <v>72.599999999999994</v>
      </c>
      <c r="DA503">
        <v>88.9</v>
      </c>
      <c r="DB503">
        <v>46</v>
      </c>
      <c r="DC503">
        <v>60.6</v>
      </c>
      <c r="DD503">
        <v>59.6</v>
      </c>
      <c r="DE503">
        <v>78.7</v>
      </c>
      <c r="DF503">
        <v>56.9</v>
      </c>
      <c r="DG503">
        <v>65.599999999999994</v>
      </c>
      <c r="DH503">
        <v>72.599999999999994</v>
      </c>
      <c r="DI503">
        <v>88.9</v>
      </c>
      <c r="DJ503">
        <v>46</v>
      </c>
      <c r="DK503">
        <v>60.6</v>
      </c>
      <c r="DL503">
        <v>59.6</v>
      </c>
      <c r="DM503">
        <v>78.7</v>
      </c>
      <c r="DN503">
        <v>0</v>
      </c>
      <c r="DO503">
        <v>0</v>
      </c>
      <c r="DP503">
        <v>0</v>
      </c>
      <c r="DQ503">
        <v>0</v>
      </c>
      <c r="DR503">
        <v>0</v>
      </c>
      <c r="DS503">
        <v>0</v>
      </c>
      <c r="DT503">
        <v>0</v>
      </c>
      <c r="DU503">
        <v>0</v>
      </c>
      <c r="DV503" t="s">
        <v>853</v>
      </c>
    </row>
    <row r="504" spans="1:126" x14ac:dyDescent="0.35">
      <c r="A504" t="s">
        <v>851</v>
      </c>
      <c r="B504">
        <v>230103</v>
      </c>
      <c r="C504" s="1">
        <v>44929</v>
      </c>
      <c r="D504" t="s">
        <v>852</v>
      </c>
      <c r="E504" t="s">
        <v>402</v>
      </c>
      <c r="F504" t="s">
        <v>165</v>
      </c>
      <c r="G504" t="s">
        <v>834</v>
      </c>
      <c r="H504">
        <v>19320</v>
      </c>
      <c r="I504" s="17">
        <v>1796</v>
      </c>
      <c r="J504" s="17">
        <v>650</v>
      </c>
      <c r="K504">
        <v>0</v>
      </c>
      <c r="L504">
        <v>15204</v>
      </c>
      <c r="M504">
        <v>17807</v>
      </c>
      <c r="N504">
        <v>17000</v>
      </c>
      <c r="O504">
        <v>18457</v>
      </c>
      <c r="P504">
        <v>2320</v>
      </c>
      <c r="Q504">
        <v>863</v>
      </c>
      <c r="R504">
        <v>19320</v>
      </c>
      <c r="S504">
        <v>1796</v>
      </c>
      <c r="T504">
        <v>650</v>
      </c>
      <c r="U504">
        <v>0</v>
      </c>
      <c r="V504">
        <v>15204</v>
      </c>
      <c r="W504">
        <v>17807</v>
      </c>
      <c r="X504">
        <v>17000</v>
      </c>
      <c r="Y504">
        <v>18457</v>
      </c>
      <c r="Z504">
        <v>2320</v>
      </c>
      <c r="AA504">
        <v>863</v>
      </c>
      <c r="AB504">
        <v>0</v>
      </c>
      <c r="AC504">
        <v>0</v>
      </c>
      <c r="AD504">
        <v>0</v>
      </c>
      <c r="AE504">
        <v>0</v>
      </c>
      <c r="AF504">
        <v>0</v>
      </c>
      <c r="AG504">
        <v>0</v>
      </c>
      <c r="AH504">
        <v>0</v>
      </c>
      <c r="AI504">
        <v>0</v>
      </c>
      <c r="AJ504">
        <v>0</v>
      </c>
      <c r="AK504">
        <v>0</v>
      </c>
      <c r="AL504">
        <v>1234</v>
      </c>
      <c r="AM504">
        <v>365</v>
      </c>
      <c r="AN504">
        <v>0</v>
      </c>
      <c r="AO504">
        <v>0</v>
      </c>
      <c r="AP504">
        <v>823</v>
      </c>
      <c r="AQ504">
        <v>1088</v>
      </c>
      <c r="AR504">
        <v>1188</v>
      </c>
      <c r="AS504">
        <v>1088</v>
      </c>
      <c r="AT504">
        <v>46</v>
      </c>
      <c r="AU504">
        <v>146</v>
      </c>
      <c r="AV504">
        <v>100</v>
      </c>
      <c r="AW504">
        <v>9.3000000000000007</v>
      </c>
      <c r="AX504">
        <v>3.4</v>
      </c>
      <c r="AY504">
        <v>0</v>
      </c>
      <c r="AZ504">
        <v>78.7</v>
      </c>
      <c r="BA504">
        <v>92.2</v>
      </c>
      <c r="BB504">
        <v>88</v>
      </c>
      <c r="BC504">
        <v>95.5</v>
      </c>
      <c r="BD504">
        <v>12</v>
      </c>
      <c r="BE504">
        <v>4.5</v>
      </c>
      <c r="BF504">
        <v>100</v>
      </c>
      <c r="BG504">
        <v>9.3000000000000007</v>
      </c>
      <c r="BH504">
        <v>3.4</v>
      </c>
      <c r="BI504">
        <v>0</v>
      </c>
      <c r="BJ504">
        <v>78.7</v>
      </c>
      <c r="BK504">
        <v>92.2</v>
      </c>
      <c r="BL504">
        <v>88</v>
      </c>
      <c r="BM504">
        <v>95.5</v>
      </c>
      <c r="BN504">
        <v>12</v>
      </c>
      <c r="BO504">
        <v>4.5</v>
      </c>
      <c r="BP504">
        <v>0</v>
      </c>
      <c r="BQ504">
        <v>0</v>
      </c>
      <c r="BR504">
        <v>0</v>
      </c>
      <c r="BS504">
        <v>0</v>
      </c>
      <c r="BT504">
        <v>0</v>
      </c>
      <c r="BU504">
        <v>0</v>
      </c>
      <c r="BV504">
        <v>0</v>
      </c>
      <c r="BW504">
        <v>0</v>
      </c>
      <c r="BX504">
        <v>0</v>
      </c>
      <c r="BY504">
        <v>0</v>
      </c>
      <c r="BZ504">
        <v>26</v>
      </c>
      <c r="CA504">
        <v>3</v>
      </c>
      <c r="CB504">
        <v>1</v>
      </c>
      <c r="CC504">
        <v>0</v>
      </c>
      <c r="CD504">
        <v>13</v>
      </c>
      <c r="CE504">
        <v>10</v>
      </c>
      <c r="CF504">
        <v>16</v>
      </c>
      <c r="CG504">
        <v>11</v>
      </c>
      <c r="CH504">
        <v>26</v>
      </c>
      <c r="CI504">
        <v>3</v>
      </c>
      <c r="CJ504">
        <v>1</v>
      </c>
      <c r="CK504">
        <v>0</v>
      </c>
      <c r="CL504">
        <v>13</v>
      </c>
      <c r="CM504">
        <v>10</v>
      </c>
      <c r="CN504">
        <v>16</v>
      </c>
      <c r="CO504">
        <v>11</v>
      </c>
      <c r="CP504">
        <v>0</v>
      </c>
      <c r="CQ504">
        <v>0</v>
      </c>
      <c r="CR504">
        <v>0</v>
      </c>
      <c r="CS504">
        <v>0</v>
      </c>
      <c r="CT504">
        <v>0</v>
      </c>
      <c r="CU504">
        <v>0</v>
      </c>
      <c r="CV504">
        <v>0</v>
      </c>
      <c r="CW504">
        <v>0</v>
      </c>
      <c r="CX504">
        <v>55.2</v>
      </c>
      <c r="CY504">
        <v>66.5</v>
      </c>
      <c r="CZ504">
        <v>72.099999999999994</v>
      </c>
      <c r="DA504">
        <v>87.9</v>
      </c>
      <c r="DB504">
        <v>45.2</v>
      </c>
      <c r="DC504">
        <v>61.9</v>
      </c>
      <c r="DD504">
        <v>60.2</v>
      </c>
      <c r="DE504">
        <v>79.2</v>
      </c>
      <c r="DF504">
        <v>55.2</v>
      </c>
      <c r="DG504">
        <v>66.5</v>
      </c>
      <c r="DH504">
        <v>72.099999999999994</v>
      </c>
      <c r="DI504">
        <v>87.9</v>
      </c>
      <c r="DJ504">
        <v>45.2</v>
      </c>
      <c r="DK504">
        <v>61.9</v>
      </c>
      <c r="DL504">
        <v>60.2</v>
      </c>
      <c r="DM504">
        <v>79.2</v>
      </c>
      <c r="DN504">
        <v>0</v>
      </c>
      <c r="DO504">
        <v>0</v>
      </c>
      <c r="DP504">
        <v>0</v>
      </c>
      <c r="DQ504">
        <v>0</v>
      </c>
      <c r="DR504">
        <v>0</v>
      </c>
      <c r="DS504">
        <v>0</v>
      </c>
      <c r="DT504">
        <v>0</v>
      </c>
      <c r="DU504">
        <v>0</v>
      </c>
      <c r="DV504" t="s">
        <v>853</v>
      </c>
    </row>
    <row r="505" spans="1:126" x14ac:dyDescent="0.35">
      <c r="A505" t="s">
        <v>854</v>
      </c>
      <c r="B505">
        <v>230110</v>
      </c>
      <c r="C505" s="1">
        <v>44936</v>
      </c>
      <c r="D505" t="s">
        <v>855</v>
      </c>
      <c r="E505" t="s">
        <v>402</v>
      </c>
      <c r="F505" t="s">
        <v>165</v>
      </c>
      <c r="G505" t="s">
        <v>834</v>
      </c>
      <c r="H505">
        <v>127397</v>
      </c>
      <c r="I505" s="17">
        <v>48883</v>
      </c>
      <c r="J505" s="17">
        <v>44677</v>
      </c>
      <c r="K505">
        <v>3758</v>
      </c>
      <c r="L505">
        <v>27802</v>
      </c>
      <c r="M505">
        <v>10503</v>
      </c>
      <c r="N505">
        <v>80443</v>
      </c>
      <c r="O505">
        <v>58938</v>
      </c>
      <c r="P505">
        <v>46954</v>
      </c>
      <c r="Q505">
        <v>68459</v>
      </c>
      <c r="R505">
        <v>127397</v>
      </c>
      <c r="S505">
        <v>48883</v>
      </c>
      <c r="T505">
        <v>44677</v>
      </c>
      <c r="U505">
        <v>3758</v>
      </c>
      <c r="V505">
        <v>27802</v>
      </c>
      <c r="W505">
        <v>10503</v>
      </c>
      <c r="X505">
        <v>80443</v>
      </c>
      <c r="Y505">
        <v>58938</v>
      </c>
      <c r="Z505">
        <v>46954</v>
      </c>
      <c r="AA505">
        <v>68459</v>
      </c>
      <c r="AB505">
        <v>0</v>
      </c>
      <c r="AC505">
        <v>0</v>
      </c>
      <c r="AD505">
        <v>0</v>
      </c>
      <c r="AE505">
        <v>0</v>
      </c>
      <c r="AF505">
        <v>0</v>
      </c>
      <c r="AG505">
        <v>0</v>
      </c>
      <c r="AH505">
        <v>0</v>
      </c>
      <c r="AI505">
        <v>0</v>
      </c>
      <c r="AJ505">
        <v>0</v>
      </c>
      <c r="AK505">
        <v>0</v>
      </c>
      <c r="AL505">
        <v>4648</v>
      </c>
      <c r="AM505">
        <v>9728</v>
      </c>
      <c r="AN505">
        <v>-5992</v>
      </c>
      <c r="AO505">
        <v>3447</v>
      </c>
      <c r="AP505">
        <v>-6513</v>
      </c>
      <c r="AQ505">
        <v>-2099</v>
      </c>
      <c r="AR505">
        <v>6662</v>
      </c>
      <c r="AS505">
        <v>-4644</v>
      </c>
      <c r="AT505">
        <v>-2014</v>
      </c>
      <c r="AU505">
        <v>9292</v>
      </c>
      <c r="AV505">
        <v>100</v>
      </c>
      <c r="AW505">
        <v>38.4</v>
      </c>
      <c r="AX505">
        <v>35.1</v>
      </c>
      <c r="AY505">
        <v>2.9</v>
      </c>
      <c r="AZ505">
        <v>21.8</v>
      </c>
      <c r="BA505">
        <v>8.1999999999999993</v>
      </c>
      <c r="BB505">
        <v>63.1</v>
      </c>
      <c r="BC505">
        <v>46.3</v>
      </c>
      <c r="BD505">
        <v>36.9</v>
      </c>
      <c r="BE505">
        <v>53.7</v>
      </c>
      <c r="BF505">
        <v>100</v>
      </c>
      <c r="BG505">
        <v>38.4</v>
      </c>
      <c r="BH505">
        <v>35.1</v>
      </c>
      <c r="BI505">
        <v>2.9</v>
      </c>
      <c r="BJ505">
        <v>21.8</v>
      </c>
      <c r="BK505">
        <v>8.1999999999999993</v>
      </c>
      <c r="BL505">
        <v>63.1</v>
      </c>
      <c r="BM505">
        <v>46.3</v>
      </c>
      <c r="BN505">
        <v>36.9</v>
      </c>
      <c r="BO505">
        <v>53.7</v>
      </c>
      <c r="BP505">
        <v>0</v>
      </c>
      <c r="BQ505">
        <v>0</v>
      </c>
      <c r="BR505">
        <v>0</v>
      </c>
      <c r="BS505">
        <v>0</v>
      </c>
      <c r="BT505">
        <v>0</v>
      </c>
      <c r="BU505">
        <v>0</v>
      </c>
      <c r="BV505">
        <v>0</v>
      </c>
      <c r="BW505">
        <v>0</v>
      </c>
      <c r="BX505">
        <v>0</v>
      </c>
      <c r="BY505">
        <v>0</v>
      </c>
      <c r="BZ505">
        <v>28</v>
      </c>
      <c r="CA505">
        <v>5</v>
      </c>
      <c r="CB505">
        <v>9</v>
      </c>
      <c r="CC505">
        <v>7</v>
      </c>
      <c r="CD505">
        <v>10</v>
      </c>
      <c r="CE505">
        <v>8</v>
      </c>
      <c r="CF505">
        <v>20</v>
      </c>
      <c r="CG505">
        <v>19</v>
      </c>
      <c r="CH505">
        <v>28</v>
      </c>
      <c r="CI505">
        <v>5</v>
      </c>
      <c r="CJ505">
        <v>9</v>
      </c>
      <c r="CK505">
        <v>7</v>
      </c>
      <c r="CL505">
        <v>10</v>
      </c>
      <c r="CM505">
        <v>8</v>
      </c>
      <c r="CN505">
        <v>20</v>
      </c>
      <c r="CO505">
        <v>19</v>
      </c>
      <c r="CP505">
        <v>0</v>
      </c>
      <c r="CQ505">
        <v>0</v>
      </c>
      <c r="CR505">
        <v>0</v>
      </c>
      <c r="CS505">
        <v>0</v>
      </c>
      <c r="CT505">
        <v>0</v>
      </c>
      <c r="CU505">
        <v>0</v>
      </c>
      <c r="CV505">
        <v>0</v>
      </c>
      <c r="CW505">
        <v>0</v>
      </c>
      <c r="CX505">
        <v>44.9</v>
      </c>
      <c r="CY505">
        <v>28.6</v>
      </c>
      <c r="CZ505">
        <v>53.7</v>
      </c>
      <c r="DA505">
        <v>38.9</v>
      </c>
      <c r="DB505">
        <v>44.9</v>
      </c>
      <c r="DC505">
        <v>27.5</v>
      </c>
      <c r="DD505">
        <v>52.7</v>
      </c>
      <c r="DE505">
        <v>35.9</v>
      </c>
      <c r="DF505">
        <v>44.9</v>
      </c>
      <c r="DG505">
        <v>28.6</v>
      </c>
      <c r="DH505">
        <v>53.7</v>
      </c>
      <c r="DI505">
        <v>38.9</v>
      </c>
      <c r="DJ505">
        <v>44.9</v>
      </c>
      <c r="DK505">
        <v>27.5</v>
      </c>
      <c r="DL505">
        <v>52.7</v>
      </c>
      <c r="DM505">
        <v>35.9</v>
      </c>
      <c r="DN505">
        <v>0</v>
      </c>
      <c r="DO505">
        <v>0</v>
      </c>
      <c r="DP505">
        <v>0</v>
      </c>
      <c r="DQ505">
        <v>0</v>
      </c>
      <c r="DR505">
        <v>0</v>
      </c>
      <c r="DS505">
        <v>0</v>
      </c>
      <c r="DT505">
        <v>0</v>
      </c>
      <c r="DU505">
        <v>0</v>
      </c>
      <c r="DV505" t="s">
        <v>856</v>
      </c>
    </row>
    <row r="506" spans="1:126" x14ac:dyDescent="0.35">
      <c r="A506" t="s">
        <v>854</v>
      </c>
      <c r="B506">
        <v>230103</v>
      </c>
      <c r="C506" s="1">
        <v>44929</v>
      </c>
      <c r="D506" t="s">
        <v>855</v>
      </c>
      <c r="E506" t="s">
        <v>402</v>
      </c>
      <c r="F506" t="s">
        <v>165</v>
      </c>
      <c r="G506" t="s">
        <v>834</v>
      </c>
      <c r="H506">
        <v>122749</v>
      </c>
      <c r="I506" s="17">
        <v>39155</v>
      </c>
      <c r="J506" s="17">
        <v>50669</v>
      </c>
      <c r="K506">
        <v>311</v>
      </c>
      <c r="L506">
        <v>34315</v>
      </c>
      <c r="M506">
        <v>12602</v>
      </c>
      <c r="N506">
        <v>73781</v>
      </c>
      <c r="O506">
        <v>63582</v>
      </c>
      <c r="P506">
        <v>48968</v>
      </c>
      <c r="Q506">
        <v>59167</v>
      </c>
      <c r="R506">
        <v>122749</v>
      </c>
      <c r="S506">
        <v>39155</v>
      </c>
      <c r="T506">
        <v>50669</v>
      </c>
      <c r="U506">
        <v>311</v>
      </c>
      <c r="V506">
        <v>34315</v>
      </c>
      <c r="W506">
        <v>12602</v>
      </c>
      <c r="X506">
        <v>73781</v>
      </c>
      <c r="Y506">
        <v>63582</v>
      </c>
      <c r="Z506">
        <v>48968</v>
      </c>
      <c r="AA506">
        <v>59167</v>
      </c>
      <c r="AB506">
        <v>0</v>
      </c>
      <c r="AC506">
        <v>0</v>
      </c>
      <c r="AD506">
        <v>0</v>
      </c>
      <c r="AE506">
        <v>0</v>
      </c>
      <c r="AF506">
        <v>0</v>
      </c>
      <c r="AG506">
        <v>0</v>
      </c>
      <c r="AH506">
        <v>0</v>
      </c>
      <c r="AI506">
        <v>0</v>
      </c>
      <c r="AJ506">
        <v>0</v>
      </c>
      <c r="AK506">
        <v>0</v>
      </c>
      <c r="AL506">
        <v>8389</v>
      </c>
      <c r="AM506">
        <v>4959</v>
      </c>
      <c r="AN506">
        <v>5508</v>
      </c>
      <c r="AO506">
        <v>-100</v>
      </c>
      <c r="AP506">
        <v>2729</v>
      </c>
      <c r="AQ506">
        <v>641</v>
      </c>
      <c r="AR506">
        <v>7588</v>
      </c>
      <c r="AS506">
        <v>6049</v>
      </c>
      <c r="AT506">
        <v>801</v>
      </c>
      <c r="AU506">
        <v>2340</v>
      </c>
      <c r="AV506">
        <v>100</v>
      </c>
      <c r="AW506">
        <v>31.9</v>
      </c>
      <c r="AX506">
        <v>41.3</v>
      </c>
      <c r="AY506">
        <v>0.3</v>
      </c>
      <c r="AZ506">
        <v>28</v>
      </c>
      <c r="BA506">
        <v>10.3</v>
      </c>
      <c r="BB506">
        <v>60.1</v>
      </c>
      <c r="BC506">
        <v>51.8</v>
      </c>
      <c r="BD506">
        <v>39.9</v>
      </c>
      <c r="BE506">
        <v>48.2</v>
      </c>
      <c r="BF506">
        <v>100</v>
      </c>
      <c r="BG506">
        <v>31.9</v>
      </c>
      <c r="BH506">
        <v>41.3</v>
      </c>
      <c r="BI506">
        <v>0.3</v>
      </c>
      <c r="BJ506">
        <v>28</v>
      </c>
      <c r="BK506">
        <v>10.3</v>
      </c>
      <c r="BL506">
        <v>60.1</v>
      </c>
      <c r="BM506">
        <v>51.8</v>
      </c>
      <c r="BN506">
        <v>39.9</v>
      </c>
      <c r="BO506">
        <v>48.2</v>
      </c>
      <c r="BP506">
        <v>0</v>
      </c>
      <c r="BQ506">
        <v>0</v>
      </c>
      <c r="BR506">
        <v>0</v>
      </c>
      <c r="BS506">
        <v>0</v>
      </c>
      <c r="BT506">
        <v>0</v>
      </c>
      <c r="BU506">
        <v>0</v>
      </c>
      <c r="BV506">
        <v>0</v>
      </c>
      <c r="BW506">
        <v>0</v>
      </c>
      <c r="BX506">
        <v>0</v>
      </c>
      <c r="BY506">
        <v>0</v>
      </c>
      <c r="BZ506">
        <v>27</v>
      </c>
      <c r="CA506">
        <v>5</v>
      </c>
      <c r="CB506">
        <v>9</v>
      </c>
      <c r="CC506">
        <v>7</v>
      </c>
      <c r="CD506">
        <v>12</v>
      </c>
      <c r="CE506">
        <v>5</v>
      </c>
      <c r="CF506">
        <v>22</v>
      </c>
      <c r="CG506">
        <v>16</v>
      </c>
      <c r="CH506">
        <v>27</v>
      </c>
      <c r="CI506">
        <v>5</v>
      </c>
      <c r="CJ506">
        <v>9</v>
      </c>
      <c r="CK506">
        <v>7</v>
      </c>
      <c r="CL506">
        <v>12</v>
      </c>
      <c r="CM506">
        <v>5</v>
      </c>
      <c r="CN506">
        <v>22</v>
      </c>
      <c r="CO506">
        <v>16</v>
      </c>
      <c r="CP506">
        <v>0</v>
      </c>
      <c r="CQ506">
        <v>0</v>
      </c>
      <c r="CR506">
        <v>0</v>
      </c>
      <c r="CS506">
        <v>0</v>
      </c>
      <c r="CT506">
        <v>0</v>
      </c>
      <c r="CU506">
        <v>0</v>
      </c>
      <c r="CV506">
        <v>0</v>
      </c>
      <c r="CW506">
        <v>0</v>
      </c>
      <c r="CX506">
        <v>35.700000000000003</v>
      </c>
      <c r="CY506">
        <v>35.5</v>
      </c>
      <c r="CZ506">
        <v>48.9</v>
      </c>
      <c r="DA506">
        <v>47.3</v>
      </c>
      <c r="DB506">
        <v>35.700000000000003</v>
      </c>
      <c r="DC506">
        <v>33.799999999999997</v>
      </c>
      <c r="DD506">
        <v>46.5</v>
      </c>
      <c r="DE506">
        <v>42.9</v>
      </c>
      <c r="DF506">
        <v>35.700000000000003</v>
      </c>
      <c r="DG506">
        <v>35.5</v>
      </c>
      <c r="DH506">
        <v>48.9</v>
      </c>
      <c r="DI506">
        <v>47.3</v>
      </c>
      <c r="DJ506">
        <v>35.700000000000003</v>
      </c>
      <c r="DK506">
        <v>33.799999999999997</v>
      </c>
      <c r="DL506">
        <v>46.5</v>
      </c>
      <c r="DM506">
        <v>42.9</v>
      </c>
      <c r="DN506">
        <v>0</v>
      </c>
      <c r="DO506">
        <v>0</v>
      </c>
      <c r="DP506">
        <v>0</v>
      </c>
      <c r="DQ506">
        <v>0</v>
      </c>
      <c r="DR506">
        <v>0</v>
      </c>
      <c r="DS506">
        <v>0</v>
      </c>
      <c r="DT506">
        <v>0</v>
      </c>
      <c r="DU506">
        <v>0</v>
      </c>
      <c r="DV506" t="s">
        <v>856</v>
      </c>
    </row>
    <row r="507" spans="1:126" x14ac:dyDescent="0.35">
      <c r="A507" t="s">
        <v>857</v>
      </c>
      <c r="B507">
        <v>230110</v>
      </c>
      <c r="C507" s="1">
        <v>44936</v>
      </c>
      <c r="D507" t="s">
        <v>858</v>
      </c>
      <c r="E507" t="s">
        <v>402</v>
      </c>
      <c r="F507" t="s">
        <v>165</v>
      </c>
      <c r="G507" t="s">
        <v>834</v>
      </c>
      <c r="H507">
        <v>250886</v>
      </c>
      <c r="I507" s="17">
        <v>6550</v>
      </c>
      <c r="J507" s="17">
        <v>11082</v>
      </c>
      <c r="K507">
        <v>7107</v>
      </c>
      <c r="L507">
        <v>233775</v>
      </c>
      <c r="M507">
        <v>230989</v>
      </c>
      <c r="N507">
        <v>247432</v>
      </c>
      <c r="O507">
        <v>249178</v>
      </c>
      <c r="P507">
        <v>3454</v>
      </c>
      <c r="Q507">
        <v>1708</v>
      </c>
      <c r="R507">
        <v>250886</v>
      </c>
      <c r="S507">
        <v>6550</v>
      </c>
      <c r="T507">
        <v>11082</v>
      </c>
      <c r="U507">
        <v>7107</v>
      </c>
      <c r="V507">
        <v>233775</v>
      </c>
      <c r="W507">
        <v>230989</v>
      </c>
      <c r="X507">
        <v>247432</v>
      </c>
      <c r="Y507">
        <v>249178</v>
      </c>
      <c r="Z507">
        <v>3454</v>
      </c>
      <c r="AA507">
        <v>1708</v>
      </c>
      <c r="AB507">
        <v>0</v>
      </c>
      <c r="AC507">
        <v>0</v>
      </c>
      <c r="AD507">
        <v>0</v>
      </c>
      <c r="AE507">
        <v>0</v>
      </c>
      <c r="AF507">
        <v>0</v>
      </c>
      <c r="AG507">
        <v>0</v>
      </c>
      <c r="AH507">
        <v>0</v>
      </c>
      <c r="AI507">
        <v>0</v>
      </c>
      <c r="AJ507">
        <v>0</v>
      </c>
      <c r="AK507">
        <v>0</v>
      </c>
      <c r="AL507">
        <v>-2500</v>
      </c>
      <c r="AM507">
        <v>2300</v>
      </c>
      <c r="AN507">
        <v>-250</v>
      </c>
      <c r="AO507">
        <v>1000</v>
      </c>
      <c r="AP507">
        <v>-5800</v>
      </c>
      <c r="AQ507">
        <v>-3250</v>
      </c>
      <c r="AR507">
        <v>-2500</v>
      </c>
      <c r="AS507">
        <v>-2500</v>
      </c>
      <c r="AT507">
        <v>0</v>
      </c>
      <c r="AU507">
        <v>0</v>
      </c>
      <c r="AV507">
        <v>100</v>
      </c>
      <c r="AW507">
        <v>2.6</v>
      </c>
      <c r="AX507">
        <v>4.4000000000000004</v>
      </c>
      <c r="AY507">
        <v>2.8</v>
      </c>
      <c r="AZ507">
        <v>93.2</v>
      </c>
      <c r="BA507">
        <v>92.1</v>
      </c>
      <c r="BB507">
        <v>98.6</v>
      </c>
      <c r="BC507">
        <v>99.3</v>
      </c>
      <c r="BD507">
        <v>1.4</v>
      </c>
      <c r="BE507">
        <v>0.7</v>
      </c>
      <c r="BF507">
        <v>100</v>
      </c>
      <c r="BG507">
        <v>2.6</v>
      </c>
      <c r="BH507">
        <v>4.4000000000000004</v>
      </c>
      <c r="BI507">
        <v>2.8</v>
      </c>
      <c r="BJ507">
        <v>93.2</v>
      </c>
      <c r="BK507">
        <v>92.1</v>
      </c>
      <c r="BL507">
        <v>98.6</v>
      </c>
      <c r="BM507">
        <v>99.3</v>
      </c>
      <c r="BN507">
        <v>1.4</v>
      </c>
      <c r="BO507">
        <v>0.7</v>
      </c>
      <c r="BP507">
        <v>0</v>
      </c>
      <c r="BQ507">
        <v>0</v>
      </c>
      <c r="BR507">
        <v>0</v>
      </c>
      <c r="BS507">
        <v>0</v>
      </c>
      <c r="BT507">
        <v>0</v>
      </c>
      <c r="BU507">
        <v>0</v>
      </c>
      <c r="BV507">
        <v>0</v>
      </c>
      <c r="BW507">
        <v>0</v>
      </c>
      <c r="BX507">
        <v>0</v>
      </c>
      <c r="BY507">
        <v>0</v>
      </c>
      <c r="BZ507">
        <v>22</v>
      </c>
      <c r="CA507">
        <v>2</v>
      </c>
      <c r="CB507">
        <v>1</v>
      </c>
      <c r="CC507">
        <v>4</v>
      </c>
      <c r="CD507">
        <v>14</v>
      </c>
      <c r="CE507">
        <v>14</v>
      </c>
      <c r="CF507">
        <v>19</v>
      </c>
      <c r="CG507">
        <v>19</v>
      </c>
      <c r="CH507">
        <v>22</v>
      </c>
      <c r="CI507">
        <v>2</v>
      </c>
      <c r="CJ507">
        <v>1</v>
      </c>
      <c r="CK507">
        <v>4</v>
      </c>
      <c r="CL507">
        <v>14</v>
      </c>
      <c r="CM507">
        <v>14</v>
      </c>
      <c r="CN507">
        <v>19</v>
      </c>
      <c r="CO507">
        <v>19</v>
      </c>
      <c r="CP507">
        <v>0</v>
      </c>
      <c r="CQ507">
        <v>0</v>
      </c>
      <c r="CR507">
        <v>0</v>
      </c>
      <c r="CS507">
        <v>0</v>
      </c>
      <c r="CT507">
        <v>0</v>
      </c>
      <c r="CU507">
        <v>0</v>
      </c>
      <c r="CV507">
        <v>0</v>
      </c>
      <c r="CW507">
        <v>0</v>
      </c>
      <c r="CX507">
        <v>57.6</v>
      </c>
      <c r="CY507">
        <v>57.9</v>
      </c>
      <c r="CZ507">
        <v>82.3</v>
      </c>
      <c r="DA507">
        <v>81.400000000000006</v>
      </c>
      <c r="DB507">
        <v>30.4</v>
      </c>
      <c r="DC507">
        <v>38.6</v>
      </c>
      <c r="DD507">
        <v>37.5</v>
      </c>
      <c r="DE507">
        <v>40.200000000000003</v>
      </c>
      <c r="DF507">
        <v>57.6</v>
      </c>
      <c r="DG507">
        <v>57.9</v>
      </c>
      <c r="DH507">
        <v>82.3</v>
      </c>
      <c r="DI507">
        <v>81.400000000000006</v>
      </c>
      <c r="DJ507">
        <v>30.4</v>
      </c>
      <c r="DK507">
        <v>38.6</v>
      </c>
      <c r="DL507">
        <v>37.5</v>
      </c>
      <c r="DM507">
        <v>40.200000000000003</v>
      </c>
      <c r="DN507">
        <v>0</v>
      </c>
      <c r="DO507">
        <v>0</v>
      </c>
      <c r="DP507">
        <v>0</v>
      </c>
      <c r="DQ507">
        <v>0</v>
      </c>
      <c r="DR507">
        <v>0</v>
      </c>
      <c r="DS507">
        <v>0</v>
      </c>
      <c r="DT507">
        <v>0</v>
      </c>
      <c r="DU507">
        <v>0</v>
      </c>
      <c r="DV507" t="s">
        <v>859</v>
      </c>
    </row>
    <row r="508" spans="1:126" x14ac:dyDescent="0.35">
      <c r="A508" t="s">
        <v>857</v>
      </c>
      <c r="B508">
        <v>230103</v>
      </c>
      <c r="C508" s="1">
        <v>44929</v>
      </c>
      <c r="D508" t="s">
        <v>858</v>
      </c>
      <c r="E508" t="s">
        <v>402</v>
      </c>
      <c r="F508" t="s">
        <v>165</v>
      </c>
      <c r="G508" t="s">
        <v>834</v>
      </c>
      <c r="H508">
        <v>253386</v>
      </c>
      <c r="I508" s="17">
        <v>4250</v>
      </c>
      <c r="J508" s="17">
        <v>11332</v>
      </c>
      <c r="K508">
        <v>6107</v>
      </c>
      <c r="L508">
        <v>239575</v>
      </c>
      <c r="M508">
        <v>234239</v>
      </c>
      <c r="N508">
        <v>249932</v>
      </c>
      <c r="O508">
        <v>251678</v>
      </c>
      <c r="P508">
        <v>3454</v>
      </c>
      <c r="Q508">
        <v>1708</v>
      </c>
      <c r="R508">
        <v>253386</v>
      </c>
      <c r="S508">
        <v>4250</v>
      </c>
      <c r="T508">
        <v>11332</v>
      </c>
      <c r="U508">
        <v>6107</v>
      </c>
      <c r="V508">
        <v>239575</v>
      </c>
      <c r="W508">
        <v>234239</v>
      </c>
      <c r="X508">
        <v>249932</v>
      </c>
      <c r="Y508">
        <v>251678</v>
      </c>
      <c r="Z508">
        <v>3454</v>
      </c>
      <c r="AA508">
        <v>1708</v>
      </c>
      <c r="AB508">
        <v>0</v>
      </c>
      <c r="AC508">
        <v>0</v>
      </c>
      <c r="AD508">
        <v>0</v>
      </c>
      <c r="AE508">
        <v>0</v>
      </c>
      <c r="AF508">
        <v>0</v>
      </c>
      <c r="AG508">
        <v>0</v>
      </c>
      <c r="AH508">
        <v>0</v>
      </c>
      <c r="AI508">
        <v>0</v>
      </c>
      <c r="AJ508">
        <v>0</v>
      </c>
      <c r="AK508">
        <v>0</v>
      </c>
      <c r="AL508">
        <v>2326</v>
      </c>
      <c r="AM508">
        <v>2000</v>
      </c>
      <c r="AN508">
        <v>0</v>
      </c>
      <c r="AO508">
        <v>250</v>
      </c>
      <c r="AP508">
        <v>826</v>
      </c>
      <c r="AQ508">
        <v>3576</v>
      </c>
      <c r="AR508">
        <v>3076</v>
      </c>
      <c r="AS508">
        <v>3826</v>
      </c>
      <c r="AT508">
        <v>-750</v>
      </c>
      <c r="AU508">
        <v>-1500</v>
      </c>
      <c r="AV508">
        <v>100</v>
      </c>
      <c r="AW508">
        <v>1.7</v>
      </c>
      <c r="AX508">
        <v>4.5</v>
      </c>
      <c r="AY508">
        <v>2.4</v>
      </c>
      <c r="AZ508">
        <v>94.5</v>
      </c>
      <c r="BA508">
        <v>92.4</v>
      </c>
      <c r="BB508">
        <v>98.6</v>
      </c>
      <c r="BC508">
        <v>99.3</v>
      </c>
      <c r="BD508">
        <v>1.4</v>
      </c>
      <c r="BE508">
        <v>0.7</v>
      </c>
      <c r="BF508">
        <v>100</v>
      </c>
      <c r="BG508">
        <v>1.7</v>
      </c>
      <c r="BH508">
        <v>4.5</v>
      </c>
      <c r="BI508">
        <v>2.4</v>
      </c>
      <c r="BJ508">
        <v>94.5</v>
      </c>
      <c r="BK508">
        <v>92.4</v>
      </c>
      <c r="BL508">
        <v>98.6</v>
      </c>
      <c r="BM508">
        <v>99.3</v>
      </c>
      <c r="BN508">
        <v>1.4</v>
      </c>
      <c r="BO508">
        <v>0.7</v>
      </c>
      <c r="BP508">
        <v>0</v>
      </c>
      <c r="BQ508">
        <v>0</v>
      </c>
      <c r="BR508">
        <v>0</v>
      </c>
      <c r="BS508">
        <v>0</v>
      </c>
      <c r="BT508">
        <v>0</v>
      </c>
      <c r="BU508">
        <v>0</v>
      </c>
      <c r="BV508">
        <v>0</v>
      </c>
      <c r="BW508">
        <v>0</v>
      </c>
      <c r="BX508">
        <v>0</v>
      </c>
      <c r="BY508">
        <v>0</v>
      </c>
      <c r="BZ508">
        <v>22</v>
      </c>
      <c r="CA508">
        <v>2</v>
      </c>
      <c r="CB508">
        <v>2</v>
      </c>
      <c r="CC508">
        <v>5</v>
      </c>
      <c r="CD508">
        <v>14</v>
      </c>
      <c r="CE508">
        <v>15</v>
      </c>
      <c r="CF508">
        <v>19</v>
      </c>
      <c r="CG508">
        <v>21</v>
      </c>
      <c r="CH508">
        <v>22</v>
      </c>
      <c r="CI508">
        <v>2</v>
      </c>
      <c r="CJ508">
        <v>2</v>
      </c>
      <c r="CK508">
        <v>5</v>
      </c>
      <c r="CL508">
        <v>14</v>
      </c>
      <c r="CM508">
        <v>15</v>
      </c>
      <c r="CN508">
        <v>19</v>
      </c>
      <c r="CO508">
        <v>21</v>
      </c>
      <c r="CP508">
        <v>0</v>
      </c>
      <c r="CQ508">
        <v>0</v>
      </c>
      <c r="CR508">
        <v>0</v>
      </c>
      <c r="CS508">
        <v>0</v>
      </c>
      <c r="CT508">
        <v>0</v>
      </c>
      <c r="CU508">
        <v>0</v>
      </c>
      <c r="CV508">
        <v>0</v>
      </c>
      <c r="CW508">
        <v>0</v>
      </c>
      <c r="CX508">
        <v>59.2</v>
      </c>
      <c r="CY508">
        <v>59.5</v>
      </c>
      <c r="CZ508">
        <v>81.5</v>
      </c>
      <c r="DA508">
        <v>82.3</v>
      </c>
      <c r="DB508">
        <v>31.2</v>
      </c>
      <c r="DC508">
        <v>38</v>
      </c>
      <c r="DD508">
        <v>37.9</v>
      </c>
      <c r="DE508">
        <v>40</v>
      </c>
      <c r="DF508">
        <v>59.2</v>
      </c>
      <c r="DG508">
        <v>59.5</v>
      </c>
      <c r="DH508">
        <v>81.5</v>
      </c>
      <c r="DI508">
        <v>82.3</v>
      </c>
      <c r="DJ508">
        <v>31.2</v>
      </c>
      <c r="DK508">
        <v>38</v>
      </c>
      <c r="DL508">
        <v>37.9</v>
      </c>
      <c r="DM508">
        <v>40</v>
      </c>
      <c r="DN508">
        <v>0</v>
      </c>
      <c r="DO508">
        <v>0</v>
      </c>
      <c r="DP508">
        <v>0</v>
      </c>
      <c r="DQ508">
        <v>0</v>
      </c>
      <c r="DR508">
        <v>0</v>
      </c>
      <c r="DS508">
        <v>0</v>
      </c>
      <c r="DT508">
        <v>0</v>
      </c>
      <c r="DU508">
        <v>0</v>
      </c>
      <c r="DV508" t="s">
        <v>859</v>
      </c>
    </row>
    <row r="509" spans="1:126" x14ac:dyDescent="0.35">
      <c r="A509" t="s">
        <v>860</v>
      </c>
      <c r="B509">
        <v>230110</v>
      </c>
      <c r="C509" s="1">
        <v>44936</v>
      </c>
      <c r="D509" t="s">
        <v>861</v>
      </c>
      <c r="E509" t="s">
        <v>402</v>
      </c>
      <c r="F509" t="s">
        <v>165</v>
      </c>
      <c r="G509" t="s">
        <v>862</v>
      </c>
      <c r="H509">
        <v>5442</v>
      </c>
      <c r="I509" s="17">
        <v>3943</v>
      </c>
      <c r="J509" s="17">
        <v>4477</v>
      </c>
      <c r="K509">
        <v>330</v>
      </c>
      <c r="L509">
        <v>195</v>
      </c>
      <c r="M509">
        <v>149</v>
      </c>
      <c r="N509">
        <v>4468</v>
      </c>
      <c r="O509">
        <v>4956</v>
      </c>
      <c r="P509">
        <v>974</v>
      </c>
      <c r="Q509">
        <v>486</v>
      </c>
      <c r="R509">
        <v>5442</v>
      </c>
      <c r="S509">
        <v>3943</v>
      </c>
      <c r="T509">
        <v>4477</v>
      </c>
      <c r="U509">
        <v>330</v>
      </c>
      <c r="V509">
        <v>195</v>
      </c>
      <c r="W509">
        <v>149</v>
      </c>
      <c r="X509">
        <v>4468</v>
      </c>
      <c r="Y509">
        <v>4956</v>
      </c>
      <c r="Z509">
        <v>974</v>
      </c>
      <c r="AA509">
        <v>486</v>
      </c>
      <c r="AB509">
        <v>0</v>
      </c>
      <c r="AC509">
        <v>0</v>
      </c>
      <c r="AD509">
        <v>0</v>
      </c>
      <c r="AE509">
        <v>0</v>
      </c>
      <c r="AF509">
        <v>0</v>
      </c>
      <c r="AG509">
        <v>0</v>
      </c>
      <c r="AH509">
        <v>0</v>
      </c>
      <c r="AI509">
        <v>0</v>
      </c>
      <c r="AJ509">
        <v>0</v>
      </c>
      <c r="AK509">
        <v>0</v>
      </c>
      <c r="AL509">
        <v>-535</v>
      </c>
      <c r="AM509">
        <v>-1175</v>
      </c>
      <c r="AN509">
        <v>-186</v>
      </c>
      <c r="AO509">
        <v>110</v>
      </c>
      <c r="AP509">
        <v>195</v>
      </c>
      <c r="AQ509">
        <v>-326</v>
      </c>
      <c r="AR509">
        <v>-870</v>
      </c>
      <c r="AS509">
        <v>-402</v>
      </c>
      <c r="AT509">
        <v>335</v>
      </c>
      <c r="AU509">
        <v>-133</v>
      </c>
      <c r="AV509">
        <v>100</v>
      </c>
      <c r="AW509">
        <v>72.5</v>
      </c>
      <c r="AX509">
        <v>82.3</v>
      </c>
      <c r="AY509">
        <v>6.1</v>
      </c>
      <c r="AZ509">
        <v>3.6</v>
      </c>
      <c r="BA509">
        <v>2.7</v>
      </c>
      <c r="BB509">
        <v>82.1</v>
      </c>
      <c r="BC509">
        <v>91.1</v>
      </c>
      <c r="BD509">
        <v>17.899999999999999</v>
      </c>
      <c r="BE509">
        <v>8.9</v>
      </c>
      <c r="BF509">
        <v>100</v>
      </c>
      <c r="BG509">
        <v>72.5</v>
      </c>
      <c r="BH509">
        <v>82.3</v>
      </c>
      <c r="BI509">
        <v>6.1</v>
      </c>
      <c r="BJ509">
        <v>3.6</v>
      </c>
      <c r="BK509">
        <v>2.7</v>
      </c>
      <c r="BL509">
        <v>82.1</v>
      </c>
      <c r="BM509">
        <v>91.1</v>
      </c>
      <c r="BN509">
        <v>17.899999999999999</v>
      </c>
      <c r="BO509">
        <v>8.9</v>
      </c>
      <c r="BP509">
        <v>0</v>
      </c>
      <c r="BQ509">
        <v>0</v>
      </c>
      <c r="BR509">
        <v>0</v>
      </c>
      <c r="BS509">
        <v>0</v>
      </c>
      <c r="BT509">
        <v>0</v>
      </c>
      <c r="BU509">
        <v>0</v>
      </c>
      <c r="BV509">
        <v>0</v>
      </c>
      <c r="BW509">
        <v>0</v>
      </c>
      <c r="BX509">
        <v>0</v>
      </c>
      <c r="BY509">
        <v>0</v>
      </c>
      <c r="BZ509">
        <v>71</v>
      </c>
      <c r="CA509">
        <v>32</v>
      </c>
      <c r="CB509">
        <v>32</v>
      </c>
      <c r="CC509">
        <v>12</v>
      </c>
      <c r="CD509">
        <v>2</v>
      </c>
      <c r="CE509">
        <v>3</v>
      </c>
      <c r="CF509">
        <v>43</v>
      </c>
      <c r="CG509">
        <v>40</v>
      </c>
      <c r="CH509">
        <v>71</v>
      </c>
      <c r="CI509">
        <v>32</v>
      </c>
      <c r="CJ509">
        <v>32</v>
      </c>
      <c r="CK509">
        <v>12</v>
      </c>
      <c r="CL509">
        <v>2</v>
      </c>
      <c r="CM509">
        <v>3</v>
      </c>
      <c r="CN509">
        <v>43</v>
      </c>
      <c r="CO509">
        <v>40</v>
      </c>
      <c r="CP509">
        <v>0</v>
      </c>
      <c r="CQ509">
        <v>0</v>
      </c>
      <c r="CR509">
        <v>0</v>
      </c>
      <c r="CS509">
        <v>0</v>
      </c>
      <c r="CT509">
        <v>0</v>
      </c>
      <c r="CU509">
        <v>0</v>
      </c>
      <c r="CV509">
        <v>0</v>
      </c>
      <c r="CW509">
        <v>0</v>
      </c>
      <c r="CX509">
        <v>32.9</v>
      </c>
      <c r="CY509">
        <v>40.799999999999997</v>
      </c>
      <c r="CZ509">
        <v>45.1</v>
      </c>
      <c r="DA509">
        <v>57.6</v>
      </c>
      <c r="DB509">
        <v>32.9</v>
      </c>
      <c r="DC509">
        <v>40.4</v>
      </c>
      <c r="DD509">
        <v>45.1</v>
      </c>
      <c r="DE509">
        <v>57.2</v>
      </c>
      <c r="DF509">
        <v>32.9</v>
      </c>
      <c r="DG509">
        <v>40.799999999999997</v>
      </c>
      <c r="DH509">
        <v>45.1</v>
      </c>
      <c r="DI509">
        <v>57.6</v>
      </c>
      <c r="DJ509">
        <v>32.9</v>
      </c>
      <c r="DK509">
        <v>40.4</v>
      </c>
      <c r="DL509">
        <v>45.1</v>
      </c>
      <c r="DM509">
        <v>57.2</v>
      </c>
      <c r="DN509">
        <v>0</v>
      </c>
      <c r="DO509">
        <v>0</v>
      </c>
      <c r="DP509">
        <v>0</v>
      </c>
      <c r="DQ509">
        <v>0</v>
      </c>
      <c r="DR509">
        <v>0</v>
      </c>
      <c r="DS509">
        <v>0</v>
      </c>
      <c r="DT509">
        <v>0</v>
      </c>
      <c r="DU509">
        <v>0</v>
      </c>
      <c r="DV509" t="s">
        <v>863</v>
      </c>
    </row>
    <row r="510" spans="1:126" x14ac:dyDescent="0.35">
      <c r="A510" t="s">
        <v>860</v>
      </c>
      <c r="B510">
        <v>230103</v>
      </c>
      <c r="C510" s="1">
        <v>44929</v>
      </c>
      <c r="D510" t="s">
        <v>861</v>
      </c>
      <c r="E510" t="s">
        <v>402</v>
      </c>
      <c r="F510" t="s">
        <v>165</v>
      </c>
      <c r="G510" t="s">
        <v>862</v>
      </c>
      <c r="H510">
        <v>5977</v>
      </c>
      <c r="I510" s="17">
        <v>5118</v>
      </c>
      <c r="J510" s="17">
        <v>4663</v>
      </c>
      <c r="K510">
        <v>220</v>
      </c>
      <c r="L510">
        <v>0</v>
      </c>
      <c r="M510">
        <v>475</v>
      </c>
      <c r="N510">
        <v>5338</v>
      </c>
      <c r="O510">
        <v>5358</v>
      </c>
      <c r="P510">
        <v>639</v>
      </c>
      <c r="Q510">
        <v>619</v>
      </c>
      <c r="R510">
        <v>5977</v>
      </c>
      <c r="S510">
        <v>5118</v>
      </c>
      <c r="T510">
        <v>4663</v>
      </c>
      <c r="U510">
        <v>220</v>
      </c>
      <c r="V510">
        <v>0</v>
      </c>
      <c r="W510">
        <v>475</v>
      </c>
      <c r="X510">
        <v>5338</v>
      </c>
      <c r="Y510">
        <v>5358</v>
      </c>
      <c r="Z510">
        <v>639</v>
      </c>
      <c r="AA510">
        <v>619</v>
      </c>
      <c r="AB510">
        <v>0</v>
      </c>
      <c r="AC510">
        <v>0</v>
      </c>
      <c r="AD510">
        <v>0</v>
      </c>
      <c r="AE510">
        <v>0</v>
      </c>
      <c r="AF510">
        <v>0</v>
      </c>
      <c r="AG510">
        <v>0</v>
      </c>
      <c r="AH510">
        <v>0</v>
      </c>
      <c r="AI510">
        <v>0</v>
      </c>
      <c r="AJ510">
        <v>0</v>
      </c>
      <c r="AK510">
        <v>0</v>
      </c>
      <c r="AL510">
        <v>-222</v>
      </c>
      <c r="AM510">
        <v>240</v>
      </c>
      <c r="AN510">
        <v>236</v>
      </c>
      <c r="AO510">
        <v>-393</v>
      </c>
      <c r="AP510">
        <v>0</v>
      </c>
      <c r="AQ510">
        <v>9</v>
      </c>
      <c r="AR510">
        <v>-153</v>
      </c>
      <c r="AS510">
        <v>-148</v>
      </c>
      <c r="AT510">
        <v>-69</v>
      </c>
      <c r="AU510">
        <v>-74</v>
      </c>
      <c r="AV510">
        <v>100</v>
      </c>
      <c r="AW510">
        <v>85.6</v>
      </c>
      <c r="AX510">
        <v>78</v>
      </c>
      <c r="AY510">
        <v>3.7</v>
      </c>
      <c r="AZ510">
        <v>0</v>
      </c>
      <c r="BA510">
        <v>7.9</v>
      </c>
      <c r="BB510">
        <v>89.3</v>
      </c>
      <c r="BC510">
        <v>89.6</v>
      </c>
      <c r="BD510">
        <v>10.7</v>
      </c>
      <c r="BE510">
        <v>10.4</v>
      </c>
      <c r="BF510">
        <v>100</v>
      </c>
      <c r="BG510">
        <v>85.6</v>
      </c>
      <c r="BH510">
        <v>78</v>
      </c>
      <c r="BI510">
        <v>3.7</v>
      </c>
      <c r="BJ510">
        <v>0</v>
      </c>
      <c r="BK510">
        <v>7.9</v>
      </c>
      <c r="BL510">
        <v>89.3</v>
      </c>
      <c r="BM510">
        <v>89.6</v>
      </c>
      <c r="BN510">
        <v>10.7</v>
      </c>
      <c r="BO510">
        <v>10.4</v>
      </c>
      <c r="BP510">
        <v>0</v>
      </c>
      <c r="BQ510">
        <v>0</v>
      </c>
      <c r="BR510">
        <v>0</v>
      </c>
      <c r="BS510">
        <v>0</v>
      </c>
      <c r="BT510">
        <v>0</v>
      </c>
      <c r="BU510">
        <v>0</v>
      </c>
      <c r="BV510">
        <v>0</v>
      </c>
      <c r="BW510">
        <v>0</v>
      </c>
      <c r="BX510">
        <v>0</v>
      </c>
      <c r="BY510">
        <v>0</v>
      </c>
      <c r="BZ510">
        <v>70</v>
      </c>
      <c r="CA510">
        <v>27</v>
      </c>
      <c r="CB510">
        <v>35</v>
      </c>
      <c r="CC510">
        <v>10</v>
      </c>
      <c r="CD510">
        <v>0</v>
      </c>
      <c r="CE510">
        <v>5</v>
      </c>
      <c r="CF510">
        <v>33</v>
      </c>
      <c r="CG510">
        <v>47</v>
      </c>
      <c r="CH510">
        <v>70</v>
      </c>
      <c r="CI510">
        <v>27</v>
      </c>
      <c r="CJ510">
        <v>35</v>
      </c>
      <c r="CK510">
        <v>10</v>
      </c>
      <c r="CL510">
        <v>0</v>
      </c>
      <c r="CM510">
        <v>5</v>
      </c>
      <c r="CN510">
        <v>33</v>
      </c>
      <c r="CO510">
        <v>47</v>
      </c>
      <c r="CP510">
        <v>0</v>
      </c>
      <c r="CQ510">
        <v>0</v>
      </c>
      <c r="CR510">
        <v>0</v>
      </c>
      <c r="CS510">
        <v>0</v>
      </c>
      <c r="CT510">
        <v>0</v>
      </c>
      <c r="CU510">
        <v>0</v>
      </c>
      <c r="CV510">
        <v>0</v>
      </c>
      <c r="CW510">
        <v>0</v>
      </c>
      <c r="CX510">
        <v>48.6</v>
      </c>
      <c r="CY510">
        <v>33.9</v>
      </c>
      <c r="CZ510">
        <v>69.2</v>
      </c>
      <c r="DA510">
        <v>50</v>
      </c>
      <c r="DB510">
        <v>48.6</v>
      </c>
      <c r="DC510">
        <v>33.799999999999997</v>
      </c>
      <c r="DD510">
        <v>68.8</v>
      </c>
      <c r="DE510">
        <v>49.9</v>
      </c>
      <c r="DF510">
        <v>48.6</v>
      </c>
      <c r="DG510">
        <v>33.9</v>
      </c>
      <c r="DH510">
        <v>69.2</v>
      </c>
      <c r="DI510">
        <v>50</v>
      </c>
      <c r="DJ510">
        <v>48.6</v>
      </c>
      <c r="DK510">
        <v>33.799999999999997</v>
      </c>
      <c r="DL510">
        <v>68.8</v>
      </c>
      <c r="DM510">
        <v>49.9</v>
      </c>
      <c r="DN510">
        <v>0</v>
      </c>
      <c r="DO510">
        <v>0</v>
      </c>
      <c r="DP510">
        <v>0</v>
      </c>
      <c r="DQ510">
        <v>0</v>
      </c>
      <c r="DR510">
        <v>0</v>
      </c>
      <c r="DS510">
        <v>0</v>
      </c>
      <c r="DT510">
        <v>0</v>
      </c>
      <c r="DU510">
        <v>0</v>
      </c>
      <c r="DV510" t="s">
        <v>863</v>
      </c>
    </row>
    <row r="511" spans="1:126" x14ac:dyDescent="0.35">
      <c r="A511" t="s">
        <v>864</v>
      </c>
      <c r="B511">
        <v>230110</v>
      </c>
      <c r="C511" s="1">
        <v>44936</v>
      </c>
      <c r="D511" t="s">
        <v>865</v>
      </c>
      <c r="E511" t="s">
        <v>402</v>
      </c>
      <c r="F511" t="s">
        <v>165</v>
      </c>
      <c r="G511" t="s">
        <v>862</v>
      </c>
      <c r="H511">
        <v>17144</v>
      </c>
      <c r="I511" s="17">
        <v>15127</v>
      </c>
      <c r="J511" s="17">
        <v>15615</v>
      </c>
      <c r="K511">
        <v>1022</v>
      </c>
      <c r="L511">
        <v>5</v>
      </c>
      <c r="M511">
        <v>104</v>
      </c>
      <c r="N511">
        <v>16154</v>
      </c>
      <c r="O511">
        <v>16741</v>
      </c>
      <c r="P511">
        <v>990</v>
      </c>
      <c r="Q511">
        <v>403</v>
      </c>
      <c r="R511">
        <v>17144</v>
      </c>
      <c r="S511">
        <v>15127</v>
      </c>
      <c r="T511">
        <v>15615</v>
      </c>
      <c r="U511">
        <v>1022</v>
      </c>
      <c r="V511">
        <v>5</v>
      </c>
      <c r="W511">
        <v>104</v>
      </c>
      <c r="X511">
        <v>16154</v>
      </c>
      <c r="Y511">
        <v>16741</v>
      </c>
      <c r="Z511">
        <v>990</v>
      </c>
      <c r="AA511">
        <v>403</v>
      </c>
      <c r="AB511">
        <v>0</v>
      </c>
      <c r="AC511">
        <v>0</v>
      </c>
      <c r="AD511">
        <v>0</v>
      </c>
      <c r="AE511">
        <v>0</v>
      </c>
      <c r="AF511">
        <v>0</v>
      </c>
      <c r="AG511">
        <v>0</v>
      </c>
      <c r="AH511">
        <v>0</v>
      </c>
      <c r="AI511">
        <v>0</v>
      </c>
      <c r="AJ511">
        <v>0</v>
      </c>
      <c r="AK511">
        <v>0</v>
      </c>
      <c r="AL511">
        <v>-694</v>
      </c>
      <c r="AM511">
        <v>34</v>
      </c>
      <c r="AN511">
        <v>-33</v>
      </c>
      <c r="AO511">
        <v>-940</v>
      </c>
      <c r="AP511">
        <v>0</v>
      </c>
      <c r="AQ511">
        <v>104</v>
      </c>
      <c r="AR511">
        <v>-906</v>
      </c>
      <c r="AS511">
        <v>-869</v>
      </c>
      <c r="AT511">
        <v>212</v>
      </c>
      <c r="AU511">
        <v>175</v>
      </c>
      <c r="AV511">
        <v>100</v>
      </c>
      <c r="AW511">
        <v>88.2</v>
      </c>
      <c r="AX511">
        <v>91.1</v>
      </c>
      <c r="AY511">
        <v>6</v>
      </c>
      <c r="AZ511">
        <v>0</v>
      </c>
      <c r="BA511">
        <v>0.6</v>
      </c>
      <c r="BB511">
        <v>94.2</v>
      </c>
      <c r="BC511">
        <v>97.6</v>
      </c>
      <c r="BD511">
        <v>5.8</v>
      </c>
      <c r="BE511">
        <v>2.4</v>
      </c>
      <c r="BF511">
        <v>100</v>
      </c>
      <c r="BG511">
        <v>88.2</v>
      </c>
      <c r="BH511">
        <v>91.1</v>
      </c>
      <c r="BI511">
        <v>6</v>
      </c>
      <c r="BJ511">
        <v>0</v>
      </c>
      <c r="BK511">
        <v>0.6</v>
      </c>
      <c r="BL511">
        <v>94.2</v>
      </c>
      <c r="BM511">
        <v>97.6</v>
      </c>
      <c r="BN511">
        <v>5.8</v>
      </c>
      <c r="BO511">
        <v>2.4</v>
      </c>
      <c r="BP511">
        <v>0</v>
      </c>
      <c r="BQ511">
        <v>0</v>
      </c>
      <c r="BR511">
        <v>0</v>
      </c>
      <c r="BS511">
        <v>0</v>
      </c>
      <c r="BT511">
        <v>0</v>
      </c>
      <c r="BU511">
        <v>0</v>
      </c>
      <c r="BV511">
        <v>0</v>
      </c>
      <c r="BW511">
        <v>0</v>
      </c>
      <c r="BX511">
        <v>0</v>
      </c>
      <c r="BY511">
        <v>0</v>
      </c>
      <c r="BZ511">
        <v>97</v>
      </c>
      <c r="CA511">
        <v>55</v>
      </c>
      <c r="CB511">
        <v>40</v>
      </c>
      <c r="CC511">
        <v>5</v>
      </c>
      <c r="CD511">
        <v>1</v>
      </c>
      <c r="CE511">
        <v>1</v>
      </c>
      <c r="CF511">
        <v>58</v>
      </c>
      <c r="CG511">
        <v>44</v>
      </c>
      <c r="CH511">
        <v>97</v>
      </c>
      <c r="CI511">
        <v>55</v>
      </c>
      <c r="CJ511">
        <v>40</v>
      </c>
      <c r="CK511">
        <v>5</v>
      </c>
      <c r="CL511">
        <v>1</v>
      </c>
      <c r="CM511">
        <v>1</v>
      </c>
      <c r="CN511">
        <v>58</v>
      </c>
      <c r="CO511">
        <v>44</v>
      </c>
      <c r="CP511">
        <v>0</v>
      </c>
      <c r="CQ511">
        <v>0</v>
      </c>
      <c r="CR511">
        <v>0</v>
      </c>
      <c r="CS511">
        <v>0</v>
      </c>
      <c r="CT511">
        <v>0</v>
      </c>
      <c r="CU511">
        <v>0</v>
      </c>
      <c r="CV511">
        <v>0</v>
      </c>
      <c r="CW511">
        <v>0</v>
      </c>
      <c r="CX511">
        <v>41.6</v>
      </c>
      <c r="CY511">
        <v>48.8</v>
      </c>
      <c r="CZ511">
        <v>59.6</v>
      </c>
      <c r="DA511">
        <v>68</v>
      </c>
      <c r="DB511">
        <v>38.5</v>
      </c>
      <c r="DC511">
        <v>47.3</v>
      </c>
      <c r="DD511">
        <v>55.5</v>
      </c>
      <c r="DE511">
        <v>65.400000000000006</v>
      </c>
      <c r="DF511">
        <v>41.6</v>
      </c>
      <c r="DG511">
        <v>48.8</v>
      </c>
      <c r="DH511">
        <v>59.6</v>
      </c>
      <c r="DI511">
        <v>68</v>
      </c>
      <c r="DJ511">
        <v>38.5</v>
      </c>
      <c r="DK511">
        <v>47.3</v>
      </c>
      <c r="DL511">
        <v>55.5</v>
      </c>
      <c r="DM511">
        <v>65.400000000000006</v>
      </c>
      <c r="DN511">
        <v>0</v>
      </c>
      <c r="DO511">
        <v>0</v>
      </c>
      <c r="DP511">
        <v>0</v>
      </c>
      <c r="DQ511">
        <v>0</v>
      </c>
      <c r="DR511">
        <v>0</v>
      </c>
      <c r="DS511">
        <v>0</v>
      </c>
      <c r="DT511">
        <v>0</v>
      </c>
      <c r="DU511">
        <v>0</v>
      </c>
      <c r="DV511" t="s">
        <v>866</v>
      </c>
    </row>
    <row r="512" spans="1:126" x14ac:dyDescent="0.35">
      <c r="A512" t="s">
        <v>864</v>
      </c>
      <c r="B512">
        <v>230103</v>
      </c>
      <c r="C512" s="1">
        <v>44929</v>
      </c>
      <c r="D512" t="s">
        <v>865</v>
      </c>
      <c r="E512" t="s">
        <v>402</v>
      </c>
      <c r="F512" t="s">
        <v>165</v>
      </c>
      <c r="G512" t="s">
        <v>862</v>
      </c>
      <c r="H512">
        <v>17838</v>
      </c>
      <c r="I512" s="17">
        <v>15093</v>
      </c>
      <c r="J512" s="17">
        <v>15648</v>
      </c>
      <c r="K512">
        <v>1962</v>
      </c>
      <c r="L512">
        <v>5</v>
      </c>
      <c r="M512">
        <v>0</v>
      </c>
      <c r="N512">
        <v>17060</v>
      </c>
      <c r="O512">
        <v>17610</v>
      </c>
      <c r="P512">
        <v>778</v>
      </c>
      <c r="Q512">
        <v>228</v>
      </c>
      <c r="R512">
        <v>17838</v>
      </c>
      <c r="S512">
        <v>15093</v>
      </c>
      <c r="T512">
        <v>15648</v>
      </c>
      <c r="U512">
        <v>1962</v>
      </c>
      <c r="V512">
        <v>5</v>
      </c>
      <c r="W512">
        <v>0</v>
      </c>
      <c r="X512">
        <v>17060</v>
      </c>
      <c r="Y512">
        <v>17610</v>
      </c>
      <c r="Z512">
        <v>778</v>
      </c>
      <c r="AA512">
        <v>228</v>
      </c>
      <c r="AB512">
        <v>0</v>
      </c>
      <c r="AC512">
        <v>0</v>
      </c>
      <c r="AD512">
        <v>0</v>
      </c>
      <c r="AE512">
        <v>0</v>
      </c>
      <c r="AF512">
        <v>0</v>
      </c>
      <c r="AG512">
        <v>0</v>
      </c>
      <c r="AH512">
        <v>0</v>
      </c>
      <c r="AI512">
        <v>0</v>
      </c>
      <c r="AJ512">
        <v>0</v>
      </c>
      <c r="AK512">
        <v>0</v>
      </c>
      <c r="AL512">
        <v>-7597</v>
      </c>
      <c r="AM512">
        <v>-5350</v>
      </c>
      <c r="AN512">
        <v>-5555</v>
      </c>
      <c r="AO512">
        <v>-1855</v>
      </c>
      <c r="AP512">
        <v>0</v>
      </c>
      <c r="AQ512">
        <v>0</v>
      </c>
      <c r="AR512">
        <v>-7205</v>
      </c>
      <c r="AS512">
        <v>-7410</v>
      </c>
      <c r="AT512">
        <v>-392</v>
      </c>
      <c r="AU512">
        <v>-187</v>
      </c>
      <c r="AV512">
        <v>100</v>
      </c>
      <c r="AW512">
        <v>84.6</v>
      </c>
      <c r="AX512">
        <v>87.7</v>
      </c>
      <c r="AY512">
        <v>11</v>
      </c>
      <c r="AZ512">
        <v>0</v>
      </c>
      <c r="BA512">
        <v>0</v>
      </c>
      <c r="BB512">
        <v>95.6</v>
      </c>
      <c r="BC512">
        <v>98.7</v>
      </c>
      <c r="BD512">
        <v>4.4000000000000004</v>
      </c>
      <c r="BE512">
        <v>1.3</v>
      </c>
      <c r="BF512">
        <v>100</v>
      </c>
      <c r="BG512">
        <v>84.6</v>
      </c>
      <c r="BH512">
        <v>87.7</v>
      </c>
      <c r="BI512">
        <v>11</v>
      </c>
      <c r="BJ512">
        <v>0</v>
      </c>
      <c r="BK512">
        <v>0</v>
      </c>
      <c r="BL512">
        <v>95.6</v>
      </c>
      <c r="BM512">
        <v>98.7</v>
      </c>
      <c r="BN512">
        <v>4.4000000000000004</v>
      </c>
      <c r="BO512">
        <v>1.3</v>
      </c>
      <c r="BP512">
        <v>0</v>
      </c>
      <c r="BQ512">
        <v>0</v>
      </c>
      <c r="BR512">
        <v>0</v>
      </c>
      <c r="BS512">
        <v>0</v>
      </c>
      <c r="BT512">
        <v>0</v>
      </c>
      <c r="BU512">
        <v>0</v>
      </c>
      <c r="BV512">
        <v>0</v>
      </c>
      <c r="BW512">
        <v>0</v>
      </c>
      <c r="BX512">
        <v>0</v>
      </c>
      <c r="BY512">
        <v>0</v>
      </c>
      <c r="BZ512">
        <v>78</v>
      </c>
      <c r="CA512">
        <v>44</v>
      </c>
      <c r="CB512">
        <v>33</v>
      </c>
      <c r="CC512">
        <v>3</v>
      </c>
      <c r="CD512">
        <v>1</v>
      </c>
      <c r="CE512">
        <v>0</v>
      </c>
      <c r="CF512">
        <v>47</v>
      </c>
      <c r="CG512">
        <v>34</v>
      </c>
      <c r="CH512">
        <v>78</v>
      </c>
      <c r="CI512">
        <v>44</v>
      </c>
      <c r="CJ512">
        <v>33</v>
      </c>
      <c r="CK512">
        <v>3</v>
      </c>
      <c r="CL512">
        <v>1</v>
      </c>
      <c r="CM512">
        <v>0</v>
      </c>
      <c r="CN512">
        <v>47</v>
      </c>
      <c r="CO512">
        <v>34</v>
      </c>
      <c r="CP512">
        <v>0</v>
      </c>
      <c r="CQ512">
        <v>0</v>
      </c>
      <c r="CR512">
        <v>0</v>
      </c>
      <c r="CS512">
        <v>0</v>
      </c>
      <c r="CT512">
        <v>0</v>
      </c>
      <c r="CU512">
        <v>0</v>
      </c>
      <c r="CV512">
        <v>0</v>
      </c>
      <c r="CW512">
        <v>0</v>
      </c>
      <c r="CX512">
        <v>53.8</v>
      </c>
      <c r="CY512">
        <v>59.2</v>
      </c>
      <c r="CZ512">
        <v>69.2</v>
      </c>
      <c r="DA512">
        <v>82</v>
      </c>
      <c r="DB512">
        <v>45.6</v>
      </c>
      <c r="DC512">
        <v>57.9</v>
      </c>
      <c r="DD512">
        <v>61</v>
      </c>
      <c r="DE512">
        <v>73.599999999999994</v>
      </c>
      <c r="DF512">
        <v>53.8</v>
      </c>
      <c r="DG512">
        <v>59.2</v>
      </c>
      <c r="DH512">
        <v>69.2</v>
      </c>
      <c r="DI512">
        <v>82</v>
      </c>
      <c r="DJ512">
        <v>45.6</v>
      </c>
      <c r="DK512">
        <v>57.9</v>
      </c>
      <c r="DL512">
        <v>61</v>
      </c>
      <c r="DM512">
        <v>73.599999999999994</v>
      </c>
      <c r="DN512">
        <v>0</v>
      </c>
      <c r="DO512">
        <v>0</v>
      </c>
      <c r="DP512">
        <v>0</v>
      </c>
      <c r="DQ512">
        <v>0</v>
      </c>
      <c r="DR512">
        <v>0</v>
      </c>
      <c r="DS512">
        <v>0</v>
      </c>
      <c r="DT512">
        <v>0</v>
      </c>
      <c r="DU512">
        <v>0</v>
      </c>
      <c r="DV512" t="s">
        <v>866</v>
      </c>
    </row>
    <row r="513" spans="1:126" x14ac:dyDescent="0.35">
      <c r="A513" t="s">
        <v>867</v>
      </c>
      <c r="B513">
        <v>230110</v>
      </c>
      <c r="C513" s="1">
        <v>44936</v>
      </c>
      <c r="D513" t="s">
        <v>868</v>
      </c>
      <c r="E513" t="s">
        <v>740</v>
      </c>
      <c r="F513" t="s">
        <v>185</v>
      </c>
      <c r="G513" t="s">
        <v>869</v>
      </c>
      <c r="H513">
        <v>13266</v>
      </c>
      <c r="I513" s="17">
        <v>7504</v>
      </c>
      <c r="J513" s="17">
        <v>9753</v>
      </c>
      <c r="K513">
        <v>43</v>
      </c>
      <c r="L513">
        <v>5637</v>
      </c>
      <c r="M513">
        <v>3417</v>
      </c>
      <c r="N513">
        <v>13184</v>
      </c>
      <c r="O513">
        <v>13213</v>
      </c>
      <c r="P513">
        <v>82</v>
      </c>
      <c r="Q513">
        <v>53</v>
      </c>
      <c r="R513">
        <v>13266</v>
      </c>
      <c r="S513">
        <v>7504</v>
      </c>
      <c r="T513">
        <v>9753</v>
      </c>
      <c r="U513">
        <v>43</v>
      </c>
      <c r="V513">
        <v>5637</v>
      </c>
      <c r="W513">
        <v>3417</v>
      </c>
      <c r="X513">
        <v>13184</v>
      </c>
      <c r="Y513">
        <v>13213</v>
      </c>
      <c r="Z513">
        <v>82</v>
      </c>
      <c r="AA513">
        <v>53</v>
      </c>
      <c r="AB513">
        <v>0</v>
      </c>
      <c r="AC513">
        <v>0</v>
      </c>
      <c r="AD513">
        <v>0</v>
      </c>
      <c r="AE513">
        <v>0</v>
      </c>
      <c r="AF513">
        <v>0</v>
      </c>
      <c r="AG513">
        <v>0</v>
      </c>
      <c r="AH513">
        <v>0</v>
      </c>
      <c r="AI513">
        <v>0</v>
      </c>
      <c r="AJ513">
        <v>0</v>
      </c>
      <c r="AK513">
        <v>0</v>
      </c>
      <c r="AL513">
        <v>493</v>
      </c>
      <c r="AM513">
        <v>248</v>
      </c>
      <c r="AN513">
        <v>448</v>
      </c>
      <c r="AO513">
        <v>0</v>
      </c>
      <c r="AP513">
        <v>235</v>
      </c>
      <c r="AQ513">
        <v>62</v>
      </c>
      <c r="AR513">
        <v>483</v>
      </c>
      <c r="AS513">
        <v>510</v>
      </c>
      <c r="AT513">
        <v>10</v>
      </c>
      <c r="AU513">
        <v>-17</v>
      </c>
      <c r="AV513">
        <v>100</v>
      </c>
      <c r="AW513">
        <v>56.6</v>
      </c>
      <c r="AX513">
        <v>73.5</v>
      </c>
      <c r="AY513">
        <v>0.3</v>
      </c>
      <c r="AZ513">
        <v>42.5</v>
      </c>
      <c r="BA513">
        <v>25.8</v>
      </c>
      <c r="BB513">
        <v>99.4</v>
      </c>
      <c r="BC513">
        <v>99.6</v>
      </c>
      <c r="BD513">
        <v>0.6</v>
      </c>
      <c r="BE513">
        <v>0.4</v>
      </c>
      <c r="BF513">
        <v>100</v>
      </c>
      <c r="BG513">
        <v>56.6</v>
      </c>
      <c r="BH513">
        <v>73.5</v>
      </c>
      <c r="BI513">
        <v>0.3</v>
      </c>
      <c r="BJ513">
        <v>42.5</v>
      </c>
      <c r="BK513">
        <v>25.8</v>
      </c>
      <c r="BL513">
        <v>99.4</v>
      </c>
      <c r="BM513">
        <v>99.6</v>
      </c>
      <c r="BN513">
        <v>0.6</v>
      </c>
      <c r="BO513">
        <v>0.4</v>
      </c>
      <c r="BP513">
        <v>0</v>
      </c>
      <c r="BQ513">
        <v>0</v>
      </c>
      <c r="BR513">
        <v>0</v>
      </c>
      <c r="BS513">
        <v>0</v>
      </c>
      <c r="BT513">
        <v>0</v>
      </c>
      <c r="BU513">
        <v>0</v>
      </c>
      <c r="BV513">
        <v>0</v>
      </c>
      <c r="BW513">
        <v>0</v>
      </c>
      <c r="BX513">
        <v>0</v>
      </c>
      <c r="BY513">
        <v>0</v>
      </c>
      <c r="BZ513">
        <v>20</v>
      </c>
      <c r="CA513">
        <v>5</v>
      </c>
      <c r="CB513">
        <v>8</v>
      </c>
      <c r="CC513">
        <v>2</v>
      </c>
      <c r="CD513">
        <v>5</v>
      </c>
      <c r="CE513">
        <v>2</v>
      </c>
      <c r="CF513">
        <v>10</v>
      </c>
      <c r="CG513">
        <v>12</v>
      </c>
      <c r="CH513">
        <v>20</v>
      </c>
      <c r="CI513">
        <v>5</v>
      </c>
      <c r="CJ513">
        <v>8</v>
      </c>
      <c r="CK513">
        <v>2</v>
      </c>
      <c r="CL513">
        <v>5</v>
      </c>
      <c r="CM513">
        <v>2</v>
      </c>
      <c r="CN513">
        <v>10</v>
      </c>
      <c r="CO513">
        <v>12</v>
      </c>
      <c r="CP513">
        <v>0</v>
      </c>
      <c r="CQ513">
        <v>0</v>
      </c>
      <c r="CR513">
        <v>0</v>
      </c>
      <c r="CS513">
        <v>0</v>
      </c>
      <c r="CT513">
        <v>0</v>
      </c>
      <c r="CU513">
        <v>0</v>
      </c>
      <c r="CV513">
        <v>0</v>
      </c>
      <c r="CW513">
        <v>0</v>
      </c>
      <c r="CX513">
        <v>79.599999999999994</v>
      </c>
      <c r="CY513">
        <v>90.3</v>
      </c>
      <c r="CZ513">
        <v>98.7</v>
      </c>
      <c r="DA513">
        <v>98.8</v>
      </c>
      <c r="DB513">
        <v>79.3</v>
      </c>
      <c r="DC513">
        <v>90.3</v>
      </c>
      <c r="DD513">
        <v>98.4</v>
      </c>
      <c r="DE513">
        <v>98.8</v>
      </c>
      <c r="DF513">
        <v>79.599999999999994</v>
      </c>
      <c r="DG513">
        <v>90.3</v>
      </c>
      <c r="DH513">
        <v>98.7</v>
      </c>
      <c r="DI513">
        <v>98.8</v>
      </c>
      <c r="DJ513">
        <v>79.3</v>
      </c>
      <c r="DK513">
        <v>90.3</v>
      </c>
      <c r="DL513">
        <v>98.4</v>
      </c>
      <c r="DM513">
        <v>98.8</v>
      </c>
      <c r="DN513">
        <v>0</v>
      </c>
      <c r="DO513">
        <v>0</v>
      </c>
      <c r="DP513">
        <v>0</v>
      </c>
      <c r="DQ513">
        <v>0</v>
      </c>
      <c r="DR513">
        <v>0</v>
      </c>
      <c r="DS513">
        <v>0</v>
      </c>
      <c r="DT513">
        <v>0</v>
      </c>
      <c r="DU513">
        <v>0</v>
      </c>
      <c r="DV513" t="s">
        <v>870</v>
      </c>
    </row>
    <row r="514" spans="1:126" x14ac:dyDescent="0.35">
      <c r="A514" t="s">
        <v>867</v>
      </c>
      <c r="B514">
        <v>230103</v>
      </c>
      <c r="C514" s="1">
        <v>44929</v>
      </c>
      <c r="D514" t="s">
        <v>868</v>
      </c>
      <c r="E514" t="s">
        <v>740</v>
      </c>
      <c r="F514" t="s">
        <v>185</v>
      </c>
      <c r="G514" t="s">
        <v>869</v>
      </c>
      <c r="H514">
        <v>12773</v>
      </c>
      <c r="I514" s="17">
        <v>7256</v>
      </c>
      <c r="J514" s="17">
        <v>9305</v>
      </c>
      <c r="K514">
        <v>43</v>
      </c>
      <c r="L514">
        <v>5402</v>
      </c>
      <c r="M514">
        <v>3355</v>
      </c>
      <c r="N514">
        <v>12701</v>
      </c>
      <c r="O514">
        <v>12703</v>
      </c>
      <c r="P514">
        <v>72</v>
      </c>
      <c r="Q514">
        <v>70</v>
      </c>
      <c r="R514">
        <v>12773</v>
      </c>
      <c r="S514">
        <v>7256</v>
      </c>
      <c r="T514">
        <v>9305</v>
      </c>
      <c r="U514">
        <v>43</v>
      </c>
      <c r="V514">
        <v>5402</v>
      </c>
      <c r="W514">
        <v>3355</v>
      </c>
      <c r="X514">
        <v>12701</v>
      </c>
      <c r="Y514">
        <v>12703</v>
      </c>
      <c r="Z514">
        <v>72</v>
      </c>
      <c r="AA514">
        <v>70</v>
      </c>
      <c r="AB514">
        <v>0</v>
      </c>
      <c r="AC514">
        <v>0</v>
      </c>
      <c r="AD514">
        <v>0</v>
      </c>
      <c r="AE514">
        <v>0</v>
      </c>
      <c r="AF514">
        <v>0</v>
      </c>
      <c r="AG514">
        <v>0</v>
      </c>
      <c r="AH514">
        <v>0</v>
      </c>
      <c r="AI514">
        <v>0</v>
      </c>
      <c r="AJ514">
        <v>0</v>
      </c>
      <c r="AK514">
        <v>0</v>
      </c>
      <c r="AL514">
        <v>733</v>
      </c>
      <c r="AM514">
        <v>295</v>
      </c>
      <c r="AN514">
        <v>654</v>
      </c>
      <c r="AO514">
        <v>0</v>
      </c>
      <c r="AP514">
        <v>443</v>
      </c>
      <c r="AQ514">
        <v>105</v>
      </c>
      <c r="AR514">
        <v>738</v>
      </c>
      <c r="AS514">
        <v>759</v>
      </c>
      <c r="AT514">
        <v>-5</v>
      </c>
      <c r="AU514">
        <v>-26</v>
      </c>
      <c r="AV514">
        <v>100</v>
      </c>
      <c r="AW514">
        <v>56.8</v>
      </c>
      <c r="AX514">
        <v>72.8</v>
      </c>
      <c r="AY514">
        <v>0.3</v>
      </c>
      <c r="AZ514">
        <v>42.3</v>
      </c>
      <c r="BA514">
        <v>26.3</v>
      </c>
      <c r="BB514">
        <v>99.4</v>
      </c>
      <c r="BC514">
        <v>99.5</v>
      </c>
      <c r="BD514">
        <v>0.6</v>
      </c>
      <c r="BE514">
        <v>0.5</v>
      </c>
      <c r="BF514">
        <v>100</v>
      </c>
      <c r="BG514">
        <v>56.8</v>
      </c>
      <c r="BH514">
        <v>72.8</v>
      </c>
      <c r="BI514">
        <v>0.3</v>
      </c>
      <c r="BJ514">
        <v>42.3</v>
      </c>
      <c r="BK514">
        <v>26.3</v>
      </c>
      <c r="BL514">
        <v>99.4</v>
      </c>
      <c r="BM514">
        <v>99.5</v>
      </c>
      <c r="BN514">
        <v>0.6</v>
      </c>
      <c r="BO514">
        <v>0.5</v>
      </c>
      <c r="BP514">
        <v>0</v>
      </c>
      <c r="BQ514">
        <v>0</v>
      </c>
      <c r="BR514">
        <v>0</v>
      </c>
      <c r="BS514">
        <v>0</v>
      </c>
      <c r="BT514">
        <v>0</v>
      </c>
      <c r="BU514">
        <v>0</v>
      </c>
      <c r="BV514">
        <v>0</v>
      </c>
      <c r="BW514">
        <v>0</v>
      </c>
      <c r="BX514">
        <v>0</v>
      </c>
      <c r="BY514">
        <v>0</v>
      </c>
      <c r="BZ514">
        <v>21</v>
      </c>
      <c r="CA514">
        <v>6</v>
      </c>
      <c r="CB514">
        <v>8</v>
      </c>
      <c r="CC514">
        <v>2</v>
      </c>
      <c r="CD514">
        <v>5</v>
      </c>
      <c r="CE514">
        <v>2</v>
      </c>
      <c r="CF514">
        <v>11</v>
      </c>
      <c r="CG514">
        <v>12</v>
      </c>
      <c r="CH514">
        <v>21</v>
      </c>
      <c r="CI514">
        <v>6</v>
      </c>
      <c r="CJ514">
        <v>8</v>
      </c>
      <c r="CK514">
        <v>2</v>
      </c>
      <c r="CL514">
        <v>5</v>
      </c>
      <c r="CM514">
        <v>2</v>
      </c>
      <c r="CN514">
        <v>11</v>
      </c>
      <c r="CO514">
        <v>12</v>
      </c>
      <c r="CP514">
        <v>0</v>
      </c>
      <c r="CQ514">
        <v>0</v>
      </c>
      <c r="CR514">
        <v>0</v>
      </c>
      <c r="CS514">
        <v>0</v>
      </c>
      <c r="CT514">
        <v>0</v>
      </c>
      <c r="CU514">
        <v>0</v>
      </c>
      <c r="CV514">
        <v>0</v>
      </c>
      <c r="CW514">
        <v>0</v>
      </c>
      <c r="CX514">
        <v>78.599999999999994</v>
      </c>
      <c r="CY514">
        <v>89.7</v>
      </c>
      <c r="CZ514">
        <v>98.7</v>
      </c>
      <c r="DA514">
        <v>98.7</v>
      </c>
      <c r="DB514">
        <v>78.3</v>
      </c>
      <c r="DC514">
        <v>89.7</v>
      </c>
      <c r="DD514">
        <v>98.3</v>
      </c>
      <c r="DE514">
        <v>98.7</v>
      </c>
      <c r="DF514">
        <v>78.599999999999994</v>
      </c>
      <c r="DG514">
        <v>89.7</v>
      </c>
      <c r="DH514">
        <v>98.7</v>
      </c>
      <c r="DI514">
        <v>98.7</v>
      </c>
      <c r="DJ514">
        <v>78.3</v>
      </c>
      <c r="DK514">
        <v>89.7</v>
      </c>
      <c r="DL514">
        <v>98.3</v>
      </c>
      <c r="DM514">
        <v>98.7</v>
      </c>
      <c r="DN514">
        <v>0</v>
      </c>
      <c r="DO514">
        <v>0</v>
      </c>
      <c r="DP514">
        <v>0</v>
      </c>
      <c r="DQ514">
        <v>0</v>
      </c>
      <c r="DR514">
        <v>0</v>
      </c>
      <c r="DS514">
        <v>0</v>
      </c>
      <c r="DT514">
        <v>0</v>
      </c>
      <c r="DU514">
        <v>0</v>
      </c>
      <c r="DV514" t="s">
        <v>870</v>
      </c>
    </row>
    <row r="515" spans="1:126" x14ac:dyDescent="0.35">
      <c r="A515" t="s">
        <v>871</v>
      </c>
      <c r="B515">
        <v>230110</v>
      </c>
      <c r="C515" s="1">
        <v>44936</v>
      </c>
      <c r="D515" t="s">
        <v>872</v>
      </c>
      <c r="E515" t="s">
        <v>740</v>
      </c>
      <c r="F515" t="s">
        <v>185</v>
      </c>
      <c r="G515" t="s">
        <v>873</v>
      </c>
      <c r="H515">
        <v>26346</v>
      </c>
      <c r="I515" s="17">
        <v>5564</v>
      </c>
      <c r="J515" s="17">
        <v>354</v>
      </c>
      <c r="K515">
        <v>542</v>
      </c>
      <c r="L515">
        <v>20015</v>
      </c>
      <c r="M515">
        <v>25223</v>
      </c>
      <c r="N515">
        <v>26121</v>
      </c>
      <c r="O515">
        <v>26119</v>
      </c>
      <c r="P515">
        <v>225</v>
      </c>
      <c r="Q515">
        <v>227</v>
      </c>
      <c r="R515">
        <v>26346</v>
      </c>
      <c r="S515">
        <v>5564</v>
      </c>
      <c r="T515">
        <v>354</v>
      </c>
      <c r="U515">
        <v>542</v>
      </c>
      <c r="V515">
        <v>20015</v>
      </c>
      <c r="W515">
        <v>25223</v>
      </c>
      <c r="X515">
        <v>26121</v>
      </c>
      <c r="Y515">
        <v>26119</v>
      </c>
      <c r="Z515">
        <v>225</v>
      </c>
      <c r="AA515">
        <v>227</v>
      </c>
      <c r="AB515">
        <v>0</v>
      </c>
      <c r="AC515">
        <v>0</v>
      </c>
      <c r="AD515">
        <v>0</v>
      </c>
      <c r="AE515">
        <v>0</v>
      </c>
      <c r="AF515">
        <v>0</v>
      </c>
      <c r="AG515">
        <v>0</v>
      </c>
      <c r="AH515">
        <v>0</v>
      </c>
      <c r="AI515">
        <v>0</v>
      </c>
      <c r="AJ515">
        <v>0</v>
      </c>
      <c r="AK515">
        <v>0</v>
      </c>
      <c r="AL515">
        <v>-2560</v>
      </c>
      <c r="AM515">
        <v>-576</v>
      </c>
      <c r="AN515">
        <v>-459</v>
      </c>
      <c r="AO515">
        <v>-14</v>
      </c>
      <c r="AP515">
        <v>-1920</v>
      </c>
      <c r="AQ515">
        <v>-2222</v>
      </c>
      <c r="AR515">
        <v>-2510</v>
      </c>
      <c r="AS515">
        <v>-2695</v>
      </c>
      <c r="AT515">
        <v>-50</v>
      </c>
      <c r="AU515">
        <v>135</v>
      </c>
      <c r="AV515">
        <v>100</v>
      </c>
      <c r="AW515">
        <v>21.1</v>
      </c>
      <c r="AX515">
        <v>1.3</v>
      </c>
      <c r="AY515">
        <v>2.1</v>
      </c>
      <c r="AZ515">
        <v>76</v>
      </c>
      <c r="BA515">
        <v>95.7</v>
      </c>
      <c r="BB515">
        <v>99.1</v>
      </c>
      <c r="BC515">
        <v>99.1</v>
      </c>
      <c r="BD515">
        <v>0.9</v>
      </c>
      <c r="BE515">
        <v>0.9</v>
      </c>
      <c r="BF515">
        <v>100</v>
      </c>
      <c r="BG515">
        <v>21.1</v>
      </c>
      <c r="BH515">
        <v>1.3</v>
      </c>
      <c r="BI515">
        <v>2.1</v>
      </c>
      <c r="BJ515">
        <v>76</v>
      </c>
      <c r="BK515">
        <v>95.7</v>
      </c>
      <c r="BL515">
        <v>99.1</v>
      </c>
      <c r="BM515">
        <v>99.1</v>
      </c>
      <c r="BN515">
        <v>0.9</v>
      </c>
      <c r="BO515">
        <v>0.9</v>
      </c>
      <c r="BP515">
        <v>0</v>
      </c>
      <c r="BQ515">
        <v>0</v>
      </c>
      <c r="BR515">
        <v>0</v>
      </c>
      <c r="BS515">
        <v>0</v>
      </c>
      <c r="BT515">
        <v>0</v>
      </c>
      <c r="BU515">
        <v>0</v>
      </c>
      <c r="BV515">
        <v>0</v>
      </c>
      <c r="BW515">
        <v>0</v>
      </c>
      <c r="BX515">
        <v>0</v>
      </c>
      <c r="BY515">
        <v>0</v>
      </c>
      <c r="BZ515">
        <v>33</v>
      </c>
      <c r="CA515">
        <v>4</v>
      </c>
      <c r="CB515">
        <v>2</v>
      </c>
      <c r="CC515">
        <v>1</v>
      </c>
      <c r="CD515">
        <v>17</v>
      </c>
      <c r="CE515">
        <v>17</v>
      </c>
      <c r="CF515">
        <v>21</v>
      </c>
      <c r="CG515">
        <v>20</v>
      </c>
      <c r="CH515">
        <v>33</v>
      </c>
      <c r="CI515">
        <v>4</v>
      </c>
      <c r="CJ515">
        <v>2</v>
      </c>
      <c r="CK515">
        <v>1</v>
      </c>
      <c r="CL515">
        <v>17</v>
      </c>
      <c r="CM515">
        <v>17</v>
      </c>
      <c r="CN515">
        <v>21</v>
      </c>
      <c r="CO515">
        <v>20</v>
      </c>
      <c r="CP515">
        <v>0</v>
      </c>
      <c r="CQ515">
        <v>0</v>
      </c>
      <c r="CR515">
        <v>0</v>
      </c>
      <c r="CS515">
        <v>0</v>
      </c>
      <c r="CT515">
        <v>0</v>
      </c>
      <c r="CU515">
        <v>0</v>
      </c>
      <c r="CV515">
        <v>0</v>
      </c>
      <c r="CW515">
        <v>0</v>
      </c>
      <c r="CX515">
        <v>53.8</v>
      </c>
      <c r="CY515">
        <v>66.2</v>
      </c>
      <c r="CZ515">
        <v>73.8</v>
      </c>
      <c r="DA515">
        <v>87.5</v>
      </c>
      <c r="DB515">
        <v>51.7</v>
      </c>
      <c r="DC515">
        <v>63.9</v>
      </c>
      <c r="DD515">
        <v>70.599999999999994</v>
      </c>
      <c r="DE515">
        <v>85.2</v>
      </c>
      <c r="DF515">
        <v>53.8</v>
      </c>
      <c r="DG515">
        <v>66.2</v>
      </c>
      <c r="DH515">
        <v>73.8</v>
      </c>
      <c r="DI515">
        <v>87.5</v>
      </c>
      <c r="DJ515">
        <v>51.7</v>
      </c>
      <c r="DK515">
        <v>63.9</v>
      </c>
      <c r="DL515">
        <v>70.599999999999994</v>
      </c>
      <c r="DM515">
        <v>85.2</v>
      </c>
      <c r="DN515">
        <v>0</v>
      </c>
      <c r="DO515">
        <v>0</v>
      </c>
      <c r="DP515">
        <v>0</v>
      </c>
      <c r="DQ515">
        <v>0</v>
      </c>
      <c r="DR515">
        <v>0</v>
      </c>
      <c r="DS515">
        <v>0</v>
      </c>
      <c r="DT515">
        <v>0</v>
      </c>
      <c r="DU515">
        <v>0</v>
      </c>
      <c r="DV515" t="s">
        <v>874</v>
      </c>
    </row>
    <row r="516" spans="1:126" x14ac:dyDescent="0.35">
      <c r="A516" t="s">
        <v>871</v>
      </c>
      <c r="B516">
        <v>230103</v>
      </c>
      <c r="C516" s="1">
        <v>44929</v>
      </c>
      <c r="D516" t="s">
        <v>872</v>
      </c>
      <c r="E516" t="s">
        <v>740</v>
      </c>
      <c r="F516" t="s">
        <v>185</v>
      </c>
      <c r="G516" t="s">
        <v>873</v>
      </c>
      <c r="H516">
        <v>28906</v>
      </c>
      <c r="I516" s="17">
        <v>6140</v>
      </c>
      <c r="J516" s="17">
        <v>813</v>
      </c>
      <c r="K516">
        <v>556</v>
      </c>
      <c r="L516">
        <v>21935</v>
      </c>
      <c r="M516">
        <v>27445</v>
      </c>
      <c r="N516">
        <v>28631</v>
      </c>
      <c r="O516">
        <v>28814</v>
      </c>
      <c r="P516">
        <v>275</v>
      </c>
      <c r="Q516">
        <v>92</v>
      </c>
      <c r="R516">
        <v>28906</v>
      </c>
      <c r="S516">
        <v>6140</v>
      </c>
      <c r="T516">
        <v>813</v>
      </c>
      <c r="U516">
        <v>556</v>
      </c>
      <c r="V516">
        <v>21935</v>
      </c>
      <c r="W516">
        <v>27445</v>
      </c>
      <c r="X516">
        <v>28631</v>
      </c>
      <c r="Y516">
        <v>28814</v>
      </c>
      <c r="Z516">
        <v>275</v>
      </c>
      <c r="AA516">
        <v>92</v>
      </c>
      <c r="AB516">
        <v>0</v>
      </c>
      <c r="AC516">
        <v>0</v>
      </c>
      <c r="AD516">
        <v>0</v>
      </c>
      <c r="AE516">
        <v>0</v>
      </c>
      <c r="AF516">
        <v>0</v>
      </c>
      <c r="AG516">
        <v>0</v>
      </c>
      <c r="AH516">
        <v>0</v>
      </c>
      <c r="AI516">
        <v>0</v>
      </c>
      <c r="AJ516">
        <v>0</v>
      </c>
      <c r="AK516">
        <v>0</v>
      </c>
      <c r="AL516">
        <v>361</v>
      </c>
      <c r="AM516">
        <v>60</v>
      </c>
      <c r="AN516">
        <v>-250</v>
      </c>
      <c r="AO516">
        <v>0</v>
      </c>
      <c r="AP516">
        <v>301</v>
      </c>
      <c r="AQ516">
        <v>611</v>
      </c>
      <c r="AR516">
        <v>361</v>
      </c>
      <c r="AS516">
        <v>361</v>
      </c>
      <c r="AT516">
        <v>0</v>
      </c>
      <c r="AU516">
        <v>0</v>
      </c>
      <c r="AV516">
        <v>100</v>
      </c>
      <c r="AW516">
        <v>21.2</v>
      </c>
      <c r="AX516">
        <v>2.8</v>
      </c>
      <c r="AY516">
        <v>1.9</v>
      </c>
      <c r="AZ516">
        <v>75.900000000000006</v>
      </c>
      <c r="BA516">
        <v>94.9</v>
      </c>
      <c r="BB516">
        <v>99</v>
      </c>
      <c r="BC516">
        <v>99.7</v>
      </c>
      <c r="BD516">
        <v>1</v>
      </c>
      <c r="BE516">
        <v>0.3</v>
      </c>
      <c r="BF516">
        <v>100</v>
      </c>
      <c r="BG516">
        <v>21.2</v>
      </c>
      <c r="BH516">
        <v>2.8</v>
      </c>
      <c r="BI516">
        <v>1.9</v>
      </c>
      <c r="BJ516">
        <v>75.900000000000006</v>
      </c>
      <c r="BK516">
        <v>94.9</v>
      </c>
      <c r="BL516">
        <v>99</v>
      </c>
      <c r="BM516">
        <v>99.7</v>
      </c>
      <c r="BN516">
        <v>1</v>
      </c>
      <c r="BO516">
        <v>0.3</v>
      </c>
      <c r="BP516">
        <v>0</v>
      </c>
      <c r="BQ516">
        <v>0</v>
      </c>
      <c r="BR516">
        <v>0</v>
      </c>
      <c r="BS516">
        <v>0</v>
      </c>
      <c r="BT516">
        <v>0</v>
      </c>
      <c r="BU516">
        <v>0</v>
      </c>
      <c r="BV516">
        <v>0</v>
      </c>
      <c r="BW516">
        <v>0</v>
      </c>
      <c r="BX516">
        <v>0</v>
      </c>
      <c r="BY516">
        <v>0</v>
      </c>
      <c r="BZ516">
        <v>35</v>
      </c>
      <c r="CA516">
        <v>4</v>
      </c>
      <c r="CB516">
        <v>4</v>
      </c>
      <c r="CC516">
        <v>2</v>
      </c>
      <c r="CD516">
        <v>18</v>
      </c>
      <c r="CE516">
        <v>17</v>
      </c>
      <c r="CF516">
        <v>23</v>
      </c>
      <c r="CG516">
        <v>22</v>
      </c>
      <c r="CH516">
        <v>35</v>
      </c>
      <c r="CI516">
        <v>4</v>
      </c>
      <c r="CJ516">
        <v>4</v>
      </c>
      <c r="CK516">
        <v>2</v>
      </c>
      <c r="CL516">
        <v>18</v>
      </c>
      <c r="CM516">
        <v>17</v>
      </c>
      <c r="CN516">
        <v>23</v>
      </c>
      <c r="CO516">
        <v>22</v>
      </c>
      <c r="CP516">
        <v>0</v>
      </c>
      <c r="CQ516">
        <v>0</v>
      </c>
      <c r="CR516">
        <v>0</v>
      </c>
      <c r="CS516">
        <v>0</v>
      </c>
      <c r="CT516">
        <v>0</v>
      </c>
      <c r="CU516">
        <v>0</v>
      </c>
      <c r="CV516">
        <v>0</v>
      </c>
      <c r="CW516">
        <v>0</v>
      </c>
      <c r="CX516">
        <v>51.8</v>
      </c>
      <c r="CY516">
        <v>63.7</v>
      </c>
      <c r="CZ516">
        <v>73</v>
      </c>
      <c r="DA516">
        <v>85.9</v>
      </c>
      <c r="DB516">
        <v>50</v>
      </c>
      <c r="DC516">
        <v>61.6</v>
      </c>
      <c r="DD516">
        <v>70.400000000000006</v>
      </c>
      <c r="DE516">
        <v>83.2</v>
      </c>
      <c r="DF516">
        <v>51.8</v>
      </c>
      <c r="DG516">
        <v>63.7</v>
      </c>
      <c r="DH516">
        <v>73</v>
      </c>
      <c r="DI516">
        <v>85.9</v>
      </c>
      <c r="DJ516">
        <v>50</v>
      </c>
      <c r="DK516">
        <v>61.6</v>
      </c>
      <c r="DL516">
        <v>70.400000000000006</v>
      </c>
      <c r="DM516">
        <v>83.2</v>
      </c>
      <c r="DN516">
        <v>0</v>
      </c>
      <c r="DO516">
        <v>0</v>
      </c>
      <c r="DP516">
        <v>0</v>
      </c>
      <c r="DQ516">
        <v>0</v>
      </c>
      <c r="DR516">
        <v>0</v>
      </c>
      <c r="DS516">
        <v>0</v>
      </c>
      <c r="DT516">
        <v>0</v>
      </c>
      <c r="DU516">
        <v>0</v>
      </c>
      <c r="DV516" t="s">
        <v>874</v>
      </c>
    </row>
    <row r="517" spans="1:126" x14ac:dyDescent="0.35">
      <c r="A517" t="s">
        <v>875</v>
      </c>
      <c r="B517">
        <v>230103</v>
      </c>
      <c r="C517" s="1">
        <v>44929</v>
      </c>
      <c r="D517" t="s">
        <v>876</v>
      </c>
      <c r="E517" t="s">
        <v>740</v>
      </c>
      <c r="F517" t="s">
        <v>185</v>
      </c>
      <c r="G517" t="s">
        <v>873</v>
      </c>
      <c r="H517">
        <v>20649</v>
      </c>
      <c r="I517" s="17">
        <v>945</v>
      </c>
      <c r="J517" s="17">
        <v>411</v>
      </c>
      <c r="K517">
        <v>69</v>
      </c>
      <c r="L517">
        <v>19413</v>
      </c>
      <c r="M517">
        <v>20068</v>
      </c>
      <c r="N517">
        <v>20427</v>
      </c>
      <c r="O517">
        <v>20548</v>
      </c>
      <c r="P517">
        <v>222</v>
      </c>
      <c r="Q517">
        <v>101</v>
      </c>
      <c r="R517">
        <v>20649</v>
      </c>
      <c r="S517">
        <v>945</v>
      </c>
      <c r="T517">
        <v>411</v>
      </c>
      <c r="U517">
        <v>69</v>
      </c>
      <c r="V517">
        <v>19413</v>
      </c>
      <c r="W517">
        <v>20068</v>
      </c>
      <c r="X517">
        <v>20427</v>
      </c>
      <c r="Y517">
        <v>20548</v>
      </c>
      <c r="Z517">
        <v>222</v>
      </c>
      <c r="AA517">
        <v>101</v>
      </c>
      <c r="AB517">
        <v>0</v>
      </c>
      <c r="AC517">
        <v>0</v>
      </c>
      <c r="AD517">
        <v>0</v>
      </c>
      <c r="AE517">
        <v>0</v>
      </c>
      <c r="AF517">
        <v>0</v>
      </c>
      <c r="AG517">
        <v>0</v>
      </c>
      <c r="AH517">
        <v>0</v>
      </c>
      <c r="AI517">
        <v>0</v>
      </c>
      <c r="AJ517">
        <v>0</v>
      </c>
      <c r="AK517">
        <v>0</v>
      </c>
      <c r="AL517">
        <v>944</v>
      </c>
      <c r="AM517">
        <v>0</v>
      </c>
      <c r="AN517">
        <v>0</v>
      </c>
      <c r="AO517">
        <v>0</v>
      </c>
      <c r="AP517">
        <v>860</v>
      </c>
      <c r="AQ517">
        <v>920</v>
      </c>
      <c r="AR517">
        <v>860</v>
      </c>
      <c r="AS517">
        <v>920</v>
      </c>
      <c r="AT517">
        <v>84</v>
      </c>
      <c r="AU517">
        <v>24</v>
      </c>
      <c r="AV517">
        <v>100</v>
      </c>
      <c r="AW517">
        <v>4.5999999999999996</v>
      </c>
      <c r="AX517">
        <v>2</v>
      </c>
      <c r="AY517">
        <v>0.3</v>
      </c>
      <c r="AZ517">
        <v>94</v>
      </c>
      <c r="BA517">
        <v>97.2</v>
      </c>
      <c r="BB517">
        <v>98.9</v>
      </c>
      <c r="BC517">
        <v>99.5</v>
      </c>
      <c r="BD517">
        <v>1.1000000000000001</v>
      </c>
      <c r="BE517">
        <v>0.5</v>
      </c>
      <c r="BF517">
        <v>100</v>
      </c>
      <c r="BG517">
        <v>4.5999999999999996</v>
      </c>
      <c r="BH517">
        <v>2</v>
      </c>
      <c r="BI517">
        <v>0.3</v>
      </c>
      <c r="BJ517">
        <v>94</v>
      </c>
      <c r="BK517">
        <v>97.2</v>
      </c>
      <c r="BL517">
        <v>98.9</v>
      </c>
      <c r="BM517">
        <v>99.5</v>
      </c>
      <c r="BN517">
        <v>1.1000000000000001</v>
      </c>
      <c r="BO517">
        <v>0.5</v>
      </c>
      <c r="BP517">
        <v>0</v>
      </c>
      <c r="BQ517">
        <v>0</v>
      </c>
      <c r="BR517">
        <v>0</v>
      </c>
      <c r="BS517">
        <v>0</v>
      </c>
      <c r="BT517">
        <v>0</v>
      </c>
      <c r="BU517">
        <v>0</v>
      </c>
      <c r="BV517">
        <v>0</v>
      </c>
      <c r="BW517">
        <v>0</v>
      </c>
      <c r="BX517">
        <v>0</v>
      </c>
      <c r="BY517">
        <v>0</v>
      </c>
      <c r="BZ517">
        <v>22</v>
      </c>
      <c r="CA517">
        <v>2</v>
      </c>
      <c r="CB517">
        <v>2</v>
      </c>
      <c r="CC517">
        <v>2</v>
      </c>
      <c r="CD517">
        <v>14</v>
      </c>
      <c r="CE517">
        <v>8</v>
      </c>
      <c r="CF517">
        <v>16</v>
      </c>
      <c r="CG517">
        <v>12</v>
      </c>
      <c r="CH517">
        <v>22</v>
      </c>
      <c r="CI517">
        <v>2</v>
      </c>
      <c r="CJ517">
        <v>2</v>
      </c>
      <c r="CK517">
        <v>2</v>
      </c>
      <c r="CL517">
        <v>14</v>
      </c>
      <c r="CM517">
        <v>8</v>
      </c>
      <c r="CN517">
        <v>16</v>
      </c>
      <c r="CO517">
        <v>12</v>
      </c>
      <c r="CP517">
        <v>0</v>
      </c>
      <c r="CQ517">
        <v>0</v>
      </c>
      <c r="CR517">
        <v>0</v>
      </c>
      <c r="CS517">
        <v>0</v>
      </c>
      <c r="CT517">
        <v>0</v>
      </c>
      <c r="CU517">
        <v>0</v>
      </c>
      <c r="CV517">
        <v>0</v>
      </c>
      <c r="CW517">
        <v>0</v>
      </c>
      <c r="CX517">
        <v>70.3</v>
      </c>
      <c r="CY517">
        <v>94.3</v>
      </c>
      <c r="CZ517">
        <v>88.4</v>
      </c>
      <c r="DA517">
        <v>98.8</v>
      </c>
      <c r="DB517">
        <v>70.3</v>
      </c>
      <c r="DC517">
        <v>93.8</v>
      </c>
      <c r="DD517">
        <v>88.1</v>
      </c>
      <c r="DE517">
        <v>96.4</v>
      </c>
      <c r="DF517">
        <v>70.3</v>
      </c>
      <c r="DG517">
        <v>94.3</v>
      </c>
      <c r="DH517">
        <v>88.4</v>
      </c>
      <c r="DI517">
        <v>98.8</v>
      </c>
      <c r="DJ517">
        <v>70.3</v>
      </c>
      <c r="DK517">
        <v>93.8</v>
      </c>
      <c r="DL517">
        <v>88.1</v>
      </c>
      <c r="DM517">
        <v>96.4</v>
      </c>
      <c r="DN517">
        <v>0</v>
      </c>
      <c r="DO517">
        <v>0</v>
      </c>
      <c r="DP517">
        <v>0</v>
      </c>
      <c r="DQ517">
        <v>0</v>
      </c>
      <c r="DR517">
        <v>0</v>
      </c>
      <c r="DS517">
        <v>0</v>
      </c>
      <c r="DT517">
        <v>0</v>
      </c>
      <c r="DU517">
        <v>0</v>
      </c>
      <c r="DV517" t="s">
        <v>877</v>
      </c>
    </row>
    <row r="518" spans="1:126" x14ac:dyDescent="0.35">
      <c r="A518" t="s">
        <v>878</v>
      </c>
      <c r="B518">
        <v>230110</v>
      </c>
      <c r="C518" s="1">
        <v>44936</v>
      </c>
      <c r="D518" t="s">
        <v>879</v>
      </c>
      <c r="E518" t="s">
        <v>740</v>
      </c>
      <c r="F518" t="s">
        <v>185</v>
      </c>
      <c r="G518" t="s">
        <v>880</v>
      </c>
      <c r="H518">
        <v>23607</v>
      </c>
      <c r="I518" s="17">
        <v>2472</v>
      </c>
      <c r="J518" s="17">
        <v>5171</v>
      </c>
      <c r="K518">
        <v>1182</v>
      </c>
      <c r="L518">
        <v>19498</v>
      </c>
      <c r="M518">
        <v>17061</v>
      </c>
      <c r="N518">
        <v>23152</v>
      </c>
      <c r="O518">
        <v>23414</v>
      </c>
      <c r="P518">
        <v>455</v>
      </c>
      <c r="Q518">
        <v>193</v>
      </c>
      <c r="R518">
        <v>23607</v>
      </c>
      <c r="S518">
        <v>2472</v>
      </c>
      <c r="T518">
        <v>5171</v>
      </c>
      <c r="U518">
        <v>1182</v>
      </c>
      <c r="V518">
        <v>19498</v>
      </c>
      <c r="W518">
        <v>17061</v>
      </c>
      <c r="X518">
        <v>23152</v>
      </c>
      <c r="Y518">
        <v>23414</v>
      </c>
      <c r="Z518">
        <v>455</v>
      </c>
      <c r="AA518">
        <v>193</v>
      </c>
      <c r="AB518">
        <v>0</v>
      </c>
      <c r="AC518">
        <v>0</v>
      </c>
      <c r="AD518">
        <v>0</v>
      </c>
      <c r="AE518">
        <v>0</v>
      </c>
      <c r="AF518">
        <v>0</v>
      </c>
      <c r="AG518">
        <v>0</v>
      </c>
      <c r="AH518">
        <v>0</v>
      </c>
      <c r="AI518">
        <v>0</v>
      </c>
      <c r="AJ518">
        <v>0</v>
      </c>
      <c r="AK518">
        <v>0</v>
      </c>
      <c r="AL518">
        <v>1501</v>
      </c>
      <c r="AM518">
        <v>317</v>
      </c>
      <c r="AN518">
        <v>699</v>
      </c>
      <c r="AO518">
        <v>50</v>
      </c>
      <c r="AP518">
        <v>1157</v>
      </c>
      <c r="AQ518">
        <v>811</v>
      </c>
      <c r="AR518">
        <v>1524</v>
      </c>
      <c r="AS518">
        <v>1560</v>
      </c>
      <c r="AT518">
        <v>-23</v>
      </c>
      <c r="AU518">
        <v>-59</v>
      </c>
      <c r="AV518">
        <v>100</v>
      </c>
      <c r="AW518">
        <v>10.5</v>
      </c>
      <c r="AX518">
        <v>21.9</v>
      </c>
      <c r="AY518">
        <v>5</v>
      </c>
      <c r="AZ518">
        <v>82.6</v>
      </c>
      <c r="BA518">
        <v>72.3</v>
      </c>
      <c r="BB518">
        <v>98.1</v>
      </c>
      <c r="BC518">
        <v>99.2</v>
      </c>
      <c r="BD518">
        <v>1.9</v>
      </c>
      <c r="BE518">
        <v>0.8</v>
      </c>
      <c r="BF518">
        <v>100</v>
      </c>
      <c r="BG518">
        <v>10.5</v>
      </c>
      <c r="BH518">
        <v>21.9</v>
      </c>
      <c r="BI518">
        <v>5</v>
      </c>
      <c r="BJ518">
        <v>82.6</v>
      </c>
      <c r="BK518">
        <v>72.3</v>
      </c>
      <c r="BL518">
        <v>98.1</v>
      </c>
      <c r="BM518">
        <v>99.2</v>
      </c>
      <c r="BN518">
        <v>1.9</v>
      </c>
      <c r="BO518">
        <v>0.8</v>
      </c>
      <c r="BP518">
        <v>0</v>
      </c>
      <c r="BQ518">
        <v>0</v>
      </c>
      <c r="BR518">
        <v>0</v>
      </c>
      <c r="BS518">
        <v>0</v>
      </c>
      <c r="BT518">
        <v>0</v>
      </c>
      <c r="BU518">
        <v>0</v>
      </c>
      <c r="BV518">
        <v>0</v>
      </c>
      <c r="BW518">
        <v>0</v>
      </c>
      <c r="BX518">
        <v>0</v>
      </c>
      <c r="BY518">
        <v>0</v>
      </c>
      <c r="BZ518">
        <v>48</v>
      </c>
      <c r="CA518">
        <v>8</v>
      </c>
      <c r="CB518">
        <v>16</v>
      </c>
      <c r="CC518">
        <v>8</v>
      </c>
      <c r="CD518">
        <v>15</v>
      </c>
      <c r="CE518">
        <v>15</v>
      </c>
      <c r="CF518">
        <v>28</v>
      </c>
      <c r="CG518">
        <v>34</v>
      </c>
      <c r="CH518">
        <v>48</v>
      </c>
      <c r="CI518">
        <v>8</v>
      </c>
      <c r="CJ518">
        <v>16</v>
      </c>
      <c r="CK518">
        <v>8</v>
      </c>
      <c r="CL518">
        <v>15</v>
      </c>
      <c r="CM518">
        <v>15</v>
      </c>
      <c r="CN518">
        <v>28</v>
      </c>
      <c r="CO518">
        <v>34</v>
      </c>
      <c r="CP518">
        <v>0</v>
      </c>
      <c r="CQ518">
        <v>0</v>
      </c>
      <c r="CR518">
        <v>0</v>
      </c>
      <c r="CS518">
        <v>0</v>
      </c>
      <c r="CT518">
        <v>0</v>
      </c>
      <c r="CU518">
        <v>0</v>
      </c>
      <c r="CV518">
        <v>0</v>
      </c>
      <c r="CW518">
        <v>0</v>
      </c>
      <c r="CX518">
        <v>64.7</v>
      </c>
      <c r="CY518">
        <v>54</v>
      </c>
      <c r="CZ518">
        <v>80.900000000000006</v>
      </c>
      <c r="DA518">
        <v>75.400000000000006</v>
      </c>
      <c r="DB518">
        <v>64.7</v>
      </c>
      <c r="DC518">
        <v>47.4</v>
      </c>
      <c r="DD518">
        <v>78.400000000000006</v>
      </c>
      <c r="DE518">
        <v>67.5</v>
      </c>
      <c r="DF518">
        <v>64.7</v>
      </c>
      <c r="DG518">
        <v>54</v>
      </c>
      <c r="DH518">
        <v>80.900000000000006</v>
      </c>
      <c r="DI518">
        <v>75.400000000000006</v>
      </c>
      <c r="DJ518">
        <v>64.7</v>
      </c>
      <c r="DK518">
        <v>47.4</v>
      </c>
      <c r="DL518">
        <v>78.400000000000006</v>
      </c>
      <c r="DM518">
        <v>67.5</v>
      </c>
      <c r="DN518">
        <v>0</v>
      </c>
      <c r="DO518">
        <v>0</v>
      </c>
      <c r="DP518">
        <v>0</v>
      </c>
      <c r="DQ518">
        <v>0</v>
      </c>
      <c r="DR518">
        <v>0</v>
      </c>
      <c r="DS518">
        <v>0</v>
      </c>
      <c r="DT518">
        <v>0</v>
      </c>
      <c r="DU518">
        <v>0</v>
      </c>
      <c r="DV518" t="s">
        <v>881</v>
      </c>
    </row>
    <row r="519" spans="1:126" x14ac:dyDescent="0.35">
      <c r="A519" t="s">
        <v>878</v>
      </c>
      <c r="B519">
        <v>230103</v>
      </c>
      <c r="C519" s="1">
        <v>44929</v>
      </c>
      <c r="D519" t="s">
        <v>879</v>
      </c>
      <c r="E519" t="s">
        <v>740</v>
      </c>
      <c r="F519" t="s">
        <v>185</v>
      </c>
      <c r="G519" t="s">
        <v>880</v>
      </c>
      <c r="H519">
        <v>22106</v>
      </c>
      <c r="I519" s="17">
        <v>2155</v>
      </c>
      <c r="J519" s="17">
        <v>4472</v>
      </c>
      <c r="K519">
        <v>1132</v>
      </c>
      <c r="L519">
        <v>18341</v>
      </c>
      <c r="M519">
        <v>16250</v>
      </c>
      <c r="N519">
        <v>21628</v>
      </c>
      <c r="O519">
        <v>21854</v>
      </c>
      <c r="P519">
        <v>478</v>
      </c>
      <c r="Q519">
        <v>252</v>
      </c>
      <c r="R519">
        <v>22106</v>
      </c>
      <c r="S519">
        <v>2155</v>
      </c>
      <c r="T519">
        <v>4472</v>
      </c>
      <c r="U519">
        <v>1132</v>
      </c>
      <c r="V519">
        <v>18341</v>
      </c>
      <c r="W519">
        <v>16250</v>
      </c>
      <c r="X519">
        <v>21628</v>
      </c>
      <c r="Y519">
        <v>21854</v>
      </c>
      <c r="Z519">
        <v>478</v>
      </c>
      <c r="AA519">
        <v>252</v>
      </c>
      <c r="AB519">
        <v>0</v>
      </c>
      <c r="AC519">
        <v>0</v>
      </c>
      <c r="AD519">
        <v>0</v>
      </c>
      <c r="AE519">
        <v>0</v>
      </c>
      <c r="AF519">
        <v>0</v>
      </c>
      <c r="AG519">
        <v>0</v>
      </c>
      <c r="AH519">
        <v>0</v>
      </c>
      <c r="AI519">
        <v>0</v>
      </c>
      <c r="AJ519">
        <v>0</v>
      </c>
      <c r="AK519">
        <v>0</v>
      </c>
      <c r="AL519">
        <v>-3184</v>
      </c>
      <c r="AM519">
        <v>140</v>
      </c>
      <c r="AN519">
        <v>-828</v>
      </c>
      <c r="AO519">
        <v>-445</v>
      </c>
      <c r="AP519">
        <v>-2892</v>
      </c>
      <c r="AQ519">
        <v>-2018</v>
      </c>
      <c r="AR519">
        <v>-3197</v>
      </c>
      <c r="AS519">
        <v>-3291</v>
      </c>
      <c r="AT519">
        <v>13</v>
      </c>
      <c r="AU519">
        <v>107</v>
      </c>
      <c r="AV519">
        <v>100</v>
      </c>
      <c r="AW519">
        <v>9.6999999999999993</v>
      </c>
      <c r="AX519">
        <v>20.2</v>
      </c>
      <c r="AY519">
        <v>5.0999999999999996</v>
      </c>
      <c r="AZ519">
        <v>83</v>
      </c>
      <c r="BA519">
        <v>73.5</v>
      </c>
      <c r="BB519">
        <v>97.8</v>
      </c>
      <c r="BC519">
        <v>98.9</v>
      </c>
      <c r="BD519">
        <v>2.2000000000000002</v>
      </c>
      <c r="BE519">
        <v>1.1000000000000001</v>
      </c>
      <c r="BF519">
        <v>100</v>
      </c>
      <c r="BG519">
        <v>9.6999999999999993</v>
      </c>
      <c r="BH519">
        <v>20.2</v>
      </c>
      <c r="BI519">
        <v>5.0999999999999996</v>
      </c>
      <c r="BJ519">
        <v>83</v>
      </c>
      <c r="BK519">
        <v>73.5</v>
      </c>
      <c r="BL519">
        <v>97.8</v>
      </c>
      <c r="BM519">
        <v>98.9</v>
      </c>
      <c r="BN519">
        <v>2.2000000000000002</v>
      </c>
      <c r="BO519">
        <v>1.1000000000000001</v>
      </c>
      <c r="BP519">
        <v>0</v>
      </c>
      <c r="BQ519">
        <v>0</v>
      </c>
      <c r="BR519">
        <v>0</v>
      </c>
      <c r="BS519">
        <v>0</v>
      </c>
      <c r="BT519">
        <v>0</v>
      </c>
      <c r="BU519">
        <v>0</v>
      </c>
      <c r="BV519">
        <v>0</v>
      </c>
      <c r="BW519">
        <v>0</v>
      </c>
      <c r="BX519">
        <v>0</v>
      </c>
      <c r="BY519">
        <v>0</v>
      </c>
      <c r="BZ519">
        <v>44</v>
      </c>
      <c r="CA519">
        <v>7</v>
      </c>
      <c r="CB519">
        <v>13</v>
      </c>
      <c r="CC519">
        <v>7</v>
      </c>
      <c r="CD519">
        <v>14</v>
      </c>
      <c r="CE519">
        <v>15</v>
      </c>
      <c r="CF519">
        <v>26</v>
      </c>
      <c r="CG519">
        <v>30</v>
      </c>
      <c r="CH519">
        <v>44</v>
      </c>
      <c r="CI519">
        <v>7</v>
      </c>
      <c r="CJ519">
        <v>13</v>
      </c>
      <c r="CK519">
        <v>7</v>
      </c>
      <c r="CL519">
        <v>14</v>
      </c>
      <c r="CM519">
        <v>15</v>
      </c>
      <c r="CN519">
        <v>26</v>
      </c>
      <c r="CO519">
        <v>30</v>
      </c>
      <c r="CP519">
        <v>0</v>
      </c>
      <c r="CQ519">
        <v>0</v>
      </c>
      <c r="CR519">
        <v>0</v>
      </c>
      <c r="CS519">
        <v>0</v>
      </c>
      <c r="CT519">
        <v>0</v>
      </c>
      <c r="CU519">
        <v>0</v>
      </c>
      <c r="CV519">
        <v>0</v>
      </c>
      <c r="CW519">
        <v>0</v>
      </c>
      <c r="CX519">
        <v>67</v>
      </c>
      <c r="CY519">
        <v>54.3</v>
      </c>
      <c r="CZ519">
        <v>82.4</v>
      </c>
      <c r="DA519">
        <v>77</v>
      </c>
      <c r="DB519">
        <v>67</v>
      </c>
      <c r="DC519">
        <v>49.7</v>
      </c>
      <c r="DD519">
        <v>81.8</v>
      </c>
      <c r="DE519">
        <v>70.7</v>
      </c>
      <c r="DF519">
        <v>67</v>
      </c>
      <c r="DG519">
        <v>54.3</v>
      </c>
      <c r="DH519">
        <v>82.4</v>
      </c>
      <c r="DI519">
        <v>77</v>
      </c>
      <c r="DJ519">
        <v>67</v>
      </c>
      <c r="DK519">
        <v>49.7</v>
      </c>
      <c r="DL519">
        <v>81.8</v>
      </c>
      <c r="DM519">
        <v>70.7</v>
      </c>
      <c r="DN519">
        <v>0</v>
      </c>
      <c r="DO519">
        <v>0</v>
      </c>
      <c r="DP519">
        <v>0</v>
      </c>
      <c r="DQ519">
        <v>0</v>
      </c>
      <c r="DR519">
        <v>0</v>
      </c>
      <c r="DS519">
        <v>0</v>
      </c>
      <c r="DT519">
        <v>0</v>
      </c>
      <c r="DU519">
        <v>0</v>
      </c>
      <c r="DV519" t="s">
        <v>881</v>
      </c>
    </row>
    <row r="520" spans="1:126" x14ac:dyDescent="0.35">
      <c r="A520" t="s">
        <v>882</v>
      </c>
      <c r="B520">
        <v>230110</v>
      </c>
      <c r="C520" s="1">
        <v>44936</v>
      </c>
      <c r="D520" t="s">
        <v>883</v>
      </c>
      <c r="E520" t="s">
        <v>402</v>
      </c>
      <c r="F520" t="s">
        <v>165</v>
      </c>
      <c r="G520" t="s">
        <v>884</v>
      </c>
      <c r="H520">
        <v>50725</v>
      </c>
      <c r="I520" s="17">
        <v>11414</v>
      </c>
      <c r="J520" s="17">
        <v>13044</v>
      </c>
      <c r="K520">
        <v>1513</v>
      </c>
      <c r="L520">
        <v>31206</v>
      </c>
      <c r="M520">
        <v>28421</v>
      </c>
      <c r="N520">
        <v>44133</v>
      </c>
      <c r="O520">
        <v>42977</v>
      </c>
      <c r="P520">
        <v>6592</v>
      </c>
      <c r="Q520">
        <v>7748</v>
      </c>
      <c r="R520">
        <v>50725</v>
      </c>
      <c r="S520">
        <v>11414</v>
      </c>
      <c r="T520">
        <v>13044</v>
      </c>
      <c r="U520">
        <v>1513</v>
      </c>
      <c r="V520">
        <v>31206</v>
      </c>
      <c r="W520">
        <v>28421</v>
      </c>
      <c r="X520">
        <v>44133</v>
      </c>
      <c r="Y520">
        <v>42977</v>
      </c>
      <c r="Z520">
        <v>6592</v>
      </c>
      <c r="AA520">
        <v>7748</v>
      </c>
      <c r="AB520">
        <v>0</v>
      </c>
      <c r="AC520">
        <v>0</v>
      </c>
      <c r="AD520">
        <v>0</v>
      </c>
      <c r="AE520">
        <v>0</v>
      </c>
      <c r="AF520">
        <v>0</v>
      </c>
      <c r="AG520">
        <v>0</v>
      </c>
      <c r="AH520">
        <v>0</v>
      </c>
      <c r="AI520">
        <v>0</v>
      </c>
      <c r="AJ520">
        <v>0</v>
      </c>
      <c r="AK520">
        <v>0</v>
      </c>
      <c r="AL520">
        <v>1793</v>
      </c>
      <c r="AM520">
        <v>-547</v>
      </c>
      <c r="AN520">
        <v>1356</v>
      </c>
      <c r="AO520">
        <v>581</v>
      </c>
      <c r="AP520">
        <v>2064</v>
      </c>
      <c r="AQ520">
        <v>113</v>
      </c>
      <c r="AR520">
        <v>2098</v>
      </c>
      <c r="AS520">
        <v>2050</v>
      </c>
      <c r="AT520">
        <v>-304</v>
      </c>
      <c r="AU520">
        <v>-257</v>
      </c>
      <c r="AV520">
        <v>100</v>
      </c>
      <c r="AW520">
        <v>22.5</v>
      </c>
      <c r="AX520">
        <v>25.7</v>
      </c>
      <c r="AY520">
        <v>3</v>
      </c>
      <c r="AZ520">
        <v>61.5</v>
      </c>
      <c r="BA520">
        <v>56</v>
      </c>
      <c r="BB520">
        <v>87</v>
      </c>
      <c r="BC520">
        <v>84.7</v>
      </c>
      <c r="BD520">
        <v>13</v>
      </c>
      <c r="BE520">
        <v>15.3</v>
      </c>
      <c r="BF520">
        <v>100</v>
      </c>
      <c r="BG520">
        <v>22.5</v>
      </c>
      <c r="BH520">
        <v>25.7</v>
      </c>
      <c r="BI520">
        <v>3</v>
      </c>
      <c r="BJ520">
        <v>61.5</v>
      </c>
      <c r="BK520">
        <v>56</v>
      </c>
      <c r="BL520">
        <v>87</v>
      </c>
      <c r="BM520">
        <v>84.7</v>
      </c>
      <c r="BN520">
        <v>13</v>
      </c>
      <c r="BO520">
        <v>15.3</v>
      </c>
      <c r="BP520">
        <v>0</v>
      </c>
      <c r="BQ520">
        <v>0</v>
      </c>
      <c r="BR520">
        <v>0</v>
      </c>
      <c r="BS520">
        <v>0</v>
      </c>
      <c r="BT520">
        <v>0</v>
      </c>
      <c r="BU520">
        <v>0</v>
      </c>
      <c r="BV520">
        <v>0</v>
      </c>
      <c r="BW520">
        <v>0</v>
      </c>
      <c r="BX520">
        <v>0</v>
      </c>
      <c r="BY520">
        <v>0</v>
      </c>
      <c r="BZ520">
        <v>291</v>
      </c>
      <c r="CA520">
        <v>52</v>
      </c>
      <c r="CB520">
        <v>58</v>
      </c>
      <c r="CC520">
        <v>26</v>
      </c>
      <c r="CD520">
        <v>109</v>
      </c>
      <c r="CE520">
        <v>106</v>
      </c>
      <c r="CF520">
        <v>175</v>
      </c>
      <c r="CG520">
        <v>176</v>
      </c>
      <c r="CH520">
        <v>291</v>
      </c>
      <c r="CI520">
        <v>52</v>
      </c>
      <c r="CJ520">
        <v>58</v>
      </c>
      <c r="CK520">
        <v>26</v>
      </c>
      <c r="CL520">
        <v>109</v>
      </c>
      <c r="CM520">
        <v>106</v>
      </c>
      <c r="CN520">
        <v>175</v>
      </c>
      <c r="CO520">
        <v>176</v>
      </c>
      <c r="CP520">
        <v>0</v>
      </c>
      <c r="CQ520">
        <v>0</v>
      </c>
      <c r="CR520">
        <v>0</v>
      </c>
      <c r="CS520">
        <v>0</v>
      </c>
      <c r="CT520">
        <v>0</v>
      </c>
      <c r="CU520">
        <v>0</v>
      </c>
      <c r="CV520">
        <v>0</v>
      </c>
      <c r="CW520">
        <v>0</v>
      </c>
      <c r="CX520">
        <v>23</v>
      </c>
      <c r="CY520">
        <v>26.1</v>
      </c>
      <c r="CZ520">
        <v>34.200000000000003</v>
      </c>
      <c r="DA520">
        <v>38.5</v>
      </c>
      <c r="DB520">
        <v>22.8</v>
      </c>
      <c r="DC520">
        <v>25.6</v>
      </c>
      <c r="DD520">
        <v>33.9</v>
      </c>
      <c r="DE520">
        <v>38</v>
      </c>
      <c r="DF520">
        <v>23</v>
      </c>
      <c r="DG520">
        <v>26.1</v>
      </c>
      <c r="DH520">
        <v>34.200000000000003</v>
      </c>
      <c r="DI520">
        <v>38.5</v>
      </c>
      <c r="DJ520">
        <v>22.8</v>
      </c>
      <c r="DK520">
        <v>25.6</v>
      </c>
      <c r="DL520">
        <v>33.9</v>
      </c>
      <c r="DM520">
        <v>38</v>
      </c>
      <c r="DN520">
        <v>0</v>
      </c>
      <c r="DO520">
        <v>0</v>
      </c>
      <c r="DP520">
        <v>0</v>
      </c>
      <c r="DQ520">
        <v>0</v>
      </c>
      <c r="DR520">
        <v>0</v>
      </c>
      <c r="DS520">
        <v>0</v>
      </c>
      <c r="DT520">
        <v>0</v>
      </c>
      <c r="DU520">
        <v>0</v>
      </c>
      <c r="DV520" t="s">
        <v>885</v>
      </c>
    </row>
    <row r="521" spans="1:126" x14ac:dyDescent="0.35">
      <c r="A521" t="s">
        <v>882</v>
      </c>
      <c r="B521">
        <v>230103</v>
      </c>
      <c r="C521" s="1">
        <v>44929</v>
      </c>
      <c r="D521" t="s">
        <v>883</v>
      </c>
      <c r="E521" t="s">
        <v>402</v>
      </c>
      <c r="F521" t="s">
        <v>165</v>
      </c>
      <c r="G521" t="s">
        <v>884</v>
      </c>
      <c r="H521">
        <v>48932</v>
      </c>
      <c r="I521" s="17">
        <v>11960</v>
      </c>
      <c r="J521" s="17">
        <v>11688</v>
      </c>
      <c r="K521">
        <v>932</v>
      </c>
      <c r="L521">
        <v>29143</v>
      </c>
      <c r="M521">
        <v>28307</v>
      </c>
      <c r="N521">
        <v>42035</v>
      </c>
      <c r="O521">
        <v>40927</v>
      </c>
      <c r="P521">
        <v>6897</v>
      </c>
      <c r="Q521">
        <v>8005</v>
      </c>
      <c r="R521">
        <v>48932</v>
      </c>
      <c r="S521">
        <v>11960</v>
      </c>
      <c r="T521">
        <v>11688</v>
      </c>
      <c r="U521">
        <v>932</v>
      </c>
      <c r="V521">
        <v>29143</v>
      </c>
      <c r="W521">
        <v>28307</v>
      </c>
      <c r="X521">
        <v>42035</v>
      </c>
      <c r="Y521">
        <v>40927</v>
      </c>
      <c r="Z521">
        <v>6897</v>
      </c>
      <c r="AA521">
        <v>8005</v>
      </c>
      <c r="AB521">
        <v>0</v>
      </c>
      <c r="AC521">
        <v>0</v>
      </c>
      <c r="AD521">
        <v>0</v>
      </c>
      <c r="AE521">
        <v>0</v>
      </c>
      <c r="AF521">
        <v>0</v>
      </c>
      <c r="AG521">
        <v>0</v>
      </c>
      <c r="AH521">
        <v>0</v>
      </c>
      <c r="AI521">
        <v>0</v>
      </c>
      <c r="AJ521">
        <v>0</v>
      </c>
      <c r="AK521">
        <v>0</v>
      </c>
      <c r="AL521">
        <v>-1225</v>
      </c>
      <c r="AM521">
        <v>-792</v>
      </c>
      <c r="AN521">
        <v>-830</v>
      </c>
      <c r="AO521">
        <v>-247</v>
      </c>
      <c r="AP521">
        <v>-177</v>
      </c>
      <c r="AQ521">
        <v>-429</v>
      </c>
      <c r="AR521">
        <v>-1216</v>
      </c>
      <c r="AS521">
        <v>-1507</v>
      </c>
      <c r="AT521">
        <v>-9</v>
      </c>
      <c r="AU521">
        <v>282</v>
      </c>
      <c r="AV521">
        <v>100</v>
      </c>
      <c r="AW521">
        <v>24.4</v>
      </c>
      <c r="AX521">
        <v>23.9</v>
      </c>
      <c r="AY521">
        <v>1.9</v>
      </c>
      <c r="AZ521">
        <v>59.6</v>
      </c>
      <c r="BA521">
        <v>57.9</v>
      </c>
      <c r="BB521">
        <v>85.9</v>
      </c>
      <c r="BC521">
        <v>83.6</v>
      </c>
      <c r="BD521">
        <v>14.1</v>
      </c>
      <c r="BE521">
        <v>16.399999999999999</v>
      </c>
      <c r="BF521">
        <v>100</v>
      </c>
      <c r="BG521">
        <v>24.4</v>
      </c>
      <c r="BH521">
        <v>23.9</v>
      </c>
      <c r="BI521">
        <v>1.9</v>
      </c>
      <c r="BJ521">
        <v>59.6</v>
      </c>
      <c r="BK521">
        <v>57.9</v>
      </c>
      <c r="BL521">
        <v>85.9</v>
      </c>
      <c r="BM521">
        <v>83.6</v>
      </c>
      <c r="BN521">
        <v>14.1</v>
      </c>
      <c r="BO521">
        <v>16.399999999999999</v>
      </c>
      <c r="BP521">
        <v>0</v>
      </c>
      <c r="BQ521">
        <v>0</v>
      </c>
      <c r="BR521">
        <v>0</v>
      </c>
      <c r="BS521">
        <v>0</v>
      </c>
      <c r="BT521">
        <v>0</v>
      </c>
      <c r="BU521">
        <v>0</v>
      </c>
      <c r="BV521">
        <v>0</v>
      </c>
      <c r="BW521">
        <v>0</v>
      </c>
      <c r="BX521">
        <v>0</v>
      </c>
      <c r="BY521">
        <v>0</v>
      </c>
      <c r="BZ521">
        <v>286</v>
      </c>
      <c r="CA521">
        <v>53</v>
      </c>
      <c r="CB521">
        <v>59</v>
      </c>
      <c r="CC521">
        <v>22</v>
      </c>
      <c r="CD521">
        <v>112</v>
      </c>
      <c r="CE521">
        <v>103</v>
      </c>
      <c r="CF521">
        <v>178</v>
      </c>
      <c r="CG521">
        <v>171</v>
      </c>
      <c r="CH521">
        <v>286</v>
      </c>
      <c r="CI521">
        <v>53</v>
      </c>
      <c r="CJ521">
        <v>59</v>
      </c>
      <c r="CK521">
        <v>22</v>
      </c>
      <c r="CL521">
        <v>112</v>
      </c>
      <c r="CM521">
        <v>103</v>
      </c>
      <c r="CN521">
        <v>178</v>
      </c>
      <c r="CO521">
        <v>171</v>
      </c>
      <c r="CP521">
        <v>0</v>
      </c>
      <c r="CQ521">
        <v>0</v>
      </c>
      <c r="CR521">
        <v>0</v>
      </c>
      <c r="CS521">
        <v>0</v>
      </c>
      <c r="CT521">
        <v>0</v>
      </c>
      <c r="CU521">
        <v>0</v>
      </c>
      <c r="CV521">
        <v>0</v>
      </c>
      <c r="CW521">
        <v>0</v>
      </c>
      <c r="CX521">
        <v>23.1</v>
      </c>
      <c r="CY521">
        <v>22.8</v>
      </c>
      <c r="CZ521">
        <v>35.1</v>
      </c>
      <c r="DA521">
        <v>35</v>
      </c>
      <c r="DB521">
        <v>22.9</v>
      </c>
      <c r="DC521">
        <v>22.6</v>
      </c>
      <c r="DD521">
        <v>34.799999999999997</v>
      </c>
      <c r="DE521">
        <v>34.799999999999997</v>
      </c>
      <c r="DF521">
        <v>23.1</v>
      </c>
      <c r="DG521">
        <v>22.8</v>
      </c>
      <c r="DH521">
        <v>35.1</v>
      </c>
      <c r="DI521">
        <v>35</v>
      </c>
      <c r="DJ521">
        <v>22.9</v>
      </c>
      <c r="DK521">
        <v>22.6</v>
      </c>
      <c r="DL521">
        <v>34.799999999999997</v>
      </c>
      <c r="DM521">
        <v>34.799999999999997</v>
      </c>
      <c r="DN521">
        <v>0</v>
      </c>
      <c r="DO521">
        <v>0</v>
      </c>
      <c r="DP521">
        <v>0</v>
      </c>
      <c r="DQ521">
        <v>0</v>
      </c>
      <c r="DR521">
        <v>0</v>
      </c>
      <c r="DS521">
        <v>0</v>
      </c>
      <c r="DT521">
        <v>0</v>
      </c>
      <c r="DU521">
        <v>0</v>
      </c>
      <c r="DV521" t="s">
        <v>885</v>
      </c>
    </row>
    <row r="522" spans="1:126" x14ac:dyDescent="0.35">
      <c r="A522" t="s">
        <v>886</v>
      </c>
      <c r="B522">
        <v>230110</v>
      </c>
      <c r="C522" s="1">
        <v>44936</v>
      </c>
      <c r="D522" t="s">
        <v>887</v>
      </c>
      <c r="E522" t="s">
        <v>402</v>
      </c>
      <c r="F522" t="s">
        <v>165</v>
      </c>
      <c r="G522" t="s">
        <v>884</v>
      </c>
      <c r="H522">
        <v>253625</v>
      </c>
      <c r="I522" s="17">
        <v>57068</v>
      </c>
      <c r="J522" s="17">
        <v>65219</v>
      </c>
      <c r="K522">
        <v>7564</v>
      </c>
      <c r="L522">
        <v>156031</v>
      </c>
      <c r="M522">
        <v>142103</v>
      </c>
      <c r="N522">
        <v>220663</v>
      </c>
      <c r="O522">
        <v>214886</v>
      </c>
      <c r="P522">
        <v>32962</v>
      </c>
      <c r="Q522">
        <v>38739</v>
      </c>
      <c r="R522">
        <v>253625</v>
      </c>
      <c r="S522">
        <v>57068</v>
      </c>
      <c r="T522">
        <v>65219</v>
      </c>
      <c r="U522">
        <v>7564</v>
      </c>
      <c r="V522">
        <v>156031</v>
      </c>
      <c r="W522">
        <v>142103</v>
      </c>
      <c r="X522">
        <v>220663</v>
      </c>
      <c r="Y522">
        <v>214886</v>
      </c>
      <c r="Z522">
        <v>32962</v>
      </c>
      <c r="AA522">
        <v>38739</v>
      </c>
      <c r="AB522">
        <v>0</v>
      </c>
      <c r="AC522">
        <v>0</v>
      </c>
      <c r="AD522">
        <v>0</v>
      </c>
      <c r="AE522">
        <v>0</v>
      </c>
      <c r="AF522">
        <v>0</v>
      </c>
      <c r="AG522">
        <v>0</v>
      </c>
      <c r="AH522">
        <v>0</v>
      </c>
      <c r="AI522">
        <v>0</v>
      </c>
      <c r="AJ522">
        <v>0</v>
      </c>
      <c r="AK522">
        <v>0</v>
      </c>
      <c r="AL522">
        <v>8967</v>
      </c>
      <c r="AM522">
        <v>-2734</v>
      </c>
      <c r="AN522">
        <v>6779</v>
      </c>
      <c r="AO522">
        <v>2905</v>
      </c>
      <c r="AP522">
        <v>10318</v>
      </c>
      <c r="AQ522">
        <v>567</v>
      </c>
      <c r="AR522">
        <v>10489</v>
      </c>
      <c r="AS522">
        <v>10251</v>
      </c>
      <c r="AT522">
        <v>-1522</v>
      </c>
      <c r="AU522">
        <v>-1284</v>
      </c>
      <c r="AV522">
        <v>100</v>
      </c>
      <c r="AW522">
        <v>22.5</v>
      </c>
      <c r="AX522">
        <v>25.7</v>
      </c>
      <c r="AY522">
        <v>3</v>
      </c>
      <c r="AZ522">
        <v>61.5</v>
      </c>
      <c r="BA522">
        <v>56</v>
      </c>
      <c r="BB522">
        <v>87</v>
      </c>
      <c r="BC522">
        <v>84.7</v>
      </c>
      <c r="BD522">
        <v>13</v>
      </c>
      <c r="BE522">
        <v>15.3</v>
      </c>
      <c r="BF522">
        <v>100</v>
      </c>
      <c r="BG522">
        <v>22.5</v>
      </c>
      <c r="BH522">
        <v>25.7</v>
      </c>
      <c r="BI522">
        <v>3</v>
      </c>
      <c r="BJ522">
        <v>61.5</v>
      </c>
      <c r="BK522">
        <v>56</v>
      </c>
      <c r="BL522">
        <v>87</v>
      </c>
      <c r="BM522">
        <v>84.7</v>
      </c>
      <c r="BN522">
        <v>13</v>
      </c>
      <c r="BO522">
        <v>15.3</v>
      </c>
      <c r="BP522">
        <v>0</v>
      </c>
      <c r="BQ522">
        <v>0</v>
      </c>
      <c r="BR522">
        <v>0</v>
      </c>
      <c r="BS522">
        <v>0</v>
      </c>
      <c r="BT522">
        <v>0</v>
      </c>
      <c r="BU522">
        <v>0</v>
      </c>
      <c r="BV522">
        <v>0</v>
      </c>
      <c r="BW522">
        <v>0</v>
      </c>
      <c r="BX522">
        <v>0</v>
      </c>
      <c r="BY522">
        <v>0</v>
      </c>
      <c r="BZ522">
        <v>291</v>
      </c>
      <c r="CA522">
        <v>52</v>
      </c>
      <c r="CB522">
        <v>58</v>
      </c>
      <c r="CC522">
        <v>26</v>
      </c>
      <c r="CD522">
        <v>109</v>
      </c>
      <c r="CE522">
        <v>106</v>
      </c>
      <c r="CF522">
        <v>175</v>
      </c>
      <c r="CG522">
        <v>176</v>
      </c>
      <c r="CH522">
        <v>291</v>
      </c>
      <c r="CI522">
        <v>52</v>
      </c>
      <c r="CJ522">
        <v>58</v>
      </c>
      <c r="CK522">
        <v>26</v>
      </c>
      <c r="CL522">
        <v>109</v>
      </c>
      <c r="CM522">
        <v>106</v>
      </c>
      <c r="CN522">
        <v>175</v>
      </c>
      <c r="CO522">
        <v>176</v>
      </c>
      <c r="CP522">
        <v>0</v>
      </c>
      <c r="CQ522">
        <v>0</v>
      </c>
      <c r="CR522">
        <v>0</v>
      </c>
      <c r="CS522">
        <v>0</v>
      </c>
      <c r="CT522">
        <v>0</v>
      </c>
      <c r="CU522">
        <v>0</v>
      </c>
      <c r="CV522">
        <v>0</v>
      </c>
      <c r="CW522">
        <v>0</v>
      </c>
      <c r="CX522">
        <v>23</v>
      </c>
      <c r="CY522">
        <v>26.1</v>
      </c>
      <c r="CZ522">
        <v>34.200000000000003</v>
      </c>
      <c r="DA522">
        <v>38.5</v>
      </c>
      <c r="DB522">
        <v>22.8</v>
      </c>
      <c r="DC522">
        <v>25.6</v>
      </c>
      <c r="DD522">
        <v>33.9</v>
      </c>
      <c r="DE522">
        <v>38</v>
      </c>
      <c r="DF522">
        <v>23</v>
      </c>
      <c r="DG522">
        <v>26.1</v>
      </c>
      <c r="DH522">
        <v>34.200000000000003</v>
      </c>
      <c r="DI522">
        <v>38.5</v>
      </c>
      <c r="DJ522">
        <v>22.8</v>
      </c>
      <c r="DK522">
        <v>25.6</v>
      </c>
      <c r="DL522">
        <v>33.9</v>
      </c>
      <c r="DM522">
        <v>38</v>
      </c>
      <c r="DN522">
        <v>0</v>
      </c>
      <c r="DO522">
        <v>0</v>
      </c>
      <c r="DP522">
        <v>0</v>
      </c>
      <c r="DQ522">
        <v>0</v>
      </c>
      <c r="DR522">
        <v>0</v>
      </c>
      <c r="DS522">
        <v>0</v>
      </c>
      <c r="DT522">
        <v>0</v>
      </c>
      <c r="DU522">
        <v>0</v>
      </c>
      <c r="DV522" t="s">
        <v>888</v>
      </c>
    </row>
    <row r="523" spans="1:126" x14ac:dyDescent="0.35">
      <c r="A523" t="s">
        <v>886</v>
      </c>
      <c r="B523">
        <v>230103</v>
      </c>
      <c r="C523" s="1">
        <v>44929</v>
      </c>
      <c r="D523" t="s">
        <v>887</v>
      </c>
      <c r="E523" t="s">
        <v>402</v>
      </c>
      <c r="F523" t="s">
        <v>165</v>
      </c>
      <c r="G523" t="s">
        <v>884</v>
      </c>
      <c r="H523">
        <v>244658</v>
      </c>
      <c r="I523" s="17">
        <v>59802</v>
      </c>
      <c r="J523" s="17">
        <v>58440</v>
      </c>
      <c r="K523">
        <v>4659</v>
      </c>
      <c r="L523">
        <v>145713</v>
      </c>
      <c r="M523">
        <v>141536</v>
      </c>
      <c r="N523">
        <v>210174</v>
      </c>
      <c r="O523">
        <v>204635</v>
      </c>
      <c r="P523">
        <v>34484</v>
      </c>
      <c r="Q523">
        <v>40023</v>
      </c>
      <c r="R523">
        <v>244658</v>
      </c>
      <c r="S523">
        <v>59802</v>
      </c>
      <c r="T523">
        <v>58440</v>
      </c>
      <c r="U523">
        <v>4659</v>
      </c>
      <c r="V523">
        <v>145713</v>
      </c>
      <c r="W523">
        <v>141536</v>
      </c>
      <c r="X523">
        <v>210174</v>
      </c>
      <c r="Y523">
        <v>204635</v>
      </c>
      <c r="Z523">
        <v>34484</v>
      </c>
      <c r="AA523">
        <v>40023</v>
      </c>
      <c r="AB523">
        <v>0</v>
      </c>
      <c r="AC523">
        <v>0</v>
      </c>
      <c r="AD523">
        <v>0</v>
      </c>
      <c r="AE523">
        <v>0</v>
      </c>
      <c r="AF523">
        <v>0</v>
      </c>
      <c r="AG523">
        <v>0</v>
      </c>
      <c r="AH523">
        <v>0</v>
      </c>
      <c r="AI523">
        <v>0</v>
      </c>
      <c r="AJ523">
        <v>0</v>
      </c>
      <c r="AK523">
        <v>0</v>
      </c>
      <c r="AL523">
        <v>-6123</v>
      </c>
      <c r="AM523">
        <v>-3961</v>
      </c>
      <c r="AN523">
        <v>-4151</v>
      </c>
      <c r="AO523">
        <v>-1236</v>
      </c>
      <c r="AP523">
        <v>-883</v>
      </c>
      <c r="AQ523">
        <v>-2146</v>
      </c>
      <c r="AR523">
        <v>-6080</v>
      </c>
      <c r="AS523">
        <v>-7533</v>
      </c>
      <c r="AT523">
        <v>-43</v>
      </c>
      <c r="AU523">
        <v>1410</v>
      </c>
      <c r="AV523">
        <v>100</v>
      </c>
      <c r="AW523">
        <v>24.4</v>
      </c>
      <c r="AX523">
        <v>23.9</v>
      </c>
      <c r="AY523">
        <v>1.9</v>
      </c>
      <c r="AZ523">
        <v>59.6</v>
      </c>
      <c r="BA523">
        <v>57.9</v>
      </c>
      <c r="BB523">
        <v>85.9</v>
      </c>
      <c r="BC523">
        <v>83.6</v>
      </c>
      <c r="BD523">
        <v>14.1</v>
      </c>
      <c r="BE523">
        <v>16.399999999999999</v>
      </c>
      <c r="BF523">
        <v>100</v>
      </c>
      <c r="BG523">
        <v>24.4</v>
      </c>
      <c r="BH523">
        <v>23.9</v>
      </c>
      <c r="BI523">
        <v>1.9</v>
      </c>
      <c r="BJ523">
        <v>59.6</v>
      </c>
      <c r="BK523">
        <v>57.9</v>
      </c>
      <c r="BL523">
        <v>85.9</v>
      </c>
      <c r="BM523">
        <v>83.6</v>
      </c>
      <c r="BN523">
        <v>14.1</v>
      </c>
      <c r="BO523">
        <v>16.399999999999999</v>
      </c>
      <c r="BP523">
        <v>0</v>
      </c>
      <c r="BQ523">
        <v>0</v>
      </c>
      <c r="BR523">
        <v>0</v>
      </c>
      <c r="BS523">
        <v>0</v>
      </c>
      <c r="BT523">
        <v>0</v>
      </c>
      <c r="BU523">
        <v>0</v>
      </c>
      <c r="BV523">
        <v>0</v>
      </c>
      <c r="BW523">
        <v>0</v>
      </c>
      <c r="BX523">
        <v>0</v>
      </c>
      <c r="BY523">
        <v>0</v>
      </c>
      <c r="BZ523">
        <v>286</v>
      </c>
      <c r="CA523">
        <v>53</v>
      </c>
      <c r="CB523">
        <v>59</v>
      </c>
      <c r="CC523">
        <v>22</v>
      </c>
      <c r="CD523">
        <v>112</v>
      </c>
      <c r="CE523">
        <v>103</v>
      </c>
      <c r="CF523">
        <v>178</v>
      </c>
      <c r="CG523">
        <v>171</v>
      </c>
      <c r="CH523">
        <v>286</v>
      </c>
      <c r="CI523">
        <v>53</v>
      </c>
      <c r="CJ523">
        <v>59</v>
      </c>
      <c r="CK523">
        <v>22</v>
      </c>
      <c r="CL523">
        <v>112</v>
      </c>
      <c r="CM523">
        <v>103</v>
      </c>
      <c r="CN523">
        <v>178</v>
      </c>
      <c r="CO523">
        <v>171</v>
      </c>
      <c r="CP523">
        <v>0</v>
      </c>
      <c r="CQ523">
        <v>0</v>
      </c>
      <c r="CR523">
        <v>0</v>
      </c>
      <c r="CS523">
        <v>0</v>
      </c>
      <c r="CT523">
        <v>0</v>
      </c>
      <c r="CU523">
        <v>0</v>
      </c>
      <c r="CV523">
        <v>0</v>
      </c>
      <c r="CW523">
        <v>0</v>
      </c>
      <c r="CX523">
        <v>23.1</v>
      </c>
      <c r="CY523">
        <v>22.8</v>
      </c>
      <c r="CZ523">
        <v>35.1</v>
      </c>
      <c r="DA523">
        <v>35</v>
      </c>
      <c r="DB523">
        <v>22.9</v>
      </c>
      <c r="DC523">
        <v>22.6</v>
      </c>
      <c r="DD523">
        <v>34.799999999999997</v>
      </c>
      <c r="DE523">
        <v>34.799999999999997</v>
      </c>
      <c r="DF523">
        <v>23.1</v>
      </c>
      <c r="DG523">
        <v>22.8</v>
      </c>
      <c r="DH523">
        <v>35.1</v>
      </c>
      <c r="DI523">
        <v>35</v>
      </c>
      <c r="DJ523">
        <v>22.9</v>
      </c>
      <c r="DK523">
        <v>22.6</v>
      </c>
      <c r="DL523">
        <v>34.799999999999997</v>
      </c>
      <c r="DM523">
        <v>34.799999999999997</v>
      </c>
      <c r="DN523">
        <v>0</v>
      </c>
      <c r="DO523">
        <v>0</v>
      </c>
      <c r="DP523">
        <v>0</v>
      </c>
      <c r="DQ523">
        <v>0</v>
      </c>
      <c r="DR523">
        <v>0</v>
      </c>
      <c r="DS523">
        <v>0</v>
      </c>
      <c r="DT523">
        <v>0</v>
      </c>
      <c r="DU523">
        <v>0</v>
      </c>
      <c r="DV523" t="s">
        <v>888</v>
      </c>
    </row>
    <row r="524" spans="1:126" x14ac:dyDescent="0.35">
      <c r="A524" t="s">
        <v>889</v>
      </c>
      <c r="B524">
        <v>230110</v>
      </c>
      <c r="C524" s="1">
        <v>44936</v>
      </c>
      <c r="D524" t="s">
        <v>890</v>
      </c>
      <c r="E524" t="s">
        <v>402</v>
      </c>
      <c r="F524" t="s">
        <v>165</v>
      </c>
      <c r="G524" t="s">
        <v>884</v>
      </c>
      <c r="H524">
        <v>73577</v>
      </c>
      <c r="I524" s="17">
        <v>14093</v>
      </c>
      <c r="J524" s="17">
        <v>42849</v>
      </c>
      <c r="K524">
        <v>302</v>
      </c>
      <c r="L524">
        <v>11971</v>
      </c>
      <c r="M524">
        <v>4210</v>
      </c>
      <c r="N524">
        <v>26366</v>
      </c>
      <c r="O524">
        <v>47361</v>
      </c>
      <c r="P524">
        <v>47211</v>
      </c>
      <c r="Q524">
        <v>26216</v>
      </c>
      <c r="R524">
        <v>73577</v>
      </c>
      <c r="S524">
        <v>14093</v>
      </c>
      <c r="T524">
        <v>42849</v>
      </c>
      <c r="U524">
        <v>302</v>
      </c>
      <c r="V524">
        <v>11971</v>
      </c>
      <c r="W524">
        <v>4210</v>
      </c>
      <c r="X524">
        <v>26366</v>
      </c>
      <c r="Y524">
        <v>47361</v>
      </c>
      <c r="Z524">
        <v>47211</v>
      </c>
      <c r="AA524">
        <v>26216</v>
      </c>
      <c r="AB524">
        <v>0</v>
      </c>
      <c r="AC524">
        <v>0</v>
      </c>
      <c r="AD524">
        <v>0</v>
      </c>
      <c r="AE524">
        <v>0</v>
      </c>
      <c r="AF524">
        <v>0</v>
      </c>
      <c r="AG524">
        <v>0</v>
      </c>
      <c r="AH524">
        <v>0</v>
      </c>
      <c r="AI524">
        <v>0</v>
      </c>
      <c r="AJ524">
        <v>0</v>
      </c>
      <c r="AK524">
        <v>0</v>
      </c>
      <c r="AL524">
        <v>-1710</v>
      </c>
      <c r="AM524">
        <v>5693</v>
      </c>
      <c r="AN524">
        <v>-5596</v>
      </c>
      <c r="AO524">
        <v>-517</v>
      </c>
      <c r="AP524">
        <v>-2149</v>
      </c>
      <c r="AQ524">
        <v>-1091</v>
      </c>
      <c r="AR524">
        <v>3027</v>
      </c>
      <c r="AS524">
        <v>-7204</v>
      </c>
      <c r="AT524">
        <v>-4737</v>
      </c>
      <c r="AU524">
        <v>5494</v>
      </c>
      <c r="AV524">
        <v>100</v>
      </c>
      <c r="AW524">
        <v>19.2</v>
      </c>
      <c r="AX524">
        <v>58.2</v>
      </c>
      <c r="AY524">
        <v>0.4</v>
      </c>
      <c r="AZ524">
        <v>16.3</v>
      </c>
      <c r="BA524">
        <v>5.7</v>
      </c>
      <c r="BB524">
        <v>35.799999999999997</v>
      </c>
      <c r="BC524">
        <v>64.400000000000006</v>
      </c>
      <c r="BD524">
        <v>64.2</v>
      </c>
      <c r="BE524">
        <v>35.6</v>
      </c>
      <c r="BF524">
        <v>100</v>
      </c>
      <c r="BG524">
        <v>19.2</v>
      </c>
      <c r="BH524">
        <v>58.2</v>
      </c>
      <c r="BI524">
        <v>0.4</v>
      </c>
      <c r="BJ524">
        <v>16.3</v>
      </c>
      <c r="BK524">
        <v>5.7</v>
      </c>
      <c r="BL524">
        <v>35.799999999999997</v>
      </c>
      <c r="BM524">
        <v>64.400000000000006</v>
      </c>
      <c r="BN524">
        <v>64.2</v>
      </c>
      <c r="BO524">
        <v>35.6</v>
      </c>
      <c r="BP524">
        <v>0</v>
      </c>
      <c r="BQ524">
        <v>0</v>
      </c>
      <c r="BR524">
        <v>0</v>
      </c>
      <c r="BS524">
        <v>0</v>
      </c>
      <c r="BT524">
        <v>0</v>
      </c>
      <c r="BU524">
        <v>0</v>
      </c>
      <c r="BV524">
        <v>0</v>
      </c>
      <c r="BW524">
        <v>0</v>
      </c>
      <c r="BX524">
        <v>0</v>
      </c>
      <c r="BY524">
        <v>0</v>
      </c>
      <c r="BZ524">
        <v>38</v>
      </c>
      <c r="CA524">
        <v>15</v>
      </c>
      <c r="CB524">
        <v>11</v>
      </c>
      <c r="CC524">
        <v>6</v>
      </c>
      <c r="CD524">
        <v>7</v>
      </c>
      <c r="CE524">
        <v>7</v>
      </c>
      <c r="CF524">
        <v>26</v>
      </c>
      <c r="CG524">
        <v>20</v>
      </c>
      <c r="CH524">
        <v>38</v>
      </c>
      <c r="CI524">
        <v>15</v>
      </c>
      <c r="CJ524">
        <v>11</v>
      </c>
      <c r="CK524">
        <v>6</v>
      </c>
      <c r="CL524">
        <v>7</v>
      </c>
      <c r="CM524">
        <v>7</v>
      </c>
      <c r="CN524">
        <v>26</v>
      </c>
      <c r="CO524">
        <v>20</v>
      </c>
      <c r="CP524">
        <v>0</v>
      </c>
      <c r="CQ524">
        <v>0</v>
      </c>
      <c r="CR524">
        <v>0</v>
      </c>
      <c r="CS524">
        <v>0</v>
      </c>
      <c r="CT524">
        <v>0</v>
      </c>
      <c r="CU524">
        <v>0</v>
      </c>
      <c r="CV524">
        <v>0</v>
      </c>
      <c r="CW524">
        <v>0</v>
      </c>
      <c r="CX524">
        <v>15.1</v>
      </c>
      <c r="CY524">
        <v>55.4</v>
      </c>
      <c r="CZ524">
        <v>25.1</v>
      </c>
      <c r="DA524">
        <v>60.2</v>
      </c>
      <c r="DB524">
        <v>15.1</v>
      </c>
      <c r="DC524">
        <v>55.1</v>
      </c>
      <c r="DD524">
        <v>23.7</v>
      </c>
      <c r="DE524">
        <v>58.2</v>
      </c>
      <c r="DF524">
        <v>15.1</v>
      </c>
      <c r="DG524">
        <v>55.4</v>
      </c>
      <c r="DH524">
        <v>25.1</v>
      </c>
      <c r="DI524">
        <v>60.2</v>
      </c>
      <c r="DJ524">
        <v>15.1</v>
      </c>
      <c r="DK524">
        <v>55.1</v>
      </c>
      <c r="DL524">
        <v>23.7</v>
      </c>
      <c r="DM524">
        <v>58.2</v>
      </c>
      <c r="DN524">
        <v>0</v>
      </c>
      <c r="DO524">
        <v>0</v>
      </c>
      <c r="DP524">
        <v>0</v>
      </c>
      <c r="DQ524">
        <v>0</v>
      </c>
      <c r="DR524">
        <v>0</v>
      </c>
      <c r="DS524">
        <v>0</v>
      </c>
      <c r="DT524">
        <v>0</v>
      </c>
      <c r="DU524">
        <v>0</v>
      </c>
      <c r="DV524" t="s">
        <v>891</v>
      </c>
    </row>
    <row r="525" spans="1:126" x14ac:dyDescent="0.35">
      <c r="A525" t="s">
        <v>889</v>
      </c>
      <c r="B525">
        <v>230103</v>
      </c>
      <c r="C525" s="1">
        <v>44929</v>
      </c>
      <c r="D525" t="s">
        <v>890</v>
      </c>
      <c r="E525" t="s">
        <v>402</v>
      </c>
      <c r="F525" t="s">
        <v>165</v>
      </c>
      <c r="G525" t="s">
        <v>884</v>
      </c>
      <c r="H525">
        <v>75287</v>
      </c>
      <c r="I525" s="17">
        <v>8400</v>
      </c>
      <c r="J525" s="17">
        <v>48445</v>
      </c>
      <c r="K525">
        <v>819</v>
      </c>
      <c r="L525">
        <v>14120</v>
      </c>
      <c r="M525">
        <v>5301</v>
      </c>
      <c r="N525">
        <v>23339</v>
      </c>
      <c r="O525">
        <v>54565</v>
      </c>
      <c r="P525">
        <v>51948</v>
      </c>
      <c r="Q525">
        <v>20722</v>
      </c>
      <c r="R525">
        <v>75287</v>
      </c>
      <c r="S525">
        <v>8400</v>
      </c>
      <c r="T525">
        <v>48445</v>
      </c>
      <c r="U525">
        <v>819</v>
      </c>
      <c r="V525">
        <v>14120</v>
      </c>
      <c r="W525">
        <v>5301</v>
      </c>
      <c r="X525">
        <v>23339</v>
      </c>
      <c r="Y525">
        <v>54565</v>
      </c>
      <c r="Z525">
        <v>51948</v>
      </c>
      <c r="AA525">
        <v>20722</v>
      </c>
      <c r="AB525">
        <v>0</v>
      </c>
      <c r="AC525">
        <v>0</v>
      </c>
      <c r="AD525">
        <v>0</v>
      </c>
      <c r="AE525">
        <v>0</v>
      </c>
      <c r="AF525">
        <v>0</v>
      </c>
      <c r="AG525">
        <v>0</v>
      </c>
      <c r="AH525">
        <v>0</v>
      </c>
      <c r="AI525">
        <v>0</v>
      </c>
      <c r="AJ525">
        <v>0</v>
      </c>
      <c r="AK525">
        <v>0</v>
      </c>
      <c r="AL525">
        <v>-2058</v>
      </c>
      <c r="AM525">
        <v>1043</v>
      </c>
      <c r="AN525">
        <v>-3947</v>
      </c>
      <c r="AO525">
        <v>205</v>
      </c>
      <c r="AP525">
        <v>2821</v>
      </c>
      <c r="AQ525">
        <v>963</v>
      </c>
      <c r="AR525">
        <v>4069</v>
      </c>
      <c r="AS525">
        <v>-2779</v>
      </c>
      <c r="AT525">
        <v>-6127</v>
      </c>
      <c r="AU525">
        <v>721</v>
      </c>
      <c r="AV525">
        <v>100</v>
      </c>
      <c r="AW525">
        <v>11.2</v>
      </c>
      <c r="AX525">
        <v>64.3</v>
      </c>
      <c r="AY525">
        <v>1.1000000000000001</v>
      </c>
      <c r="AZ525">
        <v>18.8</v>
      </c>
      <c r="BA525">
        <v>7</v>
      </c>
      <c r="BB525">
        <v>31</v>
      </c>
      <c r="BC525">
        <v>72.5</v>
      </c>
      <c r="BD525">
        <v>69</v>
      </c>
      <c r="BE525">
        <v>27.5</v>
      </c>
      <c r="BF525">
        <v>100</v>
      </c>
      <c r="BG525">
        <v>11.2</v>
      </c>
      <c r="BH525">
        <v>64.3</v>
      </c>
      <c r="BI525">
        <v>1.1000000000000001</v>
      </c>
      <c r="BJ525">
        <v>18.8</v>
      </c>
      <c r="BK525">
        <v>7</v>
      </c>
      <c r="BL525">
        <v>31</v>
      </c>
      <c r="BM525">
        <v>72.5</v>
      </c>
      <c r="BN525">
        <v>69</v>
      </c>
      <c r="BO525">
        <v>27.5</v>
      </c>
      <c r="BP525">
        <v>0</v>
      </c>
      <c r="BQ525">
        <v>0</v>
      </c>
      <c r="BR525">
        <v>0</v>
      </c>
      <c r="BS525">
        <v>0</v>
      </c>
      <c r="BT525">
        <v>0</v>
      </c>
      <c r="BU525">
        <v>0</v>
      </c>
      <c r="BV525">
        <v>0</v>
      </c>
      <c r="BW525">
        <v>0</v>
      </c>
      <c r="BX525">
        <v>0</v>
      </c>
      <c r="BY525">
        <v>0</v>
      </c>
      <c r="BZ525">
        <v>33</v>
      </c>
      <c r="CA525">
        <v>11</v>
      </c>
      <c r="CB525">
        <v>12</v>
      </c>
      <c r="CC525">
        <v>5</v>
      </c>
      <c r="CD525">
        <v>7</v>
      </c>
      <c r="CE525">
        <v>5</v>
      </c>
      <c r="CF525">
        <v>23</v>
      </c>
      <c r="CG525">
        <v>17</v>
      </c>
      <c r="CH525">
        <v>33</v>
      </c>
      <c r="CI525">
        <v>11</v>
      </c>
      <c r="CJ525">
        <v>12</v>
      </c>
      <c r="CK525">
        <v>5</v>
      </c>
      <c r="CL525">
        <v>7</v>
      </c>
      <c r="CM525">
        <v>5</v>
      </c>
      <c r="CN525">
        <v>23</v>
      </c>
      <c r="CO525">
        <v>17</v>
      </c>
      <c r="CP525">
        <v>0</v>
      </c>
      <c r="CQ525">
        <v>0</v>
      </c>
      <c r="CR525">
        <v>0</v>
      </c>
      <c r="CS525">
        <v>0</v>
      </c>
      <c r="CT525">
        <v>0</v>
      </c>
      <c r="CU525">
        <v>0</v>
      </c>
      <c r="CV525">
        <v>0</v>
      </c>
      <c r="CW525">
        <v>0</v>
      </c>
      <c r="CX525">
        <v>17.600000000000001</v>
      </c>
      <c r="CY525">
        <v>58.9</v>
      </c>
      <c r="CZ525">
        <v>25.2</v>
      </c>
      <c r="DA525">
        <v>68.2</v>
      </c>
      <c r="DB525">
        <v>17.399999999999999</v>
      </c>
      <c r="DC525">
        <v>57.9</v>
      </c>
      <c r="DD525">
        <v>23.1</v>
      </c>
      <c r="DE525">
        <v>64.8</v>
      </c>
      <c r="DF525">
        <v>17.600000000000001</v>
      </c>
      <c r="DG525">
        <v>58.9</v>
      </c>
      <c r="DH525">
        <v>25.2</v>
      </c>
      <c r="DI525">
        <v>68.2</v>
      </c>
      <c r="DJ525">
        <v>17.399999999999999</v>
      </c>
      <c r="DK525">
        <v>57.9</v>
      </c>
      <c r="DL525">
        <v>23.1</v>
      </c>
      <c r="DM525">
        <v>64.8</v>
      </c>
      <c r="DN525">
        <v>0</v>
      </c>
      <c r="DO525">
        <v>0</v>
      </c>
      <c r="DP525">
        <v>0</v>
      </c>
      <c r="DQ525">
        <v>0</v>
      </c>
      <c r="DR525">
        <v>0</v>
      </c>
      <c r="DS525">
        <v>0</v>
      </c>
      <c r="DT525">
        <v>0</v>
      </c>
      <c r="DU525">
        <v>0</v>
      </c>
      <c r="DV525" t="s">
        <v>891</v>
      </c>
    </row>
    <row r="526" spans="1:126" x14ac:dyDescent="0.35">
      <c r="A526" t="s">
        <v>892</v>
      </c>
      <c r="B526">
        <v>230110</v>
      </c>
      <c r="C526" s="1">
        <v>44936</v>
      </c>
      <c r="D526" t="s">
        <v>893</v>
      </c>
      <c r="E526" t="s">
        <v>164</v>
      </c>
      <c r="F526" t="s">
        <v>165</v>
      </c>
      <c r="G526" t="s">
        <v>894</v>
      </c>
      <c r="H526">
        <v>63360</v>
      </c>
      <c r="I526" s="17">
        <v>9790</v>
      </c>
      <c r="J526" s="17">
        <v>22387</v>
      </c>
      <c r="K526">
        <v>823</v>
      </c>
      <c r="L526">
        <v>52390</v>
      </c>
      <c r="M526">
        <v>40060</v>
      </c>
      <c r="N526">
        <v>63003</v>
      </c>
      <c r="O526">
        <v>63270</v>
      </c>
      <c r="P526">
        <v>357</v>
      </c>
      <c r="Q526">
        <v>90</v>
      </c>
      <c r="R526">
        <v>63360</v>
      </c>
      <c r="S526">
        <v>9790</v>
      </c>
      <c r="T526">
        <v>22387</v>
      </c>
      <c r="U526">
        <v>823</v>
      </c>
      <c r="V526">
        <v>52390</v>
      </c>
      <c r="W526">
        <v>40060</v>
      </c>
      <c r="X526">
        <v>63003</v>
      </c>
      <c r="Y526">
        <v>63270</v>
      </c>
      <c r="Z526">
        <v>357</v>
      </c>
      <c r="AA526">
        <v>90</v>
      </c>
      <c r="AB526">
        <v>0</v>
      </c>
      <c r="AC526">
        <v>0</v>
      </c>
      <c r="AD526">
        <v>0</v>
      </c>
      <c r="AE526">
        <v>0</v>
      </c>
      <c r="AF526">
        <v>0</v>
      </c>
      <c r="AG526">
        <v>0</v>
      </c>
      <c r="AH526">
        <v>0</v>
      </c>
      <c r="AI526">
        <v>0</v>
      </c>
      <c r="AJ526">
        <v>0</v>
      </c>
      <c r="AK526">
        <v>0</v>
      </c>
      <c r="AL526">
        <v>7236</v>
      </c>
      <c r="AM526">
        <v>-864</v>
      </c>
      <c r="AN526">
        <v>7432</v>
      </c>
      <c r="AO526">
        <v>90</v>
      </c>
      <c r="AP526">
        <v>8987</v>
      </c>
      <c r="AQ526">
        <v>-262</v>
      </c>
      <c r="AR526">
        <v>8213</v>
      </c>
      <c r="AS526">
        <v>7260</v>
      </c>
      <c r="AT526">
        <v>-977</v>
      </c>
      <c r="AU526">
        <v>-24</v>
      </c>
      <c r="AV526">
        <v>100</v>
      </c>
      <c r="AW526">
        <v>15.5</v>
      </c>
      <c r="AX526">
        <v>35.299999999999997</v>
      </c>
      <c r="AY526">
        <v>1.3</v>
      </c>
      <c r="AZ526">
        <v>82.7</v>
      </c>
      <c r="BA526">
        <v>63.2</v>
      </c>
      <c r="BB526">
        <v>99.4</v>
      </c>
      <c r="BC526">
        <v>99.9</v>
      </c>
      <c r="BD526">
        <v>0.6</v>
      </c>
      <c r="BE526">
        <v>0.1</v>
      </c>
      <c r="BF526">
        <v>100</v>
      </c>
      <c r="BG526">
        <v>15.5</v>
      </c>
      <c r="BH526">
        <v>35.299999999999997</v>
      </c>
      <c r="BI526">
        <v>1.3</v>
      </c>
      <c r="BJ526">
        <v>82.7</v>
      </c>
      <c r="BK526">
        <v>63.2</v>
      </c>
      <c r="BL526">
        <v>99.4</v>
      </c>
      <c r="BM526">
        <v>99.9</v>
      </c>
      <c r="BN526">
        <v>0.6</v>
      </c>
      <c r="BO526">
        <v>0.1</v>
      </c>
      <c r="BP526">
        <v>0</v>
      </c>
      <c r="BQ526">
        <v>0</v>
      </c>
      <c r="BR526">
        <v>0</v>
      </c>
      <c r="BS526">
        <v>0</v>
      </c>
      <c r="BT526">
        <v>0</v>
      </c>
      <c r="BU526">
        <v>0</v>
      </c>
      <c r="BV526">
        <v>0</v>
      </c>
      <c r="BW526">
        <v>0</v>
      </c>
      <c r="BX526">
        <v>0</v>
      </c>
      <c r="BY526">
        <v>0</v>
      </c>
      <c r="BZ526">
        <v>51</v>
      </c>
      <c r="CA526">
        <v>21</v>
      </c>
      <c r="CB526">
        <v>20</v>
      </c>
      <c r="CC526">
        <v>2</v>
      </c>
      <c r="CD526">
        <v>8</v>
      </c>
      <c r="CE526">
        <v>2</v>
      </c>
      <c r="CF526">
        <v>30</v>
      </c>
      <c r="CG526">
        <v>24</v>
      </c>
      <c r="CH526">
        <v>51</v>
      </c>
      <c r="CI526">
        <v>21</v>
      </c>
      <c r="CJ526">
        <v>20</v>
      </c>
      <c r="CK526">
        <v>2</v>
      </c>
      <c r="CL526">
        <v>8</v>
      </c>
      <c r="CM526">
        <v>2</v>
      </c>
      <c r="CN526">
        <v>30</v>
      </c>
      <c r="CO526">
        <v>24</v>
      </c>
      <c r="CP526">
        <v>0</v>
      </c>
      <c r="CQ526">
        <v>0</v>
      </c>
      <c r="CR526">
        <v>0</v>
      </c>
      <c r="CS526">
        <v>0</v>
      </c>
      <c r="CT526">
        <v>0</v>
      </c>
      <c r="CU526">
        <v>0</v>
      </c>
      <c r="CV526">
        <v>0</v>
      </c>
      <c r="CW526">
        <v>0</v>
      </c>
      <c r="CX526">
        <v>81.7</v>
      </c>
      <c r="CY526">
        <v>82.2</v>
      </c>
      <c r="CZ526">
        <v>91.6</v>
      </c>
      <c r="DA526">
        <v>94.8</v>
      </c>
      <c r="DB526">
        <v>81.599999999999994</v>
      </c>
      <c r="DC526">
        <v>82.2</v>
      </c>
      <c r="DD526">
        <v>91.6</v>
      </c>
      <c r="DE526">
        <v>94.8</v>
      </c>
      <c r="DF526">
        <v>81.7</v>
      </c>
      <c r="DG526">
        <v>82.2</v>
      </c>
      <c r="DH526">
        <v>91.6</v>
      </c>
      <c r="DI526">
        <v>94.8</v>
      </c>
      <c r="DJ526">
        <v>81.599999999999994</v>
      </c>
      <c r="DK526">
        <v>82.2</v>
      </c>
      <c r="DL526">
        <v>91.6</v>
      </c>
      <c r="DM526">
        <v>94.8</v>
      </c>
      <c r="DN526">
        <v>0</v>
      </c>
      <c r="DO526">
        <v>0</v>
      </c>
      <c r="DP526">
        <v>0</v>
      </c>
      <c r="DQ526">
        <v>0</v>
      </c>
      <c r="DR526">
        <v>0</v>
      </c>
      <c r="DS526">
        <v>0</v>
      </c>
      <c r="DT526">
        <v>0</v>
      </c>
      <c r="DU526">
        <v>0</v>
      </c>
      <c r="DV526" t="s">
        <v>895</v>
      </c>
    </row>
    <row r="527" spans="1:126" x14ac:dyDescent="0.35">
      <c r="A527" t="s">
        <v>892</v>
      </c>
      <c r="B527">
        <v>230103</v>
      </c>
      <c r="C527" s="1">
        <v>44929</v>
      </c>
      <c r="D527" t="s">
        <v>893</v>
      </c>
      <c r="E527" t="s">
        <v>164</v>
      </c>
      <c r="F527" t="s">
        <v>165</v>
      </c>
      <c r="G527" t="s">
        <v>894</v>
      </c>
      <c r="H527">
        <v>56124</v>
      </c>
      <c r="I527" s="17">
        <v>10654</v>
      </c>
      <c r="J527" s="17">
        <v>14955</v>
      </c>
      <c r="K527">
        <v>733</v>
      </c>
      <c r="L527">
        <v>43403</v>
      </c>
      <c r="M527">
        <v>40322</v>
      </c>
      <c r="N527">
        <v>54790</v>
      </c>
      <c r="O527">
        <v>56010</v>
      </c>
      <c r="P527">
        <v>1334</v>
      </c>
      <c r="Q527">
        <v>114</v>
      </c>
      <c r="R527">
        <v>56124</v>
      </c>
      <c r="S527">
        <v>10654</v>
      </c>
      <c r="T527">
        <v>14955</v>
      </c>
      <c r="U527">
        <v>733</v>
      </c>
      <c r="V527">
        <v>43403</v>
      </c>
      <c r="W527">
        <v>40322</v>
      </c>
      <c r="X527">
        <v>54790</v>
      </c>
      <c r="Y527">
        <v>56010</v>
      </c>
      <c r="Z527">
        <v>1334</v>
      </c>
      <c r="AA527">
        <v>114</v>
      </c>
      <c r="AB527">
        <v>0</v>
      </c>
      <c r="AC527">
        <v>0</v>
      </c>
      <c r="AD527">
        <v>0</v>
      </c>
      <c r="AE527">
        <v>0</v>
      </c>
      <c r="AF527">
        <v>0</v>
      </c>
      <c r="AG527">
        <v>0</v>
      </c>
      <c r="AH527">
        <v>0</v>
      </c>
      <c r="AI527">
        <v>0</v>
      </c>
      <c r="AJ527">
        <v>0</v>
      </c>
      <c r="AK527">
        <v>0</v>
      </c>
      <c r="AL527">
        <v>599</v>
      </c>
      <c r="AM527">
        <v>-402</v>
      </c>
      <c r="AN527">
        <v>578</v>
      </c>
      <c r="AO527">
        <v>0</v>
      </c>
      <c r="AP527">
        <v>0</v>
      </c>
      <c r="AQ527">
        <v>0</v>
      </c>
      <c r="AR527">
        <v>-402</v>
      </c>
      <c r="AS527">
        <v>578</v>
      </c>
      <c r="AT527">
        <v>1001</v>
      </c>
      <c r="AU527">
        <v>21</v>
      </c>
      <c r="AV527">
        <v>100</v>
      </c>
      <c r="AW527">
        <v>19</v>
      </c>
      <c r="AX527">
        <v>26.6</v>
      </c>
      <c r="AY527">
        <v>1.3</v>
      </c>
      <c r="AZ527">
        <v>77.3</v>
      </c>
      <c r="BA527">
        <v>71.8</v>
      </c>
      <c r="BB527">
        <v>97.6</v>
      </c>
      <c r="BC527">
        <v>99.8</v>
      </c>
      <c r="BD527">
        <v>2.4</v>
      </c>
      <c r="BE527">
        <v>0.2</v>
      </c>
      <c r="BF527">
        <v>100</v>
      </c>
      <c r="BG527">
        <v>19</v>
      </c>
      <c r="BH527">
        <v>26.6</v>
      </c>
      <c r="BI527">
        <v>1.3</v>
      </c>
      <c r="BJ527">
        <v>77.3</v>
      </c>
      <c r="BK527">
        <v>71.8</v>
      </c>
      <c r="BL527">
        <v>97.6</v>
      </c>
      <c r="BM527">
        <v>99.8</v>
      </c>
      <c r="BN527">
        <v>2.4</v>
      </c>
      <c r="BO527">
        <v>0.2</v>
      </c>
      <c r="BP527">
        <v>0</v>
      </c>
      <c r="BQ527">
        <v>0</v>
      </c>
      <c r="BR527">
        <v>0</v>
      </c>
      <c r="BS527">
        <v>0</v>
      </c>
      <c r="BT527">
        <v>0</v>
      </c>
      <c r="BU527">
        <v>0</v>
      </c>
      <c r="BV527">
        <v>0</v>
      </c>
      <c r="BW527">
        <v>0</v>
      </c>
      <c r="BX527">
        <v>0</v>
      </c>
      <c r="BY527">
        <v>0</v>
      </c>
      <c r="BZ527">
        <v>42</v>
      </c>
      <c r="CA527">
        <v>17</v>
      </c>
      <c r="CB527">
        <v>17</v>
      </c>
      <c r="CC527">
        <v>2</v>
      </c>
      <c r="CD527">
        <v>7</v>
      </c>
      <c r="CE527">
        <v>2</v>
      </c>
      <c r="CF527">
        <v>24</v>
      </c>
      <c r="CG527">
        <v>21</v>
      </c>
      <c r="CH527">
        <v>42</v>
      </c>
      <c r="CI527">
        <v>17</v>
      </c>
      <c r="CJ527">
        <v>17</v>
      </c>
      <c r="CK527">
        <v>2</v>
      </c>
      <c r="CL527">
        <v>7</v>
      </c>
      <c r="CM527">
        <v>2</v>
      </c>
      <c r="CN527">
        <v>24</v>
      </c>
      <c r="CO527">
        <v>21</v>
      </c>
      <c r="CP527">
        <v>0</v>
      </c>
      <c r="CQ527">
        <v>0</v>
      </c>
      <c r="CR527">
        <v>0</v>
      </c>
      <c r="CS527">
        <v>0</v>
      </c>
      <c r="CT527">
        <v>0</v>
      </c>
      <c r="CU527">
        <v>0</v>
      </c>
      <c r="CV527">
        <v>0</v>
      </c>
      <c r="CW527">
        <v>0</v>
      </c>
      <c r="CX527">
        <v>82.9</v>
      </c>
      <c r="CY527">
        <v>85.9</v>
      </c>
      <c r="CZ527">
        <v>92.7</v>
      </c>
      <c r="DA527">
        <v>95.6</v>
      </c>
      <c r="DB527">
        <v>82.9</v>
      </c>
      <c r="DC527">
        <v>85.9</v>
      </c>
      <c r="DD527">
        <v>91.6</v>
      </c>
      <c r="DE527">
        <v>95.6</v>
      </c>
      <c r="DF527">
        <v>82.9</v>
      </c>
      <c r="DG527">
        <v>85.9</v>
      </c>
      <c r="DH527">
        <v>92.7</v>
      </c>
      <c r="DI527">
        <v>95.6</v>
      </c>
      <c r="DJ527">
        <v>82.9</v>
      </c>
      <c r="DK527">
        <v>85.9</v>
      </c>
      <c r="DL527">
        <v>91.6</v>
      </c>
      <c r="DM527">
        <v>95.6</v>
      </c>
      <c r="DN527">
        <v>0</v>
      </c>
      <c r="DO527">
        <v>0</v>
      </c>
      <c r="DP527">
        <v>0</v>
      </c>
      <c r="DQ527">
        <v>0</v>
      </c>
      <c r="DR527">
        <v>0</v>
      </c>
      <c r="DS527">
        <v>0</v>
      </c>
      <c r="DT527">
        <v>0</v>
      </c>
      <c r="DU527">
        <v>0</v>
      </c>
      <c r="DV527" t="s">
        <v>895</v>
      </c>
    </row>
    <row r="528" spans="1:126" x14ac:dyDescent="0.35">
      <c r="A528" t="s">
        <v>896</v>
      </c>
      <c r="B528">
        <v>230110</v>
      </c>
      <c r="C528" s="1">
        <v>44936</v>
      </c>
      <c r="D528" t="s">
        <v>897</v>
      </c>
      <c r="E528" t="s">
        <v>402</v>
      </c>
      <c r="F528" t="s">
        <v>165</v>
      </c>
      <c r="G528" t="s">
        <v>898</v>
      </c>
      <c r="H528">
        <v>126028</v>
      </c>
      <c r="I528" s="17">
        <v>30210</v>
      </c>
      <c r="J528" s="17">
        <v>63900</v>
      </c>
      <c r="K528">
        <v>3549</v>
      </c>
      <c r="L528">
        <v>71696</v>
      </c>
      <c r="M528">
        <v>39486</v>
      </c>
      <c r="N528">
        <v>105455</v>
      </c>
      <c r="O528">
        <v>106935</v>
      </c>
      <c r="P528">
        <v>20573</v>
      </c>
      <c r="Q528">
        <v>19093</v>
      </c>
      <c r="R528">
        <v>126028</v>
      </c>
      <c r="S528">
        <v>30210</v>
      </c>
      <c r="T528">
        <v>63900</v>
      </c>
      <c r="U528">
        <v>3549</v>
      </c>
      <c r="V528">
        <v>71696</v>
      </c>
      <c r="W528">
        <v>39486</v>
      </c>
      <c r="X528">
        <v>105455</v>
      </c>
      <c r="Y528">
        <v>106935</v>
      </c>
      <c r="Z528">
        <v>20573</v>
      </c>
      <c r="AA528">
        <v>19093</v>
      </c>
      <c r="AB528">
        <v>0</v>
      </c>
      <c r="AC528">
        <v>0</v>
      </c>
      <c r="AD528">
        <v>0</v>
      </c>
      <c r="AE528">
        <v>0</v>
      </c>
      <c r="AF528">
        <v>0</v>
      </c>
      <c r="AG528">
        <v>0</v>
      </c>
      <c r="AH528">
        <v>0</v>
      </c>
      <c r="AI528">
        <v>0</v>
      </c>
      <c r="AJ528">
        <v>0</v>
      </c>
      <c r="AK528">
        <v>0</v>
      </c>
      <c r="AL528">
        <v>-6932</v>
      </c>
      <c r="AM528">
        <v>-4998</v>
      </c>
      <c r="AN528">
        <v>-7575</v>
      </c>
      <c r="AO528">
        <v>-1632</v>
      </c>
      <c r="AP528">
        <v>-3028</v>
      </c>
      <c r="AQ528">
        <v>4357</v>
      </c>
      <c r="AR528">
        <v>-9658</v>
      </c>
      <c r="AS528">
        <v>-4850</v>
      </c>
      <c r="AT528">
        <v>2726</v>
      </c>
      <c r="AU528">
        <v>-2082</v>
      </c>
      <c r="AV528">
        <v>100</v>
      </c>
      <c r="AW528">
        <v>24</v>
      </c>
      <c r="AX528">
        <v>50.7</v>
      </c>
      <c r="AY528">
        <v>2.8</v>
      </c>
      <c r="AZ528">
        <v>56.9</v>
      </c>
      <c r="BA528">
        <v>31.3</v>
      </c>
      <c r="BB528">
        <v>83.7</v>
      </c>
      <c r="BC528">
        <v>84.9</v>
      </c>
      <c r="BD528">
        <v>16.3</v>
      </c>
      <c r="BE528">
        <v>15.1</v>
      </c>
      <c r="BF528">
        <v>100</v>
      </c>
      <c r="BG528">
        <v>24</v>
      </c>
      <c r="BH528">
        <v>50.7</v>
      </c>
      <c r="BI528">
        <v>2.8</v>
      </c>
      <c r="BJ528">
        <v>56.9</v>
      </c>
      <c r="BK528">
        <v>31.3</v>
      </c>
      <c r="BL528">
        <v>83.7</v>
      </c>
      <c r="BM528">
        <v>84.9</v>
      </c>
      <c r="BN528">
        <v>16.3</v>
      </c>
      <c r="BO528">
        <v>15.1</v>
      </c>
      <c r="BP528">
        <v>0</v>
      </c>
      <c r="BQ528">
        <v>0</v>
      </c>
      <c r="BR528">
        <v>0</v>
      </c>
      <c r="BS528">
        <v>0</v>
      </c>
      <c r="BT528">
        <v>0</v>
      </c>
      <c r="BU528">
        <v>0</v>
      </c>
      <c r="BV528">
        <v>0</v>
      </c>
      <c r="BW528">
        <v>0</v>
      </c>
      <c r="BX528">
        <v>0</v>
      </c>
      <c r="BY528">
        <v>0</v>
      </c>
      <c r="BZ528">
        <v>80</v>
      </c>
      <c r="CA528">
        <v>20</v>
      </c>
      <c r="CB528">
        <v>21</v>
      </c>
      <c r="CC528">
        <v>9</v>
      </c>
      <c r="CD528">
        <v>24</v>
      </c>
      <c r="CE528">
        <v>21</v>
      </c>
      <c r="CF528">
        <v>48</v>
      </c>
      <c r="CG528">
        <v>47</v>
      </c>
      <c r="CH528">
        <v>80</v>
      </c>
      <c r="CI528">
        <v>20</v>
      </c>
      <c r="CJ528">
        <v>21</v>
      </c>
      <c r="CK528">
        <v>9</v>
      </c>
      <c r="CL528">
        <v>24</v>
      </c>
      <c r="CM528">
        <v>21</v>
      </c>
      <c r="CN528">
        <v>48</v>
      </c>
      <c r="CO528">
        <v>47</v>
      </c>
      <c r="CP528">
        <v>0</v>
      </c>
      <c r="CQ528">
        <v>0</v>
      </c>
      <c r="CR528">
        <v>0</v>
      </c>
      <c r="CS528">
        <v>0</v>
      </c>
      <c r="CT528">
        <v>0</v>
      </c>
      <c r="CU528">
        <v>0</v>
      </c>
      <c r="CV528">
        <v>0</v>
      </c>
      <c r="CW528">
        <v>0</v>
      </c>
      <c r="CX528">
        <v>42.2</v>
      </c>
      <c r="CY528">
        <v>47.8</v>
      </c>
      <c r="CZ528">
        <v>54</v>
      </c>
      <c r="DA528">
        <v>57.7</v>
      </c>
      <c r="DB528">
        <v>42.2</v>
      </c>
      <c r="DC528">
        <v>47.7</v>
      </c>
      <c r="DD528">
        <v>53.6</v>
      </c>
      <c r="DE528">
        <v>57.3</v>
      </c>
      <c r="DF528">
        <v>42.2</v>
      </c>
      <c r="DG528">
        <v>47.8</v>
      </c>
      <c r="DH528">
        <v>54</v>
      </c>
      <c r="DI528">
        <v>57.7</v>
      </c>
      <c r="DJ528">
        <v>42.2</v>
      </c>
      <c r="DK528">
        <v>47.7</v>
      </c>
      <c r="DL528">
        <v>53.6</v>
      </c>
      <c r="DM528">
        <v>57.3</v>
      </c>
      <c r="DN528">
        <v>0</v>
      </c>
      <c r="DO528">
        <v>0</v>
      </c>
      <c r="DP528">
        <v>0</v>
      </c>
      <c r="DQ528">
        <v>0</v>
      </c>
      <c r="DR528">
        <v>0</v>
      </c>
      <c r="DS528">
        <v>0</v>
      </c>
      <c r="DT528">
        <v>0</v>
      </c>
      <c r="DU528">
        <v>0</v>
      </c>
      <c r="DV528" t="s">
        <v>899</v>
      </c>
    </row>
    <row r="529" spans="1:126" x14ac:dyDescent="0.35">
      <c r="A529" t="s">
        <v>896</v>
      </c>
      <c r="B529">
        <v>230103</v>
      </c>
      <c r="C529" s="1">
        <v>44929</v>
      </c>
      <c r="D529" t="s">
        <v>897</v>
      </c>
      <c r="E529" t="s">
        <v>402</v>
      </c>
      <c r="F529" t="s">
        <v>165</v>
      </c>
      <c r="G529" t="s">
        <v>898</v>
      </c>
      <c r="H529">
        <v>132960</v>
      </c>
      <c r="I529" s="17">
        <v>35208</v>
      </c>
      <c r="J529" s="17">
        <v>71475</v>
      </c>
      <c r="K529">
        <v>5181</v>
      </c>
      <c r="L529">
        <v>74724</v>
      </c>
      <c r="M529">
        <v>35129</v>
      </c>
      <c r="N529">
        <v>115113</v>
      </c>
      <c r="O529">
        <v>111785</v>
      </c>
      <c r="P529">
        <v>17847</v>
      </c>
      <c r="Q529">
        <v>21175</v>
      </c>
      <c r="R529">
        <v>132960</v>
      </c>
      <c r="S529">
        <v>35208</v>
      </c>
      <c r="T529">
        <v>71475</v>
      </c>
      <c r="U529">
        <v>5181</v>
      </c>
      <c r="V529">
        <v>74724</v>
      </c>
      <c r="W529">
        <v>35129</v>
      </c>
      <c r="X529">
        <v>115113</v>
      </c>
      <c r="Y529">
        <v>111785</v>
      </c>
      <c r="Z529">
        <v>17847</v>
      </c>
      <c r="AA529">
        <v>21175</v>
      </c>
      <c r="AB529">
        <v>0</v>
      </c>
      <c r="AC529">
        <v>0</v>
      </c>
      <c r="AD529">
        <v>0</v>
      </c>
      <c r="AE529">
        <v>0</v>
      </c>
      <c r="AF529">
        <v>0</v>
      </c>
      <c r="AG529">
        <v>0</v>
      </c>
      <c r="AH529">
        <v>0</v>
      </c>
      <c r="AI529">
        <v>0</v>
      </c>
      <c r="AJ529">
        <v>0</v>
      </c>
      <c r="AK529">
        <v>0</v>
      </c>
      <c r="AL529">
        <v>3765</v>
      </c>
      <c r="AM529">
        <v>2253</v>
      </c>
      <c r="AN529">
        <v>1729</v>
      </c>
      <c r="AO529">
        <v>-217</v>
      </c>
      <c r="AP529">
        <v>1895</v>
      </c>
      <c r="AQ529">
        <v>581</v>
      </c>
      <c r="AR529">
        <v>3931</v>
      </c>
      <c r="AS529">
        <v>2093</v>
      </c>
      <c r="AT529">
        <v>-166</v>
      </c>
      <c r="AU529">
        <v>1672</v>
      </c>
      <c r="AV529">
        <v>100</v>
      </c>
      <c r="AW529">
        <v>26.5</v>
      </c>
      <c r="AX529">
        <v>53.8</v>
      </c>
      <c r="AY529">
        <v>3.9</v>
      </c>
      <c r="AZ529">
        <v>56.2</v>
      </c>
      <c r="BA529">
        <v>26.4</v>
      </c>
      <c r="BB529">
        <v>86.6</v>
      </c>
      <c r="BC529">
        <v>84.1</v>
      </c>
      <c r="BD529">
        <v>13.4</v>
      </c>
      <c r="BE529">
        <v>15.9</v>
      </c>
      <c r="BF529">
        <v>100</v>
      </c>
      <c r="BG529">
        <v>26.5</v>
      </c>
      <c r="BH529">
        <v>53.8</v>
      </c>
      <c r="BI529">
        <v>3.9</v>
      </c>
      <c r="BJ529">
        <v>56.2</v>
      </c>
      <c r="BK529">
        <v>26.4</v>
      </c>
      <c r="BL529">
        <v>86.6</v>
      </c>
      <c r="BM529">
        <v>84.1</v>
      </c>
      <c r="BN529">
        <v>13.4</v>
      </c>
      <c r="BO529">
        <v>15.9</v>
      </c>
      <c r="BP529">
        <v>0</v>
      </c>
      <c r="BQ529">
        <v>0</v>
      </c>
      <c r="BR529">
        <v>0</v>
      </c>
      <c r="BS529">
        <v>0</v>
      </c>
      <c r="BT529">
        <v>0</v>
      </c>
      <c r="BU529">
        <v>0</v>
      </c>
      <c r="BV529">
        <v>0</v>
      </c>
      <c r="BW529">
        <v>0</v>
      </c>
      <c r="BX529">
        <v>0</v>
      </c>
      <c r="BY529">
        <v>0</v>
      </c>
      <c r="BZ529">
        <v>80</v>
      </c>
      <c r="CA529">
        <v>20</v>
      </c>
      <c r="CB529">
        <v>22</v>
      </c>
      <c r="CC529">
        <v>9</v>
      </c>
      <c r="CD529">
        <v>23</v>
      </c>
      <c r="CE529">
        <v>20</v>
      </c>
      <c r="CF529">
        <v>46</v>
      </c>
      <c r="CG529">
        <v>48</v>
      </c>
      <c r="CH529">
        <v>80</v>
      </c>
      <c r="CI529">
        <v>20</v>
      </c>
      <c r="CJ529">
        <v>22</v>
      </c>
      <c r="CK529">
        <v>9</v>
      </c>
      <c r="CL529">
        <v>23</v>
      </c>
      <c r="CM529">
        <v>20</v>
      </c>
      <c r="CN529">
        <v>46</v>
      </c>
      <c r="CO529">
        <v>48</v>
      </c>
      <c r="CP529">
        <v>0</v>
      </c>
      <c r="CQ529">
        <v>0</v>
      </c>
      <c r="CR529">
        <v>0</v>
      </c>
      <c r="CS529">
        <v>0</v>
      </c>
      <c r="CT529">
        <v>0</v>
      </c>
      <c r="CU529">
        <v>0</v>
      </c>
      <c r="CV529">
        <v>0</v>
      </c>
      <c r="CW529">
        <v>0</v>
      </c>
      <c r="CX529">
        <v>39.799999999999997</v>
      </c>
      <c r="CY529">
        <v>45.8</v>
      </c>
      <c r="CZ529">
        <v>51.8</v>
      </c>
      <c r="DA529">
        <v>55</v>
      </c>
      <c r="DB529">
        <v>39.799999999999997</v>
      </c>
      <c r="DC529">
        <v>45.7</v>
      </c>
      <c r="DD529">
        <v>51.5</v>
      </c>
      <c r="DE529">
        <v>54.7</v>
      </c>
      <c r="DF529">
        <v>39.799999999999997</v>
      </c>
      <c r="DG529">
        <v>45.8</v>
      </c>
      <c r="DH529">
        <v>51.8</v>
      </c>
      <c r="DI529">
        <v>55</v>
      </c>
      <c r="DJ529">
        <v>39.799999999999997</v>
      </c>
      <c r="DK529">
        <v>45.7</v>
      </c>
      <c r="DL529">
        <v>51.5</v>
      </c>
      <c r="DM529">
        <v>54.7</v>
      </c>
      <c r="DN529">
        <v>0</v>
      </c>
      <c r="DO529">
        <v>0</v>
      </c>
      <c r="DP529">
        <v>0</v>
      </c>
      <c r="DQ529">
        <v>0</v>
      </c>
      <c r="DR529">
        <v>0</v>
      </c>
      <c r="DS529">
        <v>0</v>
      </c>
      <c r="DT529">
        <v>0</v>
      </c>
      <c r="DU529">
        <v>0</v>
      </c>
      <c r="DV529" t="s">
        <v>899</v>
      </c>
    </row>
    <row r="530" spans="1:126" x14ac:dyDescent="0.35">
      <c r="A530" t="s">
        <v>900</v>
      </c>
      <c r="B530">
        <v>230110</v>
      </c>
      <c r="C530" s="1">
        <v>44936</v>
      </c>
      <c r="D530" t="s">
        <v>901</v>
      </c>
      <c r="E530" t="s">
        <v>402</v>
      </c>
      <c r="F530" t="s">
        <v>165</v>
      </c>
      <c r="G530" t="s">
        <v>902</v>
      </c>
      <c r="H530">
        <v>432408</v>
      </c>
      <c r="I530" s="17">
        <v>44813</v>
      </c>
      <c r="J530" s="17">
        <v>102941</v>
      </c>
      <c r="K530">
        <v>5324</v>
      </c>
      <c r="L530">
        <v>357515</v>
      </c>
      <c r="M530">
        <v>302976</v>
      </c>
      <c r="N530">
        <v>407652</v>
      </c>
      <c r="O530">
        <v>411241</v>
      </c>
      <c r="P530">
        <v>24756</v>
      </c>
      <c r="Q530">
        <v>21167</v>
      </c>
      <c r="R530">
        <v>432408</v>
      </c>
      <c r="S530">
        <v>44813</v>
      </c>
      <c r="T530">
        <v>102941</v>
      </c>
      <c r="U530">
        <v>5324</v>
      </c>
      <c r="V530">
        <v>357515</v>
      </c>
      <c r="W530">
        <v>302976</v>
      </c>
      <c r="X530">
        <v>407652</v>
      </c>
      <c r="Y530">
        <v>411241</v>
      </c>
      <c r="Z530">
        <v>24756</v>
      </c>
      <c r="AA530">
        <v>21167</v>
      </c>
      <c r="AB530">
        <v>0</v>
      </c>
      <c r="AC530">
        <v>0</v>
      </c>
      <c r="AD530">
        <v>0</v>
      </c>
      <c r="AE530">
        <v>0</v>
      </c>
      <c r="AF530">
        <v>0</v>
      </c>
      <c r="AG530">
        <v>0</v>
      </c>
      <c r="AH530">
        <v>0</v>
      </c>
      <c r="AI530">
        <v>0</v>
      </c>
      <c r="AJ530">
        <v>0</v>
      </c>
      <c r="AK530">
        <v>0</v>
      </c>
      <c r="AL530">
        <v>-1797</v>
      </c>
      <c r="AM530">
        <v>1014</v>
      </c>
      <c r="AN530">
        <v>-6219</v>
      </c>
      <c r="AO530">
        <v>16</v>
      </c>
      <c r="AP530">
        <v>-5610</v>
      </c>
      <c r="AQ530">
        <v>4930</v>
      </c>
      <c r="AR530">
        <v>-4580</v>
      </c>
      <c r="AS530">
        <v>-1273</v>
      </c>
      <c r="AT530">
        <v>2783</v>
      </c>
      <c r="AU530">
        <v>-524</v>
      </c>
      <c r="AV530">
        <v>100</v>
      </c>
      <c r="AW530">
        <v>10.4</v>
      </c>
      <c r="AX530">
        <v>23.8</v>
      </c>
      <c r="AY530">
        <v>1.2</v>
      </c>
      <c r="AZ530">
        <v>82.7</v>
      </c>
      <c r="BA530">
        <v>70.099999999999994</v>
      </c>
      <c r="BB530">
        <v>94.3</v>
      </c>
      <c r="BC530">
        <v>95.1</v>
      </c>
      <c r="BD530">
        <v>5.7</v>
      </c>
      <c r="BE530">
        <v>4.9000000000000004</v>
      </c>
      <c r="BF530">
        <v>100</v>
      </c>
      <c r="BG530">
        <v>10.4</v>
      </c>
      <c r="BH530">
        <v>23.8</v>
      </c>
      <c r="BI530">
        <v>1.2</v>
      </c>
      <c r="BJ530">
        <v>82.7</v>
      </c>
      <c r="BK530">
        <v>70.099999999999994</v>
      </c>
      <c r="BL530">
        <v>94.3</v>
      </c>
      <c r="BM530">
        <v>95.1</v>
      </c>
      <c r="BN530">
        <v>5.7</v>
      </c>
      <c r="BO530">
        <v>4.9000000000000004</v>
      </c>
      <c r="BP530">
        <v>0</v>
      </c>
      <c r="BQ530">
        <v>0</v>
      </c>
      <c r="BR530">
        <v>0</v>
      </c>
      <c r="BS530">
        <v>0</v>
      </c>
      <c r="BT530">
        <v>0</v>
      </c>
      <c r="BU530">
        <v>0</v>
      </c>
      <c r="BV530">
        <v>0</v>
      </c>
      <c r="BW530">
        <v>0</v>
      </c>
      <c r="BX530">
        <v>0</v>
      </c>
      <c r="BY530">
        <v>0</v>
      </c>
      <c r="BZ530">
        <v>302</v>
      </c>
      <c r="CA530">
        <v>47</v>
      </c>
      <c r="CB530">
        <v>48</v>
      </c>
      <c r="CC530">
        <v>18</v>
      </c>
      <c r="CD530">
        <v>138</v>
      </c>
      <c r="CE530">
        <v>119</v>
      </c>
      <c r="CF530">
        <v>193</v>
      </c>
      <c r="CG530">
        <v>177</v>
      </c>
      <c r="CH530">
        <v>302</v>
      </c>
      <c r="CI530">
        <v>47</v>
      </c>
      <c r="CJ530">
        <v>48</v>
      </c>
      <c r="CK530">
        <v>18</v>
      </c>
      <c r="CL530">
        <v>138</v>
      </c>
      <c r="CM530">
        <v>119</v>
      </c>
      <c r="CN530">
        <v>193</v>
      </c>
      <c r="CO530">
        <v>177</v>
      </c>
      <c r="CP530">
        <v>0</v>
      </c>
      <c r="CQ530">
        <v>0</v>
      </c>
      <c r="CR530">
        <v>0</v>
      </c>
      <c r="CS530">
        <v>0</v>
      </c>
      <c r="CT530">
        <v>0</v>
      </c>
      <c r="CU530">
        <v>0</v>
      </c>
      <c r="CV530">
        <v>0</v>
      </c>
      <c r="CW530">
        <v>0</v>
      </c>
      <c r="CX530">
        <v>23.4</v>
      </c>
      <c r="CY530">
        <v>24</v>
      </c>
      <c r="CZ530">
        <v>35.9</v>
      </c>
      <c r="DA530">
        <v>33.5</v>
      </c>
      <c r="DB530">
        <v>23.4</v>
      </c>
      <c r="DC530">
        <v>23.4</v>
      </c>
      <c r="DD530">
        <v>34.700000000000003</v>
      </c>
      <c r="DE530">
        <v>32.4</v>
      </c>
      <c r="DF530">
        <v>23.4</v>
      </c>
      <c r="DG530">
        <v>24</v>
      </c>
      <c r="DH530">
        <v>35.9</v>
      </c>
      <c r="DI530">
        <v>33.5</v>
      </c>
      <c r="DJ530">
        <v>23.4</v>
      </c>
      <c r="DK530">
        <v>23.4</v>
      </c>
      <c r="DL530">
        <v>34.700000000000003</v>
      </c>
      <c r="DM530">
        <v>32.4</v>
      </c>
      <c r="DN530">
        <v>0</v>
      </c>
      <c r="DO530">
        <v>0</v>
      </c>
      <c r="DP530">
        <v>0</v>
      </c>
      <c r="DQ530">
        <v>0</v>
      </c>
      <c r="DR530">
        <v>0</v>
      </c>
      <c r="DS530">
        <v>0</v>
      </c>
      <c r="DT530">
        <v>0</v>
      </c>
      <c r="DU530">
        <v>0</v>
      </c>
      <c r="DV530" t="s">
        <v>903</v>
      </c>
    </row>
    <row r="531" spans="1:126" x14ac:dyDescent="0.35">
      <c r="A531" t="s">
        <v>900</v>
      </c>
      <c r="B531">
        <v>230103</v>
      </c>
      <c r="C531" s="1">
        <v>44929</v>
      </c>
      <c r="D531" t="s">
        <v>901</v>
      </c>
      <c r="E531" t="s">
        <v>402</v>
      </c>
      <c r="F531" t="s">
        <v>165</v>
      </c>
      <c r="G531" t="s">
        <v>902</v>
      </c>
      <c r="H531">
        <v>434205</v>
      </c>
      <c r="I531" s="17">
        <v>43799</v>
      </c>
      <c r="J531" s="17">
        <v>109160</v>
      </c>
      <c r="K531">
        <v>5308</v>
      </c>
      <c r="L531">
        <v>363125</v>
      </c>
      <c r="M531">
        <v>298046</v>
      </c>
      <c r="N531">
        <v>412232</v>
      </c>
      <c r="O531">
        <v>412514</v>
      </c>
      <c r="P531">
        <v>21973</v>
      </c>
      <c r="Q531">
        <v>21691</v>
      </c>
      <c r="R531">
        <v>434205</v>
      </c>
      <c r="S531">
        <v>43799</v>
      </c>
      <c r="T531">
        <v>109160</v>
      </c>
      <c r="U531">
        <v>5308</v>
      </c>
      <c r="V531">
        <v>363125</v>
      </c>
      <c r="W531">
        <v>298046</v>
      </c>
      <c r="X531">
        <v>412232</v>
      </c>
      <c r="Y531">
        <v>412514</v>
      </c>
      <c r="Z531">
        <v>21973</v>
      </c>
      <c r="AA531">
        <v>21691</v>
      </c>
      <c r="AB531">
        <v>0</v>
      </c>
      <c r="AC531">
        <v>0</v>
      </c>
      <c r="AD531">
        <v>0</v>
      </c>
      <c r="AE531">
        <v>0</v>
      </c>
      <c r="AF531">
        <v>0</v>
      </c>
      <c r="AG531">
        <v>0</v>
      </c>
      <c r="AH531">
        <v>0</v>
      </c>
      <c r="AI531">
        <v>0</v>
      </c>
      <c r="AJ531">
        <v>0</v>
      </c>
      <c r="AK531">
        <v>0</v>
      </c>
      <c r="AL531">
        <v>-569</v>
      </c>
      <c r="AM531">
        <v>4200</v>
      </c>
      <c r="AN531">
        <v>-363</v>
      </c>
      <c r="AO531">
        <v>-1431</v>
      </c>
      <c r="AP531">
        <v>-2817</v>
      </c>
      <c r="AQ531">
        <v>1619</v>
      </c>
      <c r="AR531">
        <v>-48</v>
      </c>
      <c r="AS531">
        <v>-175</v>
      </c>
      <c r="AT531">
        <v>-521</v>
      </c>
      <c r="AU531">
        <v>-394</v>
      </c>
      <c r="AV531">
        <v>100</v>
      </c>
      <c r="AW531">
        <v>10.1</v>
      </c>
      <c r="AX531">
        <v>25.1</v>
      </c>
      <c r="AY531">
        <v>1.2</v>
      </c>
      <c r="AZ531">
        <v>83.6</v>
      </c>
      <c r="BA531">
        <v>68.599999999999994</v>
      </c>
      <c r="BB531">
        <v>94.9</v>
      </c>
      <c r="BC531">
        <v>95</v>
      </c>
      <c r="BD531">
        <v>5.0999999999999996</v>
      </c>
      <c r="BE531">
        <v>5</v>
      </c>
      <c r="BF531">
        <v>100</v>
      </c>
      <c r="BG531">
        <v>10.1</v>
      </c>
      <c r="BH531">
        <v>25.1</v>
      </c>
      <c r="BI531">
        <v>1.2</v>
      </c>
      <c r="BJ531">
        <v>83.6</v>
      </c>
      <c r="BK531">
        <v>68.599999999999994</v>
      </c>
      <c r="BL531">
        <v>94.9</v>
      </c>
      <c r="BM531">
        <v>95</v>
      </c>
      <c r="BN531">
        <v>5.0999999999999996</v>
      </c>
      <c r="BO531">
        <v>5</v>
      </c>
      <c r="BP531">
        <v>0</v>
      </c>
      <c r="BQ531">
        <v>0</v>
      </c>
      <c r="BR531">
        <v>0</v>
      </c>
      <c r="BS531">
        <v>0</v>
      </c>
      <c r="BT531">
        <v>0</v>
      </c>
      <c r="BU531">
        <v>0</v>
      </c>
      <c r="BV531">
        <v>0</v>
      </c>
      <c r="BW531">
        <v>0</v>
      </c>
      <c r="BX531">
        <v>0</v>
      </c>
      <c r="BY531">
        <v>0</v>
      </c>
      <c r="BZ531">
        <v>305</v>
      </c>
      <c r="CA531">
        <v>49</v>
      </c>
      <c r="CB531">
        <v>45</v>
      </c>
      <c r="CC531">
        <v>20</v>
      </c>
      <c r="CD531">
        <v>136</v>
      </c>
      <c r="CE531">
        <v>123</v>
      </c>
      <c r="CF531">
        <v>194</v>
      </c>
      <c r="CG531">
        <v>179</v>
      </c>
      <c r="CH531">
        <v>305</v>
      </c>
      <c r="CI531">
        <v>49</v>
      </c>
      <c r="CJ531">
        <v>45</v>
      </c>
      <c r="CK531">
        <v>20</v>
      </c>
      <c r="CL531">
        <v>136</v>
      </c>
      <c r="CM531">
        <v>123</v>
      </c>
      <c r="CN531">
        <v>194</v>
      </c>
      <c r="CO531">
        <v>179</v>
      </c>
      <c r="CP531">
        <v>0</v>
      </c>
      <c r="CQ531">
        <v>0</v>
      </c>
      <c r="CR531">
        <v>0</v>
      </c>
      <c r="CS531">
        <v>0</v>
      </c>
      <c r="CT531">
        <v>0</v>
      </c>
      <c r="CU531">
        <v>0</v>
      </c>
      <c r="CV531">
        <v>0</v>
      </c>
      <c r="CW531">
        <v>0</v>
      </c>
      <c r="CX531">
        <v>23.1</v>
      </c>
      <c r="CY531">
        <v>25.5</v>
      </c>
      <c r="CZ531">
        <v>35.700000000000003</v>
      </c>
      <c r="DA531">
        <v>34.9</v>
      </c>
      <c r="DB531">
        <v>23.1</v>
      </c>
      <c r="DC531">
        <v>25.1</v>
      </c>
      <c r="DD531">
        <v>34.700000000000003</v>
      </c>
      <c r="DE531">
        <v>33.6</v>
      </c>
      <c r="DF531">
        <v>23.1</v>
      </c>
      <c r="DG531">
        <v>25.5</v>
      </c>
      <c r="DH531">
        <v>35.700000000000003</v>
      </c>
      <c r="DI531">
        <v>34.9</v>
      </c>
      <c r="DJ531">
        <v>23.1</v>
      </c>
      <c r="DK531">
        <v>25.1</v>
      </c>
      <c r="DL531">
        <v>34.700000000000003</v>
      </c>
      <c r="DM531">
        <v>33.6</v>
      </c>
      <c r="DN531">
        <v>0</v>
      </c>
      <c r="DO531">
        <v>0</v>
      </c>
      <c r="DP531">
        <v>0</v>
      </c>
      <c r="DQ531">
        <v>0</v>
      </c>
      <c r="DR531">
        <v>0</v>
      </c>
      <c r="DS531">
        <v>0</v>
      </c>
      <c r="DT531">
        <v>0</v>
      </c>
      <c r="DU531">
        <v>0</v>
      </c>
      <c r="DV531" t="s">
        <v>903</v>
      </c>
    </row>
    <row r="532" spans="1:126" x14ac:dyDescent="0.35">
      <c r="A532" t="s">
        <v>904</v>
      </c>
      <c r="B532">
        <v>230110</v>
      </c>
      <c r="C532" s="1">
        <v>44936</v>
      </c>
      <c r="D532" t="s">
        <v>905</v>
      </c>
      <c r="E532" t="s">
        <v>402</v>
      </c>
      <c r="F532" t="s">
        <v>165</v>
      </c>
      <c r="G532" t="s">
        <v>902</v>
      </c>
      <c r="H532">
        <v>19049</v>
      </c>
      <c r="I532" s="17">
        <v>4194</v>
      </c>
      <c r="J532" s="17">
        <v>0</v>
      </c>
      <c r="K532">
        <v>0</v>
      </c>
      <c r="L532">
        <v>13849</v>
      </c>
      <c r="M532">
        <v>18779</v>
      </c>
      <c r="N532">
        <v>18043</v>
      </c>
      <c r="O532">
        <v>18779</v>
      </c>
      <c r="P532">
        <v>1006</v>
      </c>
      <c r="Q532">
        <v>270</v>
      </c>
      <c r="R532">
        <v>19049</v>
      </c>
      <c r="S532">
        <v>4194</v>
      </c>
      <c r="T532">
        <v>0</v>
      </c>
      <c r="U532">
        <v>0</v>
      </c>
      <c r="V532">
        <v>13849</v>
      </c>
      <c r="W532">
        <v>18779</v>
      </c>
      <c r="X532">
        <v>18043</v>
      </c>
      <c r="Y532">
        <v>18779</v>
      </c>
      <c r="Z532">
        <v>1006</v>
      </c>
      <c r="AA532">
        <v>270</v>
      </c>
      <c r="AB532">
        <v>0</v>
      </c>
      <c r="AC532">
        <v>0</v>
      </c>
      <c r="AD532">
        <v>0</v>
      </c>
      <c r="AE532">
        <v>0</v>
      </c>
      <c r="AF532">
        <v>0</v>
      </c>
      <c r="AG532">
        <v>0</v>
      </c>
      <c r="AH532">
        <v>0</v>
      </c>
      <c r="AI532">
        <v>0</v>
      </c>
      <c r="AJ532">
        <v>0</v>
      </c>
      <c r="AK532">
        <v>0</v>
      </c>
      <c r="AL532">
        <v>-700</v>
      </c>
      <c r="AM532">
        <v>347</v>
      </c>
      <c r="AN532">
        <v>0</v>
      </c>
      <c r="AO532">
        <v>0</v>
      </c>
      <c r="AP532">
        <v>-717</v>
      </c>
      <c r="AQ532">
        <v>-787</v>
      </c>
      <c r="AR532">
        <v>-370</v>
      </c>
      <c r="AS532">
        <v>-787</v>
      </c>
      <c r="AT532">
        <v>-330</v>
      </c>
      <c r="AU532">
        <v>87</v>
      </c>
      <c r="AV532">
        <v>100</v>
      </c>
      <c r="AW532">
        <v>22</v>
      </c>
      <c r="AX532">
        <v>0</v>
      </c>
      <c r="AY532">
        <v>0</v>
      </c>
      <c r="AZ532">
        <v>72.7</v>
      </c>
      <c r="BA532">
        <v>98.6</v>
      </c>
      <c r="BB532">
        <v>94.7</v>
      </c>
      <c r="BC532">
        <v>98.6</v>
      </c>
      <c r="BD532">
        <v>5.3</v>
      </c>
      <c r="BE532">
        <v>1.4</v>
      </c>
      <c r="BF532">
        <v>100</v>
      </c>
      <c r="BG532">
        <v>22</v>
      </c>
      <c r="BH532">
        <v>0</v>
      </c>
      <c r="BI532">
        <v>0</v>
      </c>
      <c r="BJ532">
        <v>72.7</v>
      </c>
      <c r="BK532">
        <v>98.6</v>
      </c>
      <c r="BL532">
        <v>94.7</v>
      </c>
      <c r="BM532">
        <v>98.6</v>
      </c>
      <c r="BN532">
        <v>5.3</v>
      </c>
      <c r="BO532">
        <v>1.4</v>
      </c>
      <c r="BP532">
        <v>0</v>
      </c>
      <c r="BQ532">
        <v>0</v>
      </c>
      <c r="BR532">
        <v>0</v>
      </c>
      <c r="BS532">
        <v>0</v>
      </c>
      <c r="BT532">
        <v>0</v>
      </c>
      <c r="BU532">
        <v>0</v>
      </c>
      <c r="BV532">
        <v>0</v>
      </c>
      <c r="BW532">
        <v>0</v>
      </c>
      <c r="BX532">
        <v>0</v>
      </c>
      <c r="BY532">
        <v>0</v>
      </c>
      <c r="BZ532">
        <v>23</v>
      </c>
      <c r="CA532">
        <v>4</v>
      </c>
      <c r="CB532">
        <v>0</v>
      </c>
      <c r="CC532">
        <v>0</v>
      </c>
      <c r="CD532">
        <v>11</v>
      </c>
      <c r="CE532">
        <v>8</v>
      </c>
      <c r="CF532">
        <v>15</v>
      </c>
      <c r="CG532">
        <v>8</v>
      </c>
      <c r="CH532">
        <v>23</v>
      </c>
      <c r="CI532">
        <v>4</v>
      </c>
      <c r="CJ532">
        <v>0</v>
      </c>
      <c r="CK532">
        <v>0</v>
      </c>
      <c r="CL532">
        <v>11</v>
      </c>
      <c r="CM532">
        <v>8</v>
      </c>
      <c r="CN532">
        <v>15</v>
      </c>
      <c r="CO532">
        <v>8</v>
      </c>
      <c r="CP532">
        <v>0</v>
      </c>
      <c r="CQ532">
        <v>0</v>
      </c>
      <c r="CR532">
        <v>0</v>
      </c>
      <c r="CS532">
        <v>0</v>
      </c>
      <c r="CT532">
        <v>0</v>
      </c>
      <c r="CU532">
        <v>0</v>
      </c>
      <c r="CV532">
        <v>0</v>
      </c>
      <c r="CW532">
        <v>0</v>
      </c>
      <c r="CX532">
        <v>58.5</v>
      </c>
      <c r="CY532">
        <v>91</v>
      </c>
      <c r="CZ532">
        <v>79.5</v>
      </c>
      <c r="DA532">
        <v>98.6</v>
      </c>
      <c r="DB532">
        <v>58.5</v>
      </c>
      <c r="DC532">
        <v>91</v>
      </c>
      <c r="DD532">
        <v>79.5</v>
      </c>
      <c r="DE532">
        <v>98.6</v>
      </c>
      <c r="DF532">
        <v>58.5</v>
      </c>
      <c r="DG532">
        <v>91</v>
      </c>
      <c r="DH532">
        <v>79.5</v>
      </c>
      <c r="DI532">
        <v>98.6</v>
      </c>
      <c r="DJ532">
        <v>58.5</v>
      </c>
      <c r="DK532">
        <v>91</v>
      </c>
      <c r="DL532">
        <v>79.5</v>
      </c>
      <c r="DM532">
        <v>98.6</v>
      </c>
      <c r="DN532">
        <v>0</v>
      </c>
      <c r="DO532">
        <v>0</v>
      </c>
      <c r="DP532">
        <v>0</v>
      </c>
      <c r="DQ532">
        <v>0</v>
      </c>
      <c r="DR532">
        <v>0</v>
      </c>
      <c r="DS532">
        <v>0</v>
      </c>
      <c r="DT532">
        <v>0</v>
      </c>
      <c r="DU532">
        <v>0</v>
      </c>
      <c r="DV532" t="s">
        <v>906</v>
      </c>
    </row>
    <row r="533" spans="1:126" x14ac:dyDescent="0.35">
      <c r="A533" t="s">
        <v>904</v>
      </c>
      <c r="B533">
        <v>230103</v>
      </c>
      <c r="C533" s="1">
        <v>44929</v>
      </c>
      <c r="D533" t="s">
        <v>905</v>
      </c>
      <c r="E533" t="s">
        <v>402</v>
      </c>
      <c r="F533" t="s">
        <v>165</v>
      </c>
      <c r="G533" t="s">
        <v>902</v>
      </c>
      <c r="H533">
        <v>19749</v>
      </c>
      <c r="I533" s="17">
        <v>3847</v>
      </c>
      <c r="J533" s="17">
        <v>0</v>
      </c>
      <c r="K533">
        <v>0</v>
      </c>
      <c r="L533">
        <v>14566</v>
      </c>
      <c r="M533">
        <v>19566</v>
      </c>
      <c r="N533">
        <v>18413</v>
      </c>
      <c r="O533">
        <v>19566</v>
      </c>
      <c r="P533">
        <v>1336</v>
      </c>
      <c r="Q533">
        <v>183</v>
      </c>
      <c r="R533">
        <v>19749</v>
      </c>
      <c r="S533">
        <v>3847</v>
      </c>
      <c r="T533">
        <v>0</v>
      </c>
      <c r="U533">
        <v>0</v>
      </c>
      <c r="V533">
        <v>14566</v>
      </c>
      <c r="W533">
        <v>19566</v>
      </c>
      <c r="X533">
        <v>18413</v>
      </c>
      <c r="Y533">
        <v>19566</v>
      </c>
      <c r="Z533">
        <v>1336</v>
      </c>
      <c r="AA533">
        <v>183</v>
      </c>
      <c r="AB533">
        <v>0</v>
      </c>
      <c r="AC533">
        <v>0</v>
      </c>
      <c r="AD533">
        <v>0</v>
      </c>
      <c r="AE533">
        <v>0</v>
      </c>
      <c r="AF533">
        <v>0</v>
      </c>
      <c r="AG533">
        <v>0</v>
      </c>
      <c r="AH533">
        <v>0</v>
      </c>
      <c r="AI533">
        <v>0</v>
      </c>
      <c r="AJ533">
        <v>0</v>
      </c>
      <c r="AK533">
        <v>0</v>
      </c>
      <c r="AL533">
        <v>27</v>
      </c>
      <c r="AM533">
        <v>133</v>
      </c>
      <c r="AN533">
        <v>0</v>
      </c>
      <c r="AO533">
        <v>0</v>
      </c>
      <c r="AP533">
        <v>-87</v>
      </c>
      <c r="AQ533">
        <v>47</v>
      </c>
      <c r="AR533">
        <v>46</v>
      </c>
      <c r="AS533">
        <v>47</v>
      </c>
      <c r="AT533">
        <v>-19</v>
      </c>
      <c r="AU533">
        <v>-20</v>
      </c>
      <c r="AV533">
        <v>100</v>
      </c>
      <c r="AW533">
        <v>19.5</v>
      </c>
      <c r="AX533">
        <v>0</v>
      </c>
      <c r="AY533">
        <v>0</v>
      </c>
      <c r="AZ533">
        <v>73.8</v>
      </c>
      <c r="BA533">
        <v>99.1</v>
      </c>
      <c r="BB533">
        <v>93.2</v>
      </c>
      <c r="BC533">
        <v>99.1</v>
      </c>
      <c r="BD533">
        <v>6.8</v>
      </c>
      <c r="BE533">
        <v>0.9</v>
      </c>
      <c r="BF533">
        <v>100</v>
      </c>
      <c r="BG533">
        <v>19.5</v>
      </c>
      <c r="BH533">
        <v>0</v>
      </c>
      <c r="BI533">
        <v>0</v>
      </c>
      <c r="BJ533">
        <v>73.8</v>
      </c>
      <c r="BK533">
        <v>99.1</v>
      </c>
      <c r="BL533">
        <v>93.2</v>
      </c>
      <c r="BM533">
        <v>99.1</v>
      </c>
      <c r="BN533">
        <v>6.8</v>
      </c>
      <c r="BO533">
        <v>0.9</v>
      </c>
      <c r="BP533">
        <v>0</v>
      </c>
      <c r="BQ533">
        <v>0</v>
      </c>
      <c r="BR533">
        <v>0</v>
      </c>
      <c r="BS533">
        <v>0</v>
      </c>
      <c r="BT533">
        <v>0</v>
      </c>
      <c r="BU533">
        <v>0</v>
      </c>
      <c r="BV533">
        <v>0</v>
      </c>
      <c r="BW533">
        <v>0</v>
      </c>
      <c r="BX533">
        <v>0</v>
      </c>
      <c r="BY533">
        <v>0</v>
      </c>
      <c r="BZ533">
        <v>22</v>
      </c>
      <c r="CA533">
        <v>3</v>
      </c>
      <c r="CB533">
        <v>0</v>
      </c>
      <c r="CC533">
        <v>0</v>
      </c>
      <c r="CD533">
        <v>11</v>
      </c>
      <c r="CE533">
        <v>8</v>
      </c>
      <c r="CF533">
        <v>14</v>
      </c>
      <c r="CG533">
        <v>8</v>
      </c>
      <c r="CH533">
        <v>22</v>
      </c>
      <c r="CI533">
        <v>3</v>
      </c>
      <c r="CJ533">
        <v>0</v>
      </c>
      <c r="CK533">
        <v>0</v>
      </c>
      <c r="CL533">
        <v>11</v>
      </c>
      <c r="CM533">
        <v>8</v>
      </c>
      <c r="CN533">
        <v>14</v>
      </c>
      <c r="CO533">
        <v>8</v>
      </c>
      <c r="CP533">
        <v>0</v>
      </c>
      <c r="CQ533">
        <v>0</v>
      </c>
      <c r="CR533">
        <v>0</v>
      </c>
      <c r="CS533">
        <v>0</v>
      </c>
      <c r="CT533">
        <v>0</v>
      </c>
      <c r="CU533">
        <v>0</v>
      </c>
      <c r="CV533">
        <v>0</v>
      </c>
      <c r="CW533">
        <v>0</v>
      </c>
      <c r="CX533">
        <v>57.4</v>
      </c>
      <c r="CY533">
        <v>91.7</v>
      </c>
      <c r="CZ533">
        <v>79</v>
      </c>
      <c r="DA533">
        <v>99.1</v>
      </c>
      <c r="DB533">
        <v>57.4</v>
      </c>
      <c r="DC533">
        <v>91.7</v>
      </c>
      <c r="DD533">
        <v>79</v>
      </c>
      <c r="DE533">
        <v>99.1</v>
      </c>
      <c r="DF533">
        <v>57.4</v>
      </c>
      <c r="DG533">
        <v>91.7</v>
      </c>
      <c r="DH533">
        <v>79</v>
      </c>
      <c r="DI533">
        <v>99.1</v>
      </c>
      <c r="DJ533">
        <v>57.4</v>
      </c>
      <c r="DK533">
        <v>91.7</v>
      </c>
      <c r="DL533">
        <v>79</v>
      </c>
      <c r="DM533">
        <v>99.1</v>
      </c>
      <c r="DN533">
        <v>0</v>
      </c>
      <c r="DO533">
        <v>0</v>
      </c>
      <c r="DP533">
        <v>0</v>
      </c>
      <c r="DQ533">
        <v>0</v>
      </c>
      <c r="DR533">
        <v>0</v>
      </c>
      <c r="DS533">
        <v>0</v>
      </c>
      <c r="DT533">
        <v>0</v>
      </c>
      <c r="DU533">
        <v>0</v>
      </c>
      <c r="DV533" t="s">
        <v>906</v>
      </c>
    </row>
    <row r="534" spans="1:126" x14ac:dyDescent="0.35">
      <c r="A534" t="s">
        <v>907</v>
      </c>
      <c r="B534">
        <v>230110</v>
      </c>
      <c r="C534" s="1">
        <v>44936</v>
      </c>
      <c r="D534" t="s">
        <v>908</v>
      </c>
      <c r="E534" t="s">
        <v>402</v>
      </c>
      <c r="F534" t="s">
        <v>165</v>
      </c>
      <c r="G534" t="s">
        <v>909</v>
      </c>
      <c r="H534">
        <v>11991</v>
      </c>
      <c r="I534" s="17">
        <v>2886</v>
      </c>
      <c r="J534" s="17">
        <v>5605</v>
      </c>
      <c r="K534">
        <v>0</v>
      </c>
      <c r="L534">
        <v>6257</v>
      </c>
      <c r="M534">
        <v>3540</v>
      </c>
      <c r="N534">
        <v>9143</v>
      </c>
      <c r="O534">
        <v>9145</v>
      </c>
      <c r="P534">
        <v>2848</v>
      </c>
      <c r="Q534">
        <v>2846</v>
      </c>
      <c r="R534">
        <v>11991</v>
      </c>
      <c r="S534">
        <v>2886</v>
      </c>
      <c r="T534">
        <v>5605</v>
      </c>
      <c r="U534">
        <v>0</v>
      </c>
      <c r="V534">
        <v>6257</v>
      </c>
      <c r="W534">
        <v>3540</v>
      </c>
      <c r="X534">
        <v>9143</v>
      </c>
      <c r="Y534">
        <v>9145</v>
      </c>
      <c r="Z534">
        <v>2848</v>
      </c>
      <c r="AA534">
        <v>2846</v>
      </c>
      <c r="AB534">
        <v>0</v>
      </c>
      <c r="AC534">
        <v>0</v>
      </c>
      <c r="AD534">
        <v>0</v>
      </c>
      <c r="AE534">
        <v>0</v>
      </c>
      <c r="AF534">
        <v>0</v>
      </c>
      <c r="AG534">
        <v>0</v>
      </c>
      <c r="AH534">
        <v>0</v>
      </c>
      <c r="AI534">
        <v>0</v>
      </c>
      <c r="AJ534">
        <v>0</v>
      </c>
      <c r="AK534">
        <v>0</v>
      </c>
      <c r="AL534">
        <v>102</v>
      </c>
      <c r="AM534">
        <v>277</v>
      </c>
      <c r="AN534">
        <v>22</v>
      </c>
      <c r="AO534">
        <v>0</v>
      </c>
      <c r="AP534">
        <v>15</v>
      </c>
      <c r="AQ534">
        <v>190</v>
      </c>
      <c r="AR534">
        <v>292</v>
      </c>
      <c r="AS534">
        <v>212</v>
      </c>
      <c r="AT534">
        <v>-190</v>
      </c>
      <c r="AU534">
        <v>-110</v>
      </c>
      <c r="AV534">
        <v>100</v>
      </c>
      <c r="AW534">
        <v>24.1</v>
      </c>
      <c r="AX534">
        <v>46.7</v>
      </c>
      <c r="AY534">
        <v>0</v>
      </c>
      <c r="AZ534">
        <v>52.2</v>
      </c>
      <c r="BA534">
        <v>29.5</v>
      </c>
      <c r="BB534">
        <v>76.2</v>
      </c>
      <c r="BC534">
        <v>76.3</v>
      </c>
      <c r="BD534">
        <v>23.8</v>
      </c>
      <c r="BE534">
        <v>23.7</v>
      </c>
      <c r="BF534">
        <v>100</v>
      </c>
      <c r="BG534">
        <v>24.1</v>
      </c>
      <c r="BH534">
        <v>46.7</v>
      </c>
      <c r="BI534">
        <v>0</v>
      </c>
      <c r="BJ534">
        <v>52.2</v>
      </c>
      <c r="BK534">
        <v>29.5</v>
      </c>
      <c r="BL534">
        <v>76.2</v>
      </c>
      <c r="BM534">
        <v>76.3</v>
      </c>
      <c r="BN534">
        <v>23.8</v>
      </c>
      <c r="BO534">
        <v>23.7</v>
      </c>
      <c r="BP534">
        <v>0</v>
      </c>
      <c r="BQ534">
        <v>0</v>
      </c>
      <c r="BR534">
        <v>0</v>
      </c>
      <c r="BS534">
        <v>0</v>
      </c>
      <c r="BT534">
        <v>0</v>
      </c>
      <c r="BU534">
        <v>0</v>
      </c>
      <c r="BV534">
        <v>0</v>
      </c>
      <c r="BW534">
        <v>0</v>
      </c>
      <c r="BX534">
        <v>0</v>
      </c>
      <c r="BY534">
        <v>0</v>
      </c>
      <c r="BZ534">
        <v>21</v>
      </c>
      <c r="CA534">
        <v>4</v>
      </c>
      <c r="CB534">
        <v>7</v>
      </c>
      <c r="CC534">
        <v>0</v>
      </c>
      <c r="CD534">
        <v>5</v>
      </c>
      <c r="CE534">
        <v>6</v>
      </c>
      <c r="CF534">
        <v>9</v>
      </c>
      <c r="CG534">
        <v>13</v>
      </c>
      <c r="CH534">
        <v>21</v>
      </c>
      <c r="CI534">
        <v>4</v>
      </c>
      <c r="CJ534">
        <v>7</v>
      </c>
      <c r="CK534">
        <v>0</v>
      </c>
      <c r="CL534">
        <v>5</v>
      </c>
      <c r="CM534">
        <v>6</v>
      </c>
      <c r="CN534">
        <v>9</v>
      </c>
      <c r="CO534">
        <v>13</v>
      </c>
      <c r="CP534">
        <v>0</v>
      </c>
      <c r="CQ534">
        <v>0</v>
      </c>
      <c r="CR534">
        <v>0</v>
      </c>
      <c r="CS534">
        <v>0</v>
      </c>
      <c r="CT534">
        <v>0</v>
      </c>
      <c r="CU534">
        <v>0</v>
      </c>
      <c r="CV534">
        <v>0</v>
      </c>
      <c r="CW534">
        <v>0</v>
      </c>
      <c r="CX534">
        <v>54.3</v>
      </c>
      <c r="CY534">
        <v>49.5</v>
      </c>
      <c r="CZ534">
        <v>74.400000000000006</v>
      </c>
      <c r="DA534">
        <v>65.7</v>
      </c>
      <c r="DB534">
        <v>54.3</v>
      </c>
      <c r="DC534">
        <v>49.5</v>
      </c>
      <c r="DD534">
        <v>74.3</v>
      </c>
      <c r="DE534">
        <v>65.7</v>
      </c>
      <c r="DF534">
        <v>54.3</v>
      </c>
      <c r="DG534">
        <v>49.5</v>
      </c>
      <c r="DH534">
        <v>74.400000000000006</v>
      </c>
      <c r="DI534">
        <v>65.7</v>
      </c>
      <c r="DJ534">
        <v>54.3</v>
      </c>
      <c r="DK534">
        <v>49.5</v>
      </c>
      <c r="DL534">
        <v>74.3</v>
      </c>
      <c r="DM534">
        <v>65.7</v>
      </c>
      <c r="DN534">
        <v>0</v>
      </c>
      <c r="DO534">
        <v>0</v>
      </c>
      <c r="DP534">
        <v>0</v>
      </c>
      <c r="DQ534">
        <v>0</v>
      </c>
      <c r="DR534">
        <v>0</v>
      </c>
      <c r="DS534">
        <v>0</v>
      </c>
      <c r="DT534">
        <v>0</v>
      </c>
      <c r="DU534">
        <v>0</v>
      </c>
      <c r="DV534" t="s">
        <v>910</v>
      </c>
    </row>
    <row r="535" spans="1:126" x14ac:dyDescent="0.35">
      <c r="A535" t="s">
        <v>907</v>
      </c>
      <c r="B535">
        <v>230103</v>
      </c>
      <c r="C535" s="1">
        <v>44929</v>
      </c>
      <c r="D535" t="s">
        <v>908</v>
      </c>
      <c r="E535" t="s">
        <v>402</v>
      </c>
      <c r="F535" t="s">
        <v>165</v>
      </c>
      <c r="G535" t="s">
        <v>909</v>
      </c>
      <c r="H535">
        <v>11889</v>
      </c>
      <c r="I535" s="17">
        <v>2609</v>
      </c>
      <c r="J535" s="17">
        <v>5583</v>
      </c>
      <c r="K535">
        <v>0</v>
      </c>
      <c r="L535">
        <v>6242</v>
      </c>
      <c r="M535">
        <v>3350</v>
      </c>
      <c r="N535">
        <v>8851</v>
      </c>
      <c r="O535">
        <v>8933</v>
      </c>
      <c r="P535">
        <v>3038</v>
      </c>
      <c r="Q535">
        <v>2956</v>
      </c>
      <c r="R535">
        <v>11889</v>
      </c>
      <c r="S535">
        <v>2609</v>
      </c>
      <c r="T535">
        <v>5583</v>
      </c>
      <c r="U535">
        <v>0</v>
      </c>
      <c r="V535">
        <v>6242</v>
      </c>
      <c r="W535">
        <v>3350</v>
      </c>
      <c r="X535">
        <v>8851</v>
      </c>
      <c r="Y535">
        <v>8933</v>
      </c>
      <c r="Z535">
        <v>3038</v>
      </c>
      <c r="AA535">
        <v>2956</v>
      </c>
      <c r="AB535">
        <v>0</v>
      </c>
      <c r="AC535">
        <v>0</v>
      </c>
      <c r="AD535">
        <v>0</v>
      </c>
      <c r="AE535">
        <v>0</v>
      </c>
      <c r="AF535">
        <v>0</v>
      </c>
      <c r="AG535">
        <v>0</v>
      </c>
      <c r="AH535">
        <v>0</v>
      </c>
      <c r="AI535">
        <v>0</v>
      </c>
      <c r="AJ535">
        <v>0</v>
      </c>
      <c r="AK535">
        <v>0</v>
      </c>
      <c r="AV535">
        <v>100</v>
      </c>
      <c r="AW535">
        <v>21.9</v>
      </c>
      <c r="AX535">
        <v>47</v>
      </c>
      <c r="AY535">
        <v>0</v>
      </c>
      <c r="AZ535">
        <v>52.5</v>
      </c>
      <c r="BA535">
        <v>28.2</v>
      </c>
      <c r="BB535">
        <v>74.400000000000006</v>
      </c>
      <c r="BC535">
        <v>75.099999999999994</v>
      </c>
      <c r="BD535">
        <v>25.6</v>
      </c>
      <c r="BE535">
        <v>24.9</v>
      </c>
      <c r="BF535">
        <v>100</v>
      </c>
      <c r="BG535">
        <v>21.9</v>
      </c>
      <c r="BH535">
        <v>47</v>
      </c>
      <c r="BI535">
        <v>0</v>
      </c>
      <c r="BJ535">
        <v>52.5</v>
      </c>
      <c r="BK535">
        <v>28.2</v>
      </c>
      <c r="BL535">
        <v>74.400000000000006</v>
      </c>
      <c r="BM535">
        <v>75.099999999999994</v>
      </c>
      <c r="BN535">
        <v>25.6</v>
      </c>
      <c r="BO535">
        <v>24.9</v>
      </c>
      <c r="BP535">
        <v>0</v>
      </c>
      <c r="BQ535">
        <v>0</v>
      </c>
      <c r="BR535">
        <v>0</v>
      </c>
      <c r="BS535">
        <v>0</v>
      </c>
      <c r="BT535">
        <v>0</v>
      </c>
      <c r="BU535">
        <v>0</v>
      </c>
      <c r="BV535">
        <v>0</v>
      </c>
      <c r="BW535">
        <v>0</v>
      </c>
      <c r="BX535">
        <v>0</v>
      </c>
      <c r="BY535">
        <v>0</v>
      </c>
      <c r="BZ535">
        <v>21</v>
      </c>
      <c r="CA535">
        <v>3</v>
      </c>
      <c r="CB535">
        <v>7</v>
      </c>
      <c r="CC535">
        <v>0</v>
      </c>
      <c r="CD535">
        <v>6</v>
      </c>
      <c r="CE535">
        <v>7</v>
      </c>
      <c r="CF535">
        <v>9</v>
      </c>
      <c r="CG535">
        <v>14</v>
      </c>
      <c r="CH535">
        <v>21</v>
      </c>
      <c r="CI535">
        <v>3</v>
      </c>
      <c r="CJ535">
        <v>7</v>
      </c>
      <c r="CK535">
        <v>0</v>
      </c>
      <c r="CL535">
        <v>6</v>
      </c>
      <c r="CM535">
        <v>7</v>
      </c>
      <c r="CN535">
        <v>9</v>
      </c>
      <c r="CO535">
        <v>14</v>
      </c>
      <c r="CP535">
        <v>0</v>
      </c>
      <c r="CQ535">
        <v>0</v>
      </c>
      <c r="CR535">
        <v>0</v>
      </c>
      <c r="CS535">
        <v>0</v>
      </c>
      <c r="CT535">
        <v>0</v>
      </c>
      <c r="CU535">
        <v>0</v>
      </c>
      <c r="CV535">
        <v>0</v>
      </c>
      <c r="CW535">
        <v>0</v>
      </c>
      <c r="CX535">
        <v>60</v>
      </c>
      <c r="CY535">
        <v>50.3</v>
      </c>
      <c r="CZ535">
        <v>72.8</v>
      </c>
      <c r="DA535">
        <v>64.7</v>
      </c>
      <c r="DB535">
        <v>60</v>
      </c>
      <c r="DC535">
        <v>50.3</v>
      </c>
      <c r="DD535">
        <v>72.7</v>
      </c>
      <c r="DE535">
        <v>64.7</v>
      </c>
      <c r="DF535">
        <v>60</v>
      </c>
      <c r="DG535">
        <v>50.3</v>
      </c>
      <c r="DH535">
        <v>72.8</v>
      </c>
      <c r="DI535">
        <v>64.7</v>
      </c>
      <c r="DJ535">
        <v>60</v>
      </c>
      <c r="DK535">
        <v>50.3</v>
      </c>
      <c r="DL535">
        <v>72.7</v>
      </c>
      <c r="DM535">
        <v>64.7</v>
      </c>
      <c r="DN535">
        <v>0</v>
      </c>
      <c r="DO535">
        <v>0</v>
      </c>
      <c r="DP535">
        <v>0</v>
      </c>
      <c r="DQ535">
        <v>0</v>
      </c>
      <c r="DR535">
        <v>0</v>
      </c>
      <c r="DS535">
        <v>0</v>
      </c>
      <c r="DT535">
        <v>0</v>
      </c>
      <c r="DU535">
        <v>0</v>
      </c>
      <c r="DV535" t="s">
        <v>910</v>
      </c>
    </row>
    <row r="536" spans="1:126" x14ac:dyDescent="0.35">
      <c r="A536" t="s">
        <v>911</v>
      </c>
      <c r="B536">
        <v>230110</v>
      </c>
      <c r="C536" s="1">
        <v>44936</v>
      </c>
      <c r="D536" t="s">
        <v>912</v>
      </c>
      <c r="E536" t="s">
        <v>402</v>
      </c>
      <c r="F536" t="s">
        <v>165</v>
      </c>
      <c r="G536" t="s">
        <v>909</v>
      </c>
      <c r="H536">
        <v>41161</v>
      </c>
      <c r="I536" s="17">
        <v>16588</v>
      </c>
      <c r="J536" s="17">
        <v>7503</v>
      </c>
      <c r="K536">
        <v>210</v>
      </c>
      <c r="L536">
        <v>18186</v>
      </c>
      <c r="M536">
        <v>19087</v>
      </c>
      <c r="N536">
        <v>34984</v>
      </c>
      <c r="O536">
        <v>26800</v>
      </c>
      <c r="P536">
        <v>6177</v>
      </c>
      <c r="Q536">
        <v>14361</v>
      </c>
      <c r="R536">
        <v>41161</v>
      </c>
      <c r="S536">
        <v>16588</v>
      </c>
      <c r="T536">
        <v>7503</v>
      </c>
      <c r="U536">
        <v>210</v>
      </c>
      <c r="V536">
        <v>18186</v>
      </c>
      <c r="W536">
        <v>19087</v>
      </c>
      <c r="X536">
        <v>34984</v>
      </c>
      <c r="Y536">
        <v>26800</v>
      </c>
      <c r="Z536">
        <v>6177</v>
      </c>
      <c r="AA536">
        <v>14361</v>
      </c>
      <c r="AB536">
        <v>0</v>
      </c>
      <c r="AC536">
        <v>0</v>
      </c>
      <c r="AD536">
        <v>0</v>
      </c>
      <c r="AE536">
        <v>0</v>
      </c>
      <c r="AF536">
        <v>0</v>
      </c>
      <c r="AG536">
        <v>0</v>
      </c>
      <c r="AH536">
        <v>0</v>
      </c>
      <c r="AI536">
        <v>0</v>
      </c>
      <c r="AJ536">
        <v>0</v>
      </c>
      <c r="AK536">
        <v>0</v>
      </c>
      <c r="AL536">
        <v>2913</v>
      </c>
      <c r="AM536">
        <v>2246</v>
      </c>
      <c r="AN536">
        <v>-634</v>
      </c>
      <c r="AO536">
        <v>209</v>
      </c>
      <c r="AP536">
        <v>55</v>
      </c>
      <c r="AQ536">
        <v>1031</v>
      </c>
      <c r="AR536">
        <v>2510</v>
      </c>
      <c r="AS536">
        <v>606</v>
      </c>
      <c r="AT536">
        <v>403</v>
      </c>
      <c r="AU536">
        <v>2307</v>
      </c>
      <c r="AV536">
        <v>100</v>
      </c>
      <c r="AW536">
        <v>40.299999999999997</v>
      </c>
      <c r="AX536">
        <v>18.2</v>
      </c>
      <c r="AY536">
        <v>0.5</v>
      </c>
      <c r="AZ536">
        <v>44.2</v>
      </c>
      <c r="BA536">
        <v>46.4</v>
      </c>
      <c r="BB536">
        <v>85</v>
      </c>
      <c r="BC536">
        <v>65.099999999999994</v>
      </c>
      <c r="BD536">
        <v>15</v>
      </c>
      <c r="BE536">
        <v>34.9</v>
      </c>
      <c r="BF536">
        <v>100</v>
      </c>
      <c r="BG536">
        <v>40.299999999999997</v>
      </c>
      <c r="BH536">
        <v>18.2</v>
      </c>
      <c r="BI536">
        <v>0.5</v>
      </c>
      <c r="BJ536">
        <v>44.2</v>
      </c>
      <c r="BK536">
        <v>46.4</v>
      </c>
      <c r="BL536">
        <v>85</v>
      </c>
      <c r="BM536">
        <v>65.099999999999994</v>
      </c>
      <c r="BN536">
        <v>15</v>
      </c>
      <c r="BO536">
        <v>34.9</v>
      </c>
      <c r="BP536">
        <v>0</v>
      </c>
      <c r="BQ536">
        <v>0</v>
      </c>
      <c r="BR536">
        <v>0</v>
      </c>
      <c r="BS536">
        <v>0</v>
      </c>
      <c r="BT536">
        <v>0</v>
      </c>
      <c r="BU536">
        <v>0</v>
      </c>
      <c r="BV536">
        <v>0</v>
      </c>
      <c r="BW536">
        <v>0</v>
      </c>
      <c r="BX536">
        <v>0</v>
      </c>
      <c r="BY536">
        <v>0</v>
      </c>
      <c r="BZ536">
        <v>50</v>
      </c>
      <c r="CA536">
        <v>10</v>
      </c>
      <c r="CB536">
        <v>7</v>
      </c>
      <c r="CC536">
        <v>4</v>
      </c>
      <c r="CD536">
        <v>21</v>
      </c>
      <c r="CE536">
        <v>18</v>
      </c>
      <c r="CF536">
        <v>34</v>
      </c>
      <c r="CG536">
        <v>26</v>
      </c>
      <c r="CH536">
        <v>50</v>
      </c>
      <c r="CI536">
        <v>10</v>
      </c>
      <c r="CJ536">
        <v>7</v>
      </c>
      <c r="CK536">
        <v>4</v>
      </c>
      <c r="CL536">
        <v>21</v>
      </c>
      <c r="CM536">
        <v>18</v>
      </c>
      <c r="CN536">
        <v>34</v>
      </c>
      <c r="CO536">
        <v>26</v>
      </c>
      <c r="CP536">
        <v>0</v>
      </c>
      <c r="CQ536">
        <v>0</v>
      </c>
      <c r="CR536">
        <v>0</v>
      </c>
      <c r="CS536">
        <v>0</v>
      </c>
      <c r="CT536">
        <v>0</v>
      </c>
      <c r="CU536">
        <v>0</v>
      </c>
      <c r="CV536">
        <v>0</v>
      </c>
      <c r="CW536">
        <v>0</v>
      </c>
      <c r="CX536">
        <v>37.200000000000003</v>
      </c>
      <c r="CY536">
        <v>33.200000000000003</v>
      </c>
      <c r="CZ536">
        <v>56.3</v>
      </c>
      <c r="DA536">
        <v>47.5</v>
      </c>
      <c r="DB536">
        <v>37.200000000000003</v>
      </c>
      <c r="DC536">
        <v>31.6</v>
      </c>
      <c r="DD536">
        <v>53</v>
      </c>
      <c r="DE536">
        <v>43.7</v>
      </c>
      <c r="DF536">
        <v>37.200000000000003</v>
      </c>
      <c r="DG536">
        <v>33.200000000000003</v>
      </c>
      <c r="DH536">
        <v>56.3</v>
      </c>
      <c r="DI536">
        <v>47.5</v>
      </c>
      <c r="DJ536">
        <v>37.200000000000003</v>
      </c>
      <c r="DK536">
        <v>31.6</v>
      </c>
      <c r="DL536">
        <v>53</v>
      </c>
      <c r="DM536">
        <v>43.7</v>
      </c>
      <c r="DN536">
        <v>0</v>
      </c>
      <c r="DO536">
        <v>0</v>
      </c>
      <c r="DP536">
        <v>0</v>
      </c>
      <c r="DQ536">
        <v>0</v>
      </c>
      <c r="DR536">
        <v>0</v>
      </c>
      <c r="DS536">
        <v>0</v>
      </c>
      <c r="DT536">
        <v>0</v>
      </c>
      <c r="DU536">
        <v>0</v>
      </c>
      <c r="DV536" t="s">
        <v>913</v>
      </c>
    </row>
    <row r="537" spans="1:126" x14ac:dyDescent="0.35">
      <c r="A537" t="s">
        <v>911</v>
      </c>
      <c r="B537">
        <v>230103</v>
      </c>
      <c r="C537" s="1">
        <v>44929</v>
      </c>
      <c r="D537" t="s">
        <v>912</v>
      </c>
      <c r="E537" t="s">
        <v>402</v>
      </c>
      <c r="F537" t="s">
        <v>165</v>
      </c>
      <c r="G537" t="s">
        <v>909</v>
      </c>
      <c r="H537">
        <v>38248</v>
      </c>
      <c r="I537" s="17">
        <v>14342</v>
      </c>
      <c r="J537" s="17">
        <v>8137</v>
      </c>
      <c r="K537">
        <v>1</v>
      </c>
      <c r="L537">
        <v>18131</v>
      </c>
      <c r="M537">
        <v>18056</v>
      </c>
      <c r="N537">
        <v>32474</v>
      </c>
      <c r="O537">
        <v>26194</v>
      </c>
      <c r="P537">
        <v>5774</v>
      </c>
      <c r="Q537">
        <v>12054</v>
      </c>
      <c r="R537">
        <v>38248</v>
      </c>
      <c r="S537">
        <v>14342</v>
      </c>
      <c r="T537">
        <v>8137</v>
      </c>
      <c r="U537">
        <v>1</v>
      </c>
      <c r="V537">
        <v>18131</v>
      </c>
      <c r="W537">
        <v>18056</v>
      </c>
      <c r="X537">
        <v>32474</v>
      </c>
      <c r="Y537">
        <v>26194</v>
      </c>
      <c r="Z537">
        <v>5774</v>
      </c>
      <c r="AA537">
        <v>12054</v>
      </c>
      <c r="AB537">
        <v>0</v>
      </c>
      <c r="AC537">
        <v>0</v>
      </c>
      <c r="AD537">
        <v>0</v>
      </c>
      <c r="AE537">
        <v>0</v>
      </c>
      <c r="AF537">
        <v>0</v>
      </c>
      <c r="AG537">
        <v>0</v>
      </c>
      <c r="AH537">
        <v>0</v>
      </c>
      <c r="AI537">
        <v>0</v>
      </c>
      <c r="AJ537">
        <v>0</v>
      </c>
      <c r="AK537">
        <v>0</v>
      </c>
      <c r="AL537">
        <v>1241</v>
      </c>
      <c r="AM537">
        <v>1397</v>
      </c>
      <c r="AN537">
        <v>405</v>
      </c>
      <c r="AO537">
        <v>-225</v>
      </c>
      <c r="AP537">
        <v>-45</v>
      </c>
      <c r="AQ537">
        <v>417</v>
      </c>
      <c r="AR537">
        <v>1127</v>
      </c>
      <c r="AS537">
        <v>597</v>
      </c>
      <c r="AT537">
        <v>114</v>
      </c>
      <c r="AU537">
        <v>644</v>
      </c>
      <c r="AV537">
        <v>100</v>
      </c>
      <c r="AW537">
        <v>37.5</v>
      </c>
      <c r="AX537">
        <v>21.3</v>
      </c>
      <c r="AY537">
        <v>0</v>
      </c>
      <c r="AZ537">
        <v>47.4</v>
      </c>
      <c r="BA537">
        <v>47.2</v>
      </c>
      <c r="BB537">
        <v>84.9</v>
      </c>
      <c r="BC537">
        <v>68.5</v>
      </c>
      <c r="BD537">
        <v>15.1</v>
      </c>
      <c r="BE537">
        <v>31.5</v>
      </c>
      <c r="BF537">
        <v>100</v>
      </c>
      <c r="BG537">
        <v>37.5</v>
      </c>
      <c r="BH537">
        <v>21.3</v>
      </c>
      <c r="BI537">
        <v>0</v>
      </c>
      <c r="BJ537">
        <v>47.4</v>
      </c>
      <c r="BK537">
        <v>47.2</v>
      </c>
      <c r="BL537">
        <v>84.9</v>
      </c>
      <c r="BM537">
        <v>68.5</v>
      </c>
      <c r="BN537">
        <v>15.1</v>
      </c>
      <c r="BO537">
        <v>31.5</v>
      </c>
      <c r="BP537">
        <v>0</v>
      </c>
      <c r="BQ537">
        <v>0</v>
      </c>
      <c r="BR537">
        <v>0</v>
      </c>
      <c r="BS537">
        <v>0</v>
      </c>
      <c r="BT537">
        <v>0</v>
      </c>
      <c r="BU537">
        <v>0</v>
      </c>
      <c r="BV537">
        <v>0</v>
      </c>
      <c r="BW537">
        <v>0</v>
      </c>
      <c r="BX537">
        <v>0</v>
      </c>
      <c r="BY537">
        <v>0</v>
      </c>
      <c r="BZ537">
        <v>53</v>
      </c>
      <c r="CA537">
        <v>11</v>
      </c>
      <c r="CB537">
        <v>10</v>
      </c>
      <c r="CC537">
        <v>1</v>
      </c>
      <c r="CD537">
        <v>21</v>
      </c>
      <c r="CE537">
        <v>17</v>
      </c>
      <c r="CF537">
        <v>33</v>
      </c>
      <c r="CG537">
        <v>27</v>
      </c>
      <c r="CH537">
        <v>53</v>
      </c>
      <c r="CI537">
        <v>11</v>
      </c>
      <c r="CJ537">
        <v>10</v>
      </c>
      <c r="CK537">
        <v>1</v>
      </c>
      <c r="CL537">
        <v>21</v>
      </c>
      <c r="CM537">
        <v>17</v>
      </c>
      <c r="CN537">
        <v>33</v>
      </c>
      <c r="CO537">
        <v>27</v>
      </c>
      <c r="CP537">
        <v>0</v>
      </c>
      <c r="CQ537">
        <v>0</v>
      </c>
      <c r="CR537">
        <v>0</v>
      </c>
      <c r="CS537">
        <v>0</v>
      </c>
      <c r="CT537">
        <v>0</v>
      </c>
      <c r="CU537">
        <v>0</v>
      </c>
      <c r="CV537">
        <v>0</v>
      </c>
      <c r="CW537">
        <v>0</v>
      </c>
      <c r="CX537">
        <v>35.6</v>
      </c>
      <c r="CY537">
        <v>35.9</v>
      </c>
      <c r="CZ537">
        <v>55</v>
      </c>
      <c r="DA537">
        <v>49.3</v>
      </c>
      <c r="DB537">
        <v>35.6</v>
      </c>
      <c r="DC537">
        <v>34.200000000000003</v>
      </c>
      <c r="DD537">
        <v>50.9</v>
      </c>
      <c r="DE537">
        <v>45.3</v>
      </c>
      <c r="DF537">
        <v>35.6</v>
      </c>
      <c r="DG537">
        <v>35.9</v>
      </c>
      <c r="DH537">
        <v>55</v>
      </c>
      <c r="DI537">
        <v>49.3</v>
      </c>
      <c r="DJ537">
        <v>35.6</v>
      </c>
      <c r="DK537">
        <v>34.200000000000003</v>
      </c>
      <c r="DL537">
        <v>50.9</v>
      </c>
      <c r="DM537">
        <v>45.3</v>
      </c>
      <c r="DN537">
        <v>0</v>
      </c>
      <c r="DO537">
        <v>0</v>
      </c>
      <c r="DP537">
        <v>0</v>
      </c>
      <c r="DQ537">
        <v>0</v>
      </c>
      <c r="DR537">
        <v>0</v>
      </c>
      <c r="DS537">
        <v>0</v>
      </c>
      <c r="DT537">
        <v>0</v>
      </c>
      <c r="DU537">
        <v>0</v>
      </c>
      <c r="DV537" t="s">
        <v>913</v>
      </c>
    </row>
    <row r="538" spans="1:126" x14ac:dyDescent="0.35">
      <c r="A538" t="s">
        <v>914</v>
      </c>
      <c r="B538">
        <v>230110</v>
      </c>
      <c r="C538" s="1">
        <v>44936</v>
      </c>
      <c r="D538" t="s">
        <v>915</v>
      </c>
      <c r="E538" t="s">
        <v>393</v>
      </c>
      <c r="F538" t="s">
        <v>185</v>
      </c>
      <c r="G538" t="s">
        <v>916</v>
      </c>
      <c r="H538">
        <v>348473</v>
      </c>
      <c r="I538" s="17">
        <v>15571</v>
      </c>
      <c r="J538" s="17">
        <v>28980</v>
      </c>
      <c r="K538">
        <v>1620</v>
      </c>
      <c r="L538">
        <v>318983</v>
      </c>
      <c r="M538">
        <v>312015</v>
      </c>
      <c r="N538">
        <v>336174</v>
      </c>
      <c r="O538">
        <v>342615</v>
      </c>
      <c r="P538">
        <v>12299</v>
      </c>
      <c r="Q538">
        <v>5858</v>
      </c>
      <c r="R538">
        <v>348473</v>
      </c>
      <c r="S538">
        <v>15571</v>
      </c>
      <c r="T538">
        <v>28980</v>
      </c>
      <c r="U538">
        <v>1620</v>
      </c>
      <c r="V538">
        <v>318983</v>
      </c>
      <c r="W538">
        <v>312015</v>
      </c>
      <c r="X538">
        <v>336174</v>
      </c>
      <c r="Y538">
        <v>342615</v>
      </c>
      <c r="Z538">
        <v>12299</v>
      </c>
      <c r="AA538">
        <v>5858</v>
      </c>
      <c r="AB538">
        <v>0</v>
      </c>
      <c r="AC538">
        <v>0</v>
      </c>
      <c r="AD538">
        <v>0</v>
      </c>
      <c r="AE538">
        <v>0</v>
      </c>
      <c r="AF538">
        <v>0</v>
      </c>
      <c r="AG538">
        <v>0</v>
      </c>
      <c r="AH538">
        <v>0</v>
      </c>
      <c r="AI538">
        <v>0</v>
      </c>
      <c r="AJ538">
        <v>0</v>
      </c>
      <c r="AK538">
        <v>0</v>
      </c>
      <c r="AL538">
        <v>-867</v>
      </c>
      <c r="AM538">
        <v>-1272</v>
      </c>
      <c r="AN538">
        <v>6141</v>
      </c>
      <c r="AO538">
        <v>310</v>
      </c>
      <c r="AP538">
        <v>-1484</v>
      </c>
      <c r="AQ538">
        <v>-8461</v>
      </c>
      <c r="AR538">
        <v>-2446</v>
      </c>
      <c r="AS538">
        <v>-2010</v>
      </c>
      <c r="AT538">
        <v>1579</v>
      </c>
      <c r="AU538">
        <v>1143</v>
      </c>
      <c r="AV538">
        <v>100</v>
      </c>
      <c r="AW538">
        <v>4.5</v>
      </c>
      <c r="AX538">
        <v>8.3000000000000007</v>
      </c>
      <c r="AY538">
        <v>0.5</v>
      </c>
      <c r="AZ538">
        <v>91.5</v>
      </c>
      <c r="BA538">
        <v>89.5</v>
      </c>
      <c r="BB538">
        <v>96.5</v>
      </c>
      <c r="BC538">
        <v>98.3</v>
      </c>
      <c r="BD538">
        <v>3.5</v>
      </c>
      <c r="BE538">
        <v>1.7</v>
      </c>
      <c r="BF538">
        <v>100</v>
      </c>
      <c r="BG538">
        <v>4.5</v>
      </c>
      <c r="BH538">
        <v>8.3000000000000007</v>
      </c>
      <c r="BI538">
        <v>0.5</v>
      </c>
      <c r="BJ538">
        <v>91.5</v>
      </c>
      <c r="BK538">
        <v>89.5</v>
      </c>
      <c r="BL538">
        <v>96.5</v>
      </c>
      <c r="BM538">
        <v>98.3</v>
      </c>
      <c r="BN538">
        <v>3.5</v>
      </c>
      <c r="BO538">
        <v>1.7</v>
      </c>
      <c r="BP538">
        <v>0</v>
      </c>
      <c r="BQ538">
        <v>0</v>
      </c>
      <c r="BR538">
        <v>0</v>
      </c>
      <c r="BS538">
        <v>0</v>
      </c>
      <c r="BT538">
        <v>0</v>
      </c>
      <c r="BU538">
        <v>0</v>
      </c>
      <c r="BV538">
        <v>0</v>
      </c>
      <c r="BW538">
        <v>0</v>
      </c>
      <c r="BX538">
        <v>0</v>
      </c>
      <c r="BY538">
        <v>0</v>
      </c>
      <c r="BZ538">
        <v>191</v>
      </c>
      <c r="CA538">
        <v>21</v>
      </c>
      <c r="CB538">
        <v>19</v>
      </c>
      <c r="CC538">
        <v>6</v>
      </c>
      <c r="CD538">
        <v>103</v>
      </c>
      <c r="CE538">
        <v>87</v>
      </c>
      <c r="CF538">
        <v>127</v>
      </c>
      <c r="CG538">
        <v>109</v>
      </c>
      <c r="CH538">
        <v>191</v>
      </c>
      <c r="CI538">
        <v>21</v>
      </c>
      <c r="CJ538">
        <v>19</v>
      </c>
      <c r="CK538">
        <v>6</v>
      </c>
      <c r="CL538">
        <v>103</v>
      </c>
      <c r="CM538">
        <v>87</v>
      </c>
      <c r="CN538">
        <v>127</v>
      </c>
      <c r="CO538">
        <v>109</v>
      </c>
      <c r="CP538">
        <v>0</v>
      </c>
      <c r="CQ538">
        <v>0</v>
      </c>
      <c r="CR538">
        <v>0</v>
      </c>
      <c r="CS538">
        <v>0</v>
      </c>
      <c r="CT538">
        <v>0</v>
      </c>
      <c r="CU538">
        <v>0</v>
      </c>
      <c r="CV538">
        <v>0</v>
      </c>
      <c r="CW538">
        <v>0</v>
      </c>
      <c r="CX538">
        <v>26.3</v>
      </c>
      <c r="CY538">
        <v>34</v>
      </c>
      <c r="CZ538">
        <v>38.5</v>
      </c>
      <c r="DA538">
        <v>48.2</v>
      </c>
      <c r="DB538">
        <v>24.1</v>
      </c>
      <c r="DC538">
        <v>33.1</v>
      </c>
      <c r="DD538">
        <v>35.700000000000003</v>
      </c>
      <c r="DE538">
        <v>46.7</v>
      </c>
      <c r="DF538">
        <v>26.3</v>
      </c>
      <c r="DG538">
        <v>34</v>
      </c>
      <c r="DH538">
        <v>38.5</v>
      </c>
      <c r="DI538">
        <v>48.2</v>
      </c>
      <c r="DJ538">
        <v>24.1</v>
      </c>
      <c r="DK538">
        <v>33.1</v>
      </c>
      <c r="DL538">
        <v>35.700000000000003</v>
      </c>
      <c r="DM538">
        <v>46.7</v>
      </c>
      <c r="DN538">
        <v>0</v>
      </c>
      <c r="DO538">
        <v>0</v>
      </c>
      <c r="DP538">
        <v>0</v>
      </c>
      <c r="DQ538">
        <v>0</v>
      </c>
      <c r="DR538">
        <v>0</v>
      </c>
      <c r="DS538">
        <v>0</v>
      </c>
      <c r="DT538">
        <v>0</v>
      </c>
      <c r="DU538">
        <v>0</v>
      </c>
      <c r="DV538" t="s">
        <v>917</v>
      </c>
    </row>
    <row r="539" spans="1:126" x14ac:dyDescent="0.35">
      <c r="A539" t="s">
        <v>914</v>
      </c>
      <c r="B539">
        <v>230103</v>
      </c>
      <c r="C539" s="1">
        <v>44929</v>
      </c>
      <c r="D539" t="s">
        <v>915</v>
      </c>
      <c r="E539" t="s">
        <v>393</v>
      </c>
      <c r="F539" t="s">
        <v>185</v>
      </c>
      <c r="G539" t="s">
        <v>916</v>
      </c>
      <c r="H539">
        <v>349340</v>
      </c>
      <c r="I539" s="17">
        <v>16843</v>
      </c>
      <c r="J539" s="17">
        <v>22839</v>
      </c>
      <c r="K539">
        <v>1310</v>
      </c>
      <c r="L539">
        <v>320467</v>
      </c>
      <c r="M539">
        <v>320476</v>
      </c>
      <c r="N539">
        <v>338620</v>
      </c>
      <c r="O539">
        <v>344625</v>
      </c>
      <c r="P539">
        <v>10720</v>
      </c>
      <c r="Q539">
        <v>4715</v>
      </c>
      <c r="R539">
        <v>349340</v>
      </c>
      <c r="S539">
        <v>16843</v>
      </c>
      <c r="T539">
        <v>22839</v>
      </c>
      <c r="U539">
        <v>1310</v>
      </c>
      <c r="V539">
        <v>320467</v>
      </c>
      <c r="W539">
        <v>320476</v>
      </c>
      <c r="X539">
        <v>338620</v>
      </c>
      <c r="Y539">
        <v>344625</v>
      </c>
      <c r="Z539">
        <v>10720</v>
      </c>
      <c r="AA539">
        <v>4715</v>
      </c>
      <c r="AB539">
        <v>0</v>
      </c>
      <c r="AC539">
        <v>0</v>
      </c>
      <c r="AD539">
        <v>0</v>
      </c>
      <c r="AE539">
        <v>0</v>
      </c>
      <c r="AF539">
        <v>0</v>
      </c>
      <c r="AG539">
        <v>0</v>
      </c>
      <c r="AH539">
        <v>0</v>
      </c>
      <c r="AI539">
        <v>0</v>
      </c>
      <c r="AJ539">
        <v>0</v>
      </c>
      <c r="AK539">
        <v>0</v>
      </c>
      <c r="AL539">
        <v>-11261</v>
      </c>
      <c r="AM539">
        <v>-650</v>
      </c>
      <c r="AN539">
        <v>-7388</v>
      </c>
      <c r="AO539">
        <v>-76</v>
      </c>
      <c r="AP539">
        <v>-8524</v>
      </c>
      <c r="AQ539">
        <v>-1651</v>
      </c>
      <c r="AR539">
        <v>-9250</v>
      </c>
      <c r="AS539">
        <v>-9115</v>
      </c>
      <c r="AT539">
        <v>-2011</v>
      </c>
      <c r="AU539">
        <v>-2146</v>
      </c>
      <c r="AV539">
        <v>100</v>
      </c>
      <c r="AW539">
        <v>4.8</v>
      </c>
      <c r="AX539">
        <v>6.5</v>
      </c>
      <c r="AY539">
        <v>0.4</v>
      </c>
      <c r="AZ539">
        <v>91.7</v>
      </c>
      <c r="BA539">
        <v>91.7</v>
      </c>
      <c r="BB539">
        <v>96.9</v>
      </c>
      <c r="BC539">
        <v>98.7</v>
      </c>
      <c r="BD539">
        <v>3.1</v>
      </c>
      <c r="BE539">
        <v>1.3</v>
      </c>
      <c r="BF539">
        <v>100</v>
      </c>
      <c r="BG539">
        <v>4.8</v>
      </c>
      <c r="BH539">
        <v>6.5</v>
      </c>
      <c r="BI539">
        <v>0.4</v>
      </c>
      <c r="BJ539">
        <v>91.7</v>
      </c>
      <c r="BK539">
        <v>91.7</v>
      </c>
      <c r="BL539">
        <v>96.9</v>
      </c>
      <c r="BM539">
        <v>98.7</v>
      </c>
      <c r="BN539">
        <v>3.1</v>
      </c>
      <c r="BO539">
        <v>1.3</v>
      </c>
      <c r="BP539">
        <v>0</v>
      </c>
      <c r="BQ539">
        <v>0</v>
      </c>
      <c r="BR539">
        <v>0</v>
      </c>
      <c r="BS539">
        <v>0</v>
      </c>
      <c r="BT539">
        <v>0</v>
      </c>
      <c r="BU539">
        <v>0</v>
      </c>
      <c r="BV539">
        <v>0</v>
      </c>
      <c r="BW539">
        <v>0</v>
      </c>
      <c r="BX539">
        <v>0</v>
      </c>
      <c r="BY539">
        <v>0</v>
      </c>
      <c r="BZ539">
        <v>190</v>
      </c>
      <c r="CA539">
        <v>23</v>
      </c>
      <c r="CB539">
        <v>17</v>
      </c>
      <c r="CC539">
        <v>6</v>
      </c>
      <c r="CD539">
        <v>103</v>
      </c>
      <c r="CE539">
        <v>88</v>
      </c>
      <c r="CF539">
        <v>131</v>
      </c>
      <c r="CG539">
        <v>106</v>
      </c>
      <c r="CH539">
        <v>190</v>
      </c>
      <c r="CI539">
        <v>23</v>
      </c>
      <c r="CJ539">
        <v>17</v>
      </c>
      <c r="CK539">
        <v>6</v>
      </c>
      <c r="CL539">
        <v>103</v>
      </c>
      <c r="CM539">
        <v>88</v>
      </c>
      <c r="CN539">
        <v>131</v>
      </c>
      <c r="CO539">
        <v>106</v>
      </c>
      <c r="CP539">
        <v>0</v>
      </c>
      <c r="CQ539">
        <v>0</v>
      </c>
      <c r="CR539">
        <v>0</v>
      </c>
      <c r="CS539">
        <v>0</v>
      </c>
      <c r="CT539">
        <v>0</v>
      </c>
      <c r="CU539">
        <v>0</v>
      </c>
      <c r="CV539">
        <v>0</v>
      </c>
      <c r="CW539">
        <v>0</v>
      </c>
      <c r="CX539">
        <v>26</v>
      </c>
      <c r="CY539">
        <v>33.6</v>
      </c>
      <c r="CZ539">
        <v>38</v>
      </c>
      <c r="DA539">
        <v>49.5</v>
      </c>
      <c r="DB539">
        <v>23.8</v>
      </c>
      <c r="DC539">
        <v>32.799999999999997</v>
      </c>
      <c r="DD539">
        <v>35.4</v>
      </c>
      <c r="DE539">
        <v>46.1</v>
      </c>
      <c r="DF539">
        <v>26</v>
      </c>
      <c r="DG539">
        <v>33.6</v>
      </c>
      <c r="DH539">
        <v>38</v>
      </c>
      <c r="DI539">
        <v>49.5</v>
      </c>
      <c r="DJ539">
        <v>23.8</v>
      </c>
      <c r="DK539">
        <v>32.799999999999997</v>
      </c>
      <c r="DL539">
        <v>35.4</v>
      </c>
      <c r="DM539">
        <v>46.1</v>
      </c>
      <c r="DN539">
        <v>0</v>
      </c>
      <c r="DO539">
        <v>0</v>
      </c>
      <c r="DP539">
        <v>0</v>
      </c>
      <c r="DQ539">
        <v>0</v>
      </c>
      <c r="DR539">
        <v>0</v>
      </c>
      <c r="DS539">
        <v>0</v>
      </c>
      <c r="DT539">
        <v>0</v>
      </c>
      <c r="DU539">
        <v>0</v>
      </c>
      <c r="DV539" t="s">
        <v>917</v>
      </c>
    </row>
    <row r="540" spans="1:126" x14ac:dyDescent="0.35">
      <c r="A540" t="s">
        <v>918</v>
      </c>
      <c r="B540">
        <v>230110</v>
      </c>
      <c r="C540" s="1">
        <v>44936</v>
      </c>
      <c r="D540" t="s">
        <v>919</v>
      </c>
      <c r="E540" t="s">
        <v>393</v>
      </c>
      <c r="F540" t="s">
        <v>185</v>
      </c>
      <c r="G540" t="s">
        <v>916</v>
      </c>
      <c r="H540">
        <v>1125754</v>
      </c>
      <c r="I540" s="17">
        <v>132412</v>
      </c>
      <c r="J540" s="17">
        <v>122452</v>
      </c>
      <c r="K540">
        <v>9393</v>
      </c>
      <c r="L540">
        <v>946091</v>
      </c>
      <c r="M540">
        <v>977991</v>
      </c>
      <c r="N540">
        <v>1087896</v>
      </c>
      <c r="O540">
        <v>1109836</v>
      </c>
      <c r="P540">
        <v>37858</v>
      </c>
      <c r="Q540">
        <v>15918</v>
      </c>
      <c r="R540">
        <v>1125754</v>
      </c>
      <c r="S540">
        <v>132412</v>
      </c>
      <c r="T540">
        <v>122452</v>
      </c>
      <c r="U540">
        <v>9393</v>
      </c>
      <c r="V540">
        <v>946091</v>
      </c>
      <c r="W540">
        <v>977991</v>
      </c>
      <c r="X540">
        <v>1087896</v>
      </c>
      <c r="Y540">
        <v>1109836</v>
      </c>
      <c r="Z540">
        <v>37858</v>
      </c>
      <c r="AA540">
        <v>15918</v>
      </c>
      <c r="AB540">
        <v>0</v>
      </c>
      <c r="AC540">
        <v>0</v>
      </c>
      <c r="AD540">
        <v>0</v>
      </c>
      <c r="AE540">
        <v>0</v>
      </c>
      <c r="AF540">
        <v>0</v>
      </c>
      <c r="AG540">
        <v>0</v>
      </c>
      <c r="AH540">
        <v>0</v>
      </c>
      <c r="AI540">
        <v>0</v>
      </c>
      <c r="AJ540">
        <v>0</v>
      </c>
      <c r="AK540">
        <v>0</v>
      </c>
      <c r="AL540">
        <v>69546</v>
      </c>
      <c r="AM540">
        <v>16621</v>
      </c>
      <c r="AN540">
        <v>43679</v>
      </c>
      <c r="AO540">
        <v>-1365</v>
      </c>
      <c r="AP540">
        <v>48824</v>
      </c>
      <c r="AQ540">
        <v>23306</v>
      </c>
      <c r="AR540">
        <v>64080</v>
      </c>
      <c r="AS540">
        <v>65620</v>
      </c>
      <c r="AT540">
        <v>5466</v>
      </c>
      <c r="AU540">
        <v>3926</v>
      </c>
      <c r="AV540">
        <v>100</v>
      </c>
      <c r="AW540">
        <v>11.8</v>
      </c>
      <c r="AX540">
        <v>10.9</v>
      </c>
      <c r="AY540">
        <v>0.8</v>
      </c>
      <c r="AZ540">
        <v>84</v>
      </c>
      <c r="BA540">
        <v>86.9</v>
      </c>
      <c r="BB540">
        <v>96.6</v>
      </c>
      <c r="BC540">
        <v>98.6</v>
      </c>
      <c r="BD540">
        <v>3.4</v>
      </c>
      <c r="BE540">
        <v>1.4</v>
      </c>
      <c r="BF540">
        <v>100</v>
      </c>
      <c r="BG540">
        <v>11.8</v>
      </c>
      <c r="BH540">
        <v>10.9</v>
      </c>
      <c r="BI540">
        <v>0.8</v>
      </c>
      <c r="BJ540">
        <v>84</v>
      </c>
      <c r="BK540">
        <v>86.9</v>
      </c>
      <c r="BL540">
        <v>96.6</v>
      </c>
      <c r="BM540">
        <v>98.6</v>
      </c>
      <c r="BN540">
        <v>3.4</v>
      </c>
      <c r="BO540">
        <v>1.4</v>
      </c>
      <c r="BP540">
        <v>0</v>
      </c>
      <c r="BQ540">
        <v>0</v>
      </c>
      <c r="BR540">
        <v>0</v>
      </c>
      <c r="BS540">
        <v>0</v>
      </c>
      <c r="BT540">
        <v>0</v>
      </c>
      <c r="BU540">
        <v>0</v>
      </c>
      <c r="BV540">
        <v>0</v>
      </c>
      <c r="BW540">
        <v>0</v>
      </c>
      <c r="BX540">
        <v>0</v>
      </c>
      <c r="BY540">
        <v>0</v>
      </c>
      <c r="BZ540">
        <v>409</v>
      </c>
      <c r="CA540">
        <v>70</v>
      </c>
      <c r="CB540">
        <v>41</v>
      </c>
      <c r="CC540">
        <v>25</v>
      </c>
      <c r="CD540">
        <v>250</v>
      </c>
      <c r="CE540">
        <v>150</v>
      </c>
      <c r="CF540">
        <v>332</v>
      </c>
      <c r="CG540">
        <v>204</v>
      </c>
      <c r="CH540">
        <v>409</v>
      </c>
      <c r="CI540">
        <v>70</v>
      </c>
      <c r="CJ540">
        <v>41</v>
      </c>
      <c r="CK540">
        <v>25</v>
      </c>
      <c r="CL540">
        <v>250</v>
      </c>
      <c r="CM540">
        <v>150</v>
      </c>
      <c r="CN540">
        <v>332</v>
      </c>
      <c r="CO540">
        <v>204</v>
      </c>
      <c r="CP540">
        <v>0</v>
      </c>
      <c r="CQ540">
        <v>0</v>
      </c>
      <c r="CR540">
        <v>0</v>
      </c>
      <c r="CS540">
        <v>0</v>
      </c>
      <c r="CT540">
        <v>0</v>
      </c>
      <c r="CU540">
        <v>0</v>
      </c>
      <c r="CV540">
        <v>0</v>
      </c>
      <c r="CW540">
        <v>0</v>
      </c>
      <c r="CX540">
        <v>14.6</v>
      </c>
      <c r="CY540">
        <v>35.1</v>
      </c>
      <c r="CZ540">
        <v>22.9</v>
      </c>
      <c r="DA540">
        <v>49.7</v>
      </c>
      <c r="DB540">
        <v>13.9</v>
      </c>
      <c r="DC540">
        <v>34.299999999999997</v>
      </c>
      <c r="DD540">
        <v>21.3</v>
      </c>
      <c r="DE540">
        <v>48.5</v>
      </c>
      <c r="DF540">
        <v>14.6</v>
      </c>
      <c r="DG540">
        <v>35.1</v>
      </c>
      <c r="DH540">
        <v>22.9</v>
      </c>
      <c r="DI540">
        <v>49.7</v>
      </c>
      <c r="DJ540">
        <v>13.9</v>
      </c>
      <c r="DK540">
        <v>34.299999999999997</v>
      </c>
      <c r="DL540">
        <v>21.3</v>
      </c>
      <c r="DM540">
        <v>48.5</v>
      </c>
      <c r="DN540">
        <v>0</v>
      </c>
      <c r="DO540">
        <v>0</v>
      </c>
      <c r="DP540">
        <v>0</v>
      </c>
      <c r="DQ540">
        <v>0</v>
      </c>
      <c r="DR540">
        <v>0</v>
      </c>
      <c r="DS540">
        <v>0</v>
      </c>
      <c r="DT540">
        <v>0</v>
      </c>
      <c r="DU540">
        <v>0</v>
      </c>
      <c r="DV540" t="s">
        <v>920</v>
      </c>
    </row>
    <row r="541" spans="1:126" x14ac:dyDescent="0.35">
      <c r="A541" t="s">
        <v>918</v>
      </c>
      <c r="B541">
        <v>230103</v>
      </c>
      <c r="C541" s="1">
        <v>44929</v>
      </c>
      <c r="D541" t="s">
        <v>919</v>
      </c>
      <c r="E541" t="s">
        <v>393</v>
      </c>
      <c r="F541" t="s">
        <v>185</v>
      </c>
      <c r="G541" t="s">
        <v>916</v>
      </c>
      <c r="H541">
        <v>1056208</v>
      </c>
      <c r="I541" s="17">
        <v>115791</v>
      </c>
      <c r="J541" s="17">
        <v>78773</v>
      </c>
      <c r="K541">
        <v>10758</v>
      </c>
      <c r="L541">
        <v>897267</v>
      </c>
      <c r="M541">
        <v>954685</v>
      </c>
      <c r="N541">
        <v>1023816</v>
      </c>
      <c r="O541">
        <v>1044216</v>
      </c>
      <c r="P541">
        <v>32392</v>
      </c>
      <c r="Q541">
        <v>11992</v>
      </c>
      <c r="R541">
        <v>1056208</v>
      </c>
      <c r="S541">
        <v>115791</v>
      </c>
      <c r="T541">
        <v>78773</v>
      </c>
      <c r="U541">
        <v>10758</v>
      </c>
      <c r="V541">
        <v>897267</v>
      </c>
      <c r="W541">
        <v>954685</v>
      </c>
      <c r="X541">
        <v>1023816</v>
      </c>
      <c r="Y541">
        <v>1044216</v>
      </c>
      <c r="Z541">
        <v>32392</v>
      </c>
      <c r="AA541">
        <v>11992</v>
      </c>
      <c r="AB541">
        <v>0</v>
      </c>
      <c r="AC541">
        <v>0</v>
      </c>
      <c r="AD541">
        <v>0</v>
      </c>
      <c r="AE541">
        <v>0</v>
      </c>
      <c r="AF541">
        <v>0</v>
      </c>
      <c r="AG541">
        <v>0</v>
      </c>
      <c r="AH541">
        <v>0</v>
      </c>
      <c r="AI541">
        <v>0</v>
      </c>
      <c r="AJ541">
        <v>0</v>
      </c>
      <c r="AK541">
        <v>0</v>
      </c>
      <c r="AL541">
        <v>-31151</v>
      </c>
      <c r="AM541">
        <v>1399</v>
      </c>
      <c r="AN541">
        <v>4898</v>
      </c>
      <c r="AO541">
        <v>-1321</v>
      </c>
      <c r="AP541">
        <v>-27007</v>
      </c>
      <c r="AQ541">
        <v>-30466</v>
      </c>
      <c r="AR541">
        <v>-26929</v>
      </c>
      <c r="AS541">
        <v>-26889</v>
      </c>
      <c r="AT541">
        <v>-4222</v>
      </c>
      <c r="AU541">
        <v>-4262</v>
      </c>
      <c r="AV541">
        <v>100</v>
      </c>
      <c r="AW541">
        <v>11</v>
      </c>
      <c r="AX541">
        <v>7.5</v>
      </c>
      <c r="AY541">
        <v>1</v>
      </c>
      <c r="AZ541">
        <v>85</v>
      </c>
      <c r="BA541">
        <v>90.4</v>
      </c>
      <c r="BB541">
        <v>96.9</v>
      </c>
      <c r="BC541">
        <v>98.9</v>
      </c>
      <c r="BD541">
        <v>3.1</v>
      </c>
      <c r="BE541">
        <v>1.1000000000000001</v>
      </c>
      <c r="BF541">
        <v>100</v>
      </c>
      <c r="BG541">
        <v>11</v>
      </c>
      <c r="BH541">
        <v>7.5</v>
      </c>
      <c r="BI541">
        <v>1</v>
      </c>
      <c r="BJ541">
        <v>85</v>
      </c>
      <c r="BK541">
        <v>90.4</v>
      </c>
      <c r="BL541">
        <v>96.9</v>
      </c>
      <c r="BM541">
        <v>98.9</v>
      </c>
      <c r="BN541">
        <v>3.1</v>
      </c>
      <c r="BO541">
        <v>1.1000000000000001</v>
      </c>
      <c r="BP541">
        <v>0</v>
      </c>
      <c r="BQ541">
        <v>0</v>
      </c>
      <c r="BR541">
        <v>0</v>
      </c>
      <c r="BS541">
        <v>0</v>
      </c>
      <c r="BT541">
        <v>0</v>
      </c>
      <c r="BU541">
        <v>0</v>
      </c>
      <c r="BV541">
        <v>0</v>
      </c>
      <c r="BW541">
        <v>0</v>
      </c>
      <c r="BX541">
        <v>0</v>
      </c>
      <c r="BY541">
        <v>0</v>
      </c>
      <c r="BZ541">
        <v>395</v>
      </c>
      <c r="CA541">
        <v>67</v>
      </c>
      <c r="CB541">
        <v>41</v>
      </c>
      <c r="CC541">
        <v>30</v>
      </c>
      <c r="CD541">
        <v>238</v>
      </c>
      <c r="CE541">
        <v>158</v>
      </c>
      <c r="CF541">
        <v>322</v>
      </c>
      <c r="CG541">
        <v>212</v>
      </c>
      <c r="CH541">
        <v>395</v>
      </c>
      <c r="CI541">
        <v>67</v>
      </c>
      <c r="CJ541">
        <v>41</v>
      </c>
      <c r="CK541">
        <v>30</v>
      </c>
      <c r="CL541">
        <v>238</v>
      </c>
      <c r="CM541">
        <v>158</v>
      </c>
      <c r="CN541">
        <v>322</v>
      </c>
      <c r="CO541">
        <v>212</v>
      </c>
      <c r="CP541">
        <v>0</v>
      </c>
      <c r="CQ541">
        <v>0</v>
      </c>
      <c r="CR541">
        <v>0</v>
      </c>
      <c r="CS541">
        <v>0</v>
      </c>
      <c r="CT541">
        <v>0</v>
      </c>
      <c r="CU541">
        <v>0</v>
      </c>
      <c r="CV541">
        <v>0</v>
      </c>
      <c r="CW541">
        <v>0</v>
      </c>
      <c r="CX541">
        <v>15.5</v>
      </c>
      <c r="CY541">
        <v>36.299999999999997</v>
      </c>
      <c r="CZ541">
        <v>24.2</v>
      </c>
      <c r="DA541">
        <v>49.9</v>
      </c>
      <c r="DB541">
        <v>14.8</v>
      </c>
      <c r="DC541">
        <v>35.700000000000003</v>
      </c>
      <c r="DD541">
        <v>23</v>
      </c>
      <c r="DE541">
        <v>47.5</v>
      </c>
      <c r="DF541">
        <v>15.5</v>
      </c>
      <c r="DG541">
        <v>36.299999999999997</v>
      </c>
      <c r="DH541">
        <v>24.2</v>
      </c>
      <c r="DI541">
        <v>49.9</v>
      </c>
      <c r="DJ541">
        <v>14.8</v>
      </c>
      <c r="DK541">
        <v>35.700000000000003</v>
      </c>
      <c r="DL541">
        <v>23</v>
      </c>
      <c r="DM541">
        <v>47.5</v>
      </c>
      <c r="DN541">
        <v>0</v>
      </c>
      <c r="DO541">
        <v>0</v>
      </c>
      <c r="DP541">
        <v>0</v>
      </c>
      <c r="DQ541">
        <v>0</v>
      </c>
      <c r="DR541">
        <v>0</v>
      </c>
      <c r="DS541">
        <v>0</v>
      </c>
      <c r="DT541">
        <v>0</v>
      </c>
      <c r="DU541">
        <v>0</v>
      </c>
      <c r="DV541" t="s">
        <v>920</v>
      </c>
    </row>
    <row r="542" spans="1:126" x14ac:dyDescent="0.35">
      <c r="A542" t="s">
        <v>921</v>
      </c>
      <c r="B542">
        <v>230110</v>
      </c>
      <c r="C542" s="1">
        <v>44936</v>
      </c>
      <c r="D542" t="s">
        <v>922</v>
      </c>
      <c r="E542" t="s">
        <v>402</v>
      </c>
      <c r="F542" t="s">
        <v>165</v>
      </c>
      <c r="G542" t="s">
        <v>775</v>
      </c>
      <c r="H542">
        <v>31657</v>
      </c>
      <c r="I542" s="17">
        <v>6915</v>
      </c>
      <c r="J542" s="17">
        <v>10013</v>
      </c>
      <c r="K542">
        <v>892</v>
      </c>
      <c r="L542">
        <v>11143</v>
      </c>
      <c r="M542">
        <v>18426</v>
      </c>
      <c r="N542">
        <v>18950</v>
      </c>
      <c r="O542">
        <v>29331</v>
      </c>
      <c r="P542">
        <v>12707</v>
      </c>
      <c r="Q542">
        <v>2326</v>
      </c>
      <c r="R542">
        <v>31657</v>
      </c>
      <c r="S542">
        <v>6915</v>
      </c>
      <c r="T542">
        <v>10013</v>
      </c>
      <c r="U542">
        <v>892</v>
      </c>
      <c r="V542">
        <v>11143</v>
      </c>
      <c r="W542">
        <v>18426</v>
      </c>
      <c r="X542">
        <v>18950</v>
      </c>
      <c r="Y542">
        <v>29331</v>
      </c>
      <c r="Z542">
        <v>12707</v>
      </c>
      <c r="AA542">
        <v>2326</v>
      </c>
      <c r="AB542">
        <v>0</v>
      </c>
      <c r="AC542">
        <v>0</v>
      </c>
      <c r="AD542">
        <v>0</v>
      </c>
      <c r="AE542">
        <v>0</v>
      </c>
      <c r="AF542">
        <v>0</v>
      </c>
      <c r="AG542">
        <v>0</v>
      </c>
      <c r="AH542">
        <v>0</v>
      </c>
      <c r="AI542">
        <v>0</v>
      </c>
      <c r="AJ542">
        <v>0</v>
      </c>
      <c r="AK542">
        <v>0</v>
      </c>
      <c r="AL542">
        <v>90</v>
      </c>
      <c r="AM542">
        <v>67</v>
      </c>
      <c r="AN542">
        <v>1</v>
      </c>
      <c r="AO542">
        <v>-64</v>
      </c>
      <c r="AP542">
        <v>-92</v>
      </c>
      <c r="AQ542">
        <v>128</v>
      </c>
      <c r="AR542">
        <v>-89</v>
      </c>
      <c r="AS542">
        <v>65</v>
      </c>
      <c r="AT542">
        <v>179</v>
      </c>
      <c r="AU542">
        <v>25</v>
      </c>
      <c r="AV542">
        <v>100</v>
      </c>
      <c r="AW542">
        <v>21.8</v>
      </c>
      <c r="AX542">
        <v>31.6</v>
      </c>
      <c r="AY542">
        <v>2.8</v>
      </c>
      <c r="AZ542">
        <v>35.200000000000003</v>
      </c>
      <c r="BA542">
        <v>58.2</v>
      </c>
      <c r="BB542">
        <v>59.9</v>
      </c>
      <c r="BC542">
        <v>92.7</v>
      </c>
      <c r="BD542">
        <v>40.1</v>
      </c>
      <c r="BE542">
        <v>7.3</v>
      </c>
      <c r="BF542">
        <v>100</v>
      </c>
      <c r="BG542">
        <v>21.8</v>
      </c>
      <c r="BH542">
        <v>31.6</v>
      </c>
      <c r="BI542">
        <v>2.8</v>
      </c>
      <c r="BJ542">
        <v>35.200000000000003</v>
      </c>
      <c r="BK542">
        <v>58.2</v>
      </c>
      <c r="BL542">
        <v>59.9</v>
      </c>
      <c r="BM542">
        <v>92.7</v>
      </c>
      <c r="BN542">
        <v>40.1</v>
      </c>
      <c r="BO542">
        <v>7.3</v>
      </c>
      <c r="BP542">
        <v>0</v>
      </c>
      <c r="BQ542">
        <v>0</v>
      </c>
      <c r="BR542">
        <v>0</v>
      </c>
      <c r="BS542">
        <v>0</v>
      </c>
      <c r="BT542">
        <v>0</v>
      </c>
      <c r="BU542">
        <v>0</v>
      </c>
      <c r="BV542">
        <v>0</v>
      </c>
      <c r="BW542">
        <v>0</v>
      </c>
      <c r="BX542">
        <v>0</v>
      </c>
      <c r="BY542">
        <v>0</v>
      </c>
      <c r="BZ542">
        <v>31</v>
      </c>
      <c r="CA542">
        <v>10</v>
      </c>
      <c r="CB542">
        <v>6</v>
      </c>
      <c r="CC542">
        <v>2</v>
      </c>
      <c r="CD542">
        <v>11</v>
      </c>
      <c r="CE542">
        <v>9</v>
      </c>
      <c r="CF542">
        <v>22</v>
      </c>
      <c r="CG542">
        <v>16</v>
      </c>
      <c r="CH542">
        <v>31</v>
      </c>
      <c r="CI542">
        <v>10</v>
      </c>
      <c r="CJ542">
        <v>6</v>
      </c>
      <c r="CK542">
        <v>2</v>
      </c>
      <c r="CL542">
        <v>11</v>
      </c>
      <c r="CM542">
        <v>9</v>
      </c>
      <c r="CN542">
        <v>22</v>
      </c>
      <c r="CO542">
        <v>16</v>
      </c>
      <c r="CP542">
        <v>0</v>
      </c>
      <c r="CQ542">
        <v>0</v>
      </c>
      <c r="CR542">
        <v>0</v>
      </c>
      <c r="CS542">
        <v>0</v>
      </c>
      <c r="CT542">
        <v>0</v>
      </c>
      <c r="CU542">
        <v>0</v>
      </c>
      <c r="CV542">
        <v>0</v>
      </c>
      <c r="CW542">
        <v>0</v>
      </c>
      <c r="CX542">
        <v>21.1</v>
      </c>
      <c r="CY542">
        <v>61.7</v>
      </c>
      <c r="CZ542">
        <v>36.799999999999997</v>
      </c>
      <c r="DA542">
        <v>80.599999999999994</v>
      </c>
      <c r="DB542">
        <v>21.1</v>
      </c>
      <c r="DC542">
        <v>61.6</v>
      </c>
      <c r="DD542">
        <v>33.4</v>
      </c>
      <c r="DE542">
        <v>78.7</v>
      </c>
      <c r="DF542">
        <v>21.1</v>
      </c>
      <c r="DG542">
        <v>61.7</v>
      </c>
      <c r="DH542">
        <v>36.799999999999997</v>
      </c>
      <c r="DI542">
        <v>80.599999999999994</v>
      </c>
      <c r="DJ542">
        <v>21.1</v>
      </c>
      <c r="DK542">
        <v>61.6</v>
      </c>
      <c r="DL542">
        <v>33.4</v>
      </c>
      <c r="DM542">
        <v>78.7</v>
      </c>
      <c r="DN542">
        <v>0</v>
      </c>
      <c r="DO542">
        <v>0</v>
      </c>
      <c r="DP542">
        <v>0</v>
      </c>
      <c r="DQ542">
        <v>0</v>
      </c>
      <c r="DR542">
        <v>0</v>
      </c>
      <c r="DS542">
        <v>0</v>
      </c>
      <c r="DT542">
        <v>0</v>
      </c>
      <c r="DU542">
        <v>0</v>
      </c>
      <c r="DV542" t="s">
        <v>776</v>
      </c>
    </row>
    <row r="543" spans="1:126" x14ac:dyDescent="0.35">
      <c r="A543" t="s">
        <v>921</v>
      </c>
      <c r="B543">
        <v>230103</v>
      </c>
      <c r="C543" s="1">
        <v>44929</v>
      </c>
      <c r="D543" t="s">
        <v>922</v>
      </c>
      <c r="E543" t="s">
        <v>402</v>
      </c>
      <c r="F543" t="s">
        <v>165</v>
      </c>
      <c r="G543" t="s">
        <v>775</v>
      </c>
      <c r="H543">
        <v>31567</v>
      </c>
      <c r="I543" s="17">
        <v>6848</v>
      </c>
      <c r="J543" s="17">
        <v>10012</v>
      </c>
      <c r="K543">
        <v>956</v>
      </c>
      <c r="L543">
        <v>11235</v>
      </c>
      <c r="M543">
        <v>18298</v>
      </c>
      <c r="N543">
        <v>19039</v>
      </c>
      <c r="O543">
        <v>29266</v>
      </c>
      <c r="P543">
        <v>12528</v>
      </c>
      <c r="Q543">
        <v>2301</v>
      </c>
      <c r="R543">
        <v>31567</v>
      </c>
      <c r="S543">
        <v>6848</v>
      </c>
      <c r="T543">
        <v>10012</v>
      </c>
      <c r="U543">
        <v>956</v>
      </c>
      <c r="V543">
        <v>11235</v>
      </c>
      <c r="W543">
        <v>18298</v>
      </c>
      <c r="X543">
        <v>19039</v>
      </c>
      <c r="Y543">
        <v>29266</v>
      </c>
      <c r="Z543">
        <v>12528</v>
      </c>
      <c r="AA543">
        <v>2301</v>
      </c>
      <c r="AB543">
        <v>0</v>
      </c>
      <c r="AC543">
        <v>0</v>
      </c>
      <c r="AD543">
        <v>0</v>
      </c>
      <c r="AE543">
        <v>0</v>
      </c>
      <c r="AF543">
        <v>0</v>
      </c>
      <c r="AG543">
        <v>0</v>
      </c>
      <c r="AH543">
        <v>0</v>
      </c>
      <c r="AI543">
        <v>0</v>
      </c>
      <c r="AJ543">
        <v>0</v>
      </c>
      <c r="AK543">
        <v>0</v>
      </c>
      <c r="AL543">
        <v>1868</v>
      </c>
      <c r="AM543">
        <v>2026</v>
      </c>
      <c r="AN543">
        <v>1433</v>
      </c>
      <c r="AO543">
        <v>496</v>
      </c>
      <c r="AP543">
        <v>35</v>
      </c>
      <c r="AQ543">
        <v>768</v>
      </c>
      <c r="AR543">
        <v>2557</v>
      </c>
      <c r="AS543">
        <v>2697</v>
      </c>
      <c r="AT543">
        <v>-689</v>
      </c>
      <c r="AU543">
        <v>-829</v>
      </c>
      <c r="AV543">
        <v>100</v>
      </c>
      <c r="AW543">
        <v>21.7</v>
      </c>
      <c r="AX543">
        <v>31.7</v>
      </c>
      <c r="AY543">
        <v>3</v>
      </c>
      <c r="AZ543">
        <v>35.6</v>
      </c>
      <c r="BA543">
        <v>58</v>
      </c>
      <c r="BB543">
        <v>60.3</v>
      </c>
      <c r="BC543">
        <v>92.7</v>
      </c>
      <c r="BD543">
        <v>39.700000000000003</v>
      </c>
      <c r="BE543">
        <v>7.3</v>
      </c>
      <c r="BF543">
        <v>100</v>
      </c>
      <c r="BG543">
        <v>21.7</v>
      </c>
      <c r="BH543">
        <v>31.7</v>
      </c>
      <c r="BI543">
        <v>3</v>
      </c>
      <c r="BJ543">
        <v>35.6</v>
      </c>
      <c r="BK543">
        <v>58</v>
      </c>
      <c r="BL543">
        <v>60.3</v>
      </c>
      <c r="BM543">
        <v>92.7</v>
      </c>
      <c r="BN543">
        <v>39.700000000000003</v>
      </c>
      <c r="BO543">
        <v>7.3</v>
      </c>
      <c r="BP543">
        <v>0</v>
      </c>
      <c r="BQ543">
        <v>0</v>
      </c>
      <c r="BR543">
        <v>0</v>
      </c>
      <c r="BS543">
        <v>0</v>
      </c>
      <c r="BT543">
        <v>0</v>
      </c>
      <c r="BU543">
        <v>0</v>
      </c>
      <c r="BV543">
        <v>0</v>
      </c>
      <c r="BW543">
        <v>0</v>
      </c>
      <c r="BX543">
        <v>0</v>
      </c>
      <c r="BY543">
        <v>0</v>
      </c>
      <c r="BZ543">
        <v>30</v>
      </c>
      <c r="CA543">
        <v>10</v>
      </c>
      <c r="CB543">
        <v>5</v>
      </c>
      <c r="CC543">
        <v>3</v>
      </c>
      <c r="CD543">
        <v>11</v>
      </c>
      <c r="CE543">
        <v>9</v>
      </c>
      <c r="CF543">
        <v>23</v>
      </c>
      <c r="CG543">
        <v>15</v>
      </c>
      <c r="CH543">
        <v>30</v>
      </c>
      <c r="CI543">
        <v>10</v>
      </c>
      <c r="CJ543">
        <v>5</v>
      </c>
      <c r="CK543">
        <v>3</v>
      </c>
      <c r="CL543">
        <v>11</v>
      </c>
      <c r="CM543">
        <v>9</v>
      </c>
      <c r="CN543">
        <v>23</v>
      </c>
      <c r="CO543">
        <v>15</v>
      </c>
      <c r="CP543">
        <v>0</v>
      </c>
      <c r="CQ543">
        <v>0</v>
      </c>
      <c r="CR543">
        <v>0</v>
      </c>
      <c r="CS543">
        <v>0</v>
      </c>
      <c r="CT543">
        <v>0</v>
      </c>
      <c r="CU543">
        <v>0</v>
      </c>
      <c r="CV543">
        <v>0</v>
      </c>
      <c r="CW543">
        <v>0</v>
      </c>
      <c r="CX543">
        <v>20.3</v>
      </c>
      <c r="CY543">
        <v>62.2</v>
      </c>
      <c r="CZ543">
        <v>36.5</v>
      </c>
      <c r="DA543">
        <v>82.9</v>
      </c>
      <c r="DB543">
        <v>20.3</v>
      </c>
      <c r="DC543">
        <v>62.1</v>
      </c>
      <c r="DD543">
        <v>33.700000000000003</v>
      </c>
      <c r="DE543">
        <v>80.5</v>
      </c>
      <c r="DF543">
        <v>20.3</v>
      </c>
      <c r="DG543">
        <v>62.2</v>
      </c>
      <c r="DH543">
        <v>36.5</v>
      </c>
      <c r="DI543">
        <v>82.9</v>
      </c>
      <c r="DJ543">
        <v>20.3</v>
      </c>
      <c r="DK543">
        <v>62.1</v>
      </c>
      <c r="DL543">
        <v>33.700000000000003</v>
      </c>
      <c r="DM543">
        <v>80.5</v>
      </c>
      <c r="DN543">
        <v>0</v>
      </c>
      <c r="DO543">
        <v>0</v>
      </c>
      <c r="DP543">
        <v>0</v>
      </c>
      <c r="DQ543">
        <v>0</v>
      </c>
      <c r="DR543">
        <v>0</v>
      </c>
      <c r="DS543">
        <v>0</v>
      </c>
      <c r="DT543">
        <v>0</v>
      </c>
      <c r="DU543">
        <v>0</v>
      </c>
      <c r="DV543" t="s">
        <v>776</v>
      </c>
    </row>
    <row r="544" spans="1:126" x14ac:dyDescent="0.35">
      <c r="A544" t="s">
        <v>923</v>
      </c>
      <c r="B544">
        <v>230110</v>
      </c>
      <c r="C544" s="1">
        <v>44936</v>
      </c>
      <c r="D544" t="s">
        <v>924</v>
      </c>
      <c r="E544" t="s">
        <v>402</v>
      </c>
      <c r="F544" t="s">
        <v>165</v>
      </c>
      <c r="G544" t="s">
        <v>834</v>
      </c>
      <c r="H544">
        <v>42541</v>
      </c>
      <c r="I544" s="17">
        <v>8792</v>
      </c>
      <c r="J544" s="17">
        <v>1156</v>
      </c>
      <c r="K544">
        <v>254</v>
      </c>
      <c r="L544">
        <v>26537</v>
      </c>
      <c r="M544">
        <v>37143</v>
      </c>
      <c r="N544">
        <v>35583</v>
      </c>
      <c r="O544">
        <v>38553</v>
      </c>
      <c r="P544">
        <v>6958</v>
      </c>
      <c r="Q544">
        <v>3988</v>
      </c>
      <c r="R544">
        <v>42541</v>
      </c>
      <c r="S544">
        <v>8792</v>
      </c>
      <c r="T544">
        <v>1156</v>
      </c>
      <c r="U544">
        <v>254</v>
      </c>
      <c r="V544">
        <v>26537</v>
      </c>
      <c r="W544">
        <v>37143</v>
      </c>
      <c r="X544">
        <v>35583</v>
      </c>
      <c r="Y544">
        <v>38553</v>
      </c>
      <c r="Z544">
        <v>6958</v>
      </c>
      <c r="AA544">
        <v>3988</v>
      </c>
      <c r="AB544">
        <v>0</v>
      </c>
      <c r="AC544">
        <v>0</v>
      </c>
      <c r="AD544">
        <v>0</v>
      </c>
      <c r="AE544">
        <v>0</v>
      </c>
      <c r="AF544">
        <v>0</v>
      </c>
      <c r="AG544">
        <v>0</v>
      </c>
      <c r="AH544">
        <v>0</v>
      </c>
      <c r="AI544">
        <v>0</v>
      </c>
      <c r="AJ544">
        <v>0</v>
      </c>
      <c r="AK544">
        <v>0</v>
      </c>
      <c r="AL544">
        <v>-601</v>
      </c>
      <c r="AM544">
        <v>-1024</v>
      </c>
      <c r="AN544">
        <v>-1347</v>
      </c>
      <c r="AO544">
        <v>2</v>
      </c>
      <c r="AP544">
        <v>280</v>
      </c>
      <c r="AQ544">
        <v>745</v>
      </c>
      <c r="AR544">
        <v>-742</v>
      </c>
      <c r="AS544">
        <v>-600</v>
      </c>
      <c r="AT544">
        <v>141</v>
      </c>
      <c r="AU544">
        <v>-1</v>
      </c>
      <c r="AV544">
        <v>100</v>
      </c>
      <c r="AW544">
        <v>20.7</v>
      </c>
      <c r="AX544">
        <v>2.7</v>
      </c>
      <c r="AY544">
        <v>0.6</v>
      </c>
      <c r="AZ544">
        <v>62.4</v>
      </c>
      <c r="BA544">
        <v>87.3</v>
      </c>
      <c r="BB544">
        <v>83.6</v>
      </c>
      <c r="BC544">
        <v>90.6</v>
      </c>
      <c r="BD544">
        <v>16.399999999999999</v>
      </c>
      <c r="BE544">
        <v>9.4</v>
      </c>
      <c r="BF544">
        <v>100</v>
      </c>
      <c r="BG544">
        <v>20.7</v>
      </c>
      <c r="BH544">
        <v>2.7</v>
      </c>
      <c r="BI544">
        <v>0.6</v>
      </c>
      <c r="BJ544">
        <v>62.4</v>
      </c>
      <c r="BK544">
        <v>87.3</v>
      </c>
      <c r="BL544">
        <v>83.6</v>
      </c>
      <c r="BM544">
        <v>90.6</v>
      </c>
      <c r="BN544">
        <v>16.399999999999999</v>
      </c>
      <c r="BO544">
        <v>9.4</v>
      </c>
      <c r="BP544">
        <v>0</v>
      </c>
      <c r="BQ544">
        <v>0</v>
      </c>
      <c r="BR544">
        <v>0</v>
      </c>
      <c r="BS544">
        <v>0</v>
      </c>
      <c r="BT544">
        <v>0</v>
      </c>
      <c r="BU544">
        <v>0</v>
      </c>
      <c r="BV544">
        <v>0</v>
      </c>
      <c r="BW544">
        <v>0</v>
      </c>
      <c r="BX544">
        <v>0</v>
      </c>
      <c r="BY544">
        <v>0</v>
      </c>
      <c r="BZ544">
        <v>61</v>
      </c>
      <c r="CA544">
        <v>6</v>
      </c>
      <c r="CB544">
        <v>4</v>
      </c>
      <c r="CC544">
        <v>4</v>
      </c>
      <c r="CD544">
        <v>31</v>
      </c>
      <c r="CE544">
        <v>30</v>
      </c>
      <c r="CF544">
        <v>39</v>
      </c>
      <c r="CG544">
        <v>36</v>
      </c>
      <c r="CH544">
        <v>61</v>
      </c>
      <c r="CI544">
        <v>6</v>
      </c>
      <c r="CJ544">
        <v>4</v>
      </c>
      <c r="CK544">
        <v>4</v>
      </c>
      <c r="CL544">
        <v>31</v>
      </c>
      <c r="CM544">
        <v>30</v>
      </c>
      <c r="CN544">
        <v>39</v>
      </c>
      <c r="CO544">
        <v>36</v>
      </c>
      <c r="CP544">
        <v>0</v>
      </c>
      <c r="CQ544">
        <v>0</v>
      </c>
      <c r="CR544">
        <v>0</v>
      </c>
      <c r="CS544">
        <v>0</v>
      </c>
      <c r="CT544">
        <v>0</v>
      </c>
      <c r="CU544">
        <v>0</v>
      </c>
      <c r="CV544">
        <v>0</v>
      </c>
      <c r="CW544">
        <v>0</v>
      </c>
      <c r="CX544">
        <v>39.200000000000003</v>
      </c>
      <c r="CY544">
        <v>37.5</v>
      </c>
      <c r="CZ544">
        <v>52.5</v>
      </c>
      <c r="DA544">
        <v>58.6</v>
      </c>
      <c r="DB544">
        <v>39</v>
      </c>
      <c r="DC544">
        <v>36.9</v>
      </c>
      <c r="DD544">
        <v>50.9</v>
      </c>
      <c r="DE544">
        <v>57.9</v>
      </c>
      <c r="DF544">
        <v>39.200000000000003</v>
      </c>
      <c r="DG544">
        <v>37.5</v>
      </c>
      <c r="DH544">
        <v>52.5</v>
      </c>
      <c r="DI544">
        <v>58.6</v>
      </c>
      <c r="DJ544">
        <v>39</v>
      </c>
      <c r="DK544">
        <v>36.9</v>
      </c>
      <c r="DL544">
        <v>50.9</v>
      </c>
      <c r="DM544">
        <v>57.9</v>
      </c>
      <c r="DN544">
        <v>0</v>
      </c>
      <c r="DO544">
        <v>0</v>
      </c>
      <c r="DP544">
        <v>0</v>
      </c>
      <c r="DQ544">
        <v>0</v>
      </c>
      <c r="DR544">
        <v>0</v>
      </c>
      <c r="DS544">
        <v>0</v>
      </c>
      <c r="DT544">
        <v>0</v>
      </c>
      <c r="DU544">
        <v>0</v>
      </c>
      <c r="DV544" t="s">
        <v>925</v>
      </c>
    </row>
    <row r="545" spans="1:126" x14ac:dyDescent="0.35">
      <c r="A545" t="s">
        <v>923</v>
      </c>
      <c r="B545">
        <v>230103</v>
      </c>
      <c r="C545" s="1">
        <v>44929</v>
      </c>
      <c r="D545" t="s">
        <v>924</v>
      </c>
      <c r="E545" t="s">
        <v>402</v>
      </c>
      <c r="F545" t="s">
        <v>165</v>
      </c>
      <c r="G545" t="s">
        <v>834</v>
      </c>
      <c r="H545">
        <v>43142</v>
      </c>
      <c r="I545" s="17">
        <v>9816</v>
      </c>
      <c r="J545" s="17">
        <v>2503</v>
      </c>
      <c r="K545">
        <v>252</v>
      </c>
      <c r="L545">
        <v>26257</v>
      </c>
      <c r="M545">
        <v>36398</v>
      </c>
      <c r="N545">
        <v>36325</v>
      </c>
      <c r="O545">
        <v>39153</v>
      </c>
      <c r="P545">
        <v>6817</v>
      </c>
      <c r="Q545">
        <v>3989</v>
      </c>
      <c r="R545">
        <v>43142</v>
      </c>
      <c r="S545">
        <v>9816</v>
      </c>
      <c r="T545">
        <v>2503</v>
      </c>
      <c r="U545">
        <v>252</v>
      </c>
      <c r="V545">
        <v>26257</v>
      </c>
      <c r="W545">
        <v>36398</v>
      </c>
      <c r="X545">
        <v>36325</v>
      </c>
      <c r="Y545">
        <v>39153</v>
      </c>
      <c r="Z545">
        <v>6817</v>
      </c>
      <c r="AA545">
        <v>3989</v>
      </c>
      <c r="AB545">
        <v>0</v>
      </c>
      <c r="AC545">
        <v>0</v>
      </c>
      <c r="AD545">
        <v>0</v>
      </c>
      <c r="AE545">
        <v>0</v>
      </c>
      <c r="AF545">
        <v>0</v>
      </c>
      <c r="AG545">
        <v>0</v>
      </c>
      <c r="AH545">
        <v>0</v>
      </c>
      <c r="AI545">
        <v>0</v>
      </c>
      <c r="AJ545">
        <v>0</v>
      </c>
      <c r="AK545">
        <v>0</v>
      </c>
      <c r="AL545">
        <v>606</v>
      </c>
      <c r="AM545">
        <v>335</v>
      </c>
      <c r="AN545">
        <v>1329</v>
      </c>
      <c r="AO545">
        <v>56</v>
      </c>
      <c r="AP545">
        <v>50</v>
      </c>
      <c r="AQ545">
        <v>307</v>
      </c>
      <c r="AR545">
        <v>441</v>
      </c>
      <c r="AS545">
        <v>1692</v>
      </c>
      <c r="AT545">
        <v>165</v>
      </c>
      <c r="AU545">
        <v>-1086</v>
      </c>
      <c r="AV545">
        <v>100</v>
      </c>
      <c r="AW545">
        <v>22.8</v>
      </c>
      <c r="AX545">
        <v>5.8</v>
      </c>
      <c r="AY545">
        <v>0.6</v>
      </c>
      <c r="AZ545">
        <v>60.9</v>
      </c>
      <c r="BA545">
        <v>84.4</v>
      </c>
      <c r="BB545">
        <v>84.2</v>
      </c>
      <c r="BC545">
        <v>90.8</v>
      </c>
      <c r="BD545">
        <v>15.8</v>
      </c>
      <c r="BE545">
        <v>9.1999999999999993</v>
      </c>
      <c r="BF545">
        <v>100</v>
      </c>
      <c r="BG545">
        <v>22.8</v>
      </c>
      <c r="BH545">
        <v>5.8</v>
      </c>
      <c r="BI545">
        <v>0.6</v>
      </c>
      <c r="BJ545">
        <v>60.9</v>
      </c>
      <c r="BK545">
        <v>84.4</v>
      </c>
      <c r="BL545">
        <v>84.2</v>
      </c>
      <c r="BM545">
        <v>90.8</v>
      </c>
      <c r="BN545">
        <v>15.8</v>
      </c>
      <c r="BO545">
        <v>9.1999999999999993</v>
      </c>
      <c r="BP545">
        <v>0</v>
      </c>
      <c r="BQ545">
        <v>0</v>
      </c>
      <c r="BR545">
        <v>0</v>
      </c>
      <c r="BS545">
        <v>0</v>
      </c>
      <c r="BT545">
        <v>0</v>
      </c>
      <c r="BU545">
        <v>0</v>
      </c>
      <c r="BV545">
        <v>0</v>
      </c>
      <c r="BW545">
        <v>0</v>
      </c>
      <c r="BX545">
        <v>0</v>
      </c>
      <c r="BY545">
        <v>0</v>
      </c>
      <c r="BZ545">
        <v>64</v>
      </c>
      <c r="CA545">
        <v>9</v>
      </c>
      <c r="CB545">
        <v>6</v>
      </c>
      <c r="CC545">
        <v>4</v>
      </c>
      <c r="CD545">
        <v>30</v>
      </c>
      <c r="CE545">
        <v>29</v>
      </c>
      <c r="CF545">
        <v>41</v>
      </c>
      <c r="CG545">
        <v>37</v>
      </c>
      <c r="CH545">
        <v>64</v>
      </c>
      <c r="CI545">
        <v>9</v>
      </c>
      <c r="CJ545">
        <v>6</v>
      </c>
      <c r="CK545">
        <v>4</v>
      </c>
      <c r="CL545">
        <v>30</v>
      </c>
      <c r="CM545">
        <v>29</v>
      </c>
      <c r="CN545">
        <v>41</v>
      </c>
      <c r="CO545">
        <v>37</v>
      </c>
      <c r="CP545">
        <v>0</v>
      </c>
      <c r="CQ545">
        <v>0</v>
      </c>
      <c r="CR545">
        <v>0</v>
      </c>
      <c r="CS545">
        <v>0</v>
      </c>
      <c r="CT545">
        <v>0</v>
      </c>
      <c r="CU545">
        <v>0</v>
      </c>
      <c r="CV545">
        <v>0</v>
      </c>
      <c r="CW545">
        <v>0</v>
      </c>
      <c r="CX545">
        <v>39.799999999999997</v>
      </c>
      <c r="CY545">
        <v>35.799999999999997</v>
      </c>
      <c r="CZ545">
        <v>53</v>
      </c>
      <c r="DA545">
        <v>57.1</v>
      </c>
      <c r="DB545">
        <v>39.6</v>
      </c>
      <c r="DC545">
        <v>35.1</v>
      </c>
      <c r="DD545">
        <v>51.9</v>
      </c>
      <c r="DE545">
        <v>56.4</v>
      </c>
      <c r="DF545">
        <v>39.799999999999997</v>
      </c>
      <c r="DG545">
        <v>35.799999999999997</v>
      </c>
      <c r="DH545">
        <v>53</v>
      </c>
      <c r="DI545">
        <v>57.1</v>
      </c>
      <c r="DJ545">
        <v>39.6</v>
      </c>
      <c r="DK545">
        <v>35.1</v>
      </c>
      <c r="DL545">
        <v>51.9</v>
      </c>
      <c r="DM545">
        <v>56.4</v>
      </c>
      <c r="DN545">
        <v>0</v>
      </c>
      <c r="DO545">
        <v>0</v>
      </c>
      <c r="DP545">
        <v>0</v>
      </c>
      <c r="DQ545">
        <v>0</v>
      </c>
      <c r="DR545">
        <v>0</v>
      </c>
      <c r="DS545">
        <v>0</v>
      </c>
      <c r="DT545">
        <v>0</v>
      </c>
      <c r="DU545">
        <v>0</v>
      </c>
      <c r="DV545" t="s">
        <v>925</v>
      </c>
    </row>
    <row r="546" spans="1:126" x14ac:dyDescent="0.35">
      <c r="A546" t="s">
        <v>926</v>
      </c>
      <c r="B546">
        <v>230110</v>
      </c>
      <c r="C546" s="1">
        <v>44936</v>
      </c>
      <c r="D546" t="s">
        <v>927</v>
      </c>
      <c r="E546" t="s">
        <v>402</v>
      </c>
      <c r="F546" t="s">
        <v>165</v>
      </c>
      <c r="G546" t="s">
        <v>928</v>
      </c>
      <c r="H546">
        <v>182284</v>
      </c>
      <c r="I546" s="17">
        <v>74373</v>
      </c>
      <c r="J546" s="17">
        <v>10672</v>
      </c>
      <c r="K546">
        <v>10277</v>
      </c>
      <c r="L546">
        <v>97261</v>
      </c>
      <c r="M546">
        <v>161288</v>
      </c>
      <c r="N546">
        <v>181911</v>
      </c>
      <c r="O546">
        <v>182237</v>
      </c>
      <c r="P546">
        <v>373</v>
      </c>
      <c r="Q546">
        <v>47</v>
      </c>
      <c r="R546">
        <v>182284</v>
      </c>
      <c r="S546">
        <v>74373</v>
      </c>
      <c r="T546">
        <v>10672</v>
      </c>
      <c r="U546">
        <v>10277</v>
      </c>
      <c r="V546">
        <v>97261</v>
      </c>
      <c r="W546">
        <v>161288</v>
      </c>
      <c r="X546">
        <v>181911</v>
      </c>
      <c r="Y546">
        <v>182237</v>
      </c>
      <c r="Z546">
        <v>373</v>
      </c>
      <c r="AA546">
        <v>47</v>
      </c>
      <c r="AB546">
        <v>0</v>
      </c>
      <c r="AC546">
        <v>0</v>
      </c>
      <c r="AD546">
        <v>0</v>
      </c>
      <c r="AE546">
        <v>0</v>
      </c>
      <c r="AF546">
        <v>0</v>
      </c>
      <c r="AG546">
        <v>0</v>
      </c>
      <c r="AH546">
        <v>0</v>
      </c>
      <c r="AI546">
        <v>0</v>
      </c>
      <c r="AJ546">
        <v>0</v>
      </c>
      <c r="AK546">
        <v>0</v>
      </c>
      <c r="AL546">
        <v>-2660</v>
      </c>
      <c r="AM546">
        <v>-2598</v>
      </c>
      <c r="AN546">
        <v>-25</v>
      </c>
      <c r="AO546">
        <v>-724</v>
      </c>
      <c r="AP546">
        <v>688</v>
      </c>
      <c r="AQ546">
        <v>-1911</v>
      </c>
      <c r="AR546">
        <v>-2634</v>
      </c>
      <c r="AS546">
        <v>-2660</v>
      </c>
      <c r="AT546">
        <v>-26</v>
      </c>
      <c r="AU546">
        <v>0</v>
      </c>
      <c r="AV546">
        <v>100</v>
      </c>
      <c r="AW546">
        <v>40.799999999999997</v>
      </c>
      <c r="AX546">
        <v>5.9</v>
      </c>
      <c r="AY546">
        <v>5.6</v>
      </c>
      <c r="AZ546">
        <v>53.4</v>
      </c>
      <c r="BA546">
        <v>88.5</v>
      </c>
      <c r="BB546">
        <v>99.8</v>
      </c>
      <c r="BC546">
        <v>100</v>
      </c>
      <c r="BD546">
        <v>0.2</v>
      </c>
      <c r="BE546">
        <v>0</v>
      </c>
      <c r="BF546">
        <v>100</v>
      </c>
      <c r="BG546">
        <v>40.799999999999997</v>
      </c>
      <c r="BH546">
        <v>5.9</v>
      </c>
      <c r="BI546">
        <v>5.6</v>
      </c>
      <c r="BJ546">
        <v>53.4</v>
      </c>
      <c r="BK546">
        <v>88.5</v>
      </c>
      <c r="BL546">
        <v>99.8</v>
      </c>
      <c r="BM546">
        <v>100</v>
      </c>
      <c r="BN546">
        <v>0.2</v>
      </c>
      <c r="BO546">
        <v>0</v>
      </c>
      <c r="BP546">
        <v>0</v>
      </c>
      <c r="BQ546">
        <v>0</v>
      </c>
      <c r="BR546">
        <v>0</v>
      </c>
      <c r="BS546">
        <v>0</v>
      </c>
      <c r="BT546">
        <v>0</v>
      </c>
      <c r="BU546">
        <v>0</v>
      </c>
      <c r="BV546">
        <v>0</v>
      </c>
      <c r="BW546">
        <v>0</v>
      </c>
      <c r="BX546">
        <v>0</v>
      </c>
      <c r="BY546">
        <v>0</v>
      </c>
      <c r="BZ546">
        <v>99</v>
      </c>
      <c r="CA546">
        <v>33</v>
      </c>
      <c r="CB546">
        <v>11</v>
      </c>
      <c r="CC546">
        <v>7</v>
      </c>
      <c r="CD546">
        <v>40</v>
      </c>
      <c r="CE546">
        <v>32</v>
      </c>
      <c r="CF546">
        <v>75</v>
      </c>
      <c r="CG546">
        <v>48</v>
      </c>
      <c r="CH546">
        <v>99</v>
      </c>
      <c r="CI546">
        <v>33</v>
      </c>
      <c r="CJ546">
        <v>11</v>
      </c>
      <c r="CK546">
        <v>7</v>
      </c>
      <c r="CL546">
        <v>40</v>
      </c>
      <c r="CM546">
        <v>32</v>
      </c>
      <c r="CN546">
        <v>75</v>
      </c>
      <c r="CO546">
        <v>48</v>
      </c>
      <c r="CP546">
        <v>0</v>
      </c>
      <c r="CQ546">
        <v>0</v>
      </c>
      <c r="CR546">
        <v>0</v>
      </c>
      <c r="CS546">
        <v>0</v>
      </c>
      <c r="CT546">
        <v>0</v>
      </c>
      <c r="CU546">
        <v>0</v>
      </c>
      <c r="CV546">
        <v>0</v>
      </c>
      <c r="CW546">
        <v>0</v>
      </c>
      <c r="CX546">
        <v>29.4</v>
      </c>
      <c r="CY546">
        <v>55.1</v>
      </c>
      <c r="CZ546">
        <v>47.3</v>
      </c>
      <c r="DA546">
        <v>77.7</v>
      </c>
      <c r="DB546">
        <v>21.5</v>
      </c>
      <c r="DC546">
        <v>51.9</v>
      </c>
      <c r="DD546">
        <v>36.799999999999997</v>
      </c>
      <c r="DE546">
        <v>69.8</v>
      </c>
      <c r="DF546">
        <v>29.4</v>
      </c>
      <c r="DG546">
        <v>55.1</v>
      </c>
      <c r="DH546">
        <v>47.3</v>
      </c>
      <c r="DI546">
        <v>77.7</v>
      </c>
      <c r="DJ546">
        <v>21.5</v>
      </c>
      <c r="DK546">
        <v>51.9</v>
      </c>
      <c r="DL546">
        <v>36.799999999999997</v>
      </c>
      <c r="DM546">
        <v>69.8</v>
      </c>
      <c r="DN546">
        <v>0</v>
      </c>
      <c r="DO546">
        <v>0</v>
      </c>
      <c r="DP546">
        <v>0</v>
      </c>
      <c r="DQ546">
        <v>0</v>
      </c>
      <c r="DR546">
        <v>0</v>
      </c>
      <c r="DS546">
        <v>0</v>
      </c>
      <c r="DT546">
        <v>0</v>
      </c>
      <c r="DU546">
        <v>0</v>
      </c>
      <c r="DV546" t="s">
        <v>929</v>
      </c>
    </row>
    <row r="547" spans="1:126" x14ac:dyDescent="0.35">
      <c r="A547" t="s">
        <v>926</v>
      </c>
      <c r="B547">
        <v>230103</v>
      </c>
      <c r="C547" s="1">
        <v>44929</v>
      </c>
      <c r="D547" t="s">
        <v>927</v>
      </c>
      <c r="E547" t="s">
        <v>402</v>
      </c>
      <c r="F547" t="s">
        <v>165</v>
      </c>
      <c r="G547" t="s">
        <v>928</v>
      </c>
      <c r="H547">
        <v>184944</v>
      </c>
      <c r="I547" s="17">
        <v>76971</v>
      </c>
      <c r="J547" s="17">
        <v>10697</v>
      </c>
      <c r="K547">
        <v>11001</v>
      </c>
      <c r="L547">
        <v>96573</v>
      </c>
      <c r="M547">
        <v>163199</v>
      </c>
      <c r="N547">
        <v>184545</v>
      </c>
      <c r="O547">
        <v>184897</v>
      </c>
      <c r="P547">
        <v>399</v>
      </c>
      <c r="Q547">
        <v>47</v>
      </c>
      <c r="R547">
        <v>184944</v>
      </c>
      <c r="S547">
        <v>76971</v>
      </c>
      <c r="T547">
        <v>10697</v>
      </c>
      <c r="U547">
        <v>11001</v>
      </c>
      <c r="V547">
        <v>96573</v>
      </c>
      <c r="W547">
        <v>163199</v>
      </c>
      <c r="X547">
        <v>184545</v>
      </c>
      <c r="Y547">
        <v>184897</v>
      </c>
      <c r="Z547">
        <v>399</v>
      </c>
      <c r="AA547">
        <v>47</v>
      </c>
      <c r="AB547">
        <v>0</v>
      </c>
      <c r="AC547">
        <v>0</v>
      </c>
      <c r="AD547">
        <v>0</v>
      </c>
      <c r="AE547">
        <v>0</v>
      </c>
      <c r="AF547">
        <v>0</v>
      </c>
      <c r="AG547">
        <v>0</v>
      </c>
      <c r="AH547">
        <v>0</v>
      </c>
      <c r="AI547">
        <v>0</v>
      </c>
      <c r="AJ547">
        <v>0</v>
      </c>
      <c r="AK547">
        <v>0</v>
      </c>
      <c r="AL547">
        <v>1636</v>
      </c>
      <c r="AM547">
        <v>-4414</v>
      </c>
      <c r="AN547">
        <v>-170</v>
      </c>
      <c r="AO547">
        <v>866</v>
      </c>
      <c r="AP547">
        <v>5168</v>
      </c>
      <c r="AQ547">
        <v>960</v>
      </c>
      <c r="AR547">
        <v>1620</v>
      </c>
      <c r="AS547">
        <v>1656</v>
      </c>
      <c r="AT547">
        <v>16</v>
      </c>
      <c r="AU547">
        <v>-20</v>
      </c>
      <c r="AV547">
        <v>100</v>
      </c>
      <c r="AW547">
        <v>41.6</v>
      </c>
      <c r="AX547">
        <v>5.8</v>
      </c>
      <c r="AY547">
        <v>5.9</v>
      </c>
      <c r="AZ547">
        <v>52.2</v>
      </c>
      <c r="BA547">
        <v>88.2</v>
      </c>
      <c r="BB547">
        <v>99.8</v>
      </c>
      <c r="BC547">
        <v>100</v>
      </c>
      <c r="BD547">
        <v>0.2</v>
      </c>
      <c r="BE547">
        <v>0</v>
      </c>
      <c r="BF547">
        <v>100</v>
      </c>
      <c r="BG547">
        <v>41.6</v>
      </c>
      <c r="BH547">
        <v>5.8</v>
      </c>
      <c r="BI547">
        <v>5.9</v>
      </c>
      <c r="BJ547">
        <v>52.2</v>
      </c>
      <c r="BK547">
        <v>88.2</v>
      </c>
      <c r="BL547">
        <v>99.8</v>
      </c>
      <c r="BM547">
        <v>100</v>
      </c>
      <c r="BN547">
        <v>0.2</v>
      </c>
      <c r="BO547">
        <v>0</v>
      </c>
      <c r="BP547">
        <v>0</v>
      </c>
      <c r="BQ547">
        <v>0</v>
      </c>
      <c r="BR547">
        <v>0</v>
      </c>
      <c r="BS547">
        <v>0</v>
      </c>
      <c r="BT547">
        <v>0</v>
      </c>
      <c r="BU547">
        <v>0</v>
      </c>
      <c r="BV547">
        <v>0</v>
      </c>
      <c r="BW547">
        <v>0</v>
      </c>
      <c r="BX547">
        <v>0</v>
      </c>
      <c r="BY547">
        <v>0</v>
      </c>
      <c r="BZ547">
        <v>97</v>
      </c>
      <c r="CA547">
        <v>32</v>
      </c>
      <c r="CB547">
        <v>10</v>
      </c>
      <c r="CC547">
        <v>7</v>
      </c>
      <c r="CD547">
        <v>40</v>
      </c>
      <c r="CE547">
        <v>33</v>
      </c>
      <c r="CF547">
        <v>74</v>
      </c>
      <c r="CG547">
        <v>48</v>
      </c>
      <c r="CH547">
        <v>97</v>
      </c>
      <c r="CI547">
        <v>32</v>
      </c>
      <c r="CJ547">
        <v>10</v>
      </c>
      <c r="CK547">
        <v>7</v>
      </c>
      <c r="CL547">
        <v>40</v>
      </c>
      <c r="CM547">
        <v>33</v>
      </c>
      <c r="CN547">
        <v>74</v>
      </c>
      <c r="CO547">
        <v>48</v>
      </c>
      <c r="CP547">
        <v>0</v>
      </c>
      <c r="CQ547">
        <v>0</v>
      </c>
      <c r="CR547">
        <v>0</v>
      </c>
      <c r="CS547">
        <v>0</v>
      </c>
      <c r="CT547">
        <v>0</v>
      </c>
      <c r="CU547">
        <v>0</v>
      </c>
      <c r="CV547">
        <v>0</v>
      </c>
      <c r="CW547">
        <v>0</v>
      </c>
      <c r="CX547">
        <v>30.3</v>
      </c>
      <c r="CY547">
        <v>54.8</v>
      </c>
      <c r="CZ547">
        <v>47.1</v>
      </c>
      <c r="DA547">
        <v>78.8</v>
      </c>
      <c r="DB547">
        <v>22.1</v>
      </c>
      <c r="DC547">
        <v>51.5</v>
      </c>
      <c r="DD547">
        <v>36.799999999999997</v>
      </c>
      <c r="DE547">
        <v>71.3</v>
      </c>
      <c r="DF547">
        <v>30.3</v>
      </c>
      <c r="DG547">
        <v>54.8</v>
      </c>
      <c r="DH547">
        <v>47.1</v>
      </c>
      <c r="DI547">
        <v>78.8</v>
      </c>
      <c r="DJ547">
        <v>22.1</v>
      </c>
      <c r="DK547">
        <v>51.5</v>
      </c>
      <c r="DL547">
        <v>36.799999999999997</v>
      </c>
      <c r="DM547">
        <v>71.3</v>
      </c>
      <c r="DN547">
        <v>0</v>
      </c>
      <c r="DO547">
        <v>0</v>
      </c>
      <c r="DP547">
        <v>0</v>
      </c>
      <c r="DQ547">
        <v>0</v>
      </c>
      <c r="DR547">
        <v>0</v>
      </c>
      <c r="DS547">
        <v>0</v>
      </c>
      <c r="DT547">
        <v>0</v>
      </c>
      <c r="DU547">
        <v>0</v>
      </c>
      <c r="DV547" t="s">
        <v>929</v>
      </c>
    </row>
    <row r="548" spans="1:126" x14ac:dyDescent="0.35">
      <c r="A548" t="s">
        <v>930</v>
      </c>
      <c r="B548">
        <v>230110</v>
      </c>
      <c r="C548" s="1">
        <v>44936</v>
      </c>
      <c r="D548" t="s">
        <v>931</v>
      </c>
      <c r="E548" t="s">
        <v>227</v>
      </c>
      <c r="F548" t="s">
        <v>185</v>
      </c>
      <c r="G548" t="s">
        <v>932</v>
      </c>
      <c r="H548">
        <v>8019</v>
      </c>
      <c r="I548" s="17">
        <v>100</v>
      </c>
      <c r="J548" s="17">
        <v>0</v>
      </c>
      <c r="K548">
        <v>200</v>
      </c>
      <c r="L548">
        <v>7623</v>
      </c>
      <c r="M548">
        <v>7819</v>
      </c>
      <c r="N548">
        <v>7923</v>
      </c>
      <c r="O548">
        <v>8019</v>
      </c>
      <c r="P548">
        <v>96</v>
      </c>
      <c r="Q548">
        <v>0</v>
      </c>
      <c r="R548">
        <v>8019</v>
      </c>
      <c r="S548">
        <v>100</v>
      </c>
      <c r="T548">
        <v>0</v>
      </c>
      <c r="U548">
        <v>200</v>
      </c>
      <c r="V548">
        <v>7623</v>
      </c>
      <c r="W548">
        <v>7819</v>
      </c>
      <c r="X548">
        <v>7923</v>
      </c>
      <c r="Y548">
        <v>8019</v>
      </c>
      <c r="Z548">
        <v>96</v>
      </c>
      <c r="AA548">
        <v>0</v>
      </c>
      <c r="AB548">
        <v>0</v>
      </c>
      <c r="AC548">
        <v>0</v>
      </c>
      <c r="AD548">
        <v>0</v>
      </c>
      <c r="AE548">
        <v>0</v>
      </c>
      <c r="AF548">
        <v>0</v>
      </c>
      <c r="AG548">
        <v>0</v>
      </c>
      <c r="AH548">
        <v>0</v>
      </c>
      <c r="AI548">
        <v>0</v>
      </c>
      <c r="AJ548">
        <v>0</v>
      </c>
      <c r="AK548">
        <v>0</v>
      </c>
      <c r="AL548">
        <v>-725</v>
      </c>
      <c r="AM548">
        <v>-972</v>
      </c>
      <c r="AN548">
        <v>0</v>
      </c>
      <c r="AO548">
        <v>200</v>
      </c>
      <c r="AP548">
        <v>70</v>
      </c>
      <c r="AQ548">
        <v>-925</v>
      </c>
      <c r="AR548">
        <v>-702</v>
      </c>
      <c r="AS548">
        <v>-725</v>
      </c>
      <c r="AT548">
        <v>-23</v>
      </c>
      <c r="AU548">
        <v>0</v>
      </c>
      <c r="AV548">
        <v>100</v>
      </c>
      <c r="AW548">
        <v>1.2</v>
      </c>
      <c r="AX548">
        <v>0</v>
      </c>
      <c r="AY548">
        <v>2.5</v>
      </c>
      <c r="AZ548">
        <v>95.1</v>
      </c>
      <c r="BA548">
        <v>97.5</v>
      </c>
      <c r="BB548">
        <v>98.8</v>
      </c>
      <c r="BC548">
        <v>100</v>
      </c>
      <c r="BD548">
        <v>1.2</v>
      </c>
      <c r="BE548">
        <v>0</v>
      </c>
      <c r="BF548">
        <v>100</v>
      </c>
      <c r="BG548">
        <v>1.2</v>
      </c>
      <c r="BH548">
        <v>0</v>
      </c>
      <c r="BI548">
        <v>2.5</v>
      </c>
      <c r="BJ548">
        <v>95.1</v>
      </c>
      <c r="BK548">
        <v>97.5</v>
      </c>
      <c r="BL548">
        <v>98.8</v>
      </c>
      <c r="BM548">
        <v>100</v>
      </c>
      <c r="BN548">
        <v>1.2</v>
      </c>
      <c r="BO548">
        <v>0</v>
      </c>
      <c r="BP548">
        <v>0</v>
      </c>
      <c r="BQ548">
        <v>0</v>
      </c>
      <c r="BR548">
        <v>0</v>
      </c>
      <c r="BS548">
        <v>0</v>
      </c>
      <c r="BT548">
        <v>0</v>
      </c>
      <c r="BU548">
        <v>0</v>
      </c>
      <c r="BV548">
        <v>0</v>
      </c>
      <c r="BW548">
        <v>0</v>
      </c>
      <c r="BX548">
        <v>0</v>
      </c>
      <c r="BY548">
        <v>0</v>
      </c>
      <c r="BZ548">
        <v>26</v>
      </c>
      <c r="CA548">
        <v>1</v>
      </c>
      <c r="CB548">
        <v>0</v>
      </c>
      <c r="CC548">
        <v>1</v>
      </c>
      <c r="CD548">
        <v>22</v>
      </c>
      <c r="CE548">
        <v>9</v>
      </c>
      <c r="CF548">
        <v>23</v>
      </c>
      <c r="CG548">
        <v>10</v>
      </c>
      <c r="CH548">
        <v>26</v>
      </c>
      <c r="CI548">
        <v>1</v>
      </c>
      <c r="CJ548">
        <v>0</v>
      </c>
      <c r="CK548">
        <v>1</v>
      </c>
      <c r="CL548">
        <v>22</v>
      </c>
      <c r="CM548">
        <v>9</v>
      </c>
      <c r="CN548">
        <v>23</v>
      </c>
      <c r="CO548">
        <v>10</v>
      </c>
      <c r="CP548">
        <v>0</v>
      </c>
      <c r="CQ548">
        <v>0</v>
      </c>
      <c r="CR548">
        <v>0</v>
      </c>
      <c r="CS548">
        <v>0</v>
      </c>
      <c r="CT548">
        <v>0</v>
      </c>
      <c r="CU548">
        <v>0</v>
      </c>
      <c r="CV548">
        <v>0</v>
      </c>
      <c r="CW548">
        <v>0</v>
      </c>
      <c r="CX548">
        <v>53.8</v>
      </c>
      <c r="CY548">
        <v>84.2</v>
      </c>
      <c r="CZ548">
        <v>74.900000000000006</v>
      </c>
      <c r="DA548">
        <v>97.6</v>
      </c>
      <c r="DB548">
        <v>53.8</v>
      </c>
      <c r="DC548">
        <v>80.8</v>
      </c>
      <c r="DD548">
        <v>73.400000000000006</v>
      </c>
      <c r="DE548">
        <v>88.8</v>
      </c>
      <c r="DF548">
        <v>53.8</v>
      </c>
      <c r="DG548">
        <v>84.2</v>
      </c>
      <c r="DH548">
        <v>74.900000000000006</v>
      </c>
      <c r="DI548">
        <v>97.6</v>
      </c>
      <c r="DJ548">
        <v>53.8</v>
      </c>
      <c r="DK548">
        <v>80.8</v>
      </c>
      <c r="DL548">
        <v>73.400000000000006</v>
      </c>
      <c r="DM548">
        <v>88.8</v>
      </c>
      <c r="DN548">
        <v>0</v>
      </c>
      <c r="DO548">
        <v>0</v>
      </c>
      <c r="DP548">
        <v>0</v>
      </c>
      <c r="DQ548">
        <v>0</v>
      </c>
      <c r="DR548">
        <v>0</v>
      </c>
      <c r="DS548">
        <v>0</v>
      </c>
      <c r="DT548">
        <v>0</v>
      </c>
      <c r="DU548">
        <v>0</v>
      </c>
      <c r="DV548" t="s">
        <v>279</v>
      </c>
    </row>
    <row r="549" spans="1:126" x14ac:dyDescent="0.35">
      <c r="A549" t="s">
        <v>930</v>
      </c>
      <c r="B549">
        <v>230103</v>
      </c>
      <c r="C549" s="1">
        <v>44929</v>
      </c>
      <c r="D549" t="s">
        <v>931</v>
      </c>
      <c r="E549" t="s">
        <v>227</v>
      </c>
      <c r="F549" t="s">
        <v>185</v>
      </c>
      <c r="G549" t="s">
        <v>932</v>
      </c>
      <c r="H549">
        <v>8744</v>
      </c>
      <c r="I549" s="17">
        <v>1072</v>
      </c>
      <c r="J549" s="17">
        <v>0</v>
      </c>
      <c r="K549">
        <v>0</v>
      </c>
      <c r="L549">
        <v>7553</v>
      </c>
      <c r="M549">
        <v>8744</v>
      </c>
      <c r="N549">
        <v>8625</v>
      </c>
      <c r="O549">
        <v>8744</v>
      </c>
      <c r="P549">
        <v>119</v>
      </c>
      <c r="Q549">
        <v>0</v>
      </c>
      <c r="R549">
        <v>8744</v>
      </c>
      <c r="S549">
        <v>1072</v>
      </c>
      <c r="T549">
        <v>0</v>
      </c>
      <c r="U549">
        <v>0</v>
      </c>
      <c r="V549">
        <v>7553</v>
      </c>
      <c r="W549">
        <v>8744</v>
      </c>
      <c r="X549">
        <v>8625</v>
      </c>
      <c r="Y549">
        <v>8744</v>
      </c>
      <c r="Z549">
        <v>119</v>
      </c>
      <c r="AA549">
        <v>0</v>
      </c>
      <c r="AB549">
        <v>0</v>
      </c>
      <c r="AC549">
        <v>0</v>
      </c>
      <c r="AD549">
        <v>0</v>
      </c>
      <c r="AE549">
        <v>0</v>
      </c>
      <c r="AF549">
        <v>0</v>
      </c>
      <c r="AG549">
        <v>0</v>
      </c>
      <c r="AH549">
        <v>0</v>
      </c>
      <c r="AI549">
        <v>0</v>
      </c>
      <c r="AJ549">
        <v>0</v>
      </c>
      <c r="AK549">
        <v>0</v>
      </c>
      <c r="AL549">
        <v>645</v>
      </c>
      <c r="AM549">
        <v>0</v>
      </c>
      <c r="AN549">
        <v>0</v>
      </c>
      <c r="AO549">
        <v>0</v>
      </c>
      <c r="AP549">
        <v>645</v>
      </c>
      <c r="AQ549">
        <v>645</v>
      </c>
      <c r="AR549">
        <v>645</v>
      </c>
      <c r="AS549">
        <v>645</v>
      </c>
      <c r="AT549">
        <v>0</v>
      </c>
      <c r="AU549">
        <v>0</v>
      </c>
      <c r="AV549">
        <v>100</v>
      </c>
      <c r="AW549">
        <v>12.3</v>
      </c>
      <c r="AX549">
        <v>0</v>
      </c>
      <c r="AY549">
        <v>0</v>
      </c>
      <c r="AZ549">
        <v>86.4</v>
      </c>
      <c r="BA549">
        <v>100</v>
      </c>
      <c r="BB549">
        <v>98.6</v>
      </c>
      <c r="BC549">
        <v>100</v>
      </c>
      <c r="BD549">
        <v>1.4</v>
      </c>
      <c r="BE549">
        <v>0</v>
      </c>
      <c r="BF549">
        <v>100</v>
      </c>
      <c r="BG549">
        <v>12.3</v>
      </c>
      <c r="BH549">
        <v>0</v>
      </c>
      <c r="BI549">
        <v>0</v>
      </c>
      <c r="BJ549">
        <v>86.4</v>
      </c>
      <c r="BK549">
        <v>100</v>
      </c>
      <c r="BL549">
        <v>98.6</v>
      </c>
      <c r="BM549">
        <v>100</v>
      </c>
      <c r="BN549">
        <v>1.4</v>
      </c>
      <c r="BO549">
        <v>0</v>
      </c>
      <c r="BP549">
        <v>0</v>
      </c>
      <c r="BQ549">
        <v>0</v>
      </c>
      <c r="BR549">
        <v>0</v>
      </c>
      <c r="BS549">
        <v>0</v>
      </c>
      <c r="BT549">
        <v>0</v>
      </c>
      <c r="BU549">
        <v>0</v>
      </c>
      <c r="BV549">
        <v>0</v>
      </c>
      <c r="BW549">
        <v>0</v>
      </c>
      <c r="BX549">
        <v>0</v>
      </c>
      <c r="BY549">
        <v>0</v>
      </c>
      <c r="BZ549">
        <v>27</v>
      </c>
      <c r="CA549">
        <v>2</v>
      </c>
      <c r="CB549">
        <v>0</v>
      </c>
      <c r="CC549">
        <v>0</v>
      </c>
      <c r="CD549">
        <v>19</v>
      </c>
      <c r="CE549">
        <v>14</v>
      </c>
      <c r="CF549">
        <v>21</v>
      </c>
      <c r="CG549">
        <v>14</v>
      </c>
      <c r="CH549">
        <v>27</v>
      </c>
      <c r="CI549">
        <v>2</v>
      </c>
      <c r="CJ549">
        <v>0</v>
      </c>
      <c r="CK549">
        <v>0</v>
      </c>
      <c r="CL549">
        <v>19</v>
      </c>
      <c r="CM549">
        <v>14</v>
      </c>
      <c r="CN549">
        <v>21</v>
      </c>
      <c r="CO549">
        <v>14</v>
      </c>
      <c r="CP549">
        <v>0</v>
      </c>
      <c r="CQ549">
        <v>0</v>
      </c>
      <c r="CR549">
        <v>0</v>
      </c>
      <c r="CS549">
        <v>0</v>
      </c>
      <c r="CT549">
        <v>0</v>
      </c>
      <c r="CU549">
        <v>0</v>
      </c>
      <c r="CV549">
        <v>0</v>
      </c>
      <c r="CW549">
        <v>0</v>
      </c>
      <c r="CX549">
        <v>54.5</v>
      </c>
      <c r="CY549">
        <v>81.3</v>
      </c>
      <c r="CZ549">
        <v>76.400000000000006</v>
      </c>
      <c r="DA549">
        <v>96.4</v>
      </c>
      <c r="DB549">
        <v>54.5</v>
      </c>
      <c r="DC549">
        <v>78.8</v>
      </c>
      <c r="DD549">
        <v>72.900000000000006</v>
      </c>
      <c r="DE549">
        <v>88.7</v>
      </c>
      <c r="DF549">
        <v>54.5</v>
      </c>
      <c r="DG549">
        <v>81.3</v>
      </c>
      <c r="DH549">
        <v>76.400000000000006</v>
      </c>
      <c r="DI549">
        <v>96.4</v>
      </c>
      <c r="DJ549">
        <v>54.5</v>
      </c>
      <c r="DK549">
        <v>78.8</v>
      </c>
      <c r="DL549">
        <v>72.900000000000006</v>
      </c>
      <c r="DM549">
        <v>88.7</v>
      </c>
      <c r="DN549">
        <v>0</v>
      </c>
      <c r="DO549">
        <v>0</v>
      </c>
      <c r="DP549">
        <v>0</v>
      </c>
      <c r="DQ549">
        <v>0</v>
      </c>
      <c r="DR549">
        <v>0</v>
      </c>
      <c r="DS549">
        <v>0</v>
      </c>
      <c r="DT549">
        <v>0</v>
      </c>
      <c r="DU549">
        <v>0</v>
      </c>
      <c r="DV549" t="s">
        <v>279</v>
      </c>
    </row>
    <row r="550" spans="1:126" x14ac:dyDescent="0.35">
      <c r="A550" t="s">
        <v>933</v>
      </c>
      <c r="B550">
        <v>230110</v>
      </c>
      <c r="C550" s="1">
        <v>44936</v>
      </c>
      <c r="D550" t="s">
        <v>934</v>
      </c>
      <c r="E550" t="s">
        <v>184</v>
      </c>
      <c r="F550" t="s">
        <v>185</v>
      </c>
      <c r="G550" t="s">
        <v>935</v>
      </c>
      <c r="H550">
        <v>5529</v>
      </c>
      <c r="I550" s="17">
        <v>674</v>
      </c>
      <c r="J550" s="17">
        <v>718</v>
      </c>
      <c r="K550">
        <v>0</v>
      </c>
      <c r="L550">
        <v>4593</v>
      </c>
      <c r="M550">
        <v>4811</v>
      </c>
      <c r="N550">
        <v>5267</v>
      </c>
      <c r="O550">
        <v>5529</v>
      </c>
      <c r="P550">
        <v>262</v>
      </c>
      <c r="Q550">
        <v>0</v>
      </c>
      <c r="R550">
        <v>5529</v>
      </c>
      <c r="S550">
        <v>674</v>
      </c>
      <c r="T550">
        <v>718</v>
      </c>
      <c r="U550">
        <v>0</v>
      </c>
      <c r="V550">
        <v>4593</v>
      </c>
      <c r="W550">
        <v>4811</v>
      </c>
      <c r="X550">
        <v>5267</v>
      </c>
      <c r="Y550">
        <v>5529</v>
      </c>
      <c r="Z550">
        <v>262</v>
      </c>
      <c r="AA550">
        <v>0</v>
      </c>
      <c r="AB550">
        <v>0</v>
      </c>
      <c r="AC550">
        <v>0</v>
      </c>
      <c r="AD550">
        <v>0</v>
      </c>
      <c r="AE550">
        <v>0</v>
      </c>
      <c r="AF550">
        <v>0</v>
      </c>
      <c r="AG550">
        <v>0</v>
      </c>
      <c r="AH550">
        <v>0</v>
      </c>
      <c r="AI550">
        <v>0</v>
      </c>
      <c r="AJ550">
        <v>0</v>
      </c>
      <c r="AK550">
        <v>0</v>
      </c>
      <c r="AL550">
        <v>-1264</v>
      </c>
      <c r="AM550">
        <v>125</v>
      </c>
      <c r="AN550">
        <v>-394</v>
      </c>
      <c r="AO550">
        <v>-141</v>
      </c>
      <c r="AP550">
        <v>-1238</v>
      </c>
      <c r="AQ550">
        <v>-690</v>
      </c>
      <c r="AR550">
        <v>-1254</v>
      </c>
      <c r="AS550">
        <v>-1225</v>
      </c>
      <c r="AT550">
        <v>-10</v>
      </c>
      <c r="AU550">
        <v>-39</v>
      </c>
      <c r="AV550">
        <v>100</v>
      </c>
      <c r="AW550">
        <v>12.2</v>
      </c>
      <c r="AX550">
        <v>13</v>
      </c>
      <c r="AY550">
        <v>0</v>
      </c>
      <c r="AZ550">
        <v>83.1</v>
      </c>
      <c r="BA550">
        <v>87</v>
      </c>
      <c r="BB550">
        <v>95.3</v>
      </c>
      <c r="BC550">
        <v>100</v>
      </c>
      <c r="BD550">
        <v>4.7</v>
      </c>
      <c r="BE550">
        <v>0</v>
      </c>
      <c r="BF550">
        <v>100</v>
      </c>
      <c r="BG550">
        <v>12.2</v>
      </c>
      <c r="BH550">
        <v>13</v>
      </c>
      <c r="BI550">
        <v>0</v>
      </c>
      <c r="BJ550">
        <v>83.1</v>
      </c>
      <c r="BK550">
        <v>87</v>
      </c>
      <c r="BL550">
        <v>95.3</v>
      </c>
      <c r="BM550">
        <v>100</v>
      </c>
      <c r="BN550">
        <v>4.7</v>
      </c>
      <c r="BO550">
        <v>0</v>
      </c>
      <c r="BP550">
        <v>0</v>
      </c>
      <c r="BQ550">
        <v>0</v>
      </c>
      <c r="BR550">
        <v>0</v>
      </c>
      <c r="BS550">
        <v>0</v>
      </c>
      <c r="BT550">
        <v>0</v>
      </c>
      <c r="BU550">
        <v>0</v>
      </c>
      <c r="BV550">
        <v>0</v>
      </c>
      <c r="BW550">
        <v>0</v>
      </c>
      <c r="BX550">
        <v>0</v>
      </c>
      <c r="BY550">
        <v>0</v>
      </c>
      <c r="BZ550">
        <v>24</v>
      </c>
      <c r="CA550">
        <v>3</v>
      </c>
      <c r="CB550">
        <v>2</v>
      </c>
      <c r="CC550">
        <v>0</v>
      </c>
      <c r="CD550">
        <v>14</v>
      </c>
      <c r="CE550">
        <v>15</v>
      </c>
      <c r="CF550">
        <v>17</v>
      </c>
      <c r="CG550">
        <v>17</v>
      </c>
      <c r="CH550">
        <v>24</v>
      </c>
      <c r="CI550">
        <v>3</v>
      </c>
      <c r="CJ550">
        <v>2</v>
      </c>
      <c r="CK550">
        <v>0</v>
      </c>
      <c r="CL550">
        <v>14</v>
      </c>
      <c r="CM550">
        <v>15</v>
      </c>
      <c r="CN550">
        <v>17</v>
      </c>
      <c r="CO550">
        <v>17</v>
      </c>
      <c r="CP550">
        <v>0</v>
      </c>
      <c r="CQ550">
        <v>0</v>
      </c>
      <c r="CR550">
        <v>0</v>
      </c>
      <c r="CS550">
        <v>0</v>
      </c>
      <c r="CT550">
        <v>0</v>
      </c>
      <c r="CU550">
        <v>0</v>
      </c>
      <c r="CV550">
        <v>0</v>
      </c>
      <c r="CW550">
        <v>0</v>
      </c>
      <c r="CX550">
        <v>49.4</v>
      </c>
      <c r="CY550">
        <v>69.7</v>
      </c>
      <c r="CZ550">
        <v>73.900000000000006</v>
      </c>
      <c r="DA550">
        <v>93.4</v>
      </c>
      <c r="DB550">
        <v>39.9</v>
      </c>
      <c r="DC550">
        <v>59.1</v>
      </c>
      <c r="DD550">
        <v>57</v>
      </c>
      <c r="DE550">
        <v>69.400000000000006</v>
      </c>
      <c r="DF550">
        <v>49.4</v>
      </c>
      <c r="DG550">
        <v>69.7</v>
      </c>
      <c r="DH550">
        <v>73.900000000000006</v>
      </c>
      <c r="DI550">
        <v>93.4</v>
      </c>
      <c r="DJ550">
        <v>39.9</v>
      </c>
      <c r="DK550">
        <v>59.1</v>
      </c>
      <c r="DL550">
        <v>57</v>
      </c>
      <c r="DM550">
        <v>69.400000000000006</v>
      </c>
      <c r="DN550">
        <v>0</v>
      </c>
      <c r="DO550">
        <v>0</v>
      </c>
      <c r="DP550">
        <v>0</v>
      </c>
      <c r="DQ550">
        <v>0</v>
      </c>
      <c r="DR550">
        <v>0</v>
      </c>
      <c r="DS550">
        <v>0</v>
      </c>
      <c r="DT550">
        <v>0</v>
      </c>
      <c r="DU550">
        <v>0</v>
      </c>
      <c r="DV550" t="s">
        <v>936</v>
      </c>
    </row>
    <row r="551" spans="1:126" x14ac:dyDescent="0.35">
      <c r="A551" t="s">
        <v>933</v>
      </c>
      <c r="B551">
        <v>230103</v>
      </c>
      <c r="C551" s="1">
        <v>44929</v>
      </c>
      <c r="D551" t="s">
        <v>934</v>
      </c>
      <c r="E551" t="s">
        <v>184</v>
      </c>
      <c r="F551" t="s">
        <v>185</v>
      </c>
      <c r="G551" t="s">
        <v>935</v>
      </c>
      <c r="H551">
        <v>6793</v>
      </c>
      <c r="I551" s="17">
        <v>549</v>
      </c>
      <c r="J551" s="17">
        <v>1112</v>
      </c>
      <c r="K551">
        <v>141</v>
      </c>
      <c r="L551">
        <v>5831</v>
      </c>
      <c r="M551">
        <v>5501</v>
      </c>
      <c r="N551">
        <v>6521</v>
      </c>
      <c r="O551">
        <v>6754</v>
      </c>
      <c r="P551">
        <v>272</v>
      </c>
      <c r="Q551">
        <v>39</v>
      </c>
      <c r="R551">
        <v>6793</v>
      </c>
      <c r="S551">
        <v>549</v>
      </c>
      <c r="T551">
        <v>1112</v>
      </c>
      <c r="U551">
        <v>141</v>
      </c>
      <c r="V551">
        <v>5831</v>
      </c>
      <c r="W551">
        <v>5501</v>
      </c>
      <c r="X551">
        <v>6521</v>
      </c>
      <c r="Y551">
        <v>6754</v>
      </c>
      <c r="Z551">
        <v>272</v>
      </c>
      <c r="AA551">
        <v>39</v>
      </c>
      <c r="AB551">
        <v>0</v>
      </c>
      <c r="AC551">
        <v>0</v>
      </c>
      <c r="AD551">
        <v>0</v>
      </c>
      <c r="AE551">
        <v>0</v>
      </c>
      <c r="AF551">
        <v>0</v>
      </c>
      <c r="AG551">
        <v>0</v>
      </c>
      <c r="AH551">
        <v>0</v>
      </c>
      <c r="AI551">
        <v>0</v>
      </c>
      <c r="AJ551">
        <v>0</v>
      </c>
      <c r="AK551">
        <v>0</v>
      </c>
      <c r="AL551">
        <v>143</v>
      </c>
      <c r="AM551">
        <v>29</v>
      </c>
      <c r="AN551">
        <v>-51</v>
      </c>
      <c r="AO551">
        <v>41</v>
      </c>
      <c r="AP551">
        <v>73</v>
      </c>
      <c r="AQ551">
        <v>153</v>
      </c>
      <c r="AR551">
        <v>143</v>
      </c>
      <c r="AS551">
        <v>143</v>
      </c>
      <c r="AT551">
        <v>0</v>
      </c>
      <c r="AU551">
        <v>0</v>
      </c>
      <c r="AV551">
        <v>100</v>
      </c>
      <c r="AW551">
        <v>8.1</v>
      </c>
      <c r="AX551">
        <v>16.399999999999999</v>
      </c>
      <c r="AY551">
        <v>2.1</v>
      </c>
      <c r="AZ551">
        <v>85.8</v>
      </c>
      <c r="BA551">
        <v>81</v>
      </c>
      <c r="BB551">
        <v>96</v>
      </c>
      <c r="BC551">
        <v>99.4</v>
      </c>
      <c r="BD551">
        <v>4</v>
      </c>
      <c r="BE551">
        <v>0.6</v>
      </c>
      <c r="BF551">
        <v>100</v>
      </c>
      <c r="BG551">
        <v>8.1</v>
      </c>
      <c r="BH551">
        <v>16.399999999999999</v>
      </c>
      <c r="BI551">
        <v>2.1</v>
      </c>
      <c r="BJ551">
        <v>85.8</v>
      </c>
      <c r="BK551">
        <v>81</v>
      </c>
      <c r="BL551">
        <v>96</v>
      </c>
      <c r="BM551">
        <v>99.4</v>
      </c>
      <c r="BN551">
        <v>4</v>
      </c>
      <c r="BO551">
        <v>0.6</v>
      </c>
      <c r="BP551">
        <v>0</v>
      </c>
      <c r="BQ551">
        <v>0</v>
      </c>
      <c r="BR551">
        <v>0</v>
      </c>
      <c r="BS551">
        <v>0</v>
      </c>
      <c r="BT551">
        <v>0</v>
      </c>
      <c r="BU551">
        <v>0</v>
      </c>
      <c r="BV551">
        <v>0</v>
      </c>
      <c r="BW551">
        <v>0</v>
      </c>
      <c r="BX551">
        <v>0</v>
      </c>
      <c r="BY551">
        <v>0</v>
      </c>
      <c r="BZ551">
        <v>24</v>
      </c>
      <c r="CA551">
        <v>3</v>
      </c>
      <c r="CB551">
        <v>2</v>
      </c>
      <c r="CC551">
        <v>2</v>
      </c>
      <c r="CD551">
        <v>17</v>
      </c>
      <c r="CE551">
        <v>16</v>
      </c>
      <c r="CF551">
        <v>20</v>
      </c>
      <c r="CG551">
        <v>20</v>
      </c>
      <c r="CH551">
        <v>24</v>
      </c>
      <c r="CI551">
        <v>3</v>
      </c>
      <c r="CJ551">
        <v>2</v>
      </c>
      <c r="CK551">
        <v>2</v>
      </c>
      <c r="CL551">
        <v>17</v>
      </c>
      <c r="CM551">
        <v>16</v>
      </c>
      <c r="CN551">
        <v>20</v>
      </c>
      <c r="CO551">
        <v>20</v>
      </c>
      <c r="CP551">
        <v>0</v>
      </c>
      <c r="CQ551">
        <v>0</v>
      </c>
      <c r="CR551">
        <v>0</v>
      </c>
      <c r="CS551">
        <v>0</v>
      </c>
      <c r="CT551">
        <v>0</v>
      </c>
      <c r="CU551">
        <v>0</v>
      </c>
      <c r="CV551">
        <v>0</v>
      </c>
      <c r="CW551">
        <v>0</v>
      </c>
      <c r="CX551">
        <v>55.2</v>
      </c>
      <c r="CY551">
        <v>66.8</v>
      </c>
      <c r="CZ551">
        <v>75.599999999999994</v>
      </c>
      <c r="DA551">
        <v>86.9</v>
      </c>
      <c r="DB551">
        <v>34</v>
      </c>
      <c r="DC551">
        <v>49.1</v>
      </c>
      <c r="DD551">
        <v>47.8</v>
      </c>
      <c r="DE551">
        <v>56.2</v>
      </c>
      <c r="DF551">
        <v>55.2</v>
      </c>
      <c r="DG551">
        <v>66.8</v>
      </c>
      <c r="DH551">
        <v>75.599999999999994</v>
      </c>
      <c r="DI551">
        <v>86.9</v>
      </c>
      <c r="DJ551">
        <v>34</v>
      </c>
      <c r="DK551">
        <v>49.1</v>
      </c>
      <c r="DL551">
        <v>47.8</v>
      </c>
      <c r="DM551">
        <v>56.2</v>
      </c>
      <c r="DN551">
        <v>0</v>
      </c>
      <c r="DO551">
        <v>0</v>
      </c>
      <c r="DP551">
        <v>0</v>
      </c>
      <c r="DQ551">
        <v>0</v>
      </c>
      <c r="DR551">
        <v>0</v>
      </c>
      <c r="DS551">
        <v>0</v>
      </c>
      <c r="DT551">
        <v>0</v>
      </c>
      <c r="DU551">
        <v>0</v>
      </c>
      <c r="DV551" t="s">
        <v>936</v>
      </c>
    </row>
    <row r="552" spans="1:126" x14ac:dyDescent="0.35">
      <c r="A552" t="s">
        <v>937</v>
      </c>
      <c r="B552">
        <v>230110</v>
      </c>
      <c r="C552" s="1">
        <v>44936</v>
      </c>
      <c r="D552" t="s">
        <v>938</v>
      </c>
      <c r="E552" t="s">
        <v>227</v>
      </c>
      <c r="F552" t="s">
        <v>185</v>
      </c>
      <c r="G552" t="s">
        <v>935</v>
      </c>
      <c r="H552">
        <v>9591</v>
      </c>
      <c r="I552" s="17">
        <v>1685</v>
      </c>
      <c r="J552" s="17">
        <v>1448</v>
      </c>
      <c r="K552">
        <v>1726</v>
      </c>
      <c r="L552">
        <v>6180</v>
      </c>
      <c r="M552">
        <v>6357</v>
      </c>
      <c r="N552">
        <v>9591</v>
      </c>
      <c r="O552">
        <v>9531</v>
      </c>
      <c r="P552">
        <v>0</v>
      </c>
      <c r="Q552">
        <v>60</v>
      </c>
      <c r="R552">
        <v>9591</v>
      </c>
      <c r="S552">
        <v>1685</v>
      </c>
      <c r="T552">
        <v>1448</v>
      </c>
      <c r="U552">
        <v>1726</v>
      </c>
      <c r="V552">
        <v>6180</v>
      </c>
      <c r="W552">
        <v>6357</v>
      </c>
      <c r="X552">
        <v>9591</v>
      </c>
      <c r="Y552">
        <v>9531</v>
      </c>
      <c r="Z552">
        <v>0</v>
      </c>
      <c r="AA552">
        <v>60</v>
      </c>
      <c r="AB552">
        <v>0</v>
      </c>
      <c r="AC552">
        <v>0</v>
      </c>
      <c r="AD552">
        <v>0</v>
      </c>
      <c r="AE552">
        <v>0</v>
      </c>
      <c r="AF552">
        <v>0</v>
      </c>
      <c r="AG552">
        <v>0</v>
      </c>
      <c r="AH552">
        <v>0</v>
      </c>
      <c r="AI552">
        <v>0</v>
      </c>
      <c r="AJ552">
        <v>0</v>
      </c>
      <c r="AK552">
        <v>0</v>
      </c>
      <c r="AL552">
        <v>-462</v>
      </c>
      <c r="AM552">
        <v>197</v>
      </c>
      <c r="AN552">
        <v>-205</v>
      </c>
      <c r="AO552">
        <v>-292</v>
      </c>
      <c r="AP552">
        <v>-367</v>
      </c>
      <c r="AQ552">
        <v>35</v>
      </c>
      <c r="AR552">
        <v>-462</v>
      </c>
      <c r="AS552">
        <v>-462</v>
      </c>
      <c r="AT552">
        <v>0</v>
      </c>
      <c r="AU552">
        <v>0</v>
      </c>
      <c r="AV552">
        <v>100</v>
      </c>
      <c r="AW552">
        <v>17.600000000000001</v>
      </c>
      <c r="AX552">
        <v>15.1</v>
      </c>
      <c r="AY552">
        <v>18</v>
      </c>
      <c r="AZ552">
        <v>64.400000000000006</v>
      </c>
      <c r="BA552">
        <v>66.3</v>
      </c>
      <c r="BB552">
        <v>100</v>
      </c>
      <c r="BC552">
        <v>99.4</v>
      </c>
      <c r="BD552">
        <v>0</v>
      </c>
      <c r="BE552">
        <v>0.6</v>
      </c>
      <c r="BF552">
        <v>100</v>
      </c>
      <c r="BG552">
        <v>17.600000000000001</v>
      </c>
      <c r="BH552">
        <v>15.1</v>
      </c>
      <c r="BI552">
        <v>18</v>
      </c>
      <c r="BJ552">
        <v>64.400000000000006</v>
      </c>
      <c r="BK552">
        <v>66.3</v>
      </c>
      <c r="BL552">
        <v>100</v>
      </c>
      <c r="BM552">
        <v>99.4</v>
      </c>
      <c r="BN552">
        <v>0</v>
      </c>
      <c r="BO552">
        <v>0.6</v>
      </c>
      <c r="BP552">
        <v>0</v>
      </c>
      <c r="BQ552">
        <v>0</v>
      </c>
      <c r="BR552">
        <v>0</v>
      </c>
      <c r="BS552">
        <v>0</v>
      </c>
      <c r="BT552">
        <v>0</v>
      </c>
      <c r="BU552">
        <v>0</v>
      </c>
      <c r="BV552">
        <v>0</v>
      </c>
      <c r="BW552">
        <v>0</v>
      </c>
      <c r="BX552">
        <v>0</v>
      </c>
      <c r="BY552">
        <v>0</v>
      </c>
      <c r="BZ552">
        <v>20</v>
      </c>
      <c r="CA552">
        <v>3</v>
      </c>
      <c r="CB552">
        <v>2</v>
      </c>
      <c r="CC552">
        <v>4</v>
      </c>
      <c r="CD552">
        <v>11</v>
      </c>
      <c r="CE552">
        <v>12</v>
      </c>
      <c r="CF552">
        <v>16</v>
      </c>
      <c r="CG552">
        <v>16</v>
      </c>
      <c r="CH552">
        <v>20</v>
      </c>
      <c r="CI552">
        <v>3</v>
      </c>
      <c r="CJ552">
        <v>2</v>
      </c>
      <c r="CK552">
        <v>4</v>
      </c>
      <c r="CL552">
        <v>11</v>
      </c>
      <c r="CM552">
        <v>12</v>
      </c>
      <c r="CN552">
        <v>16</v>
      </c>
      <c r="CO552">
        <v>16</v>
      </c>
      <c r="CP552">
        <v>0</v>
      </c>
      <c r="CQ552">
        <v>0</v>
      </c>
      <c r="CR552">
        <v>0</v>
      </c>
      <c r="CS552">
        <v>0</v>
      </c>
      <c r="CT552">
        <v>0</v>
      </c>
      <c r="CU552">
        <v>0</v>
      </c>
      <c r="CV552">
        <v>0</v>
      </c>
      <c r="CW552">
        <v>0</v>
      </c>
      <c r="CX552">
        <v>63.4</v>
      </c>
      <c r="CY552">
        <v>62.7</v>
      </c>
      <c r="CZ552">
        <v>85.7</v>
      </c>
      <c r="DA552">
        <v>84.7</v>
      </c>
      <c r="DB552">
        <v>49.9</v>
      </c>
      <c r="DC552">
        <v>46.4</v>
      </c>
      <c r="DD552">
        <v>57.7</v>
      </c>
      <c r="DE552">
        <v>55.2</v>
      </c>
      <c r="DF552">
        <v>63.4</v>
      </c>
      <c r="DG552">
        <v>62.7</v>
      </c>
      <c r="DH552">
        <v>85.7</v>
      </c>
      <c r="DI552">
        <v>84.7</v>
      </c>
      <c r="DJ552">
        <v>49.9</v>
      </c>
      <c r="DK552">
        <v>46.4</v>
      </c>
      <c r="DL552">
        <v>57.7</v>
      </c>
      <c r="DM552">
        <v>55.2</v>
      </c>
      <c r="DN552">
        <v>0</v>
      </c>
      <c r="DO552">
        <v>0</v>
      </c>
      <c r="DP552">
        <v>0</v>
      </c>
      <c r="DQ552">
        <v>0</v>
      </c>
      <c r="DR552">
        <v>0</v>
      </c>
      <c r="DS552">
        <v>0</v>
      </c>
      <c r="DT552">
        <v>0</v>
      </c>
      <c r="DU552">
        <v>0</v>
      </c>
      <c r="DV552" t="s">
        <v>702</v>
      </c>
    </row>
    <row r="553" spans="1:126" x14ac:dyDescent="0.35">
      <c r="A553" t="s">
        <v>937</v>
      </c>
      <c r="B553">
        <v>230103</v>
      </c>
      <c r="C553" s="1">
        <v>44929</v>
      </c>
      <c r="D553" t="s">
        <v>938</v>
      </c>
      <c r="E553" t="s">
        <v>227</v>
      </c>
      <c r="F553" t="s">
        <v>185</v>
      </c>
      <c r="G553" t="s">
        <v>935</v>
      </c>
      <c r="H553">
        <v>10053</v>
      </c>
      <c r="I553" s="17">
        <v>1488</v>
      </c>
      <c r="J553" s="17">
        <v>1653</v>
      </c>
      <c r="K553">
        <v>2018</v>
      </c>
      <c r="L553">
        <v>6547</v>
      </c>
      <c r="M553">
        <v>6322</v>
      </c>
      <c r="N553">
        <v>10053</v>
      </c>
      <c r="O553">
        <v>9993</v>
      </c>
      <c r="P553">
        <v>0</v>
      </c>
      <c r="Q553">
        <v>60</v>
      </c>
      <c r="R553">
        <v>10053</v>
      </c>
      <c r="S553">
        <v>1488</v>
      </c>
      <c r="T553">
        <v>1653</v>
      </c>
      <c r="U553">
        <v>2018</v>
      </c>
      <c r="V553">
        <v>6547</v>
      </c>
      <c r="W553">
        <v>6322</v>
      </c>
      <c r="X553">
        <v>10053</v>
      </c>
      <c r="Y553">
        <v>9993</v>
      </c>
      <c r="Z553">
        <v>0</v>
      </c>
      <c r="AA553">
        <v>60</v>
      </c>
      <c r="AB553">
        <v>0</v>
      </c>
      <c r="AC553">
        <v>0</v>
      </c>
      <c r="AD553">
        <v>0</v>
      </c>
      <c r="AE553">
        <v>0</v>
      </c>
      <c r="AF553">
        <v>0</v>
      </c>
      <c r="AG553">
        <v>0</v>
      </c>
      <c r="AH553">
        <v>0</v>
      </c>
      <c r="AI553">
        <v>0</v>
      </c>
      <c r="AJ553">
        <v>0</v>
      </c>
      <c r="AK553">
        <v>0</v>
      </c>
      <c r="AL553">
        <v>520</v>
      </c>
      <c r="AM553">
        <v>0</v>
      </c>
      <c r="AN553">
        <v>160</v>
      </c>
      <c r="AO553">
        <v>255</v>
      </c>
      <c r="AP553">
        <v>265</v>
      </c>
      <c r="AQ553">
        <v>105</v>
      </c>
      <c r="AR553">
        <v>520</v>
      </c>
      <c r="AS553">
        <v>520</v>
      </c>
      <c r="AT553">
        <v>0</v>
      </c>
      <c r="AU553">
        <v>0</v>
      </c>
      <c r="AV553">
        <v>100</v>
      </c>
      <c r="AW553">
        <v>14.8</v>
      </c>
      <c r="AX553">
        <v>16.399999999999999</v>
      </c>
      <c r="AY553">
        <v>20.100000000000001</v>
      </c>
      <c r="AZ553">
        <v>65.099999999999994</v>
      </c>
      <c r="BA553">
        <v>62.9</v>
      </c>
      <c r="BB553">
        <v>100</v>
      </c>
      <c r="BC553">
        <v>99.4</v>
      </c>
      <c r="BD553">
        <v>0</v>
      </c>
      <c r="BE553">
        <v>0.6</v>
      </c>
      <c r="BF553">
        <v>100</v>
      </c>
      <c r="BG553">
        <v>14.8</v>
      </c>
      <c r="BH553">
        <v>16.399999999999999</v>
      </c>
      <c r="BI553">
        <v>20.100000000000001</v>
      </c>
      <c r="BJ553">
        <v>65.099999999999994</v>
      </c>
      <c r="BK553">
        <v>62.9</v>
      </c>
      <c r="BL553">
        <v>100</v>
      </c>
      <c r="BM553">
        <v>99.4</v>
      </c>
      <c r="BN553">
        <v>0</v>
      </c>
      <c r="BO553">
        <v>0.6</v>
      </c>
      <c r="BP553">
        <v>0</v>
      </c>
      <c r="BQ553">
        <v>0</v>
      </c>
      <c r="BR553">
        <v>0</v>
      </c>
      <c r="BS553">
        <v>0</v>
      </c>
      <c r="BT553">
        <v>0</v>
      </c>
      <c r="BU553">
        <v>0</v>
      </c>
      <c r="BV553">
        <v>0</v>
      </c>
      <c r="BW553">
        <v>0</v>
      </c>
      <c r="BX553">
        <v>0</v>
      </c>
      <c r="BY553">
        <v>0</v>
      </c>
      <c r="BZ553">
        <v>20</v>
      </c>
      <c r="CA553">
        <v>3</v>
      </c>
      <c r="CB553">
        <v>2</v>
      </c>
      <c r="CC553">
        <v>5</v>
      </c>
      <c r="CD553">
        <v>11</v>
      </c>
      <c r="CE553">
        <v>13</v>
      </c>
      <c r="CF553">
        <v>16</v>
      </c>
      <c r="CG553">
        <v>18</v>
      </c>
      <c r="CH553">
        <v>20</v>
      </c>
      <c r="CI553">
        <v>3</v>
      </c>
      <c r="CJ553">
        <v>2</v>
      </c>
      <c r="CK553">
        <v>5</v>
      </c>
      <c r="CL553">
        <v>11</v>
      </c>
      <c r="CM553">
        <v>13</v>
      </c>
      <c r="CN553">
        <v>16</v>
      </c>
      <c r="CO553">
        <v>18</v>
      </c>
      <c r="CP553">
        <v>0</v>
      </c>
      <c r="CQ553">
        <v>0</v>
      </c>
      <c r="CR553">
        <v>0</v>
      </c>
      <c r="CS553">
        <v>0</v>
      </c>
      <c r="CT553">
        <v>0</v>
      </c>
      <c r="CU553">
        <v>0</v>
      </c>
      <c r="CV553">
        <v>0</v>
      </c>
      <c r="CW553">
        <v>0</v>
      </c>
      <c r="CX553">
        <v>62.4</v>
      </c>
      <c r="CY553">
        <v>58</v>
      </c>
      <c r="CZ553">
        <v>84.1</v>
      </c>
      <c r="DA553">
        <v>81.3</v>
      </c>
      <c r="DB553">
        <v>45.6</v>
      </c>
      <c r="DC553">
        <v>38.6</v>
      </c>
      <c r="DD553">
        <v>52.5</v>
      </c>
      <c r="DE553">
        <v>48.7</v>
      </c>
      <c r="DF553">
        <v>62.4</v>
      </c>
      <c r="DG553">
        <v>58</v>
      </c>
      <c r="DH553">
        <v>84.1</v>
      </c>
      <c r="DI553">
        <v>81.3</v>
      </c>
      <c r="DJ553">
        <v>45.6</v>
      </c>
      <c r="DK553">
        <v>38.6</v>
      </c>
      <c r="DL553">
        <v>52.5</v>
      </c>
      <c r="DM553">
        <v>48.7</v>
      </c>
      <c r="DN553">
        <v>0</v>
      </c>
      <c r="DO553">
        <v>0</v>
      </c>
      <c r="DP553">
        <v>0</v>
      </c>
      <c r="DQ553">
        <v>0</v>
      </c>
      <c r="DR553">
        <v>0</v>
      </c>
      <c r="DS553">
        <v>0</v>
      </c>
      <c r="DT553">
        <v>0</v>
      </c>
      <c r="DU553">
        <v>0</v>
      </c>
      <c r="DV553" t="s">
        <v>702</v>
      </c>
    </row>
    <row r="554" spans="1:126" x14ac:dyDescent="0.35">
      <c r="C554" s="1"/>
    </row>
    <row r="555" spans="1:126" x14ac:dyDescent="0.35">
      <c r="C555" s="1"/>
    </row>
    <row r="556" spans="1:126" x14ac:dyDescent="0.35">
      <c r="C556" s="1"/>
    </row>
    <row r="557" spans="1:126" x14ac:dyDescent="0.35">
      <c r="C557" s="1"/>
    </row>
    <row r="558" spans="1:126" x14ac:dyDescent="0.35">
      <c r="C558" s="1"/>
    </row>
    <row r="559" spans="1:126" x14ac:dyDescent="0.35">
      <c r="C559" s="1"/>
    </row>
    <row r="560" spans="1:126" x14ac:dyDescent="0.35">
      <c r="C560" s="1"/>
    </row>
    <row r="561" spans="3:3" x14ac:dyDescent="0.35">
      <c r="C561" s="1"/>
    </row>
    <row r="562" spans="3:3" x14ac:dyDescent="0.35">
      <c r="C562" s="1"/>
    </row>
    <row r="563" spans="3:3" x14ac:dyDescent="0.35">
      <c r="C563" s="1"/>
    </row>
    <row r="564" spans="3:3" x14ac:dyDescent="0.35">
      <c r="C564" s="1"/>
    </row>
    <row r="565" spans="3:3" x14ac:dyDescent="0.35">
      <c r="C565" s="1"/>
    </row>
    <row r="566" spans="3:3" x14ac:dyDescent="0.35">
      <c r="C566" s="1"/>
    </row>
    <row r="567" spans="3:3" x14ac:dyDescent="0.35">
      <c r="C567" s="1"/>
    </row>
    <row r="568" spans="3:3" x14ac:dyDescent="0.35">
      <c r="C568" s="1"/>
    </row>
    <row r="569" spans="3:3" x14ac:dyDescent="0.35">
      <c r="C569" s="1"/>
    </row>
    <row r="570" spans="3:3" x14ac:dyDescent="0.35">
      <c r="C570" s="1"/>
    </row>
    <row r="571" spans="3:3" x14ac:dyDescent="0.35">
      <c r="C571" s="1"/>
    </row>
    <row r="572" spans="3:3" x14ac:dyDescent="0.35">
      <c r="C572" s="1"/>
    </row>
    <row r="573" spans="3:3" x14ac:dyDescent="0.35">
      <c r="C573" s="1"/>
    </row>
    <row r="574" spans="3:3" x14ac:dyDescent="0.35">
      <c r="C574" s="1"/>
    </row>
    <row r="575" spans="3:3" x14ac:dyDescent="0.35">
      <c r="C575" s="1"/>
    </row>
    <row r="576" spans="3:3" x14ac:dyDescent="0.35">
      <c r="C576" s="1"/>
    </row>
    <row r="577" spans="3:3" x14ac:dyDescent="0.35">
      <c r="C577" s="1"/>
    </row>
    <row r="578" spans="3:3" x14ac:dyDescent="0.35">
      <c r="C578" s="1"/>
    </row>
    <row r="579" spans="3:3" x14ac:dyDescent="0.35">
      <c r="C579" s="1"/>
    </row>
    <row r="580" spans="3:3" x14ac:dyDescent="0.35">
      <c r="C580" s="1"/>
    </row>
    <row r="581" spans="3:3" x14ac:dyDescent="0.35">
      <c r="C581" s="1"/>
    </row>
    <row r="582" spans="3:3" x14ac:dyDescent="0.35">
      <c r="C582" s="1"/>
    </row>
    <row r="583" spans="3:3" x14ac:dyDescent="0.35">
      <c r="C583" s="1"/>
    </row>
    <row r="584" spans="3:3" x14ac:dyDescent="0.35">
      <c r="C584" s="1"/>
    </row>
    <row r="585" spans="3:3" x14ac:dyDescent="0.35">
      <c r="C585" s="1"/>
    </row>
    <row r="586" spans="3:3" x14ac:dyDescent="0.35">
      <c r="C586" s="1"/>
    </row>
    <row r="587" spans="3:3" x14ac:dyDescent="0.35">
      <c r="C587" s="1"/>
    </row>
    <row r="588" spans="3:3" x14ac:dyDescent="0.35">
      <c r="C588" s="1"/>
    </row>
    <row r="589" spans="3:3" x14ac:dyDescent="0.35">
      <c r="C589" s="1"/>
    </row>
    <row r="590" spans="3:3" x14ac:dyDescent="0.35">
      <c r="C590" s="1"/>
    </row>
    <row r="591" spans="3:3" x14ac:dyDescent="0.35">
      <c r="C591" s="1"/>
    </row>
    <row r="592" spans="3:3" x14ac:dyDescent="0.35">
      <c r="C592" s="1"/>
    </row>
    <row r="593" spans="3:3" x14ac:dyDescent="0.35">
      <c r="C593" s="1"/>
    </row>
    <row r="594" spans="3:3" x14ac:dyDescent="0.35">
      <c r="C594" s="1"/>
    </row>
    <row r="595" spans="3:3" x14ac:dyDescent="0.35">
      <c r="C595" s="1"/>
    </row>
    <row r="596" spans="3:3" x14ac:dyDescent="0.35">
      <c r="C596" s="1"/>
    </row>
    <row r="597" spans="3:3" x14ac:dyDescent="0.35">
      <c r="C597" s="1"/>
    </row>
    <row r="598" spans="3:3" x14ac:dyDescent="0.35">
      <c r="C598" s="1"/>
    </row>
    <row r="599" spans="3:3" x14ac:dyDescent="0.35">
      <c r="C599" s="1"/>
    </row>
    <row r="600" spans="3:3" x14ac:dyDescent="0.35">
      <c r="C600" s="1"/>
    </row>
    <row r="601" spans="3:3" x14ac:dyDescent="0.35">
      <c r="C601" s="1"/>
    </row>
    <row r="602" spans="3:3" x14ac:dyDescent="0.35">
      <c r="C602" s="1"/>
    </row>
    <row r="603" spans="3:3" x14ac:dyDescent="0.35">
      <c r="C603" s="1"/>
    </row>
    <row r="604" spans="3:3" x14ac:dyDescent="0.35">
      <c r="C604" s="1"/>
    </row>
    <row r="605" spans="3:3" x14ac:dyDescent="0.35">
      <c r="C605" s="1"/>
    </row>
    <row r="606" spans="3:3" x14ac:dyDescent="0.35">
      <c r="C606" s="1"/>
    </row>
    <row r="607" spans="3:3" x14ac:dyDescent="0.35">
      <c r="C607" s="1"/>
    </row>
    <row r="608" spans="3:3" x14ac:dyDescent="0.35">
      <c r="C608" s="1"/>
    </row>
    <row r="609" spans="3:3" x14ac:dyDescent="0.35">
      <c r="C609" s="1"/>
    </row>
    <row r="610" spans="3:3" x14ac:dyDescent="0.35">
      <c r="C610" s="1"/>
    </row>
    <row r="611" spans="3:3" x14ac:dyDescent="0.35">
      <c r="C611" s="1"/>
    </row>
    <row r="612" spans="3:3" x14ac:dyDescent="0.35">
      <c r="C612" s="1"/>
    </row>
    <row r="613" spans="3:3" x14ac:dyDescent="0.35">
      <c r="C613" s="1"/>
    </row>
    <row r="614" spans="3:3" x14ac:dyDescent="0.35">
      <c r="C614" s="1"/>
    </row>
    <row r="615" spans="3:3" x14ac:dyDescent="0.35">
      <c r="C615" s="1"/>
    </row>
    <row r="616" spans="3:3" x14ac:dyDescent="0.35">
      <c r="C616" s="1"/>
    </row>
    <row r="617" spans="3:3" x14ac:dyDescent="0.35">
      <c r="C617" s="1"/>
    </row>
    <row r="618" spans="3:3" x14ac:dyDescent="0.35">
      <c r="C618" s="1"/>
    </row>
    <row r="619" spans="3:3" x14ac:dyDescent="0.35">
      <c r="C619" s="1"/>
    </row>
    <row r="620" spans="3:3" x14ac:dyDescent="0.35">
      <c r="C620" s="1"/>
    </row>
    <row r="621" spans="3:3" x14ac:dyDescent="0.35">
      <c r="C621" s="1"/>
    </row>
    <row r="622" spans="3:3" x14ac:dyDescent="0.35">
      <c r="C622" s="1"/>
    </row>
    <row r="623" spans="3:3" x14ac:dyDescent="0.35">
      <c r="C623" s="1"/>
    </row>
    <row r="624" spans="3:3" x14ac:dyDescent="0.35">
      <c r="C624" s="1"/>
    </row>
    <row r="625" spans="3:3" x14ac:dyDescent="0.35">
      <c r="C625" s="1"/>
    </row>
    <row r="626" spans="3:3" x14ac:dyDescent="0.35">
      <c r="C626" s="1"/>
    </row>
    <row r="627" spans="3:3" x14ac:dyDescent="0.35">
      <c r="C627" s="1"/>
    </row>
    <row r="628" spans="3:3" x14ac:dyDescent="0.35">
      <c r="C628" s="1"/>
    </row>
    <row r="629" spans="3:3" x14ac:dyDescent="0.35">
      <c r="C629" s="1"/>
    </row>
    <row r="630" spans="3:3" x14ac:dyDescent="0.35">
      <c r="C630" s="1"/>
    </row>
    <row r="631" spans="3:3" x14ac:dyDescent="0.35">
      <c r="C631" s="1"/>
    </row>
    <row r="632" spans="3:3" x14ac:dyDescent="0.35">
      <c r="C632" s="1"/>
    </row>
    <row r="633" spans="3:3" x14ac:dyDescent="0.35">
      <c r="C633" s="1"/>
    </row>
    <row r="634" spans="3:3" x14ac:dyDescent="0.35">
      <c r="C634" s="1"/>
    </row>
    <row r="635" spans="3:3" x14ac:dyDescent="0.35">
      <c r="C635" s="1"/>
    </row>
    <row r="636" spans="3:3" x14ac:dyDescent="0.35">
      <c r="C636" s="1"/>
    </row>
    <row r="637" spans="3:3" x14ac:dyDescent="0.35">
      <c r="C637" s="1"/>
    </row>
    <row r="638" spans="3:3" x14ac:dyDescent="0.35">
      <c r="C638" s="1"/>
    </row>
    <row r="639" spans="3:3" x14ac:dyDescent="0.35">
      <c r="C639" s="1"/>
    </row>
    <row r="640" spans="3:3" x14ac:dyDescent="0.35">
      <c r="C640" s="1"/>
    </row>
    <row r="641" spans="3:3" x14ac:dyDescent="0.35">
      <c r="C641" s="1"/>
    </row>
    <row r="642" spans="3:3" x14ac:dyDescent="0.35">
      <c r="C642" s="1"/>
    </row>
    <row r="643" spans="3:3" x14ac:dyDescent="0.35">
      <c r="C643" s="1"/>
    </row>
    <row r="644" spans="3:3" x14ac:dyDescent="0.35">
      <c r="C644" s="1"/>
    </row>
    <row r="645" spans="3:3" x14ac:dyDescent="0.35">
      <c r="C645" s="1"/>
    </row>
    <row r="646" spans="3:3" x14ac:dyDescent="0.35">
      <c r="C646" s="1"/>
    </row>
    <row r="647" spans="3:3" x14ac:dyDescent="0.35">
      <c r="C647" s="1"/>
    </row>
    <row r="648" spans="3:3" x14ac:dyDescent="0.35">
      <c r="C648" s="1"/>
    </row>
    <row r="649" spans="3:3" x14ac:dyDescent="0.35">
      <c r="C649" s="1"/>
    </row>
    <row r="650" spans="3:3" x14ac:dyDescent="0.35">
      <c r="C650" s="1"/>
    </row>
    <row r="651" spans="3:3" x14ac:dyDescent="0.35">
      <c r="C651" s="1"/>
    </row>
    <row r="652" spans="3:3" x14ac:dyDescent="0.35">
      <c r="C652" s="1"/>
    </row>
    <row r="653" spans="3:3" x14ac:dyDescent="0.35">
      <c r="C653" s="1"/>
    </row>
    <row r="654" spans="3:3" x14ac:dyDescent="0.35">
      <c r="C654" s="1"/>
    </row>
    <row r="655" spans="3:3" x14ac:dyDescent="0.35">
      <c r="C655" s="1"/>
    </row>
    <row r="656" spans="3:3" x14ac:dyDescent="0.35">
      <c r="C656" s="1"/>
    </row>
    <row r="657" spans="3:3" x14ac:dyDescent="0.35">
      <c r="C657" s="1"/>
    </row>
    <row r="658" spans="3:3" x14ac:dyDescent="0.35">
      <c r="C658" s="1"/>
    </row>
    <row r="659" spans="3:3" x14ac:dyDescent="0.35">
      <c r="C659" s="1"/>
    </row>
    <row r="660" spans="3:3" x14ac:dyDescent="0.35">
      <c r="C660" s="1"/>
    </row>
    <row r="661" spans="3:3" x14ac:dyDescent="0.35">
      <c r="C661" s="1"/>
    </row>
    <row r="662" spans="3:3" x14ac:dyDescent="0.35">
      <c r="C662" s="1"/>
    </row>
    <row r="663" spans="3:3" x14ac:dyDescent="0.35">
      <c r="C663" s="1"/>
    </row>
    <row r="664" spans="3:3" x14ac:dyDescent="0.35">
      <c r="C664" s="1"/>
    </row>
    <row r="665" spans="3:3" x14ac:dyDescent="0.35">
      <c r="C665" s="1"/>
    </row>
    <row r="666" spans="3:3" x14ac:dyDescent="0.35">
      <c r="C666" s="1"/>
    </row>
    <row r="667" spans="3:3" x14ac:dyDescent="0.35">
      <c r="C667" s="1"/>
    </row>
    <row r="668" spans="3:3" x14ac:dyDescent="0.35">
      <c r="C668" s="1"/>
    </row>
    <row r="669" spans="3:3" x14ac:dyDescent="0.35">
      <c r="C669" s="1"/>
    </row>
    <row r="670" spans="3:3" x14ac:dyDescent="0.35">
      <c r="C670" s="1"/>
    </row>
    <row r="671" spans="3:3" x14ac:dyDescent="0.35">
      <c r="C671" s="1"/>
    </row>
    <row r="672" spans="3:3" x14ac:dyDescent="0.35">
      <c r="C672" s="1"/>
    </row>
    <row r="673" spans="3:3" x14ac:dyDescent="0.35">
      <c r="C673" s="1"/>
    </row>
    <row r="674" spans="3:3" x14ac:dyDescent="0.35">
      <c r="C674" s="1"/>
    </row>
    <row r="675" spans="3:3" x14ac:dyDescent="0.35">
      <c r="C675" s="1"/>
    </row>
    <row r="676" spans="3:3" x14ac:dyDescent="0.35">
      <c r="C676" s="1"/>
    </row>
    <row r="677" spans="3:3" x14ac:dyDescent="0.35">
      <c r="C677" s="1"/>
    </row>
    <row r="678" spans="3:3" x14ac:dyDescent="0.35">
      <c r="C678" s="1"/>
    </row>
    <row r="679" spans="3:3" x14ac:dyDescent="0.35">
      <c r="C679" s="1"/>
    </row>
    <row r="680" spans="3:3" x14ac:dyDescent="0.35">
      <c r="C680" s="1"/>
    </row>
    <row r="681" spans="3:3" x14ac:dyDescent="0.35">
      <c r="C681" s="1"/>
    </row>
    <row r="682" spans="3:3" x14ac:dyDescent="0.35">
      <c r="C682" s="1"/>
    </row>
    <row r="683" spans="3:3" x14ac:dyDescent="0.35">
      <c r="C683" s="1"/>
    </row>
    <row r="684" spans="3:3" x14ac:dyDescent="0.35">
      <c r="C684" s="1"/>
    </row>
    <row r="685" spans="3:3" x14ac:dyDescent="0.35">
      <c r="C685" s="1"/>
    </row>
    <row r="686" spans="3:3" x14ac:dyDescent="0.35">
      <c r="C686" s="1"/>
    </row>
    <row r="687" spans="3:3" x14ac:dyDescent="0.35">
      <c r="C687" s="1"/>
    </row>
    <row r="688" spans="3:3" x14ac:dyDescent="0.35">
      <c r="C688" s="1"/>
    </row>
    <row r="689" spans="3:3" x14ac:dyDescent="0.35">
      <c r="C689" s="1"/>
    </row>
    <row r="690" spans="3:3" x14ac:dyDescent="0.35">
      <c r="C690" s="1"/>
    </row>
    <row r="691" spans="3:3" x14ac:dyDescent="0.35">
      <c r="C691" s="1"/>
    </row>
    <row r="692" spans="3:3" x14ac:dyDescent="0.35">
      <c r="C692" s="1"/>
    </row>
    <row r="693" spans="3:3" x14ac:dyDescent="0.35">
      <c r="C693" s="1"/>
    </row>
    <row r="694" spans="3:3" x14ac:dyDescent="0.35">
      <c r="C694" s="1"/>
    </row>
    <row r="695" spans="3:3" x14ac:dyDescent="0.35">
      <c r="C695" s="1"/>
    </row>
    <row r="696" spans="3:3" x14ac:dyDescent="0.35">
      <c r="C696" s="1"/>
    </row>
    <row r="697" spans="3:3" x14ac:dyDescent="0.35">
      <c r="C697" s="1"/>
    </row>
    <row r="698" spans="3:3" x14ac:dyDescent="0.35">
      <c r="C698" s="1"/>
    </row>
    <row r="699" spans="3:3" x14ac:dyDescent="0.35">
      <c r="C699" s="1"/>
    </row>
    <row r="700" spans="3:3" x14ac:dyDescent="0.35">
      <c r="C700" s="1"/>
    </row>
    <row r="701" spans="3:3" x14ac:dyDescent="0.35">
      <c r="C701" s="1"/>
    </row>
    <row r="702" spans="3:3" x14ac:dyDescent="0.35">
      <c r="C702" s="1"/>
    </row>
    <row r="703" spans="3:3" x14ac:dyDescent="0.35">
      <c r="C703" s="1"/>
    </row>
    <row r="704" spans="3:3" x14ac:dyDescent="0.35">
      <c r="C704" s="1"/>
    </row>
    <row r="705" spans="3:3" x14ac:dyDescent="0.35">
      <c r="C705" s="1"/>
    </row>
    <row r="706" spans="3:3" x14ac:dyDescent="0.35">
      <c r="C706" s="1"/>
    </row>
    <row r="707" spans="3:3" x14ac:dyDescent="0.35">
      <c r="C707" s="1"/>
    </row>
    <row r="708" spans="3:3" x14ac:dyDescent="0.35">
      <c r="C708" s="1"/>
    </row>
    <row r="709" spans="3:3" x14ac:dyDescent="0.35">
      <c r="C709" s="1"/>
    </row>
    <row r="710" spans="3:3" x14ac:dyDescent="0.35">
      <c r="C710" s="1"/>
    </row>
    <row r="711" spans="3:3" x14ac:dyDescent="0.35">
      <c r="C711" s="1"/>
    </row>
    <row r="712" spans="3:3" x14ac:dyDescent="0.35">
      <c r="C712" s="1"/>
    </row>
    <row r="713" spans="3:3" x14ac:dyDescent="0.35">
      <c r="C713" s="1"/>
    </row>
    <row r="714" spans="3:3" x14ac:dyDescent="0.35">
      <c r="C714" s="1"/>
    </row>
    <row r="715" spans="3:3" x14ac:dyDescent="0.35">
      <c r="C715" s="1"/>
    </row>
    <row r="716" spans="3:3" x14ac:dyDescent="0.35">
      <c r="C716" s="1"/>
    </row>
    <row r="717" spans="3:3" x14ac:dyDescent="0.35">
      <c r="C717" s="1"/>
    </row>
    <row r="718" spans="3:3" x14ac:dyDescent="0.35">
      <c r="C718" s="1"/>
    </row>
    <row r="719" spans="3:3" x14ac:dyDescent="0.35">
      <c r="C719" s="1"/>
    </row>
    <row r="720" spans="3:3" x14ac:dyDescent="0.35">
      <c r="C720" s="1"/>
    </row>
    <row r="721" spans="3:3" x14ac:dyDescent="0.35">
      <c r="C721" s="1"/>
    </row>
    <row r="722" spans="3:3" x14ac:dyDescent="0.35">
      <c r="C722" s="1"/>
    </row>
    <row r="723" spans="3:3" x14ac:dyDescent="0.35">
      <c r="C723" s="1"/>
    </row>
    <row r="724" spans="3:3" x14ac:dyDescent="0.35">
      <c r="C724" s="1"/>
    </row>
    <row r="725" spans="3:3" x14ac:dyDescent="0.35">
      <c r="C725" s="1"/>
    </row>
    <row r="726" spans="3:3" x14ac:dyDescent="0.35">
      <c r="C726" s="1"/>
    </row>
    <row r="727" spans="3:3" x14ac:dyDescent="0.35">
      <c r="C727" s="1"/>
    </row>
    <row r="728" spans="3:3" x14ac:dyDescent="0.35">
      <c r="C728" s="1"/>
    </row>
    <row r="729" spans="3:3" x14ac:dyDescent="0.35">
      <c r="C729" s="1"/>
    </row>
    <row r="730" spans="3:3" x14ac:dyDescent="0.35">
      <c r="C730" s="1"/>
    </row>
    <row r="731" spans="3:3" x14ac:dyDescent="0.35">
      <c r="C731" s="1"/>
    </row>
    <row r="732" spans="3:3" x14ac:dyDescent="0.35">
      <c r="C732" s="1"/>
    </row>
    <row r="733" spans="3:3" x14ac:dyDescent="0.35">
      <c r="C733" s="1"/>
    </row>
    <row r="734" spans="3:3" x14ac:dyDescent="0.35">
      <c r="C734" s="1"/>
    </row>
    <row r="735" spans="3:3" x14ac:dyDescent="0.35">
      <c r="C735" s="1"/>
    </row>
    <row r="736" spans="3:3" x14ac:dyDescent="0.35">
      <c r="C736" s="1"/>
    </row>
    <row r="737" spans="3:3" x14ac:dyDescent="0.35">
      <c r="C737" s="1"/>
    </row>
    <row r="738" spans="3:3" x14ac:dyDescent="0.35">
      <c r="C738" s="1"/>
    </row>
    <row r="739" spans="3:3" x14ac:dyDescent="0.35">
      <c r="C739" s="1"/>
    </row>
    <row r="740" spans="3:3" x14ac:dyDescent="0.35">
      <c r="C740" s="1"/>
    </row>
    <row r="741" spans="3:3" x14ac:dyDescent="0.35">
      <c r="C741" s="1"/>
    </row>
    <row r="742" spans="3:3" x14ac:dyDescent="0.35">
      <c r="C742" s="1"/>
    </row>
    <row r="743" spans="3:3" x14ac:dyDescent="0.35">
      <c r="C743" s="1"/>
    </row>
    <row r="744" spans="3:3" x14ac:dyDescent="0.35">
      <c r="C744" s="1"/>
    </row>
    <row r="745" spans="3:3" x14ac:dyDescent="0.35">
      <c r="C745" s="1"/>
    </row>
    <row r="746" spans="3:3" x14ac:dyDescent="0.35">
      <c r="C746" s="1"/>
    </row>
    <row r="747" spans="3:3" x14ac:dyDescent="0.35">
      <c r="C747" s="1"/>
    </row>
    <row r="748" spans="3:3" x14ac:dyDescent="0.35">
      <c r="C748" s="1"/>
    </row>
    <row r="749" spans="3:3" x14ac:dyDescent="0.35">
      <c r="C749" s="1"/>
    </row>
    <row r="750" spans="3:3" x14ac:dyDescent="0.35">
      <c r="C750" s="1"/>
    </row>
    <row r="751" spans="3:3" x14ac:dyDescent="0.35">
      <c r="C751" s="1"/>
    </row>
    <row r="752" spans="3:3" x14ac:dyDescent="0.35">
      <c r="C752" s="1"/>
    </row>
    <row r="753" spans="3:3" x14ac:dyDescent="0.35">
      <c r="C753" s="1"/>
    </row>
    <row r="754" spans="3:3" x14ac:dyDescent="0.35">
      <c r="C754" s="1"/>
    </row>
    <row r="755" spans="3:3" x14ac:dyDescent="0.35">
      <c r="C755" s="1"/>
    </row>
    <row r="756" spans="3:3" x14ac:dyDescent="0.35">
      <c r="C756" s="1"/>
    </row>
    <row r="757" spans="3:3" x14ac:dyDescent="0.35">
      <c r="C757" s="1"/>
    </row>
    <row r="758" spans="3:3" x14ac:dyDescent="0.35">
      <c r="C758" s="1"/>
    </row>
    <row r="759" spans="3:3" x14ac:dyDescent="0.35">
      <c r="C759" s="1"/>
    </row>
    <row r="760" spans="3:3" x14ac:dyDescent="0.35">
      <c r="C760" s="1"/>
    </row>
    <row r="761" spans="3:3" x14ac:dyDescent="0.35">
      <c r="C761" s="1"/>
    </row>
    <row r="762" spans="3:3" x14ac:dyDescent="0.35">
      <c r="C762" s="1"/>
    </row>
    <row r="763" spans="3:3" x14ac:dyDescent="0.35">
      <c r="C763" s="1"/>
    </row>
    <row r="764" spans="3:3" x14ac:dyDescent="0.35">
      <c r="C764" s="1"/>
    </row>
    <row r="765" spans="3:3" x14ac:dyDescent="0.35">
      <c r="C765" s="1"/>
    </row>
    <row r="766" spans="3:3" x14ac:dyDescent="0.35">
      <c r="C766" s="1"/>
    </row>
    <row r="767" spans="3:3" x14ac:dyDescent="0.35">
      <c r="C767" s="1"/>
    </row>
    <row r="768" spans="3:3" x14ac:dyDescent="0.35">
      <c r="C768" s="1"/>
    </row>
    <row r="769" spans="3:3" x14ac:dyDescent="0.35">
      <c r="C769" s="1"/>
    </row>
    <row r="770" spans="3:3" x14ac:dyDescent="0.35">
      <c r="C770" s="1"/>
    </row>
    <row r="771" spans="3:3" x14ac:dyDescent="0.35">
      <c r="C771" s="1"/>
    </row>
    <row r="772" spans="3:3" x14ac:dyDescent="0.35">
      <c r="C772" s="1"/>
    </row>
    <row r="773" spans="3:3" x14ac:dyDescent="0.35">
      <c r="C773" s="1"/>
    </row>
    <row r="774" spans="3:3" x14ac:dyDescent="0.35">
      <c r="C774" s="1"/>
    </row>
    <row r="775" spans="3:3" x14ac:dyDescent="0.35">
      <c r="C775" s="1"/>
    </row>
    <row r="776" spans="3:3" x14ac:dyDescent="0.35">
      <c r="C776" s="1"/>
    </row>
    <row r="777" spans="3:3" x14ac:dyDescent="0.35">
      <c r="C777" s="1"/>
    </row>
    <row r="778" spans="3:3" x14ac:dyDescent="0.35">
      <c r="C778" s="1"/>
    </row>
    <row r="779" spans="3:3" x14ac:dyDescent="0.35">
      <c r="C779" s="1"/>
    </row>
    <row r="780" spans="3:3" x14ac:dyDescent="0.35">
      <c r="C780" s="1"/>
    </row>
    <row r="781" spans="3:3" x14ac:dyDescent="0.35">
      <c r="C781" s="1"/>
    </row>
    <row r="782" spans="3:3" x14ac:dyDescent="0.35">
      <c r="C782" s="1"/>
    </row>
    <row r="783" spans="3:3" x14ac:dyDescent="0.35">
      <c r="C783" s="1"/>
    </row>
    <row r="784" spans="3:3" x14ac:dyDescent="0.35">
      <c r="C784" s="1"/>
    </row>
    <row r="785" spans="3:3" x14ac:dyDescent="0.35">
      <c r="C785" s="1"/>
    </row>
    <row r="786" spans="3:3" x14ac:dyDescent="0.35">
      <c r="C786" s="1"/>
    </row>
    <row r="787" spans="3:3" x14ac:dyDescent="0.35">
      <c r="C787" s="1"/>
    </row>
    <row r="788" spans="3:3" x14ac:dyDescent="0.35">
      <c r="C788" s="1"/>
    </row>
    <row r="789" spans="3:3" x14ac:dyDescent="0.35">
      <c r="C789" s="1"/>
    </row>
    <row r="790" spans="3:3" x14ac:dyDescent="0.35">
      <c r="C790" s="1"/>
    </row>
    <row r="791" spans="3:3" x14ac:dyDescent="0.35">
      <c r="C791" s="1"/>
    </row>
    <row r="792" spans="3:3" x14ac:dyDescent="0.35">
      <c r="C792" s="1"/>
    </row>
    <row r="793" spans="3:3" x14ac:dyDescent="0.35">
      <c r="C793" s="1"/>
    </row>
    <row r="794" spans="3:3" x14ac:dyDescent="0.35">
      <c r="C794" s="1"/>
    </row>
    <row r="795" spans="3:3" x14ac:dyDescent="0.35">
      <c r="C795" s="1"/>
    </row>
    <row r="796" spans="3:3" x14ac:dyDescent="0.35">
      <c r="C796" s="1"/>
    </row>
    <row r="797" spans="3:3" x14ac:dyDescent="0.35">
      <c r="C797" s="1"/>
    </row>
    <row r="798" spans="3:3" x14ac:dyDescent="0.35">
      <c r="C798" s="1"/>
    </row>
    <row r="799" spans="3:3" x14ac:dyDescent="0.35">
      <c r="C799" s="1"/>
    </row>
    <row r="800" spans="3:3" x14ac:dyDescent="0.35">
      <c r="C800" s="1"/>
    </row>
    <row r="801" spans="3:3" x14ac:dyDescent="0.35">
      <c r="C801" s="1"/>
    </row>
    <row r="802" spans="3:3" x14ac:dyDescent="0.35">
      <c r="C802" s="1"/>
    </row>
    <row r="803" spans="3:3" x14ac:dyDescent="0.35">
      <c r="C803" s="1"/>
    </row>
    <row r="804" spans="3:3" x14ac:dyDescent="0.35">
      <c r="C804" s="1"/>
    </row>
    <row r="805" spans="3:3" x14ac:dyDescent="0.35">
      <c r="C805" s="1"/>
    </row>
    <row r="806" spans="3:3" x14ac:dyDescent="0.35">
      <c r="C806" s="1"/>
    </row>
    <row r="807" spans="3:3" x14ac:dyDescent="0.35">
      <c r="C807" s="1"/>
    </row>
    <row r="808" spans="3:3" x14ac:dyDescent="0.35">
      <c r="C808" s="1"/>
    </row>
    <row r="809" spans="3:3" x14ac:dyDescent="0.35">
      <c r="C809" s="1"/>
    </row>
    <row r="810" spans="3:3" x14ac:dyDescent="0.35">
      <c r="C810" s="1"/>
    </row>
    <row r="811" spans="3:3" x14ac:dyDescent="0.35">
      <c r="C811" s="1"/>
    </row>
    <row r="812" spans="3:3" x14ac:dyDescent="0.35">
      <c r="C812" s="1"/>
    </row>
    <row r="813" spans="3:3" x14ac:dyDescent="0.35">
      <c r="C813" s="1"/>
    </row>
    <row r="814" spans="3:3" x14ac:dyDescent="0.35">
      <c r="C814" s="1"/>
    </row>
    <row r="815" spans="3:3" x14ac:dyDescent="0.35">
      <c r="C815" s="1"/>
    </row>
    <row r="816" spans="3:3" x14ac:dyDescent="0.35">
      <c r="C816" s="1"/>
    </row>
    <row r="817" spans="3:3" x14ac:dyDescent="0.35">
      <c r="C817" s="1"/>
    </row>
    <row r="818" spans="3:3" x14ac:dyDescent="0.35">
      <c r="C818" s="1"/>
    </row>
    <row r="819" spans="3:3" x14ac:dyDescent="0.35">
      <c r="C819" s="1"/>
    </row>
    <row r="820" spans="3:3" x14ac:dyDescent="0.35">
      <c r="C820" s="1"/>
    </row>
    <row r="821" spans="3:3" x14ac:dyDescent="0.35">
      <c r="C821" s="1"/>
    </row>
    <row r="822" spans="3:3" x14ac:dyDescent="0.35">
      <c r="C822" s="1"/>
    </row>
    <row r="823" spans="3:3" x14ac:dyDescent="0.35">
      <c r="C823" s="1"/>
    </row>
    <row r="824" spans="3:3" x14ac:dyDescent="0.35">
      <c r="C824" s="1"/>
    </row>
    <row r="825" spans="3:3" x14ac:dyDescent="0.35">
      <c r="C825" s="1"/>
    </row>
    <row r="826" spans="3:3" x14ac:dyDescent="0.35">
      <c r="C826" s="1"/>
    </row>
    <row r="827" spans="3:3" x14ac:dyDescent="0.35">
      <c r="C827" s="1"/>
    </row>
    <row r="828" spans="3:3" x14ac:dyDescent="0.35">
      <c r="C828" s="1"/>
    </row>
    <row r="829" spans="3:3" x14ac:dyDescent="0.35">
      <c r="C829" s="1"/>
    </row>
    <row r="830" spans="3:3" x14ac:dyDescent="0.35">
      <c r="C830" s="1"/>
    </row>
    <row r="831" spans="3:3" x14ac:dyDescent="0.35">
      <c r="C831" s="1"/>
    </row>
    <row r="832" spans="3:3" x14ac:dyDescent="0.35">
      <c r="C832" s="1"/>
    </row>
    <row r="833" spans="3:3" x14ac:dyDescent="0.35">
      <c r="C833" s="1"/>
    </row>
    <row r="834" spans="3:3" x14ac:dyDescent="0.35">
      <c r="C834" s="1"/>
    </row>
    <row r="835" spans="3:3" x14ac:dyDescent="0.35">
      <c r="C835" s="1"/>
    </row>
    <row r="836" spans="3:3" x14ac:dyDescent="0.35">
      <c r="C836" s="1"/>
    </row>
    <row r="837" spans="3:3" x14ac:dyDescent="0.35">
      <c r="C837" s="1"/>
    </row>
    <row r="838" spans="3:3" x14ac:dyDescent="0.35">
      <c r="C838" s="1"/>
    </row>
    <row r="839" spans="3:3" x14ac:dyDescent="0.35">
      <c r="C839" s="1"/>
    </row>
    <row r="840" spans="3:3" x14ac:dyDescent="0.35">
      <c r="C840" s="1"/>
    </row>
    <row r="841" spans="3:3" x14ac:dyDescent="0.35">
      <c r="C841" s="1"/>
    </row>
    <row r="842" spans="3:3" x14ac:dyDescent="0.35">
      <c r="C842" s="1"/>
    </row>
    <row r="843" spans="3:3" x14ac:dyDescent="0.35">
      <c r="C843" s="1"/>
    </row>
    <row r="844" spans="3:3" x14ac:dyDescent="0.35">
      <c r="C844" s="1"/>
    </row>
    <row r="845" spans="3:3" x14ac:dyDescent="0.35">
      <c r="C845" s="1"/>
    </row>
    <row r="846" spans="3:3" x14ac:dyDescent="0.35">
      <c r="C846" s="1"/>
    </row>
    <row r="847" spans="3:3" x14ac:dyDescent="0.35">
      <c r="C847" s="1"/>
    </row>
    <row r="848" spans="3:3" x14ac:dyDescent="0.35">
      <c r="C848" s="1"/>
    </row>
    <row r="849" spans="3:3" x14ac:dyDescent="0.35">
      <c r="C849" s="1"/>
    </row>
    <row r="850" spans="3:3" x14ac:dyDescent="0.35">
      <c r="C850" s="1"/>
    </row>
    <row r="851" spans="3:3" x14ac:dyDescent="0.35">
      <c r="C851" s="1"/>
    </row>
    <row r="852" spans="3:3" x14ac:dyDescent="0.35">
      <c r="C852" s="1"/>
    </row>
    <row r="853" spans="3:3" x14ac:dyDescent="0.35">
      <c r="C853" s="1"/>
    </row>
    <row r="854" spans="3:3" x14ac:dyDescent="0.35">
      <c r="C854" s="1"/>
    </row>
    <row r="855" spans="3:3" x14ac:dyDescent="0.35">
      <c r="C855" s="1"/>
    </row>
    <row r="856" spans="3:3" x14ac:dyDescent="0.35">
      <c r="C856" s="1"/>
    </row>
    <row r="857" spans="3:3" x14ac:dyDescent="0.35">
      <c r="C857" s="1"/>
    </row>
    <row r="858" spans="3:3" x14ac:dyDescent="0.35">
      <c r="C858" s="1"/>
    </row>
    <row r="859" spans="3:3" x14ac:dyDescent="0.35">
      <c r="C859" s="1"/>
    </row>
    <row r="860" spans="3:3" x14ac:dyDescent="0.35">
      <c r="C860" s="1"/>
    </row>
    <row r="861" spans="3:3" x14ac:dyDescent="0.35">
      <c r="C861" s="1"/>
    </row>
    <row r="862" spans="3:3" x14ac:dyDescent="0.35">
      <c r="C862" s="1"/>
    </row>
    <row r="863" spans="3:3" x14ac:dyDescent="0.35">
      <c r="C863" s="1"/>
    </row>
    <row r="864" spans="3:3" x14ac:dyDescent="0.35">
      <c r="C864" s="1"/>
    </row>
    <row r="865" spans="3:3" x14ac:dyDescent="0.35">
      <c r="C865" s="1"/>
    </row>
    <row r="866" spans="3:3" x14ac:dyDescent="0.35">
      <c r="C866" s="1"/>
    </row>
    <row r="867" spans="3:3" x14ac:dyDescent="0.35">
      <c r="C867" s="1"/>
    </row>
    <row r="868" spans="3:3" x14ac:dyDescent="0.35">
      <c r="C868" s="1"/>
    </row>
    <row r="869" spans="3:3" x14ac:dyDescent="0.35">
      <c r="C869" s="1"/>
    </row>
    <row r="870" spans="3:3" x14ac:dyDescent="0.35">
      <c r="C870" s="1"/>
    </row>
    <row r="871" spans="3:3" x14ac:dyDescent="0.35">
      <c r="C871" s="1"/>
    </row>
    <row r="872" spans="3:3" x14ac:dyDescent="0.35">
      <c r="C872" s="1"/>
    </row>
    <row r="873" spans="3:3" x14ac:dyDescent="0.35">
      <c r="C873" s="1"/>
    </row>
    <row r="874" spans="3:3" x14ac:dyDescent="0.35">
      <c r="C874" s="1"/>
    </row>
    <row r="875" spans="3:3" x14ac:dyDescent="0.35">
      <c r="C875" s="1"/>
    </row>
    <row r="876" spans="3:3" x14ac:dyDescent="0.35">
      <c r="C876" s="1"/>
    </row>
    <row r="877" spans="3:3" x14ac:dyDescent="0.35">
      <c r="C877" s="1"/>
    </row>
    <row r="878" spans="3:3" x14ac:dyDescent="0.35">
      <c r="C878" s="1"/>
    </row>
    <row r="879" spans="3:3" x14ac:dyDescent="0.35">
      <c r="C879" s="1"/>
    </row>
    <row r="880" spans="3:3" x14ac:dyDescent="0.35">
      <c r="C880" s="1"/>
    </row>
    <row r="881" spans="3:3" x14ac:dyDescent="0.35">
      <c r="C881" s="1"/>
    </row>
    <row r="882" spans="3:3" x14ac:dyDescent="0.35">
      <c r="C882" s="1"/>
    </row>
    <row r="883" spans="3:3" x14ac:dyDescent="0.35">
      <c r="C883" s="1"/>
    </row>
    <row r="884" spans="3:3" x14ac:dyDescent="0.35">
      <c r="C884" s="1"/>
    </row>
    <row r="885" spans="3:3" x14ac:dyDescent="0.35">
      <c r="C885" s="1"/>
    </row>
    <row r="886" spans="3:3" x14ac:dyDescent="0.35">
      <c r="C886" s="1"/>
    </row>
    <row r="887" spans="3:3" x14ac:dyDescent="0.35">
      <c r="C887" s="1"/>
    </row>
    <row r="888" spans="3:3" x14ac:dyDescent="0.35">
      <c r="C888" s="1"/>
    </row>
    <row r="889" spans="3:3" x14ac:dyDescent="0.35">
      <c r="C889" s="1"/>
    </row>
    <row r="890" spans="3:3" x14ac:dyDescent="0.35">
      <c r="C890" s="1"/>
    </row>
    <row r="891" spans="3:3" x14ac:dyDescent="0.35">
      <c r="C891" s="1"/>
    </row>
    <row r="892" spans="3:3" x14ac:dyDescent="0.35">
      <c r="C892" s="1"/>
    </row>
    <row r="893" spans="3:3" x14ac:dyDescent="0.35">
      <c r="C893" s="1"/>
    </row>
    <row r="894" spans="3:3" x14ac:dyDescent="0.35">
      <c r="C894" s="1"/>
    </row>
    <row r="895" spans="3:3" x14ac:dyDescent="0.35">
      <c r="C895" s="1"/>
    </row>
    <row r="896" spans="3:3" x14ac:dyDescent="0.35">
      <c r="C896" s="1"/>
    </row>
    <row r="897" spans="3:3" x14ac:dyDescent="0.35">
      <c r="C897" s="1"/>
    </row>
    <row r="898" spans="3:3" x14ac:dyDescent="0.35">
      <c r="C898" s="1"/>
    </row>
    <row r="899" spans="3:3" x14ac:dyDescent="0.35">
      <c r="C899" s="1"/>
    </row>
    <row r="900" spans="3:3" x14ac:dyDescent="0.35">
      <c r="C900" s="1"/>
    </row>
    <row r="901" spans="3:3" x14ac:dyDescent="0.35">
      <c r="C901" s="1"/>
    </row>
    <row r="902" spans="3:3" x14ac:dyDescent="0.35">
      <c r="C902" s="1"/>
    </row>
    <row r="903" spans="3:3" x14ac:dyDescent="0.35">
      <c r="C903" s="1"/>
    </row>
    <row r="904" spans="3:3" x14ac:dyDescent="0.35">
      <c r="C904" s="1"/>
    </row>
    <row r="905" spans="3:3" x14ac:dyDescent="0.35">
      <c r="C905" s="1"/>
    </row>
    <row r="906" spans="3:3" x14ac:dyDescent="0.35">
      <c r="C906" s="1"/>
    </row>
    <row r="907" spans="3:3" x14ac:dyDescent="0.35">
      <c r="C907" s="1"/>
    </row>
    <row r="908" spans="3:3" x14ac:dyDescent="0.35">
      <c r="C908" s="1"/>
    </row>
    <row r="909" spans="3:3" x14ac:dyDescent="0.35">
      <c r="C909" s="1"/>
    </row>
    <row r="910" spans="3:3" x14ac:dyDescent="0.35">
      <c r="C910" s="1"/>
    </row>
    <row r="911" spans="3:3" x14ac:dyDescent="0.35">
      <c r="C911" s="1"/>
    </row>
    <row r="912" spans="3:3" x14ac:dyDescent="0.35">
      <c r="C912" s="1"/>
    </row>
    <row r="913" spans="3:3" x14ac:dyDescent="0.35">
      <c r="C913" s="1"/>
    </row>
    <row r="914" spans="3:3" x14ac:dyDescent="0.35">
      <c r="C914" s="1"/>
    </row>
    <row r="915" spans="3:3" x14ac:dyDescent="0.35">
      <c r="C915" s="1"/>
    </row>
    <row r="916" spans="3:3" x14ac:dyDescent="0.35">
      <c r="C916" s="1"/>
    </row>
    <row r="917" spans="3:3" x14ac:dyDescent="0.35">
      <c r="C917" s="1"/>
    </row>
    <row r="918" spans="3:3" x14ac:dyDescent="0.35">
      <c r="C918" s="1"/>
    </row>
    <row r="919" spans="3:3" x14ac:dyDescent="0.35">
      <c r="C919" s="1"/>
    </row>
    <row r="920" spans="3:3" x14ac:dyDescent="0.35">
      <c r="C920" s="1"/>
    </row>
    <row r="921" spans="3:3" x14ac:dyDescent="0.35">
      <c r="C921" s="1"/>
    </row>
    <row r="922" spans="3:3" x14ac:dyDescent="0.35">
      <c r="C922" s="1"/>
    </row>
    <row r="923" spans="3:3" x14ac:dyDescent="0.35">
      <c r="C923" s="1"/>
    </row>
    <row r="924" spans="3:3" x14ac:dyDescent="0.35">
      <c r="C924" s="1"/>
    </row>
    <row r="925" spans="3:3" x14ac:dyDescent="0.35">
      <c r="C925" s="1"/>
    </row>
    <row r="926" spans="3:3" x14ac:dyDescent="0.35">
      <c r="C926" s="1"/>
    </row>
    <row r="927" spans="3:3" x14ac:dyDescent="0.35">
      <c r="C927" s="1"/>
    </row>
    <row r="928" spans="3:3" x14ac:dyDescent="0.35">
      <c r="C928" s="1"/>
    </row>
    <row r="929" spans="3:3" x14ac:dyDescent="0.35">
      <c r="C929" s="1"/>
    </row>
    <row r="930" spans="3:3" x14ac:dyDescent="0.35">
      <c r="C930" s="1"/>
    </row>
    <row r="931" spans="3:3" x14ac:dyDescent="0.35">
      <c r="C931" s="1"/>
    </row>
    <row r="932" spans="3:3" x14ac:dyDescent="0.35">
      <c r="C932" s="1"/>
    </row>
    <row r="933" spans="3:3" x14ac:dyDescent="0.35">
      <c r="C933" s="1"/>
    </row>
    <row r="934" spans="3:3" x14ac:dyDescent="0.35">
      <c r="C934" s="1"/>
    </row>
    <row r="935" spans="3:3" x14ac:dyDescent="0.35">
      <c r="C935" s="1"/>
    </row>
    <row r="936" spans="3:3" x14ac:dyDescent="0.35">
      <c r="C936" s="1"/>
    </row>
    <row r="937" spans="3:3" x14ac:dyDescent="0.35">
      <c r="C937" s="1"/>
    </row>
    <row r="938" spans="3:3" x14ac:dyDescent="0.35">
      <c r="C938" s="1"/>
    </row>
    <row r="939" spans="3:3" x14ac:dyDescent="0.35">
      <c r="C939" s="1"/>
    </row>
    <row r="940" spans="3:3" x14ac:dyDescent="0.35">
      <c r="C940" s="1"/>
    </row>
    <row r="941" spans="3:3" x14ac:dyDescent="0.35">
      <c r="C941" s="1"/>
    </row>
    <row r="942" spans="3:3" x14ac:dyDescent="0.35">
      <c r="C942" s="1"/>
    </row>
    <row r="943" spans="3:3" x14ac:dyDescent="0.35">
      <c r="C943" s="1"/>
    </row>
    <row r="944" spans="3:3" x14ac:dyDescent="0.35">
      <c r="C944" s="1"/>
    </row>
    <row r="945" spans="3:3" x14ac:dyDescent="0.35">
      <c r="C945" s="1"/>
    </row>
    <row r="946" spans="3:3" x14ac:dyDescent="0.35">
      <c r="C946" s="1"/>
    </row>
    <row r="947" spans="3:3" x14ac:dyDescent="0.35">
      <c r="C947" s="1"/>
    </row>
    <row r="948" spans="3:3" x14ac:dyDescent="0.35">
      <c r="C948" s="1"/>
    </row>
    <row r="949" spans="3:3" x14ac:dyDescent="0.35">
      <c r="C949" s="1"/>
    </row>
    <row r="950" spans="3:3" x14ac:dyDescent="0.35">
      <c r="C950" s="1"/>
    </row>
    <row r="951" spans="3:3" x14ac:dyDescent="0.35">
      <c r="C951" s="1"/>
    </row>
    <row r="952" spans="3:3" x14ac:dyDescent="0.35">
      <c r="C952" s="1"/>
    </row>
    <row r="953" spans="3:3" x14ac:dyDescent="0.35">
      <c r="C953" s="1"/>
    </row>
    <row r="954" spans="3:3" x14ac:dyDescent="0.35">
      <c r="C954" s="1"/>
    </row>
    <row r="955" spans="3:3" x14ac:dyDescent="0.35">
      <c r="C955" s="1"/>
    </row>
    <row r="956" spans="3:3" x14ac:dyDescent="0.35">
      <c r="C956" s="1"/>
    </row>
    <row r="957" spans="3:3" x14ac:dyDescent="0.35">
      <c r="C957" s="1"/>
    </row>
    <row r="958" spans="3:3" x14ac:dyDescent="0.35">
      <c r="C958" s="1"/>
    </row>
    <row r="959" spans="3:3" x14ac:dyDescent="0.35">
      <c r="C959" s="1"/>
    </row>
    <row r="960" spans="3:3" x14ac:dyDescent="0.35">
      <c r="C960" s="1"/>
    </row>
    <row r="961" spans="3:3" x14ac:dyDescent="0.35">
      <c r="C961" s="1"/>
    </row>
    <row r="962" spans="3:3" x14ac:dyDescent="0.35">
      <c r="C962" s="1"/>
    </row>
    <row r="963" spans="3:3" x14ac:dyDescent="0.35">
      <c r="C963" s="1"/>
    </row>
    <row r="964" spans="3:3" x14ac:dyDescent="0.35">
      <c r="C964" s="1"/>
    </row>
    <row r="965" spans="3:3" x14ac:dyDescent="0.35">
      <c r="C965" s="1"/>
    </row>
    <row r="966" spans="3:3" x14ac:dyDescent="0.35">
      <c r="C966" s="1"/>
    </row>
    <row r="967" spans="3:3" x14ac:dyDescent="0.35">
      <c r="C967" s="1"/>
    </row>
    <row r="968" spans="3:3" x14ac:dyDescent="0.35">
      <c r="C968" s="1"/>
    </row>
    <row r="969" spans="3:3" x14ac:dyDescent="0.35">
      <c r="C969" s="1"/>
    </row>
    <row r="970" spans="3:3" x14ac:dyDescent="0.35">
      <c r="C970" s="1"/>
    </row>
    <row r="971" spans="3:3" x14ac:dyDescent="0.35">
      <c r="C971" s="1"/>
    </row>
    <row r="972" spans="3:3" x14ac:dyDescent="0.35">
      <c r="C972" s="1"/>
    </row>
    <row r="973" spans="3:3" x14ac:dyDescent="0.35">
      <c r="C973" s="1"/>
    </row>
    <row r="974" spans="3:3" x14ac:dyDescent="0.35">
      <c r="C974" s="1"/>
    </row>
    <row r="975" spans="3:3" x14ac:dyDescent="0.35">
      <c r="C975" s="1"/>
    </row>
    <row r="976" spans="3:3" x14ac:dyDescent="0.35">
      <c r="C976" s="1"/>
    </row>
    <row r="977" spans="3:3" x14ac:dyDescent="0.35">
      <c r="C977" s="1"/>
    </row>
    <row r="978" spans="3:3" x14ac:dyDescent="0.35">
      <c r="C978" s="1"/>
    </row>
    <row r="979" spans="3:3" x14ac:dyDescent="0.35">
      <c r="C979" s="1"/>
    </row>
    <row r="980" spans="3:3" x14ac:dyDescent="0.35">
      <c r="C980" s="1"/>
    </row>
    <row r="981" spans="3:3" x14ac:dyDescent="0.35">
      <c r="C981" s="1"/>
    </row>
    <row r="982" spans="3:3" x14ac:dyDescent="0.35">
      <c r="C982" s="1"/>
    </row>
    <row r="983" spans="3:3" x14ac:dyDescent="0.35">
      <c r="C983" s="1"/>
    </row>
    <row r="984" spans="3:3" x14ac:dyDescent="0.35">
      <c r="C984" s="1"/>
    </row>
    <row r="985" spans="3:3" x14ac:dyDescent="0.35">
      <c r="C985" s="1"/>
    </row>
    <row r="986" spans="3:3" x14ac:dyDescent="0.35">
      <c r="C986" s="1"/>
    </row>
    <row r="987" spans="3:3" x14ac:dyDescent="0.35">
      <c r="C987" s="1"/>
    </row>
    <row r="988" spans="3:3" x14ac:dyDescent="0.35">
      <c r="C988" s="1"/>
    </row>
    <row r="989" spans="3:3" x14ac:dyDescent="0.35">
      <c r="C989" s="1"/>
    </row>
    <row r="990" spans="3:3" x14ac:dyDescent="0.35">
      <c r="C990" s="1"/>
    </row>
    <row r="991" spans="3:3" x14ac:dyDescent="0.35">
      <c r="C991" s="1"/>
    </row>
    <row r="992" spans="3:3" x14ac:dyDescent="0.35">
      <c r="C992" s="1"/>
    </row>
    <row r="993" spans="3:3" x14ac:dyDescent="0.35">
      <c r="C993" s="1"/>
    </row>
    <row r="994" spans="3:3" x14ac:dyDescent="0.35">
      <c r="C994" s="1"/>
    </row>
    <row r="995" spans="3:3" x14ac:dyDescent="0.35">
      <c r="C995" s="1"/>
    </row>
    <row r="996" spans="3:3" x14ac:dyDescent="0.35">
      <c r="C996" s="1"/>
    </row>
    <row r="997" spans="3:3" x14ac:dyDescent="0.35">
      <c r="C997" s="1"/>
    </row>
    <row r="998" spans="3:3" x14ac:dyDescent="0.35">
      <c r="C998" s="1"/>
    </row>
    <row r="999" spans="3:3" x14ac:dyDescent="0.35">
      <c r="C999" s="1"/>
    </row>
    <row r="1000" spans="3:3" x14ac:dyDescent="0.35">
      <c r="C1000" s="1"/>
    </row>
    <row r="1001" spans="3:3" x14ac:dyDescent="0.35">
      <c r="C1001" s="1"/>
    </row>
    <row r="1002" spans="3:3" x14ac:dyDescent="0.35">
      <c r="C1002" s="1"/>
    </row>
    <row r="1003" spans="3:3" x14ac:dyDescent="0.35">
      <c r="C1003" s="1"/>
    </row>
    <row r="1004" spans="3:3" x14ac:dyDescent="0.35">
      <c r="C1004" s="1"/>
    </row>
    <row r="1005" spans="3:3" x14ac:dyDescent="0.35">
      <c r="C1005" s="1"/>
    </row>
    <row r="1006" spans="3:3" x14ac:dyDescent="0.35">
      <c r="C1006" s="1"/>
    </row>
    <row r="1007" spans="3:3" x14ac:dyDescent="0.35">
      <c r="C1007" s="1"/>
    </row>
    <row r="1008" spans="3:3" x14ac:dyDescent="0.35">
      <c r="C1008" s="1"/>
    </row>
    <row r="1009" spans="3:3" x14ac:dyDescent="0.35">
      <c r="C1009" s="1"/>
    </row>
    <row r="1010" spans="3:3" x14ac:dyDescent="0.35">
      <c r="C1010" s="1"/>
    </row>
    <row r="1011" spans="3:3" x14ac:dyDescent="0.35">
      <c r="C1011" s="1"/>
    </row>
    <row r="1012" spans="3:3" x14ac:dyDescent="0.35">
      <c r="C1012" s="1"/>
    </row>
    <row r="1013" spans="3:3" x14ac:dyDescent="0.35">
      <c r="C1013" s="1"/>
    </row>
    <row r="1014" spans="3:3" x14ac:dyDescent="0.35">
      <c r="C1014" s="1"/>
    </row>
    <row r="1015" spans="3:3" x14ac:dyDescent="0.35">
      <c r="C1015" s="1"/>
    </row>
    <row r="1016" spans="3:3" x14ac:dyDescent="0.35">
      <c r="C1016" s="1"/>
    </row>
    <row r="1017" spans="3:3" x14ac:dyDescent="0.35">
      <c r="C1017" s="1"/>
    </row>
    <row r="1018" spans="3:3" x14ac:dyDescent="0.35">
      <c r="C1018" s="1"/>
    </row>
    <row r="1019" spans="3:3" x14ac:dyDescent="0.35">
      <c r="C1019" s="1"/>
    </row>
    <row r="1020" spans="3:3" x14ac:dyDescent="0.35">
      <c r="C1020" s="1"/>
    </row>
    <row r="1021" spans="3:3" x14ac:dyDescent="0.35">
      <c r="C1021" s="1"/>
    </row>
    <row r="1022" spans="3:3" x14ac:dyDescent="0.35">
      <c r="C1022" s="1"/>
    </row>
    <row r="1023" spans="3:3" x14ac:dyDescent="0.35">
      <c r="C1023" s="1"/>
    </row>
    <row r="1024" spans="3:3" x14ac:dyDescent="0.35">
      <c r="C1024" s="1"/>
    </row>
    <row r="1025" spans="3:3" x14ac:dyDescent="0.35">
      <c r="C1025" s="1"/>
    </row>
    <row r="1026" spans="3:3" x14ac:dyDescent="0.35">
      <c r="C1026" s="1"/>
    </row>
    <row r="1027" spans="3:3" x14ac:dyDescent="0.35">
      <c r="C1027" s="1"/>
    </row>
    <row r="1028" spans="3:3" x14ac:dyDescent="0.35">
      <c r="C1028" s="1"/>
    </row>
    <row r="1029" spans="3:3" x14ac:dyDescent="0.35">
      <c r="C1029" s="1"/>
    </row>
    <row r="1030" spans="3:3" x14ac:dyDescent="0.35">
      <c r="C1030" s="1"/>
    </row>
    <row r="1031" spans="3:3" x14ac:dyDescent="0.35">
      <c r="C1031" s="1"/>
    </row>
    <row r="1032" spans="3:3" x14ac:dyDescent="0.35">
      <c r="C1032" s="1"/>
    </row>
    <row r="1033" spans="3:3" x14ac:dyDescent="0.35">
      <c r="C1033" s="1"/>
    </row>
    <row r="1034" spans="3:3" x14ac:dyDescent="0.35">
      <c r="C1034" s="1"/>
    </row>
    <row r="1035" spans="3:3" x14ac:dyDescent="0.35">
      <c r="C1035" s="1"/>
    </row>
    <row r="1036" spans="3:3" x14ac:dyDescent="0.35">
      <c r="C1036" s="1"/>
    </row>
    <row r="1037" spans="3:3" x14ac:dyDescent="0.35">
      <c r="C1037" s="1"/>
    </row>
    <row r="1038" spans="3:3" x14ac:dyDescent="0.35">
      <c r="C1038" s="1"/>
    </row>
    <row r="1039" spans="3:3" x14ac:dyDescent="0.35">
      <c r="C1039" s="1"/>
    </row>
    <row r="1040" spans="3:3" x14ac:dyDescent="0.35">
      <c r="C1040" s="1"/>
    </row>
    <row r="1041" spans="3:3" x14ac:dyDescent="0.35">
      <c r="C1041" s="1"/>
    </row>
    <row r="1042" spans="3:3" x14ac:dyDescent="0.35">
      <c r="C1042" s="1"/>
    </row>
    <row r="1043" spans="3:3" x14ac:dyDescent="0.35">
      <c r="C1043" s="1"/>
    </row>
    <row r="1044" spans="3:3" x14ac:dyDescent="0.35">
      <c r="C1044" s="1"/>
    </row>
    <row r="1045" spans="3:3" x14ac:dyDescent="0.35">
      <c r="C1045" s="1"/>
    </row>
    <row r="1046" spans="3:3" x14ac:dyDescent="0.35">
      <c r="C1046" s="1"/>
    </row>
    <row r="1047" spans="3:3" x14ac:dyDescent="0.35">
      <c r="C1047" s="1"/>
    </row>
    <row r="1048" spans="3:3" x14ac:dyDescent="0.35">
      <c r="C1048" s="1"/>
    </row>
    <row r="1049" spans="3:3" x14ac:dyDescent="0.35">
      <c r="C1049" s="1"/>
    </row>
    <row r="1050" spans="3:3" x14ac:dyDescent="0.35">
      <c r="C1050" s="1"/>
    </row>
    <row r="1051" spans="3:3" x14ac:dyDescent="0.35">
      <c r="C1051" s="1"/>
    </row>
    <row r="1052" spans="3:3" x14ac:dyDescent="0.35">
      <c r="C1052" s="1"/>
    </row>
    <row r="1053" spans="3:3" x14ac:dyDescent="0.35">
      <c r="C1053" s="1"/>
    </row>
    <row r="1054" spans="3:3" x14ac:dyDescent="0.35">
      <c r="C1054" s="1"/>
    </row>
    <row r="1055" spans="3:3" x14ac:dyDescent="0.35">
      <c r="C1055" s="1"/>
    </row>
    <row r="1056" spans="3:3" x14ac:dyDescent="0.35">
      <c r="C1056" s="1"/>
    </row>
    <row r="1057" spans="3:3" x14ac:dyDescent="0.35">
      <c r="C1057" s="1"/>
    </row>
    <row r="1058" spans="3:3" x14ac:dyDescent="0.35">
      <c r="C1058" s="1"/>
    </row>
    <row r="1059" spans="3:3" x14ac:dyDescent="0.35">
      <c r="C1059" s="1"/>
    </row>
    <row r="1060" spans="3:3" x14ac:dyDescent="0.35">
      <c r="C1060" s="1"/>
    </row>
    <row r="1061" spans="3:3" x14ac:dyDescent="0.35">
      <c r="C1061" s="1"/>
    </row>
    <row r="1062" spans="3:3" x14ac:dyDescent="0.35">
      <c r="C1062" s="1"/>
    </row>
    <row r="1063" spans="3:3" x14ac:dyDescent="0.35">
      <c r="C1063" s="1"/>
    </row>
    <row r="1064" spans="3:3" x14ac:dyDescent="0.35">
      <c r="C1064" s="1"/>
    </row>
    <row r="1065" spans="3:3" x14ac:dyDescent="0.35">
      <c r="C1065" s="1"/>
    </row>
    <row r="1066" spans="3:3" x14ac:dyDescent="0.35">
      <c r="C1066" s="1"/>
    </row>
    <row r="1067" spans="3:3" x14ac:dyDescent="0.35">
      <c r="C1067" s="1"/>
    </row>
    <row r="1068" spans="3:3" x14ac:dyDescent="0.35">
      <c r="C1068" s="1"/>
    </row>
    <row r="1069" spans="3:3" x14ac:dyDescent="0.35">
      <c r="C1069" s="1"/>
    </row>
    <row r="1070" spans="3:3" x14ac:dyDescent="0.35">
      <c r="C1070" s="1"/>
    </row>
    <row r="1071" spans="3:3" x14ac:dyDescent="0.35">
      <c r="C1071" s="1"/>
    </row>
    <row r="1072" spans="3:3" x14ac:dyDescent="0.35">
      <c r="C1072" s="1"/>
    </row>
    <row r="1073" spans="3:3" x14ac:dyDescent="0.35">
      <c r="C1073" s="1"/>
    </row>
    <row r="1074" spans="3:3" x14ac:dyDescent="0.35">
      <c r="C1074" s="1"/>
    </row>
    <row r="1075" spans="3:3" x14ac:dyDescent="0.35">
      <c r="C1075" s="1"/>
    </row>
    <row r="1076" spans="3:3" x14ac:dyDescent="0.35">
      <c r="C1076" s="1"/>
    </row>
    <row r="1077" spans="3:3" x14ac:dyDescent="0.35">
      <c r="C1077" s="1"/>
    </row>
    <row r="1078" spans="3:3" x14ac:dyDescent="0.35">
      <c r="C1078" s="1"/>
    </row>
    <row r="1079" spans="3:3" x14ac:dyDescent="0.35">
      <c r="C1079" s="1"/>
    </row>
    <row r="1080" spans="3:3" x14ac:dyDescent="0.35">
      <c r="C1080" s="1"/>
    </row>
    <row r="1081" spans="3:3" x14ac:dyDescent="0.35">
      <c r="C1081" s="1"/>
    </row>
    <row r="1082" spans="3:3" x14ac:dyDescent="0.35">
      <c r="C1082" s="1"/>
    </row>
    <row r="1083" spans="3:3" x14ac:dyDescent="0.35">
      <c r="C1083" s="1"/>
    </row>
    <row r="1084" spans="3:3" x14ac:dyDescent="0.35">
      <c r="C1084" s="1"/>
    </row>
    <row r="1085" spans="3:3" x14ac:dyDescent="0.35">
      <c r="C1085" s="1"/>
    </row>
    <row r="1086" spans="3:3" x14ac:dyDescent="0.35">
      <c r="C1086" s="1"/>
    </row>
    <row r="1087" spans="3:3" x14ac:dyDescent="0.35">
      <c r="C1087" s="1"/>
    </row>
    <row r="1088" spans="3:3" x14ac:dyDescent="0.35">
      <c r="C1088" s="1"/>
    </row>
    <row r="1089" spans="3:3" x14ac:dyDescent="0.35">
      <c r="C1089" s="1"/>
    </row>
    <row r="1090" spans="3:3" x14ac:dyDescent="0.35">
      <c r="C1090" s="1"/>
    </row>
    <row r="1091" spans="3:3" x14ac:dyDescent="0.35">
      <c r="C1091" s="1"/>
    </row>
    <row r="1092" spans="3:3" x14ac:dyDescent="0.35">
      <c r="C1092" s="1"/>
    </row>
    <row r="1093" spans="3:3" x14ac:dyDescent="0.35">
      <c r="C1093" s="1"/>
    </row>
    <row r="1094" spans="3:3" x14ac:dyDescent="0.35">
      <c r="C1094" s="1"/>
    </row>
    <row r="1095" spans="3:3" x14ac:dyDescent="0.35">
      <c r="C1095" s="1"/>
    </row>
    <row r="1096" spans="3:3" x14ac:dyDescent="0.35">
      <c r="C1096" s="1"/>
    </row>
    <row r="1097" spans="3:3" x14ac:dyDescent="0.35">
      <c r="C1097" s="1"/>
    </row>
    <row r="1098" spans="3:3" x14ac:dyDescent="0.35">
      <c r="C1098" s="1"/>
    </row>
    <row r="1099" spans="3:3" x14ac:dyDescent="0.35">
      <c r="C1099" s="1"/>
    </row>
    <row r="1100" spans="3:3" x14ac:dyDescent="0.35">
      <c r="C1100" s="1"/>
    </row>
    <row r="1101" spans="3:3" x14ac:dyDescent="0.35">
      <c r="C1101" s="1"/>
    </row>
    <row r="1102" spans="3:3" x14ac:dyDescent="0.35">
      <c r="C1102" s="1"/>
    </row>
    <row r="1103" spans="3:3" x14ac:dyDescent="0.35">
      <c r="C1103" s="1"/>
    </row>
    <row r="1104" spans="3:3" x14ac:dyDescent="0.35">
      <c r="C1104" s="1"/>
    </row>
    <row r="1105" spans="3:3" x14ac:dyDescent="0.35">
      <c r="C1105" s="1"/>
    </row>
    <row r="1106" spans="3:3" x14ac:dyDescent="0.35">
      <c r="C1106" s="1"/>
    </row>
    <row r="1107" spans="3:3" x14ac:dyDescent="0.35">
      <c r="C1107" s="1"/>
    </row>
    <row r="1108" spans="3:3" x14ac:dyDescent="0.35">
      <c r="C1108" s="1"/>
    </row>
    <row r="1109" spans="3:3" x14ac:dyDescent="0.35">
      <c r="C1109" s="1"/>
    </row>
    <row r="1110" spans="3:3" x14ac:dyDescent="0.35">
      <c r="C1110" s="1"/>
    </row>
    <row r="1111" spans="3:3" x14ac:dyDescent="0.35">
      <c r="C1111" s="1"/>
    </row>
    <row r="1112" spans="3:3" x14ac:dyDescent="0.35">
      <c r="C1112" s="1"/>
    </row>
    <row r="1113" spans="3:3" x14ac:dyDescent="0.35">
      <c r="C1113" s="1"/>
    </row>
    <row r="1114" spans="3:3" x14ac:dyDescent="0.35">
      <c r="C1114" s="1"/>
    </row>
    <row r="1115" spans="3:3" x14ac:dyDescent="0.35">
      <c r="C1115" s="1"/>
    </row>
    <row r="1116" spans="3:3" x14ac:dyDescent="0.35">
      <c r="C1116" s="1"/>
    </row>
    <row r="1117" spans="3:3" x14ac:dyDescent="0.35">
      <c r="C1117" s="1"/>
    </row>
    <row r="1118" spans="3:3" x14ac:dyDescent="0.35">
      <c r="C1118" s="1"/>
    </row>
    <row r="1119" spans="3:3" x14ac:dyDescent="0.35">
      <c r="C1119" s="1"/>
    </row>
    <row r="1120" spans="3:3" x14ac:dyDescent="0.35">
      <c r="C1120" s="1"/>
    </row>
    <row r="1121" spans="3:3" x14ac:dyDescent="0.35">
      <c r="C1121" s="1"/>
    </row>
    <row r="1122" spans="3:3" x14ac:dyDescent="0.35">
      <c r="C1122" s="1"/>
    </row>
    <row r="1123" spans="3:3" x14ac:dyDescent="0.35">
      <c r="C1123" s="1"/>
    </row>
    <row r="1124" spans="3:3" x14ac:dyDescent="0.35">
      <c r="C1124" s="1"/>
    </row>
    <row r="1125" spans="3:3" x14ac:dyDescent="0.35">
      <c r="C1125" s="1"/>
    </row>
    <row r="1126" spans="3:3" x14ac:dyDescent="0.35">
      <c r="C1126" s="1"/>
    </row>
    <row r="1127" spans="3:3" x14ac:dyDescent="0.35">
      <c r="C1127" s="1"/>
    </row>
    <row r="1128" spans="3:3" x14ac:dyDescent="0.35">
      <c r="C1128" s="1"/>
    </row>
    <row r="1129" spans="3:3" x14ac:dyDescent="0.35">
      <c r="C1129" s="1"/>
    </row>
    <row r="1130" spans="3:3" x14ac:dyDescent="0.35">
      <c r="C1130" s="1"/>
    </row>
    <row r="1131" spans="3:3" x14ac:dyDescent="0.35">
      <c r="C1131" s="1"/>
    </row>
    <row r="1132" spans="3:3" x14ac:dyDescent="0.35">
      <c r="C1132" s="1"/>
    </row>
    <row r="1133" spans="3:3" x14ac:dyDescent="0.35">
      <c r="C1133" s="1"/>
    </row>
    <row r="1134" spans="3:3" x14ac:dyDescent="0.35">
      <c r="C1134" s="1"/>
    </row>
    <row r="1135" spans="3:3" x14ac:dyDescent="0.35">
      <c r="C1135" s="1"/>
    </row>
    <row r="1136" spans="3:3" x14ac:dyDescent="0.35">
      <c r="C1136" s="1"/>
    </row>
    <row r="1137" spans="3:3" x14ac:dyDescent="0.35">
      <c r="C1137" s="1"/>
    </row>
    <row r="1138" spans="3:3" x14ac:dyDescent="0.35">
      <c r="C1138" s="1"/>
    </row>
    <row r="1139" spans="3:3" x14ac:dyDescent="0.35">
      <c r="C1139" s="1"/>
    </row>
    <row r="1140" spans="3:3" x14ac:dyDescent="0.35">
      <c r="C1140" s="1"/>
    </row>
    <row r="1141" spans="3:3" x14ac:dyDescent="0.35">
      <c r="C1141" s="1"/>
    </row>
    <row r="1142" spans="3:3" x14ac:dyDescent="0.35">
      <c r="C1142" s="1"/>
    </row>
    <row r="1143" spans="3:3" x14ac:dyDescent="0.35">
      <c r="C1143" s="1"/>
    </row>
    <row r="1144" spans="3:3" x14ac:dyDescent="0.35">
      <c r="C1144" s="1"/>
    </row>
    <row r="1145" spans="3:3" x14ac:dyDescent="0.35">
      <c r="C1145" s="1"/>
    </row>
    <row r="1146" spans="3:3" x14ac:dyDescent="0.35">
      <c r="C1146" s="1"/>
    </row>
    <row r="1147" spans="3:3" x14ac:dyDescent="0.35">
      <c r="C1147" s="1"/>
    </row>
    <row r="1148" spans="3:3" x14ac:dyDescent="0.35">
      <c r="C1148" s="1"/>
    </row>
    <row r="1149" spans="3:3" x14ac:dyDescent="0.35">
      <c r="C1149" s="1"/>
    </row>
    <row r="1150" spans="3:3" x14ac:dyDescent="0.35">
      <c r="C1150" s="1"/>
    </row>
    <row r="1151" spans="3:3" x14ac:dyDescent="0.35">
      <c r="C1151" s="1"/>
    </row>
    <row r="1152" spans="3:3" x14ac:dyDescent="0.35">
      <c r="C1152" s="1"/>
    </row>
    <row r="1153" spans="3:3" x14ac:dyDescent="0.35">
      <c r="C1153" s="1"/>
    </row>
    <row r="1154" spans="3:3" x14ac:dyDescent="0.35">
      <c r="C1154" s="1"/>
    </row>
    <row r="1155" spans="3:3" x14ac:dyDescent="0.35">
      <c r="C1155" s="1"/>
    </row>
    <row r="1156" spans="3:3" x14ac:dyDescent="0.35">
      <c r="C1156" s="1"/>
    </row>
    <row r="1157" spans="3:3" x14ac:dyDescent="0.35">
      <c r="C1157" s="1"/>
    </row>
    <row r="1158" spans="3:3" x14ac:dyDescent="0.35">
      <c r="C1158" s="1"/>
    </row>
    <row r="1159" spans="3:3" x14ac:dyDescent="0.35">
      <c r="C1159" s="1"/>
    </row>
    <row r="1160" spans="3:3" x14ac:dyDescent="0.35">
      <c r="C1160" s="1"/>
    </row>
    <row r="1161" spans="3:3" x14ac:dyDescent="0.35">
      <c r="C1161" s="1"/>
    </row>
    <row r="1162" spans="3:3" x14ac:dyDescent="0.35">
      <c r="C1162" s="1"/>
    </row>
    <row r="1163" spans="3:3" x14ac:dyDescent="0.35">
      <c r="C1163" s="1"/>
    </row>
    <row r="1164" spans="3:3" x14ac:dyDescent="0.35">
      <c r="C1164" s="1"/>
    </row>
    <row r="1165" spans="3:3" x14ac:dyDescent="0.35">
      <c r="C1165" s="1"/>
    </row>
    <row r="1166" spans="3:3" x14ac:dyDescent="0.35">
      <c r="C1166" s="1"/>
    </row>
    <row r="1167" spans="3:3" x14ac:dyDescent="0.35">
      <c r="C1167" s="1"/>
    </row>
    <row r="1168" spans="3:3" x14ac:dyDescent="0.35">
      <c r="C1168" s="1"/>
    </row>
    <row r="1169" spans="3:3" x14ac:dyDescent="0.35">
      <c r="C1169" s="1"/>
    </row>
    <row r="1170" spans="3:3" x14ac:dyDescent="0.35">
      <c r="C1170" s="1"/>
    </row>
    <row r="1171" spans="3:3" x14ac:dyDescent="0.35">
      <c r="C1171" s="1"/>
    </row>
    <row r="1172" spans="3:3" x14ac:dyDescent="0.35">
      <c r="C1172" s="1"/>
    </row>
    <row r="1173" spans="3:3" x14ac:dyDescent="0.35">
      <c r="C1173" s="1"/>
    </row>
    <row r="1174" spans="3:3" x14ac:dyDescent="0.35">
      <c r="C1174" s="1"/>
    </row>
    <row r="1175" spans="3:3" x14ac:dyDescent="0.35">
      <c r="C1175" s="1"/>
    </row>
    <row r="1176" spans="3:3" x14ac:dyDescent="0.35">
      <c r="C1176" s="1"/>
    </row>
    <row r="1177" spans="3:3" x14ac:dyDescent="0.35">
      <c r="C1177" s="1"/>
    </row>
    <row r="1178" spans="3:3" x14ac:dyDescent="0.35">
      <c r="C1178" s="1"/>
    </row>
    <row r="1179" spans="3:3" x14ac:dyDescent="0.35">
      <c r="C1179" s="1"/>
    </row>
    <row r="1180" spans="3:3" x14ac:dyDescent="0.35">
      <c r="C1180" s="1"/>
    </row>
    <row r="1181" spans="3:3" x14ac:dyDescent="0.35">
      <c r="C1181" s="1"/>
    </row>
    <row r="1182" spans="3:3" x14ac:dyDescent="0.35">
      <c r="C1182" s="1"/>
    </row>
    <row r="1183" spans="3:3" x14ac:dyDescent="0.35">
      <c r="C1183" s="1"/>
    </row>
    <row r="1184" spans="3:3" x14ac:dyDescent="0.35">
      <c r="C1184" s="1"/>
    </row>
    <row r="1185" spans="3:3" x14ac:dyDescent="0.35">
      <c r="C1185" s="1"/>
    </row>
    <row r="1186" spans="3:3" x14ac:dyDescent="0.35">
      <c r="C1186" s="1"/>
    </row>
    <row r="1187" spans="3:3" x14ac:dyDescent="0.35">
      <c r="C1187" s="1"/>
    </row>
    <row r="1188" spans="3:3" x14ac:dyDescent="0.35">
      <c r="C1188" s="1"/>
    </row>
    <row r="1189" spans="3:3" x14ac:dyDescent="0.35">
      <c r="C1189" s="1"/>
    </row>
    <row r="1190" spans="3:3" x14ac:dyDescent="0.35">
      <c r="C1190" s="1"/>
    </row>
    <row r="1191" spans="3:3" x14ac:dyDescent="0.35">
      <c r="C1191" s="1"/>
    </row>
    <row r="1192" spans="3:3" x14ac:dyDescent="0.35">
      <c r="C1192" s="1"/>
    </row>
    <row r="1193" spans="3:3" x14ac:dyDescent="0.35">
      <c r="C1193" s="1"/>
    </row>
    <row r="1194" spans="3:3" x14ac:dyDescent="0.35">
      <c r="C1194" s="1"/>
    </row>
    <row r="1195" spans="3:3" x14ac:dyDescent="0.35">
      <c r="C1195" s="1"/>
    </row>
    <row r="1196" spans="3:3" x14ac:dyDescent="0.35">
      <c r="C1196" s="1"/>
    </row>
    <row r="1197" spans="3:3" x14ac:dyDescent="0.35">
      <c r="C1197" s="1"/>
    </row>
    <row r="1198" spans="3:3" x14ac:dyDescent="0.35">
      <c r="C1198" s="1"/>
    </row>
    <row r="1199" spans="3:3" x14ac:dyDescent="0.35">
      <c r="C1199" s="1"/>
    </row>
    <row r="1200" spans="3:3" x14ac:dyDescent="0.35">
      <c r="C1200" s="1"/>
    </row>
    <row r="1201" spans="3:3" x14ac:dyDescent="0.35">
      <c r="C1201" s="1"/>
    </row>
    <row r="1202" spans="3:3" x14ac:dyDescent="0.35">
      <c r="C1202" s="1"/>
    </row>
    <row r="1203" spans="3:3" x14ac:dyDescent="0.35">
      <c r="C1203" s="1"/>
    </row>
    <row r="1204" spans="3:3" x14ac:dyDescent="0.35">
      <c r="C1204" s="1"/>
    </row>
    <row r="1205" spans="3:3" x14ac:dyDescent="0.35">
      <c r="C1205" s="1"/>
    </row>
    <row r="1206" spans="3:3" x14ac:dyDescent="0.35">
      <c r="C1206" s="1"/>
    </row>
    <row r="1207" spans="3:3" x14ac:dyDescent="0.35">
      <c r="C1207" s="1"/>
    </row>
    <row r="1208" spans="3:3" x14ac:dyDescent="0.35">
      <c r="C1208" s="1"/>
    </row>
    <row r="1209" spans="3:3" x14ac:dyDescent="0.35">
      <c r="C1209" s="1"/>
    </row>
    <row r="1210" spans="3:3" x14ac:dyDescent="0.35">
      <c r="C1210" s="1"/>
    </row>
    <row r="1211" spans="3:3" x14ac:dyDescent="0.35">
      <c r="C1211" s="1"/>
    </row>
    <row r="1212" spans="3:3" x14ac:dyDescent="0.35">
      <c r="C1212" s="1"/>
    </row>
    <row r="1213" spans="3:3" x14ac:dyDescent="0.35">
      <c r="C1213" s="1"/>
    </row>
    <row r="1214" spans="3:3" x14ac:dyDescent="0.35">
      <c r="C1214" s="1"/>
    </row>
    <row r="1215" spans="3:3" x14ac:dyDescent="0.35">
      <c r="C1215" s="1"/>
    </row>
    <row r="1216" spans="3:3" x14ac:dyDescent="0.35">
      <c r="C1216" s="1"/>
    </row>
    <row r="1217" spans="3:3" x14ac:dyDescent="0.35">
      <c r="C1217" s="1"/>
    </row>
    <row r="1218" spans="3:3" x14ac:dyDescent="0.35">
      <c r="C1218" s="1"/>
    </row>
    <row r="1219" spans="3:3" x14ac:dyDescent="0.35">
      <c r="C1219" s="1"/>
    </row>
    <row r="1220" spans="3:3" x14ac:dyDescent="0.35">
      <c r="C1220" s="1"/>
    </row>
    <row r="1221" spans="3:3" x14ac:dyDescent="0.35">
      <c r="C1221" s="1"/>
    </row>
    <row r="1222" spans="3:3" x14ac:dyDescent="0.35">
      <c r="C1222" s="1"/>
    </row>
    <row r="1223" spans="3:3" x14ac:dyDescent="0.35">
      <c r="C1223" s="1"/>
    </row>
    <row r="1224" spans="3:3" x14ac:dyDescent="0.35">
      <c r="C1224" s="1"/>
    </row>
    <row r="1225" spans="3:3" x14ac:dyDescent="0.35">
      <c r="C1225" s="1"/>
    </row>
    <row r="1226" spans="3:3" x14ac:dyDescent="0.35">
      <c r="C1226" s="1"/>
    </row>
    <row r="1227" spans="3:3" x14ac:dyDescent="0.35">
      <c r="C1227" s="1"/>
    </row>
    <row r="1228" spans="3:3" x14ac:dyDescent="0.35">
      <c r="C1228" s="1"/>
    </row>
    <row r="1229" spans="3:3" x14ac:dyDescent="0.35">
      <c r="C1229" s="1"/>
    </row>
    <row r="1230" spans="3:3" x14ac:dyDescent="0.35">
      <c r="C1230" s="1"/>
    </row>
    <row r="1231" spans="3:3" x14ac:dyDescent="0.35">
      <c r="C1231" s="1"/>
    </row>
    <row r="1232" spans="3:3" x14ac:dyDescent="0.35">
      <c r="C1232" s="1"/>
    </row>
    <row r="1233" spans="3:3" x14ac:dyDescent="0.35">
      <c r="C1233" s="1"/>
    </row>
    <row r="1234" spans="3:3" x14ac:dyDescent="0.35">
      <c r="C1234" s="1"/>
    </row>
    <row r="1235" spans="3:3" x14ac:dyDescent="0.35">
      <c r="C1235" s="1"/>
    </row>
    <row r="1236" spans="3:3" x14ac:dyDescent="0.35">
      <c r="C1236" s="1"/>
    </row>
    <row r="1237" spans="3:3" x14ac:dyDescent="0.35">
      <c r="C1237" s="1"/>
    </row>
    <row r="1238" spans="3:3" x14ac:dyDescent="0.35">
      <c r="C1238" s="1"/>
    </row>
    <row r="1239" spans="3:3" x14ac:dyDescent="0.35">
      <c r="C1239" s="1"/>
    </row>
    <row r="1240" spans="3:3" x14ac:dyDescent="0.35">
      <c r="C1240" s="1"/>
    </row>
    <row r="1241" spans="3:3" x14ac:dyDescent="0.35">
      <c r="C1241" s="1"/>
    </row>
    <row r="1242" spans="3:3" x14ac:dyDescent="0.35">
      <c r="C1242" s="1"/>
    </row>
    <row r="1243" spans="3:3" x14ac:dyDescent="0.35">
      <c r="C1243" s="1"/>
    </row>
    <row r="1244" spans="3:3" x14ac:dyDescent="0.35">
      <c r="C1244" s="1"/>
    </row>
    <row r="1245" spans="3:3" x14ac:dyDescent="0.35">
      <c r="C1245" s="1"/>
    </row>
    <row r="1246" spans="3:3" x14ac:dyDescent="0.35">
      <c r="C1246" s="1"/>
    </row>
    <row r="1247" spans="3:3" x14ac:dyDescent="0.35">
      <c r="C1247" s="1"/>
    </row>
    <row r="1248" spans="3:3" x14ac:dyDescent="0.35">
      <c r="C1248" s="1"/>
    </row>
    <row r="1249" spans="3:3" x14ac:dyDescent="0.35">
      <c r="C1249" s="1"/>
    </row>
    <row r="1250" spans="3:3" x14ac:dyDescent="0.35">
      <c r="C1250" s="1"/>
    </row>
    <row r="1251" spans="3:3" x14ac:dyDescent="0.35">
      <c r="C1251" s="1"/>
    </row>
    <row r="1252" spans="3:3" x14ac:dyDescent="0.35">
      <c r="C1252" s="1"/>
    </row>
    <row r="1253" spans="3:3" x14ac:dyDescent="0.35">
      <c r="C1253" s="1"/>
    </row>
    <row r="1254" spans="3:3" x14ac:dyDescent="0.35">
      <c r="C1254" s="1"/>
    </row>
    <row r="1255" spans="3:3" x14ac:dyDescent="0.35">
      <c r="C1255" s="1"/>
    </row>
    <row r="1256" spans="3:3" x14ac:dyDescent="0.35">
      <c r="C1256" s="1"/>
    </row>
    <row r="1257" spans="3:3" x14ac:dyDescent="0.35">
      <c r="C1257" s="1"/>
    </row>
    <row r="1258" spans="3:3" x14ac:dyDescent="0.35">
      <c r="C1258" s="1"/>
    </row>
    <row r="1259" spans="3:3" x14ac:dyDescent="0.35">
      <c r="C1259" s="1"/>
    </row>
    <row r="1260" spans="3:3" x14ac:dyDescent="0.35">
      <c r="C1260" s="1"/>
    </row>
    <row r="1261" spans="3:3" x14ac:dyDescent="0.35">
      <c r="C1261" s="1"/>
    </row>
    <row r="1262" spans="3:3" x14ac:dyDescent="0.35">
      <c r="C1262" s="1"/>
    </row>
    <row r="1263" spans="3:3" x14ac:dyDescent="0.35">
      <c r="C1263" s="1"/>
    </row>
    <row r="1264" spans="3:3" x14ac:dyDescent="0.35">
      <c r="C1264" s="1"/>
    </row>
    <row r="1265" spans="3:3" x14ac:dyDescent="0.35">
      <c r="C1265" s="1"/>
    </row>
    <row r="1266" spans="3:3" x14ac:dyDescent="0.35">
      <c r="C1266" s="1"/>
    </row>
    <row r="1267" spans="3:3" x14ac:dyDescent="0.35">
      <c r="C1267" s="1"/>
    </row>
    <row r="1268" spans="3:3" x14ac:dyDescent="0.35">
      <c r="C1268" s="1"/>
    </row>
    <row r="1269" spans="3:3" x14ac:dyDescent="0.35">
      <c r="C1269" s="1"/>
    </row>
    <row r="1270" spans="3:3" x14ac:dyDescent="0.35">
      <c r="C1270" s="1"/>
    </row>
    <row r="1271" spans="3:3" x14ac:dyDescent="0.35">
      <c r="C1271" s="1"/>
    </row>
    <row r="1272" spans="3:3" x14ac:dyDescent="0.35">
      <c r="C1272" s="1"/>
    </row>
    <row r="1273" spans="3:3" x14ac:dyDescent="0.35">
      <c r="C1273" s="1"/>
    </row>
    <row r="1274" spans="3:3" x14ac:dyDescent="0.35">
      <c r="C1274" s="1"/>
    </row>
    <row r="1275" spans="3:3" x14ac:dyDescent="0.35">
      <c r="C1275" s="1"/>
    </row>
    <row r="1276" spans="3:3" x14ac:dyDescent="0.35">
      <c r="C1276" s="1"/>
    </row>
    <row r="1277" spans="3:3" x14ac:dyDescent="0.35">
      <c r="C1277" s="1"/>
    </row>
    <row r="1278" spans="3:3" x14ac:dyDescent="0.35">
      <c r="C1278" s="1"/>
    </row>
    <row r="1279" spans="3:3" x14ac:dyDescent="0.35">
      <c r="C1279" s="1"/>
    </row>
    <row r="1280" spans="3:3" x14ac:dyDescent="0.35">
      <c r="C1280" s="1"/>
    </row>
    <row r="1281" spans="3:3" x14ac:dyDescent="0.35">
      <c r="C1281" s="1"/>
    </row>
    <row r="1282" spans="3:3" x14ac:dyDescent="0.35">
      <c r="C1282" s="1"/>
    </row>
    <row r="1283" spans="3:3" x14ac:dyDescent="0.35">
      <c r="C1283" s="1"/>
    </row>
    <row r="1284" spans="3:3" x14ac:dyDescent="0.35">
      <c r="C1284" s="1"/>
    </row>
    <row r="1285" spans="3:3" x14ac:dyDescent="0.35">
      <c r="C1285" s="1"/>
    </row>
    <row r="1286" spans="3:3" x14ac:dyDescent="0.35">
      <c r="C1286" s="1"/>
    </row>
    <row r="1287" spans="3:3" x14ac:dyDescent="0.35">
      <c r="C1287" s="1"/>
    </row>
    <row r="1288" spans="3:3" x14ac:dyDescent="0.35">
      <c r="C1288" s="1"/>
    </row>
    <row r="1289" spans="3:3" x14ac:dyDescent="0.35">
      <c r="C1289" s="1"/>
    </row>
    <row r="1290" spans="3:3" x14ac:dyDescent="0.35">
      <c r="C1290" s="1"/>
    </row>
    <row r="1291" spans="3:3" x14ac:dyDescent="0.35">
      <c r="C1291" s="1"/>
    </row>
    <row r="1292" spans="3:3" x14ac:dyDescent="0.35">
      <c r="C1292" s="1"/>
    </row>
    <row r="1293" spans="3:3" x14ac:dyDescent="0.35">
      <c r="C1293" s="1"/>
    </row>
    <row r="1294" spans="3:3" x14ac:dyDescent="0.35">
      <c r="C1294" s="1"/>
    </row>
    <row r="1295" spans="3:3" x14ac:dyDescent="0.35">
      <c r="C1295" s="1"/>
    </row>
    <row r="1296" spans="3:3" x14ac:dyDescent="0.35">
      <c r="C1296" s="1"/>
    </row>
    <row r="1297" spans="3:3" x14ac:dyDescent="0.35">
      <c r="C1297" s="1"/>
    </row>
    <row r="1298" spans="3:3" x14ac:dyDescent="0.35">
      <c r="C1298" s="1"/>
    </row>
    <row r="1299" spans="3:3" x14ac:dyDescent="0.35">
      <c r="C1299" s="1"/>
    </row>
    <row r="1300" spans="3:3" x14ac:dyDescent="0.35">
      <c r="C1300" s="1"/>
    </row>
    <row r="1301" spans="3:3" x14ac:dyDescent="0.35">
      <c r="C1301" s="1"/>
    </row>
    <row r="1302" spans="3:3" x14ac:dyDescent="0.35">
      <c r="C1302" s="1"/>
    </row>
    <row r="1303" spans="3:3" x14ac:dyDescent="0.35">
      <c r="C1303" s="1"/>
    </row>
    <row r="1304" spans="3:3" x14ac:dyDescent="0.35">
      <c r="C1304" s="1"/>
    </row>
    <row r="1305" spans="3:3" x14ac:dyDescent="0.35">
      <c r="C1305" s="1"/>
    </row>
    <row r="1306" spans="3:3" x14ac:dyDescent="0.35">
      <c r="C1306" s="1"/>
    </row>
    <row r="1307" spans="3:3" x14ac:dyDescent="0.35">
      <c r="C1307" s="1"/>
    </row>
    <row r="1308" spans="3:3" x14ac:dyDescent="0.35">
      <c r="C1308" s="1"/>
    </row>
    <row r="1309" spans="3:3" x14ac:dyDescent="0.35">
      <c r="C1309" s="1"/>
    </row>
    <row r="1310" spans="3:3" x14ac:dyDescent="0.35">
      <c r="C1310" s="1"/>
    </row>
    <row r="1311" spans="3:3" x14ac:dyDescent="0.35">
      <c r="C1311" s="1"/>
    </row>
    <row r="1312" spans="3:3" x14ac:dyDescent="0.35">
      <c r="C1312" s="1"/>
    </row>
    <row r="1313" spans="3:3" x14ac:dyDescent="0.35">
      <c r="C1313" s="1"/>
    </row>
    <row r="1314" spans="3:3" x14ac:dyDescent="0.35">
      <c r="C1314" s="1"/>
    </row>
    <row r="1315" spans="3:3" x14ac:dyDescent="0.35">
      <c r="C1315" s="1"/>
    </row>
    <row r="1316" spans="3:3" x14ac:dyDescent="0.35">
      <c r="C1316" s="1"/>
    </row>
    <row r="1317" spans="3:3" x14ac:dyDescent="0.35">
      <c r="C1317" s="1"/>
    </row>
    <row r="1318" spans="3:3" x14ac:dyDescent="0.35">
      <c r="C1318" s="1"/>
    </row>
    <row r="1319" spans="3:3" x14ac:dyDescent="0.35">
      <c r="C1319" s="1"/>
    </row>
    <row r="1320" spans="3:3" x14ac:dyDescent="0.35">
      <c r="C1320" s="1"/>
    </row>
    <row r="1321" spans="3:3" x14ac:dyDescent="0.35">
      <c r="C1321" s="1"/>
    </row>
    <row r="1322" spans="3:3" x14ac:dyDescent="0.35">
      <c r="C1322" s="1"/>
    </row>
    <row r="1323" spans="3:3" x14ac:dyDescent="0.35">
      <c r="C1323" s="1"/>
    </row>
    <row r="1324" spans="3:3" x14ac:dyDescent="0.35">
      <c r="C1324" s="1"/>
    </row>
    <row r="1325" spans="3:3" x14ac:dyDescent="0.35">
      <c r="C1325" s="1"/>
    </row>
    <row r="1326" spans="3:3" x14ac:dyDescent="0.35">
      <c r="C1326" s="1"/>
    </row>
    <row r="1327" spans="3:3" x14ac:dyDescent="0.35">
      <c r="C1327" s="1"/>
    </row>
    <row r="1328" spans="3:3" x14ac:dyDescent="0.35">
      <c r="C1328" s="1"/>
    </row>
    <row r="1329" spans="3:3" x14ac:dyDescent="0.35">
      <c r="C1329" s="1"/>
    </row>
    <row r="1330" spans="3:3" x14ac:dyDescent="0.35">
      <c r="C1330" s="1"/>
    </row>
    <row r="1331" spans="3:3" x14ac:dyDescent="0.35">
      <c r="C1331" s="1"/>
    </row>
    <row r="1332" spans="3:3" x14ac:dyDescent="0.35">
      <c r="C1332" s="1"/>
    </row>
    <row r="1333" spans="3:3" x14ac:dyDescent="0.35">
      <c r="C1333" s="1"/>
    </row>
    <row r="1334" spans="3:3" x14ac:dyDescent="0.35">
      <c r="C1334" s="1"/>
    </row>
    <row r="1335" spans="3:3" x14ac:dyDescent="0.35">
      <c r="C1335" s="1"/>
    </row>
    <row r="1336" spans="3:3" x14ac:dyDescent="0.35">
      <c r="C1336" s="1"/>
    </row>
    <row r="1337" spans="3:3" x14ac:dyDescent="0.35">
      <c r="C1337" s="1"/>
    </row>
    <row r="1338" spans="3:3" x14ac:dyDescent="0.35">
      <c r="C1338" s="1"/>
    </row>
    <row r="1339" spans="3:3" x14ac:dyDescent="0.35">
      <c r="C1339" s="1"/>
    </row>
    <row r="1340" spans="3:3" x14ac:dyDescent="0.35">
      <c r="C1340" s="1"/>
    </row>
    <row r="1341" spans="3:3" x14ac:dyDescent="0.35">
      <c r="C1341" s="1"/>
    </row>
    <row r="1342" spans="3:3" x14ac:dyDescent="0.35">
      <c r="C1342" s="1"/>
    </row>
    <row r="1343" spans="3:3" x14ac:dyDescent="0.35">
      <c r="C1343" s="1"/>
    </row>
    <row r="1344" spans="3:3" x14ac:dyDescent="0.35">
      <c r="C1344" s="1"/>
    </row>
    <row r="1345" spans="3:3" x14ac:dyDescent="0.35">
      <c r="C1345" s="1"/>
    </row>
    <row r="1346" spans="3:3" x14ac:dyDescent="0.35">
      <c r="C1346" s="1"/>
    </row>
    <row r="1347" spans="3:3" x14ac:dyDescent="0.35">
      <c r="C1347" s="1"/>
    </row>
    <row r="1348" spans="3:3" x14ac:dyDescent="0.35">
      <c r="C1348" s="1"/>
    </row>
    <row r="1349" spans="3:3" x14ac:dyDescent="0.35">
      <c r="C1349" s="1"/>
    </row>
    <row r="1350" spans="3:3" x14ac:dyDescent="0.35">
      <c r="C1350" s="1"/>
    </row>
    <row r="1351" spans="3:3" x14ac:dyDescent="0.35">
      <c r="C1351" s="1"/>
    </row>
    <row r="1352" spans="3:3" x14ac:dyDescent="0.35">
      <c r="C1352" s="1"/>
    </row>
    <row r="1353" spans="3:3" x14ac:dyDescent="0.35">
      <c r="C1353" s="1"/>
    </row>
    <row r="1354" spans="3:3" x14ac:dyDescent="0.35">
      <c r="C1354" s="1"/>
    </row>
    <row r="1355" spans="3:3" x14ac:dyDescent="0.35">
      <c r="C1355" s="1"/>
    </row>
    <row r="1356" spans="3:3" x14ac:dyDescent="0.35">
      <c r="C1356" s="1"/>
    </row>
    <row r="1357" spans="3:3" x14ac:dyDescent="0.35">
      <c r="C1357" s="1"/>
    </row>
    <row r="1358" spans="3:3" x14ac:dyDescent="0.35">
      <c r="C1358" s="1"/>
    </row>
    <row r="1359" spans="3:3" x14ac:dyDescent="0.35">
      <c r="C1359" s="1"/>
    </row>
    <row r="1360" spans="3:3" x14ac:dyDescent="0.35">
      <c r="C1360" s="1"/>
    </row>
    <row r="1361" spans="3:3" x14ac:dyDescent="0.35">
      <c r="C1361" s="1"/>
    </row>
    <row r="1362" spans="3:3" x14ac:dyDescent="0.35">
      <c r="C1362" s="1"/>
    </row>
    <row r="1363" spans="3:3" x14ac:dyDescent="0.35">
      <c r="C1363" s="1"/>
    </row>
    <row r="1364" spans="3:3" x14ac:dyDescent="0.35">
      <c r="C1364" s="1"/>
    </row>
    <row r="1365" spans="3:3" x14ac:dyDescent="0.35">
      <c r="C1365" s="1"/>
    </row>
    <row r="1366" spans="3:3" x14ac:dyDescent="0.35">
      <c r="C1366" s="1"/>
    </row>
    <row r="1367" spans="3:3" x14ac:dyDescent="0.35">
      <c r="C1367" s="1"/>
    </row>
    <row r="1368" spans="3:3" x14ac:dyDescent="0.35">
      <c r="C1368" s="1"/>
    </row>
    <row r="1369" spans="3:3" x14ac:dyDescent="0.35">
      <c r="C1369" s="1"/>
    </row>
    <row r="1370" spans="3:3" x14ac:dyDescent="0.35">
      <c r="C1370" s="1"/>
    </row>
    <row r="1371" spans="3:3" x14ac:dyDescent="0.35">
      <c r="C1371" s="1"/>
    </row>
    <row r="1372" spans="3:3" x14ac:dyDescent="0.35">
      <c r="C1372" s="1"/>
    </row>
    <row r="1373" spans="3:3" x14ac:dyDescent="0.35">
      <c r="C1373" s="1"/>
    </row>
    <row r="1374" spans="3:3" x14ac:dyDescent="0.35">
      <c r="C1374" s="1"/>
    </row>
    <row r="1375" spans="3:3" x14ac:dyDescent="0.35">
      <c r="C1375" s="1"/>
    </row>
    <row r="1376" spans="3:3" x14ac:dyDescent="0.35">
      <c r="C1376" s="1"/>
    </row>
    <row r="1377" spans="3:3" x14ac:dyDescent="0.35">
      <c r="C1377" s="1"/>
    </row>
    <row r="1378" spans="3:3" x14ac:dyDescent="0.35">
      <c r="C1378" s="1"/>
    </row>
    <row r="1379" spans="3:3" x14ac:dyDescent="0.35">
      <c r="C1379" s="1"/>
    </row>
    <row r="1380" spans="3:3" x14ac:dyDescent="0.35">
      <c r="C1380" s="1"/>
    </row>
    <row r="1381" spans="3:3" x14ac:dyDescent="0.35">
      <c r="C1381" s="1"/>
    </row>
    <row r="1382" spans="3:3" x14ac:dyDescent="0.35">
      <c r="C1382" s="1"/>
    </row>
    <row r="1383" spans="3:3" x14ac:dyDescent="0.35">
      <c r="C1383" s="1"/>
    </row>
    <row r="1384" spans="3:3" x14ac:dyDescent="0.35">
      <c r="C1384" s="1"/>
    </row>
    <row r="1385" spans="3:3" x14ac:dyDescent="0.35">
      <c r="C1385" s="1"/>
    </row>
    <row r="1386" spans="3:3" x14ac:dyDescent="0.35">
      <c r="C1386" s="1"/>
    </row>
    <row r="1387" spans="3:3" x14ac:dyDescent="0.35">
      <c r="C1387" s="1"/>
    </row>
    <row r="1388" spans="3:3" x14ac:dyDescent="0.35">
      <c r="C1388" s="1"/>
    </row>
    <row r="1389" spans="3:3" x14ac:dyDescent="0.35">
      <c r="C1389" s="1"/>
    </row>
    <row r="1390" spans="3:3" x14ac:dyDescent="0.35">
      <c r="C1390" s="1"/>
    </row>
    <row r="1391" spans="3:3" x14ac:dyDescent="0.35">
      <c r="C1391" s="1"/>
    </row>
    <row r="1392" spans="3:3" x14ac:dyDescent="0.35">
      <c r="C1392" s="1"/>
    </row>
    <row r="1393" spans="3:3" x14ac:dyDescent="0.35">
      <c r="C1393" s="1"/>
    </row>
    <row r="1394" spans="3:3" x14ac:dyDescent="0.35">
      <c r="C1394" s="1"/>
    </row>
    <row r="1395" spans="3:3" x14ac:dyDescent="0.35">
      <c r="C1395" s="1"/>
    </row>
    <row r="1396" spans="3:3" x14ac:dyDescent="0.35">
      <c r="C1396" s="1"/>
    </row>
    <row r="1397" spans="3:3" x14ac:dyDescent="0.35">
      <c r="C1397" s="1"/>
    </row>
    <row r="1398" spans="3:3" x14ac:dyDescent="0.35">
      <c r="C1398" s="1"/>
    </row>
    <row r="1399" spans="3:3" x14ac:dyDescent="0.35">
      <c r="C1399" s="1"/>
    </row>
    <row r="1400" spans="3:3" x14ac:dyDescent="0.35">
      <c r="C1400" s="1"/>
    </row>
    <row r="1401" spans="3:3" x14ac:dyDescent="0.35">
      <c r="C1401" s="1"/>
    </row>
    <row r="1402" spans="3:3" x14ac:dyDescent="0.35">
      <c r="C1402" s="1"/>
    </row>
    <row r="1403" spans="3:3" x14ac:dyDescent="0.35">
      <c r="C1403" s="1"/>
    </row>
    <row r="1404" spans="3:3" x14ac:dyDescent="0.35">
      <c r="C1404" s="1"/>
    </row>
    <row r="1405" spans="3:3" x14ac:dyDescent="0.35">
      <c r="C1405" s="1"/>
    </row>
    <row r="1406" spans="3:3" x14ac:dyDescent="0.35">
      <c r="C1406" s="1"/>
    </row>
    <row r="1407" spans="3:3" x14ac:dyDescent="0.35">
      <c r="C1407" s="1"/>
    </row>
    <row r="1408" spans="3:3" x14ac:dyDescent="0.35">
      <c r="C1408" s="1"/>
    </row>
    <row r="1409" spans="3:3" x14ac:dyDescent="0.35">
      <c r="C1409" s="1"/>
    </row>
    <row r="1410" spans="3:3" x14ac:dyDescent="0.35">
      <c r="C1410" s="1"/>
    </row>
    <row r="1411" spans="3:3" x14ac:dyDescent="0.35">
      <c r="C1411" s="1"/>
    </row>
    <row r="1412" spans="3:3" x14ac:dyDescent="0.35">
      <c r="C1412" s="1"/>
    </row>
    <row r="1413" spans="3:3" x14ac:dyDescent="0.35">
      <c r="C1413" s="1"/>
    </row>
    <row r="1414" spans="3:3" x14ac:dyDescent="0.35">
      <c r="C1414" s="1"/>
    </row>
    <row r="1415" spans="3:3" x14ac:dyDescent="0.35">
      <c r="C1415" s="1"/>
    </row>
    <row r="1416" spans="3:3" x14ac:dyDescent="0.35">
      <c r="C1416" s="1"/>
    </row>
    <row r="1417" spans="3:3" x14ac:dyDescent="0.35">
      <c r="C1417" s="1"/>
    </row>
    <row r="1418" spans="3:3" x14ac:dyDescent="0.35">
      <c r="C1418" s="1"/>
    </row>
    <row r="1419" spans="3:3" x14ac:dyDescent="0.35">
      <c r="C1419" s="1"/>
    </row>
    <row r="1420" spans="3:3" x14ac:dyDescent="0.35">
      <c r="C1420" s="1"/>
    </row>
    <row r="1421" spans="3:3" x14ac:dyDescent="0.35">
      <c r="C1421" s="1"/>
    </row>
    <row r="1422" spans="3:3" x14ac:dyDescent="0.35">
      <c r="C1422" s="1"/>
    </row>
    <row r="1423" spans="3:3" x14ac:dyDescent="0.35">
      <c r="C1423" s="1"/>
    </row>
    <row r="1424" spans="3:3" x14ac:dyDescent="0.35">
      <c r="C1424" s="1"/>
    </row>
    <row r="1425" spans="3:3" x14ac:dyDescent="0.35">
      <c r="C1425" s="1"/>
    </row>
    <row r="1426" spans="3:3" x14ac:dyDescent="0.35">
      <c r="C1426" s="1"/>
    </row>
    <row r="1427" spans="3:3" x14ac:dyDescent="0.35">
      <c r="C1427" s="1"/>
    </row>
    <row r="1428" spans="3:3" x14ac:dyDescent="0.35">
      <c r="C1428" s="1"/>
    </row>
    <row r="1429" spans="3:3" x14ac:dyDescent="0.35">
      <c r="C1429" s="1"/>
    </row>
    <row r="1430" spans="3:3" x14ac:dyDescent="0.35">
      <c r="C1430" s="1"/>
    </row>
    <row r="1431" spans="3:3" x14ac:dyDescent="0.35">
      <c r="C1431" s="1"/>
    </row>
    <row r="1432" spans="3:3" x14ac:dyDescent="0.35">
      <c r="C1432" s="1"/>
    </row>
    <row r="1433" spans="3:3" x14ac:dyDescent="0.35">
      <c r="C1433" s="1"/>
    </row>
    <row r="1434" spans="3:3" x14ac:dyDescent="0.35">
      <c r="C1434" s="1"/>
    </row>
    <row r="1435" spans="3:3" x14ac:dyDescent="0.35">
      <c r="C1435" s="1"/>
    </row>
    <row r="1436" spans="3:3" x14ac:dyDescent="0.35">
      <c r="C1436" s="1"/>
    </row>
    <row r="1437" spans="3:3" x14ac:dyDescent="0.35">
      <c r="C1437" s="1"/>
    </row>
    <row r="1438" spans="3:3" x14ac:dyDescent="0.35">
      <c r="C1438" s="1"/>
    </row>
    <row r="1439" spans="3:3" x14ac:dyDescent="0.35">
      <c r="C1439" s="1"/>
    </row>
    <row r="1440" spans="3:3" x14ac:dyDescent="0.35">
      <c r="C1440" s="1"/>
    </row>
    <row r="1441" spans="3:3" x14ac:dyDescent="0.35">
      <c r="C1441" s="1"/>
    </row>
    <row r="1442" spans="3:3" x14ac:dyDescent="0.35">
      <c r="C1442" s="1"/>
    </row>
    <row r="1443" spans="3:3" x14ac:dyDescent="0.35">
      <c r="C1443" s="1"/>
    </row>
    <row r="1444" spans="3:3" x14ac:dyDescent="0.35">
      <c r="C1444" s="1"/>
    </row>
    <row r="1445" spans="3:3" x14ac:dyDescent="0.35">
      <c r="C1445" s="1"/>
    </row>
    <row r="1446" spans="3:3" x14ac:dyDescent="0.35">
      <c r="C1446" s="1"/>
    </row>
    <row r="1447" spans="3:3" x14ac:dyDescent="0.35">
      <c r="C1447" s="1"/>
    </row>
    <row r="1448" spans="3:3" x14ac:dyDescent="0.35">
      <c r="C1448" s="1"/>
    </row>
    <row r="1449" spans="3:3" x14ac:dyDescent="0.35">
      <c r="C1449" s="1"/>
    </row>
    <row r="1450" spans="3:3" x14ac:dyDescent="0.35">
      <c r="C1450" s="1"/>
    </row>
    <row r="1451" spans="3:3" x14ac:dyDescent="0.35">
      <c r="C1451" s="1"/>
    </row>
    <row r="1452" spans="3:3" x14ac:dyDescent="0.35">
      <c r="C1452" s="1"/>
    </row>
    <row r="1453" spans="3:3" x14ac:dyDescent="0.35">
      <c r="C1453" s="1"/>
    </row>
    <row r="1454" spans="3:3" x14ac:dyDescent="0.35">
      <c r="C1454" s="1"/>
    </row>
    <row r="1455" spans="3:3" x14ac:dyDescent="0.35">
      <c r="C1455" s="1"/>
    </row>
    <row r="1456" spans="3:3" x14ac:dyDescent="0.35">
      <c r="C1456" s="1"/>
    </row>
    <row r="1457" spans="3:3" x14ac:dyDescent="0.35">
      <c r="C1457" s="1"/>
    </row>
    <row r="1458" spans="3:3" x14ac:dyDescent="0.35">
      <c r="C1458" s="1"/>
    </row>
    <row r="1459" spans="3:3" x14ac:dyDescent="0.35">
      <c r="C1459" s="1"/>
    </row>
    <row r="1460" spans="3:3" x14ac:dyDescent="0.35">
      <c r="C1460" s="1"/>
    </row>
    <row r="1461" spans="3:3" x14ac:dyDescent="0.35">
      <c r="C1461" s="1"/>
    </row>
    <row r="1462" spans="3:3" x14ac:dyDescent="0.35">
      <c r="C1462" s="1"/>
    </row>
    <row r="1463" spans="3:3" x14ac:dyDescent="0.35">
      <c r="C1463" s="1"/>
    </row>
    <row r="1464" spans="3:3" x14ac:dyDescent="0.35">
      <c r="C1464" s="1"/>
    </row>
    <row r="1465" spans="3:3" x14ac:dyDescent="0.35">
      <c r="C1465" s="1"/>
    </row>
    <row r="1466" spans="3:3" x14ac:dyDescent="0.35">
      <c r="C1466" s="1"/>
    </row>
    <row r="1467" spans="3:3" x14ac:dyDescent="0.35">
      <c r="C1467" s="1"/>
    </row>
    <row r="1468" spans="3:3" x14ac:dyDescent="0.35">
      <c r="C1468" s="1"/>
    </row>
    <row r="1469" spans="3:3" x14ac:dyDescent="0.35">
      <c r="C1469" s="1"/>
    </row>
    <row r="1470" spans="3:3" x14ac:dyDescent="0.35">
      <c r="C1470" s="1"/>
    </row>
    <row r="1471" spans="3:3" x14ac:dyDescent="0.35">
      <c r="C1471" s="1"/>
    </row>
    <row r="1472" spans="3:3" x14ac:dyDescent="0.35">
      <c r="C1472" s="1"/>
    </row>
    <row r="1473" spans="3:3" x14ac:dyDescent="0.35">
      <c r="C1473" s="1"/>
    </row>
    <row r="1474" spans="3:3" x14ac:dyDescent="0.35">
      <c r="C1474" s="1"/>
    </row>
    <row r="1475" spans="3:3" x14ac:dyDescent="0.35">
      <c r="C1475" s="1"/>
    </row>
    <row r="1476" spans="3:3" x14ac:dyDescent="0.35">
      <c r="C1476" s="1"/>
    </row>
    <row r="1477" spans="3:3" x14ac:dyDescent="0.35">
      <c r="C1477" s="1"/>
    </row>
    <row r="1478" spans="3:3" x14ac:dyDescent="0.35">
      <c r="C1478" s="1"/>
    </row>
    <row r="1479" spans="3:3" x14ac:dyDescent="0.35">
      <c r="C1479" s="1"/>
    </row>
    <row r="1480" spans="3:3" x14ac:dyDescent="0.35">
      <c r="C1480" s="1"/>
    </row>
    <row r="1481" spans="3:3" x14ac:dyDescent="0.35">
      <c r="C1481" s="1"/>
    </row>
    <row r="1482" spans="3:3" x14ac:dyDescent="0.35">
      <c r="C1482" s="1"/>
    </row>
    <row r="1483" spans="3:3" x14ac:dyDescent="0.35">
      <c r="C1483" s="1"/>
    </row>
    <row r="1484" spans="3:3" x14ac:dyDescent="0.35">
      <c r="C1484" s="1"/>
    </row>
    <row r="1485" spans="3:3" x14ac:dyDescent="0.35">
      <c r="C1485" s="1"/>
    </row>
    <row r="1486" spans="3:3" x14ac:dyDescent="0.35">
      <c r="C1486" s="1"/>
    </row>
    <row r="1487" spans="3:3" x14ac:dyDescent="0.35">
      <c r="C1487" s="1"/>
    </row>
    <row r="1488" spans="3:3" x14ac:dyDescent="0.35">
      <c r="C1488" s="1"/>
    </row>
    <row r="1489" spans="3:3" x14ac:dyDescent="0.35">
      <c r="C1489" s="1"/>
    </row>
    <row r="1490" spans="3:3" x14ac:dyDescent="0.35">
      <c r="C1490" s="1"/>
    </row>
    <row r="1491" spans="3:3" x14ac:dyDescent="0.35">
      <c r="C1491" s="1"/>
    </row>
    <row r="1492" spans="3:3" x14ac:dyDescent="0.35">
      <c r="C1492" s="1"/>
    </row>
    <row r="1493" spans="3:3" x14ac:dyDescent="0.35">
      <c r="C1493" s="1"/>
    </row>
    <row r="1494" spans="3:3" x14ac:dyDescent="0.35">
      <c r="C1494" s="1"/>
    </row>
    <row r="1495" spans="3:3" x14ac:dyDescent="0.35">
      <c r="C1495" s="1"/>
    </row>
    <row r="1496" spans="3:3" x14ac:dyDescent="0.35">
      <c r="C1496" s="1"/>
    </row>
    <row r="1497" spans="3:3" x14ac:dyDescent="0.35">
      <c r="C1497" s="1"/>
    </row>
    <row r="1498" spans="3:3" x14ac:dyDescent="0.35">
      <c r="C1498" s="1"/>
    </row>
    <row r="1499" spans="3:3" x14ac:dyDescent="0.35">
      <c r="C1499" s="1"/>
    </row>
    <row r="1500" spans="3:3" x14ac:dyDescent="0.35">
      <c r="C1500" s="1"/>
    </row>
    <row r="1501" spans="3:3" x14ac:dyDescent="0.35">
      <c r="C1501" s="1"/>
    </row>
    <row r="1502" spans="3:3" x14ac:dyDescent="0.35">
      <c r="C1502" s="1"/>
    </row>
    <row r="1503" spans="3:3" x14ac:dyDescent="0.35">
      <c r="C1503" s="1"/>
    </row>
    <row r="1504" spans="3:3" x14ac:dyDescent="0.35">
      <c r="C1504" s="1"/>
    </row>
    <row r="1505" spans="3:3" x14ac:dyDescent="0.35">
      <c r="C1505" s="1"/>
    </row>
    <row r="1506" spans="3:3" x14ac:dyDescent="0.35">
      <c r="C1506" s="1"/>
    </row>
    <row r="1507" spans="3:3" x14ac:dyDescent="0.35">
      <c r="C1507" s="1"/>
    </row>
    <row r="1508" spans="3:3" x14ac:dyDescent="0.35">
      <c r="C1508" s="1"/>
    </row>
    <row r="1509" spans="3:3" x14ac:dyDescent="0.35">
      <c r="C1509" s="1"/>
    </row>
    <row r="1510" spans="3:3" x14ac:dyDescent="0.35">
      <c r="C1510" s="1"/>
    </row>
    <row r="1511" spans="3:3" x14ac:dyDescent="0.35">
      <c r="C1511" s="1"/>
    </row>
    <row r="1512" spans="3:3" x14ac:dyDescent="0.35">
      <c r="C1512" s="1"/>
    </row>
    <row r="1513" spans="3:3" x14ac:dyDescent="0.35">
      <c r="C1513" s="1"/>
    </row>
    <row r="1514" spans="3:3" x14ac:dyDescent="0.35">
      <c r="C1514" s="1"/>
    </row>
    <row r="1515" spans="3:3" x14ac:dyDescent="0.35">
      <c r="C1515" s="1"/>
    </row>
    <row r="1516" spans="3:3" x14ac:dyDescent="0.35">
      <c r="C1516" s="1"/>
    </row>
    <row r="1517" spans="3:3" x14ac:dyDescent="0.35">
      <c r="C1517" s="1"/>
    </row>
    <row r="1518" spans="3:3" x14ac:dyDescent="0.35">
      <c r="C1518" s="1"/>
    </row>
    <row r="1519" spans="3:3" x14ac:dyDescent="0.35">
      <c r="C1519" s="1"/>
    </row>
    <row r="1520" spans="3:3" x14ac:dyDescent="0.35">
      <c r="C1520" s="1"/>
    </row>
    <row r="1521" spans="3:3" x14ac:dyDescent="0.35">
      <c r="C1521" s="1"/>
    </row>
    <row r="1522" spans="3:3" x14ac:dyDescent="0.35">
      <c r="C1522" s="1"/>
    </row>
    <row r="1523" spans="3:3" x14ac:dyDescent="0.35">
      <c r="C1523" s="1"/>
    </row>
    <row r="1524" spans="3:3" x14ac:dyDescent="0.35">
      <c r="C1524" s="1"/>
    </row>
    <row r="1525" spans="3:3" x14ac:dyDescent="0.35">
      <c r="C1525" s="1"/>
    </row>
    <row r="1526" spans="3:3" x14ac:dyDescent="0.35">
      <c r="C1526" s="1"/>
    </row>
    <row r="1527" spans="3:3" x14ac:dyDescent="0.35">
      <c r="C1527" s="1"/>
    </row>
    <row r="1528" spans="3:3" x14ac:dyDescent="0.35">
      <c r="C1528" s="1"/>
    </row>
    <row r="1529" spans="3:3" x14ac:dyDescent="0.35">
      <c r="C1529" s="1"/>
    </row>
    <row r="1530" spans="3:3" x14ac:dyDescent="0.35">
      <c r="C1530" s="1"/>
    </row>
    <row r="1531" spans="3:3" x14ac:dyDescent="0.35">
      <c r="C1531" s="1"/>
    </row>
    <row r="1532" spans="3:3" x14ac:dyDescent="0.35">
      <c r="C1532" s="1"/>
    </row>
    <row r="1533" spans="3:3" x14ac:dyDescent="0.35">
      <c r="C1533" s="1"/>
    </row>
    <row r="1534" spans="3:3" x14ac:dyDescent="0.35">
      <c r="C1534" s="1"/>
    </row>
    <row r="1535" spans="3:3" x14ac:dyDescent="0.35">
      <c r="C1535" s="1"/>
    </row>
    <row r="1536" spans="3:3" x14ac:dyDescent="0.35">
      <c r="C1536" s="1"/>
    </row>
    <row r="1537" spans="3:3" x14ac:dyDescent="0.35">
      <c r="C1537" s="1"/>
    </row>
    <row r="1538" spans="3:3" x14ac:dyDescent="0.35">
      <c r="C1538" s="1"/>
    </row>
    <row r="1539" spans="3:3" x14ac:dyDescent="0.35">
      <c r="C1539" s="1"/>
    </row>
    <row r="1540" spans="3:3" x14ac:dyDescent="0.35">
      <c r="C1540" s="1"/>
    </row>
    <row r="1541" spans="3:3" x14ac:dyDescent="0.35">
      <c r="C1541" s="1"/>
    </row>
    <row r="1542" spans="3:3" x14ac:dyDescent="0.35">
      <c r="C1542" s="1"/>
    </row>
    <row r="1543" spans="3:3" x14ac:dyDescent="0.35">
      <c r="C1543" s="1"/>
    </row>
    <row r="1544" spans="3:3" x14ac:dyDescent="0.35">
      <c r="C1544" s="1"/>
    </row>
    <row r="1545" spans="3:3" x14ac:dyDescent="0.35">
      <c r="C1545" s="1"/>
    </row>
    <row r="1546" spans="3:3" x14ac:dyDescent="0.35">
      <c r="C1546" s="1"/>
    </row>
    <row r="1547" spans="3:3" x14ac:dyDescent="0.35">
      <c r="C1547" s="1"/>
    </row>
    <row r="1548" spans="3:3" x14ac:dyDescent="0.35">
      <c r="C1548" s="1"/>
    </row>
    <row r="1549" spans="3:3" x14ac:dyDescent="0.35">
      <c r="C1549" s="1"/>
    </row>
    <row r="1550" spans="3:3" x14ac:dyDescent="0.35">
      <c r="C1550" s="1"/>
    </row>
    <row r="1551" spans="3:3" x14ac:dyDescent="0.35">
      <c r="C1551" s="1"/>
    </row>
    <row r="1552" spans="3:3" x14ac:dyDescent="0.35">
      <c r="C1552" s="1"/>
    </row>
    <row r="1553" spans="3:3" x14ac:dyDescent="0.35">
      <c r="C1553" s="1"/>
    </row>
    <row r="1554" spans="3:3" x14ac:dyDescent="0.35">
      <c r="C1554" s="1"/>
    </row>
    <row r="1555" spans="3:3" x14ac:dyDescent="0.35">
      <c r="C1555" s="1"/>
    </row>
    <row r="1556" spans="3:3" x14ac:dyDescent="0.35">
      <c r="C1556" s="1"/>
    </row>
    <row r="1557" spans="3:3" x14ac:dyDescent="0.35">
      <c r="C1557" s="1"/>
    </row>
    <row r="1558" spans="3:3" x14ac:dyDescent="0.35">
      <c r="C1558" s="1"/>
    </row>
    <row r="1559" spans="3:3" x14ac:dyDescent="0.35">
      <c r="C1559" s="1"/>
    </row>
    <row r="1560" spans="3:3" x14ac:dyDescent="0.35">
      <c r="C1560" s="1"/>
    </row>
    <row r="1561" spans="3:3" x14ac:dyDescent="0.35">
      <c r="C1561" s="1"/>
    </row>
    <row r="1562" spans="3:3" x14ac:dyDescent="0.35">
      <c r="C1562" s="1"/>
    </row>
    <row r="1563" spans="3:3" x14ac:dyDescent="0.35">
      <c r="C1563" s="1"/>
    </row>
    <row r="1564" spans="3:3" x14ac:dyDescent="0.35">
      <c r="C1564" s="1"/>
    </row>
    <row r="1565" spans="3:3" x14ac:dyDescent="0.35">
      <c r="C1565" s="1"/>
    </row>
    <row r="1566" spans="3:3" x14ac:dyDescent="0.35">
      <c r="C1566" s="1"/>
    </row>
    <row r="1567" spans="3:3" x14ac:dyDescent="0.35">
      <c r="C1567" s="1"/>
    </row>
    <row r="1568" spans="3:3" x14ac:dyDescent="0.35">
      <c r="C1568" s="1"/>
    </row>
    <row r="1569" spans="3:3" x14ac:dyDescent="0.35">
      <c r="C1569" s="1"/>
    </row>
    <row r="1570" spans="3:3" x14ac:dyDescent="0.35">
      <c r="C1570" s="1"/>
    </row>
    <row r="1571" spans="3:3" x14ac:dyDescent="0.35">
      <c r="C1571" s="1"/>
    </row>
    <row r="1572" spans="3:3" x14ac:dyDescent="0.35">
      <c r="C1572" s="1"/>
    </row>
    <row r="1573" spans="3:3" x14ac:dyDescent="0.35">
      <c r="C1573" s="1"/>
    </row>
    <row r="1574" spans="3:3" x14ac:dyDescent="0.35">
      <c r="C1574" s="1"/>
    </row>
    <row r="1575" spans="3:3" x14ac:dyDescent="0.35">
      <c r="C1575" s="1"/>
    </row>
    <row r="1576" spans="3:3" x14ac:dyDescent="0.35">
      <c r="C1576" s="1"/>
    </row>
    <row r="1577" spans="3:3" x14ac:dyDescent="0.35">
      <c r="C1577" s="1"/>
    </row>
    <row r="1578" spans="3:3" x14ac:dyDescent="0.35">
      <c r="C1578" s="1"/>
    </row>
    <row r="1579" spans="3:3" x14ac:dyDescent="0.35">
      <c r="C1579" s="1"/>
    </row>
    <row r="1580" spans="3:3" x14ac:dyDescent="0.35">
      <c r="C1580" s="1"/>
    </row>
    <row r="1581" spans="3:3" x14ac:dyDescent="0.35">
      <c r="C1581" s="1"/>
    </row>
    <row r="1582" spans="3:3" x14ac:dyDescent="0.35">
      <c r="C1582" s="1"/>
    </row>
    <row r="1583" spans="3:3" x14ac:dyDescent="0.35">
      <c r="C1583" s="1"/>
    </row>
    <row r="1584" spans="3:3" x14ac:dyDescent="0.35">
      <c r="C1584" s="1"/>
    </row>
    <row r="1585" spans="3:3" x14ac:dyDescent="0.35">
      <c r="C1585" s="1"/>
    </row>
    <row r="1586" spans="3:3" x14ac:dyDescent="0.35">
      <c r="C1586" s="1"/>
    </row>
    <row r="1587" spans="3:3" x14ac:dyDescent="0.35">
      <c r="C1587" s="1"/>
    </row>
    <row r="1588" spans="3:3" x14ac:dyDescent="0.35">
      <c r="C1588" s="1"/>
    </row>
    <row r="1589" spans="3:3" x14ac:dyDescent="0.35">
      <c r="C1589" s="1"/>
    </row>
    <row r="1590" spans="3:3" x14ac:dyDescent="0.35">
      <c r="C1590" s="1"/>
    </row>
    <row r="1591" spans="3:3" x14ac:dyDescent="0.35">
      <c r="C1591" s="1"/>
    </row>
    <row r="1592" spans="3:3" x14ac:dyDescent="0.35">
      <c r="C1592" s="1"/>
    </row>
    <row r="1593" spans="3:3" x14ac:dyDescent="0.35">
      <c r="C1593" s="1"/>
    </row>
    <row r="1594" spans="3:3" x14ac:dyDescent="0.35">
      <c r="C1594" s="1"/>
    </row>
    <row r="1595" spans="3:3" x14ac:dyDescent="0.35">
      <c r="C1595" s="1"/>
    </row>
    <row r="1596" spans="3:3" x14ac:dyDescent="0.35">
      <c r="C1596" s="1"/>
    </row>
    <row r="1597" spans="3:3" x14ac:dyDescent="0.35">
      <c r="C1597" s="1"/>
    </row>
    <row r="1598" spans="3:3" x14ac:dyDescent="0.35">
      <c r="C1598" s="1"/>
    </row>
    <row r="1599" spans="3:3" x14ac:dyDescent="0.35">
      <c r="C1599" s="1"/>
    </row>
    <row r="1600" spans="3:3" x14ac:dyDescent="0.35">
      <c r="C1600" s="1"/>
    </row>
    <row r="1601" spans="3:3" x14ac:dyDescent="0.35">
      <c r="C1601" s="1"/>
    </row>
    <row r="1602" spans="3:3" x14ac:dyDescent="0.35">
      <c r="C1602" s="1"/>
    </row>
    <row r="1603" spans="3:3" x14ac:dyDescent="0.35">
      <c r="C1603" s="1"/>
    </row>
    <row r="1604" spans="3:3" x14ac:dyDescent="0.35">
      <c r="C1604" s="1"/>
    </row>
    <row r="1605" spans="3:3" x14ac:dyDescent="0.35">
      <c r="C1605" s="1"/>
    </row>
    <row r="1606" spans="3:3" x14ac:dyDescent="0.35">
      <c r="C1606" s="1"/>
    </row>
    <row r="1607" spans="3:3" x14ac:dyDescent="0.35">
      <c r="C1607" s="1"/>
    </row>
    <row r="1608" spans="3:3" x14ac:dyDescent="0.35">
      <c r="C1608" s="1"/>
    </row>
    <row r="1609" spans="3:3" x14ac:dyDescent="0.35">
      <c r="C1609" s="1"/>
    </row>
    <row r="1610" spans="3:3" x14ac:dyDescent="0.35">
      <c r="C1610" s="1"/>
    </row>
    <row r="1611" spans="3:3" x14ac:dyDescent="0.35">
      <c r="C1611" s="1"/>
    </row>
    <row r="1612" spans="3:3" x14ac:dyDescent="0.35">
      <c r="C1612" s="1"/>
    </row>
    <row r="1613" spans="3:3" x14ac:dyDescent="0.35">
      <c r="C1613" s="1"/>
    </row>
    <row r="1614" spans="3:3" x14ac:dyDescent="0.35">
      <c r="C1614" s="1"/>
    </row>
    <row r="1615" spans="3:3" x14ac:dyDescent="0.35">
      <c r="C1615" s="1"/>
    </row>
    <row r="1616" spans="3:3" x14ac:dyDescent="0.35">
      <c r="C1616" s="1"/>
    </row>
    <row r="1617" spans="3:3" x14ac:dyDescent="0.35">
      <c r="C1617" s="1"/>
    </row>
    <row r="1618" spans="3:3" x14ac:dyDescent="0.35">
      <c r="C1618" s="1"/>
    </row>
    <row r="1619" spans="3:3" x14ac:dyDescent="0.35">
      <c r="C1619" s="1"/>
    </row>
    <row r="1620" spans="3:3" x14ac:dyDescent="0.35">
      <c r="C1620" s="1"/>
    </row>
    <row r="1621" spans="3:3" x14ac:dyDescent="0.35">
      <c r="C1621" s="1"/>
    </row>
    <row r="1622" spans="3:3" x14ac:dyDescent="0.35">
      <c r="C1622" s="1"/>
    </row>
    <row r="1623" spans="3:3" x14ac:dyDescent="0.35">
      <c r="C1623" s="1"/>
    </row>
    <row r="1624" spans="3:3" x14ac:dyDescent="0.35">
      <c r="C1624" s="1"/>
    </row>
    <row r="1625" spans="3:3" x14ac:dyDescent="0.35">
      <c r="C1625" s="1"/>
    </row>
    <row r="1626" spans="3:3" x14ac:dyDescent="0.35">
      <c r="C1626" s="1"/>
    </row>
    <row r="1627" spans="3:3" x14ac:dyDescent="0.35">
      <c r="C1627" s="1"/>
    </row>
    <row r="1628" spans="3:3" x14ac:dyDescent="0.35">
      <c r="C1628" s="1"/>
    </row>
    <row r="1629" spans="3:3" x14ac:dyDescent="0.35">
      <c r="C1629" s="1"/>
    </row>
    <row r="1630" spans="3:3" x14ac:dyDescent="0.35">
      <c r="C1630" s="1"/>
    </row>
    <row r="1631" spans="3:3" x14ac:dyDescent="0.35">
      <c r="C1631" s="1"/>
    </row>
    <row r="1632" spans="3:3" x14ac:dyDescent="0.35">
      <c r="C1632" s="1"/>
    </row>
    <row r="1633" spans="3:3" x14ac:dyDescent="0.35">
      <c r="C1633" s="1"/>
    </row>
    <row r="1634" spans="3:3" x14ac:dyDescent="0.35">
      <c r="C1634" s="1"/>
    </row>
    <row r="1635" spans="3:3" x14ac:dyDescent="0.35">
      <c r="C1635" s="1"/>
    </row>
    <row r="1636" spans="3:3" x14ac:dyDescent="0.35">
      <c r="C1636" s="1"/>
    </row>
    <row r="1637" spans="3:3" x14ac:dyDescent="0.35">
      <c r="C1637" s="1"/>
    </row>
    <row r="1638" spans="3:3" x14ac:dyDescent="0.35">
      <c r="C1638" s="1"/>
    </row>
    <row r="1639" spans="3:3" x14ac:dyDescent="0.35">
      <c r="C1639" s="1"/>
    </row>
    <row r="1640" spans="3:3" x14ac:dyDescent="0.35">
      <c r="C1640" s="1"/>
    </row>
    <row r="1641" spans="3:3" x14ac:dyDescent="0.35">
      <c r="C1641" s="1"/>
    </row>
    <row r="1642" spans="3:3" x14ac:dyDescent="0.35">
      <c r="C1642" s="1"/>
    </row>
    <row r="1643" spans="3:3" x14ac:dyDescent="0.35">
      <c r="C1643" s="1"/>
    </row>
    <row r="1644" spans="3:3" x14ac:dyDescent="0.35">
      <c r="C1644" s="1"/>
    </row>
    <row r="1645" spans="3:3" x14ac:dyDescent="0.35">
      <c r="C1645" s="1"/>
    </row>
    <row r="1646" spans="3:3" x14ac:dyDescent="0.35">
      <c r="C1646" s="1"/>
    </row>
    <row r="1647" spans="3:3" x14ac:dyDescent="0.35">
      <c r="C1647" s="1"/>
    </row>
    <row r="1648" spans="3:3" x14ac:dyDescent="0.35">
      <c r="C1648" s="1"/>
    </row>
    <row r="1649" spans="3:3" x14ac:dyDescent="0.35">
      <c r="C1649" s="1"/>
    </row>
    <row r="1650" spans="3:3" x14ac:dyDescent="0.35">
      <c r="C1650" s="1"/>
    </row>
    <row r="1651" spans="3:3" x14ac:dyDescent="0.35">
      <c r="C1651" s="1"/>
    </row>
    <row r="1652" spans="3:3" x14ac:dyDescent="0.35">
      <c r="C1652" s="1"/>
    </row>
    <row r="1653" spans="3:3" x14ac:dyDescent="0.35">
      <c r="C1653" s="1"/>
    </row>
    <row r="1654" spans="3:3" x14ac:dyDescent="0.35">
      <c r="C1654" s="1"/>
    </row>
    <row r="1655" spans="3:3" x14ac:dyDescent="0.35">
      <c r="C1655" s="1"/>
    </row>
    <row r="1656" spans="3:3" x14ac:dyDescent="0.35">
      <c r="C1656" s="1"/>
    </row>
    <row r="1657" spans="3:3" x14ac:dyDescent="0.35">
      <c r="C1657" s="1"/>
    </row>
    <row r="1658" spans="3:3" x14ac:dyDescent="0.35">
      <c r="C1658" s="1"/>
    </row>
    <row r="1659" spans="3:3" x14ac:dyDescent="0.35">
      <c r="C1659" s="1"/>
    </row>
    <row r="1660" spans="3:3" x14ac:dyDescent="0.35">
      <c r="C1660" s="1"/>
    </row>
    <row r="1661" spans="3:3" x14ac:dyDescent="0.35">
      <c r="C1661" s="1"/>
    </row>
    <row r="1662" spans="3:3" x14ac:dyDescent="0.35">
      <c r="C1662" s="1"/>
    </row>
    <row r="1663" spans="3:3" x14ac:dyDescent="0.35">
      <c r="C1663" s="1"/>
    </row>
    <row r="1664" spans="3:3" x14ac:dyDescent="0.35">
      <c r="C1664" s="1"/>
    </row>
    <row r="1665" spans="3:3" x14ac:dyDescent="0.35">
      <c r="C1665" s="1"/>
    </row>
    <row r="1666" spans="3:3" x14ac:dyDescent="0.35">
      <c r="C1666" s="1"/>
    </row>
    <row r="1667" spans="3:3" x14ac:dyDescent="0.35">
      <c r="C1667" s="1"/>
    </row>
    <row r="1668" spans="3:3" x14ac:dyDescent="0.35">
      <c r="C1668" s="1"/>
    </row>
    <row r="1669" spans="3:3" x14ac:dyDescent="0.35">
      <c r="C1669" s="1"/>
    </row>
    <row r="1670" spans="3:3" x14ac:dyDescent="0.35">
      <c r="C1670" s="1"/>
    </row>
    <row r="1671" spans="3:3" x14ac:dyDescent="0.35">
      <c r="C1671" s="1"/>
    </row>
    <row r="1672" spans="3:3" x14ac:dyDescent="0.35">
      <c r="C1672" s="1"/>
    </row>
    <row r="1673" spans="3:3" x14ac:dyDescent="0.35">
      <c r="C1673" s="1"/>
    </row>
    <row r="1674" spans="3:3" x14ac:dyDescent="0.35">
      <c r="C1674" s="1"/>
    </row>
    <row r="1675" spans="3:3" x14ac:dyDescent="0.35">
      <c r="C1675" s="1"/>
    </row>
    <row r="1676" spans="3:3" x14ac:dyDescent="0.35">
      <c r="C1676" s="1"/>
    </row>
    <row r="1677" spans="3:3" x14ac:dyDescent="0.35">
      <c r="C1677" s="1"/>
    </row>
    <row r="1678" spans="3:3" x14ac:dyDescent="0.35">
      <c r="C1678" s="1"/>
    </row>
    <row r="1679" spans="3:3" x14ac:dyDescent="0.35">
      <c r="C1679" s="1"/>
    </row>
    <row r="1680" spans="3:3" x14ac:dyDescent="0.35">
      <c r="C1680" s="1"/>
    </row>
    <row r="1681" spans="3:3" x14ac:dyDescent="0.35">
      <c r="C1681" s="1"/>
    </row>
    <row r="1682" spans="3:3" x14ac:dyDescent="0.35">
      <c r="C1682" s="1"/>
    </row>
    <row r="1683" spans="3:3" x14ac:dyDescent="0.35">
      <c r="C1683" s="1"/>
    </row>
    <row r="1684" spans="3:3" x14ac:dyDescent="0.35">
      <c r="C1684" s="1"/>
    </row>
    <row r="1685" spans="3:3" x14ac:dyDescent="0.35">
      <c r="C1685" s="1"/>
    </row>
    <row r="1686" spans="3:3" x14ac:dyDescent="0.35">
      <c r="C1686" s="1"/>
    </row>
    <row r="1687" spans="3:3" x14ac:dyDescent="0.35">
      <c r="C1687" s="1"/>
    </row>
    <row r="1688" spans="3:3" x14ac:dyDescent="0.35">
      <c r="C1688" s="1"/>
    </row>
    <row r="1689" spans="3:3" x14ac:dyDescent="0.35">
      <c r="C1689" s="1"/>
    </row>
    <row r="1690" spans="3:3" x14ac:dyDescent="0.35">
      <c r="C1690" s="1"/>
    </row>
    <row r="1691" spans="3:3" x14ac:dyDescent="0.35">
      <c r="C1691" s="1"/>
    </row>
    <row r="1692" spans="3:3" x14ac:dyDescent="0.35">
      <c r="C1692" s="1"/>
    </row>
    <row r="1693" spans="3:3" x14ac:dyDescent="0.35">
      <c r="C1693" s="1"/>
    </row>
    <row r="1694" spans="3:3" x14ac:dyDescent="0.35">
      <c r="C1694" s="1"/>
    </row>
    <row r="1695" spans="3:3" x14ac:dyDescent="0.35">
      <c r="C1695" s="1"/>
    </row>
    <row r="1696" spans="3:3" x14ac:dyDescent="0.35">
      <c r="C1696" s="1"/>
    </row>
    <row r="1697" spans="3:3" x14ac:dyDescent="0.35">
      <c r="C1697" s="1"/>
    </row>
    <row r="1698" spans="3:3" x14ac:dyDescent="0.35">
      <c r="C1698" s="1"/>
    </row>
    <row r="1699" spans="3:3" x14ac:dyDescent="0.35">
      <c r="C1699" s="1"/>
    </row>
    <row r="1700" spans="3:3" x14ac:dyDescent="0.35">
      <c r="C1700" s="1"/>
    </row>
    <row r="1701" spans="3:3" x14ac:dyDescent="0.35">
      <c r="C1701" s="1"/>
    </row>
    <row r="1702" spans="3:3" x14ac:dyDescent="0.35">
      <c r="C1702" s="1"/>
    </row>
    <row r="1703" spans="3:3" x14ac:dyDescent="0.35">
      <c r="C1703" s="1"/>
    </row>
    <row r="1704" spans="3:3" x14ac:dyDescent="0.35">
      <c r="C1704" s="1"/>
    </row>
    <row r="1705" spans="3:3" x14ac:dyDescent="0.35">
      <c r="C1705" s="1"/>
    </row>
    <row r="1706" spans="3:3" x14ac:dyDescent="0.35">
      <c r="C1706" s="1"/>
    </row>
    <row r="1707" spans="3:3" x14ac:dyDescent="0.35">
      <c r="C1707" s="1"/>
    </row>
    <row r="1708" spans="3:3" x14ac:dyDescent="0.35">
      <c r="C1708" s="1"/>
    </row>
    <row r="1709" spans="3:3" x14ac:dyDescent="0.35">
      <c r="C1709" s="1"/>
    </row>
    <row r="1710" spans="3:3" x14ac:dyDescent="0.35">
      <c r="C1710" s="1"/>
    </row>
    <row r="1711" spans="3:3" x14ac:dyDescent="0.35">
      <c r="C1711" s="1"/>
    </row>
    <row r="1712" spans="3:3" x14ac:dyDescent="0.35">
      <c r="C1712" s="1"/>
    </row>
    <row r="1713" spans="3:3" x14ac:dyDescent="0.35">
      <c r="C1713" s="1"/>
    </row>
    <row r="1714" spans="3:3" x14ac:dyDescent="0.35">
      <c r="C1714" s="1"/>
    </row>
    <row r="1715" spans="3:3" x14ac:dyDescent="0.35">
      <c r="C1715" s="1"/>
    </row>
    <row r="1716" spans="3:3" x14ac:dyDescent="0.35">
      <c r="C1716" s="1"/>
    </row>
    <row r="1717" spans="3:3" x14ac:dyDescent="0.35">
      <c r="C1717" s="1"/>
    </row>
    <row r="1718" spans="3:3" x14ac:dyDescent="0.35">
      <c r="C1718" s="1"/>
    </row>
    <row r="1719" spans="3:3" x14ac:dyDescent="0.35">
      <c r="C1719" s="1"/>
    </row>
    <row r="1720" spans="3:3" x14ac:dyDescent="0.35">
      <c r="C1720" s="1"/>
    </row>
    <row r="1721" spans="3:3" x14ac:dyDescent="0.35">
      <c r="C1721" s="1"/>
    </row>
    <row r="1722" spans="3:3" x14ac:dyDescent="0.35">
      <c r="C1722" s="1"/>
    </row>
    <row r="1723" spans="3:3" x14ac:dyDescent="0.35">
      <c r="C1723" s="1"/>
    </row>
    <row r="1724" spans="3:3" x14ac:dyDescent="0.35">
      <c r="C1724" s="1"/>
    </row>
    <row r="1725" spans="3:3" x14ac:dyDescent="0.35">
      <c r="C1725" s="1"/>
    </row>
    <row r="1726" spans="3:3" x14ac:dyDescent="0.35">
      <c r="C1726" s="1"/>
    </row>
    <row r="1727" spans="3:3" x14ac:dyDescent="0.35">
      <c r="C1727" s="1"/>
    </row>
    <row r="1728" spans="3:3" x14ac:dyDescent="0.35">
      <c r="C1728" s="1"/>
    </row>
    <row r="1729" spans="3:3" x14ac:dyDescent="0.35">
      <c r="C1729" s="1"/>
    </row>
    <row r="1730" spans="3:3" x14ac:dyDescent="0.35">
      <c r="C1730" s="1"/>
    </row>
    <row r="1731" spans="3:3" x14ac:dyDescent="0.35">
      <c r="C1731" s="1"/>
    </row>
    <row r="1732" spans="3:3" x14ac:dyDescent="0.35">
      <c r="C1732" s="1"/>
    </row>
    <row r="1733" spans="3:3" x14ac:dyDescent="0.35">
      <c r="C1733" s="1"/>
    </row>
    <row r="1734" spans="3:3" x14ac:dyDescent="0.35">
      <c r="C1734" s="1"/>
    </row>
    <row r="1735" spans="3:3" x14ac:dyDescent="0.35">
      <c r="C1735" s="1"/>
    </row>
    <row r="1736" spans="3:3" x14ac:dyDescent="0.35">
      <c r="C1736" s="1"/>
    </row>
    <row r="1737" spans="3:3" x14ac:dyDescent="0.35">
      <c r="C1737" s="1"/>
    </row>
    <row r="1738" spans="3:3" x14ac:dyDescent="0.35">
      <c r="C1738" s="1"/>
    </row>
    <row r="1739" spans="3:3" x14ac:dyDescent="0.35">
      <c r="C1739" s="1"/>
    </row>
    <row r="1740" spans="3:3" x14ac:dyDescent="0.35">
      <c r="C1740" s="1"/>
    </row>
    <row r="1741" spans="3:3" x14ac:dyDescent="0.35">
      <c r="C1741" s="1"/>
    </row>
    <row r="1742" spans="3:3" x14ac:dyDescent="0.35">
      <c r="C1742" s="1"/>
    </row>
    <row r="1743" spans="3:3" x14ac:dyDescent="0.35">
      <c r="C1743" s="1"/>
    </row>
    <row r="1744" spans="3:3" x14ac:dyDescent="0.35">
      <c r="C1744" s="1"/>
    </row>
    <row r="1745" spans="3:3" x14ac:dyDescent="0.35">
      <c r="C1745" s="1"/>
    </row>
    <row r="1746" spans="3:3" x14ac:dyDescent="0.35">
      <c r="C1746" s="1"/>
    </row>
    <row r="1747" spans="3:3" x14ac:dyDescent="0.35">
      <c r="C1747" s="1"/>
    </row>
    <row r="1748" spans="3:3" x14ac:dyDescent="0.35">
      <c r="C1748" s="1"/>
    </row>
    <row r="1749" spans="3:3" x14ac:dyDescent="0.35">
      <c r="C1749" s="1"/>
    </row>
    <row r="1750" spans="3:3" x14ac:dyDescent="0.35">
      <c r="C1750" s="1"/>
    </row>
    <row r="1751" spans="3:3" x14ac:dyDescent="0.35">
      <c r="C1751" s="1"/>
    </row>
    <row r="1752" spans="3:3" x14ac:dyDescent="0.35">
      <c r="C1752" s="1"/>
    </row>
    <row r="1753" spans="3:3" x14ac:dyDescent="0.35">
      <c r="C1753" s="1"/>
    </row>
    <row r="1754" spans="3:3" x14ac:dyDescent="0.35">
      <c r="C1754" s="1"/>
    </row>
    <row r="1755" spans="3:3" x14ac:dyDescent="0.35">
      <c r="C1755" s="1"/>
    </row>
    <row r="1756" spans="3:3" x14ac:dyDescent="0.35">
      <c r="C1756" s="1"/>
    </row>
    <row r="1757" spans="3:3" x14ac:dyDescent="0.35">
      <c r="C1757" s="1"/>
    </row>
    <row r="1758" spans="3:3" x14ac:dyDescent="0.35">
      <c r="C1758" s="1"/>
    </row>
    <row r="1759" spans="3:3" x14ac:dyDescent="0.35">
      <c r="C1759" s="1"/>
    </row>
    <row r="1760" spans="3:3" x14ac:dyDescent="0.35">
      <c r="C1760" s="1"/>
    </row>
    <row r="1761" spans="3:3" x14ac:dyDescent="0.35">
      <c r="C1761" s="1"/>
    </row>
    <row r="1762" spans="3:3" x14ac:dyDescent="0.35">
      <c r="C1762" s="1"/>
    </row>
    <row r="1763" spans="3:3" x14ac:dyDescent="0.35">
      <c r="C1763" s="1"/>
    </row>
    <row r="1764" spans="3:3" x14ac:dyDescent="0.35">
      <c r="C1764" s="1"/>
    </row>
    <row r="1765" spans="3:3" x14ac:dyDescent="0.35">
      <c r="C1765" s="1"/>
    </row>
    <row r="1766" spans="3:3" x14ac:dyDescent="0.35">
      <c r="C1766" s="1"/>
    </row>
    <row r="1767" spans="3:3" x14ac:dyDescent="0.35">
      <c r="C1767" s="1"/>
    </row>
    <row r="1768" spans="3:3" x14ac:dyDescent="0.35">
      <c r="C1768" s="1"/>
    </row>
    <row r="1769" spans="3:3" x14ac:dyDescent="0.35">
      <c r="C1769" s="1"/>
    </row>
    <row r="1770" spans="3:3" x14ac:dyDescent="0.35">
      <c r="C1770" s="1"/>
    </row>
    <row r="1771" spans="3:3" x14ac:dyDescent="0.35">
      <c r="C1771" s="1"/>
    </row>
    <row r="1772" spans="3:3" x14ac:dyDescent="0.35">
      <c r="C1772" s="1"/>
    </row>
    <row r="1773" spans="3:3" x14ac:dyDescent="0.35">
      <c r="C1773" s="1"/>
    </row>
    <row r="1774" spans="3:3" x14ac:dyDescent="0.35">
      <c r="C1774" s="1"/>
    </row>
    <row r="1775" spans="3:3" x14ac:dyDescent="0.35">
      <c r="C1775" s="1"/>
    </row>
    <row r="1776" spans="3:3" x14ac:dyDescent="0.35">
      <c r="C1776" s="1"/>
    </row>
    <row r="1777" spans="3:3" x14ac:dyDescent="0.35">
      <c r="C1777" s="1"/>
    </row>
    <row r="1778" spans="3:3" x14ac:dyDescent="0.35">
      <c r="C1778" s="1"/>
    </row>
    <row r="1779" spans="3:3" x14ac:dyDescent="0.35">
      <c r="C1779" s="1"/>
    </row>
    <row r="1780" spans="3:3" x14ac:dyDescent="0.35">
      <c r="C1780" s="1"/>
    </row>
    <row r="1781" spans="3:3" x14ac:dyDescent="0.35">
      <c r="C1781" s="1"/>
    </row>
    <row r="1782" spans="3:3" x14ac:dyDescent="0.35">
      <c r="C1782" s="1"/>
    </row>
    <row r="1783" spans="3:3" x14ac:dyDescent="0.35">
      <c r="C1783" s="1"/>
    </row>
    <row r="1784" spans="3:3" x14ac:dyDescent="0.35">
      <c r="C1784" s="1"/>
    </row>
    <row r="1785" spans="3:3" x14ac:dyDescent="0.35">
      <c r="C1785" s="1"/>
    </row>
    <row r="1786" spans="3:3" x14ac:dyDescent="0.35">
      <c r="C1786" s="1"/>
    </row>
    <row r="1787" spans="3:3" x14ac:dyDescent="0.35">
      <c r="C1787" s="1"/>
    </row>
    <row r="1788" spans="3:3" x14ac:dyDescent="0.35">
      <c r="C1788" s="1"/>
    </row>
    <row r="1789" spans="3:3" x14ac:dyDescent="0.35">
      <c r="C1789" s="1"/>
    </row>
    <row r="1790" spans="3:3" x14ac:dyDescent="0.35">
      <c r="C1790" s="1"/>
    </row>
    <row r="1791" spans="3:3" x14ac:dyDescent="0.35">
      <c r="C1791" s="1"/>
    </row>
    <row r="1792" spans="3:3" x14ac:dyDescent="0.35">
      <c r="C1792" s="1"/>
    </row>
    <row r="1793" spans="3:3" x14ac:dyDescent="0.35">
      <c r="C1793" s="1"/>
    </row>
    <row r="1794" spans="3:3" x14ac:dyDescent="0.35">
      <c r="C1794" s="1"/>
    </row>
    <row r="1795" spans="3:3" x14ac:dyDescent="0.35">
      <c r="C1795" s="1"/>
    </row>
    <row r="1796" spans="3:3" x14ac:dyDescent="0.35">
      <c r="C1796" s="1"/>
    </row>
    <row r="1797" spans="3:3" x14ac:dyDescent="0.35">
      <c r="C1797" s="1"/>
    </row>
    <row r="1798" spans="3:3" x14ac:dyDescent="0.35">
      <c r="C1798" s="1"/>
    </row>
    <row r="1799" spans="3:3" x14ac:dyDescent="0.35">
      <c r="C1799" s="1"/>
    </row>
    <row r="1800" spans="3:3" x14ac:dyDescent="0.35">
      <c r="C1800" s="1"/>
    </row>
    <row r="1801" spans="3:3" x14ac:dyDescent="0.35">
      <c r="C1801" s="1"/>
    </row>
    <row r="1802" spans="3:3" x14ac:dyDescent="0.35">
      <c r="C1802" s="1"/>
    </row>
    <row r="1803" spans="3:3" x14ac:dyDescent="0.35">
      <c r="C1803" s="1"/>
    </row>
    <row r="1804" spans="3:3" x14ac:dyDescent="0.35">
      <c r="C1804" s="1"/>
    </row>
    <row r="1805" spans="3:3" x14ac:dyDescent="0.35">
      <c r="C1805" s="1"/>
    </row>
    <row r="1806" spans="3:3" x14ac:dyDescent="0.35">
      <c r="C1806" s="1"/>
    </row>
    <row r="1807" spans="3:3" x14ac:dyDescent="0.35">
      <c r="C1807" s="1"/>
    </row>
    <row r="1808" spans="3:3" x14ac:dyDescent="0.35">
      <c r="C1808" s="1"/>
    </row>
    <row r="1809" spans="3:3" x14ac:dyDescent="0.35">
      <c r="C1809" s="1"/>
    </row>
    <row r="1810" spans="3:3" x14ac:dyDescent="0.35">
      <c r="C1810" s="1"/>
    </row>
    <row r="1811" spans="3:3" x14ac:dyDescent="0.35">
      <c r="C1811" s="1"/>
    </row>
    <row r="1812" spans="3:3" x14ac:dyDescent="0.35">
      <c r="C1812" s="1"/>
    </row>
    <row r="1813" spans="3:3" x14ac:dyDescent="0.35">
      <c r="C1813" s="1"/>
    </row>
    <row r="1814" spans="3:3" x14ac:dyDescent="0.35">
      <c r="C1814" s="1"/>
    </row>
    <row r="1815" spans="3:3" x14ac:dyDescent="0.35">
      <c r="C1815" s="1"/>
    </row>
    <row r="1816" spans="3:3" x14ac:dyDescent="0.35">
      <c r="C1816" s="1"/>
    </row>
    <row r="1817" spans="3:3" x14ac:dyDescent="0.35">
      <c r="C1817" s="1"/>
    </row>
    <row r="1818" spans="3:3" x14ac:dyDescent="0.35">
      <c r="C1818" s="1"/>
    </row>
    <row r="1819" spans="3:3" x14ac:dyDescent="0.35">
      <c r="C1819" s="1"/>
    </row>
    <row r="1820" spans="3:3" x14ac:dyDescent="0.35">
      <c r="C1820" s="1"/>
    </row>
    <row r="1821" spans="3:3" x14ac:dyDescent="0.35">
      <c r="C1821" s="1"/>
    </row>
    <row r="1822" spans="3:3" x14ac:dyDescent="0.35">
      <c r="C1822" s="1"/>
    </row>
    <row r="1823" spans="3:3" x14ac:dyDescent="0.35">
      <c r="C1823" s="1"/>
    </row>
    <row r="1824" spans="3:3" x14ac:dyDescent="0.35">
      <c r="C1824" s="1"/>
    </row>
    <row r="1825" spans="3:3" x14ac:dyDescent="0.35">
      <c r="C1825" s="1"/>
    </row>
    <row r="1826" spans="3:3" x14ac:dyDescent="0.35">
      <c r="C1826" s="1"/>
    </row>
    <row r="1827" spans="3:3" x14ac:dyDescent="0.35">
      <c r="C1827" s="1"/>
    </row>
    <row r="1828" spans="3:3" x14ac:dyDescent="0.35">
      <c r="C1828" s="1"/>
    </row>
    <row r="1829" spans="3:3" x14ac:dyDescent="0.35">
      <c r="C1829" s="1"/>
    </row>
    <row r="1830" spans="3:3" x14ac:dyDescent="0.35">
      <c r="C1830" s="1"/>
    </row>
    <row r="1831" spans="3:3" x14ac:dyDescent="0.35">
      <c r="C1831" s="1"/>
    </row>
    <row r="1832" spans="3:3" x14ac:dyDescent="0.35">
      <c r="C1832" s="1"/>
    </row>
    <row r="1833" spans="3:3" x14ac:dyDescent="0.35">
      <c r="C1833" s="1"/>
    </row>
    <row r="1834" spans="3:3" x14ac:dyDescent="0.35">
      <c r="C1834" s="1"/>
    </row>
    <row r="1835" spans="3:3" x14ac:dyDescent="0.35">
      <c r="C1835" s="1"/>
    </row>
    <row r="1836" spans="3:3" x14ac:dyDescent="0.35">
      <c r="C1836" s="1"/>
    </row>
    <row r="1837" spans="3:3" x14ac:dyDescent="0.35">
      <c r="C1837" s="1"/>
    </row>
    <row r="1838" spans="3:3" x14ac:dyDescent="0.35">
      <c r="C1838" s="1"/>
    </row>
    <row r="1839" spans="3:3" x14ac:dyDescent="0.35">
      <c r="C1839" s="1"/>
    </row>
    <row r="1840" spans="3:3" x14ac:dyDescent="0.35">
      <c r="C1840" s="1"/>
    </row>
    <row r="1841" spans="3:3" x14ac:dyDescent="0.35">
      <c r="C1841" s="1"/>
    </row>
    <row r="1842" spans="3:3" x14ac:dyDescent="0.35">
      <c r="C1842" s="1"/>
    </row>
    <row r="1843" spans="3:3" x14ac:dyDescent="0.35">
      <c r="C1843" s="1"/>
    </row>
    <row r="1844" spans="3:3" x14ac:dyDescent="0.35">
      <c r="C1844" s="1"/>
    </row>
    <row r="1845" spans="3:3" x14ac:dyDescent="0.35">
      <c r="C1845" s="1"/>
    </row>
    <row r="1846" spans="3:3" x14ac:dyDescent="0.35">
      <c r="C1846" s="1"/>
    </row>
    <row r="1847" spans="3:3" x14ac:dyDescent="0.35">
      <c r="C1847" s="1"/>
    </row>
    <row r="1848" spans="3:3" x14ac:dyDescent="0.35">
      <c r="C1848" s="1"/>
    </row>
    <row r="1849" spans="3:3" x14ac:dyDescent="0.35">
      <c r="C1849" s="1"/>
    </row>
    <row r="1850" spans="3:3" x14ac:dyDescent="0.35">
      <c r="C1850" s="1"/>
    </row>
    <row r="1851" spans="3:3" x14ac:dyDescent="0.35">
      <c r="C1851" s="1"/>
    </row>
    <row r="1852" spans="3:3" x14ac:dyDescent="0.35">
      <c r="C1852" s="1"/>
    </row>
    <row r="1853" spans="3:3" x14ac:dyDescent="0.35">
      <c r="C1853" s="1"/>
    </row>
    <row r="1854" spans="3:3" x14ac:dyDescent="0.35">
      <c r="C1854" s="1"/>
    </row>
    <row r="1855" spans="3:3" x14ac:dyDescent="0.35">
      <c r="C1855" s="1"/>
    </row>
    <row r="1856" spans="3:3" x14ac:dyDescent="0.35">
      <c r="C1856" s="1"/>
    </row>
    <row r="1857" spans="3:3" x14ac:dyDescent="0.35">
      <c r="C1857" s="1"/>
    </row>
    <row r="1858" spans="3:3" x14ac:dyDescent="0.35">
      <c r="C1858" s="1"/>
    </row>
    <row r="1859" spans="3:3" x14ac:dyDescent="0.35">
      <c r="C1859" s="1"/>
    </row>
    <row r="1860" spans="3:3" x14ac:dyDescent="0.35">
      <c r="C1860" s="1"/>
    </row>
    <row r="1861" spans="3:3" x14ac:dyDescent="0.35">
      <c r="C1861" s="1"/>
    </row>
    <row r="1862" spans="3:3" x14ac:dyDescent="0.35">
      <c r="C1862" s="1"/>
    </row>
    <row r="1863" spans="3:3" x14ac:dyDescent="0.35">
      <c r="C1863" s="1"/>
    </row>
    <row r="1864" spans="3:3" x14ac:dyDescent="0.35">
      <c r="C1864" s="1"/>
    </row>
    <row r="1865" spans="3:3" x14ac:dyDescent="0.35">
      <c r="C1865" s="1"/>
    </row>
    <row r="1866" spans="3:3" x14ac:dyDescent="0.35">
      <c r="C1866" s="1"/>
    </row>
    <row r="1867" spans="3:3" x14ac:dyDescent="0.35">
      <c r="C1867" s="1"/>
    </row>
    <row r="1868" spans="3:3" x14ac:dyDescent="0.35">
      <c r="C1868" s="1"/>
    </row>
    <row r="1869" spans="3:3" x14ac:dyDescent="0.35">
      <c r="C1869" s="1"/>
    </row>
    <row r="1870" spans="3:3" x14ac:dyDescent="0.35">
      <c r="C1870" s="1"/>
    </row>
    <row r="1871" spans="3:3" x14ac:dyDescent="0.35">
      <c r="C1871" s="1"/>
    </row>
    <row r="1872" spans="3:3" x14ac:dyDescent="0.35">
      <c r="C1872" s="1"/>
    </row>
    <row r="1873" spans="3:3" x14ac:dyDescent="0.35">
      <c r="C1873" s="1"/>
    </row>
    <row r="1874" spans="3:3" x14ac:dyDescent="0.35">
      <c r="C1874" s="1"/>
    </row>
    <row r="1875" spans="3:3" x14ac:dyDescent="0.35">
      <c r="C1875" s="1"/>
    </row>
    <row r="1876" spans="3:3" x14ac:dyDescent="0.35">
      <c r="C1876" s="1"/>
    </row>
    <row r="1877" spans="3:3" x14ac:dyDescent="0.35">
      <c r="C1877" s="1"/>
    </row>
    <row r="1878" spans="3:3" x14ac:dyDescent="0.35">
      <c r="C1878" s="1"/>
    </row>
    <row r="1879" spans="3:3" x14ac:dyDescent="0.35">
      <c r="C1879" s="1"/>
    </row>
    <row r="1880" spans="3:3" x14ac:dyDescent="0.35">
      <c r="C1880" s="1"/>
    </row>
    <row r="1881" spans="3:3" x14ac:dyDescent="0.35">
      <c r="C1881" s="1"/>
    </row>
    <row r="1882" spans="3:3" x14ac:dyDescent="0.35">
      <c r="C1882" s="1"/>
    </row>
    <row r="1883" spans="3:3" x14ac:dyDescent="0.35">
      <c r="C1883" s="1"/>
    </row>
    <row r="1884" spans="3:3" x14ac:dyDescent="0.35">
      <c r="C1884" s="1"/>
    </row>
    <row r="1885" spans="3:3" x14ac:dyDescent="0.35">
      <c r="C1885" s="1"/>
    </row>
    <row r="1886" spans="3:3" x14ac:dyDescent="0.35">
      <c r="C1886" s="1"/>
    </row>
    <row r="1887" spans="3:3" x14ac:dyDescent="0.35">
      <c r="C1887" s="1"/>
    </row>
    <row r="1888" spans="3:3" x14ac:dyDescent="0.35">
      <c r="C1888" s="1"/>
    </row>
    <row r="1889" spans="3:3" x14ac:dyDescent="0.35">
      <c r="C1889" s="1"/>
    </row>
    <row r="1890" spans="3:3" x14ac:dyDescent="0.35">
      <c r="C1890" s="1"/>
    </row>
    <row r="1891" spans="3:3" x14ac:dyDescent="0.35">
      <c r="C1891" s="1"/>
    </row>
    <row r="1892" spans="3:3" x14ac:dyDescent="0.35">
      <c r="C1892" s="1"/>
    </row>
    <row r="1893" spans="3:3" x14ac:dyDescent="0.35">
      <c r="C1893" s="1"/>
    </row>
    <row r="1894" spans="3:3" x14ac:dyDescent="0.35">
      <c r="C1894" s="1"/>
    </row>
    <row r="1895" spans="3:3" x14ac:dyDescent="0.35">
      <c r="C1895" s="1"/>
    </row>
    <row r="1896" spans="3:3" x14ac:dyDescent="0.35">
      <c r="C1896" s="1"/>
    </row>
    <row r="1897" spans="3:3" x14ac:dyDescent="0.35">
      <c r="C1897" s="1"/>
    </row>
    <row r="1898" spans="3:3" x14ac:dyDescent="0.35">
      <c r="C1898" s="1"/>
    </row>
    <row r="1899" spans="3:3" x14ac:dyDescent="0.35">
      <c r="C1899" s="1"/>
    </row>
    <row r="1900" spans="3:3" x14ac:dyDescent="0.35">
      <c r="C1900" s="1"/>
    </row>
    <row r="1901" spans="3:3" x14ac:dyDescent="0.35">
      <c r="C1901" s="1"/>
    </row>
    <row r="1902" spans="3:3" x14ac:dyDescent="0.35">
      <c r="C1902" s="1"/>
    </row>
    <row r="1903" spans="3:3" x14ac:dyDescent="0.35">
      <c r="C1903" s="1"/>
    </row>
    <row r="1904" spans="3:3" x14ac:dyDescent="0.35">
      <c r="C1904" s="1"/>
    </row>
    <row r="1905" spans="3:3" x14ac:dyDescent="0.35">
      <c r="C1905" s="1"/>
    </row>
    <row r="1906" spans="3:3" x14ac:dyDescent="0.35">
      <c r="C1906" s="1"/>
    </row>
    <row r="1907" spans="3:3" x14ac:dyDescent="0.35">
      <c r="C1907" s="1"/>
    </row>
    <row r="1908" spans="3:3" x14ac:dyDescent="0.35">
      <c r="C1908" s="1"/>
    </row>
    <row r="1909" spans="3:3" x14ac:dyDescent="0.35">
      <c r="C1909" s="1"/>
    </row>
    <row r="1910" spans="3:3" x14ac:dyDescent="0.35">
      <c r="C1910" s="1"/>
    </row>
    <row r="1911" spans="3:3" x14ac:dyDescent="0.35">
      <c r="C1911" s="1"/>
    </row>
    <row r="1912" spans="3:3" x14ac:dyDescent="0.35">
      <c r="C1912" s="1"/>
    </row>
    <row r="1913" spans="3:3" x14ac:dyDescent="0.35">
      <c r="C1913" s="1"/>
    </row>
    <row r="1914" spans="3:3" x14ac:dyDescent="0.35">
      <c r="C1914" s="1"/>
    </row>
    <row r="1915" spans="3:3" x14ac:dyDescent="0.35">
      <c r="C1915" s="1"/>
    </row>
    <row r="1916" spans="3:3" x14ac:dyDescent="0.35">
      <c r="C1916" s="1"/>
    </row>
    <row r="1917" spans="3:3" x14ac:dyDescent="0.35">
      <c r="C1917" s="1"/>
    </row>
    <row r="1918" spans="3:3" x14ac:dyDescent="0.35">
      <c r="C1918" s="1"/>
    </row>
    <row r="1919" spans="3:3" x14ac:dyDescent="0.35">
      <c r="C1919" s="1"/>
    </row>
    <row r="1920" spans="3:3" x14ac:dyDescent="0.35">
      <c r="C1920" s="1"/>
    </row>
    <row r="1921" spans="3:3" x14ac:dyDescent="0.35">
      <c r="C1921" s="1"/>
    </row>
    <row r="1922" spans="3:3" x14ac:dyDescent="0.35">
      <c r="C1922" s="1"/>
    </row>
    <row r="1923" spans="3:3" x14ac:dyDescent="0.35">
      <c r="C1923" s="1"/>
    </row>
    <row r="1924" spans="3:3" x14ac:dyDescent="0.35">
      <c r="C1924" s="1"/>
    </row>
    <row r="1925" spans="3:3" x14ac:dyDescent="0.35">
      <c r="C1925" s="1"/>
    </row>
    <row r="1926" spans="3:3" x14ac:dyDescent="0.35">
      <c r="C1926" s="1"/>
    </row>
    <row r="1927" spans="3:3" x14ac:dyDescent="0.35">
      <c r="C1927" s="1"/>
    </row>
    <row r="1928" spans="3:3" x14ac:dyDescent="0.35">
      <c r="C1928" s="1"/>
    </row>
    <row r="1929" spans="3:3" x14ac:dyDescent="0.35">
      <c r="C1929" s="1"/>
    </row>
    <row r="1930" spans="3:3" x14ac:dyDescent="0.35">
      <c r="C1930" s="1"/>
    </row>
    <row r="1931" spans="3:3" x14ac:dyDescent="0.35">
      <c r="C1931" s="1"/>
    </row>
    <row r="1932" spans="3:3" x14ac:dyDescent="0.35">
      <c r="C1932" s="1"/>
    </row>
    <row r="1933" spans="3:3" x14ac:dyDescent="0.35">
      <c r="C1933" s="1"/>
    </row>
    <row r="1934" spans="3:3" x14ac:dyDescent="0.35">
      <c r="C1934" s="1"/>
    </row>
    <row r="1935" spans="3:3" x14ac:dyDescent="0.35">
      <c r="C1935" s="1"/>
    </row>
    <row r="1936" spans="3:3" x14ac:dyDescent="0.35">
      <c r="C1936" s="1"/>
    </row>
    <row r="1937" spans="3:3" x14ac:dyDescent="0.35">
      <c r="C1937" s="1"/>
    </row>
    <row r="1938" spans="3:3" x14ac:dyDescent="0.35">
      <c r="C1938" s="1"/>
    </row>
    <row r="1939" spans="3:3" x14ac:dyDescent="0.35">
      <c r="C1939" s="1"/>
    </row>
    <row r="1940" spans="3:3" x14ac:dyDescent="0.35">
      <c r="C1940" s="1"/>
    </row>
    <row r="1941" spans="3:3" x14ac:dyDescent="0.35">
      <c r="C1941" s="1"/>
    </row>
    <row r="1942" spans="3:3" x14ac:dyDescent="0.35">
      <c r="C1942" s="1"/>
    </row>
    <row r="1943" spans="3:3" x14ac:dyDescent="0.35">
      <c r="C1943" s="1"/>
    </row>
    <row r="1944" spans="3:3" x14ac:dyDescent="0.35">
      <c r="C1944" s="1"/>
    </row>
    <row r="1945" spans="3:3" x14ac:dyDescent="0.35">
      <c r="C1945" s="1"/>
    </row>
    <row r="1946" spans="3:3" x14ac:dyDescent="0.35">
      <c r="C1946" s="1"/>
    </row>
    <row r="1947" spans="3:3" x14ac:dyDescent="0.35">
      <c r="C1947" s="1"/>
    </row>
    <row r="1948" spans="3:3" x14ac:dyDescent="0.35">
      <c r="C1948" s="1"/>
    </row>
    <row r="1949" spans="3:3" x14ac:dyDescent="0.35">
      <c r="C1949" s="1"/>
    </row>
    <row r="1950" spans="3:3" x14ac:dyDescent="0.35">
      <c r="C1950" s="1"/>
    </row>
    <row r="1951" spans="3:3" x14ac:dyDescent="0.35">
      <c r="C1951" s="1"/>
    </row>
    <row r="1952" spans="3:3" x14ac:dyDescent="0.35">
      <c r="C1952" s="1"/>
    </row>
    <row r="1953" spans="3:3" x14ac:dyDescent="0.35">
      <c r="C1953" s="1"/>
    </row>
    <row r="1954" spans="3:3" x14ac:dyDescent="0.35">
      <c r="C1954" s="1"/>
    </row>
    <row r="1955" spans="3:3" x14ac:dyDescent="0.35">
      <c r="C1955" s="1"/>
    </row>
    <row r="1956" spans="3:3" x14ac:dyDescent="0.35">
      <c r="C1956" s="1"/>
    </row>
    <row r="1957" spans="3:3" x14ac:dyDescent="0.35">
      <c r="C1957" s="1"/>
    </row>
    <row r="1958" spans="3:3" x14ac:dyDescent="0.35">
      <c r="C1958" s="1"/>
    </row>
    <row r="1959" spans="3:3" x14ac:dyDescent="0.35">
      <c r="C1959" s="1"/>
    </row>
    <row r="1960" spans="3:3" x14ac:dyDescent="0.35">
      <c r="C1960" s="1"/>
    </row>
    <row r="1961" spans="3:3" x14ac:dyDescent="0.35">
      <c r="C1961" s="1"/>
    </row>
    <row r="1962" spans="3:3" x14ac:dyDescent="0.35">
      <c r="C1962" s="1"/>
    </row>
    <row r="1963" spans="3:3" x14ac:dyDescent="0.35">
      <c r="C1963" s="1"/>
    </row>
    <row r="1964" spans="3:3" x14ac:dyDescent="0.35">
      <c r="C1964" s="1"/>
    </row>
    <row r="1965" spans="3:3" x14ac:dyDescent="0.35">
      <c r="C1965" s="1"/>
    </row>
    <row r="1966" spans="3:3" x14ac:dyDescent="0.35">
      <c r="C1966" s="1"/>
    </row>
    <row r="1967" spans="3:3" x14ac:dyDescent="0.35">
      <c r="C1967" s="1"/>
    </row>
    <row r="1968" spans="3:3" x14ac:dyDescent="0.35">
      <c r="C1968" s="1"/>
    </row>
    <row r="1969" spans="3:3" x14ac:dyDescent="0.35">
      <c r="C1969" s="1"/>
    </row>
    <row r="1970" spans="3:3" x14ac:dyDescent="0.35">
      <c r="C1970" s="1"/>
    </row>
    <row r="1971" spans="3:3" x14ac:dyDescent="0.35">
      <c r="C1971" s="1"/>
    </row>
    <row r="1972" spans="3:3" x14ac:dyDescent="0.35">
      <c r="C1972" s="1"/>
    </row>
    <row r="1973" spans="3:3" x14ac:dyDescent="0.35">
      <c r="C1973" s="1"/>
    </row>
    <row r="1974" spans="3:3" x14ac:dyDescent="0.35">
      <c r="C1974" s="1"/>
    </row>
    <row r="1975" spans="3:3" x14ac:dyDescent="0.35">
      <c r="C1975" s="1"/>
    </row>
    <row r="1976" spans="3:3" x14ac:dyDescent="0.35">
      <c r="C1976" s="1"/>
    </row>
    <row r="1977" spans="3:3" x14ac:dyDescent="0.35">
      <c r="C1977" s="1"/>
    </row>
    <row r="1978" spans="3:3" x14ac:dyDescent="0.35">
      <c r="C1978" s="1"/>
    </row>
    <row r="1979" spans="3:3" x14ac:dyDescent="0.35">
      <c r="C1979" s="1"/>
    </row>
    <row r="1980" spans="3:3" x14ac:dyDescent="0.35">
      <c r="C1980" s="1"/>
    </row>
    <row r="1981" spans="3:3" x14ac:dyDescent="0.35">
      <c r="C1981" s="1"/>
    </row>
    <row r="1982" spans="3:3" x14ac:dyDescent="0.35">
      <c r="C1982" s="1"/>
    </row>
    <row r="1983" spans="3:3" x14ac:dyDescent="0.35">
      <c r="C1983" s="1"/>
    </row>
    <row r="1984" spans="3:3" x14ac:dyDescent="0.35">
      <c r="C1984" s="1"/>
    </row>
    <row r="1985" spans="3:3" x14ac:dyDescent="0.35">
      <c r="C1985" s="1"/>
    </row>
    <row r="1986" spans="3:3" x14ac:dyDescent="0.35">
      <c r="C1986" s="1"/>
    </row>
    <row r="1987" spans="3:3" x14ac:dyDescent="0.35">
      <c r="C1987" s="1"/>
    </row>
    <row r="1988" spans="3:3" x14ac:dyDescent="0.35">
      <c r="C1988" s="1"/>
    </row>
    <row r="1989" spans="3:3" x14ac:dyDescent="0.35">
      <c r="C1989" s="1"/>
    </row>
    <row r="1990" spans="3:3" x14ac:dyDescent="0.35">
      <c r="C1990" s="1"/>
    </row>
    <row r="1991" spans="3:3" x14ac:dyDescent="0.35">
      <c r="C1991" s="1"/>
    </row>
    <row r="1992" spans="3:3" x14ac:dyDescent="0.35">
      <c r="C1992" s="1"/>
    </row>
    <row r="1993" spans="3:3" x14ac:dyDescent="0.35">
      <c r="C1993" s="1"/>
    </row>
    <row r="1994" spans="3:3" x14ac:dyDescent="0.35">
      <c r="C1994" s="1"/>
    </row>
    <row r="1995" spans="3:3" x14ac:dyDescent="0.35">
      <c r="C1995" s="1"/>
    </row>
    <row r="1996" spans="3:3" x14ac:dyDescent="0.35">
      <c r="C1996" s="1"/>
    </row>
    <row r="1997" spans="3:3" x14ac:dyDescent="0.35">
      <c r="C1997" s="1"/>
    </row>
    <row r="1998" spans="3:3" x14ac:dyDescent="0.35">
      <c r="C1998" s="1"/>
    </row>
    <row r="1999" spans="3:3" x14ac:dyDescent="0.35">
      <c r="C1999" s="1"/>
    </row>
    <row r="2000" spans="3:3" x14ac:dyDescent="0.35">
      <c r="C2000" s="1"/>
    </row>
    <row r="2001" spans="3:3" x14ac:dyDescent="0.35">
      <c r="C2001" s="1"/>
    </row>
    <row r="2002" spans="3:3" x14ac:dyDescent="0.35">
      <c r="C2002" s="1"/>
    </row>
    <row r="2003" spans="3:3" x14ac:dyDescent="0.35">
      <c r="C2003" s="1"/>
    </row>
    <row r="2004" spans="3:3" x14ac:dyDescent="0.35">
      <c r="C2004" s="1"/>
    </row>
    <row r="2005" spans="3:3" x14ac:dyDescent="0.35">
      <c r="C2005" s="1"/>
    </row>
    <row r="2006" spans="3:3" x14ac:dyDescent="0.35">
      <c r="C2006" s="1"/>
    </row>
    <row r="2007" spans="3:3" x14ac:dyDescent="0.35">
      <c r="C2007" s="1"/>
    </row>
    <row r="2008" spans="3:3" x14ac:dyDescent="0.35">
      <c r="C2008" s="1"/>
    </row>
    <row r="2009" spans="3:3" x14ac:dyDescent="0.35">
      <c r="C2009" s="1"/>
    </row>
    <row r="2010" spans="3:3" x14ac:dyDescent="0.35">
      <c r="C2010" s="1"/>
    </row>
    <row r="2011" spans="3:3" x14ac:dyDescent="0.35">
      <c r="C2011" s="1"/>
    </row>
    <row r="2012" spans="3:3" x14ac:dyDescent="0.35">
      <c r="C2012" s="1"/>
    </row>
    <row r="2013" spans="3:3" x14ac:dyDescent="0.35">
      <c r="C2013" s="1"/>
    </row>
    <row r="2014" spans="3:3" x14ac:dyDescent="0.35">
      <c r="C2014" s="1"/>
    </row>
    <row r="2015" spans="3:3" x14ac:dyDescent="0.35">
      <c r="C2015" s="1"/>
    </row>
    <row r="2016" spans="3:3" x14ac:dyDescent="0.35">
      <c r="C2016" s="1"/>
    </row>
    <row r="2017" spans="3:3" x14ac:dyDescent="0.35">
      <c r="C2017" s="1"/>
    </row>
    <row r="2018" spans="3:3" x14ac:dyDescent="0.35">
      <c r="C2018" s="1"/>
    </row>
    <row r="2019" spans="3:3" x14ac:dyDescent="0.35">
      <c r="C2019" s="1"/>
    </row>
    <row r="2020" spans="3:3" x14ac:dyDescent="0.35">
      <c r="C2020" s="1"/>
    </row>
    <row r="2021" spans="3:3" x14ac:dyDescent="0.35">
      <c r="C2021" s="1"/>
    </row>
    <row r="2022" spans="3:3" x14ac:dyDescent="0.35">
      <c r="C2022" s="1"/>
    </row>
    <row r="2023" spans="3:3" x14ac:dyDescent="0.35">
      <c r="C2023" s="1"/>
    </row>
    <row r="2024" spans="3:3" x14ac:dyDescent="0.35">
      <c r="C2024" s="1"/>
    </row>
    <row r="2025" spans="3:3" x14ac:dyDescent="0.35">
      <c r="C2025" s="1"/>
    </row>
    <row r="2026" spans="3:3" x14ac:dyDescent="0.35">
      <c r="C2026" s="1"/>
    </row>
    <row r="2027" spans="3:3" x14ac:dyDescent="0.35">
      <c r="C2027" s="1"/>
    </row>
    <row r="2028" spans="3:3" x14ac:dyDescent="0.35">
      <c r="C2028" s="1"/>
    </row>
    <row r="2029" spans="3:3" x14ac:dyDescent="0.35">
      <c r="C2029" s="1"/>
    </row>
    <row r="2030" spans="3:3" x14ac:dyDescent="0.35">
      <c r="C2030" s="1"/>
    </row>
    <row r="2031" spans="3:3" x14ac:dyDescent="0.35">
      <c r="C2031" s="1"/>
    </row>
    <row r="2032" spans="3:3" x14ac:dyDescent="0.35">
      <c r="C2032" s="1"/>
    </row>
    <row r="2033" spans="3:3" x14ac:dyDescent="0.35">
      <c r="C2033" s="1"/>
    </row>
    <row r="2034" spans="3:3" x14ac:dyDescent="0.35">
      <c r="C2034" s="1"/>
    </row>
    <row r="2035" spans="3:3" x14ac:dyDescent="0.35">
      <c r="C2035" s="1"/>
    </row>
    <row r="2036" spans="3:3" x14ac:dyDescent="0.35">
      <c r="C2036" s="1"/>
    </row>
    <row r="2037" spans="3:3" x14ac:dyDescent="0.35">
      <c r="C2037" s="1"/>
    </row>
    <row r="2038" spans="3:3" x14ac:dyDescent="0.35">
      <c r="C2038" s="1"/>
    </row>
    <row r="2039" spans="3:3" x14ac:dyDescent="0.35">
      <c r="C2039" s="1"/>
    </row>
    <row r="2040" spans="3:3" x14ac:dyDescent="0.35">
      <c r="C2040" s="1"/>
    </row>
    <row r="2041" spans="3:3" x14ac:dyDescent="0.35">
      <c r="C2041" s="1"/>
    </row>
    <row r="2042" spans="3:3" x14ac:dyDescent="0.35">
      <c r="C2042" s="1"/>
    </row>
    <row r="2043" spans="3:3" x14ac:dyDescent="0.35">
      <c r="C2043" s="1"/>
    </row>
    <row r="2044" spans="3:3" x14ac:dyDescent="0.35">
      <c r="C2044" s="1"/>
    </row>
    <row r="2045" spans="3:3" x14ac:dyDescent="0.35">
      <c r="C2045" s="1"/>
    </row>
    <row r="2046" spans="3:3" x14ac:dyDescent="0.35">
      <c r="C2046" s="1"/>
    </row>
    <row r="2047" spans="3:3" x14ac:dyDescent="0.35">
      <c r="C2047" s="1"/>
    </row>
    <row r="2048" spans="3:3" x14ac:dyDescent="0.35">
      <c r="C2048" s="1"/>
    </row>
    <row r="2049" spans="3:3" x14ac:dyDescent="0.35">
      <c r="C2049" s="1"/>
    </row>
    <row r="2050" spans="3:3" x14ac:dyDescent="0.35">
      <c r="C2050" s="1"/>
    </row>
    <row r="2051" spans="3:3" x14ac:dyDescent="0.35">
      <c r="C2051" s="1"/>
    </row>
    <row r="2052" spans="3:3" x14ac:dyDescent="0.35">
      <c r="C2052" s="1"/>
    </row>
    <row r="2053" spans="3:3" x14ac:dyDescent="0.35">
      <c r="C2053" s="1"/>
    </row>
    <row r="2054" spans="3:3" x14ac:dyDescent="0.35">
      <c r="C2054" s="1"/>
    </row>
    <row r="2055" spans="3:3" x14ac:dyDescent="0.35">
      <c r="C2055" s="1"/>
    </row>
    <row r="2056" spans="3:3" x14ac:dyDescent="0.35">
      <c r="C2056" s="1"/>
    </row>
    <row r="2057" spans="3:3" x14ac:dyDescent="0.35">
      <c r="C2057" s="1"/>
    </row>
    <row r="2058" spans="3:3" x14ac:dyDescent="0.35">
      <c r="C2058" s="1"/>
    </row>
    <row r="2059" spans="3:3" x14ac:dyDescent="0.35">
      <c r="C2059" s="1"/>
    </row>
    <row r="2060" spans="3:3" x14ac:dyDescent="0.35">
      <c r="C2060" s="1"/>
    </row>
    <row r="2061" spans="3:3" x14ac:dyDescent="0.35">
      <c r="C2061" s="1"/>
    </row>
    <row r="2062" spans="3:3" x14ac:dyDescent="0.35">
      <c r="C2062" s="1"/>
    </row>
    <row r="2063" spans="3:3" x14ac:dyDescent="0.35">
      <c r="C2063" s="1"/>
    </row>
    <row r="2064" spans="3:3" x14ac:dyDescent="0.35">
      <c r="C2064" s="1"/>
    </row>
    <row r="2065" spans="3:3" x14ac:dyDescent="0.35">
      <c r="C2065" s="1"/>
    </row>
    <row r="2066" spans="3:3" x14ac:dyDescent="0.35">
      <c r="C2066" s="1"/>
    </row>
    <row r="2067" spans="3:3" x14ac:dyDescent="0.35">
      <c r="C2067" s="1"/>
    </row>
    <row r="2068" spans="3:3" x14ac:dyDescent="0.35">
      <c r="C2068" s="1"/>
    </row>
    <row r="2069" spans="3:3" x14ac:dyDescent="0.35">
      <c r="C2069" s="1"/>
    </row>
    <row r="2070" spans="3:3" x14ac:dyDescent="0.35">
      <c r="C2070" s="1"/>
    </row>
    <row r="2071" spans="3:3" x14ac:dyDescent="0.35">
      <c r="C2071" s="1"/>
    </row>
    <row r="2072" spans="3:3" x14ac:dyDescent="0.35">
      <c r="C2072" s="1"/>
    </row>
    <row r="2073" spans="3:3" x14ac:dyDescent="0.35">
      <c r="C2073" s="1"/>
    </row>
    <row r="2074" spans="3:3" x14ac:dyDescent="0.35">
      <c r="C2074" s="1"/>
    </row>
    <row r="2075" spans="3:3" x14ac:dyDescent="0.35">
      <c r="C2075" s="1"/>
    </row>
    <row r="2076" spans="3:3" x14ac:dyDescent="0.35">
      <c r="C2076" s="1"/>
    </row>
    <row r="2077" spans="3:3" x14ac:dyDescent="0.35">
      <c r="C2077" s="1"/>
    </row>
    <row r="2078" spans="3:3" x14ac:dyDescent="0.35">
      <c r="C2078" s="1"/>
    </row>
    <row r="2079" spans="3:3" x14ac:dyDescent="0.35">
      <c r="C2079" s="1"/>
    </row>
    <row r="2080" spans="3:3" x14ac:dyDescent="0.35">
      <c r="C2080" s="1"/>
    </row>
    <row r="2081" spans="3:3" x14ac:dyDescent="0.35">
      <c r="C2081" s="1"/>
    </row>
    <row r="2082" spans="3:3" x14ac:dyDescent="0.35">
      <c r="C2082" s="1"/>
    </row>
    <row r="2083" spans="3:3" x14ac:dyDescent="0.35">
      <c r="C2083" s="1"/>
    </row>
    <row r="2084" spans="3:3" x14ac:dyDescent="0.35">
      <c r="C2084" s="1"/>
    </row>
    <row r="2085" spans="3:3" x14ac:dyDescent="0.35">
      <c r="C2085" s="1"/>
    </row>
    <row r="2086" spans="3:3" x14ac:dyDescent="0.35">
      <c r="C2086" s="1"/>
    </row>
    <row r="2087" spans="3:3" x14ac:dyDescent="0.35">
      <c r="C2087" s="1"/>
    </row>
    <row r="2088" spans="3:3" x14ac:dyDescent="0.35">
      <c r="C2088" s="1"/>
    </row>
    <row r="2089" spans="3:3" x14ac:dyDescent="0.35">
      <c r="C2089" s="1"/>
    </row>
    <row r="2090" spans="3:3" x14ac:dyDescent="0.35">
      <c r="C2090" s="1"/>
    </row>
    <row r="2091" spans="3:3" x14ac:dyDescent="0.35">
      <c r="C2091" s="1"/>
    </row>
    <row r="2092" spans="3:3" x14ac:dyDescent="0.35">
      <c r="C2092" s="1"/>
    </row>
    <row r="2093" spans="3:3" x14ac:dyDescent="0.35">
      <c r="C2093" s="1"/>
    </row>
    <row r="2094" spans="3:3" x14ac:dyDescent="0.35">
      <c r="C2094" s="1"/>
    </row>
    <row r="2095" spans="3:3" x14ac:dyDescent="0.35">
      <c r="C2095" s="1"/>
    </row>
    <row r="2096" spans="3:3" x14ac:dyDescent="0.35">
      <c r="C2096" s="1"/>
    </row>
    <row r="2097" spans="3:3" x14ac:dyDescent="0.35">
      <c r="C2097" s="1"/>
    </row>
    <row r="2098" spans="3:3" x14ac:dyDescent="0.35">
      <c r="C2098" s="1"/>
    </row>
    <row r="2099" spans="3:3" x14ac:dyDescent="0.35">
      <c r="C2099" s="1"/>
    </row>
    <row r="2100" spans="3:3" x14ac:dyDescent="0.35">
      <c r="C2100" s="1"/>
    </row>
    <row r="2101" spans="3:3" x14ac:dyDescent="0.35">
      <c r="C2101" s="1"/>
    </row>
    <row r="2102" spans="3:3" x14ac:dyDescent="0.35">
      <c r="C2102" s="1"/>
    </row>
    <row r="2103" spans="3:3" x14ac:dyDescent="0.35">
      <c r="C2103" s="1"/>
    </row>
    <row r="2104" spans="3:3" x14ac:dyDescent="0.35">
      <c r="C2104" s="1"/>
    </row>
    <row r="2105" spans="3:3" x14ac:dyDescent="0.35">
      <c r="C2105" s="1"/>
    </row>
    <row r="2106" spans="3:3" x14ac:dyDescent="0.35">
      <c r="C2106" s="1"/>
    </row>
    <row r="2107" spans="3:3" x14ac:dyDescent="0.35">
      <c r="C2107" s="1"/>
    </row>
    <row r="2108" spans="3:3" x14ac:dyDescent="0.35">
      <c r="C2108" s="1"/>
    </row>
    <row r="2109" spans="3:3" x14ac:dyDescent="0.35">
      <c r="C2109" s="1"/>
    </row>
    <row r="2110" spans="3:3" x14ac:dyDescent="0.35">
      <c r="C2110" s="1"/>
    </row>
    <row r="2111" spans="3:3" x14ac:dyDescent="0.35">
      <c r="C2111" s="1"/>
    </row>
    <row r="2112" spans="3:3" x14ac:dyDescent="0.35">
      <c r="C2112" s="1"/>
    </row>
    <row r="2113" spans="3:3" x14ac:dyDescent="0.35">
      <c r="C2113" s="1"/>
    </row>
    <row r="2114" spans="3:3" x14ac:dyDescent="0.35">
      <c r="C2114" s="1"/>
    </row>
    <row r="2115" spans="3:3" x14ac:dyDescent="0.35">
      <c r="C2115" s="1"/>
    </row>
    <row r="2116" spans="3:3" x14ac:dyDescent="0.35">
      <c r="C2116" s="1"/>
    </row>
    <row r="2117" spans="3:3" x14ac:dyDescent="0.35">
      <c r="C2117" s="1"/>
    </row>
    <row r="2118" spans="3:3" x14ac:dyDescent="0.35">
      <c r="C2118" s="1"/>
    </row>
    <row r="2119" spans="3:3" x14ac:dyDescent="0.35">
      <c r="C2119" s="1"/>
    </row>
    <row r="2120" spans="3:3" x14ac:dyDescent="0.35">
      <c r="C2120" s="1"/>
    </row>
    <row r="2121" spans="3:3" x14ac:dyDescent="0.35">
      <c r="C2121" s="1"/>
    </row>
    <row r="2122" spans="3:3" x14ac:dyDescent="0.35">
      <c r="C2122" s="1"/>
    </row>
    <row r="2123" spans="3:3" x14ac:dyDescent="0.35">
      <c r="C2123" s="1"/>
    </row>
    <row r="2124" spans="3:3" x14ac:dyDescent="0.35">
      <c r="C2124" s="1"/>
    </row>
    <row r="2125" spans="3:3" x14ac:dyDescent="0.35">
      <c r="C2125" s="1"/>
    </row>
    <row r="2126" spans="3:3" x14ac:dyDescent="0.35">
      <c r="C2126" s="1"/>
    </row>
    <row r="2127" spans="3:3" x14ac:dyDescent="0.35">
      <c r="C2127" s="1"/>
    </row>
    <row r="2128" spans="3:3" x14ac:dyDescent="0.35">
      <c r="C2128" s="1"/>
    </row>
    <row r="2129" spans="3:3" x14ac:dyDescent="0.35">
      <c r="C2129" s="1"/>
    </row>
    <row r="2130" spans="3:3" x14ac:dyDescent="0.35">
      <c r="C2130" s="1"/>
    </row>
    <row r="2131" spans="3:3" x14ac:dyDescent="0.35">
      <c r="C2131" s="1"/>
    </row>
    <row r="2132" spans="3:3" x14ac:dyDescent="0.35">
      <c r="C2132" s="1"/>
    </row>
    <row r="2133" spans="3:3" x14ac:dyDescent="0.35">
      <c r="C2133" s="1"/>
    </row>
    <row r="2134" spans="3:3" x14ac:dyDescent="0.35">
      <c r="C2134" s="1"/>
    </row>
    <row r="2135" spans="3:3" x14ac:dyDescent="0.35">
      <c r="C2135" s="1"/>
    </row>
    <row r="2136" spans="3:3" x14ac:dyDescent="0.35">
      <c r="C2136" s="1"/>
    </row>
    <row r="2137" spans="3:3" x14ac:dyDescent="0.35">
      <c r="C2137" s="1"/>
    </row>
    <row r="2138" spans="3:3" x14ac:dyDescent="0.35">
      <c r="C2138" s="1"/>
    </row>
    <row r="2139" spans="3:3" x14ac:dyDescent="0.35">
      <c r="C2139" s="1"/>
    </row>
    <row r="2140" spans="3:3" x14ac:dyDescent="0.35">
      <c r="C2140" s="1"/>
    </row>
    <row r="2141" spans="3:3" x14ac:dyDescent="0.35">
      <c r="C2141" s="1"/>
    </row>
    <row r="2142" spans="3:3" x14ac:dyDescent="0.35">
      <c r="C2142" s="1"/>
    </row>
    <row r="2143" spans="3:3" x14ac:dyDescent="0.35">
      <c r="C2143" s="1"/>
    </row>
    <row r="2144" spans="3:3" x14ac:dyDescent="0.35">
      <c r="C2144" s="1"/>
    </row>
    <row r="2145" spans="3:3" x14ac:dyDescent="0.35">
      <c r="C2145" s="1"/>
    </row>
    <row r="2146" spans="3:3" x14ac:dyDescent="0.35">
      <c r="C2146" s="1"/>
    </row>
    <row r="2147" spans="3:3" x14ac:dyDescent="0.35">
      <c r="C2147" s="1"/>
    </row>
    <row r="2148" spans="3:3" x14ac:dyDescent="0.35">
      <c r="C2148" s="1"/>
    </row>
    <row r="2149" spans="3:3" x14ac:dyDescent="0.35">
      <c r="C2149" s="1"/>
    </row>
    <row r="2150" spans="3:3" x14ac:dyDescent="0.35">
      <c r="C2150" s="1"/>
    </row>
    <row r="2151" spans="3:3" x14ac:dyDescent="0.35">
      <c r="C2151" s="1"/>
    </row>
    <row r="2152" spans="3:3" x14ac:dyDescent="0.35">
      <c r="C2152" s="1"/>
    </row>
    <row r="2153" spans="3:3" x14ac:dyDescent="0.35">
      <c r="C2153" s="1"/>
    </row>
    <row r="2154" spans="3:3" x14ac:dyDescent="0.35">
      <c r="C2154" s="1"/>
    </row>
    <row r="2155" spans="3:3" x14ac:dyDescent="0.35">
      <c r="C2155" s="1"/>
    </row>
    <row r="2156" spans="3:3" x14ac:dyDescent="0.35">
      <c r="C2156" s="1"/>
    </row>
    <row r="2157" spans="3:3" x14ac:dyDescent="0.35">
      <c r="C2157" s="1"/>
    </row>
    <row r="2158" spans="3:3" x14ac:dyDescent="0.35">
      <c r="C2158" s="1"/>
    </row>
    <row r="2159" spans="3:3" x14ac:dyDescent="0.35">
      <c r="C2159" s="1"/>
    </row>
    <row r="2160" spans="3:3" x14ac:dyDescent="0.35">
      <c r="C2160" s="1"/>
    </row>
    <row r="2161" spans="3:3" x14ac:dyDescent="0.35">
      <c r="C2161" s="1"/>
    </row>
    <row r="2162" spans="3:3" x14ac:dyDescent="0.35">
      <c r="C2162" s="1"/>
    </row>
    <row r="2163" spans="3:3" x14ac:dyDescent="0.35">
      <c r="C2163" s="1"/>
    </row>
    <row r="2164" spans="3:3" x14ac:dyDescent="0.35">
      <c r="C2164" s="1"/>
    </row>
    <row r="2165" spans="3:3" x14ac:dyDescent="0.35">
      <c r="C2165" s="1"/>
    </row>
    <row r="2166" spans="3:3" x14ac:dyDescent="0.35">
      <c r="C2166" s="1"/>
    </row>
    <row r="2167" spans="3:3" x14ac:dyDescent="0.35">
      <c r="C2167" s="1"/>
    </row>
    <row r="2168" spans="3:3" x14ac:dyDescent="0.35">
      <c r="C2168" s="1"/>
    </row>
    <row r="2169" spans="3:3" x14ac:dyDescent="0.35">
      <c r="C2169" s="1"/>
    </row>
    <row r="2170" spans="3:3" x14ac:dyDescent="0.35">
      <c r="C2170" s="1"/>
    </row>
    <row r="2171" spans="3:3" x14ac:dyDescent="0.35">
      <c r="C2171" s="1"/>
    </row>
    <row r="2172" spans="3:3" x14ac:dyDescent="0.35">
      <c r="C2172" s="1"/>
    </row>
    <row r="2173" spans="3:3" x14ac:dyDescent="0.35">
      <c r="C2173" s="1"/>
    </row>
    <row r="2174" spans="3:3" x14ac:dyDescent="0.35">
      <c r="C2174" s="1"/>
    </row>
    <row r="2175" spans="3:3" x14ac:dyDescent="0.35">
      <c r="C2175" s="1"/>
    </row>
    <row r="2176" spans="3:3" x14ac:dyDescent="0.35">
      <c r="C2176" s="1"/>
    </row>
    <row r="2177" spans="3:3" x14ac:dyDescent="0.35">
      <c r="C2177" s="1"/>
    </row>
    <row r="2178" spans="3:3" x14ac:dyDescent="0.35">
      <c r="C2178" s="1"/>
    </row>
    <row r="2179" spans="3:3" x14ac:dyDescent="0.35">
      <c r="C2179" s="1"/>
    </row>
    <row r="2180" spans="3:3" x14ac:dyDescent="0.35">
      <c r="C2180" s="1"/>
    </row>
    <row r="2181" spans="3:3" x14ac:dyDescent="0.35">
      <c r="C2181" s="1"/>
    </row>
    <row r="2182" spans="3:3" x14ac:dyDescent="0.35">
      <c r="C2182" s="1"/>
    </row>
    <row r="2183" spans="3:3" x14ac:dyDescent="0.35">
      <c r="C2183" s="1"/>
    </row>
    <row r="2184" spans="3:3" x14ac:dyDescent="0.35">
      <c r="C2184" s="1"/>
    </row>
    <row r="2185" spans="3:3" x14ac:dyDescent="0.35">
      <c r="C2185" s="1"/>
    </row>
    <row r="2186" spans="3:3" x14ac:dyDescent="0.35">
      <c r="C2186" s="1"/>
    </row>
    <row r="2187" spans="3:3" x14ac:dyDescent="0.35">
      <c r="C2187" s="1"/>
    </row>
    <row r="2188" spans="3:3" x14ac:dyDescent="0.35">
      <c r="C2188" s="1"/>
    </row>
    <row r="2189" spans="3:3" x14ac:dyDescent="0.35">
      <c r="C2189" s="1"/>
    </row>
    <row r="2190" spans="3:3" x14ac:dyDescent="0.35">
      <c r="C2190" s="1"/>
    </row>
    <row r="2191" spans="3:3" x14ac:dyDescent="0.35">
      <c r="C2191" s="1"/>
    </row>
    <row r="2192" spans="3:3" x14ac:dyDescent="0.35">
      <c r="C2192" s="1"/>
    </row>
    <row r="2193" spans="3:3" x14ac:dyDescent="0.35">
      <c r="C2193" s="1"/>
    </row>
    <row r="2194" spans="3:3" x14ac:dyDescent="0.35">
      <c r="C2194" s="1"/>
    </row>
    <row r="2195" spans="3:3" x14ac:dyDescent="0.35">
      <c r="C2195" s="1"/>
    </row>
    <row r="2196" spans="3:3" x14ac:dyDescent="0.35">
      <c r="C2196" s="1"/>
    </row>
    <row r="2197" spans="3:3" x14ac:dyDescent="0.35">
      <c r="C2197" s="1"/>
    </row>
    <row r="2198" spans="3:3" x14ac:dyDescent="0.35">
      <c r="C2198" s="1"/>
    </row>
    <row r="2199" spans="3:3" x14ac:dyDescent="0.35">
      <c r="C2199" s="1"/>
    </row>
    <row r="2200" spans="3:3" x14ac:dyDescent="0.35">
      <c r="C2200" s="1"/>
    </row>
    <row r="2201" spans="3:3" x14ac:dyDescent="0.35">
      <c r="C2201" s="1"/>
    </row>
    <row r="2202" spans="3:3" x14ac:dyDescent="0.35">
      <c r="C2202" s="1"/>
    </row>
    <row r="2203" spans="3:3" x14ac:dyDescent="0.35">
      <c r="C2203" s="1"/>
    </row>
    <row r="2204" spans="3:3" x14ac:dyDescent="0.35">
      <c r="C2204" s="1"/>
    </row>
    <row r="2205" spans="3:3" x14ac:dyDescent="0.35">
      <c r="C2205" s="1"/>
    </row>
    <row r="2206" spans="3:3" x14ac:dyDescent="0.35">
      <c r="C2206" s="1"/>
    </row>
    <row r="2207" spans="3:3" x14ac:dyDescent="0.35">
      <c r="C2207" s="1"/>
    </row>
    <row r="2208" spans="3:3" x14ac:dyDescent="0.35">
      <c r="C2208" s="1"/>
    </row>
    <row r="2209" spans="3:3" x14ac:dyDescent="0.35">
      <c r="C2209" s="1"/>
    </row>
    <row r="2210" spans="3:3" x14ac:dyDescent="0.35">
      <c r="C2210" s="1"/>
    </row>
    <row r="2211" spans="3:3" x14ac:dyDescent="0.35">
      <c r="C2211" s="1"/>
    </row>
    <row r="2212" spans="3:3" x14ac:dyDescent="0.35">
      <c r="C2212" s="1"/>
    </row>
    <row r="2213" spans="3:3" x14ac:dyDescent="0.35">
      <c r="C2213" s="1"/>
    </row>
    <row r="2214" spans="3:3" x14ac:dyDescent="0.35">
      <c r="C2214" s="1"/>
    </row>
    <row r="2215" spans="3:3" x14ac:dyDescent="0.35">
      <c r="C2215" s="1"/>
    </row>
    <row r="2216" spans="3:3" x14ac:dyDescent="0.35">
      <c r="C2216" s="1"/>
    </row>
    <row r="2217" spans="3:3" x14ac:dyDescent="0.35">
      <c r="C2217" s="1"/>
    </row>
    <row r="2218" spans="3:3" x14ac:dyDescent="0.35">
      <c r="C2218" s="1"/>
    </row>
    <row r="2219" spans="3:3" x14ac:dyDescent="0.35">
      <c r="C2219" s="1"/>
    </row>
    <row r="2220" spans="3:3" x14ac:dyDescent="0.35">
      <c r="C2220" s="1"/>
    </row>
    <row r="2221" spans="3:3" x14ac:dyDescent="0.35">
      <c r="C2221" s="1"/>
    </row>
    <row r="2222" spans="3:3" x14ac:dyDescent="0.35">
      <c r="C2222" s="1"/>
    </row>
    <row r="2223" spans="3:3" x14ac:dyDescent="0.35">
      <c r="C2223" s="1"/>
    </row>
    <row r="2224" spans="3:3" x14ac:dyDescent="0.35">
      <c r="C2224" s="1"/>
    </row>
    <row r="2225" spans="3:3" x14ac:dyDescent="0.35">
      <c r="C2225" s="1"/>
    </row>
    <row r="2226" spans="3:3" x14ac:dyDescent="0.35">
      <c r="C2226" s="1"/>
    </row>
    <row r="2227" spans="3:3" x14ac:dyDescent="0.35">
      <c r="C2227" s="1"/>
    </row>
    <row r="2228" spans="3:3" x14ac:dyDescent="0.35">
      <c r="C2228" s="1"/>
    </row>
    <row r="2229" spans="3:3" x14ac:dyDescent="0.35">
      <c r="C2229" s="1"/>
    </row>
    <row r="2230" spans="3:3" x14ac:dyDescent="0.35">
      <c r="C2230" s="1"/>
    </row>
    <row r="2231" spans="3:3" x14ac:dyDescent="0.35">
      <c r="C2231" s="1"/>
    </row>
    <row r="2232" spans="3:3" x14ac:dyDescent="0.35">
      <c r="C2232" s="1"/>
    </row>
    <row r="2233" spans="3:3" x14ac:dyDescent="0.35">
      <c r="C2233" s="1"/>
    </row>
    <row r="2234" spans="3:3" x14ac:dyDescent="0.35">
      <c r="C2234" s="1"/>
    </row>
    <row r="2235" spans="3:3" x14ac:dyDescent="0.35">
      <c r="C2235" s="1"/>
    </row>
    <row r="2236" spans="3:3" x14ac:dyDescent="0.35">
      <c r="C2236" s="1"/>
    </row>
    <row r="2237" spans="3:3" x14ac:dyDescent="0.35">
      <c r="C2237" s="1"/>
    </row>
    <row r="2238" spans="3:3" x14ac:dyDescent="0.35">
      <c r="C2238" s="1"/>
    </row>
    <row r="2239" spans="3:3" x14ac:dyDescent="0.35">
      <c r="C2239" s="1"/>
    </row>
    <row r="2240" spans="3:3" x14ac:dyDescent="0.35">
      <c r="C2240" s="1"/>
    </row>
    <row r="2241" spans="3:3" x14ac:dyDescent="0.35">
      <c r="C2241" s="1"/>
    </row>
    <row r="2242" spans="3:3" x14ac:dyDescent="0.35">
      <c r="C2242" s="1"/>
    </row>
    <row r="2243" spans="3:3" x14ac:dyDescent="0.35">
      <c r="C2243" s="1"/>
    </row>
    <row r="2244" spans="3:3" x14ac:dyDescent="0.35">
      <c r="C2244" s="1"/>
    </row>
    <row r="2245" spans="3:3" x14ac:dyDescent="0.35">
      <c r="C2245" s="1"/>
    </row>
    <row r="2246" spans="3:3" x14ac:dyDescent="0.35">
      <c r="C2246" s="1"/>
    </row>
    <row r="2247" spans="3:3" x14ac:dyDescent="0.35">
      <c r="C2247" s="1"/>
    </row>
    <row r="2248" spans="3:3" x14ac:dyDescent="0.35">
      <c r="C2248" s="1"/>
    </row>
    <row r="2249" spans="3:3" x14ac:dyDescent="0.35">
      <c r="C2249" s="1"/>
    </row>
    <row r="2250" spans="3:3" x14ac:dyDescent="0.35">
      <c r="C2250" s="1"/>
    </row>
    <row r="2251" spans="3:3" x14ac:dyDescent="0.35">
      <c r="C2251" s="1"/>
    </row>
    <row r="2252" spans="3:3" x14ac:dyDescent="0.35">
      <c r="C2252" s="1"/>
    </row>
    <row r="2253" spans="3:3" x14ac:dyDescent="0.35">
      <c r="C2253" s="1"/>
    </row>
    <row r="2254" spans="3:3" x14ac:dyDescent="0.35">
      <c r="C2254" s="1"/>
    </row>
    <row r="2255" spans="3:3" x14ac:dyDescent="0.35">
      <c r="C2255" s="1"/>
    </row>
    <row r="2256" spans="3:3" x14ac:dyDescent="0.35">
      <c r="C2256" s="1"/>
    </row>
    <row r="2257" spans="3:3" x14ac:dyDescent="0.35">
      <c r="C2257" s="1"/>
    </row>
    <row r="2258" spans="3:3" x14ac:dyDescent="0.35">
      <c r="C2258" s="1"/>
    </row>
    <row r="2259" spans="3:3" x14ac:dyDescent="0.35">
      <c r="C2259" s="1"/>
    </row>
    <row r="2260" spans="3:3" x14ac:dyDescent="0.35">
      <c r="C2260" s="1"/>
    </row>
    <row r="2261" spans="3:3" x14ac:dyDescent="0.35">
      <c r="C2261" s="1"/>
    </row>
    <row r="2262" spans="3:3" x14ac:dyDescent="0.35">
      <c r="C2262" s="1"/>
    </row>
    <row r="2263" spans="3:3" x14ac:dyDescent="0.35">
      <c r="C2263" s="1"/>
    </row>
    <row r="2264" spans="3:3" x14ac:dyDescent="0.35">
      <c r="C2264" s="1"/>
    </row>
    <row r="2265" spans="3:3" x14ac:dyDescent="0.35">
      <c r="C2265" s="1"/>
    </row>
    <row r="2266" spans="3:3" x14ac:dyDescent="0.35">
      <c r="C2266" s="1"/>
    </row>
    <row r="2267" spans="3:3" x14ac:dyDescent="0.35">
      <c r="C2267" s="1"/>
    </row>
    <row r="2268" spans="3:3" x14ac:dyDescent="0.35">
      <c r="C2268" s="1"/>
    </row>
    <row r="2269" spans="3:3" x14ac:dyDescent="0.35">
      <c r="C2269" s="1"/>
    </row>
    <row r="2270" spans="3:3" x14ac:dyDescent="0.35">
      <c r="C2270" s="1"/>
    </row>
    <row r="2271" spans="3:3" x14ac:dyDescent="0.35">
      <c r="C2271" s="1"/>
    </row>
    <row r="2272" spans="3:3" x14ac:dyDescent="0.35">
      <c r="C2272" s="1"/>
    </row>
    <row r="2273" spans="3:3" x14ac:dyDescent="0.35">
      <c r="C2273" s="1"/>
    </row>
    <row r="2274" spans="3:3" x14ac:dyDescent="0.35">
      <c r="C2274" s="1"/>
    </row>
    <row r="2275" spans="3:3" x14ac:dyDescent="0.35">
      <c r="C2275" s="1"/>
    </row>
    <row r="2276" spans="3:3" x14ac:dyDescent="0.35">
      <c r="C2276" s="1"/>
    </row>
    <row r="2277" spans="3:3" x14ac:dyDescent="0.35">
      <c r="C2277" s="1"/>
    </row>
    <row r="2278" spans="3:3" x14ac:dyDescent="0.35">
      <c r="C2278" s="1"/>
    </row>
    <row r="2279" spans="3:3" x14ac:dyDescent="0.35">
      <c r="C2279" s="1"/>
    </row>
    <row r="2280" spans="3:3" x14ac:dyDescent="0.35">
      <c r="C2280" s="1"/>
    </row>
    <row r="2281" spans="3:3" x14ac:dyDescent="0.35">
      <c r="C2281" s="1"/>
    </row>
    <row r="2282" spans="3:3" x14ac:dyDescent="0.35">
      <c r="C2282" s="1"/>
    </row>
    <row r="2283" spans="3:3" x14ac:dyDescent="0.35">
      <c r="C2283" s="1"/>
    </row>
    <row r="2284" spans="3:3" x14ac:dyDescent="0.35">
      <c r="C2284" s="1"/>
    </row>
    <row r="2285" spans="3:3" x14ac:dyDescent="0.35">
      <c r="C2285" s="1"/>
    </row>
    <row r="2286" spans="3:3" x14ac:dyDescent="0.35">
      <c r="C2286" s="1"/>
    </row>
    <row r="2287" spans="3:3" x14ac:dyDescent="0.35">
      <c r="C2287" s="1"/>
    </row>
    <row r="2288" spans="3:3" x14ac:dyDescent="0.35">
      <c r="C2288" s="1"/>
    </row>
    <row r="2289" spans="3:3" x14ac:dyDescent="0.35">
      <c r="C2289" s="1"/>
    </row>
    <row r="2290" spans="3:3" x14ac:dyDescent="0.35">
      <c r="C2290" s="1"/>
    </row>
    <row r="2291" spans="3:3" x14ac:dyDescent="0.35">
      <c r="C2291" s="1"/>
    </row>
    <row r="2292" spans="3:3" x14ac:dyDescent="0.35">
      <c r="C2292" s="1"/>
    </row>
    <row r="2293" spans="3:3" x14ac:dyDescent="0.35">
      <c r="C2293" s="1"/>
    </row>
    <row r="2294" spans="3:3" x14ac:dyDescent="0.35">
      <c r="C2294" s="1"/>
    </row>
    <row r="2295" spans="3:3" x14ac:dyDescent="0.35">
      <c r="C2295" s="1"/>
    </row>
    <row r="2296" spans="3:3" x14ac:dyDescent="0.35">
      <c r="C2296" s="1"/>
    </row>
    <row r="2297" spans="3:3" x14ac:dyDescent="0.35">
      <c r="C2297" s="1"/>
    </row>
    <row r="2298" spans="3:3" x14ac:dyDescent="0.35">
      <c r="C2298" s="1"/>
    </row>
    <row r="2299" spans="3:3" x14ac:dyDescent="0.35">
      <c r="C2299" s="1"/>
    </row>
    <row r="2300" spans="3:3" x14ac:dyDescent="0.35">
      <c r="C2300" s="1"/>
    </row>
    <row r="2301" spans="3:3" x14ac:dyDescent="0.35">
      <c r="C2301" s="1"/>
    </row>
    <row r="2302" spans="3:3" x14ac:dyDescent="0.35">
      <c r="C2302" s="1"/>
    </row>
    <row r="2303" spans="3:3" x14ac:dyDescent="0.35">
      <c r="C2303" s="1"/>
    </row>
    <row r="2304" spans="3:3" x14ac:dyDescent="0.35">
      <c r="C2304" s="1"/>
    </row>
    <row r="2305" spans="3:3" x14ac:dyDescent="0.35">
      <c r="C2305" s="1"/>
    </row>
    <row r="2306" spans="3:3" x14ac:dyDescent="0.35">
      <c r="C2306" s="1"/>
    </row>
    <row r="2307" spans="3:3" x14ac:dyDescent="0.35">
      <c r="C2307" s="1"/>
    </row>
    <row r="2308" spans="3:3" x14ac:dyDescent="0.35">
      <c r="C2308" s="1"/>
    </row>
    <row r="2309" spans="3:3" x14ac:dyDescent="0.35">
      <c r="C2309" s="1"/>
    </row>
    <row r="2310" spans="3:3" x14ac:dyDescent="0.35">
      <c r="C2310" s="1"/>
    </row>
    <row r="2311" spans="3:3" x14ac:dyDescent="0.35">
      <c r="C2311" s="1"/>
    </row>
    <row r="2312" spans="3:3" x14ac:dyDescent="0.35">
      <c r="C2312" s="1"/>
    </row>
    <row r="2313" spans="3:3" x14ac:dyDescent="0.35">
      <c r="C2313" s="1"/>
    </row>
    <row r="2314" spans="3:3" x14ac:dyDescent="0.35">
      <c r="C2314" s="1"/>
    </row>
    <row r="2315" spans="3:3" x14ac:dyDescent="0.35">
      <c r="C2315" s="1"/>
    </row>
    <row r="2316" spans="3:3" x14ac:dyDescent="0.35">
      <c r="C2316" s="1"/>
    </row>
    <row r="2317" spans="3:3" x14ac:dyDescent="0.35">
      <c r="C2317" s="1"/>
    </row>
    <row r="2318" spans="3:3" x14ac:dyDescent="0.35">
      <c r="C2318" s="1"/>
    </row>
    <row r="2319" spans="3:3" x14ac:dyDescent="0.35">
      <c r="C2319" s="1"/>
    </row>
    <row r="2320" spans="3:3" x14ac:dyDescent="0.35">
      <c r="C2320" s="1"/>
    </row>
    <row r="2321" spans="3:3" x14ac:dyDescent="0.35">
      <c r="C2321" s="1"/>
    </row>
    <row r="2322" spans="3:3" x14ac:dyDescent="0.35">
      <c r="C2322" s="1"/>
    </row>
    <row r="2323" spans="3:3" x14ac:dyDescent="0.35">
      <c r="C2323" s="1"/>
    </row>
    <row r="2324" spans="3:3" x14ac:dyDescent="0.35">
      <c r="C2324" s="1"/>
    </row>
    <row r="2325" spans="3:3" x14ac:dyDescent="0.35">
      <c r="C2325" s="1"/>
    </row>
    <row r="2326" spans="3:3" x14ac:dyDescent="0.35">
      <c r="C2326" s="1"/>
    </row>
    <row r="2327" spans="3:3" x14ac:dyDescent="0.35">
      <c r="C2327" s="1"/>
    </row>
    <row r="2328" spans="3:3" x14ac:dyDescent="0.35">
      <c r="C2328" s="1"/>
    </row>
    <row r="2329" spans="3:3" x14ac:dyDescent="0.35">
      <c r="C2329" s="1"/>
    </row>
    <row r="2330" spans="3:3" x14ac:dyDescent="0.35">
      <c r="C2330" s="1"/>
    </row>
    <row r="2331" spans="3:3" x14ac:dyDescent="0.35">
      <c r="C2331" s="1"/>
    </row>
    <row r="2332" spans="3:3" x14ac:dyDescent="0.35">
      <c r="C2332" s="1"/>
    </row>
    <row r="2333" spans="3:3" x14ac:dyDescent="0.35">
      <c r="C2333" s="1"/>
    </row>
    <row r="2334" spans="3:3" x14ac:dyDescent="0.35">
      <c r="C2334" s="1"/>
    </row>
    <row r="2335" spans="3:3" x14ac:dyDescent="0.35">
      <c r="C2335" s="1"/>
    </row>
    <row r="2336" spans="3:3" x14ac:dyDescent="0.35">
      <c r="C2336" s="1"/>
    </row>
    <row r="2337" spans="3:3" x14ac:dyDescent="0.35">
      <c r="C2337" s="1"/>
    </row>
    <row r="2338" spans="3:3" x14ac:dyDescent="0.35">
      <c r="C2338" s="1"/>
    </row>
    <row r="2339" spans="3:3" x14ac:dyDescent="0.35">
      <c r="C2339" s="1"/>
    </row>
    <row r="2340" spans="3:3" x14ac:dyDescent="0.35">
      <c r="C2340" s="1"/>
    </row>
    <row r="2341" spans="3:3" x14ac:dyDescent="0.35">
      <c r="C2341" s="1"/>
    </row>
    <row r="2342" spans="3:3" x14ac:dyDescent="0.35">
      <c r="C2342" s="1"/>
    </row>
    <row r="2343" spans="3:3" x14ac:dyDescent="0.35">
      <c r="C2343" s="1"/>
    </row>
    <row r="2344" spans="3:3" x14ac:dyDescent="0.35">
      <c r="C2344" s="1"/>
    </row>
    <row r="2345" spans="3:3" x14ac:dyDescent="0.35">
      <c r="C2345" s="1"/>
    </row>
    <row r="2346" spans="3:3" x14ac:dyDescent="0.35">
      <c r="C2346" s="1"/>
    </row>
    <row r="2347" spans="3:3" x14ac:dyDescent="0.35">
      <c r="C2347" s="1"/>
    </row>
    <row r="2348" spans="3:3" x14ac:dyDescent="0.35">
      <c r="C2348" s="1"/>
    </row>
    <row r="2349" spans="3:3" x14ac:dyDescent="0.35">
      <c r="C2349" s="1"/>
    </row>
    <row r="2350" spans="3:3" x14ac:dyDescent="0.35">
      <c r="C2350" s="1"/>
    </row>
    <row r="2351" spans="3:3" x14ac:dyDescent="0.35">
      <c r="C2351" s="1"/>
    </row>
    <row r="2352" spans="3:3" x14ac:dyDescent="0.35">
      <c r="C2352" s="1"/>
    </row>
    <row r="2353" spans="3:3" x14ac:dyDescent="0.35">
      <c r="C2353" s="1"/>
    </row>
    <row r="2354" spans="3:3" x14ac:dyDescent="0.35">
      <c r="C2354" s="1"/>
    </row>
    <row r="2355" spans="3:3" x14ac:dyDescent="0.35">
      <c r="C2355" s="1"/>
    </row>
    <row r="2356" spans="3:3" x14ac:dyDescent="0.35">
      <c r="C2356" s="1"/>
    </row>
    <row r="2357" spans="3:3" x14ac:dyDescent="0.35">
      <c r="C2357" s="1"/>
    </row>
    <row r="2358" spans="3:3" x14ac:dyDescent="0.35">
      <c r="C2358" s="1"/>
    </row>
    <row r="2359" spans="3:3" x14ac:dyDescent="0.35">
      <c r="C2359" s="1"/>
    </row>
    <row r="2360" spans="3:3" x14ac:dyDescent="0.35">
      <c r="C2360" s="1"/>
    </row>
    <row r="2361" spans="3:3" x14ac:dyDescent="0.35">
      <c r="C2361" s="1"/>
    </row>
    <row r="2362" spans="3:3" x14ac:dyDescent="0.35">
      <c r="C2362" s="1"/>
    </row>
    <row r="2363" spans="3:3" x14ac:dyDescent="0.35">
      <c r="C2363" s="1"/>
    </row>
    <row r="2364" spans="3:3" x14ac:dyDescent="0.35">
      <c r="C2364" s="1"/>
    </row>
    <row r="2365" spans="3:3" x14ac:dyDescent="0.35">
      <c r="C2365" s="1"/>
    </row>
    <row r="2366" spans="3:3" x14ac:dyDescent="0.35">
      <c r="C2366" s="1"/>
    </row>
    <row r="2367" spans="3:3" x14ac:dyDescent="0.35">
      <c r="C2367" s="1"/>
    </row>
    <row r="2368" spans="3:3" x14ac:dyDescent="0.35">
      <c r="C2368" s="1"/>
    </row>
    <row r="2369" spans="3:3" x14ac:dyDescent="0.35">
      <c r="C2369" s="1"/>
    </row>
    <row r="2370" spans="3:3" x14ac:dyDescent="0.35">
      <c r="C2370" s="1"/>
    </row>
    <row r="2371" spans="3:3" x14ac:dyDescent="0.35">
      <c r="C2371" s="1"/>
    </row>
    <row r="2372" spans="3:3" x14ac:dyDescent="0.35">
      <c r="C2372" s="1"/>
    </row>
    <row r="2373" spans="3:3" x14ac:dyDescent="0.35">
      <c r="C2373" s="1"/>
    </row>
    <row r="2374" spans="3:3" x14ac:dyDescent="0.35">
      <c r="C2374" s="1"/>
    </row>
    <row r="2375" spans="3:3" x14ac:dyDescent="0.35">
      <c r="C2375" s="1"/>
    </row>
    <row r="2376" spans="3:3" x14ac:dyDescent="0.35">
      <c r="C2376" s="1"/>
    </row>
    <row r="2377" spans="3:3" x14ac:dyDescent="0.35">
      <c r="C2377" s="1"/>
    </row>
    <row r="2378" spans="3:3" x14ac:dyDescent="0.35">
      <c r="C2378" s="1"/>
    </row>
    <row r="2379" spans="3:3" x14ac:dyDescent="0.35">
      <c r="C2379" s="1"/>
    </row>
    <row r="2380" spans="3:3" x14ac:dyDescent="0.35">
      <c r="C2380" s="1"/>
    </row>
    <row r="2381" spans="3:3" x14ac:dyDescent="0.35">
      <c r="C2381" s="1"/>
    </row>
    <row r="2382" spans="3:3" x14ac:dyDescent="0.35">
      <c r="C2382" s="1"/>
    </row>
    <row r="2383" spans="3:3" x14ac:dyDescent="0.35">
      <c r="C2383" s="1"/>
    </row>
    <row r="2384" spans="3:3" x14ac:dyDescent="0.35">
      <c r="C2384" s="1"/>
    </row>
    <row r="2385" spans="3:3" x14ac:dyDescent="0.35">
      <c r="C2385" s="1"/>
    </row>
    <row r="2386" spans="3:3" x14ac:dyDescent="0.35">
      <c r="C2386" s="1"/>
    </row>
    <row r="2387" spans="3:3" x14ac:dyDescent="0.35">
      <c r="C2387" s="1"/>
    </row>
    <row r="2388" spans="3:3" x14ac:dyDescent="0.35">
      <c r="C2388" s="1"/>
    </row>
    <row r="2389" spans="3:3" x14ac:dyDescent="0.35">
      <c r="C2389" s="1"/>
    </row>
    <row r="2390" spans="3:3" x14ac:dyDescent="0.35">
      <c r="C2390" s="1"/>
    </row>
    <row r="2391" spans="3:3" x14ac:dyDescent="0.35">
      <c r="C2391" s="1"/>
    </row>
    <row r="2392" spans="3:3" x14ac:dyDescent="0.35">
      <c r="C2392" s="1"/>
    </row>
    <row r="2393" spans="3:3" x14ac:dyDescent="0.35">
      <c r="C2393" s="1"/>
    </row>
    <row r="2394" spans="3:3" x14ac:dyDescent="0.35">
      <c r="C2394" s="1"/>
    </row>
    <row r="2395" spans="3:3" x14ac:dyDescent="0.35">
      <c r="C2395" s="1"/>
    </row>
    <row r="2396" spans="3:3" x14ac:dyDescent="0.35">
      <c r="C2396" s="1"/>
    </row>
    <row r="2397" spans="3:3" x14ac:dyDescent="0.35">
      <c r="C2397" s="1"/>
    </row>
    <row r="2398" spans="3:3" x14ac:dyDescent="0.35">
      <c r="C2398" s="1"/>
    </row>
    <row r="2399" spans="3:3" x14ac:dyDescent="0.35">
      <c r="C2399" s="1"/>
    </row>
    <row r="2400" spans="3:3" x14ac:dyDescent="0.35">
      <c r="C2400" s="1"/>
    </row>
    <row r="2401" spans="3:3" x14ac:dyDescent="0.35">
      <c r="C2401" s="1"/>
    </row>
    <row r="2402" spans="3:3" x14ac:dyDescent="0.35">
      <c r="C2402" s="1"/>
    </row>
    <row r="2403" spans="3:3" x14ac:dyDescent="0.35">
      <c r="C2403" s="1"/>
    </row>
    <row r="2404" spans="3:3" x14ac:dyDescent="0.35">
      <c r="C2404" s="1"/>
    </row>
    <row r="2405" spans="3:3" x14ac:dyDescent="0.35">
      <c r="C2405" s="1"/>
    </row>
    <row r="2406" spans="3:3" x14ac:dyDescent="0.35">
      <c r="C2406" s="1"/>
    </row>
    <row r="2407" spans="3:3" x14ac:dyDescent="0.35">
      <c r="C2407" s="1"/>
    </row>
    <row r="2408" spans="3:3" x14ac:dyDescent="0.35">
      <c r="C2408" s="1"/>
    </row>
    <row r="2409" spans="3:3" x14ac:dyDescent="0.35">
      <c r="C2409" s="1"/>
    </row>
    <row r="2410" spans="3:3" x14ac:dyDescent="0.35">
      <c r="C2410" s="1"/>
    </row>
    <row r="2411" spans="3:3" x14ac:dyDescent="0.35">
      <c r="C2411" s="1"/>
    </row>
    <row r="2412" spans="3:3" x14ac:dyDescent="0.35">
      <c r="C2412" s="1"/>
    </row>
    <row r="2413" spans="3:3" x14ac:dyDescent="0.35">
      <c r="C2413" s="1"/>
    </row>
    <row r="2414" spans="3:3" x14ac:dyDescent="0.35">
      <c r="C2414" s="1"/>
    </row>
    <row r="2415" spans="3:3" x14ac:dyDescent="0.35">
      <c r="C2415" s="1"/>
    </row>
    <row r="2416" spans="3:3" x14ac:dyDescent="0.35">
      <c r="C2416" s="1"/>
    </row>
    <row r="2417" spans="3:3" x14ac:dyDescent="0.35">
      <c r="C2417" s="1"/>
    </row>
    <row r="2418" spans="3:3" x14ac:dyDescent="0.35">
      <c r="C2418" s="1"/>
    </row>
    <row r="2419" spans="3:3" x14ac:dyDescent="0.35">
      <c r="C2419" s="1"/>
    </row>
    <row r="2420" spans="3:3" x14ac:dyDescent="0.35">
      <c r="C2420" s="1"/>
    </row>
    <row r="2421" spans="3:3" x14ac:dyDescent="0.35">
      <c r="C2421" s="1"/>
    </row>
    <row r="2422" spans="3:3" x14ac:dyDescent="0.35">
      <c r="C2422" s="1"/>
    </row>
    <row r="2423" spans="3:3" x14ac:dyDescent="0.35">
      <c r="C2423" s="1"/>
    </row>
    <row r="2424" spans="3:3" x14ac:dyDescent="0.35">
      <c r="C2424" s="1"/>
    </row>
    <row r="2425" spans="3:3" x14ac:dyDescent="0.35">
      <c r="C2425" s="1"/>
    </row>
    <row r="2426" spans="3:3" x14ac:dyDescent="0.35">
      <c r="C2426" s="1"/>
    </row>
    <row r="2427" spans="3:3" x14ac:dyDescent="0.35">
      <c r="C2427" s="1"/>
    </row>
    <row r="2428" spans="3:3" x14ac:dyDescent="0.35">
      <c r="C2428" s="1"/>
    </row>
    <row r="2429" spans="3:3" x14ac:dyDescent="0.35">
      <c r="C2429" s="1"/>
    </row>
    <row r="2430" spans="3:3" x14ac:dyDescent="0.35">
      <c r="C2430" s="1"/>
    </row>
    <row r="2431" spans="3:3" x14ac:dyDescent="0.35">
      <c r="C2431" s="1"/>
    </row>
    <row r="2432" spans="3:3" x14ac:dyDescent="0.35">
      <c r="C2432" s="1"/>
    </row>
    <row r="2433" spans="3:3" x14ac:dyDescent="0.35">
      <c r="C2433" s="1"/>
    </row>
    <row r="2434" spans="3:3" x14ac:dyDescent="0.35">
      <c r="C2434" s="1"/>
    </row>
    <row r="2435" spans="3:3" x14ac:dyDescent="0.35">
      <c r="C2435" s="1"/>
    </row>
    <row r="2436" spans="3:3" x14ac:dyDescent="0.35">
      <c r="C2436" s="1"/>
    </row>
    <row r="2437" spans="3:3" x14ac:dyDescent="0.35">
      <c r="C2437" s="1"/>
    </row>
    <row r="2438" spans="3:3" x14ac:dyDescent="0.35">
      <c r="C2438" s="1"/>
    </row>
    <row r="2439" spans="3:3" x14ac:dyDescent="0.35">
      <c r="C2439" s="1"/>
    </row>
    <row r="2440" spans="3:3" x14ac:dyDescent="0.35">
      <c r="C2440" s="1"/>
    </row>
    <row r="2441" spans="3:3" x14ac:dyDescent="0.35">
      <c r="C2441" s="1"/>
    </row>
    <row r="2442" spans="3:3" x14ac:dyDescent="0.35">
      <c r="C2442" s="1"/>
    </row>
    <row r="2443" spans="3:3" x14ac:dyDescent="0.35">
      <c r="C2443" s="1"/>
    </row>
    <row r="2444" spans="3:3" x14ac:dyDescent="0.35">
      <c r="C2444" s="1"/>
    </row>
    <row r="2445" spans="3:3" x14ac:dyDescent="0.35">
      <c r="C2445" s="1"/>
    </row>
    <row r="2446" spans="3:3" x14ac:dyDescent="0.35">
      <c r="C2446" s="1"/>
    </row>
    <row r="2447" spans="3:3" x14ac:dyDescent="0.35">
      <c r="C2447" s="1"/>
    </row>
    <row r="2448" spans="3:3" x14ac:dyDescent="0.35">
      <c r="C2448" s="1"/>
    </row>
    <row r="2449" spans="3:3" x14ac:dyDescent="0.35">
      <c r="C2449" s="1"/>
    </row>
    <row r="2450" spans="3:3" x14ac:dyDescent="0.35">
      <c r="C2450" s="1"/>
    </row>
    <row r="2451" spans="3:3" x14ac:dyDescent="0.35">
      <c r="C2451" s="1"/>
    </row>
    <row r="2452" spans="3:3" x14ac:dyDescent="0.35">
      <c r="C2452" s="1"/>
    </row>
    <row r="2453" spans="3:3" x14ac:dyDescent="0.35">
      <c r="C2453" s="1"/>
    </row>
    <row r="2454" spans="3:3" x14ac:dyDescent="0.35">
      <c r="C2454" s="1"/>
    </row>
    <row r="2455" spans="3:3" x14ac:dyDescent="0.35">
      <c r="C2455" s="1"/>
    </row>
    <row r="2456" spans="3:3" x14ac:dyDescent="0.35">
      <c r="C2456" s="1"/>
    </row>
    <row r="2457" spans="3:3" x14ac:dyDescent="0.35">
      <c r="C2457" s="1"/>
    </row>
    <row r="2458" spans="3:3" x14ac:dyDescent="0.35">
      <c r="C2458" s="1"/>
    </row>
    <row r="2459" spans="3:3" x14ac:dyDescent="0.35">
      <c r="C2459" s="1"/>
    </row>
    <row r="2460" spans="3:3" x14ac:dyDescent="0.35">
      <c r="C2460" s="1"/>
    </row>
    <row r="2461" spans="3:3" x14ac:dyDescent="0.35">
      <c r="C2461" s="1"/>
    </row>
    <row r="2462" spans="3:3" x14ac:dyDescent="0.35">
      <c r="C2462" s="1"/>
    </row>
    <row r="2463" spans="3:3" x14ac:dyDescent="0.35">
      <c r="C2463" s="1"/>
    </row>
    <row r="2464" spans="3:3" x14ac:dyDescent="0.35">
      <c r="C2464" s="1"/>
    </row>
    <row r="2465" spans="3:3" x14ac:dyDescent="0.35">
      <c r="C2465" s="1"/>
    </row>
    <row r="2466" spans="3:3" x14ac:dyDescent="0.35">
      <c r="C2466" s="1"/>
    </row>
    <row r="2467" spans="3:3" x14ac:dyDescent="0.35">
      <c r="C2467" s="1"/>
    </row>
    <row r="2468" spans="3:3" x14ac:dyDescent="0.35">
      <c r="C2468" s="1"/>
    </row>
    <row r="2469" spans="3:3" x14ac:dyDescent="0.35">
      <c r="C2469" s="1"/>
    </row>
    <row r="2470" spans="3:3" x14ac:dyDescent="0.35">
      <c r="C2470" s="1"/>
    </row>
    <row r="2471" spans="3:3" x14ac:dyDescent="0.35">
      <c r="C2471" s="1"/>
    </row>
    <row r="2472" spans="3:3" x14ac:dyDescent="0.35">
      <c r="C2472" s="1"/>
    </row>
    <row r="2473" spans="3:3" x14ac:dyDescent="0.35">
      <c r="C2473" s="1"/>
    </row>
    <row r="2474" spans="3:3" x14ac:dyDescent="0.35">
      <c r="C2474" s="1"/>
    </row>
    <row r="2475" spans="3:3" x14ac:dyDescent="0.35">
      <c r="C2475" s="1"/>
    </row>
    <row r="2476" spans="3:3" x14ac:dyDescent="0.35">
      <c r="C2476" s="1"/>
    </row>
    <row r="2477" spans="3:3" x14ac:dyDescent="0.35">
      <c r="C2477" s="1"/>
    </row>
    <row r="2478" spans="3:3" x14ac:dyDescent="0.35">
      <c r="C2478" s="1"/>
    </row>
    <row r="2479" spans="3:3" x14ac:dyDescent="0.35">
      <c r="C2479" s="1"/>
    </row>
    <row r="2480" spans="3:3" x14ac:dyDescent="0.35">
      <c r="C2480" s="1"/>
    </row>
    <row r="2481" spans="3:3" x14ac:dyDescent="0.35">
      <c r="C2481" s="1"/>
    </row>
    <row r="2482" spans="3:3" x14ac:dyDescent="0.35">
      <c r="C2482" s="1"/>
    </row>
    <row r="2483" spans="3:3" x14ac:dyDescent="0.35">
      <c r="C2483" s="1"/>
    </row>
    <row r="2484" spans="3:3" x14ac:dyDescent="0.35">
      <c r="C2484" s="1"/>
    </row>
    <row r="2485" spans="3:3" x14ac:dyDescent="0.35">
      <c r="C2485" s="1"/>
    </row>
    <row r="2486" spans="3:3" x14ac:dyDescent="0.35">
      <c r="C2486" s="1"/>
    </row>
    <row r="2487" spans="3:3" x14ac:dyDescent="0.35">
      <c r="C2487" s="1"/>
    </row>
    <row r="2488" spans="3:3" x14ac:dyDescent="0.35">
      <c r="C2488" s="1"/>
    </row>
    <row r="2489" spans="3:3" x14ac:dyDescent="0.35">
      <c r="C2489" s="1"/>
    </row>
    <row r="2490" spans="3:3" x14ac:dyDescent="0.35">
      <c r="C2490" s="1"/>
    </row>
    <row r="2491" spans="3:3" x14ac:dyDescent="0.35">
      <c r="C2491" s="1"/>
    </row>
    <row r="2492" spans="3:3" x14ac:dyDescent="0.35">
      <c r="C2492" s="1"/>
    </row>
    <row r="2493" spans="3:3" x14ac:dyDescent="0.35">
      <c r="C2493" s="1"/>
    </row>
    <row r="2494" spans="3:3" x14ac:dyDescent="0.35">
      <c r="C2494" s="1"/>
    </row>
    <row r="2495" spans="3:3" x14ac:dyDescent="0.35">
      <c r="C2495" s="1"/>
    </row>
    <row r="2496" spans="3:3" x14ac:dyDescent="0.35">
      <c r="C2496" s="1"/>
    </row>
    <row r="2497" spans="3:3" x14ac:dyDescent="0.35">
      <c r="C2497" s="1"/>
    </row>
    <row r="2498" spans="3:3" x14ac:dyDescent="0.35">
      <c r="C2498" s="1"/>
    </row>
    <row r="2499" spans="3:3" x14ac:dyDescent="0.35">
      <c r="C2499" s="1"/>
    </row>
    <row r="2500" spans="3:3" x14ac:dyDescent="0.35">
      <c r="C2500" s="1"/>
    </row>
    <row r="2501" spans="3:3" x14ac:dyDescent="0.35">
      <c r="C2501" s="1"/>
    </row>
    <row r="2502" spans="3:3" x14ac:dyDescent="0.35">
      <c r="C2502" s="1"/>
    </row>
    <row r="2503" spans="3:3" x14ac:dyDescent="0.35">
      <c r="C2503" s="1"/>
    </row>
    <row r="2504" spans="3:3" x14ac:dyDescent="0.35">
      <c r="C2504" s="1"/>
    </row>
    <row r="2505" spans="3:3" x14ac:dyDescent="0.35">
      <c r="C2505" s="1"/>
    </row>
    <row r="2506" spans="3:3" x14ac:dyDescent="0.35">
      <c r="C2506" s="1"/>
    </row>
    <row r="2507" spans="3:3" x14ac:dyDescent="0.35">
      <c r="C2507" s="1"/>
    </row>
    <row r="2508" spans="3:3" x14ac:dyDescent="0.35">
      <c r="C2508" s="1"/>
    </row>
    <row r="2509" spans="3:3" x14ac:dyDescent="0.35">
      <c r="C2509" s="1"/>
    </row>
    <row r="2510" spans="3:3" x14ac:dyDescent="0.35">
      <c r="C2510" s="1"/>
    </row>
    <row r="2511" spans="3:3" x14ac:dyDescent="0.35">
      <c r="C2511" s="1"/>
    </row>
    <row r="2512" spans="3:3" x14ac:dyDescent="0.35">
      <c r="C2512" s="1"/>
    </row>
    <row r="2513" spans="3:3" x14ac:dyDescent="0.35">
      <c r="C2513" s="1"/>
    </row>
    <row r="2514" spans="3:3" x14ac:dyDescent="0.35">
      <c r="C2514" s="1"/>
    </row>
    <row r="2515" spans="3:3" x14ac:dyDescent="0.35">
      <c r="C2515" s="1"/>
    </row>
    <row r="2516" spans="3:3" x14ac:dyDescent="0.35">
      <c r="C2516" s="1"/>
    </row>
    <row r="2517" spans="3:3" x14ac:dyDescent="0.35">
      <c r="C2517" s="1"/>
    </row>
    <row r="2518" spans="3:3" x14ac:dyDescent="0.35">
      <c r="C2518" s="1"/>
    </row>
    <row r="2519" spans="3:3" x14ac:dyDescent="0.35">
      <c r="C2519" s="1"/>
    </row>
    <row r="2520" spans="3:3" x14ac:dyDescent="0.35">
      <c r="C2520" s="1"/>
    </row>
    <row r="2521" spans="3:3" x14ac:dyDescent="0.35">
      <c r="C2521" s="1"/>
    </row>
    <row r="2522" spans="3:3" x14ac:dyDescent="0.35">
      <c r="C2522" s="1"/>
    </row>
    <row r="2523" spans="3:3" x14ac:dyDescent="0.35">
      <c r="C2523" s="1"/>
    </row>
    <row r="2524" spans="3:3" x14ac:dyDescent="0.35">
      <c r="C2524" s="1"/>
    </row>
    <row r="2525" spans="3:3" x14ac:dyDescent="0.35">
      <c r="C2525" s="1"/>
    </row>
    <row r="2526" spans="3:3" x14ac:dyDescent="0.35">
      <c r="C2526" s="1"/>
    </row>
    <row r="2527" spans="3:3" x14ac:dyDescent="0.35">
      <c r="C2527" s="1"/>
    </row>
    <row r="2528" spans="3:3" x14ac:dyDescent="0.35">
      <c r="C2528" s="1"/>
    </row>
    <row r="2529" spans="3:3" x14ac:dyDescent="0.35">
      <c r="C2529" s="1"/>
    </row>
    <row r="2530" spans="3:3" x14ac:dyDescent="0.35">
      <c r="C2530" s="1"/>
    </row>
    <row r="2531" spans="3:3" x14ac:dyDescent="0.35">
      <c r="C2531" s="1"/>
    </row>
    <row r="2532" spans="3:3" x14ac:dyDescent="0.35">
      <c r="C2532" s="1"/>
    </row>
    <row r="2533" spans="3:3" x14ac:dyDescent="0.35">
      <c r="C2533" s="1"/>
    </row>
    <row r="2534" spans="3:3" x14ac:dyDescent="0.35">
      <c r="C2534" s="1"/>
    </row>
    <row r="2535" spans="3:3" x14ac:dyDescent="0.35">
      <c r="C2535" s="1"/>
    </row>
    <row r="2536" spans="3:3" x14ac:dyDescent="0.35">
      <c r="C2536" s="1"/>
    </row>
    <row r="2537" spans="3:3" x14ac:dyDescent="0.35">
      <c r="C2537" s="1"/>
    </row>
    <row r="2538" spans="3:3" x14ac:dyDescent="0.35">
      <c r="C2538" s="1"/>
    </row>
    <row r="2539" spans="3:3" x14ac:dyDescent="0.35">
      <c r="C2539" s="1"/>
    </row>
    <row r="2540" spans="3:3" x14ac:dyDescent="0.35">
      <c r="C2540" s="1"/>
    </row>
    <row r="2541" spans="3:3" x14ac:dyDescent="0.35">
      <c r="C2541" s="1"/>
    </row>
    <row r="2542" spans="3:3" x14ac:dyDescent="0.35">
      <c r="C2542" s="1"/>
    </row>
    <row r="2543" spans="3:3" x14ac:dyDescent="0.35">
      <c r="C2543" s="1"/>
    </row>
    <row r="2544" spans="3:3" x14ac:dyDescent="0.35">
      <c r="C2544" s="1"/>
    </row>
    <row r="2545" spans="3:3" x14ac:dyDescent="0.35">
      <c r="C2545" s="1"/>
    </row>
    <row r="2546" spans="3:3" x14ac:dyDescent="0.35">
      <c r="C2546" s="1"/>
    </row>
    <row r="2547" spans="3:3" x14ac:dyDescent="0.35">
      <c r="C2547" s="1"/>
    </row>
    <row r="2548" spans="3:3" x14ac:dyDescent="0.35">
      <c r="C2548" s="1"/>
    </row>
    <row r="2549" spans="3:3" x14ac:dyDescent="0.35">
      <c r="C2549" s="1"/>
    </row>
    <row r="2550" spans="3:3" x14ac:dyDescent="0.35">
      <c r="C2550" s="1"/>
    </row>
    <row r="2551" spans="3:3" x14ac:dyDescent="0.35">
      <c r="C2551" s="1"/>
    </row>
    <row r="2552" spans="3:3" x14ac:dyDescent="0.35">
      <c r="C2552" s="1"/>
    </row>
    <row r="2553" spans="3:3" x14ac:dyDescent="0.35">
      <c r="C2553" s="1"/>
    </row>
    <row r="2554" spans="3:3" x14ac:dyDescent="0.35">
      <c r="C2554" s="1"/>
    </row>
    <row r="2555" spans="3:3" x14ac:dyDescent="0.35">
      <c r="C2555" s="1"/>
    </row>
    <row r="2556" spans="3:3" x14ac:dyDescent="0.35">
      <c r="C2556" s="1"/>
    </row>
    <row r="2557" spans="3:3" x14ac:dyDescent="0.35">
      <c r="C2557" s="1"/>
    </row>
    <row r="2558" spans="3:3" x14ac:dyDescent="0.35">
      <c r="C2558" s="1"/>
    </row>
    <row r="2559" spans="3:3" x14ac:dyDescent="0.35">
      <c r="C2559" s="1"/>
    </row>
    <row r="2560" spans="3:3" x14ac:dyDescent="0.35">
      <c r="C2560" s="1"/>
    </row>
    <row r="2561" spans="3:3" x14ac:dyDescent="0.35">
      <c r="C2561" s="1"/>
    </row>
    <row r="2562" spans="3:3" x14ac:dyDescent="0.35">
      <c r="C2562" s="1"/>
    </row>
    <row r="2563" spans="3:3" x14ac:dyDescent="0.35">
      <c r="C2563" s="1"/>
    </row>
    <row r="2564" spans="3:3" x14ac:dyDescent="0.35">
      <c r="C2564" s="1"/>
    </row>
    <row r="2565" spans="3:3" x14ac:dyDescent="0.35">
      <c r="C2565" s="1"/>
    </row>
    <row r="2566" spans="3:3" x14ac:dyDescent="0.35">
      <c r="C2566" s="1"/>
    </row>
    <row r="2567" spans="3:3" x14ac:dyDescent="0.35">
      <c r="C2567" s="1"/>
    </row>
    <row r="2568" spans="3:3" x14ac:dyDescent="0.35">
      <c r="C2568" s="1"/>
    </row>
    <row r="2569" spans="3:3" x14ac:dyDescent="0.35">
      <c r="C2569" s="1"/>
    </row>
    <row r="2570" spans="3:3" x14ac:dyDescent="0.35">
      <c r="C2570" s="1"/>
    </row>
    <row r="2571" spans="3:3" x14ac:dyDescent="0.35">
      <c r="C2571" s="1"/>
    </row>
    <row r="2572" spans="3:3" x14ac:dyDescent="0.35">
      <c r="C2572" s="1"/>
    </row>
    <row r="2573" spans="3:3" x14ac:dyDescent="0.35">
      <c r="C2573" s="1"/>
    </row>
    <row r="2574" spans="3:3" x14ac:dyDescent="0.35">
      <c r="C2574" s="1"/>
    </row>
    <row r="2575" spans="3:3" x14ac:dyDescent="0.35">
      <c r="C2575" s="1"/>
    </row>
    <row r="2576" spans="3:3" x14ac:dyDescent="0.35">
      <c r="C2576" s="1"/>
    </row>
    <row r="2577" spans="3:3" x14ac:dyDescent="0.35">
      <c r="C2577" s="1"/>
    </row>
    <row r="2578" spans="3:3" x14ac:dyDescent="0.35">
      <c r="C2578" s="1"/>
    </row>
    <row r="2579" spans="3:3" x14ac:dyDescent="0.35">
      <c r="C2579" s="1"/>
    </row>
    <row r="2580" spans="3:3" x14ac:dyDescent="0.35">
      <c r="C2580" s="1"/>
    </row>
    <row r="2581" spans="3:3" x14ac:dyDescent="0.35">
      <c r="C2581" s="1"/>
    </row>
    <row r="2582" spans="3:3" x14ac:dyDescent="0.35">
      <c r="C2582" s="1"/>
    </row>
    <row r="2583" spans="3:3" x14ac:dyDescent="0.35">
      <c r="C2583" s="1"/>
    </row>
    <row r="2584" spans="3:3" x14ac:dyDescent="0.35">
      <c r="C2584" s="1"/>
    </row>
    <row r="2585" spans="3:3" x14ac:dyDescent="0.35">
      <c r="C2585" s="1"/>
    </row>
    <row r="2586" spans="3:3" x14ac:dyDescent="0.35">
      <c r="C2586" s="1"/>
    </row>
    <row r="2587" spans="3:3" x14ac:dyDescent="0.35">
      <c r="C2587" s="1"/>
    </row>
    <row r="2588" spans="3:3" x14ac:dyDescent="0.35">
      <c r="C2588" s="1"/>
    </row>
    <row r="2589" spans="3:3" x14ac:dyDescent="0.35">
      <c r="C2589" s="1"/>
    </row>
    <row r="2590" spans="3:3" x14ac:dyDescent="0.35">
      <c r="C2590" s="1"/>
    </row>
    <row r="2591" spans="3:3" x14ac:dyDescent="0.35">
      <c r="C2591" s="1"/>
    </row>
    <row r="2592" spans="3:3" x14ac:dyDescent="0.35">
      <c r="C2592" s="1"/>
    </row>
    <row r="2593" spans="3:3" x14ac:dyDescent="0.35">
      <c r="C2593" s="1"/>
    </row>
    <row r="2594" spans="3:3" x14ac:dyDescent="0.35">
      <c r="C2594" s="1"/>
    </row>
    <row r="2595" spans="3:3" x14ac:dyDescent="0.35">
      <c r="C2595" s="1"/>
    </row>
    <row r="2596" spans="3:3" x14ac:dyDescent="0.35">
      <c r="C2596" s="1"/>
    </row>
    <row r="2597" spans="3:3" x14ac:dyDescent="0.35">
      <c r="C2597" s="1"/>
    </row>
    <row r="2598" spans="3:3" x14ac:dyDescent="0.35">
      <c r="C2598" s="1"/>
    </row>
    <row r="2599" spans="3:3" x14ac:dyDescent="0.35">
      <c r="C2599" s="1"/>
    </row>
    <row r="2600" spans="3:3" x14ac:dyDescent="0.35">
      <c r="C2600" s="1"/>
    </row>
    <row r="2601" spans="3:3" x14ac:dyDescent="0.35">
      <c r="C2601" s="1"/>
    </row>
    <row r="2602" spans="3:3" x14ac:dyDescent="0.35">
      <c r="C2602" s="1"/>
    </row>
    <row r="2603" spans="3:3" x14ac:dyDescent="0.35">
      <c r="C2603" s="1"/>
    </row>
    <row r="2604" spans="3:3" x14ac:dyDescent="0.35">
      <c r="C2604" s="1"/>
    </row>
    <row r="2605" spans="3:3" x14ac:dyDescent="0.35">
      <c r="C2605" s="1"/>
    </row>
    <row r="2606" spans="3:3" x14ac:dyDescent="0.35">
      <c r="C2606" s="1"/>
    </row>
    <row r="2607" spans="3:3" x14ac:dyDescent="0.35">
      <c r="C2607" s="1"/>
    </row>
    <row r="2608" spans="3:3" x14ac:dyDescent="0.35">
      <c r="C2608" s="1"/>
    </row>
    <row r="2609" spans="3:3" x14ac:dyDescent="0.35">
      <c r="C2609" s="1"/>
    </row>
    <row r="2610" spans="3:3" x14ac:dyDescent="0.35">
      <c r="C2610" s="1"/>
    </row>
    <row r="2611" spans="3:3" x14ac:dyDescent="0.35">
      <c r="C2611" s="1"/>
    </row>
    <row r="2612" spans="3:3" x14ac:dyDescent="0.35">
      <c r="C2612" s="1"/>
    </row>
    <row r="2613" spans="3:3" x14ac:dyDescent="0.35">
      <c r="C2613" s="1"/>
    </row>
    <row r="2614" spans="3:3" x14ac:dyDescent="0.35">
      <c r="C2614" s="1"/>
    </row>
    <row r="2615" spans="3:3" x14ac:dyDescent="0.35">
      <c r="C2615" s="1"/>
    </row>
    <row r="2616" spans="3:3" x14ac:dyDescent="0.35">
      <c r="C2616" s="1"/>
    </row>
    <row r="2617" spans="3:3" x14ac:dyDescent="0.35">
      <c r="C2617" s="1"/>
    </row>
    <row r="2618" spans="3:3" x14ac:dyDescent="0.35">
      <c r="C2618" s="1"/>
    </row>
    <row r="2619" spans="3:3" x14ac:dyDescent="0.35">
      <c r="C2619" s="1"/>
    </row>
    <row r="2620" spans="3:3" x14ac:dyDescent="0.35">
      <c r="C2620" s="1"/>
    </row>
    <row r="2621" spans="3:3" x14ac:dyDescent="0.35">
      <c r="C2621" s="1"/>
    </row>
    <row r="2622" spans="3:3" x14ac:dyDescent="0.35">
      <c r="C2622" s="1"/>
    </row>
    <row r="2623" spans="3:3" x14ac:dyDescent="0.35">
      <c r="C2623" s="1"/>
    </row>
    <row r="2624" spans="3:3" x14ac:dyDescent="0.35">
      <c r="C2624" s="1"/>
    </row>
    <row r="2625" spans="3:3" x14ac:dyDescent="0.35">
      <c r="C2625" s="1"/>
    </row>
    <row r="2626" spans="3:3" x14ac:dyDescent="0.35">
      <c r="C2626" s="1"/>
    </row>
    <row r="2627" spans="3:3" x14ac:dyDescent="0.35">
      <c r="C2627" s="1"/>
    </row>
    <row r="2628" spans="3:3" x14ac:dyDescent="0.35">
      <c r="C2628" s="1"/>
    </row>
    <row r="2629" spans="3:3" x14ac:dyDescent="0.35">
      <c r="C2629" s="1"/>
    </row>
    <row r="2630" spans="3:3" x14ac:dyDescent="0.35">
      <c r="C2630" s="1"/>
    </row>
    <row r="2631" spans="3:3" x14ac:dyDescent="0.35">
      <c r="C2631" s="1"/>
    </row>
    <row r="2632" spans="3:3" x14ac:dyDescent="0.35">
      <c r="C2632" s="1"/>
    </row>
    <row r="2633" spans="3:3" x14ac:dyDescent="0.35">
      <c r="C2633" s="1"/>
    </row>
    <row r="2634" spans="3:3" x14ac:dyDescent="0.35">
      <c r="C2634" s="1"/>
    </row>
    <row r="2635" spans="3:3" x14ac:dyDescent="0.35">
      <c r="C2635" s="1"/>
    </row>
    <row r="2636" spans="3:3" x14ac:dyDescent="0.35">
      <c r="C2636" s="1"/>
    </row>
    <row r="2637" spans="3:3" x14ac:dyDescent="0.35">
      <c r="C2637" s="1"/>
    </row>
    <row r="2638" spans="3:3" x14ac:dyDescent="0.35">
      <c r="C2638" s="1"/>
    </row>
    <row r="2639" spans="3:3" x14ac:dyDescent="0.35">
      <c r="C2639" s="1"/>
    </row>
    <row r="2640" spans="3:3" x14ac:dyDescent="0.35">
      <c r="C2640" s="1"/>
    </row>
    <row r="2641" spans="3:3" x14ac:dyDescent="0.35">
      <c r="C2641" s="1"/>
    </row>
    <row r="2642" spans="3:3" x14ac:dyDescent="0.35">
      <c r="C2642" s="1"/>
    </row>
    <row r="2643" spans="3:3" x14ac:dyDescent="0.35">
      <c r="C2643" s="1"/>
    </row>
    <row r="2644" spans="3:3" x14ac:dyDescent="0.35">
      <c r="C2644" s="1"/>
    </row>
    <row r="2645" spans="3:3" x14ac:dyDescent="0.35">
      <c r="C2645" s="1"/>
    </row>
    <row r="2646" spans="3:3" x14ac:dyDescent="0.35">
      <c r="C2646" s="1"/>
    </row>
    <row r="2647" spans="3:3" x14ac:dyDescent="0.35">
      <c r="C2647" s="1"/>
    </row>
    <row r="2648" spans="3:3" x14ac:dyDescent="0.35">
      <c r="C2648" s="1"/>
    </row>
    <row r="2649" spans="3:3" x14ac:dyDescent="0.35">
      <c r="C2649" s="1"/>
    </row>
    <row r="2650" spans="3:3" x14ac:dyDescent="0.35">
      <c r="C2650" s="1"/>
    </row>
    <row r="2651" spans="3:3" x14ac:dyDescent="0.35">
      <c r="C2651" s="1"/>
    </row>
    <row r="2652" spans="3:3" x14ac:dyDescent="0.35">
      <c r="C2652" s="1"/>
    </row>
    <row r="2653" spans="3:3" x14ac:dyDescent="0.35">
      <c r="C2653" s="1"/>
    </row>
    <row r="2654" spans="3:3" x14ac:dyDescent="0.35">
      <c r="C2654" s="1"/>
    </row>
    <row r="2655" spans="3:3" x14ac:dyDescent="0.35">
      <c r="C2655" s="1"/>
    </row>
    <row r="2656" spans="3:3" x14ac:dyDescent="0.35">
      <c r="C2656" s="1"/>
    </row>
    <row r="2657" spans="3:3" x14ac:dyDescent="0.35">
      <c r="C2657" s="1"/>
    </row>
    <row r="2658" spans="3:3" x14ac:dyDescent="0.35">
      <c r="C2658" s="1"/>
    </row>
    <row r="2659" spans="3:3" x14ac:dyDescent="0.35">
      <c r="C2659" s="1"/>
    </row>
    <row r="2660" spans="3:3" x14ac:dyDescent="0.35">
      <c r="C2660" s="1"/>
    </row>
    <row r="2661" spans="3:3" x14ac:dyDescent="0.35">
      <c r="C2661" s="1"/>
    </row>
    <row r="2662" spans="3:3" x14ac:dyDescent="0.35">
      <c r="C2662" s="1"/>
    </row>
    <row r="2663" spans="3:3" x14ac:dyDescent="0.35">
      <c r="C2663" s="1"/>
    </row>
    <row r="2664" spans="3:3" x14ac:dyDescent="0.35">
      <c r="C2664" s="1"/>
    </row>
    <row r="2665" spans="3:3" x14ac:dyDescent="0.35">
      <c r="C2665" s="1"/>
    </row>
    <row r="2666" spans="3:3" x14ac:dyDescent="0.35">
      <c r="C2666" s="1"/>
    </row>
    <row r="2667" spans="3:3" x14ac:dyDescent="0.35">
      <c r="C2667" s="1"/>
    </row>
    <row r="2668" spans="3:3" x14ac:dyDescent="0.35">
      <c r="C2668" s="1"/>
    </row>
    <row r="2669" spans="3:3" x14ac:dyDescent="0.35">
      <c r="C2669" s="1"/>
    </row>
    <row r="2670" spans="3:3" x14ac:dyDescent="0.35">
      <c r="C2670" s="1"/>
    </row>
    <row r="2671" spans="3:3" x14ac:dyDescent="0.35">
      <c r="C2671" s="1"/>
    </row>
    <row r="2672" spans="3:3" x14ac:dyDescent="0.35">
      <c r="C2672" s="1"/>
    </row>
    <row r="2673" spans="3:3" x14ac:dyDescent="0.35">
      <c r="C2673" s="1"/>
    </row>
    <row r="2674" spans="3:3" x14ac:dyDescent="0.35">
      <c r="C2674" s="1"/>
    </row>
    <row r="2675" spans="3:3" x14ac:dyDescent="0.35">
      <c r="C2675" s="1"/>
    </row>
    <row r="2676" spans="3:3" x14ac:dyDescent="0.35">
      <c r="C2676" s="1"/>
    </row>
    <row r="2677" spans="3:3" x14ac:dyDescent="0.35">
      <c r="C2677" s="1"/>
    </row>
    <row r="2678" spans="3:3" x14ac:dyDescent="0.35">
      <c r="C2678" s="1"/>
    </row>
    <row r="2679" spans="3:3" x14ac:dyDescent="0.35">
      <c r="C2679" s="1"/>
    </row>
    <row r="2680" spans="3:3" x14ac:dyDescent="0.35">
      <c r="C2680" s="1"/>
    </row>
    <row r="2681" spans="3:3" x14ac:dyDescent="0.35">
      <c r="C2681" s="1"/>
    </row>
    <row r="2682" spans="3:3" x14ac:dyDescent="0.35">
      <c r="C2682" s="1"/>
    </row>
    <row r="2683" spans="3:3" x14ac:dyDescent="0.35">
      <c r="C2683" s="1"/>
    </row>
    <row r="2684" spans="3:3" x14ac:dyDescent="0.35">
      <c r="C2684" s="1"/>
    </row>
    <row r="2685" spans="3:3" x14ac:dyDescent="0.35">
      <c r="C2685" s="1"/>
    </row>
    <row r="2686" spans="3:3" x14ac:dyDescent="0.35">
      <c r="C2686" s="1"/>
    </row>
    <row r="2687" spans="3:3" x14ac:dyDescent="0.35">
      <c r="C2687" s="1"/>
    </row>
    <row r="2688" spans="3:3" x14ac:dyDescent="0.35">
      <c r="C2688" s="1"/>
    </row>
    <row r="2689" spans="3:3" x14ac:dyDescent="0.35">
      <c r="C2689" s="1"/>
    </row>
    <row r="2690" spans="3:3" x14ac:dyDescent="0.35">
      <c r="C2690" s="1"/>
    </row>
    <row r="2691" spans="3:3" x14ac:dyDescent="0.35">
      <c r="C2691" s="1"/>
    </row>
    <row r="2692" spans="3:3" x14ac:dyDescent="0.35">
      <c r="C2692" s="1"/>
    </row>
    <row r="2693" spans="3:3" x14ac:dyDescent="0.35">
      <c r="C2693" s="1"/>
    </row>
    <row r="2694" spans="3:3" x14ac:dyDescent="0.35">
      <c r="C2694" s="1"/>
    </row>
    <row r="2695" spans="3:3" x14ac:dyDescent="0.35">
      <c r="C2695" s="1"/>
    </row>
    <row r="2696" spans="3:3" x14ac:dyDescent="0.35">
      <c r="C2696" s="1"/>
    </row>
    <row r="2697" spans="3:3" x14ac:dyDescent="0.35">
      <c r="C2697" s="1"/>
    </row>
    <row r="2698" spans="3:3" x14ac:dyDescent="0.35">
      <c r="C2698" s="1"/>
    </row>
    <row r="2699" spans="3:3" x14ac:dyDescent="0.35">
      <c r="C2699" s="1"/>
    </row>
    <row r="2700" spans="3:3" x14ac:dyDescent="0.35">
      <c r="C2700" s="1"/>
    </row>
    <row r="2701" spans="3:3" x14ac:dyDescent="0.35">
      <c r="C2701" s="1"/>
    </row>
    <row r="2702" spans="3:3" x14ac:dyDescent="0.35">
      <c r="C2702" s="1"/>
    </row>
    <row r="2703" spans="3:3" x14ac:dyDescent="0.35">
      <c r="C2703" s="1"/>
    </row>
    <row r="2704" spans="3:3" x14ac:dyDescent="0.35">
      <c r="C2704" s="1"/>
    </row>
    <row r="2705" spans="3:3" x14ac:dyDescent="0.35">
      <c r="C2705" s="1"/>
    </row>
    <row r="2706" spans="3:3" x14ac:dyDescent="0.35">
      <c r="C2706" s="1"/>
    </row>
    <row r="2707" spans="3:3" x14ac:dyDescent="0.35">
      <c r="C2707" s="1"/>
    </row>
    <row r="2708" spans="3:3" x14ac:dyDescent="0.35">
      <c r="C2708" s="1"/>
    </row>
    <row r="2709" spans="3:3" x14ac:dyDescent="0.35">
      <c r="C2709" s="1"/>
    </row>
    <row r="2710" spans="3:3" x14ac:dyDescent="0.35">
      <c r="C2710" s="1"/>
    </row>
    <row r="2711" spans="3:3" x14ac:dyDescent="0.35">
      <c r="C2711" s="1"/>
    </row>
    <row r="2712" spans="3:3" x14ac:dyDescent="0.35">
      <c r="C2712" s="1"/>
    </row>
    <row r="2713" spans="3:3" x14ac:dyDescent="0.35">
      <c r="C2713" s="1"/>
    </row>
    <row r="2714" spans="3:3" x14ac:dyDescent="0.35">
      <c r="C2714" s="1"/>
    </row>
    <row r="2715" spans="3:3" x14ac:dyDescent="0.35">
      <c r="C2715" s="1"/>
    </row>
    <row r="2716" spans="3:3" x14ac:dyDescent="0.35">
      <c r="C2716" s="1"/>
    </row>
    <row r="2717" spans="3:3" x14ac:dyDescent="0.35">
      <c r="C2717" s="1"/>
    </row>
    <row r="2718" spans="3:3" x14ac:dyDescent="0.35">
      <c r="C2718" s="1"/>
    </row>
    <row r="2719" spans="3:3" x14ac:dyDescent="0.35">
      <c r="C2719" s="1"/>
    </row>
    <row r="2720" spans="3:3" x14ac:dyDescent="0.35">
      <c r="C2720" s="1"/>
    </row>
    <row r="2721" spans="3:3" x14ac:dyDescent="0.35">
      <c r="C2721" s="1"/>
    </row>
    <row r="2722" spans="3:3" x14ac:dyDescent="0.35">
      <c r="C2722" s="1"/>
    </row>
    <row r="2723" spans="3:3" x14ac:dyDescent="0.35">
      <c r="C2723" s="1"/>
    </row>
    <row r="2724" spans="3:3" x14ac:dyDescent="0.35">
      <c r="C2724" s="1"/>
    </row>
    <row r="2725" spans="3:3" x14ac:dyDescent="0.35">
      <c r="C2725" s="1"/>
    </row>
    <row r="2726" spans="3:3" x14ac:dyDescent="0.35">
      <c r="C2726" s="1"/>
    </row>
    <row r="2727" spans="3:3" x14ac:dyDescent="0.35">
      <c r="C2727" s="1"/>
    </row>
    <row r="2728" spans="3:3" x14ac:dyDescent="0.35">
      <c r="C2728" s="1"/>
    </row>
    <row r="2729" spans="3:3" x14ac:dyDescent="0.35">
      <c r="C2729" s="1"/>
    </row>
    <row r="2730" spans="3:3" x14ac:dyDescent="0.35">
      <c r="C2730" s="1"/>
    </row>
    <row r="2731" spans="3:3" x14ac:dyDescent="0.35">
      <c r="C2731" s="1"/>
    </row>
    <row r="2732" spans="3:3" x14ac:dyDescent="0.35">
      <c r="C2732" s="1"/>
    </row>
    <row r="2733" spans="3:3" x14ac:dyDescent="0.35">
      <c r="C2733" s="1"/>
    </row>
    <row r="2734" spans="3:3" x14ac:dyDescent="0.35">
      <c r="C2734" s="1"/>
    </row>
    <row r="2735" spans="3:3" x14ac:dyDescent="0.35">
      <c r="C2735" s="1"/>
    </row>
    <row r="2736" spans="3:3" x14ac:dyDescent="0.35">
      <c r="C2736" s="1"/>
    </row>
    <row r="2737" spans="3:3" x14ac:dyDescent="0.35">
      <c r="C2737" s="1"/>
    </row>
    <row r="2738" spans="3:3" x14ac:dyDescent="0.35">
      <c r="C2738" s="1"/>
    </row>
    <row r="2739" spans="3:3" x14ac:dyDescent="0.35">
      <c r="C2739" s="1"/>
    </row>
    <row r="2740" spans="3:3" x14ac:dyDescent="0.35">
      <c r="C2740" s="1"/>
    </row>
    <row r="2741" spans="3:3" x14ac:dyDescent="0.35">
      <c r="C2741" s="1"/>
    </row>
    <row r="2742" spans="3:3" x14ac:dyDescent="0.35">
      <c r="C2742" s="1"/>
    </row>
    <row r="2743" spans="3:3" x14ac:dyDescent="0.35">
      <c r="C2743" s="1"/>
    </row>
    <row r="2744" spans="3:3" x14ac:dyDescent="0.35">
      <c r="C2744" s="1"/>
    </row>
    <row r="2745" spans="3:3" x14ac:dyDescent="0.35">
      <c r="C2745" s="1"/>
    </row>
    <row r="2746" spans="3:3" x14ac:dyDescent="0.35">
      <c r="C2746" s="1"/>
    </row>
    <row r="2747" spans="3:3" x14ac:dyDescent="0.35">
      <c r="C2747" s="1"/>
    </row>
    <row r="2748" spans="3:3" x14ac:dyDescent="0.35">
      <c r="C2748" s="1"/>
    </row>
    <row r="2749" spans="3:3" x14ac:dyDescent="0.35">
      <c r="C2749" s="1"/>
    </row>
    <row r="2750" spans="3:3" x14ac:dyDescent="0.35">
      <c r="C2750" s="1"/>
    </row>
    <row r="2751" spans="3:3" x14ac:dyDescent="0.35">
      <c r="C2751" s="1"/>
    </row>
    <row r="2752" spans="3:3" x14ac:dyDescent="0.35">
      <c r="C2752" s="1"/>
    </row>
    <row r="2753" spans="3:3" x14ac:dyDescent="0.35">
      <c r="C2753" s="1"/>
    </row>
    <row r="2754" spans="3:3" x14ac:dyDescent="0.35">
      <c r="C2754" s="1"/>
    </row>
    <row r="2755" spans="3:3" x14ac:dyDescent="0.35">
      <c r="C2755" s="1"/>
    </row>
    <row r="2756" spans="3:3" x14ac:dyDescent="0.35">
      <c r="C2756" s="1"/>
    </row>
    <row r="2757" spans="3:3" x14ac:dyDescent="0.35">
      <c r="C2757" s="1"/>
    </row>
    <row r="2758" spans="3:3" x14ac:dyDescent="0.35">
      <c r="C2758" s="1"/>
    </row>
    <row r="2759" spans="3:3" x14ac:dyDescent="0.35">
      <c r="C2759" s="1"/>
    </row>
    <row r="2760" spans="3:3" x14ac:dyDescent="0.35">
      <c r="C2760" s="1"/>
    </row>
    <row r="2761" spans="3:3" x14ac:dyDescent="0.35">
      <c r="C2761" s="1"/>
    </row>
    <row r="2762" spans="3:3" x14ac:dyDescent="0.35">
      <c r="C2762" s="1"/>
    </row>
    <row r="2763" spans="3:3" x14ac:dyDescent="0.35">
      <c r="C2763" s="1"/>
    </row>
    <row r="2764" spans="3:3" x14ac:dyDescent="0.35">
      <c r="C2764" s="1"/>
    </row>
    <row r="2765" spans="3:3" x14ac:dyDescent="0.35">
      <c r="C2765" s="1"/>
    </row>
    <row r="2766" spans="3:3" x14ac:dyDescent="0.35">
      <c r="C2766" s="1"/>
    </row>
    <row r="2767" spans="3:3" x14ac:dyDescent="0.35">
      <c r="C2767" s="1"/>
    </row>
    <row r="2768" spans="3:3" x14ac:dyDescent="0.35">
      <c r="C2768" s="1"/>
    </row>
    <row r="2769" spans="3:3" x14ac:dyDescent="0.35">
      <c r="C2769" s="1"/>
    </row>
    <row r="2770" spans="3:3" x14ac:dyDescent="0.35">
      <c r="C2770" s="1"/>
    </row>
    <row r="2771" spans="3:3" x14ac:dyDescent="0.35">
      <c r="C2771" s="1"/>
    </row>
    <row r="2772" spans="3:3" x14ac:dyDescent="0.35">
      <c r="C2772" s="1"/>
    </row>
    <row r="2773" spans="3:3" x14ac:dyDescent="0.35">
      <c r="C2773" s="1"/>
    </row>
    <row r="2774" spans="3:3" x14ac:dyDescent="0.35">
      <c r="C2774" s="1"/>
    </row>
    <row r="2775" spans="3:3" x14ac:dyDescent="0.35">
      <c r="C2775" s="1"/>
    </row>
    <row r="2776" spans="3:3" x14ac:dyDescent="0.35">
      <c r="C2776" s="1"/>
    </row>
    <row r="2777" spans="3:3" x14ac:dyDescent="0.35">
      <c r="C2777" s="1"/>
    </row>
    <row r="2778" spans="3:3" x14ac:dyDescent="0.35">
      <c r="C2778" s="1"/>
    </row>
    <row r="2779" spans="3:3" x14ac:dyDescent="0.35">
      <c r="C2779" s="1"/>
    </row>
    <row r="2780" spans="3:3" x14ac:dyDescent="0.35">
      <c r="C2780" s="1"/>
    </row>
    <row r="2781" spans="3:3" x14ac:dyDescent="0.35">
      <c r="C2781" s="1"/>
    </row>
    <row r="2782" spans="3:3" x14ac:dyDescent="0.35">
      <c r="C2782" s="1"/>
    </row>
    <row r="2783" spans="3:3" x14ac:dyDescent="0.35">
      <c r="C2783" s="1"/>
    </row>
    <row r="2784" spans="3:3" x14ac:dyDescent="0.35">
      <c r="C2784" s="1"/>
    </row>
    <row r="2785" spans="3:3" x14ac:dyDescent="0.35">
      <c r="C2785" s="1"/>
    </row>
    <row r="2786" spans="3:3" x14ac:dyDescent="0.35">
      <c r="C2786" s="1"/>
    </row>
    <row r="2787" spans="3:3" x14ac:dyDescent="0.35">
      <c r="C2787" s="1"/>
    </row>
    <row r="2788" spans="3:3" x14ac:dyDescent="0.35">
      <c r="C2788" s="1"/>
    </row>
    <row r="2789" spans="3:3" x14ac:dyDescent="0.35">
      <c r="C2789" s="1"/>
    </row>
    <row r="2790" spans="3:3" x14ac:dyDescent="0.35">
      <c r="C2790" s="1"/>
    </row>
    <row r="2791" spans="3:3" x14ac:dyDescent="0.35">
      <c r="C2791" s="1"/>
    </row>
    <row r="2792" spans="3:3" x14ac:dyDescent="0.35">
      <c r="C2792" s="1"/>
    </row>
    <row r="2793" spans="3:3" x14ac:dyDescent="0.35">
      <c r="C2793" s="1"/>
    </row>
    <row r="2794" spans="3:3" x14ac:dyDescent="0.35">
      <c r="C2794" s="1"/>
    </row>
    <row r="2795" spans="3:3" x14ac:dyDescent="0.35">
      <c r="C2795" s="1"/>
    </row>
    <row r="2796" spans="3:3" x14ac:dyDescent="0.35">
      <c r="C2796" s="1"/>
    </row>
    <row r="2797" spans="3:3" x14ac:dyDescent="0.35">
      <c r="C2797" s="1"/>
    </row>
    <row r="2798" spans="3:3" x14ac:dyDescent="0.35">
      <c r="C2798" s="1"/>
    </row>
    <row r="2799" spans="3:3" x14ac:dyDescent="0.35">
      <c r="C2799" s="1"/>
    </row>
    <row r="2800" spans="3:3" x14ac:dyDescent="0.35">
      <c r="C2800" s="1"/>
    </row>
    <row r="2801" spans="3:3" x14ac:dyDescent="0.35">
      <c r="C2801" s="1"/>
    </row>
    <row r="2802" spans="3:3" x14ac:dyDescent="0.35">
      <c r="C2802" s="1"/>
    </row>
    <row r="2803" spans="3:3" x14ac:dyDescent="0.35">
      <c r="C2803" s="1"/>
    </row>
    <row r="2804" spans="3:3" x14ac:dyDescent="0.35">
      <c r="C2804" s="1"/>
    </row>
    <row r="2805" spans="3:3" x14ac:dyDescent="0.35">
      <c r="C2805" s="1"/>
    </row>
    <row r="2806" spans="3:3" x14ac:dyDescent="0.35">
      <c r="C2806" s="1"/>
    </row>
    <row r="2807" spans="3:3" x14ac:dyDescent="0.35">
      <c r="C2807" s="1"/>
    </row>
    <row r="2808" spans="3:3" x14ac:dyDescent="0.35">
      <c r="C2808" s="1"/>
    </row>
    <row r="2809" spans="3:3" x14ac:dyDescent="0.35">
      <c r="C2809" s="1"/>
    </row>
    <row r="2810" spans="3:3" x14ac:dyDescent="0.35">
      <c r="C2810" s="1"/>
    </row>
    <row r="2811" spans="3:3" x14ac:dyDescent="0.35">
      <c r="C2811" s="1"/>
    </row>
    <row r="2812" spans="3:3" x14ac:dyDescent="0.35">
      <c r="C2812" s="1"/>
    </row>
    <row r="2813" spans="3:3" x14ac:dyDescent="0.35">
      <c r="C2813" s="1"/>
    </row>
    <row r="2814" spans="3:3" x14ac:dyDescent="0.35">
      <c r="C2814" s="1"/>
    </row>
    <row r="2815" spans="3:3" x14ac:dyDescent="0.35">
      <c r="C2815" s="1"/>
    </row>
    <row r="2816" spans="3:3" x14ac:dyDescent="0.35">
      <c r="C2816" s="1"/>
    </row>
    <row r="2817" spans="3:3" x14ac:dyDescent="0.35">
      <c r="C2817" s="1"/>
    </row>
    <row r="2818" spans="3:3" x14ac:dyDescent="0.35">
      <c r="C2818" s="1"/>
    </row>
    <row r="2819" spans="3:3" x14ac:dyDescent="0.35">
      <c r="C2819" s="1"/>
    </row>
    <row r="2820" spans="3:3" x14ac:dyDescent="0.35">
      <c r="C2820" s="1"/>
    </row>
    <row r="2821" spans="3:3" x14ac:dyDescent="0.35">
      <c r="C2821" s="1"/>
    </row>
    <row r="2822" spans="3:3" x14ac:dyDescent="0.35">
      <c r="C2822" s="1"/>
    </row>
    <row r="2823" spans="3:3" x14ac:dyDescent="0.35">
      <c r="C2823" s="1"/>
    </row>
    <row r="2824" spans="3:3" x14ac:dyDescent="0.35">
      <c r="C2824" s="1"/>
    </row>
    <row r="2825" spans="3:3" x14ac:dyDescent="0.35">
      <c r="C2825" s="1"/>
    </row>
    <row r="2826" spans="3:3" x14ac:dyDescent="0.35">
      <c r="C2826" s="1"/>
    </row>
    <row r="2827" spans="3:3" x14ac:dyDescent="0.35">
      <c r="C2827" s="1"/>
    </row>
    <row r="2828" spans="3:3" x14ac:dyDescent="0.35">
      <c r="C2828" s="1"/>
    </row>
    <row r="2829" spans="3:3" x14ac:dyDescent="0.35">
      <c r="C2829" s="1"/>
    </row>
    <row r="2830" spans="3:3" x14ac:dyDescent="0.35">
      <c r="C2830" s="1"/>
    </row>
    <row r="2831" spans="3:3" x14ac:dyDescent="0.35">
      <c r="C2831" s="1"/>
    </row>
    <row r="2832" spans="3:3" x14ac:dyDescent="0.35">
      <c r="C2832" s="1"/>
    </row>
    <row r="2833" spans="3:3" x14ac:dyDescent="0.35">
      <c r="C2833" s="1"/>
    </row>
    <row r="2834" spans="3:3" x14ac:dyDescent="0.35">
      <c r="C2834" s="1"/>
    </row>
    <row r="2835" spans="3:3" x14ac:dyDescent="0.35">
      <c r="C2835" s="1"/>
    </row>
    <row r="2836" spans="3:3" x14ac:dyDescent="0.35">
      <c r="C2836" s="1"/>
    </row>
    <row r="2837" spans="3:3" x14ac:dyDescent="0.35">
      <c r="C2837" s="1"/>
    </row>
    <row r="2838" spans="3:3" x14ac:dyDescent="0.35">
      <c r="C2838" s="1"/>
    </row>
    <row r="2839" spans="3:3" x14ac:dyDescent="0.35">
      <c r="C2839" s="1"/>
    </row>
    <row r="2840" spans="3:3" x14ac:dyDescent="0.35">
      <c r="C2840" s="1"/>
    </row>
    <row r="2841" spans="3:3" x14ac:dyDescent="0.35">
      <c r="C2841" s="1"/>
    </row>
    <row r="2842" spans="3:3" x14ac:dyDescent="0.35">
      <c r="C2842" s="1"/>
    </row>
    <row r="2843" spans="3:3" x14ac:dyDescent="0.35">
      <c r="C2843" s="1"/>
    </row>
    <row r="2844" spans="3:3" x14ac:dyDescent="0.35">
      <c r="C2844" s="1"/>
    </row>
    <row r="2845" spans="3:3" x14ac:dyDescent="0.35">
      <c r="C2845" s="1"/>
    </row>
    <row r="2846" spans="3:3" x14ac:dyDescent="0.35">
      <c r="C2846" s="1"/>
    </row>
    <row r="2847" spans="3:3" x14ac:dyDescent="0.35">
      <c r="C2847" s="1"/>
    </row>
    <row r="2848" spans="3:3" x14ac:dyDescent="0.35">
      <c r="C2848" s="1"/>
    </row>
    <row r="2849" spans="3:3" x14ac:dyDescent="0.35">
      <c r="C2849" s="1"/>
    </row>
    <row r="2850" spans="3:3" x14ac:dyDescent="0.35">
      <c r="C2850" s="1"/>
    </row>
    <row r="2851" spans="3:3" x14ac:dyDescent="0.35">
      <c r="C2851" s="1"/>
    </row>
    <row r="2852" spans="3:3" x14ac:dyDescent="0.35">
      <c r="C2852" s="1"/>
    </row>
    <row r="2853" spans="3:3" x14ac:dyDescent="0.35">
      <c r="C2853" s="1"/>
    </row>
    <row r="2854" spans="3:3" x14ac:dyDescent="0.35">
      <c r="C2854" s="1"/>
    </row>
    <row r="2855" spans="3:3" x14ac:dyDescent="0.35">
      <c r="C2855" s="1"/>
    </row>
    <row r="2856" spans="3:3" x14ac:dyDescent="0.35">
      <c r="C2856" s="1"/>
    </row>
    <row r="2857" spans="3:3" x14ac:dyDescent="0.35">
      <c r="C2857" s="1"/>
    </row>
    <row r="2858" spans="3:3" x14ac:dyDescent="0.35">
      <c r="C2858" s="1"/>
    </row>
    <row r="2859" spans="3:3" x14ac:dyDescent="0.35">
      <c r="C2859" s="1"/>
    </row>
    <row r="2860" spans="3:3" x14ac:dyDescent="0.35">
      <c r="C2860" s="1"/>
    </row>
    <row r="2861" spans="3:3" x14ac:dyDescent="0.35">
      <c r="C2861" s="1"/>
    </row>
    <row r="2862" spans="3:3" x14ac:dyDescent="0.35">
      <c r="C2862" s="1"/>
    </row>
    <row r="2863" spans="3:3" x14ac:dyDescent="0.35">
      <c r="C2863" s="1"/>
    </row>
    <row r="2864" spans="3:3" x14ac:dyDescent="0.35">
      <c r="C2864" s="1"/>
    </row>
    <row r="2865" spans="3:3" x14ac:dyDescent="0.35">
      <c r="C2865" s="1"/>
    </row>
    <row r="2866" spans="3:3" x14ac:dyDescent="0.35">
      <c r="C2866" s="1"/>
    </row>
    <row r="2867" spans="3:3" x14ac:dyDescent="0.35">
      <c r="C2867" s="1"/>
    </row>
    <row r="2868" spans="3:3" x14ac:dyDescent="0.35">
      <c r="C2868" s="1"/>
    </row>
    <row r="2869" spans="3:3" x14ac:dyDescent="0.35">
      <c r="C2869" s="1"/>
    </row>
    <row r="2870" spans="3:3" x14ac:dyDescent="0.35">
      <c r="C2870" s="1"/>
    </row>
    <row r="2871" spans="3:3" x14ac:dyDescent="0.35">
      <c r="C2871" s="1"/>
    </row>
    <row r="2872" spans="3:3" x14ac:dyDescent="0.35">
      <c r="C2872" s="1"/>
    </row>
    <row r="2873" spans="3:3" x14ac:dyDescent="0.35">
      <c r="C2873" s="1"/>
    </row>
    <row r="2874" spans="3:3" x14ac:dyDescent="0.35">
      <c r="C2874" s="1"/>
    </row>
    <row r="2875" spans="3:3" x14ac:dyDescent="0.35">
      <c r="C2875" s="1"/>
    </row>
    <row r="2876" spans="3:3" x14ac:dyDescent="0.35">
      <c r="C2876" s="1"/>
    </row>
    <row r="2877" spans="3:3" x14ac:dyDescent="0.35">
      <c r="C2877" s="1"/>
    </row>
    <row r="2878" spans="3:3" x14ac:dyDescent="0.35">
      <c r="C2878" s="1"/>
    </row>
    <row r="2879" spans="3:3" x14ac:dyDescent="0.35">
      <c r="C2879" s="1"/>
    </row>
    <row r="2880" spans="3:3" x14ac:dyDescent="0.35">
      <c r="C2880" s="1"/>
    </row>
    <row r="2881" spans="3:3" x14ac:dyDescent="0.35">
      <c r="C2881" s="1"/>
    </row>
    <row r="2882" spans="3:3" x14ac:dyDescent="0.35">
      <c r="C2882" s="1"/>
    </row>
    <row r="2883" spans="3:3" x14ac:dyDescent="0.35">
      <c r="C2883" s="1"/>
    </row>
    <row r="2884" spans="3:3" x14ac:dyDescent="0.35">
      <c r="C2884" s="1"/>
    </row>
    <row r="2885" spans="3:3" x14ac:dyDescent="0.35">
      <c r="C2885" s="1"/>
    </row>
    <row r="2886" spans="3:3" x14ac:dyDescent="0.35">
      <c r="C2886" s="1"/>
    </row>
    <row r="2887" spans="3:3" x14ac:dyDescent="0.35">
      <c r="C2887" s="1"/>
    </row>
    <row r="2888" spans="3:3" x14ac:dyDescent="0.35">
      <c r="C2888" s="1"/>
    </row>
    <row r="2889" spans="3:3" x14ac:dyDescent="0.35">
      <c r="C2889" s="1"/>
    </row>
    <row r="2890" spans="3:3" x14ac:dyDescent="0.35">
      <c r="C2890" s="1"/>
    </row>
    <row r="2891" spans="3:3" x14ac:dyDescent="0.35">
      <c r="C2891" s="1"/>
    </row>
    <row r="2892" spans="3:3" x14ac:dyDescent="0.35">
      <c r="C2892" s="1"/>
    </row>
    <row r="2893" spans="3:3" x14ac:dyDescent="0.35">
      <c r="C2893" s="1"/>
    </row>
    <row r="2894" spans="3:3" x14ac:dyDescent="0.35">
      <c r="C2894" s="1"/>
    </row>
    <row r="2895" spans="3:3" x14ac:dyDescent="0.35">
      <c r="C2895" s="1"/>
    </row>
    <row r="2896" spans="3:3" x14ac:dyDescent="0.35">
      <c r="C2896" s="1"/>
    </row>
    <row r="2897" spans="3:3" x14ac:dyDescent="0.35">
      <c r="C2897" s="1"/>
    </row>
    <row r="2898" spans="3:3" x14ac:dyDescent="0.35">
      <c r="C2898" s="1"/>
    </row>
    <row r="2899" spans="3:3" x14ac:dyDescent="0.35">
      <c r="C2899" s="1"/>
    </row>
    <row r="2900" spans="3:3" x14ac:dyDescent="0.35">
      <c r="C2900" s="1"/>
    </row>
    <row r="2901" spans="3:3" x14ac:dyDescent="0.35">
      <c r="C2901" s="1"/>
    </row>
    <row r="2902" spans="3:3" x14ac:dyDescent="0.35">
      <c r="C2902" s="1"/>
    </row>
    <row r="2903" spans="3:3" x14ac:dyDescent="0.35">
      <c r="C2903" s="1"/>
    </row>
    <row r="2904" spans="3:3" x14ac:dyDescent="0.35">
      <c r="C2904" s="1"/>
    </row>
    <row r="2905" spans="3:3" x14ac:dyDescent="0.35">
      <c r="C2905" s="1"/>
    </row>
    <row r="2906" spans="3:3" x14ac:dyDescent="0.35">
      <c r="C2906" s="1"/>
    </row>
    <row r="2907" spans="3:3" x14ac:dyDescent="0.35">
      <c r="C2907" s="1"/>
    </row>
    <row r="2908" spans="3:3" x14ac:dyDescent="0.35">
      <c r="C2908" s="1"/>
    </row>
    <row r="2909" spans="3:3" x14ac:dyDescent="0.35">
      <c r="C2909" s="1"/>
    </row>
    <row r="2910" spans="3:3" x14ac:dyDescent="0.35">
      <c r="C2910" s="1"/>
    </row>
    <row r="2911" spans="3:3" x14ac:dyDescent="0.35">
      <c r="C2911" s="1"/>
    </row>
    <row r="2912" spans="3:3" x14ac:dyDescent="0.35">
      <c r="C2912" s="1"/>
    </row>
    <row r="2913" spans="3:3" x14ac:dyDescent="0.35">
      <c r="C2913" s="1"/>
    </row>
    <row r="2914" spans="3:3" x14ac:dyDescent="0.35">
      <c r="C2914" s="1"/>
    </row>
    <row r="2915" spans="3:3" x14ac:dyDescent="0.35">
      <c r="C2915" s="1"/>
    </row>
    <row r="2916" spans="3:3" x14ac:dyDescent="0.35">
      <c r="C2916" s="1"/>
    </row>
    <row r="2917" spans="3:3" x14ac:dyDescent="0.35">
      <c r="C2917" s="1"/>
    </row>
    <row r="2918" spans="3:3" x14ac:dyDescent="0.35">
      <c r="C2918" s="1"/>
    </row>
    <row r="2919" spans="3:3" x14ac:dyDescent="0.35">
      <c r="C2919" s="1"/>
    </row>
    <row r="2920" spans="3:3" x14ac:dyDescent="0.35">
      <c r="C2920" s="1"/>
    </row>
    <row r="2921" spans="3:3" x14ac:dyDescent="0.35">
      <c r="C2921" s="1"/>
    </row>
    <row r="2922" spans="3:3" x14ac:dyDescent="0.35">
      <c r="C2922" s="1"/>
    </row>
    <row r="2923" spans="3:3" x14ac:dyDescent="0.35">
      <c r="C2923" s="1"/>
    </row>
    <row r="2924" spans="3:3" x14ac:dyDescent="0.35">
      <c r="C2924" s="1"/>
    </row>
    <row r="2925" spans="3:3" x14ac:dyDescent="0.35">
      <c r="C2925" s="1"/>
    </row>
    <row r="2926" spans="3:3" x14ac:dyDescent="0.35">
      <c r="C2926" s="1"/>
    </row>
    <row r="2927" spans="3:3" x14ac:dyDescent="0.35">
      <c r="C2927" s="1"/>
    </row>
    <row r="2928" spans="3:3" x14ac:dyDescent="0.35">
      <c r="C2928" s="1"/>
    </row>
    <row r="2929" spans="3:3" x14ac:dyDescent="0.35">
      <c r="C2929" s="1"/>
    </row>
    <row r="2930" spans="3:3" x14ac:dyDescent="0.35">
      <c r="C2930" s="1"/>
    </row>
    <row r="2931" spans="3:3" x14ac:dyDescent="0.35">
      <c r="C2931" s="1"/>
    </row>
    <row r="2932" spans="3:3" x14ac:dyDescent="0.35">
      <c r="C2932" s="1"/>
    </row>
    <row r="2933" spans="3:3" x14ac:dyDescent="0.35">
      <c r="C2933" s="1"/>
    </row>
    <row r="2934" spans="3:3" x14ac:dyDescent="0.35">
      <c r="C2934" s="1"/>
    </row>
    <row r="2935" spans="3:3" x14ac:dyDescent="0.35">
      <c r="C2935" s="1"/>
    </row>
    <row r="2936" spans="3:3" x14ac:dyDescent="0.35">
      <c r="C2936" s="1"/>
    </row>
    <row r="2937" spans="3:3" x14ac:dyDescent="0.35">
      <c r="C2937" s="1"/>
    </row>
    <row r="2938" spans="3:3" x14ac:dyDescent="0.35">
      <c r="C2938" s="1"/>
    </row>
    <row r="2939" spans="3:3" x14ac:dyDescent="0.35">
      <c r="C2939" s="1"/>
    </row>
    <row r="2940" spans="3:3" x14ac:dyDescent="0.35">
      <c r="C2940" s="1"/>
    </row>
    <row r="2941" spans="3:3" x14ac:dyDescent="0.35">
      <c r="C2941" s="1"/>
    </row>
    <row r="2942" spans="3:3" x14ac:dyDescent="0.35">
      <c r="C2942" s="1"/>
    </row>
    <row r="2943" spans="3:3" x14ac:dyDescent="0.35">
      <c r="C2943" s="1"/>
    </row>
    <row r="2944" spans="3:3" x14ac:dyDescent="0.35">
      <c r="C2944" s="1"/>
    </row>
    <row r="2945" spans="3:3" x14ac:dyDescent="0.35">
      <c r="C2945" s="1"/>
    </row>
    <row r="2946" spans="3:3" x14ac:dyDescent="0.35">
      <c r="C2946" s="1"/>
    </row>
    <row r="2947" spans="3:3" x14ac:dyDescent="0.35">
      <c r="C2947" s="1"/>
    </row>
    <row r="2948" spans="3:3" x14ac:dyDescent="0.35">
      <c r="C2948" s="1"/>
    </row>
    <row r="2949" spans="3:3" x14ac:dyDescent="0.35">
      <c r="C2949" s="1"/>
    </row>
    <row r="2950" spans="3:3" x14ac:dyDescent="0.35">
      <c r="C2950" s="1"/>
    </row>
    <row r="2951" spans="3:3" x14ac:dyDescent="0.35">
      <c r="C2951" s="1"/>
    </row>
    <row r="2952" spans="3:3" x14ac:dyDescent="0.35">
      <c r="C2952" s="1"/>
    </row>
    <row r="2953" spans="3:3" x14ac:dyDescent="0.35">
      <c r="C2953" s="1"/>
    </row>
    <row r="2954" spans="3:3" x14ac:dyDescent="0.35">
      <c r="C2954" s="1"/>
    </row>
    <row r="2955" spans="3:3" x14ac:dyDescent="0.35">
      <c r="C2955" s="1"/>
    </row>
    <row r="2956" spans="3:3" x14ac:dyDescent="0.35">
      <c r="C2956" s="1"/>
    </row>
    <row r="2957" spans="3:3" x14ac:dyDescent="0.35">
      <c r="C2957" s="1"/>
    </row>
    <row r="2958" spans="3:3" x14ac:dyDescent="0.35">
      <c r="C2958" s="1"/>
    </row>
    <row r="2959" spans="3:3" x14ac:dyDescent="0.35">
      <c r="C2959" s="1"/>
    </row>
    <row r="2960" spans="3:3" x14ac:dyDescent="0.35">
      <c r="C2960" s="1"/>
    </row>
    <row r="2961" spans="3:3" x14ac:dyDescent="0.35">
      <c r="C2961" s="1"/>
    </row>
    <row r="2962" spans="3:3" x14ac:dyDescent="0.35">
      <c r="C2962" s="1"/>
    </row>
    <row r="2963" spans="3:3" x14ac:dyDescent="0.35">
      <c r="C2963" s="1"/>
    </row>
    <row r="2964" spans="3:3" x14ac:dyDescent="0.35">
      <c r="C2964" s="1"/>
    </row>
    <row r="2965" spans="3:3" x14ac:dyDescent="0.35">
      <c r="C2965" s="1"/>
    </row>
    <row r="2966" spans="3:3" x14ac:dyDescent="0.35">
      <c r="C2966" s="1"/>
    </row>
    <row r="2967" spans="3:3" x14ac:dyDescent="0.35">
      <c r="C2967" s="1"/>
    </row>
    <row r="2968" spans="3:3" x14ac:dyDescent="0.35">
      <c r="C2968" s="1"/>
    </row>
    <row r="2969" spans="3:3" x14ac:dyDescent="0.35">
      <c r="C2969" s="1"/>
    </row>
    <row r="2970" spans="3:3" x14ac:dyDescent="0.35">
      <c r="C2970" s="1"/>
    </row>
    <row r="2971" spans="3:3" x14ac:dyDescent="0.35">
      <c r="C2971" s="1"/>
    </row>
    <row r="2972" spans="3:3" x14ac:dyDescent="0.35">
      <c r="C2972" s="1"/>
    </row>
    <row r="2973" spans="3:3" x14ac:dyDescent="0.35">
      <c r="C2973" s="1"/>
    </row>
    <row r="2974" spans="3:3" x14ac:dyDescent="0.35">
      <c r="C2974" s="1"/>
    </row>
    <row r="2975" spans="3:3" x14ac:dyDescent="0.35">
      <c r="C2975" s="1"/>
    </row>
    <row r="2976" spans="3:3" x14ac:dyDescent="0.35">
      <c r="C2976" s="1"/>
    </row>
    <row r="2977" spans="3:3" x14ac:dyDescent="0.35">
      <c r="C2977" s="1"/>
    </row>
    <row r="2978" spans="3:3" x14ac:dyDescent="0.35">
      <c r="C2978" s="1"/>
    </row>
    <row r="2979" spans="3:3" x14ac:dyDescent="0.35">
      <c r="C2979" s="1"/>
    </row>
    <row r="2980" spans="3:3" x14ac:dyDescent="0.35">
      <c r="C2980" s="1"/>
    </row>
    <row r="2981" spans="3:3" x14ac:dyDescent="0.35">
      <c r="C2981" s="1"/>
    </row>
    <row r="2982" spans="3:3" x14ac:dyDescent="0.35">
      <c r="C2982" s="1"/>
    </row>
    <row r="2983" spans="3:3" x14ac:dyDescent="0.35">
      <c r="C2983" s="1"/>
    </row>
    <row r="2984" spans="3:3" x14ac:dyDescent="0.35">
      <c r="C2984" s="1"/>
    </row>
    <row r="2985" spans="3:3" x14ac:dyDescent="0.35">
      <c r="C2985" s="1"/>
    </row>
    <row r="2986" spans="3:3" x14ac:dyDescent="0.35">
      <c r="C2986" s="1"/>
    </row>
    <row r="2987" spans="3:3" x14ac:dyDescent="0.35">
      <c r="C2987" s="1"/>
    </row>
    <row r="2988" spans="3:3" x14ac:dyDescent="0.35">
      <c r="C2988" s="1"/>
    </row>
    <row r="2989" spans="3:3" x14ac:dyDescent="0.35">
      <c r="C2989" s="1"/>
    </row>
    <row r="2990" spans="3:3" x14ac:dyDescent="0.35">
      <c r="C2990" s="1"/>
    </row>
    <row r="2991" spans="3:3" x14ac:dyDescent="0.35">
      <c r="C2991" s="1"/>
    </row>
    <row r="2992" spans="3:3" x14ac:dyDescent="0.35">
      <c r="C2992" s="1"/>
    </row>
    <row r="2993" spans="3:3" x14ac:dyDescent="0.35">
      <c r="C2993" s="1"/>
    </row>
    <row r="2994" spans="3:3" x14ac:dyDescent="0.35">
      <c r="C2994" s="1"/>
    </row>
    <row r="2995" spans="3:3" x14ac:dyDescent="0.35">
      <c r="C2995" s="1"/>
    </row>
    <row r="2996" spans="3:3" x14ac:dyDescent="0.35">
      <c r="C2996" s="1"/>
    </row>
    <row r="2997" spans="3:3" x14ac:dyDescent="0.35">
      <c r="C2997" s="1"/>
    </row>
    <row r="2998" spans="3:3" x14ac:dyDescent="0.35">
      <c r="C2998" s="1"/>
    </row>
    <row r="2999" spans="3:3" x14ac:dyDescent="0.35">
      <c r="C2999" s="1"/>
    </row>
    <row r="3000" spans="3:3" x14ac:dyDescent="0.35">
      <c r="C3000" s="1"/>
    </row>
    <row r="3001" spans="3:3" x14ac:dyDescent="0.35">
      <c r="C3001" s="1"/>
    </row>
    <row r="3002" spans="3:3" x14ac:dyDescent="0.35">
      <c r="C3002" s="1"/>
    </row>
    <row r="3003" spans="3:3" x14ac:dyDescent="0.35">
      <c r="C3003" s="1"/>
    </row>
    <row r="3004" spans="3:3" x14ac:dyDescent="0.35">
      <c r="C3004" s="1"/>
    </row>
    <row r="3005" spans="3:3" x14ac:dyDescent="0.35">
      <c r="C3005" s="1"/>
    </row>
    <row r="3006" spans="3:3" x14ac:dyDescent="0.35">
      <c r="C3006" s="1"/>
    </row>
    <row r="3007" spans="3:3" x14ac:dyDescent="0.35">
      <c r="C3007" s="1"/>
    </row>
    <row r="3008" spans="3:3" x14ac:dyDescent="0.35">
      <c r="C3008" s="1"/>
    </row>
    <row r="3009" spans="3:3" x14ac:dyDescent="0.35">
      <c r="C3009" s="1"/>
    </row>
    <row r="3010" spans="3:3" x14ac:dyDescent="0.35">
      <c r="C3010" s="1"/>
    </row>
    <row r="3011" spans="3:3" x14ac:dyDescent="0.35">
      <c r="C3011" s="1"/>
    </row>
    <row r="3012" spans="3:3" x14ac:dyDescent="0.35">
      <c r="C3012" s="1"/>
    </row>
    <row r="3013" spans="3:3" x14ac:dyDescent="0.35">
      <c r="C3013" s="1"/>
    </row>
    <row r="3014" spans="3:3" x14ac:dyDescent="0.35">
      <c r="C3014" s="1"/>
    </row>
    <row r="3015" spans="3:3" x14ac:dyDescent="0.35">
      <c r="C3015" s="1"/>
    </row>
    <row r="3016" spans="3:3" x14ac:dyDescent="0.35">
      <c r="C3016" s="1"/>
    </row>
    <row r="3017" spans="3:3" x14ac:dyDescent="0.35">
      <c r="C3017" s="1"/>
    </row>
    <row r="3018" spans="3:3" x14ac:dyDescent="0.35">
      <c r="C3018" s="1"/>
    </row>
    <row r="3019" spans="3:3" x14ac:dyDescent="0.35">
      <c r="C3019" s="1"/>
    </row>
    <row r="3020" spans="3:3" x14ac:dyDescent="0.35">
      <c r="C3020" s="1"/>
    </row>
    <row r="3021" spans="3:3" x14ac:dyDescent="0.35">
      <c r="C3021" s="1"/>
    </row>
    <row r="3022" spans="3:3" x14ac:dyDescent="0.35">
      <c r="C3022" s="1"/>
    </row>
    <row r="3023" spans="3:3" x14ac:dyDescent="0.35">
      <c r="C3023" s="1"/>
    </row>
    <row r="3024" spans="3:3" x14ac:dyDescent="0.35">
      <c r="C3024" s="1"/>
    </row>
    <row r="3025" spans="3:3" x14ac:dyDescent="0.35">
      <c r="C3025" s="1"/>
    </row>
    <row r="3026" spans="3:3" x14ac:dyDescent="0.35">
      <c r="C3026" s="1"/>
    </row>
    <row r="3027" spans="3:3" x14ac:dyDescent="0.35">
      <c r="C3027" s="1"/>
    </row>
    <row r="3028" spans="3:3" x14ac:dyDescent="0.35">
      <c r="C3028" s="1"/>
    </row>
    <row r="3029" spans="3:3" x14ac:dyDescent="0.35">
      <c r="C3029" s="1"/>
    </row>
    <row r="3030" spans="3:3" x14ac:dyDescent="0.35">
      <c r="C3030" s="1"/>
    </row>
    <row r="3031" spans="3:3" x14ac:dyDescent="0.35">
      <c r="C3031" s="1"/>
    </row>
    <row r="3032" spans="3:3" x14ac:dyDescent="0.35">
      <c r="C3032" s="1"/>
    </row>
    <row r="3033" spans="3:3" x14ac:dyDescent="0.35">
      <c r="C3033" s="1"/>
    </row>
    <row r="3034" spans="3:3" x14ac:dyDescent="0.35">
      <c r="C3034" s="1"/>
    </row>
    <row r="3035" spans="3:3" x14ac:dyDescent="0.35">
      <c r="C3035" s="1"/>
    </row>
    <row r="3036" spans="3:3" x14ac:dyDescent="0.35">
      <c r="C3036" s="1"/>
    </row>
    <row r="3037" spans="3:3" x14ac:dyDescent="0.35">
      <c r="C3037" s="1"/>
    </row>
    <row r="3038" spans="3:3" x14ac:dyDescent="0.35">
      <c r="C3038" s="1"/>
    </row>
    <row r="3039" spans="3:3" x14ac:dyDescent="0.35">
      <c r="C3039" s="1"/>
    </row>
    <row r="3040" spans="3:3" x14ac:dyDescent="0.35">
      <c r="C3040" s="1"/>
    </row>
    <row r="3041" spans="3:3" x14ac:dyDescent="0.35">
      <c r="C3041" s="1"/>
    </row>
    <row r="3042" spans="3:3" x14ac:dyDescent="0.35">
      <c r="C3042" s="1"/>
    </row>
    <row r="3043" spans="3:3" x14ac:dyDescent="0.35">
      <c r="C3043" s="1"/>
    </row>
    <row r="3044" spans="3:3" x14ac:dyDescent="0.35">
      <c r="C3044" s="1"/>
    </row>
    <row r="3045" spans="3:3" x14ac:dyDescent="0.35">
      <c r="C3045" s="1"/>
    </row>
    <row r="3046" spans="3:3" x14ac:dyDescent="0.35">
      <c r="C3046" s="1"/>
    </row>
    <row r="3047" spans="3:3" x14ac:dyDescent="0.35">
      <c r="C3047" s="1"/>
    </row>
    <row r="3048" spans="3:3" x14ac:dyDescent="0.35">
      <c r="C3048" s="1"/>
    </row>
    <row r="3049" spans="3:3" x14ac:dyDescent="0.35">
      <c r="C3049" s="1"/>
    </row>
    <row r="3050" spans="3:3" x14ac:dyDescent="0.35">
      <c r="C3050" s="1"/>
    </row>
    <row r="3051" spans="3:3" x14ac:dyDescent="0.35">
      <c r="C3051" s="1"/>
    </row>
    <row r="3052" spans="3:3" x14ac:dyDescent="0.35">
      <c r="C3052" s="1"/>
    </row>
    <row r="3053" spans="3:3" x14ac:dyDescent="0.35">
      <c r="C3053" s="1"/>
    </row>
    <row r="3054" spans="3:3" x14ac:dyDescent="0.35">
      <c r="C3054" s="1"/>
    </row>
    <row r="3055" spans="3:3" x14ac:dyDescent="0.35">
      <c r="C3055" s="1"/>
    </row>
    <row r="3056" spans="3:3" x14ac:dyDescent="0.35">
      <c r="C3056" s="1"/>
    </row>
    <row r="3057" spans="3:3" x14ac:dyDescent="0.35">
      <c r="C3057" s="1"/>
    </row>
    <row r="3058" spans="3:3" x14ac:dyDescent="0.35">
      <c r="C3058" s="1"/>
    </row>
    <row r="3059" spans="3:3" x14ac:dyDescent="0.35">
      <c r="C3059" s="1"/>
    </row>
    <row r="3060" spans="3:3" x14ac:dyDescent="0.35">
      <c r="C3060" s="1"/>
    </row>
    <row r="3061" spans="3:3" x14ac:dyDescent="0.35">
      <c r="C3061" s="1"/>
    </row>
    <row r="3062" spans="3:3" x14ac:dyDescent="0.35">
      <c r="C3062" s="1"/>
    </row>
    <row r="3063" spans="3:3" x14ac:dyDescent="0.35">
      <c r="C3063" s="1"/>
    </row>
    <row r="3064" spans="3:3" x14ac:dyDescent="0.35">
      <c r="C3064" s="1"/>
    </row>
    <row r="3065" spans="3:3" x14ac:dyDescent="0.35">
      <c r="C3065" s="1"/>
    </row>
    <row r="3066" spans="3:3" x14ac:dyDescent="0.35">
      <c r="C3066" s="1"/>
    </row>
    <row r="3067" spans="3:3" x14ac:dyDescent="0.35">
      <c r="C3067" s="1"/>
    </row>
    <row r="3068" spans="3:3" x14ac:dyDescent="0.35">
      <c r="C3068" s="1"/>
    </row>
    <row r="3069" spans="3:3" x14ac:dyDescent="0.35">
      <c r="C3069" s="1"/>
    </row>
    <row r="3070" spans="3:3" x14ac:dyDescent="0.35">
      <c r="C3070" s="1"/>
    </row>
    <row r="3071" spans="3:3" x14ac:dyDescent="0.35">
      <c r="C3071" s="1"/>
    </row>
    <row r="3072" spans="3:3" x14ac:dyDescent="0.35">
      <c r="C3072" s="1"/>
    </row>
    <row r="3073" spans="3:3" x14ac:dyDescent="0.35">
      <c r="C3073" s="1"/>
    </row>
    <row r="3074" spans="3:3" x14ac:dyDescent="0.35">
      <c r="C3074" s="1"/>
    </row>
    <row r="3075" spans="3:3" x14ac:dyDescent="0.35">
      <c r="C3075" s="1"/>
    </row>
    <row r="3076" spans="3:3" x14ac:dyDescent="0.35">
      <c r="C3076" s="1"/>
    </row>
    <row r="3077" spans="3:3" x14ac:dyDescent="0.35">
      <c r="C3077" s="1"/>
    </row>
    <row r="3078" spans="3:3" x14ac:dyDescent="0.35">
      <c r="C3078" s="1"/>
    </row>
    <row r="3079" spans="3:3" x14ac:dyDescent="0.35">
      <c r="C3079" s="1"/>
    </row>
    <row r="3080" spans="3:3" x14ac:dyDescent="0.35">
      <c r="C3080" s="1"/>
    </row>
    <row r="3081" spans="3:3" x14ac:dyDescent="0.35">
      <c r="C3081" s="1"/>
    </row>
    <row r="3082" spans="3:3" x14ac:dyDescent="0.35">
      <c r="C3082" s="1"/>
    </row>
    <row r="3083" spans="3:3" x14ac:dyDescent="0.35">
      <c r="C3083" s="1"/>
    </row>
    <row r="3084" spans="3:3" x14ac:dyDescent="0.35">
      <c r="C3084" s="1"/>
    </row>
    <row r="3085" spans="3:3" x14ac:dyDescent="0.35">
      <c r="C3085" s="1"/>
    </row>
    <row r="3086" spans="3:3" x14ac:dyDescent="0.35">
      <c r="C3086" s="1"/>
    </row>
    <row r="3087" spans="3:3" x14ac:dyDescent="0.35">
      <c r="C3087" s="1"/>
    </row>
    <row r="3088" spans="3:3" x14ac:dyDescent="0.35">
      <c r="C3088" s="1"/>
    </row>
    <row r="3089" spans="3:3" x14ac:dyDescent="0.35">
      <c r="C3089" s="1"/>
    </row>
    <row r="3090" spans="3:3" x14ac:dyDescent="0.35">
      <c r="C3090" s="1"/>
    </row>
    <row r="3091" spans="3:3" x14ac:dyDescent="0.35">
      <c r="C3091" s="1"/>
    </row>
    <row r="3092" spans="3:3" x14ac:dyDescent="0.35">
      <c r="C3092" s="1"/>
    </row>
    <row r="3093" spans="3:3" x14ac:dyDescent="0.35">
      <c r="C3093" s="1"/>
    </row>
    <row r="3094" spans="3:3" x14ac:dyDescent="0.35">
      <c r="C3094" s="1"/>
    </row>
    <row r="3095" spans="3:3" x14ac:dyDescent="0.35">
      <c r="C3095" s="1"/>
    </row>
    <row r="3096" spans="3:3" x14ac:dyDescent="0.35">
      <c r="C3096" s="1"/>
    </row>
    <row r="3097" spans="3:3" x14ac:dyDescent="0.35">
      <c r="C3097" s="1"/>
    </row>
    <row r="3098" spans="3:3" x14ac:dyDescent="0.35">
      <c r="C3098" s="1"/>
    </row>
    <row r="3099" spans="3:3" x14ac:dyDescent="0.35">
      <c r="C3099" s="1"/>
    </row>
    <row r="3100" spans="3:3" x14ac:dyDescent="0.35">
      <c r="C3100" s="1"/>
    </row>
    <row r="3101" spans="3:3" x14ac:dyDescent="0.35">
      <c r="C3101" s="1"/>
    </row>
    <row r="3102" spans="3:3" x14ac:dyDescent="0.35">
      <c r="C3102" s="1"/>
    </row>
    <row r="3103" spans="3:3" x14ac:dyDescent="0.35">
      <c r="C3103" s="1"/>
    </row>
    <row r="3104" spans="3:3" x14ac:dyDescent="0.35">
      <c r="C3104" s="1"/>
    </row>
    <row r="3105" spans="3:3" x14ac:dyDescent="0.35">
      <c r="C3105" s="1"/>
    </row>
    <row r="3106" spans="3:3" x14ac:dyDescent="0.35">
      <c r="C3106" s="1"/>
    </row>
    <row r="3107" spans="3:3" x14ac:dyDescent="0.35">
      <c r="C3107" s="1"/>
    </row>
    <row r="3108" spans="3:3" x14ac:dyDescent="0.35">
      <c r="C3108" s="1"/>
    </row>
    <row r="3109" spans="3:3" x14ac:dyDescent="0.35">
      <c r="C3109" s="1"/>
    </row>
    <row r="3110" spans="3:3" x14ac:dyDescent="0.35">
      <c r="C3110" s="1"/>
    </row>
    <row r="3111" spans="3:3" x14ac:dyDescent="0.35">
      <c r="C3111" s="1"/>
    </row>
    <row r="3112" spans="3:3" x14ac:dyDescent="0.35">
      <c r="C3112" s="1"/>
    </row>
    <row r="3113" spans="3:3" x14ac:dyDescent="0.35">
      <c r="C3113" s="1"/>
    </row>
    <row r="3114" spans="3:3" x14ac:dyDescent="0.35">
      <c r="C3114" s="1"/>
    </row>
    <row r="3115" spans="3:3" x14ac:dyDescent="0.35">
      <c r="C3115" s="1"/>
    </row>
    <row r="3116" spans="3:3" x14ac:dyDescent="0.35">
      <c r="C3116" s="1"/>
    </row>
    <row r="3117" spans="3:3" x14ac:dyDescent="0.35">
      <c r="C3117" s="1"/>
    </row>
    <row r="3118" spans="3:3" x14ac:dyDescent="0.35">
      <c r="C3118" s="1"/>
    </row>
    <row r="3119" spans="3:3" x14ac:dyDescent="0.35">
      <c r="C3119" s="1"/>
    </row>
    <row r="3120" spans="3:3" x14ac:dyDescent="0.35">
      <c r="C3120" s="1"/>
    </row>
    <row r="3121" spans="3:3" x14ac:dyDescent="0.35">
      <c r="C3121" s="1"/>
    </row>
    <row r="3122" spans="3:3" x14ac:dyDescent="0.35">
      <c r="C3122" s="1"/>
    </row>
    <row r="3123" spans="3:3" x14ac:dyDescent="0.35">
      <c r="C3123" s="1"/>
    </row>
    <row r="3124" spans="3:3" x14ac:dyDescent="0.35">
      <c r="C3124" s="1"/>
    </row>
    <row r="3125" spans="3:3" x14ac:dyDescent="0.35">
      <c r="C3125" s="1"/>
    </row>
    <row r="3126" spans="3:3" x14ac:dyDescent="0.35">
      <c r="C3126" s="1"/>
    </row>
    <row r="3127" spans="3:3" x14ac:dyDescent="0.35">
      <c r="C3127" s="1"/>
    </row>
    <row r="3128" spans="3:3" x14ac:dyDescent="0.35">
      <c r="C3128" s="1"/>
    </row>
    <row r="3129" spans="3:3" x14ac:dyDescent="0.35">
      <c r="C3129" s="1"/>
    </row>
    <row r="3130" spans="3:3" x14ac:dyDescent="0.35">
      <c r="C3130" s="1"/>
    </row>
    <row r="3131" spans="3:3" x14ac:dyDescent="0.35">
      <c r="C3131" s="1"/>
    </row>
    <row r="3132" spans="3:3" x14ac:dyDescent="0.35">
      <c r="C3132" s="1"/>
    </row>
    <row r="3133" spans="3:3" x14ac:dyDescent="0.35">
      <c r="C3133" s="1"/>
    </row>
    <row r="3134" spans="3:3" x14ac:dyDescent="0.35">
      <c r="C3134" s="1"/>
    </row>
    <row r="3135" spans="3:3" x14ac:dyDescent="0.35">
      <c r="C3135" s="1"/>
    </row>
    <row r="3136" spans="3:3" x14ac:dyDescent="0.35">
      <c r="C3136" s="1"/>
    </row>
    <row r="3137" spans="3:3" x14ac:dyDescent="0.35">
      <c r="C3137" s="1"/>
    </row>
    <row r="3138" spans="3:3" x14ac:dyDescent="0.35">
      <c r="C3138" s="1"/>
    </row>
    <row r="3139" spans="3:3" x14ac:dyDescent="0.35">
      <c r="C3139" s="1"/>
    </row>
    <row r="3140" spans="3:3" x14ac:dyDescent="0.35">
      <c r="C3140" s="1"/>
    </row>
    <row r="3141" spans="3:3" x14ac:dyDescent="0.35">
      <c r="C3141" s="1"/>
    </row>
    <row r="3142" spans="3:3" x14ac:dyDescent="0.35">
      <c r="C3142" s="1"/>
    </row>
    <row r="3143" spans="3:3" x14ac:dyDescent="0.35">
      <c r="C3143" s="1"/>
    </row>
    <row r="3144" spans="3:3" x14ac:dyDescent="0.35">
      <c r="C3144" s="1"/>
    </row>
    <row r="3145" spans="3:3" x14ac:dyDescent="0.35">
      <c r="C3145" s="1"/>
    </row>
    <row r="3146" spans="3:3" x14ac:dyDescent="0.35">
      <c r="C3146" s="1"/>
    </row>
    <row r="3147" spans="3:3" x14ac:dyDescent="0.35">
      <c r="C3147" s="1"/>
    </row>
    <row r="3148" spans="3:3" x14ac:dyDescent="0.35">
      <c r="C3148" s="1"/>
    </row>
    <row r="3149" spans="3:3" x14ac:dyDescent="0.35">
      <c r="C3149" s="1"/>
    </row>
    <row r="3150" spans="3:3" x14ac:dyDescent="0.35">
      <c r="C3150" s="1"/>
    </row>
    <row r="3151" spans="3:3" x14ac:dyDescent="0.35">
      <c r="C3151" s="1"/>
    </row>
    <row r="3152" spans="3:3" x14ac:dyDescent="0.35">
      <c r="C3152" s="1"/>
    </row>
    <row r="3153" spans="3:3" x14ac:dyDescent="0.35">
      <c r="C3153" s="1"/>
    </row>
    <row r="3154" spans="3:3" x14ac:dyDescent="0.35">
      <c r="C3154" s="1"/>
    </row>
    <row r="3155" spans="3:3" x14ac:dyDescent="0.35">
      <c r="C3155" s="1"/>
    </row>
    <row r="3156" spans="3:3" x14ac:dyDescent="0.35">
      <c r="C3156" s="1"/>
    </row>
    <row r="3157" spans="3:3" x14ac:dyDescent="0.35">
      <c r="C3157" s="1"/>
    </row>
    <row r="3158" spans="3:3" x14ac:dyDescent="0.35">
      <c r="C3158" s="1"/>
    </row>
    <row r="3159" spans="3:3" x14ac:dyDescent="0.35">
      <c r="C3159" s="1"/>
    </row>
    <row r="3160" spans="3:3" x14ac:dyDescent="0.35">
      <c r="C3160" s="1"/>
    </row>
    <row r="3161" spans="3:3" x14ac:dyDescent="0.35">
      <c r="C3161" s="1"/>
    </row>
    <row r="3162" spans="3:3" x14ac:dyDescent="0.35">
      <c r="C3162" s="1"/>
    </row>
    <row r="3163" spans="3:3" x14ac:dyDescent="0.35">
      <c r="C3163" s="1"/>
    </row>
    <row r="3164" spans="3:3" x14ac:dyDescent="0.35">
      <c r="C3164" s="1"/>
    </row>
    <row r="3165" spans="3:3" x14ac:dyDescent="0.35">
      <c r="C3165" s="1"/>
    </row>
    <row r="3166" spans="3:3" x14ac:dyDescent="0.35">
      <c r="C3166" s="1"/>
    </row>
    <row r="3167" spans="3:3" x14ac:dyDescent="0.35">
      <c r="C3167" s="1"/>
    </row>
    <row r="3168" spans="3:3" x14ac:dyDescent="0.35">
      <c r="C3168" s="1"/>
    </row>
    <row r="3169" spans="3:3" x14ac:dyDescent="0.35">
      <c r="C3169" s="1"/>
    </row>
    <row r="3170" spans="3:3" x14ac:dyDescent="0.35">
      <c r="C3170" s="1"/>
    </row>
    <row r="3171" spans="3:3" x14ac:dyDescent="0.35">
      <c r="C3171" s="1"/>
    </row>
    <row r="3172" spans="3:3" x14ac:dyDescent="0.35">
      <c r="C3172" s="1"/>
    </row>
    <row r="3173" spans="3:3" x14ac:dyDescent="0.35">
      <c r="C3173" s="1"/>
    </row>
    <row r="3174" spans="3:3" x14ac:dyDescent="0.35">
      <c r="C3174" s="1"/>
    </row>
    <row r="3175" spans="3:3" x14ac:dyDescent="0.35">
      <c r="C3175" s="1"/>
    </row>
    <row r="3176" spans="3:3" x14ac:dyDescent="0.35">
      <c r="C3176" s="1"/>
    </row>
    <row r="3177" spans="3:3" x14ac:dyDescent="0.35">
      <c r="C3177" s="1"/>
    </row>
    <row r="3178" spans="3:3" x14ac:dyDescent="0.35">
      <c r="C3178" s="1"/>
    </row>
    <row r="3179" spans="3:3" x14ac:dyDescent="0.35">
      <c r="C3179" s="1"/>
    </row>
    <row r="3180" spans="3:3" x14ac:dyDescent="0.35">
      <c r="C3180" s="1"/>
    </row>
    <row r="3181" spans="3:3" x14ac:dyDescent="0.35">
      <c r="C3181" s="1"/>
    </row>
    <row r="3182" spans="3:3" x14ac:dyDescent="0.35">
      <c r="C3182" s="1"/>
    </row>
    <row r="3183" spans="3:3" x14ac:dyDescent="0.35">
      <c r="C3183" s="1"/>
    </row>
    <row r="3184" spans="3:3" x14ac:dyDescent="0.35">
      <c r="C3184" s="1"/>
    </row>
    <row r="3185" spans="3:3" x14ac:dyDescent="0.35">
      <c r="C3185" s="1"/>
    </row>
    <row r="3186" spans="3:3" x14ac:dyDescent="0.35">
      <c r="C3186" s="1"/>
    </row>
    <row r="3187" spans="3:3" x14ac:dyDescent="0.35">
      <c r="C3187" s="1"/>
    </row>
    <row r="3188" spans="3:3" x14ac:dyDescent="0.35">
      <c r="C3188" s="1"/>
    </row>
    <row r="3189" spans="3:3" x14ac:dyDescent="0.35">
      <c r="C3189" s="1"/>
    </row>
    <row r="3190" spans="3:3" x14ac:dyDescent="0.35">
      <c r="C3190" s="1"/>
    </row>
    <row r="3191" spans="3:3" x14ac:dyDescent="0.35">
      <c r="C3191" s="1"/>
    </row>
    <row r="3192" spans="3:3" x14ac:dyDescent="0.35">
      <c r="C3192" s="1"/>
    </row>
    <row r="3193" spans="3:3" x14ac:dyDescent="0.35">
      <c r="C3193" s="1"/>
    </row>
    <row r="3194" spans="3:3" x14ac:dyDescent="0.35">
      <c r="C3194" s="1"/>
    </row>
    <row r="3195" spans="3:3" x14ac:dyDescent="0.35">
      <c r="C3195" s="1"/>
    </row>
    <row r="3196" spans="3:3" x14ac:dyDescent="0.35">
      <c r="C3196" s="1"/>
    </row>
    <row r="3197" spans="3:3" x14ac:dyDescent="0.35">
      <c r="C3197" s="1"/>
    </row>
    <row r="3198" spans="3:3" x14ac:dyDescent="0.35">
      <c r="C3198" s="1"/>
    </row>
    <row r="3199" spans="3:3" x14ac:dyDescent="0.35">
      <c r="C3199" s="1"/>
    </row>
    <row r="3200" spans="3:3" x14ac:dyDescent="0.35">
      <c r="C3200" s="1"/>
    </row>
    <row r="3201" spans="3:3" x14ac:dyDescent="0.35">
      <c r="C3201" s="1"/>
    </row>
    <row r="3202" spans="3:3" x14ac:dyDescent="0.35">
      <c r="C3202" s="1"/>
    </row>
    <row r="3203" spans="3:3" x14ac:dyDescent="0.35">
      <c r="C3203" s="1"/>
    </row>
    <row r="3204" spans="3:3" x14ac:dyDescent="0.35">
      <c r="C3204" s="1"/>
    </row>
    <row r="3205" spans="3:3" x14ac:dyDescent="0.35">
      <c r="C3205" s="1"/>
    </row>
    <row r="3206" spans="3:3" x14ac:dyDescent="0.35">
      <c r="C3206" s="1"/>
    </row>
    <row r="3207" spans="3:3" x14ac:dyDescent="0.35">
      <c r="C3207" s="1"/>
    </row>
    <row r="3208" spans="3:3" x14ac:dyDescent="0.35">
      <c r="C3208" s="1"/>
    </row>
    <row r="3209" spans="3:3" x14ac:dyDescent="0.35">
      <c r="C3209" s="1"/>
    </row>
    <row r="3210" spans="3:3" x14ac:dyDescent="0.35">
      <c r="C3210" s="1"/>
    </row>
    <row r="3211" spans="3:3" x14ac:dyDescent="0.35">
      <c r="C3211" s="1"/>
    </row>
    <row r="3212" spans="3:3" x14ac:dyDescent="0.35">
      <c r="C3212" s="1"/>
    </row>
    <row r="3213" spans="3:3" x14ac:dyDescent="0.35">
      <c r="C3213" s="1"/>
    </row>
    <row r="3214" spans="3:3" x14ac:dyDescent="0.35">
      <c r="C3214" s="1"/>
    </row>
    <row r="3215" spans="3:3" x14ac:dyDescent="0.35">
      <c r="C3215" s="1"/>
    </row>
    <row r="3216" spans="3:3" x14ac:dyDescent="0.35">
      <c r="C3216" s="1"/>
    </row>
    <row r="3217" spans="3:3" x14ac:dyDescent="0.35">
      <c r="C3217" s="1"/>
    </row>
    <row r="3218" spans="3:3" x14ac:dyDescent="0.35">
      <c r="C3218" s="1"/>
    </row>
    <row r="3219" spans="3:3" x14ac:dyDescent="0.35">
      <c r="C3219" s="1"/>
    </row>
    <row r="3220" spans="3:3" x14ac:dyDescent="0.35">
      <c r="C3220" s="1"/>
    </row>
    <row r="3221" spans="3:3" x14ac:dyDescent="0.35">
      <c r="C3221" s="1"/>
    </row>
    <row r="3222" spans="3:3" x14ac:dyDescent="0.35">
      <c r="C3222" s="1"/>
    </row>
    <row r="3223" spans="3:3" x14ac:dyDescent="0.35">
      <c r="C3223" s="1"/>
    </row>
    <row r="3224" spans="3:3" x14ac:dyDescent="0.35">
      <c r="C3224" s="1"/>
    </row>
    <row r="3225" spans="3:3" x14ac:dyDescent="0.35">
      <c r="C3225" s="1"/>
    </row>
    <row r="3226" spans="3:3" x14ac:dyDescent="0.35">
      <c r="C3226" s="1"/>
    </row>
    <row r="3227" spans="3:3" x14ac:dyDescent="0.35">
      <c r="C3227" s="1"/>
    </row>
    <row r="3228" spans="3:3" x14ac:dyDescent="0.35">
      <c r="C3228" s="1"/>
    </row>
    <row r="3229" spans="3:3" x14ac:dyDescent="0.35">
      <c r="C3229" s="1"/>
    </row>
    <row r="3230" spans="3:3" x14ac:dyDescent="0.35">
      <c r="C3230" s="1"/>
    </row>
    <row r="3231" spans="3:3" x14ac:dyDescent="0.35">
      <c r="C3231" s="1"/>
    </row>
    <row r="3232" spans="3:3" x14ac:dyDescent="0.35">
      <c r="C3232" s="1"/>
    </row>
    <row r="3233" spans="3:3" x14ac:dyDescent="0.35">
      <c r="C3233" s="1"/>
    </row>
    <row r="3234" spans="3:3" x14ac:dyDescent="0.35">
      <c r="C3234" s="1"/>
    </row>
    <row r="3235" spans="3:3" x14ac:dyDescent="0.35">
      <c r="C3235" s="1"/>
    </row>
    <row r="3236" spans="3:3" x14ac:dyDescent="0.35">
      <c r="C3236" s="1"/>
    </row>
    <row r="3237" spans="3:3" x14ac:dyDescent="0.35">
      <c r="C3237" s="1"/>
    </row>
    <row r="3238" spans="3:3" x14ac:dyDescent="0.35">
      <c r="C3238" s="1"/>
    </row>
    <row r="3239" spans="3:3" x14ac:dyDescent="0.35">
      <c r="C3239" s="1"/>
    </row>
    <row r="3240" spans="3:3" x14ac:dyDescent="0.35">
      <c r="C3240" s="1"/>
    </row>
    <row r="3241" spans="3:3" x14ac:dyDescent="0.35">
      <c r="C3241" s="1"/>
    </row>
    <row r="3242" spans="3:3" x14ac:dyDescent="0.35">
      <c r="C3242" s="1"/>
    </row>
    <row r="3243" spans="3:3" x14ac:dyDescent="0.35">
      <c r="C3243" s="1"/>
    </row>
    <row r="3244" spans="3:3" x14ac:dyDescent="0.35">
      <c r="C3244" s="1"/>
    </row>
    <row r="3245" spans="3:3" x14ac:dyDescent="0.35">
      <c r="C3245" s="1"/>
    </row>
    <row r="3246" spans="3:3" x14ac:dyDescent="0.35">
      <c r="C3246" s="1"/>
    </row>
    <row r="3247" spans="3:3" x14ac:dyDescent="0.35">
      <c r="C3247" s="1"/>
    </row>
    <row r="3248" spans="3:3" x14ac:dyDescent="0.35">
      <c r="C3248" s="1"/>
    </row>
    <row r="3249" spans="3:3" x14ac:dyDescent="0.35">
      <c r="C3249" s="1"/>
    </row>
    <row r="3250" spans="3:3" x14ac:dyDescent="0.35">
      <c r="C3250" s="1"/>
    </row>
    <row r="3251" spans="3:3" x14ac:dyDescent="0.35">
      <c r="C3251" s="1"/>
    </row>
    <row r="3252" spans="3:3" x14ac:dyDescent="0.35">
      <c r="C3252" s="1"/>
    </row>
    <row r="3253" spans="3:3" x14ac:dyDescent="0.35">
      <c r="C3253" s="1"/>
    </row>
    <row r="3254" spans="3:3" x14ac:dyDescent="0.35">
      <c r="C3254" s="1"/>
    </row>
    <row r="3255" spans="3:3" x14ac:dyDescent="0.35">
      <c r="C3255" s="1"/>
    </row>
    <row r="3256" spans="3:3" x14ac:dyDescent="0.35">
      <c r="C3256" s="1"/>
    </row>
    <row r="3257" spans="3:3" x14ac:dyDescent="0.35">
      <c r="C3257" s="1"/>
    </row>
    <row r="3258" spans="3:3" x14ac:dyDescent="0.35">
      <c r="C3258" s="1"/>
    </row>
    <row r="3259" spans="3:3" x14ac:dyDescent="0.35">
      <c r="C3259" s="1"/>
    </row>
    <row r="3260" spans="3:3" x14ac:dyDescent="0.35">
      <c r="C3260" s="1"/>
    </row>
    <row r="3261" spans="3:3" x14ac:dyDescent="0.35">
      <c r="C3261" s="1"/>
    </row>
    <row r="3262" spans="3:3" x14ac:dyDescent="0.35">
      <c r="C3262" s="1"/>
    </row>
    <row r="3263" spans="3:3" x14ac:dyDescent="0.35">
      <c r="C3263" s="1"/>
    </row>
    <row r="3264" spans="3:3" x14ac:dyDescent="0.35">
      <c r="C3264" s="1"/>
    </row>
    <row r="3265" spans="3:3" x14ac:dyDescent="0.35">
      <c r="C3265" s="1"/>
    </row>
    <row r="3266" spans="3:3" x14ac:dyDescent="0.35">
      <c r="C3266" s="1"/>
    </row>
    <row r="3267" spans="3:3" x14ac:dyDescent="0.35">
      <c r="C3267" s="1"/>
    </row>
    <row r="3268" spans="3:3" x14ac:dyDescent="0.35">
      <c r="C3268" s="1"/>
    </row>
    <row r="3269" spans="3:3" x14ac:dyDescent="0.35">
      <c r="C3269" s="1"/>
    </row>
    <row r="3270" spans="3:3" x14ac:dyDescent="0.35">
      <c r="C3270" s="1"/>
    </row>
    <row r="3271" spans="3:3" x14ac:dyDescent="0.35">
      <c r="C3271" s="1"/>
    </row>
    <row r="3272" spans="3:3" x14ac:dyDescent="0.35">
      <c r="C3272" s="1"/>
    </row>
    <row r="3273" spans="3:3" x14ac:dyDescent="0.35">
      <c r="C3273" s="1"/>
    </row>
    <row r="3274" spans="3:3" x14ac:dyDescent="0.35">
      <c r="C3274" s="1"/>
    </row>
    <row r="3275" spans="3:3" x14ac:dyDescent="0.35">
      <c r="C3275" s="1"/>
    </row>
    <row r="3276" spans="3:3" x14ac:dyDescent="0.35">
      <c r="C3276" s="1"/>
    </row>
    <row r="3277" spans="3:3" x14ac:dyDescent="0.35">
      <c r="C3277" s="1"/>
    </row>
    <row r="3278" spans="3:3" x14ac:dyDescent="0.35">
      <c r="C3278" s="1"/>
    </row>
    <row r="3279" spans="3:3" x14ac:dyDescent="0.35">
      <c r="C3279" s="1"/>
    </row>
    <row r="3280" spans="3:3" x14ac:dyDescent="0.35">
      <c r="C3280" s="1"/>
    </row>
    <row r="3281" spans="3:3" x14ac:dyDescent="0.35">
      <c r="C3281" s="1"/>
    </row>
    <row r="3282" spans="3:3" x14ac:dyDescent="0.35">
      <c r="C3282" s="1"/>
    </row>
    <row r="3283" spans="3:3" x14ac:dyDescent="0.35">
      <c r="C3283" s="1"/>
    </row>
    <row r="3284" spans="3:3" x14ac:dyDescent="0.35">
      <c r="C3284" s="1"/>
    </row>
    <row r="3285" spans="3:3" x14ac:dyDescent="0.35">
      <c r="C3285" s="1"/>
    </row>
    <row r="3286" spans="3:3" x14ac:dyDescent="0.35">
      <c r="C3286" s="1"/>
    </row>
    <row r="3287" spans="3:3" x14ac:dyDescent="0.35">
      <c r="C3287" s="1"/>
    </row>
    <row r="3288" spans="3:3" x14ac:dyDescent="0.35">
      <c r="C3288" s="1"/>
    </row>
    <row r="3289" spans="3:3" x14ac:dyDescent="0.35">
      <c r="C3289" s="1"/>
    </row>
    <row r="3290" spans="3:3" x14ac:dyDescent="0.35">
      <c r="C3290" s="1"/>
    </row>
    <row r="3291" spans="3:3" x14ac:dyDescent="0.35">
      <c r="C3291" s="1"/>
    </row>
    <row r="3292" spans="3:3" x14ac:dyDescent="0.35">
      <c r="C3292" s="1"/>
    </row>
    <row r="3293" spans="3:3" x14ac:dyDescent="0.35">
      <c r="C3293" s="1"/>
    </row>
    <row r="3294" spans="3:3" x14ac:dyDescent="0.35">
      <c r="C3294" s="1"/>
    </row>
    <row r="3295" spans="3:3" x14ac:dyDescent="0.35">
      <c r="C3295" s="1"/>
    </row>
    <row r="3296" spans="3:3" x14ac:dyDescent="0.35">
      <c r="C3296" s="1"/>
    </row>
    <row r="3297" spans="3:3" x14ac:dyDescent="0.35">
      <c r="C3297" s="1"/>
    </row>
    <row r="3298" spans="3:3" x14ac:dyDescent="0.35">
      <c r="C3298" s="1"/>
    </row>
    <row r="3299" spans="3:3" x14ac:dyDescent="0.35">
      <c r="C3299" s="1"/>
    </row>
    <row r="3300" spans="3:3" x14ac:dyDescent="0.35">
      <c r="C3300" s="1"/>
    </row>
    <row r="3301" spans="3:3" x14ac:dyDescent="0.35">
      <c r="C3301" s="1"/>
    </row>
    <row r="3302" spans="3:3" x14ac:dyDescent="0.35">
      <c r="C3302" s="1"/>
    </row>
    <row r="3303" spans="3:3" x14ac:dyDescent="0.35">
      <c r="C3303" s="1"/>
    </row>
    <row r="3304" spans="3:3" x14ac:dyDescent="0.35">
      <c r="C3304" s="1"/>
    </row>
    <row r="3305" spans="3:3" x14ac:dyDescent="0.35">
      <c r="C3305" s="1"/>
    </row>
    <row r="3306" spans="3:3" x14ac:dyDescent="0.35">
      <c r="C3306" s="1"/>
    </row>
    <row r="3307" spans="3:3" x14ac:dyDescent="0.35">
      <c r="C3307" s="1"/>
    </row>
    <row r="3308" spans="3:3" x14ac:dyDescent="0.35">
      <c r="C3308" s="1"/>
    </row>
    <row r="3309" spans="3:3" x14ac:dyDescent="0.35">
      <c r="C3309" s="1"/>
    </row>
    <row r="3310" spans="3:3" x14ac:dyDescent="0.35">
      <c r="C3310" s="1"/>
    </row>
    <row r="3311" spans="3:3" x14ac:dyDescent="0.35">
      <c r="C3311" s="1"/>
    </row>
    <row r="3312" spans="3:3" x14ac:dyDescent="0.35">
      <c r="C3312" s="1"/>
    </row>
    <row r="3313" spans="3:3" x14ac:dyDescent="0.35">
      <c r="C3313" s="1"/>
    </row>
    <row r="3314" spans="3:3" x14ac:dyDescent="0.35">
      <c r="C3314" s="1"/>
    </row>
    <row r="3315" spans="3:3" x14ac:dyDescent="0.35">
      <c r="C3315" s="1"/>
    </row>
    <row r="3316" spans="3:3" x14ac:dyDescent="0.35">
      <c r="C3316" s="1"/>
    </row>
    <row r="3317" spans="3:3" x14ac:dyDescent="0.35">
      <c r="C3317" s="1"/>
    </row>
    <row r="3318" spans="3:3" x14ac:dyDescent="0.35">
      <c r="C3318" s="1"/>
    </row>
    <row r="3319" spans="3:3" x14ac:dyDescent="0.35">
      <c r="C3319" s="1"/>
    </row>
    <row r="3320" spans="3:3" x14ac:dyDescent="0.35">
      <c r="C3320" s="1"/>
    </row>
    <row r="3321" spans="3:3" x14ac:dyDescent="0.35">
      <c r="C3321" s="1"/>
    </row>
    <row r="3322" spans="3:3" x14ac:dyDescent="0.35">
      <c r="C3322" s="1"/>
    </row>
    <row r="3323" spans="3:3" x14ac:dyDescent="0.35">
      <c r="C3323" s="1"/>
    </row>
    <row r="3324" spans="3:3" x14ac:dyDescent="0.35">
      <c r="C3324" s="1"/>
    </row>
    <row r="3325" spans="3:3" x14ac:dyDescent="0.35">
      <c r="C3325" s="1"/>
    </row>
    <row r="3326" spans="3:3" x14ac:dyDescent="0.35">
      <c r="C3326" s="1"/>
    </row>
    <row r="3327" spans="3:3" x14ac:dyDescent="0.35">
      <c r="C3327" s="1"/>
    </row>
    <row r="3328" spans="3:3" x14ac:dyDescent="0.35">
      <c r="C3328" s="1"/>
    </row>
    <row r="3329" spans="3:3" x14ac:dyDescent="0.35">
      <c r="C3329" s="1"/>
    </row>
    <row r="3330" spans="3:3" x14ac:dyDescent="0.35">
      <c r="C3330" s="1"/>
    </row>
    <row r="3331" spans="3:3" x14ac:dyDescent="0.35">
      <c r="C3331" s="1"/>
    </row>
    <row r="3332" spans="3:3" x14ac:dyDescent="0.35">
      <c r="C3332" s="1"/>
    </row>
    <row r="3333" spans="3:3" x14ac:dyDescent="0.35">
      <c r="C3333" s="1"/>
    </row>
    <row r="3334" spans="3:3" x14ac:dyDescent="0.35">
      <c r="C3334" s="1"/>
    </row>
    <row r="3335" spans="3:3" x14ac:dyDescent="0.35">
      <c r="C3335" s="1"/>
    </row>
    <row r="3336" spans="3:3" x14ac:dyDescent="0.35">
      <c r="C3336" s="1"/>
    </row>
    <row r="3337" spans="3:3" x14ac:dyDescent="0.35">
      <c r="C3337" s="1"/>
    </row>
    <row r="3338" spans="3:3" x14ac:dyDescent="0.35">
      <c r="C3338" s="1"/>
    </row>
    <row r="3339" spans="3:3" x14ac:dyDescent="0.35">
      <c r="C3339" s="1"/>
    </row>
    <row r="3340" spans="3:3" x14ac:dyDescent="0.35">
      <c r="C3340" s="1"/>
    </row>
    <row r="3341" spans="3:3" x14ac:dyDescent="0.35">
      <c r="C3341" s="1"/>
    </row>
    <row r="3342" spans="3:3" x14ac:dyDescent="0.35">
      <c r="C3342" s="1"/>
    </row>
    <row r="3343" spans="3:3" x14ac:dyDescent="0.35">
      <c r="C3343" s="1"/>
    </row>
    <row r="3344" spans="3:3" x14ac:dyDescent="0.35">
      <c r="C3344" s="1"/>
    </row>
    <row r="3345" spans="3:3" x14ac:dyDescent="0.35">
      <c r="C3345" s="1"/>
    </row>
    <row r="3346" spans="3:3" x14ac:dyDescent="0.35">
      <c r="C3346" s="1"/>
    </row>
    <row r="3347" spans="3:3" x14ac:dyDescent="0.35">
      <c r="C3347" s="1"/>
    </row>
    <row r="3348" spans="3:3" x14ac:dyDescent="0.35">
      <c r="C3348" s="1"/>
    </row>
    <row r="3349" spans="3:3" x14ac:dyDescent="0.35">
      <c r="C3349" s="1"/>
    </row>
    <row r="3350" spans="3:3" x14ac:dyDescent="0.35">
      <c r="C3350" s="1"/>
    </row>
    <row r="3351" spans="3:3" x14ac:dyDescent="0.35">
      <c r="C3351" s="1"/>
    </row>
    <row r="3352" spans="3:3" x14ac:dyDescent="0.35">
      <c r="C3352" s="1"/>
    </row>
    <row r="3353" spans="3:3" x14ac:dyDescent="0.35">
      <c r="C3353" s="1"/>
    </row>
    <row r="3354" spans="3:3" x14ac:dyDescent="0.35">
      <c r="C3354" s="1"/>
    </row>
    <row r="3355" spans="3:3" x14ac:dyDescent="0.35">
      <c r="C3355" s="1"/>
    </row>
    <row r="3356" spans="3:3" x14ac:dyDescent="0.35">
      <c r="C3356" s="1"/>
    </row>
    <row r="3357" spans="3:3" x14ac:dyDescent="0.35">
      <c r="C3357" s="1"/>
    </row>
    <row r="3358" spans="3:3" x14ac:dyDescent="0.35">
      <c r="C3358" s="1"/>
    </row>
    <row r="3359" spans="3:3" x14ac:dyDescent="0.35">
      <c r="C3359" s="1"/>
    </row>
    <row r="3360" spans="3:3" x14ac:dyDescent="0.35">
      <c r="C3360" s="1"/>
    </row>
    <row r="3361" spans="3:3" x14ac:dyDescent="0.35">
      <c r="C3361" s="1"/>
    </row>
    <row r="3362" spans="3:3" x14ac:dyDescent="0.35">
      <c r="C3362" s="1"/>
    </row>
    <row r="3363" spans="3:3" x14ac:dyDescent="0.35">
      <c r="C3363" s="1"/>
    </row>
    <row r="3364" spans="3:3" x14ac:dyDescent="0.35">
      <c r="C3364" s="1"/>
    </row>
    <row r="3365" spans="3:3" x14ac:dyDescent="0.35">
      <c r="C3365" s="1"/>
    </row>
    <row r="3366" spans="3:3" x14ac:dyDescent="0.35">
      <c r="C3366" s="1"/>
    </row>
    <row r="3367" spans="3:3" x14ac:dyDescent="0.35">
      <c r="C3367" s="1"/>
    </row>
    <row r="3368" spans="3:3" x14ac:dyDescent="0.35">
      <c r="C3368" s="1"/>
    </row>
    <row r="3369" spans="3:3" x14ac:dyDescent="0.35">
      <c r="C3369" s="1"/>
    </row>
    <row r="3370" spans="3:3" x14ac:dyDescent="0.35">
      <c r="C3370" s="1"/>
    </row>
    <row r="3371" spans="3:3" x14ac:dyDescent="0.35">
      <c r="C3371" s="1"/>
    </row>
    <row r="3372" spans="3:3" x14ac:dyDescent="0.35">
      <c r="C3372" s="1"/>
    </row>
    <row r="3373" spans="3:3" x14ac:dyDescent="0.35">
      <c r="C3373" s="1"/>
    </row>
    <row r="3374" spans="3:3" x14ac:dyDescent="0.35">
      <c r="C3374" s="1"/>
    </row>
    <row r="3375" spans="3:3" x14ac:dyDescent="0.35">
      <c r="C3375" s="1"/>
    </row>
    <row r="3376" spans="3:3" x14ac:dyDescent="0.35">
      <c r="C3376" s="1"/>
    </row>
    <row r="3377" spans="3:3" x14ac:dyDescent="0.35">
      <c r="C3377" s="1"/>
    </row>
    <row r="3378" spans="3:3" x14ac:dyDescent="0.35">
      <c r="C3378" s="1"/>
    </row>
    <row r="3379" spans="3:3" x14ac:dyDescent="0.35">
      <c r="C3379" s="1"/>
    </row>
    <row r="3380" spans="3:3" x14ac:dyDescent="0.35">
      <c r="C3380" s="1"/>
    </row>
    <row r="3381" spans="3:3" x14ac:dyDescent="0.35">
      <c r="C3381" s="1"/>
    </row>
    <row r="3382" spans="3:3" x14ac:dyDescent="0.35">
      <c r="C3382" s="1"/>
    </row>
    <row r="3383" spans="3:3" x14ac:dyDescent="0.35">
      <c r="C3383" s="1"/>
    </row>
    <row r="3384" spans="3:3" x14ac:dyDescent="0.35">
      <c r="C3384" s="1"/>
    </row>
    <row r="3385" spans="3:3" x14ac:dyDescent="0.35">
      <c r="C3385" s="1"/>
    </row>
    <row r="3386" spans="3:3" x14ac:dyDescent="0.35">
      <c r="C3386" s="1"/>
    </row>
    <row r="3387" spans="3:3" x14ac:dyDescent="0.35">
      <c r="C3387" s="1"/>
    </row>
    <row r="3388" spans="3:3" x14ac:dyDescent="0.35">
      <c r="C3388" s="1"/>
    </row>
    <row r="3389" spans="3:3" x14ac:dyDescent="0.35">
      <c r="C3389" s="1"/>
    </row>
    <row r="3390" spans="3:3" x14ac:dyDescent="0.35">
      <c r="C3390" s="1"/>
    </row>
    <row r="3391" spans="3:3" x14ac:dyDescent="0.35">
      <c r="C3391" s="1"/>
    </row>
    <row r="3392" spans="3:3" x14ac:dyDescent="0.35">
      <c r="C3392" s="1"/>
    </row>
    <row r="3393" spans="3:3" x14ac:dyDescent="0.35">
      <c r="C3393" s="1"/>
    </row>
    <row r="3394" spans="3:3" x14ac:dyDescent="0.35">
      <c r="C3394" s="1"/>
    </row>
    <row r="3395" spans="3:3" x14ac:dyDescent="0.35">
      <c r="C3395" s="1"/>
    </row>
    <row r="3396" spans="3:3" x14ac:dyDescent="0.35">
      <c r="C3396" s="1"/>
    </row>
    <row r="3397" spans="3:3" x14ac:dyDescent="0.35">
      <c r="C3397" s="1"/>
    </row>
    <row r="3398" spans="3:3" x14ac:dyDescent="0.35">
      <c r="C3398" s="1"/>
    </row>
    <row r="3399" spans="3:3" x14ac:dyDescent="0.35">
      <c r="C3399" s="1"/>
    </row>
    <row r="3400" spans="3:3" x14ac:dyDescent="0.35">
      <c r="C3400" s="1"/>
    </row>
    <row r="3401" spans="3:3" x14ac:dyDescent="0.35">
      <c r="C3401" s="1"/>
    </row>
    <row r="3402" spans="3:3" x14ac:dyDescent="0.35">
      <c r="C3402" s="1"/>
    </row>
    <row r="3403" spans="3:3" x14ac:dyDescent="0.35">
      <c r="C3403" s="1"/>
    </row>
    <row r="3404" spans="3:3" x14ac:dyDescent="0.35">
      <c r="C3404" s="1"/>
    </row>
    <row r="3405" spans="3:3" x14ac:dyDescent="0.35">
      <c r="C3405" s="1"/>
    </row>
    <row r="3406" spans="3:3" x14ac:dyDescent="0.35">
      <c r="C3406" s="1"/>
    </row>
    <row r="3407" spans="3:3" x14ac:dyDescent="0.35">
      <c r="C3407" s="1"/>
    </row>
    <row r="3408" spans="3:3" x14ac:dyDescent="0.35">
      <c r="C3408" s="1"/>
    </row>
    <row r="3409" spans="3:3" x14ac:dyDescent="0.35">
      <c r="C3409" s="1"/>
    </row>
    <row r="3410" spans="3:3" x14ac:dyDescent="0.35">
      <c r="C3410" s="1"/>
    </row>
    <row r="3411" spans="3:3" x14ac:dyDescent="0.35">
      <c r="C3411" s="1"/>
    </row>
    <row r="3412" spans="3:3" x14ac:dyDescent="0.35">
      <c r="C3412" s="1"/>
    </row>
    <row r="3413" spans="3:3" x14ac:dyDescent="0.35">
      <c r="C3413" s="1"/>
    </row>
    <row r="3414" spans="3:3" x14ac:dyDescent="0.35">
      <c r="C3414" s="1"/>
    </row>
    <row r="3415" spans="3:3" x14ac:dyDescent="0.35">
      <c r="C3415" s="1"/>
    </row>
    <row r="3416" spans="3:3" x14ac:dyDescent="0.35">
      <c r="C3416" s="1"/>
    </row>
    <row r="3417" spans="3:3" x14ac:dyDescent="0.35">
      <c r="C3417" s="1"/>
    </row>
    <row r="3418" spans="3:3" x14ac:dyDescent="0.35">
      <c r="C3418" s="1"/>
    </row>
    <row r="3419" spans="3:3" x14ac:dyDescent="0.35">
      <c r="C3419" s="1"/>
    </row>
    <row r="3420" spans="3:3" x14ac:dyDescent="0.35">
      <c r="C3420" s="1"/>
    </row>
    <row r="3421" spans="3:3" x14ac:dyDescent="0.35">
      <c r="C3421" s="1"/>
    </row>
    <row r="3422" spans="3:3" x14ac:dyDescent="0.35">
      <c r="C3422" s="1"/>
    </row>
    <row r="3423" spans="3:3" x14ac:dyDescent="0.35">
      <c r="C3423" s="1"/>
    </row>
    <row r="3424" spans="3:3" x14ac:dyDescent="0.35">
      <c r="C3424" s="1"/>
    </row>
    <row r="3425" spans="3:3" x14ac:dyDescent="0.35">
      <c r="C3425" s="1"/>
    </row>
    <row r="3426" spans="3:3" x14ac:dyDescent="0.35">
      <c r="C3426" s="1"/>
    </row>
    <row r="3427" spans="3:3" x14ac:dyDescent="0.35">
      <c r="C3427" s="1"/>
    </row>
    <row r="3428" spans="3:3" x14ac:dyDescent="0.35">
      <c r="C3428" s="1"/>
    </row>
    <row r="3429" spans="3:3" x14ac:dyDescent="0.35">
      <c r="C3429" s="1"/>
    </row>
    <row r="3430" spans="3:3" x14ac:dyDescent="0.35">
      <c r="C3430" s="1"/>
    </row>
    <row r="3431" spans="3:3" x14ac:dyDescent="0.35">
      <c r="C3431" s="1"/>
    </row>
    <row r="3432" spans="3:3" x14ac:dyDescent="0.35">
      <c r="C3432" s="1"/>
    </row>
    <row r="3433" spans="3:3" x14ac:dyDescent="0.35">
      <c r="C3433" s="1"/>
    </row>
    <row r="3434" spans="3:3" x14ac:dyDescent="0.35">
      <c r="C3434" s="1"/>
    </row>
    <row r="3435" spans="3:3" x14ac:dyDescent="0.35">
      <c r="C3435" s="1"/>
    </row>
    <row r="3436" spans="3:3" x14ac:dyDescent="0.35">
      <c r="C3436" s="1"/>
    </row>
    <row r="3437" spans="3:3" x14ac:dyDescent="0.35">
      <c r="C3437" s="1"/>
    </row>
    <row r="3438" spans="3:3" x14ac:dyDescent="0.35">
      <c r="C3438" s="1"/>
    </row>
    <row r="3439" spans="3:3" x14ac:dyDescent="0.35">
      <c r="C3439" s="1"/>
    </row>
    <row r="3440" spans="3:3" x14ac:dyDescent="0.35">
      <c r="C3440" s="1"/>
    </row>
    <row r="3441" spans="3:3" x14ac:dyDescent="0.35">
      <c r="C3441" s="1"/>
    </row>
    <row r="3442" spans="3:3" x14ac:dyDescent="0.35">
      <c r="C3442" s="1"/>
    </row>
    <row r="3443" spans="3:3" x14ac:dyDescent="0.35">
      <c r="C3443" s="1"/>
    </row>
    <row r="3444" spans="3:3" x14ac:dyDescent="0.35">
      <c r="C3444" s="1"/>
    </row>
    <row r="3445" spans="3:3" x14ac:dyDescent="0.35">
      <c r="C3445" s="1"/>
    </row>
    <row r="3446" spans="3:3" x14ac:dyDescent="0.35">
      <c r="C3446" s="1"/>
    </row>
    <row r="3447" spans="3:3" x14ac:dyDescent="0.35">
      <c r="C3447" s="1"/>
    </row>
    <row r="3448" spans="3:3" x14ac:dyDescent="0.35">
      <c r="C3448" s="1"/>
    </row>
    <row r="3449" spans="3:3" x14ac:dyDescent="0.35">
      <c r="C3449" s="1"/>
    </row>
    <row r="3450" spans="3:3" x14ac:dyDescent="0.35">
      <c r="C3450" s="1"/>
    </row>
    <row r="3451" spans="3:3" x14ac:dyDescent="0.35">
      <c r="C3451" s="1"/>
    </row>
    <row r="3452" spans="3:3" x14ac:dyDescent="0.35">
      <c r="C3452" s="1"/>
    </row>
    <row r="3453" spans="3:3" x14ac:dyDescent="0.35">
      <c r="C3453" s="1"/>
    </row>
    <row r="3454" spans="3:3" x14ac:dyDescent="0.35">
      <c r="C3454" s="1"/>
    </row>
    <row r="3455" spans="3:3" x14ac:dyDescent="0.35">
      <c r="C3455" s="1"/>
    </row>
    <row r="3456" spans="3:3" x14ac:dyDescent="0.35">
      <c r="C3456" s="1"/>
    </row>
    <row r="3457" spans="3:3" x14ac:dyDescent="0.35">
      <c r="C3457" s="1"/>
    </row>
    <row r="3458" spans="3:3" x14ac:dyDescent="0.35">
      <c r="C3458" s="1"/>
    </row>
    <row r="3459" spans="3:3" x14ac:dyDescent="0.35">
      <c r="C3459" s="1"/>
    </row>
    <row r="3460" spans="3:3" x14ac:dyDescent="0.35">
      <c r="C3460" s="1"/>
    </row>
    <row r="3461" spans="3:3" x14ac:dyDescent="0.35">
      <c r="C3461" s="1"/>
    </row>
    <row r="3462" spans="3:3" x14ac:dyDescent="0.35">
      <c r="C3462" s="1"/>
    </row>
    <row r="3463" spans="3:3" x14ac:dyDescent="0.35">
      <c r="C3463" s="1"/>
    </row>
    <row r="3464" spans="3:3" x14ac:dyDescent="0.35">
      <c r="C3464" s="1"/>
    </row>
    <row r="3465" spans="3:3" x14ac:dyDescent="0.35">
      <c r="C3465" s="1"/>
    </row>
    <row r="3466" spans="3:3" x14ac:dyDescent="0.35">
      <c r="C3466" s="1"/>
    </row>
    <row r="3467" spans="3:3" x14ac:dyDescent="0.35">
      <c r="C3467" s="1"/>
    </row>
    <row r="3468" spans="3:3" x14ac:dyDescent="0.35">
      <c r="C3468" s="1"/>
    </row>
    <row r="3469" spans="3:3" x14ac:dyDescent="0.35">
      <c r="C3469" s="1"/>
    </row>
    <row r="3470" spans="3:3" x14ac:dyDescent="0.35">
      <c r="C3470" s="1"/>
    </row>
    <row r="3471" spans="3:3" x14ac:dyDescent="0.35">
      <c r="C3471" s="1"/>
    </row>
    <row r="3472" spans="3:3" x14ac:dyDescent="0.35">
      <c r="C3472" s="1"/>
    </row>
    <row r="3473" spans="3:3" x14ac:dyDescent="0.35">
      <c r="C3473" s="1"/>
    </row>
    <row r="3474" spans="3:3" x14ac:dyDescent="0.35">
      <c r="C3474" s="1"/>
    </row>
    <row r="3475" spans="3:3" x14ac:dyDescent="0.35">
      <c r="C3475" s="1"/>
    </row>
    <row r="3476" spans="3:3" x14ac:dyDescent="0.35">
      <c r="C3476" s="1"/>
    </row>
    <row r="3477" spans="3:3" x14ac:dyDescent="0.35">
      <c r="C3477" s="1"/>
    </row>
    <row r="3478" spans="3:3" x14ac:dyDescent="0.35">
      <c r="C3478" s="1"/>
    </row>
    <row r="3479" spans="3:3" x14ac:dyDescent="0.35">
      <c r="C3479" s="1"/>
    </row>
    <row r="3480" spans="3:3" x14ac:dyDescent="0.35">
      <c r="C3480" s="1"/>
    </row>
    <row r="3481" spans="3:3" x14ac:dyDescent="0.35">
      <c r="C3481" s="1"/>
    </row>
    <row r="3482" spans="3:3" x14ac:dyDescent="0.35">
      <c r="C3482" s="1"/>
    </row>
    <row r="3483" spans="3:3" x14ac:dyDescent="0.35">
      <c r="C3483" s="1"/>
    </row>
    <row r="3484" spans="3:3" x14ac:dyDescent="0.35">
      <c r="C3484" s="1"/>
    </row>
    <row r="3485" spans="3:3" x14ac:dyDescent="0.35">
      <c r="C3485" s="1"/>
    </row>
    <row r="3486" spans="3:3" x14ac:dyDescent="0.35">
      <c r="C3486" s="1"/>
    </row>
    <row r="3487" spans="3:3" x14ac:dyDescent="0.35">
      <c r="C3487" s="1"/>
    </row>
    <row r="3488" spans="3:3" x14ac:dyDescent="0.35">
      <c r="C3488" s="1"/>
    </row>
    <row r="3489" spans="3:3" x14ac:dyDescent="0.35">
      <c r="C3489" s="1"/>
    </row>
    <row r="3490" spans="3:3" x14ac:dyDescent="0.35">
      <c r="C3490" s="1"/>
    </row>
    <row r="3491" spans="3:3" x14ac:dyDescent="0.35">
      <c r="C3491" s="1"/>
    </row>
    <row r="3492" spans="3:3" x14ac:dyDescent="0.35">
      <c r="C3492" s="1"/>
    </row>
    <row r="3493" spans="3:3" x14ac:dyDescent="0.35">
      <c r="C3493" s="1"/>
    </row>
    <row r="3494" spans="3:3" x14ac:dyDescent="0.35">
      <c r="C3494" s="1"/>
    </row>
    <row r="3495" spans="3:3" x14ac:dyDescent="0.35">
      <c r="C3495" s="1"/>
    </row>
    <row r="3496" spans="3:3" x14ac:dyDescent="0.35">
      <c r="C3496" s="1"/>
    </row>
    <row r="3497" spans="3:3" x14ac:dyDescent="0.35">
      <c r="C3497" s="1"/>
    </row>
    <row r="3498" spans="3:3" x14ac:dyDescent="0.35">
      <c r="C3498" s="1"/>
    </row>
    <row r="3499" spans="3:3" x14ac:dyDescent="0.35">
      <c r="C3499" s="1"/>
    </row>
    <row r="3500" spans="3:3" x14ac:dyDescent="0.35">
      <c r="C3500" s="1"/>
    </row>
    <row r="3501" spans="3:3" x14ac:dyDescent="0.35">
      <c r="C3501" s="1"/>
    </row>
    <row r="3502" spans="3:3" x14ac:dyDescent="0.35">
      <c r="C3502" s="1"/>
    </row>
    <row r="3503" spans="3:3" x14ac:dyDescent="0.35">
      <c r="C3503" s="1"/>
    </row>
    <row r="3504" spans="3:3" x14ac:dyDescent="0.35">
      <c r="C3504" s="1"/>
    </row>
    <row r="3505" spans="3:3" x14ac:dyDescent="0.35">
      <c r="C3505" s="1"/>
    </row>
    <row r="3506" spans="3:3" x14ac:dyDescent="0.35">
      <c r="C3506" s="1"/>
    </row>
    <row r="3507" spans="3:3" x14ac:dyDescent="0.35">
      <c r="C3507" s="1"/>
    </row>
    <row r="3508" spans="3:3" x14ac:dyDescent="0.35">
      <c r="C3508" s="1"/>
    </row>
    <row r="3509" spans="3:3" x14ac:dyDescent="0.35">
      <c r="C3509" s="1"/>
    </row>
    <row r="3510" spans="3:3" x14ac:dyDescent="0.35">
      <c r="C3510" s="1"/>
    </row>
    <row r="3511" spans="3:3" x14ac:dyDescent="0.35">
      <c r="C3511" s="1"/>
    </row>
    <row r="3512" spans="3:3" x14ac:dyDescent="0.35">
      <c r="C3512" s="1"/>
    </row>
    <row r="3513" spans="3:3" x14ac:dyDescent="0.35">
      <c r="C3513" s="1"/>
    </row>
    <row r="3514" spans="3:3" x14ac:dyDescent="0.35">
      <c r="C3514" s="1"/>
    </row>
    <row r="3515" spans="3:3" x14ac:dyDescent="0.35">
      <c r="C3515" s="1"/>
    </row>
    <row r="3516" spans="3:3" x14ac:dyDescent="0.35">
      <c r="C3516" s="1"/>
    </row>
    <row r="3517" spans="3:3" x14ac:dyDescent="0.35">
      <c r="C3517" s="1"/>
    </row>
    <row r="3518" spans="3:3" x14ac:dyDescent="0.35">
      <c r="C3518" s="1"/>
    </row>
    <row r="3519" spans="3:3" x14ac:dyDescent="0.35">
      <c r="C3519" s="1"/>
    </row>
    <row r="3520" spans="3:3" x14ac:dyDescent="0.35">
      <c r="C3520" s="1"/>
    </row>
    <row r="3521" spans="3:3" x14ac:dyDescent="0.35">
      <c r="C3521" s="1"/>
    </row>
    <row r="3522" spans="3:3" x14ac:dyDescent="0.35">
      <c r="C3522" s="1"/>
    </row>
    <row r="3523" spans="3:3" x14ac:dyDescent="0.35">
      <c r="C3523" s="1"/>
    </row>
    <row r="3524" spans="3:3" x14ac:dyDescent="0.35">
      <c r="C3524" s="1"/>
    </row>
    <row r="3525" spans="3:3" x14ac:dyDescent="0.35">
      <c r="C3525" s="1"/>
    </row>
    <row r="3526" spans="3:3" x14ac:dyDescent="0.35">
      <c r="C3526" s="1"/>
    </row>
    <row r="3527" spans="3:3" x14ac:dyDescent="0.35">
      <c r="C3527" s="1"/>
    </row>
    <row r="3528" spans="3:3" x14ac:dyDescent="0.35">
      <c r="C3528" s="1"/>
    </row>
    <row r="3529" spans="3:3" x14ac:dyDescent="0.35">
      <c r="C3529" s="1"/>
    </row>
    <row r="3530" spans="3:3" x14ac:dyDescent="0.35">
      <c r="C3530" s="1"/>
    </row>
    <row r="3531" spans="3:3" x14ac:dyDescent="0.35">
      <c r="C3531" s="1"/>
    </row>
    <row r="3532" spans="3:3" x14ac:dyDescent="0.35">
      <c r="C3532" s="1"/>
    </row>
    <row r="3533" spans="3:3" x14ac:dyDescent="0.35">
      <c r="C3533" s="1"/>
    </row>
    <row r="3534" spans="3:3" x14ac:dyDescent="0.35">
      <c r="C3534" s="1"/>
    </row>
    <row r="3535" spans="3:3" x14ac:dyDescent="0.35">
      <c r="C3535" s="1"/>
    </row>
    <row r="3536" spans="3:3" x14ac:dyDescent="0.35">
      <c r="C3536" s="1"/>
    </row>
    <row r="3537" spans="3:3" x14ac:dyDescent="0.35">
      <c r="C3537" s="1"/>
    </row>
    <row r="3538" spans="3:3" x14ac:dyDescent="0.35">
      <c r="C3538" s="1"/>
    </row>
    <row r="3539" spans="3:3" x14ac:dyDescent="0.35">
      <c r="C3539" s="1"/>
    </row>
    <row r="3540" spans="3:3" x14ac:dyDescent="0.35">
      <c r="C3540" s="1"/>
    </row>
    <row r="3541" spans="3:3" x14ac:dyDescent="0.35">
      <c r="C3541" s="1"/>
    </row>
    <row r="3542" spans="3:3" x14ac:dyDescent="0.35">
      <c r="C3542" s="1"/>
    </row>
    <row r="3543" spans="3:3" x14ac:dyDescent="0.35">
      <c r="C3543" s="1"/>
    </row>
    <row r="3544" spans="3:3" x14ac:dyDescent="0.35">
      <c r="C3544" s="1"/>
    </row>
    <row r="3545" spans="3:3" x14ac:dyDescent="0.35">
      <c r="C3545" s="1"/>
    </row>
    <row r="3546" spans="3:3" x14ac:dyDescent="0.35">
      <c r="C3546" s="1"/>
    </row>
    <row r="3547" spans="3:3" x14ac:dyDescent="0.35">
      <c r="C3547" s="1"/>
    </row>
    <row r="3548" spans="3:3" x14ac:dyDescent="0.35">
      <c r="C3548" s="1"/>
    </row>
    <row r="3549" spans="3:3" x14ac:dyDescent="0.35">
      <c r="C3549" s="1"/>
    </row>
    <row r="3550" spans="3:3" x14ac:dyDescent="0.35">
      <c r="C3550" s="1"/>
    </row>
    <row r="3551" spans="3:3" x14ac:dyDescent="0.35">
      <c r="C3551" s="1"/>
    </row>
    <row r="3552" spans="3:3" x14ac:dyDescent="0.35">
      <c r="C3552" s="1"/>
    </row>
    <row r="3553" spans="3:3" x14ac:dyDescent="0.35">
      <c r="C3553" s="1"/>
    </row>
    <row r="3554" spans="3:3" x14ac:dyDescent="0.35">
      <c r="C3554" s="1"/>
    </row>
    <row r="3555" spans="3:3" x14ac:dyDescent="0.35">
      <c r="C3555" s="1"/>
    </row>
    <row r="3556" spans="3:3" x14ac:dyDescent="0.35">
      <c r="C3556" s="1"/>
    </row>
    <row r="3557" spans="3:3" x14ac:dyDescent="0.35">
      <c r="C3557" s="1"/>
    </row>
    <row r="3558" spans="3:3" x14ac:dyDescent="0.35">
      <c r="C3558" s="1"/>
    </row>
    <row r="3559" spans="3:3" x14ac:dyDescent="0.35">
      <c r="C3559" s="1"/>
    </row>
    <row r="3560" spans="3:3" x14ac:dyDescent="0.35">
      <c r="C3560" s="1"/>
    </row>
    <row r="3561" spans="3:3" x14ac:dyDescent="0.35">
      <c r="C3561" s="1"/>
    </row>
    <row r="3562" spans="3:3" x14ac:dyDescent="0.35">
      <c r="C3562" s="1"/>
    </row>
    <row r="3563" spans="3:3" x14ac:dyDescent="0.35">
      <c r="C3563" s="1"/>
    </row>
    <row r="3564" spans="3:3" x14ac:dyDescent="0.35">
      <c r="C3564" s="1"/>
    </row>
    <row r="3565" spans="3:3" x14ac:dyDescent="0.35">
      <c r="C3565" s="1"/>
    </row>
    <row r="3566" spans="3:3" x14ac:dyDescent="0.35">
      <c r="C3566" s="1"/>
    </row>
    <row r="3567" spans="3:3" x14ac:dyDescent="0.35">
      <c r="C3567" s="1"/>
    </row>
    <row r="3568" spans="3:3" x14ac:dyDescent="0.35">
      <c r="C3568" s="1"/>
    </row>
    <row r="3569" spans="3:3" x14ac:dyDescent="0.35">
      <c r="C3569" s="1"/>
    </row>
    <row r="3570" spans="3:3" x14ac:dyDescent="0.35">
      <c r="C3570" s="1"/>
    </row>
    <row r="3571" spans="3:3" x14ac:dyDescent="0.35">
      <c r="C3571" s="1"/>
    </row>
    <row r="3572" spans="3:3" x14ac:dyDescent="0.35">
      <c r="C3572" s="1"/>
    </row>
    <row r="3573" spans="3:3" x14ac:dyDescent="0.35">
      <c r="C3573" s="1"/>
    </row>
    <row r="3574" spans="3:3" x14ac:dyDescent="0.35">
      <c r="C3574" s="1"/>
    </row>
    <row r="3575" spans="3:3" x14ac:dyDescent="0.35">
      <c r="C3575" s="1"/>
    </row>
    <row r="3576" spans="3:3" x14ac:dyDescent="0.35">
      <c r="C3576" s="1"/>
    </row>
    <row r="3577" spans="3:3" x14ac:dyDescent="0.35">
      <c r="C3577" s="1"/>
    </row>
    <row r="3578" spans="3:3" x14ac:dyDescent="0.35">
      <c r="C3578" s="1"/>
    </row>
    <row r="3579" spans="3:3" x14ac:dyDescent="0.35">
      <c r="C3579" s="1"/>
    </row>
    <row r="3580" spans="3:3" x14ac:dyDescent="0.35">
      <c r="C3580" s="1"/>
    </row>
    <row r="3581" spans="3:3" x14ac:dyDescent="0.35">
      <c r="C3581" s="1"/>
    </row>
    <row r="3582" spans="3:3" x14ac:dyDescent="0.35">
      <c r="C3582" s="1"/>
    </row>
    <row r="3583" spans="3:3" x14ac:dyDescent="0.35">
      <c r="C3583" s="1"/>
    </row>
    <row r="3584" spans="3:3" x14ac:dyDescent="0.35">
      <c r="C3584" s="1"/>
    </row>
    <row r="3585" spans="3:3" x14ac:dyDescent="0.35">
      <c r="C3585" s="1"/>
    </row>
    <row r="3586" spans="3:3" x14ac:dyDescent="0.35">
      <c r="C3586" s="1"/>
    </row>
    <row r="3587" spans="3:3" x14ac:dyDescent="0.35">
      <c r="C3587" s="1"/>
    </row>
    <row r="3588" spans="3:3" x14ac:dyDescent="0.35">
      <c r="C3588" s="1"/>
    </row>
    <row r="3589" spans="3:3" x14ac:dyDescent="0.35">
      <c r="C3589" s="1"/>
    </row>
    <row r="3590" spans="3:3" x14ac:dyDescent="0.35">
      <c r="C3590" s="1"/>
    </row>
    <row r="3591" spans="3:3" x14ac:dyDescent="0.35">
      <c r="C3591" s="1"/>
    </row>
    <row r="3592" spans="3:3" x14ac:dyDescent="0.35">
      <c r="C3592" s="1"/>
    </row>
    <row r="3593" spans="3:3" x14ac:dyDescent="0.35">
      <c r="C3593" s="1"/>
    </row>
    <row r="3594" spans="3:3" x14ac:dyDescent="0.35">
      <c r="C3594" s="1"/>
    </row>
    <row r="3595" spans="3:3" x14ac:dyDescent="0.35">
      <c r="C3595" s="1"/>
    </row>
    <row r="3596" spans="3:3" x14ac:dyDescent="0.35">
      <c r="C3596" s="1"/>
    </row>
    <row r="3597" spans="3:3" x14ac:dyDescent="0.35">
      <c r="C3597" s="1"/>
    </row>
    <row r="3598" spans="3:3" x14ac:dyDescent="0.35">
      <c r="C3598" s="1"/>
    </row>
    <row r="3599" spans="3:3" x14ac:dyDescent="0.35">
      <c r="C3599" s="1"/>
    </row>
    <row r="3600" spans="3:3" x14ac:dyDescent="0.35">
      <c r="C3600" s="1"/>
    </row>
    <row r="3601" spans="3:3" x14ac:dyDescent="0.35">
      <c r="C3601" s="1"/>
    </row>
    <row r="3602" spans="3:3" x14ac:dyDescent="0.35">
      <c r="C3602" s="1"/>
    </row>
    <row r="3603" spans="3:3" x14ac:dyDescent="0.35">
      <c r="C3603" s="1"/>
    </row>
    <row r="3604" spans="3:3" x14ac:dyDescent="0.35">
      <c r="C3604" s="1"/>
    </row>
    <row r="3605" spans="3:3" x14ac:dyDescent="0.35">
      <c r="C3605" s="1"/>
    </row>
    <row r="3606" spans="3:3" x14ac:dyDescent="0.35">
      <c r="C3606" s="1"/>
    </row>
    <row r="3607" spans="3:3" x14ac:dyDescent="0.35">
      <c r="C3607" s="1"/>
    </row>
    <row r="3608" spans="3:3" x14ac:dyDescent="0.35">
      <c r="C3608" s="1"/>
    </row>
    <row r="3609" spans="3:3" x14ac:dyDescent="0.35">
      <c r="C3609" s="1"/>
    </row>
    <row r="3610" spans="3:3" x14ac:dyDescent="0.35">
      <c r="C3610" s="1"/>
    </row>
    <row r="3611" spans="3:3" x14ac:dyDescent="0.35">
      <c r="C3611" s="1"/>
    </row>
    <row r="3612" spans="3:3" x14ac:dyDescent="0.35">
      <c r="C3612" s="1"/>
    </row>
    <row r="3613" spans="3:3" x14ac:dyDescent="0.35">
      <c r="C3613" s="1"/>
    </row>
    <row r="3614" spans="3:3" x14ac:dyDescent="0.35">
      <c r="C3614" s="1"/>
    </row>
    <row r="3615" spans="3:3" x14ac:dyDescent="0.35">
      <c r="C3615" s="1"/>
    </row>
    <row r="3616" spans="3:3" x14ac:dyDescent="0.35">
      <c r="C3616" s="1"/>
    </row>
    <row r="3617" spans="3:3" x14ac:dyDescent="0.35">
      <c r="C3617" s="1"/>
    </row>
    <row r="3618" spans="3:3" x14ac:dyDescent="0.35">
      <c r="C3618" s="1"/>
    </row>
    <row r="3619" spans="3:3" x14ac:dyDescent="0.35">
      <c r="C3619" s="1"/>
    </row>
    <row r="3620" spans="3:3" x14ac:dyDescent="0.35">
      <c r="C3620" s="1"/>
    </row>
    <row r="3621" spans="3:3" x14ac:dyDescent="0.35">
      <c r="C3621" s="1"/>
    </row>
    <row r="3622" spans="3:3" x14ac:dyDescent="0.35">
      <c r="C3622" s="1"/>
    </row>
    <row r="3623" spans="3:3" x14ac:dyDescent="0.35">
      <c r="C3623" s="1"/>
    </row>
    <row r="3624" spans="3:3" x14ac:dyDescent="0.35">
      <c r="C3624" s="1"/>
    </row>
    <row r="3625" spans="3:3" x14ac:dyDescent="0.35">
      <c r="C3625" s="1"/>
    </row>
    <row r="3626" spans="3:3" x14ac:dyDescent="0.35">
      <c r="C3626" s="1"/>
    </row>
    <row r="3627" spans="3:3" x14ac:dyDescent="0.35">
      <c r="C3627" s="1"/>
    </row>
    <row r="3628" spans="3:3" x14ac:dyDescent="0.35">
      <c r="C3628" s="1"/>
    </row>
    <row r="3629" spans="3:3" x14ac:dyDescent="0.35">
      <c r="C3629" s="1"/>
    </row>
    <row r="3630" spans="3:3" x14ac:dyDescent="0.35">
      <c r="C3630" s="1"/>
    </row>
    <row r="3631" spans="3:3" x14ac:dyDescent="0.35">
      <c r="C3631" s="1"/>
    </row>
    <row r="3632" spans="3:3" x14ac:dyDescent="0.35">
      <c r="C3632" s="1"/>
    </row>
    <row r="3633" spans="3:3" x14ac:dyDescent="0.35">
      <c r="C3633" s="1"/>
    </row>
    <row r="3634" spans="3:3" x14ac:dyDescent="0.35">
      <c r="C3634" s="1"/>
    </row>
    <row r="3635" spans="3:3" x14ac:dyDescent="0.35">
      <c r="C3635" s="1"/>
    </row>
    <row r="3636" spans="3:3" x14ac:dyDescent="0.35">
      <c r="C3636" s="1"/>
    </row>
    <row r="3637" spans="3:3" x14ac:dyDescent="0.35">
      <c r="C3637" s="1"/>
    </row>
    <row r="3638" spans="3:3" x14ac:dyDescent="0.35">
      <c r="C3638" s="1"/>
    </row>
    <row r="3639" spans="3:3" x14ac:dyDescent="0.35">
      <c r="C3639" s="1"/>
    </row>
    <row r="3640" spans="3:3" x14ac:dyDescent="0.35">
      <c r="C3640" s="1"/>
    </row>
    <row r="3641" spans="3:3" x14ac:dyDescent="0.35">
      <c r="C3641" s="1"/>
    </row>
    <row r="3642" spans="3:3" x14ac:dyDescent="0.35">
      <c r="C3642" s="1"/>
    </row>
    <row r="3643" spans="3:3" x14ac:dyDescent="0.35">
      <c r="C3643" s="1"/>
    </row>
    <row r="3644" spans="3:3" x14ac:dyDescent="0.35">
      <c r="C3644" s="1"/>
    </row>
    <row r="3645" spans="3:3" x14ac:dyDescent="0.35">
      <c r="C3645" s="1"/>
    </row>
    <row r="3646" spans="3:3" x14ac:dyDescent="0.35">
      <c r="C3646" s="1"/>
    </row>
    <row r="3647" spans="3:3" x14ac:dyDescent="0.35">
      <c r="C3647" s="1"/>
    </row>
    <row r="3648" spans="3:3" x14ac:dyDescent="0.35">
      <c r="C3648" s="1"/>
    </row>
    <row r="3649" spans="3:3" x14ac:dyDescent="0.35">
      <c r="C3649" s="1"/>
    </row>
    <row r="3650" spans="3:3" x14ac:dyDescent="0.35">
      <c r="C3650" s="1"/>
    </row>
    <row r="3651" spans="3:3" x14ac:dyDescent="0.35">
      <c r="C3651" s="1"/>
    </row>
    <row r="3652" spans="3:3" x14ac:dyDescent="0.35">
      <c r="C3652" s="1"/>
    </row>
    <row r="3653" spans="3:3" x14ac:dyDescent="0.35">
      <c r="C3653" s="1"/>
    </row>
    <row r="3654" spans="3:3" x14ac:dyDescent="0.35">
      <c r="C3654" s="1"/>
    </row>
    <row r="3655" spans="3:3" x14ac:dyDescent="0.35">
      <c r="C3655" s="1"/>
    </row>
    <row r="3656" spans="3:3" x14ac:dyDescent="0.35">
      <c r="C3656" s="1"/>
    </row>
    <row r="3657" spans="3:3" x14ac:dyDescent="0.35">
      <c r="C3657" s="1"/>
    </row>
    <row r="3658" spans="3:3" x14ac:dyDescent="0.35">
      <c r="C3658" s="1"/>
    </row>
    <row r="3659" spans="3:3" x14ac:dyDescent="0.35">
      <c r="C3659" s="1"/>
    </row>
    <row r="3660" spans="3:3" x14ac:dyDescent="0.35">
      <c r="C3660" s="1"/>
    </row>
    <row r="3661" spans="3:3" x14ac:dyDescent="0.35">
      <c r="C3661" s="1"/>
    </row>
    <row r="3662" spans="3:3" x14ac:dyDescent="0.35">
      <c r="C3662" s="1"/>
    </row>
    <row r="3663" spans="3:3" x14ac:dyDescent="0.35">
      <c r="C3663" s="1"/>
    </row>
    <row r="3664" spans="3:3" x14ac:dyDescent="0.35">
      <c r="C3664" s="1"/>
    </row>
    <row r="3665" spans="3:3" x14ac:dyDescent="0.35">
      <c r="C3665" s="1"/>
    </row>
    <row r="3666" spans="3:3" x14ac:dyDescent="0.35">
      <c r="C3666" s="1"/>
    </row>
    <row r="3667" spans="3:3" x14ac:dyDescent="0.35">
      <c r="C3667" s="1"/>
    </row>
    <row r="3668" spans="3:3" x14ac:dyDescent="0.35">
      <c r="C3668" s="1"/>
    </row>
    <row r="3669" spans="3:3" x14ac:dyDescent="0.35">
      <c r="C3669" s="1"/>
    </row>
    <row r="3670" spans="3:3" x14ac:dyDescent="0.35">
      <c r="C3670" s="1"/>
    </row>
    <row r="3671" spans="3:3" x14ac:dyDescent="0.35">
      <c r="C3671" s="1"/>
    </row>
    <row r="3672" spans="3:3" x14ac:dyDescent="0.35">
      <c r="C3672" s="1"/>
    </row>
    <row r="3673" spans="3:3" x14ac:dyDescent="0.35">
      <c r="C3673" s="1"/>
    </row>
    <row r="3674" spans="3:3" x14ac:dyDescent="0.35">
      <c r="C3674" s="1"/>
    </row>
    <row r="3675" spans="3:3" x14ac:dyDescent="0.35">
      <c r="C3675" s="1"/>
    </row>
    <row r="3676" spans="3:3" x14ac:dyDescent="0.35">
      <c r="C3676" s="1"/>
    </row>
    <row r="3677" spans="3:3" x14ac:dyDescent="0.35">
      <c r="C3677" s="1"/>
    </row>
    <row r="3678" spans="3:3" x14ac:dyDescent="0.35">
      <c r="C3678" s="1"/>
    </row>
    <row r="3679" spans="3:3" x14ac:dyDescent="0.35">
      <c r="C3679" s="1"/>
    </row>
    <row r="3680" spans="3:3" x14ac:dyDescent="0.35">
      <c r="C3680" s="1"/>
    </row>
    <row r="3681" spans="3:3" x14ac:dyDescent="0.35">
      <c r="C3681" s="1"/>
    </row>
    <row r="3682" spans="3:3" x14ac:dyDescent="0.35">
      <c r="C3682" s="1"/>
    </row>
    <row r="3683" spans="3:3" x14ac:dyDescent="0.35">
      <c r="C3683" s="1"/>
    </row>
    <row r="3684" spans="3:3" x14ac:dyDescent="0.35">
      <c r="C3684" s="1"/>
    </row>
    <row r="3685" spans="3:3" x14ac:dyDescent="0.35">
      <c r="C3685" s="1"/>
    </row>
    <row r="3686" spans="3:3" x14ac:dyDescent="0.35">
      <c r="C3686" s="1"/>
    </row>
    <row r="3687" spans="3:3" x14ac:dyDescent="0.35">
      <c r="C3687" s="1"/>
    </row>
    <row r="3688" spans="3:3" x14ac:dyDescent="0.35">
      <c r="C3688" s="1"/>
    </row>
    <row r="3689" spans="3:3" x14ac:dyDescent="0.35">
      <c r="C3689" s="1"/>
    </row>
    <row r="3690" spans="3:3" x14ac:dyDescent="0.35">
      <c r="C3690" s="1"/>
    </row>
    <row r="3691" spans="3:3" x14ac:dyDescent="0.35">
      <c r="C3691" s="1"/>
    </row>
    <row r="3692" spans="3:3" x14ac:dyDescent="0.35">
      <c r="C3692" s="1"/>
    </row>
    <row r="3693" spans="3:3" x14ac:dyDescent="0.35">
      <c r="C3693" s="1"/>
    </row>
    <row r="3694" spans="3:3" x14ac:dyDescent="0.35">
      <c r="C3694" s="1"/>
    </row>
    <row r="3695" spans="3:3" x14ac:dyDescent="0.35">
      <c r="C3695" s="1"/>
    </row>
    <row r="3696" spans="3:3" x14ac:dyDescent="0.35">
      <c r="C3696" s="1"/>
    </row>
    <row r="3697" spans="3:3" x14ac:dyDescent="0.35">
      <c r="C3697" s="1"/>
    </row>
    <row r="3698" spans="3:3" x14ac:dyDescent="0.35">
      <c r="C3698" s="1"/>
    </row>
    <row r="3699" spans="3:3" x14ac:dyDescent="0.35">
      <c r="C3699" s="1"/>
    </row>
    <row r="3700" spans="3:3" x14ac:dyDescent="0.35">
      <c r="C3700" s="1"/>
    </row>
    <row r="3701" spans="3:3" x14ac:dyDescent="0.35">
      <c r="C3701" s="1"/>
    </row>
    <row r="3702" spans="3:3" x14ac:dyDescent="0.35">
      <c r="C3702" s="1"/>
    </row>
    <row r="3703" spans="3:3" x14ac:dyDescent="0.35">
      <c r="C3703" s="1"/>
    </row>
    <row r="3704" spans="3:3" x14ac:dyDescent="0.35">
      <c r="C3704" s="1"/>
    </row>
    <row r="3705" spans="3:3" x14ac:dyDescent="0.35">
      <c r="C3705" s="1"/>
    </row>
    <row r="3706" spans="3:3" x14ac:dyDescent="0.35">
      <c r="C3706" s="1"/>
    </row>
    <row r="3707" spans="3:3" x14ac:dyDescent="0.35">
      <c r="C3707" s="1"/>
    </row>
    <row r="3708" spans="3:3" x14ac:dyDescent="0.35">
      <c r="C3708" s="1"/>
    </row>
    <row r="3709" spans="3:3" x14ac:dyDescent="0.35">
      <c r="C3709" s="1"/>
    </row>
    <row r="3710" spans="3:3" x14ac:dyDescent="0.35">
      <c r="C3710" s="1"/>
    </row>
    <row r="3711" spans="3:3" x14ac:dyDescent="0.35">
      <c r="C3711" s="1"/>
    </row>
    <row r="3712" spans="3:3" x14ac:dyDescent="0.35">
      <c r="C3712" s="1"/>
    </row>
    <row r="3713" spans="3:3" x14ac:dyDescent="0.35">
      <c r="C3713" s="1"/>
    </row>
    <row r="3714" spans="3:3" x14ac:dyDescent="0.35">
      <c r="C3714" s="1"/>
    </row>
    <row r="3715" spans="3:3" x14ac:dyDescent="0.35">
      <c r="C3715" s="1"/>
    </row>
    <row r="3716" spans="3:3" x14ac:dyDescent="0.35">
      <c r="C3716" s="1"/>
    </row>
    <row r="3717" spans="3:3" x14ac:dyDescent="0.35">
      <c r="C3717" s="1"/>
    </row>
    <row r="3718" spans="3:3" x14ac:dyDescent="0.35">
      <c r="C3718" s="1"/>
    </row>
    <row r="3719" spans="3:3" x14ac:dyDescent="0.35">
      <c r="C3719" s="1"/>
    </row>
    <row r="3720" spans="3:3" x14ac:dyDescent="0.35">
      <c r="C3720" s="1"/>
    </row>
    <row r="3721" spans="3:3" x14ac:dyDescent="0.35">
      <c r="C3721" s="1"/>
    </row>
    <row r="3722" spans="3:3" x14ac:dyDescent="0.35">
      <c r="C3722" s="1"/>
    </row>
    <row r="3723" spans="3:3" x14ac:dyDescent="0.35">
      <c r="C3723" s="1"/>
    </row>
    <row r="3724" spans="3:3" x14ac:dyDescent="0.35">
      <c r="C3724" s="1"/>
    </row>
    <row r="3725" spans="3:3" x14ac:dyDescent="0.35">
      <c r="C3725" s="1"/>
    </row>
    <row r="3726" spans="3:3" x14ac:dyDescent="0.35">
      <c r="C3726" s="1"/>
    </row>
    <row r="3727" spans="3:3" x14ac:dyDescent="0.35">
      <c r="C3727" s="1"/>
    </row>
    <row r="3728" spans="3:3" x14ac:dyDescent="0.35">
      <c r="C3728" s="1"/>
    </row>
    <row r="3729" spans="3:3" x14ac:dyDescent="0.35">
      <c r="C3729" s="1"/>
    </row>
    <row r="3730" spans="3:3" x14ac:dyDescent="0.35">
      <c r="C3730" s="1"/>
    </row>
    <row r="3731" spans="3:3" x14ac:dyDescent="0.35">
      <c r="C3731" s="1"/>
    </row>
    <row r="3732" spans="3:3" x14ac:dyDescent="0.35">
      <c r="C3732" s="1"/>
    </row>
    <row r="3733" spans="3:3" x14ac:dyDescent="0.35">
      <c r="C3733" s="1"/>
    </row>
    <row r="3734" spans="3:3" x14ac:dyDescent="0.35">
      <c r="C3734" s="1"/>
    </row>
    <row r="3735" spans="3:3" x14ac:dyDescent="0.35">
      <c r="C3735" s="1"/>
    </row>
    <row r="3736" spans="3:3" x14ac:dyDescent="0.35">
      <c r="C3736" s="1"/>
    </row>
    <row r="3737" spans="3:3" x14ac:dyDescent="0.35">
      <c r="C3737" s="1"/>
    </row>
    <row r="3738" spans="3:3" x14ac:dyDescent="0.35">
      <c r="C3738" s="1"/>
    </row>
    <row r="3739" spans="3:3" x14ac:dyDescent="0.35">
      <c r="C3739" s="1"/>
    </row>
    <row r="3740" spans="3:3" x14ac:dyDescent="0.35">
      <c r="C3740" s="1"/>
    </row>
    <row r="3741" spans="3:3" x14ac:dyDescent="0.35">
      <c r="C3741" s="1"/>
    </row>
    <row r="3742" spans="3:3" x14ac:dyDescent="0.35">
      <c r="C3742" s="1"/>
    </row>
    <row r="3743" spans="3:3" x14ac:dyDescent="0.35">
      <c r="C3743" s="1"/>
    </row>
    <row r="3744" spans="3:3" x14ac:dyDescent="0.35">
      <c r="C3744" s="1"/>
    </row>
    <row r="3745" spans="3:3" x14ac:dyDescent="0.35">
      <c r="C3745" s="1"/>
    </row>
    <row r="3746" spans="3:3" x14ac:dyDescent="0.35">
      <c r="C3746" s="1"/>
    </row>
    <row r="3747" spans="3:3" x14ac:dyDescent="0.35">
      <c r="C3747" s="1"/>
    </row>
    <row r="3748" spans="3:3" x14ac:dyDescent="0.35">
      <c r="C3748" s="1"/>
    </row>
    <row r="3749" spans="3:3" x14ac:dyDescent="0.35">
      <c r="C3749" s="1"/>
    </row>
    <row r="3750" spans="3:3" x14ac:dyDescent="0.35">
      <c r="C3750" s="1"/>
    </row>
    <row r="3751" spans="3:3" x14ac:dyDescent="0.35">
      <c r="C3751" s="1"/>
    </row>
    <row r="3752" spans="3:3" x14ac:dyDescent="0.35">
      <c r="C3752" s="1"/>
    </row>
    <row r="3753" spans="3:3" x14ac:dyDescent="0.35">
      <c r="C3753" s="1"/>
    </row>
    <row r="3754" spans="3:3" x14ac:dyDescent="0.35">
      <c r="C3754" s="1"/>
    </row>
    <row r="3755" spans="3:3" x14ac:dyDescent="0.35">
      <c r="C3755" s="1"/>
    </row>
    <row r="3756" spans="3:3" x14ac:dyDescent="0.35">
      <c r="C3756" s="1"/>
    </row>
    <row r="3757" spans="3:3" x14ac:dyDescent="0.35">
      <c r="C3757" s="1"/>
    </row>
    <row r="3758" spans="3:3" x14ac:dyDescent="0.35">
      <c r="C3758" s="1"/>
    </row>
    <row r="3759" spans="3:3" x14ac:dyDescent="0.35">
      <c r="C3759" s="1"/>
    </row>
    <row r="3760" spans="3:3" x14ac:dyDescent="0.35">
      <c r="C3760" s="1"/>
    </row>
    <row r="3761" spans="3:3" x14ac:dyDescent="0.35">
      <c r="C3761" s="1"/>
    </row>
    <row r="3762" spans="3:3" x14ac:dyDescent="0.35">
      <c r="C3762" s="1"/>
    </row>
    <row r="3763" spans="3:3" x14ac:dyDescent="0.35">
      <c r="C3763" s="1"/>
    </row>
    <row r="3764" spans="3:3" x14ac:dyDescent="0.35">
      <c r="C3764" s="1"/>
    </row>
    <row r="3765" spans="3:3" x14ac:dyDescent="0.35">
      <c r="C3765" s="1"/>
    </row>
    <row r="3766" spans="3:3" x14ac:dyDescent="0.35">
      <c r="C3766" s="1"/>
    </row>
    <row r="3767" spans="3:3" x14ac:dyDescent="0.35">
      <c r="C3767" s="1"/>
    </row>
    <row r="3768" spans="3:3" x14ac:dyDescent="0.35">
      <c r="C3768" s="1"/>
    </row>
    <row r="3769" spans="3:3" x14ac:dyDescent="0.35">
      <c r="C3769" s="1"/>
    </row>
    <row r="3770" spans="3:3" x14ac:dyDescent="0.35">
      <c r="C3770" s="1"/>
    </row>
    <row r="3771" spans="3:3" x14ac:dyDescent="0.35">
      <c r="C3771" s="1"/>
    </row>
    <row r="3772" spans="3:3" x14ac:dyDescent="0.35">
      <c r="C3772" s="1"/>
    </row>
    <row r="3773" spans="3:3" x14ac:dyDescent="0.35">
      <c r="C3773" s="1"/>
    </row>
    <row r="3774" spans="3:3" x14ac:dyDescent="0.35">
      <c r="C3774" s="1"/>
    </row>
    <row r="3775" spans="3:3" x14ac:dyDescent="0.35">
      <c r="C3775" s="1"/>
    </row>
    <row r="3776" spans="3:3" x14ac:dyDescent="0.35">
      <c r="C3776" s="1"/>
    </row>
    <row r="3777" spans="3:3" x14ac:dyDescent="0.35">
      <c r="C3777" s="1"/>
    </row>
    <row r="3778" spans="3:3" x14ac:dyDescent="0.35">
      <c r="C3778" s="1"/>
    </row>
    <row r="3779" spans="3:3" x14ac:dyDescent="0.35">
      <c r="C3779" s="1"/>
    </row>
    <row r="3780" spans="3:3" x14ac:dyDescent="0.35">
      <c r="C3780" s="1"/>
    </row>
    <row r="3781" spans="3:3" x14ac:dyDescent="0.35">
      <c r="C3781" s="1"/>
    </row>
    <row r="3782" spans="3:3" x14ac:dyDescent="0.35">
      <c r="C3782" s="1"/>
    </row>
    <row r="3783" spans="3:3" x14ac:dyDescent="0.35">
      <c r="C3783" s="1"/>
    </row>
    <row r="3784" spans="3:3" x14ac:dyDescent="0.35">
      <c r="C3784" s="1"/>
    </row>
    <row r="3785" spans="3:3" x14ac:dyDescent="0.35">
      <c r="C3785" s="1"/>
    </row>
    <row r="3786" spans="3:3" x14ac:dyDescent="0.35">
      <c r="C3786" s="1"/>
    </row>
    <row r="3787" spans="3:3" x14ac:dyDescent="0.35">
      <c r="C3787" s="1"/>
    </row>
    <row r="3788" spans="3:3" x14ac:dyDescent="0.35">
      <c r="C3788" s="1"/>
    </row>
    <row r="3789" spans="3:3" x14ac:dyDescent="0.35">
      <c r="C3789" s="1"/>
    </row>
    <row r="3790" spans="3:3" x14ac:dyDescent="0.35">
      <c r="C3790" s="1"/>
    </row>
    <row r="3791" spans="3:3" x14ac:dyDescent="0.35">
      <c r="C3791" s="1"/>
    </row>
    <row r="3792" spans="3:3" x14ac:dyDescent="0.35">
      <c r="C3792" s="1"/>
    </row>
    <row r="3793" spans="3:3" x14ac:dyDescent="0.35">
      <c r="C3793" s="1"/>
    </row>
    <row r="3794" spans="3:3" x14ac:dyDescent="0.35">
      <c r="C3794" s="1"/>
    </row>
    <row r="3795" spans="3:3" x14ac:dyDescent="0.35">
      <c r="C3795" s="1"/>
    </row>
    <row r="3796" spans="3:3" x14ac:dyDescent="0.35">
      <c r="C3796" s="1"/>
    </row>
    <row r="3797" spans="3:3" x14ac:dyDescent="0.35">
      <c r="C3797" s="1"/>
    </row>
    <row r="3798" spans="3:3" x14ac:dyDescent="0.35">
      <c r="C3798" s="1"/>
    </row>
    <row r="3799" spans="3:3" x14ac:dyDescent="0.35">
      <c r="C3799" s="1"/>
    </row>
    <row r="3800" spans="3:3" x14ac:dyDescent="0.35">
      <c r="C3800" s="1"/>
    </row>
    <row r="3801" spans="3:3" x14ac:dyDescent="0.35">
      <c r="C3801" s="1"/>
    </row>
    <row r="3802" spans="3:3" x14ac:dyDescent="0.35">
      <c r="C3802" s="1"/>
    </row>
    <row r="3803" spans="3:3" x14ac:dyDescent="0.35">
      <c r="C3803" s="1"/>
    </row>
    <row r="3804" spans="3:3" x14ac:dyDescent="0.35">
      <c r="C3804" s="1"/>
    </row>
    <row r="3805" spans="3:3" x14ac:dyDescent="0.35">
      <c r="C3805" s="1"/>
    </row>
    <row r="3806" spans="3:3" x14ac:dyDescent="0.35">
      <c r="C3806" s="1"/>
    </row>
    <row r="3807" spans="3:3" x14ac:dyDescent="0.35">
      <c r="C3807" s="1"/>
    </row>
    <row r="3808" spans="3:3" x14ac:dyDescent="0.35">
      <c r="C3808" s="1"/>
    </row>
    <row r="3809" spans="3:3" x14ac:dyDescent="0.35">
      <c r="C3809" s="1"/>
    </row>
    <row r="3810" spans="3:3" x14ac:dyDescent="0.35">
      <c r="C3810" s="1"/>
    </row>
    <row r="3811" spans="3:3" x14ac:dyDescent="0.35">
      <c r="C3811" s="1"/>
    </row>
    <row r="3812" spans="3:3" x14ac:dyDescent="0.35">
      <c r="C3812" s="1"/>
    </row>
    <row r="3813" spans="3:3" x14ac:dyDescent="0.35">
      <c r="C3813" s="1"/>
    </row>
    <row r="3814" spans="3:3" x14ac:dyDescent="0.35">
      <c r="C3814" s="1"/>
    </row>
    <row r="3815" spans="3:3" x14ac:dyDescent="0.35">
      <c r="C3815" s="1"/>
    </row>
    <row r="3816" spans="3:3" x14ac:dyDescent="0.35">
      <c r="C3816" s="1"/>
    </row>
    <row r="3817" spans="3:3" x14ac:dyDescent="0.35">
      <c r="C3817" s="1"/>
    </row>
    <row r="3818" spans="3:3" x14ac:dyDescent="0.35">
      <c r="C3818" s="1"/>
    </row>
    <row r="3819" spans="3:3" x14ac:dyDescent="0.35">
      <c r="C3819" s="1"/>
    </row>
    <row r="3820" spans="3:3" x14ac:dyDescent="0.35">
      <c r="C3820" s="1"/>
    </row>
    <row r="3821" spans="3:3" x14ac:dyDescent="0.35">
      <c r="C3821" s="1"/>
    </row>
    <row r="3822" spans="3:3" x14ac:dyDescent="0.35">
      <c r="C3822" s="1"/>
    </row>
    <row r="3823" spans="3:3" x14ac:dyDescent="0.35">
      <c r="C3823" s="1"/>
    </row>
    <row r="3824" spans="3:3" x14ac:dyDescent="0.35">
      <c r="C3824" s="1"/>
    </row>
    <row r="3825" spans="3:3" x14ac:dyDescent="0.35">
      <c r="C3825" s="1"/>
    </row>
    <row r="3826" spans="3:3" x14ac:dyDescent="0.35">
      <c r="C3826" s="1"/>
    </row>
    <row r="3827" spans="3:3" x14ac:dyDescent="0.35">
      <c r="C3827" s="1"/>
    </row>
    <row r="3828" spans="3:3" x14ac:dyDescent="0.35">
      <c r="C3828" s="1"/>
    </row>
    <row r="3829" spans="3:3" x14ac:dyDescent="0.35">
      <c r="C3829" s="1"/>
    </row>
    <row r="3830" spans="3:3" x14ac:dyDescent="0.35">
      <c r="C3830" s="1"/>
    </row>
    <row r="3831" spans="3:3" x14ac:dyDescent="0.35">
      <c r="C3831" s="1"/>
    </row>
    <row r="3832" spans="3:3" x14ac:dyDescent="0.35">
      <c r="C3832" s="1"/>
    </row>
    <row r="3833" spans="3:3" x14ac:dyDescent="0.35">
      <c r="C3833" s="1"/>
    </row>
    <row r="3834" spans="3:3" x14ac:dyDescent="0.35">
      <c r="C3834" s="1"/>
    </row>
    <row r="3835" spans="3:3" x14ac:dyDescent="0.35">
      <c r="C3835" s="1"/>
    </row>
    <row r="3836" spans="3:3" x14ac:dyDescent="0.35">
      <c r="C3836" s="1"/>
    </row>
    <row r="3837" spans="3:3" x14ac:dyDescent="0.35">
      <c r="C3837" s="1"/>
    </row>
    <row r="3838" spans="3:3" x14ac:dyDescent="0.35">
      <c r="C3838" s="1"/>
    </row>
    <row r="3839" spans="3:3" x14ac:dyDescent="0.35">
      <c r="C3839" s="1"/>
    </row>
    <row r="3840" spans="3:3" x14ac:dyDescent="0.35">
      <c r="C3840" s="1"/>
    </row>
    <row r="3841" spans="3:3" x14ac:dyDescent="0.35">
      <c r="C3841" s="1"/>
    </row>
    <row r="3842" spans="3:3" x14ac:dyDescent="0.35">
      <c r="C3842" s="1"/>
    </row>
    <row r="3843" spans="3:3" x14ac:dyDescent="0.35">
      <c r="C3843" s="1"/>
    </row>
    <row r="3844" spans="3:3" x14ac:dyDescent="0.35">
      <c r="C3844" s="1"/>
    </row>
    <row r="3845" spans="3:3" x14ac:dyDescent="0.35">
      <c r="C3845" s="1"/>
    </row>
    <row r="3846" spans="3:3" x14ac:dyDescent="0.35">
      <c r="C3846" s="1"/>
    </row>
    <row r="3847" spans="3:3" x14ac:dyDescent="0.35">
      <c r="C3847" s="1"/>
    </row>
    <row r="3848" spans="3:3" x14ac:dyDescent="0.35">
      <c r="C3848" s="1"/>
    </row>
    <row r="3849" spans="3:3" x14ac:dyDescent="0.35">
      <c r="C3849" s="1"/>
    </row>
    <row r="3850" spans="3:3" x14ac:dyDescent="0.35">
      <c r="C3850" s="1"/>
    </row>
    <row r="3851" spans="3:3" x14ac:dyDescent="0.35">
      <c r="C3851" s="1"/>
    </row>
    <row r="3852" spans="3:3" x14ac:dyDescent="0.35">
      <c r="C3852" s="1"/>
    </row>
    <row r="3853" spans="3:3" x14ac:dyDescent="0.35">
      <c r="C3853" s="1"/>
    </row>
    <row r="3854" spans="3:3" x14ac:dyDescent="0.35">
      <c r="C3854" s="1"/>
    </row>
    <row r="3855" spans="3:3" x14ac:dyDescent="0.35">
      <c r="C3855" s="1"/>
    </row>
    <row r="3856" spans="3:3" x14ac:dyDescent="0.35">
      <c r="C3856" s="1"/>
    </row>
    <row r="3857" spans="3:3" x14ac:dyDescent="0.35">
      <c r="C3857" s="1"/>
    </row>
    <row r="3858" spans="3:3" x14ac:dyDescent="0.35">
      <c r="C3858" s="1"/>
    </row>
    <row r="3859" spans="3:3" x14ac:dyDescent="0.35">
      <c r="C3859" s="1"/>
    </row>
    <row r="3860" spans="3:3" x14ac:dyDescent="0.35">
      <c r="C3860" s="1"/>
    </row>
    <row r="3861" spans="3:3" x14ac:dyDescent="0.35">
      <c r="C3861" s="1"/>
    </row>
    <row r="3862" spans="3:3" x14ac:dyDescent="0.35">
      <c r="C3862" s="1"/>
    </row>
    <row r="3863" spans="3:3" x14ac:dyDescent="0.35">
      <c r="C3863" s="1"/>
    </row>
    <row r="3864" spans="3:3" x14ac:dyDescent="0.35">
      <c r="C3864" s="1"/>
    </row>
    <row r="3865" spans="3:3" x14ac:dyDescent="0.35">
      <c r="C3865" s="1"/>
    </row>
    <row r="3866" spans="3:3" x14ac:dyDescent="0.35">
      <c r="C3866" s="1"/>
    </row>
    <row r="3867" spans="3:3" x14ac:dyDescent="0.35">
      <c r="C3867" s="1"/>
    </row>
    <row r="3868" spans="3:3" x14ac:dyDescent="0.35">
      <c r="C3868" s="1"/>
    </row>
    <row r="3869" spans="3:3" x14ac:dyDescent="0.35">
      <c r="C3869" s="1"/>
    </row>
    <row r="3870" spans="3:3" x14ac:dyDescent="0.35">
      <c r="C3870" s="1"/>
    </row>
    <row r="3871" spans="3:3" x14ac:dyDescent="0.35">
      <c r="C3871" s="1"/>
    </row>
    <row r="3872" spans="3:3" x14ac:dyDescent="0.35">
      <c r="C3872" s="1"/>
    </row>
    <row r="3873" spans="3:3" x14ac:dyDescent="0.35">
      <c r="C3873" s="1"/>
    </row>
    <row r="3874" spans="3:3" x14ac:dyDescent="0.35">
      <c r="C3874" s="1"/>
    </row>
    <row r="3875" spans="3:3" x14ac:dyDescent="0.35">
      <c r="C3875" s="1"/>
    </row>
    <row r="3876" spans="3:3" x14ac:dyDescent="0.35">
      <c r="C3876" s="1"/>
    </row>
    <row r="3877" spans="3:3" x14ac:dyDescent="0.35">
      <c r="C3877" s="1"/>
    </row>
    <row r="3878" spans="3:3" x14ac:dyDescent="0.35">
      <c r="C3878" s="1"/>
    </row>
    <row r="3879" spans="3:3" x14ac:dyDescent="0.35">
      <c r="C3879" s="1"/>
    </row>
    <row r="3880" spans="3:3" x14ac:dyDescent="0.35">
      <c r="C3880" s="1"/>
    </row>
    <row r="3881" spans="3:3" x14ac:dyDescent="0.35">
      <c r="C3881" s="1"/>
    </row>
    <row r="3882" spans="3:3" x14ac:dyDescent="0.35">
      <c r="C3882" s="1"/>
    </row>
    <row r="3883" spans="3:3" x14ac:dyDescent="0.35">
      <c r="C3883" s="1"/>
    </row>
    <row r="3884" spans="3:3" x14ac:dyDescent="0.35">
      <c r="C3884" s="1"/>
    </row>
    <row r="3885" spans="3:3" x14ac:dyDescent="0.35">
      <c r="C3885" s="1"/>
    </row>
    <row r="3886" spans="3:3" x14ac:dyDescent="0.35">
      <c r="C3886" s="1"/>
    </row>
    <row r="3887" spans="3:3" x14ac:dyDescent="0.35">
      <c r="C3887" s="1"/>
    </row>
    <row r="3888" spans="3:3" x14ac:dyDescent="0.35">
      <c r="C3888" s="1"/>
    </row>
    <row r="3889" spans="3:3" x14ac:dyDescent="0.35">
      <c r="C3889" s="1"/>
    </row>
    <row r="3890" spans="3:3" x14ac:dyDescent="0.35">
      <c r="C3890" s="1"/>
    </row>
    <row r="3891" spans="3:3" x14ac:dyDescent="0.35">
      <c r="C3891" s="1"/>
    </row>
    <row r="3892" spans="3:3" x14ac:dyDescent="0.35">
      <c r="C3892" s="1"/>
    </row>
    <row r="3893" spans="3:3" x14ac:dyDescent="0.35">
      <c r="C3893" s="1"/>
    </row>
    <row r="3894" spans="3:3" x14ac:dyDescent="0.35">
      <c r="C3894" s="1"/>
    </row>
    <row r="3895" spans="3:3" x14ac:dyDescent="0.35">
      <c r="C3895" s="1"/>
    </row>
    <row r="3896" spans="3:3" x14ac:dyDescent="0.35">
      <c r="C3896" s="1"/>
    </row>
    <row r="3897" spans="3:3" x14ac:dyDescent="0.35">
      <c r="C3897" s="1"/>
    </row>
    <row r="3898" spans="3:3" x14ac:dyDescent="0.35">
      <c r="C3898" s="1"/>
    </row>
    <row r="3899" spans="3:3" x14ac:dyDescent="0.35">
      <c r="C3899" s="1"/>
    </row>
    <row r="3900" spans="3:3" x14ac:dyDescent="0.35">
      <c r="C3900" s="1"/>
    </row>
    <row r="3901" spans="3:3" x14ac:dyDescent="0.35">
      <c r="C3901" s="1"/>
    </row>
    <row r="3902" spans="3:3" x14ac:dyDescent="0.35">
      <c r="C3902" s="1"/>
    </row>
    <row r="3903" spans="3:3" x14ac:dyDescent="0.35">
      <c r="C3903" s="1"/>
    </row>
    <row r="3904" spans="3:3" x14ac:dyDescent="0.35">
      <c r="C3904" s="1"/>
    </row>
    <row r="3905" spans="3:3" x14ac:dyDescent="0.35">
      <c r="C3905" s="1"/>
    </row>
    <row r="3906" spans="3:3" x14ac:dyDescent="0.35">
      <c r="C3906" s="1"/>
    </row>
    <row r="3907" spans="3:3" x14ac:dyDescent="0.35">
      <c r="C3907" s="1"/>
    </row>
    <row r="3908" spans="3:3" x14ac:dyDescent="0.35">
      <c r="C3908" s="1"/>
    </row>
    <row r="3909" spans="3:3" x14ac:dyDescent="0.35">
      <c r="C3909" s="1"/>
    </row>
    <row r="3910" spans="3:3" x14ac:dyDescent="0.35">
      <c r="C3910" s="1"/>
    </row>
    <row r="3911" spans="3:3" x14ac:dyDescent="0.35">
      <c r="C3911" s="1"/>
    </row>
    <row r="3912" spans="3:3" x14ac:dyDescent="0.35">
      <c r="C3912" s="1"/>
    </row>
    <row r="3913" spans="3:3" x14ac:dyDescent="0.35">
      <c r="C3913" s="1"/>
    </row>
    <row r="3914" spans="3:3" x14ac:dyDescent="0.35">
      <c r="C3914" s="1"/>
    </row>
    <row r="3915" spans="3:3" x14ac:dyDescent="0.35">
      <c r="C3915" s="1"/>
    </row>
    <row r="3916" spans="3:3" x14ac:dyDescent="0.35">
      <c r="C3916" s="1"/>
    </row>
    <row r="3917" spans="3:3" x14ac:dyDescent="0.35">
      <c r="C3917" s="1"/>
    </row>
    <row r="3918" spans="3:3" x14ac:dyDescent="0.35">
      <c r="C3918" s="1"/>
    </row>
    <row r="3919" spans="3:3" x14ac:dyDescent="0.35">
      <c r="C3919" s="1"/>
    </row>
    <row r="3920" spans="3:3" x14ac:dyDescent="0.35">
      <c r="C3920" s="1"/>
    </row>
    <row r="3921" spans="3:3" x14ac:dyDescent="0.35">
      <c r="C3921" s="1"/>
    </row>
    <row r="3922" spans="3:3" x14ac:dyDescent="0.35">
      <c r="C3922" s="1"/>
    </row>
    <row r="3923" spans="3:3" x14ac:dyDescent="0.35">
      <c r="C3923" s="1"/>
    </row>
    <row r="3924" spans="3:3" x14ac:dyDescent="0.35">
      <c r="C3924" s="1"/>
    </row>
    <row r="3925" spans="3:3" x14ac:dyDescent="0.35">
      <c r="C3925" s="1"/>
    </row>
    <row r="3926" spans="3:3" x14ac:dyDescent="0.35">
      <c r="C3926" s="1"/>
    </row>
    <row r="3927" spans="3:3" x14ac:dyDescent="0.35">
      <c r="C3927" s="1"/>
    </row>
    <row r="3928" spans="3:3" x14ac:dyDescent="0.35">
      <c r="C3928" s="1"/>
    </row>
    <row r="3929" spans="3:3" x14ac:dyDescent="0.35">
      <c r="C3929" s="1"/>
    </row>
    <row r="3930" spans="3:3" x14ac:dyDescent="0.35">
      <c r="C3930" s="1"/>
    </row>
    <row r="3931" spans="3:3" x14ac:dyDescent="0.35">
      <c r="C3931" s="1"/>
    </row>
    <row r="3932" spans="3:3" x14ac:dyDescent="0.35">
      <c r="C3932" s="1"/>
    </row>
    <row r="3933" spans="3:3" x14ac:dyDescent="0.35">
      <c r="C3933" s="1"/>
    </row>
    <row r="3934" spans="3:3" x14ac:dyDescent="0.35">
      <c r="C3934" s="1"/>
    </row>
    <row r="3935" spans="3:3" x14ac:dyDescent="0.35">
      <c r="C3935" s="1"/>
    </row>
    <row r="3936" spans="3:3" x14ac:dyDescent="0.35">
      <c r="C3936" s="1"/>
    </row>
    <row r="3937" spans="3:3" x14ac:dyDescent="0.35">
      <c r="C3937" s="1"/>
    </row>
    <row r="3938" spans="3:3" x14ac:dyDescent="0.35">
      <c r="C3938" s="1"/>
    </row>
    <row r="3939" spans="3:3" x14ac:dyDescent="0.35">
      <c r="C3939" s="1"/>
    </row>
    <row r="3940" spans="3:3" x14ac:dyDescent="0.35">
      <c r="C3940" s="1"/>
    </row>
    <row r="3941" spans="3:3" x14ac:dyDescent="0.35">
      <c r="C3941" s="1"/>
    </row>
    <row r="3942" spans="3:3" x14ac:dyDescent="0.35">
      <c r="C3942" s="1"/>
    </row>
    <row r="3943" spans="3:3" x14ac:dyDescent="0.35">
      <c r="C3943" s="1"/>
    </row>
    <row r="3944" spans="3:3" x14ac:dyDescent="0.35">
      <c r="C3944" s="1"/>
    </row>
    <row r="3945" spans="3:3" x14ac:dyDescent="0.35">
      <c r="C3945" s="1"/>
    </row>
    <row r="3946" spans="3:3" x14ac:dyDescent="0.35">
      <c r="C3946" s="1"/>
    </row>
    <row r="3947" spans="3:3" x14ac:dyDescent="0.35">
      <c r="C3947" s="1"/>
    </row>
    <row r="3948" spans="3:3" x14ac:dyDescent="0.35">
      <c r="C3948" s="1"/>
    </row>
    <row r="3949" spans="3:3" x14ac:dyDescent="0.35">
      <c r="C3949" s="1"/>
    </row>
    <row r="3950" spans="3:3" x14ac:dyDescent="0.35">
      <c r="C3950" s="1"/>
    </row>
    <row r="3951" spans="3:3" x14ac:dyDescent="0.35">
      <c r="C3951" s="1"/>
    </row>
    <row r="3952" spans="3:3" x14ac:dyDescent="0.35">
      <c r="C3952" s="1"/>
    </row>
    <row r="3953" spans="3:3" x14ac:dyDescent="0.35">
      <c r="C3953" s="1"/>
    </row>
    <row r="3954" spans="3:3" x14ac:dyDescent="0.35">
      <c r="C3954" s="1"/>
    </row>
    <row r="3955" spans="3:3" x14ac:dyDescent="0.35">
      <c r="C3955" s="1"/>
    </row>
    <row r="3956" spans="3:3" x14ac:dyDescent="0.35">
      <c r="C3956" s="1"/>
    </row>
    <row r="3957" spans="3:3" x14ac:dyDescent="0.35">
      <c r="C3957" s="1"/>
    </row>
    <row r="3958" spans="3:3" x14ac:dyDescent="0.35">
      <c r="C3958" s="1"/>
    </row>
    <row r="3959" spans="3:3" x14ac:dyDescent="0.35">
      <c r="C3959" s="1"/>
    </row>
    <row r="3960" spans="3:3" x14ac:dyDescent="0.35">
      <c r="C3960" s="1"/>
    </row>
    <row r="3961" spans="3:3" x14ac:dyDescent="0.35">
      <c r="C3961" s="1"/>
    </row>
    <row r="3962" spans="3:3" x14ac:dyDescent="0.35">
      <c r="C3962" s="1"/>
    </row>
    <row r="3963" spans="3:3" x14ac:dyDescent="0.35">
      <c r="C3963" s="1"/>
    </row>
    <row r="3964" spans="3:3" x14ac:dyDescent="0.35">
      <c r="C3964" s="1"/>
    </row>
    <row r="3965" spans="3:3" x14ac:dyDescent="0.35">
      <c r="C3965" s="1"/>
    </row>
    <row r="3966" spans="3:3" x14ac:dyDescent="0.35">
      <c r="C3966" s="1"/>
    </row>
    <row r="3967" spans="3:3" x14ac:dyDescent="0.35">
      <c r="C3967" s="1"/>
    </row>
    <row r="3968" spans="3:3" x14ac:dyDescent="0.35">
      <c r="C3968" s="1"/>
    </row>
    <row r="3969" spans="3:3" x14ac:dyDescent="0.35">
      <c r="C3969" s="1"/>
    </row>
    <row r="3970" spans="3:3" x14ac:dyDescent="0.35">
      <c r="C3970" s="1"/>
    </row>
    <row r="3971" spans="3:3" x14ac:dyDescent="0.35">
      <c r="C3971" s="1"/>
    </row>
    <row r="3972" spans="3:3" x14ac:dyDescent="0.35">
      <c r="C3972" s="1"/>
    </row>
    <row r="3973" spans="3:3" x14ac:dyDescent="0.35">
      <c r="C3973" s="1"/>
    </row>
    <row r="3974" spans="3:3" x14ac:dyDescent="0.35">
      <c r="C3974" s="1"/>
    </row>
    <row r="3975" spans="3:3" x14ac:dyDescent="0.35">
      <c r="C3975" s="1"/>
    </row>
    <row r="3976" spans="3:3" x14ac:dyDescent="0.35">
      <c r="C3976" s="1"/>
    </row>
    <row r="3977" spans="3:3" x14ac:dyDescent="0.35">
      <c r="C3977" s="1"/>
    </row>
    <row r="3978" spans="3:3" x14ac:dyDescent="0.35">
      <c r="C3978" s="1"/>
    </row>
    <row r="3979" spans="3:3" x14ac:dyDescent="0.35">
      <c r="C3979" s="1"/>
    </row>
    <row r="3980" spans="3:3" x14ac:dyDescent="0.35">
      <c r="C3980" s="1"/>
    </row>
    <row r="3981" spans="3:3" x14ac:dyDescent="0.35">
      <c r="C3981" s="1"/>
    </row>
    <row r="3982" spans="3:3" x14ac:dyDescent="0.35">
      <c r="C3982" s="1"/>
    </row>
    <row r="3983" spans="3:3" x14ac:dyDescent="0.35">
      <c r="C3983" s="1"/>
    </row>
    <row r="3984" spans="3:3" x14ac:dyDescent="0.35">
      <c r="C3984" s="1"/>
    </row>
    <row r="3985" spans="3:3" x14ac:dyDescent="0.35">
      <c r="C3985" s="1"/>
    </row>
    <row r="3986" spans="3:3" x14ac:dyDescent="0.35">
      <c r="C3986" s="1"/>
    </row>
    <row r="3987" spans="3:3" x14ac:dyDescent="0.35">
      <c r="C3987" s="1"/>
    </row>
    <row r="3988" spans="3:3" x14ac:dyDescent="0.35">
      <c r="C3988" s="1"/>
    </row>
    <row r="3989" spans="3:3" x14ac:dyDescent="0.35">
      <c r="C3989" s="1"/>
    </row>
    <row r="3990" spans="3:3" x14ac:dyDescent="0.35">
      <c r="C3990" s="1"/>
    </row>
    <row r="3991" spans="3:3" x14ac:dyDescent="0.35">
      <c r="C3991" s="1"/>
    </row>
    <row r="3992" spans="3:3" x14ac:dyDescent="0.35">
      <c r="C3992" s="1"/>
    </row>
    <row r="3993" spans="3:3" x14ac:dyDescent="0.35">
      <c r="C3993" s="1"/>
    </row>
    <row r="3994" spans="3:3" x14ac:dyDescent="0.35">
      <c r="C3994" s="1"/>
    </row>
    <row r="3995" spans="3:3" x14ac:dyDescent="0.35">
      <c r="C3995" s="1"/>
    </row>
    <row r="3996" spans="3:3" x14ac:dyDescent="0.35">
      <c r="C3996" s="1"/>
    </row>
    <row r="3997" spans="3:3" x14ac:dyDescent="0.35">
      <c r="C3997" s="1"/>
    </row>
    <row r="3998" spans="3:3" x14ac:dyDescent="0.35">
      <c r="C3998" s="1"/>
    </row>
    <row r="3999" spans="3:3" x14ac:dyDescent="0.35">
      <c r="C3999" s="1"/>
    </row>
    <row r="4000" spans="3:3" x14ac:dyDescent="0.35">
      <c r="C4000" s="1"/>
    </row>
    <row r="4001" spans="3:3" x14ac:dyDescent="0.35">
      <c r="C4001" s="1"/>
    </row>
    <row r="4002" spans="3:3" x14ac:dyDescent="0.35">
      <c r="C4002" s="1"/>
    </row>
    <row r="4003" spans="3:3" x14ac:dyDescent="0.35">
      <c r="C4003" s="1"/>
    </row>
    <row r="4004" spans="3:3" x14ac:dyDescent="0.35">
      <c r="C4004" s="1"/>
    </row>
    <row r="4005" spans="3:3" x14ac:dyDescent="0.35">
      <c r="C4005" s="1"/>
    </row>
    <row r="4006" spans="3:3" x14ac:dyDescent="0.35">
      <c r="C4006" s="1"/>
    </row>
    <row r="4007" spans="3:3" x14ac:dyDescent="0.35">
      <c r="C4007" s="1"/>
    </row>
    <row r="4008" spans="3:3" x14ac:dyDescent="0.35">
      <c r="C4008" s="1"/>
    </row>
    <row r="4009" spans="3:3" x14ac:dyDescent="0.35">
      <c r="C4009" s="1"/>
    </row>
    <row r="4010" spans="3:3" x14ac:dyDescent="0.35">
      <c r="C4010" s="1"/>
    </row>
    <row r="4011" spans="3:3" x14ac:dyDescent="0.35">
      <c r="C4011" s="1"/>
    </row>
    <row r="4012" spans="3:3" x14ac:dyDescent="0.35">
      <c r="C4012" s="1"/>
    </row>
    <row r="4013" spans="3:3" x14ac:dyDescent="0.35">
      <c r="C4013" s="1"/>
    </row>
    <row r="4014" spans="3:3" x14ac:dyDescent="0.35">
      <c r="C4014" s="1"/>
    </row>
    <row r="4015" spans="3:3" x14ac:dyDescent="0.35">
      <c r="C4015" s="1"/>
    </row>
    <row r="4016" spans="3:3" x14ac:dyDescent="0.35">
      <c r="C4016" s="1"/>
    </row>
    <row r="4017" spans="3:3" x14ac:dyDescent="0.35">
      <c r="C4017" s="1"/>
    </row>
    <row r="4018" spans="3:3" x14ac:dyDescent="0.35">
      <c r="C4018" s="1"/>
    </row>
    <row r="4019" spans="3:3" x14ac:dyDescent="0.35">
      <c r="C4019" s="1"/>
    </row>
    <row r="4020" spans="3:3" x14ac:dyDescent="0.35">
      <c r="C4020" s="1"/>
    </row>
    <row r="4021" spans="3:3" x14ac:dyDescent="0.35">
      <c r="C4021" s="1"/>
    </row>
    <row r="4022" spans="3:3" x14ac:dyDescent="0.35">
      <c r="C4022" s="1"/>
    </row>
    <row r="4023" spans="3:3" x14ac:dyDescent="0.35">
      <c r="C4023" s="1"/>
    </row>
    <row r="4024" spans="3:3" x14ac:dyDescent="0.35">
      <c r="C4024" s="1"/>
    </row>
    <row r="4025" spans="3:3" x14ac:dyDescent="0.35">
      <c r="C4025" s="1"/>
    </row>
    <row r="4026" spans="3:3" x14ac:dyDescent="0.35">
      <c r="C4026" s="1"/>
    </row>
    <row r="4027" spans="3:3" x14ac:dyDescent="0.35">
      <c r="C4027" s="1"/>
    </row>
    <row r="4028" spans="3:3" x14ac:dyDescent="0.35">
      <c r="C4028" s="1"/>
    </row>
    <row r="4029" spans="3:3" x14ac:dyDescent="0.35">
      <c r="C4029" s="1"/>
    </row>
    <row r="4030" spans="3:3" x14ac:dyDescent="0.35">
      <c r="C4030" s="1"/>
    </row>
    <row r="4031" spans="3:3" x14ac:dyDescent="0.35">
      <c r="C4031" s="1"/>
    </row>
    <row r="4032" spans="3:3" x14ac:dyDescent="0.35">
      <c r="C4032" s="1"/>
    </row>
    <row r="4033" spans="3:3" x14ac:dyDescent="0.35">
      <c r="C4033" s="1"/>
    </row>
    <row r="4034" spans="3:3" x14ac:dyDescent="0.35">
      <c r="C4034" s="1"/>
    </row>
    <row r="4035" spans="3:3" x14ac:dyDescent="0.35">
      <c r="C4035" s="1"/>
    </row>
    <row r="4036" spans="3:3" x14ac:dyDescent="0.35">
      <c r="C4036" s="1"/>
    </row>
    <row r="4037" spans="3:3" x14ac:dyDescent="0.35">
      <c r="C4037" s="1"/>
    </row>
    <row r="4038" spans="3:3" x14ac:dyDescent="0.35">
      <c r="C4038" s="1"/>
    </row>
    <row r="4039" spans="3:3" x14ac:dyDescent="0.35">
      <c r="C4039" s="1"/>
    </row>
    <row r="4040" spans="3:3" x14ac:dyDescent="0.35">
      <c r="C4040" s="1"/>
    </row>
    <row r="4041" spans="3:3" x14ac:dyDescent="0.35">
      <c r="C4041" s="1"/>
    </row>
    <row r="4042" spans="3:3" x14ac:dyDescent="0.35">
      <c r="C4042" s="1"/>
    </row>
    <row r="4043" spans="3:3" x14ac:dyDescent="0.35">
      <c r="C4043" s="1"/>
    </row>
    <row r="4044" spans="3:3" x14ac:dyDescent="0.35">
      <c r="C4044" s="1"/>
    </row>
    <row r="4045" spans="3:3" x14ac:dyDescent="0.35">
      <c r="C4045" s="1"/>
    </row>
    <row r="4046" spans="3:3" x14ac:dyDescent="0.35">
      <c r="C4046" s="1"/>
    </row>
    <row r="4047" spans="3:3" x14ac:dyDescent="0.35">
      <c r="C4047" s="1"/>
    </row>
    <row r="4048" spans="3:3" x14ac:dyDescent="0.35">
      <c r="C4048" s="1"/>
    </row>
    <row r="4049" spans="3:3" x14ac:dyDescent="0.35">
      <c r="C4049" s="1"/>
    </row>
    <row r="4050" spans="3:3" x14ac:dyDescent="0.35">
      <c r="C4050" s="1"/>
    </row>
    <row r="4051" spans="3:3" x14ac:dyDescent="0.35">
      <c r="C4051" s="1"/>
    </row>
    <row r="4052" spans="3:3" x14ac:dyDescent="0.35">
      <c r="C4052" s="1"/>
    </row>
    <row r="4053" spans="3:3" x14ac:dyDescent="0.35">
      <c r="C4053" s="1"/>
    </row>
    <row r="4054" spans="3:3" x14ac:dyDescent="0.35">
      <c r="C4054" s="1"/>
    </row>
    <row r="4055" spans="3:3" x14ac:dyDescent="0.35">
      <c r="C4055" s="1"/>
    </row>
    <row r="4056" spans="3:3" x14ac:dyDescent="0.35">
      <c r="C4056" s="1"/>
    </row>
    <row r="4057" spans="3:3" x14ac:dyDescent="0.35">
      <c r="C4057" s="1"/>
    </row>
    <row r="4058" spans="3:3" x14ac:dyDescent="0.35">
      <c r="C4058" s="1"/>
    </row>
    <row r="4059" spans="3:3" x14ac:dyDescent="0.35">
      <c r="C4059" s="1"/>
    </row>
    <row r="4060" spans="3:3" x14ac:dyDescent="0.35">
      <c r="C4060" s="1"/>
    </row>
    <row r="4061" spans="3:3" x14ac:dyDescent="0.35">
      <c r="C4061" s="1"/>
    </row>
    <row r="4062" spans="3:3" x14ac:dyDescent="0.35">
      <c r="C4062" s="1"/>
    </row>
    <row r="4063" spans="3:3" x14ac:dyDescent="0.35">
      <c r="C4063" s="1"/>
    </row>
    <row r="4064" spans="3:3" x14ac:dyDescent="0.35">
      <c r="C4064" s="1"/>
    </row>
    <row r="4065" spans="3:3" x14ac:dyDescent="0.35">
      <c r="C4065" s="1"/>
    </row>
    <row r="4066" spans="3:3" x14ac:dyDescent="0.35">
      <c r="C4066" s="1"/>
    </row>
    <row r="4067" spans="3:3" x14ac:dyDescent="0.35">
      <c r="C4067" s="1"/>
    </row>
    <row r="4068" spans="3:3" x14ac:dyDescent="0.35">
      <c r="C4068" s="1"/>
    </row>
    <row r="4069" spans="3:3" x14ac:dyDescent="0.35">
      <c r="C4069" s="1"/>
    </row>
    <row r="4070" spans="3:3" x14ac:dyDescent="0.35">
      <c r="C4070" s="1"/>
    </row>
    <row r="4071" spans="3:3" x14ac:dyDescent="0.35">
      <c r="C4071" s="1"/>
    </row>
    <row r="4072" spans="3:3" x14ac:dyDescent="0.35">
      <c r="C4072" s="1"/>
    </row>
    <row r="4073" spans="3:3" x14ac:dyDescent="0.35">
      <c r="C4073" s="1"/>
    </row>
    <row r="4074" spans="3:3" x14ac:dyDescent="0.35">
      <c r="C4074" s="1"/>
    </row>
    <row r="4075" spans="3:3" x14ac:dyDescent="0.35">
      <c r="C4075" s="1"/>
    </row>
    <row r="4076" spans="3:3" x14ac:dyDescent="0.35">
      <c r="C4076" s="1"/>
    </row>
    <row r="4077" spans="3:3" x14ac:dyDescent="0.35">
      <c r="C4077" s="1"/>
    </row>
    <row r="4078" spans="3:3" x14ac:dyDescent="0.35">
      <c r="C4078" s="1"/>
    </row>
    <row r="4079" spans="3:3" x14ac:dyDescent="0.35">
      <c r="C4079" s="1"/>
    </row>
    <row r="4080" spans="3:3" x14ac:dyDescent="0.35">
      <c r="C4080" s="1"/>
    </row>
    <row r="4081" spans="3:3" x14ac:dyDescent="0.35">
      <c r="C4081" s="1"/>
    </row>
    <row r="4082" spans="3:3" x14ac:dyDescent="0.35">
      <c r="C4082" s="1"/>
    </row>
    <row r="4083" spans="3:3" x14ac:dyDescent="0.35">
      <c r="C4083" s="1"/>
    </row>
    <row r="4084" spans="3:3" x14ac:dyDescent="0.35">
      <c r="C4084" s="1"/>
    </row>
    <row r="4085" spans="3:3" x14ac:dyDescent="0.35">
      <c r="C4085" s="1"/>
    </row>
    <row r="4086" spans="3:3" x14ac:dyDescent="0.35">
      <c r="C4086" s="1"/>
    </row>
    <row r="4087" spans="3:3" x14ac:dyDescent="0.35">
      <c r="C4087" s="1"/>
    </row>
    <row r="4088" spans="3:3" x14ac:dyDescent="0.35">
      <c r="C4088" s="1"/>
    </row>
    <row r="4089" spans="3:3" x14ac:dyDescent="0.35">
      <c r="C4089" s="1"/>
    </row>
    <row r="4090" spans="3:3" x14ac:dyDescent="0.35">
      <c r="C4090" s="1"/>
    </row>
    <row r="4091" spans="3:3" x14ac:dyDescent="0.35">
      <c r="C4091" s="1"/>
    </row>
    <row r="4092" spans="3:3" x14ac:dyDescent="0.35">
      <c r="C4092" s="1"/>
    </row>
    <row r="4093" spans="3:3" x14ac:dyDescent="0.35">
      <c r="C4093" s="1"/>
    </row>
    <row r="4094" spans="3:3" x14ac:dyDescent="0.35">
      <c r="C4094" s="1"/>
    </row>
    <row r="4095" spans="3:3" x14ac:dyDescent="0.35">
      <c r="C4095" s="1"/>
    </row>
    <row r="4096" spans="3:3" x14ac:dyDescent="0.35">
      <c r="C4096" s="1"/>
    </row>
    <row r="4097" spans="3:3" x14ac:dyDescent="0.35">
      <c r="C4097" s="1"/>
    </row>
    <row r="4098" spans="3:3" x14ac:dyDescent="0.35">
      <c r="C4098" s="1"/>
    </row>
    <row r="4099" spans="3:3" x14ac:dyDescent="0.35">
      <c r="C4099" s="1"/>
    </row>
    <row r="4100" spans="3:3" x14ac:dyDescent="0.35">
      <c r="C4100" s="1"/>
    </row>
    <row r="4101" spans="3:3" x14ac:dyDescent="0.35">
      <c r="C4101" s="1"/>
    </row>
    <row r="4102" spans="3:3" x14ac:dyDescent="0.35">
      <c r="C4102" s="1"/>
    </row>
    <row r="4103" spans="3:3" x14ac:dyDescent="0.35">
      <c r="C4103" s="1"/>
    </row>
    <row r="4104" spans="3:3" x14ac:dyDescent="0.35">
      <c r="C4104" s="1"/>
    </row>
    <row r="4105" spans="3:3" x14ac:dyDescent="0.35">
      <c r="C4105" s="1"/>
    </row>
    <row r="4106" spans="3:3" x14ac:dyDescent="0.35">
      <c r="C4106" s="1"/>
    </row>
    <row r="4107" spans="3:3" x14ac:dyDescent="0.35">
      <c r="C4107" s="1"/>
    </row>
    <row r="4108" spans="3:3" x14ac:dyDescent="0.35">
      <c r="C4108" s="1"/>
    </row>
    <row r="4109" spans="3:3" x14ac:dyDescent="0.35">
      <c r="C4109" s="1"/>
    </row>
    <row r="4110" spans="3:3" x14ac:dyDescent="0.35">
      <c r="C4110" s="1"/>
    </row>
    <row r="4111" spans="3:3" x14ac:dyDescent="0.35">
      <c r="C4111" s="1"/>
    </row>
    <row r="4112" spans="3:3" x14ac:dyDescent="0.35">
      <c r="C4112" s="1"/>
    </row>
    <row r="4113" spans="3:3" x14ac:dyDescent="0.35">
      <c r="C4113" s="1"/>
    </row>
    <row r="4114" spans="3:3" x14ac:dyDescent="0.35">
      <c r="C4114" s="1"/>
    </row>
    <row r="4115" spans="3:3" x14ac:dyDescent="0.35">
      <c r="C4115" s="1"/>
    </row>
    <row r="4116" spans="3:3" x14ac:dyDescent="0.35">
      <c r="C4116" s="1"/>
    </row>
    <row r="4117" spans="3:3" x14ac:dyDescent="0.35">
      <c r="C4117" s="1"/>
    </row>
    <row r="4118" spans="3:3" x14ac:dyDescent="0.35">
      <c r="C4118" s="1"/>
    </row>
    <row r="4119" spans="3:3" x14ac:dyDescent="0.35">
      <c r="C4119" s="1"/>
    </row>
    <row r="4120" spans="3:3" x14ac:dyDescent="0.35">
      <c r="C4120" s="1"/>
    </row>
    <row r="4121" spans="3:3" x14ac:dyDescent="0.35">
      <c r="C4121" s="1"/>
    </row>
    <row r="4122" spans="3:3" x14ac:dyDescent="0.35">
      <c r="C4122" s="1"/>
    </row>
    <row r="4123" spans="3:3" x14ac:dyDescent="0.35">
      <c r="C4123" s="1"/>
    </row>
    <row r="4124" spans="3:3" x14ac:dyDescent="0.35">
      <c r="C4124" s="1"/>
    </row>
    <row r="4125" spans="3:3" x14ac:dyDescent="0.35">
      <c r="C4125" s="1"/>
    </row>
    <row r="4126" spans="3:3" x14ac:dyDescent="0.35">
      <c r="C4126" s="1"/>
    </row>
    <row r="4127" spans="3:3" x14ac:dyDescent="0.35">
      <c r="C4127" s="1"/>
    </row>
    <row r="4128" spans="3:3" x14ac:dyDescent="0.35">
      <c r="C4128" s="1"/>
    </row>
    <row r="4129" spans="3:3" x14ac:dyDescent="0.35">
      <c r="C4129" s="1"/>
    </row>
    <row r="4130" spans="3:3" x14ac:dyDescent="0.35">
      <c r="C4130" s="1"/>
    </row>
    <row r="4131" spans="3:3" x14ac:dyDescent="0.35">
      <c r="C4131" s="1"/>
    </row>
    <row r="4132" spans="3:3" x14ac:dyDescent="0.35">
      <c r="C4132" s="1"/>
    </row>
    <row r="4133" spans="3:3" x14ac:dyDescent="0.35">
      <c r="C4133" s="1"/>
    </row>
    <row r="4134" spans="3:3" x14ac:dyDescent="0.35">
      <c r="C4134" s="1"/>
    </row>
    <row r="4135" spans="3:3" x14ac:dyDescent="0.35">
      <c r="C4135" s="1"/>
    </row>
    <row r="4136" spans="3:3" x14ac:dyDescent="0.35">
      <c r="C4136" s="1"/>
    </row>
    <row r="4137" spans="3:3" x14ac:dyDescent="0.35">
      <c r="C4137" s="1"/>
    </row>
    <row r="4138" spans="3:3" x14ac:dyDescent="0.35">
      <c r="C4138" s="1"/>
    </row>
    <row r="4139" spans="3:3" x14ac:dyDescent="0.35">
      <c r="C4139" s="1"/>
    </row>
    <row r="4140" spans="3:3" x14ac:dyDescent="0.35">
      <c r="C4140" s="1"/>
    </row>
    <row r="4141" spans="3:3" x14ac:dyDescent="0.35">
      <c r="C4141" s="1"/>
    </row>
    <row r="4142" spans="3:3" x14ac:dyDescent="0.35">
      <c r="C4142" s="1"/>
    </row>
    <row r="4143" spans="3:3" x14ac:dyDescent="0.35">
      <c r="C4143" s="1"/>
    </row>
    <row r="4144" spans="3:3" x14ac:dyDescent="0.35">
      <c r="C4144" s="1"/>
    </row>
    <row r="4145" spans="3:3" x14ac:dyDescent="0.35">
      <c r="C4145" s="1"/>
    </row>
    <row r="4146" spans="3:3" x14ac:dyDescent="0.35">
      <c r="C4146" s="1"/>
    </row>
    <row r="4147" spans="3:3" x14ac:dyDescent="0.35">
      <c r="C4147" s="1"/>
    </row>
    <row r="4148" spans="3:3" x14ac:dyDescent="0.35">
      <c r="C4148" s="1"/>
    </row>
    <row r="4149" spans="3:3" x14ac:dyDescent="0.35">
      <c r="C4149" s="1"/>
    </row>
    <row r="4150" spans="3:3" x14ac:dyDescent="0.35">
      <c r="C4150" s="1"/>
    </row>
    <row r="4151" spans="3:3" x14ac:dyDescent="0.35">
      <c r="C4151" s="1"/>
    </row>
    <row r="4152" spans="3:3" x14ac:dyDescent="0.35">
      <c r="C4152" s="1"/>
    </row>
    <row r="4153" spans="3:3" x14ac:dyDescent="0.35">
      <c r="C4153" s="1"/>
    </row>
    <row r="4154" spans="3:3" x14ac:dyDescent="0.35">
      <c r="C4154" s="1"/>
    </row>
    <row r="4155" spans="3:3" x14ac:dyDescent="0.35">
      <c r="C4155" s="1"/>
    </row>
    <row r="4156" spans="3:3" x14ac:dyDescent="0.35">
      <c r="C4156" s="1"/>
    </row>
    <row r="4157" spans="3:3" x14ac:dyDescent="0.35">
      <c r="C4157" s="1"/>
    </row>
    <row r="4158" spans="3:3" x14ac:dyDescent="0.35">
      <c r="C4158" s="1"/>
    </row>
    <row r="4159" spans="3:3" x14ac:dyDescent="0.35">
      <c r="C4159" s="1"/>
    </row>
    <row r="4160" spans="3:3" x14ac:dyDescent="0.35">
      <c r="C4160" s="1"/>
    </row>
    <row r="4161" spans="3:3" x14ac:dyDescent="0.35">
      <c r="C4161" s="1"/>
    </row>
    <row r="4162" spans="3:3" x14ac:dyDescent="0.35">
      <c r="C4162" s="1"/>
    </row>
    <row r="4163" spans="3:3" x14ac:dyDescent="0.35">
      <c r="C4163" s="1"/>
    </row>
    <row r="4164" spans="3:3" x14ac:dyDescent="0.35">
      <c r="C4164" s="1"/>
    </row>
    <row r="4165" spans="3:3" x14ac:dyDescent="0.35">
      <c r="C4165" s="1"/>
    </row>
    <row r="4166" spans="3:3" x14ac:dyDescent="0.35">
      <c r="C4166" s="1"/>
    </row>
    <row r="4167" spans="3:3" x14ac:dyDescent="0.35">
      <c r="C4167" s="1"/>
    </row>
    <row r="4168" spans="3:3" x14ac:dyDescent="0.35">
      <c r="C4168" s="1"/>
    </row>
    <row r="4169" spans="3:3" x14ac:dyDescent="0.35">
      <c r="C4169" s="1"/>
    </row>
    <row r="4170" spans="3:3" x14ac:dyDescent="0.35">
      <c r="C4170" s="1"/>
    </row>
    <row r="4171" spans="3:3" x14ac:dyDescent="0.35">
      <c r="C4171" s="1"/>
    </row>
    <row r="4172" spans="3:3" x14ac:dyDescent="0.35">
      <c r="C4172" s="1"/>
    </row>
    <row r="4173" spans="3:3" x14ac:dyDescent="0.35">
      <c r="C4173" s="1"/>
    </row>
    <row r="4174" spans="3:3" x14ac:dyDescent="0.35">
      <c r="C4174" s="1"/>
    </row>
    <row r="4175" spans="3:3" x14ac:dyDescent="0.35">
      <c r="C4175" s="1"/>
    </row>
    <row r="4176" spans="3:3" x14ac:dyDescent="0.35">
      <c r="C4176" s="1"/>
    </row>
    <row r="4177" spans="3:3" x14ac:dyDescent="0.35">
      <c r="C4177" s="1"/>
    </row>
    <row r="4178" spans="3:3" x14ac:dyDescent="0.35">
      <c r="C4178" s="1"/>
    </row>
    <row r="4179" spans="3:3" x14ac:dyDescent="0.35">
      <c r="C4179" s="1"/>
    </row>
    <row r="4180" spans="3:3" x14ac:dyDescent="0.35">
      <c r="C4180" s="1"/>
    </row>
    <row r="4181" spans="3:3" x14ac:dyDescent="0.35">
      <c r="C4181" s="1"/>
    </row>
    <row r="4182" spans="3:3" x14ac:dyDescent="0.35">
      <c r="C4182" s="1"/>
    </row>
    <row r="4183" spans="3:3" x14ac:dyDescent="0.35">
      <c r="C4183" s="1"/>
    </row>
    <row r="4184" spans="3:3" x14ac:dyDescent="0.35">
      <c r="C4184" s="1"/>
    </row>
    <row r="4185" spans="3:3" x14ac:dyDescent="0.35">
      <c r="C4185" s="1"/>
    </row>
    <row r="4186" spans="3:3" x14ac:dyDescent="0.35">
      <c r="C4186" s="1"/>
    </row>
    <row r="4187" spans="3:3" x14ac:dyDescent="0.35">
      <c r="C4187" s="1"/>
    </row>
    <row r="4188" spans="3:3" x14ac:dyDescent="0.35">
      <c r="C4188" s="1"/>
    </row>
    <row r="4189" spans="3:3" x14ac:dyDescent="0.35">
      <c r="C4189" s="1"/>
    </row>
    <row r="4190" spans="3:3" x14ac:dyDescent="0.35">
      <c r="C4190" s="1"/>
    </row>
    <row r="4191" spans="3:3" x14ac:dyDescent="0.35">
      <c r="C4191" s="1"/>
    </row>
    <row r="4192" spans="3:3" x14ac:dyDescent="0.35">
      <c r="C4192" s="1"/>
    </row>
    <row r="4193" spans="3:3" x14ac:dyDescent="0.35">
      <c r="C4193" s="1"/>
    </row>
    <row r="4194" spans="3:3" x14ac:dyDescent="0.35">
      <c r="C4194" s="1"/>
    </row>
    <row r="4195" spans="3:3" x14ac:dyDescent="0.35">
      <c r="C4195" s="1"/>
    </row>
    <row r="4196" spans="3:3" x14ac:dyDescent="0.35">
      <c r="C4196" s="1"/>
    </row>
    <row r="4197" spans="3:3" x14ac:dyDescent="0.35">
      <c r="C4197" s="1"/>
    </row>
    <row r="4198" spans="3:3" x14ac:dyDescent="0.35">
      <c r="C4198" s="1"/>
    </row>
    <row r="4199" spans="3:3" x14ac:dyDescent="0.35">
      <c r="C4199" s="1"/>
    </row>
    <row r="4200" spans="3:3" x14ac:dyDescent="0.35">
      <c r="C4200" s="1"/>
    </row>
    <row r="4201" spans="3:3" x14ac:dyDescent="0.35">
      <c r="C4201" s="1"/>
    </row>
    <row r="4202" spans="3:3" x14ac:dyDescent="0.35">
      <c r="C4202" s="1"/>
    </row>
    <row r="4203" spans="3:3" x14ac:dyDescent="0.35">
      <c r="C4203" s="1"/>
    </row>
    <row r="4204" spans="3:3" x14ac:dyDescent="0.35">
      <c r="C4204" s="1"/>
    </row>
    <row r="4205" spans="3:3" x14ac:dyDescent="0.35">
      <c r="C4205" s="1"/>
    </row>
    <row r="4206" spans="3:3" x14ac:dyDescent="0.35">
      <c r="C4206" s="1"/>
    </row>
    <row r="4207" spans="3:3" x14ac:dyDescent="0.35">
      <c r="C4207" s="1"/>
    </row>
    <row r="4208" spans="3:3" x14ac:dyDescent="0.35">
      <c r="C4208" s="1"/>
    </row>
    <row r="4209" spans="3:3" x14ac:dyDescent="0.35">
      <c r="C4209" s="1"/>
    </row>
    <row r="4210" spans="3:3" x14ac:dyDescent="0.35">
      <c r="C4210" s="1"/>
    </row>
    <row r="4211" spans="3:3" x14ac:dyDescent="0.35">
      <c r="C4211" s="1"/>
    </row>
    <row r="4212" spans="3:3" x14ac:dyDescent="0.35">
      <c r="C4212" s="1"/>
    </row>
    <row r="4213" spans="3:3" x14ac:dyDescent="0.35">
      <c r="C4213" s="1"/>
    </row>
    <row r="4214" spans="3:3" x14ac:dyDescent="0.35">
      <c r="C4214" s="1"/>
    </row>
    <row r="4215" spans="3:3" x14ac:dyDescent="0.35">
      <c r="C4215" s="1"/>
    </row>
    <row r="4216" spans="3:3" x14ac:dyDescent="0.35">
      <c r="C4216" s="1"/>
    </row>
    <row r="4217" spans="3:3" x14ac:dyDescent="0.35">
      <c r="C4217" s="1"/>
    </row>
    <row r="4218" spans="3:3" x14ac:dyDescent="0.35">
      <c r="C4218" s="1"/>
    </row>
    <row r="4219" spans="3:3" x14ac:dyDescent="0.35">
      <c r="C4219" s="1"/>
    </row>
    <row r="4220" spans="3:3" x14ac:dyDescent="0.35">
      <c r="C4220" s="1"/>
    </row>
    <row r="4221" spans="3:3" x14ac:dyDescent="0.35">
      <c r="C4221" s="1"/>
    </row>
    <row r="4222" spans="3:3" x14ac:dyDescent="0.35">
      <c r="C4222" s="1"/>
    </row>
    <row r="4223" spans="3:3" x14ac:dyDescent="0.35">
      <c r="C4223" s="1"/>
    </row>
    <row r="4224" spans="3:3" x14ac:dyDescent="0.35">
      <c r="C4224" s="1"/>
    </row>
    <row r="4225" spans="3:3" x14ac:dyDescent="0.35">
      <c r="C4225" s="1"/>
    </row>
    <row r="4226" spans="3:3" x14ac:dyDescent="0.35">
      <c r="C4226" s="1"/>
    </row>
    <row r="4227" spans="3:3" x14ac:dyDescent="0.35">
      <c r="C4227" s="1"/>
    </row>
    <row r="4228" spans="3:3" x14ac:dyDescent="0.35">
      <c r="C4228" s="1"/>
    </row>
    <row r="4229" spans="3:3" x14ac:dyDescent="0.35">
      <c r="C4229" s="1"/>
    </row>
    <row r="4230" spans="3:3" x14ac:dyDescent="0.35">
      <c r="C4230" s="1"/>
    </row>
    <row r="4231" spans="3:3" x14ac:dyDescent="0.35">
      <c r="C4231" s="1"/>
    </row>
    <row r="4232" spans="3:3" x14ac:dyDescent="0.35">
      <c r="C4232" s="1"/>
    </row>
    <row r="4233" spans="3:3" x14ac:dyDescent="0.35">
      <c r="C4233" s="1"/>
    </row>
    <row r="4234" spans="3:3" x14ac:dyDescent="0.35">
      <c r="C4234" s="1"/>
    </row>
    <row r="4235" spans="3:3" x14ac:dyDescent="0.35">
      <c r="C4235" s="1"/>
    </row>
    <row r="4236" spans="3:3" x14ac:dyDescent="0.35">
      <c r="C4236" s="1"/>
    </row>
    <row r="4237" spans="3:3" x14ac:dyDescent="0.35">
      <c r="C4237" s="1"/>
    </row>
    <row r="4238" spans="3:3" x14ac:dyDescent="0.35">
      <c r="C4238" s="1"/>
    </row>
    <row r="4239" spans="3:3" x14ac:dyDescent="0.35">
      <c r="C4239" s="1"/>
    </row>
    <row r="4240" spans="3:3" x14ac:dyDescent="0.35">
      <c r="C4240" s="1"/>
    </row>
    <row r="4241" spans="3:3" x14ac:dyDescent="0.35">
      <c r="C4241" s="1"/>
    </row>
    <row r="4242" spans="3:3" x14ac:dyDescent="0.35">
      <c r="C4242" s="1"/>
    </row>
    <row r="4243" spans="3:3" x14ac:dyDescent="0.35">
      <c r="C4243" s="1"/>
    </row>
    <row r="4244" spans="3:3" x14ac:dyDescent="0.35">
      <c r="C4244" s="1"/>
    </row>
    <row r="4245" spans="3:3" x14ac:dyDescent="0.35">
      <c r="C4245" s="1"/>
    </row>
    <row r="4246" spans="3:3" x14ac:dyDescent="0.35">
      <c r="C4246" s="1"/>
    </row>
    <row r="4247" spans="3:3" x14ac:dyDescent="0.35">
      <c r="C4247" s="1"/>
    </row>
    <row r="4248" spans="3:3" x14ac:dyDescent="0.35">
      <c r="C4248" s="1"/>
    </row>
    <row r="4249" spans="3:3" x14ac:dyDescent="0.35">
      <c r="C4249" s="1"/>
    </row>
    <row r="4250" spans="3:3" x14ac:dyDescent="0.35">
      <c r="C4250" s="1"/>
    </row>
    <row r="4251" spans="3:3" x14ac:dyDescent="0.35">
      <c r="C4251" s="1"/>
    </row>
    <row r="4252" spans="3:3" x14ac:dyDescent="0.35">
      <c r="C4252" s="1"/>
    </row>
    <row r="4253" spans="3:3" x14ac:dyDescent="0.35">
      <c r="C4253" s="1"/>
    </row>
    <row r="4254" spans="3:3" x14ac:dyDescent="0.35">
      <c r="C4254" s="1"/>
    </row>
    <row r="4255" spans="3:3" x14ac:dyDescent="0.35">
      <c r="C4255" s="1"/>
    </row>
    <row r="4256" spans="3:3" x14ac:dyDescent="0.35">
      <c r="C4256" s="1"/>
    </row>
    <row r="4257" spans="3:3" x14ac:dyDescent="0.35">
      <c r="C4257" s="1"/>
    </row>
    <row r="4258" spans="3:3" x14ac:dyDescent="0.35">
      <c r="C4258" s="1"/>
    </row>
    <row r="4259" spans="3:3" x14ac:dyDescent="0.35">
      <c r="C4259" s="1"/>
    </row>
    <row r="4260" spans="3:3" x14ac:dyDescent="0.35">
      <c r="C4260" s="1"/>
    </row>
    <row r="4261" spans="3:3" x14ac:dyDescent="0.35">
      <c r="C4261" s="1"/>
    </row>
    <row r="4262" spans="3:3" x14ac:dyDescent="0.35">
      <c r="C4262" s="1"/>
    </row>
    <row r="4263" spans="3:3" x14ac:dyDescent="0.35">
      <c r="C4263" s="1"/>
    </row>
    <row r="4264" spans="3:3" x14ac:dyDescent="0.35">
      <c r="C4264" s="1"/>
    </row>
    <row r="4265" spans="3:3" x14ac:dyDescent="0.35">
      <c r="C4265" s="1"/>
    </row>
    <row r="4266" spans="3:3" x14ac:dyDescent="0.35">
      <c r="C4266" s="1"/>
    </row>
    <row r="4267" spans="3:3" x14ac:dyDescent="0.35">
      <c r="C4267" s="1"/>
    </row>
    <row r="4268" spans="3:3" x14ac:dyDescent="0.35">
      <c r="C4268" s="1"/>
    </row>
    <row r="4269" spans="3:3" x14ac:dyDescent="0.35">
      <c r="C4269" s="1"/>
    </row>
    <row r="4270" spans="3:3" x14ac:dyDescent="0.35">
      <c r="C4270" s="1"/>
    </row>
    <row r="4271" spans="3:3" x14ac:dyDescent="0.35">
      <c r="C4271" s="1"/>
    </row>
    <row r="4272" spans="3:3" x14ac:dyDescent="0.35">
      <c r="C4272" s="1"/>
    </row>
    <row r="4273" spans="3:3" x14ac:dyDescent="0.35">
      <c r="C4273" s="1"/>
    </row>
    <row r="4274" spans="3:3" x14ac:dyDescent="0.35">
      <c r="C4274" s="1"/>
    </row>
    <row r="4275" spans="3:3" x14ac:dyDescent="0.35">
      <c r="C4275" s="1"/>
    </row>
    <row r="4276" spans="3:3" x14ac:dyDescent="0.35">
      <c r="C4276" s="1"/>
    </row>
    <row r="4277" spans="3:3" x14ac:dyDescent="0.35">
      <c r="C4277" s="1"/>
    </row>
    <row r="4278" spans="3:3" x14ac:dyDescent="0.35">
      <c r="C4278" s="1"/>
    </row>
    <row r="4279" spans="3:3" x14ac:dyDescent="0.35">
      <c r="C4279" s="1"/>
    </row>
    <row r="4280" spans="3:3" x14ac:dyDescent="0.35">
      <c r="C4280" s="1"/>
    </row>
    <row r="4281" spans="3:3" x14ac:dyDescent="0.35">
      <c r="C4281" s="1"/>
    </row>
    <row r="4282" spans="3:3" x14ac:dyDescent="0.35">
      <c r="C4282" s="1"/>
    </row>
    <row r="4283" spans="3:3" x14ac:dyDescent="0.35">
      <c r="C4283" s="1"/>
    </row>
    <row r="4284" spans="3:3" x14ac:dyDescent="0.35">
      <c r="C4284" s="1"/>
    </row>
    <row r="4285" spans="3:3" x14ac:dyDescent="0.35">
      <c r="C4285" s="1"/>
    </row>
    <row r="4286" spans="3:3" x14ac:dyDescent="0.35">
      <c r="C4286" s="1"/>
    </row>
    <row r="4287" spans="3:3" x14ac:dyDescent="0.35">
      <c r="C4287" s="1"/>
    </row>
    <row r="4288" spans="3:3" x14ac:dyDescent="0.35">
      <c r="C4288" s="1"/>
    </row>
    <row r="4289" spans="3:3" x14ac:dyDescent="0.35">
      <c r="C4289" s="1"/>
    </row>
    <row r="4290" spans="3:3" x14ac:dyDescent="0.35">
      <c r="C4290" s="1"/>
    </row>
    <row r="4291" spans="3:3" x14ac:dyDescent="0.35">
      <c r="C4291" s="1"/>
    </row>
    <row r="4292" spans="3:3" x14ac:dyDescent="0.35">
      <c r="C4292" s="1"/>
    </row>
    <row r="4293" spans="3:3" x14ac:dyDescent="0.35">
      <c r="C4293" s="1"/>
    </row>
    <row r="4294" spans="3:3" x14ac:dyDescent="0.35">
      <c r="C4294" s="1"/>
    </row>
    <row r="4295" spans="3:3" x14ac:dyDescent="0.35">
      <c r="C4295" s="1"/>
    </row>
    <row r="4296" spans="3:3" x14ac:dyDescent="0.35">
      <c r="C4296" s="1"/>
    </row>
    <row r="4297" spans="3:3" x14ac:dyDescent="0.35">
      <c r="C4297" s="1"/>
    </row>
    <row r="4298" spans="3:3" x14ac:dyDescent="0.35">
      <c r="C4298" s="1"/>
    </row>
    <row r="4299" spans="3:3" x14ac:dyDescent="0.35">
      <c r="C4299" s="1"/>
    </row>
    <row r="4300" spans="3:3" x14ac:dyDescent="0.35">
      <c r="C4300" s="1"/>
    </row>
    <row r="4301" spans="3:3" x14ac:dyDescent="0.35">
      <c r="C4301" s="1"/>
    </row>
    <row r="4302" spans="3:3" x14ac:dyDescent="0.35">
      <c r="C4302" s="1"/>
    </row>
    <row r="4303" spans="3:3" x14ac:dyDescent="0.35">
      <c r="C4303" s="1"/>
    </row>
    <row r="4304" spans="3:3" x14ac:dyDescent="0.35">
      <c r="C4304" s="1"/>
    </row>
    <row r="4305" spans="3:3" x14ac:dyDescent="0.35">
      <c r="C4305" s="1"/>
    </row>
    <row r="4306" spans="3:3" x14ac:dyDescent="0.35">
      <c r="C4306" s="1"/>
    </row>
    <row r="4307" spans="3:3" x14ac:dyDescent="0.35">
      <c r="C4307" s="1"/>
    </row>
    <row r="4308" spans="3:3" x14ac:dyDescent="0.35">
      <c r="C4308" s="1"/>
    </row>
    <row r="4309" spans="3:3" x14ac:dyDescent="0.35">
      <c r="C4309" s="1"/>
    </row>
    <row r="4310" spans="3:3" x14ac:dyDescent="0.35">
      <c r="C4310" s="1"/>
    </row>
    <row r="4311" spans="3:3" x14ac:dyDescent="0.35">
      <c r="C4311" s="1"/>
    </row>
    <row r="4312" spans="3:3" x14ac:dyDescent="0.35">
      <c r="C4312" s="1"/>
    </row>
    <row r="4313" spans="3:3" x14ac:dyDescent="0.35">
      <c r="C4313" s="1"/>
    </row>
    <row r="4314" spans="3:3" x14ac:dyDescent="0.35">
      <c r="C4314" s="1"/>
    </row>
    <row r="4315" spans="3:3" x14ac:dyDescent="0.35">
      <c r="C4315" s="1"/>
    </row>
    <row r="4316" spans="3:3" x14ac:dyDescent="0.35">
      <c r="C4316" s="1"/>
    </row>
    <row r="4317" spans="3:3" x14ac:dyDescent="0.35">
      <c r="C4317" s="1"/>
    </row>
    <row r="4318" spans="3:3" x14ac:dyDescent="0.35">
      <c r="C4318" s="1"/>
    </row>
    <row r="4319" spans="3:3" x14ac:dyDescent="0.35">
      <c r="C4319" s="1"/>
    </row>
    <row r="4320" spans="3:3" x14ac:dyDescent="0.35">
      <c r="C4320" s="1"/>
    </row>
    <row r="4321" spans="3:3" x14ac:dyDescent="0.35">
      <c r="C4321" s="1"/>
    </row>
    <row r="4322" spans="3:3" x14ac:dyDescent="0.35">
      <c r="C4322" s="1"/>
    </row>
    <row r="4323" spans="3:3" x14ac:dyDescent="0.35">
      <c r="C4323" s="1"/>
    </row>
    <row r="4324" spans="3:3" x14ac:dyDescent="0.35">
      <c r="C4324" s="1"/>
    </row>
    <row r="4325" spans="3:3" x14ac:dyDescent="0.35">
      <c r="C4325" s="1"/>
    </row>
    <row r="4326" spans="3:3" x14ac:dyDescent="0.35">
      <c r="C4326" s="1"/>
    </row>
    <row r="4327" spans="3:3" x14ac:dyDescent="0.35">
      <c r="C4327" s="1"/>
    </row>
    <row r="4328" spans="3:3" x14ac:dyDescent="0.35">
      <c r="C4328" s="1"/>
    </row>
    <row r="4329" spans="3:3" x14ac:dyDescent="0.35">
      <c r="C4329" s="1"/>
    </row>
    <row r="4330" spans="3:3" x14ac:dyDescent="0.35">
      <c r="C4330" s="1"/>
    </row>
    <row r="4331" spans="3:3" x14ac:dyDescent="0.35">
      <c r="C4331" s="1"/>
    </row>
    <row r="4332" spans="3:3" x14ac:dyDescent="0.35">
      <c r="C4332" s="1"/>
    </row>
    <row r="4333" spans="3:3" x14ac:dyDescent="0.35">
      <c r="C4333" s="1"/>
    </row>
    <row r="4334" spans="3:3" x14ac:dyDescent="0.35">
      <c r="C4334" s="1"/>
    </row>
    <row r="4335" spans="3:3" x14ac:dyDescent="0.35">
      <c r="C4335" s="1"/>
    </row>
    <row r="4336" spans="3:3" x14ac:dyDescent="0.35">
      <c r="C4336" s="1"/>
    </row>
    <row r="4337" spans="3:3" x14ac:dyDescent="0.35">
      <c r="C4337" s="1"/>
    </row>
    <row r="4338" spans="3:3" x14ac:dyDescent="0.35">
      <c r="C4338" s="1"/>
    </row>
    <row r="4339" spans="3:3" x14ac:dyDescent="0.35">
      <c r="C4339" s="1"/>
    </row>
    <row r="4340" spans="3:3" x14ac:dyDescent="0.35">
      <c r="C4340" s="1"/>
    </row>
    <row r="4341" spans="3:3" x14ac:dyDescent="0.35">
      <c r="C4341" s="1"/>
    </row>
    <row r="4342" spans="3:3" x14ac:dyDescent="0.35">
      <c r="C4342" s="1"/>
    </row>
    <row r="4343" spans="3:3" x14ac:dyDescent="0.35">
      <c r="C4343" s="1"/>
    </row>
    <row r="4344" spans="3:3" x14ac:dyDescent="0.35">
      <c r="C4344" s="1"/>
    </row>
    <row r="4345" spans="3:3" x14ac:dyDescent="0.35">
      <c r="C4345" s="1"/>
    </row>
    <row r="4346" spans="3:3" x14ac:dyDescent="0.35">
      <c r="C4346" s="1"/>
    </row>
    <row r="4347" spans="3:3" x14ac:dyDescent="0.35">
      <c r="C4347" s="1"/>
    </row>
    <row r="4348" spans="3:3" x14ac:dyDescent="0.35">
      <c r="C4348" s="1"/>
    </row>
    <row r="4349" spans="3:3" x14ac:dyDescent="0.35">
      <c r="C4349" s="1"/>
    </row>
    <row r="4350" spans="3:3" x14ac:dyDescent="0.35">
      <c r="C4350" s="1"/>
    </row>
    <row r="4351" spans="3:3" x14ac:dyDescent="0.35">
      <c r="C4351" s="1"/>
    </row>
    <row r="4352" spans="3:3" x14ac:dyDescent="0.35">
      <c r="C4352" s="1"/>
    </row>
    <row r="4353" spans="3:3" x14ac:dyDescent="0.35">
      <c r="C4353" s="1"/>
    </row>
    <row r="4354" spans="3:3" x14ac:dyDescent="0.35">
      <c r="C4354" s="1"/>
    </row>
    <row r="4355" spans="3:3" x14ac:dyDescent="0.35">
      <c r="C4355" s="1"/>
    </row>
    <row r="4356" spans="3:3" x14ac:dyDescent="0.35">
      <c r="C4356" s="1"/>
    </row>
    <row r="4357" spans="3:3" x14ac:dyDescent="0.35">
      <c r="C4357" s="1"/>
    </row>
    <row r="4358" spans="3:3" x14ac:dyDescent="0.35">
      <c r="C4358" s="1"/>
    </row>
    <row r="4359" spans="3:3" x14ac:dyDescent="0.35">
      <c r="C4359" s="1"/>
    </row>
    <row r="4360" spans="3:3" x14ac:dyDescent="0.35">
      <c r="C4360" s="1"/>
    </row>
    <row r="4361" spans="3:3" x14ac:dyDescent="0.35">
      <c r="C4361" s="1"/>
    </row>
    <row r="4362" spans="3:3" x14ac:dyDescent="0.35">
      <c r="C4362" s="1"/>
    </row>
    <row r="4363" spans="3:3" x14ac:dyDescent="0.35">
      <c r="C4363" s="1"/>
    </row>
    <row r="4364" spans="3:3" x14ac:dyDescent="0.35">
      <c r="C4364" s="1"/>
    </row>
    <row r="4365" spans="3:3" x14ac:dyDescent="0.35">
      <c r="C4365" s="1"/>
    </row>
    <row r="4366" spans="3:3" x14ac:dyDescent="0.35">
      <c r="C4366" s="1"/>
    </row>
    <row r="4367" spans="3:3" x14ac:dyDescent="0.35">
      <c r="C4367" s="1"/>
    </row>
    <row r="4368" spans="3:3" x14ac:dyDescent="0.35">
      <c r="C4368" s="1"/>
    </row>
    <row r="4369" spans="3:3" x14ac:dyDescent="0.35">
      <c r="C4369" s="1"/>
    </row>
    <row r="4370" spans="3:3" x14ac:dyDescent="0.35">
      <c r="C4370" s="1"/>
    </row>
    <row r="4371" spans="3:3" x14ac:dyDescent="0.35">
      <c r="C4371" s="1"/>
    </row>
    <row r="4372" spans="3:3" x14ac:dyDescent="0.35">
      <c r="C4372" s="1"/>
    </row>
    <row r="4373" spans="3:3" x14ac:dyDescent="0.35">
      <c r="C4373" s="1"/>
    </row>
    <row r="4374" spans="3:3" x14ac:dyDescent="0.35">
      <c r="C4374" s="1"/>
    </row>
    <row r="4375" spans="3:3" x14ac:dyDescent="0.35">
      <c r="C4375" s="1"/>
    </row>
    <row r="4376" spans="3:3" x14ac:dyDescent="0.35">
      <c r="C4376" s="1"/>
    </row>
    <row r="4377" spans="3:3" x14ac:dyDescent="0.35">
      <c r="C4377" s="1"/>
    </row>
    <row r="4378" spans="3:3" x14ac:dyDescent="0.35">
      <c r="C4378" s="1"/>
    </row>
    <row r="4379" spans="3:3" x14ac:dyDescent="0.35">
      <c r="C4379" s="1"/>
    </row>
    <row r="4380" spans="3:3" x14ac:dyDescent="0.35">
      <c r="C4380" s="1"/>
    </row>
    <row r="4381" spans="3:3" x14ac:dyDescent="0.35">
      <c r="C4381" s="1"/>
    </row>
    <row r="4382" spans="3:3" x14ac:dyDescent="0.35">
      <c r="C4382" s="1"/>
    </row>
    <row r="4383" spans="3:3" x14ac:dyDescent="0.35">
      <c r="C4383" s="1"/>
    </row>
    <row r="4384" spans="3:3" x14ac:dyDescent="0.35">
      <c r="C4384" s="1"/>
    </row>
    <row r="4385" spans="3:3" x14ac:dyDescent="0.35">
      <c r="C4385" s="1"/>
    </row>
    <row r="4386" spans="3:3" x14ac:dyDescent="0.35">
      <c r="C4386" s="1"/>
    </row>
    <row r="4387" spans="3:3" x14ac:dyDescent="0.35">
      <c r="C4387" s="1"/>
    </row>
    <row r="4388" spans="3:3" x14ac:dyDescent="0.35">
      <c r="C4388" s="1"/>
    </row>
    <row r="4389" spans="3:3" x14ac:dyDescent="0.35">
      <c r="C4389" s="1"/>
    </row>
    <row r="4390" spans="3:3" x14ac:dyDescent="0.35">
      <c r="C4390" s="1"/>
    </row>
    <row r="4391" spans="3:3" x14ac:dyDescent="0.35">
      <c r="C4391" s="1"/>
    </row>
    <row r="4392" spans="3:3" x14ac:dyDescent="0.35">
      <c r="C4392" s="1"/>
    </row>
    <row r="4393" spans="3:3" x14ac:dyDescent="0.35">
      <c r="C4393" s="1"/>
    </row>
    <row r="4394" spans="3:3" x14ac:dyDescent="0.35">
      <c r="C4394" s="1"/>
    </row>
    <row r="4395" spans="3:3" x14ac:dyDescent="0.35">
      <c r="C4395" s="1"/>
    </row>
    <row r="4396" spans="3:3" x14ac:dyDescent="0.35">
      <c r="C4396" s="1"/>
    </row>
    <row r="4397" spans="3:3" x14ac:dyDescent="0.35">
      <c r="C4397" s="1"/>
    </row>
    <row r="4398" spans="3:3" x14ac:dyDescent="0.35">
      <c r="C4398" s="1"/>
    </row>
    <row r="4399" spans="3:3" x14ac:dyDescent="0.35">
      <c r="C4399" s="1"/>
    </row>
    <row r="4400" spans="3:3" x14ac:dyDescent="0.35">
      <c r="C4400" s="1"/>
    </row>
    <row r="4401" spans="3:3" x14ac:dyDescent="0.35">
      <c r="C4401" s="1"/>
    </row>
    <row r="4402" spans="3:3" x14ac:dyDescent="0.35">
      <c r="C4402" s="1"/>
    </row>
    <row r="4403" spans="3:3" x14ac:dyDescent="0.35">
      <c r="C4403" s="1"/>
    </row>
    <row r="4404" spans="3:3" x14ac:dyDescent="0.35">
      <c r="C4404" s="1"/>
    </row>
    <row r="4405" spans="3:3" x14ac:dyDescent="0.35">
      <c r="C4405" s="1"/>
    </row>
    <row r="4406" spans="3:3" x14ac:dyDescent="0.35">
      <c r="C4406" s="1"/>
    </row>
    <row r="4407" spans="3:3" x14ac:dyDescent="0.35">
      <c r="C4407" s="1"/>
    </row>
    <row r="4408" spans="3:3" x14ac:dyDescent="0.35">
      <c r="C4408" s="1"/>
    </row>
    <row r="4409" spans="3:3" x14ac:dyDescent="0.35">
      <c r="C4409" s="1"/>
    </row>
    <row r="4410" spans="3:3" x14ac:dyDescent="0.35">
      <c r="C4410" s="1"/>
    </row>
    <row r="4411" spans="3:3" x14ac:dyDescent="0.35">
      <c r="C4411" s="1"/>
    </row>
    <row r="4412" spans="3:3" x14ac:dyDescent="0.35">
      <c r="C4412" s="1"/>
    </row>
    <row r="4413" spans="3:3" x14ac:dyDescent="0.35">
      <c r="C4413" s="1"/>
    </row>
    <row r="4414" spans="3:3" x14ac:dyDescent="0.35">
      <c r="C4414" s="1"/>
    </row>
    <row r="4415" spans="3:3" x14ac:dyDescent="0.35">
      <c r="C4415" s="1"/>
    </row>
    <row r="4416" spans="3:3" x14ac:dyDescent="0.35">
      <c r="C4416" s="1"/>
    </row>
    <row r="4417" spans="3:3" x14ac:dyDescent="0.35">
      <c r="C4417" s="1"/>
    </row>
    <row r="4418" spans="3:3" x14ac:dyDescent="0.35">
      <c r="C4418" s="1"/>
    </row>
    <row r="4419" spans="3:3" x14ac:dyDescent="0.35">
      <c r="C4419" s="1"/>
    </row>
    <row r="4420" spans="3:3" x14ac:dyDescent="0.35">
      <c r="C4420" s="1"/>
    </row>
    <row r="4421" spans="3:3" x14ac:dyDescent="0.35">
      <c r="C4421" s="1"/>
    </row>
    <row r="4422" spans="3:3" x14ac:dyDescent="0.35">
      <c r="C4422" s="1"/>
    </row>
    <row r="4423" spans="3:3" x14ac:dyDescent="0.35">
      <c r="C4423" s="1"/>
    </row>
    <row r="4424" spans="3:3" x14ac:dyDescent="0.35">
      <c r="C4424" s="1"/>
    </row>
    <row r="4425" spans="3:3" x14ac:dyDescent="0.35">
      <c r="C4425" s="1"/>
    </row>
    <row r="4426" spans="3:3" x14ac:dyDescent="0.35">
      <c r="C4426" s="1"/>
    </row>
    <row r="4427" spans="3:3" x14ac:dyDescent="0.35">
      <c r="C4427" s="1"/>
    </row>
    <row r="4428" spans="3:3" x14ac:dyDescent="0.35">
      <c r="C4428" s="1"/>
    </row>
    <row r="4429" spans="3:3" x14ac:dyDescent="0.35">
      <c r="C4429" s="1"/>
    </row>
    <row r="4430" spans="3:3" x14ac:dyDescent="0.35">
      <c r="C4430" s="1"/>
    </row>
    <row r="4431" spans="3:3" x14ac:dyDescent="0.35">
      <c r="C4431" s="1"/>
    </row>
    <row r="4432" spans="3:3" x14ac:dyDescent="0.35">
      <c r="C4432" s="1"/>
    </row>
    <row r="4433" spans="3:3" x14ac:dyDescent="0.35">
      <c r="C4433" s="1"/>
    </row>
    <row r="4434" spans="3:3" x14ac:dyDescent="0.35">
      <c r="C4434" s="1"/>
    </row>
    <row r="4435" spans="3:3" x14ac:dyDescent="0.35">
      <c r="C4435" s="1"/>
    </row>
    <row r="4436" spans="3:3" x14ac:dyDescent="0.35">
      <c r="C4436" s="1"/>
    </row>
    <row r="4437" spans="3:3" x14ac:dyDescent="0.35">
      <c r="C4437" s="1"/>
    </row>
    <row r="4438" spans="3:3" x14ac:dyDescent="0.35">
      <c r="C4438" s="1"/>
    </row>
    <row r="4439" spans="3:3" x14ac:dyDescent="0.35">
      <c r="C4439" s="1"/>
    </row>
    <row r="4440" spans="3:3" x14ac:dyDescent="0.35">
      <c r="C4440" s="1"/>
    </row>
    <row r="4441" spans="3:3" x14ac:dyDescent="0.35">
      <c r="C4441" s="1"/>
    </row>
    <row r="4442" spans="3:3" x14ac:dyDescent="0.35">
      <c r="C4442" s="1"/>
    </row>
    <row r="4443" spans="3:3" x14ac:dyDescent="0.35">
      <c r="C4443" s="1"/>
    </row>
    <row r="4444" spans="3:3" x14ac:dyDescent="0.35">
      <c r="C4444" s="1"/>
    </row>
    <row r="4445" spans="3:3" x14ac:dyDescent="0.35">
      <c r="C4445" s="1"/>
    </row>
    <row r="4446" spans="3:3" x14ac:dyDescent="0.35">
      <c r="C4446" s="1"/>
    </row>
    <row r="4447" spans="3:3" x14ac:dyDescent="0.35">
      <c r="C4447" s="1"/>
    </row>
    <row r="4448" spans="3:3" x14ac:dyDescent="0.35">
      <c r="C4448" s="1"/>
    </row>
    <row r="4449" spans="3:3" x14ac:dyDescent="0.35">
      <c r="C4449" s="1"/>
    </row>
    <row r="4450" spans="3:3" x14ac:dyDescent="0.35">
      <c r="C4450" s="1"/>
    </row>
    <row r="4451" spans="3:3" x14ac:dyDescent="0.35">
      <c r="C4451" s="1"/>
    </row>
    <row r="4452" spans="3:3" x14ac:dyDescent="0.35">
      <c r="C4452" s="1"/>
    </row>
    <row r="4453" spans="3:3" x14ac:dyDescent="0.35">
      <c r="C4453" s="1"/>
    </row>
    <row r="4454" spans="3:3" x14ac:dyDescent="0.35">
      <c r="C4454" s="1"/>
    </row>
    <row r="4455" spans="3:3" x14ac:dyDescent="0.35">
      <c r="C4455" s="1"/>
    </row>
    <row r="4456" spans="3:3" x14ac:dyDescent="0.35">
      <c r="C4456" s="1"/>
    </row>
    <row r="4457" spans="3:3" x14ac:dyDescent="0.35">
      <c r="C4457" s="1"/>
    </row>
    <row r="4458" spans="3:3" x14ac:dyDescent="0.35">
      <c r="C4458" s="1"/>
    </row>
    <row r="4459" spans="3:3" x14ac:dyDescent="0.35">
      <c r="C4459" s="1"/>
    </row>
    <row r="4460" spans="3:3" x14ac:dyDescent="0.35">
      <c r="C4460" s="1"/>
    </row>
    <row r="4461" spans="3:3" x14ac:dyDescent="0.35">
      <c r="C4461" s="1"/>
    </row>
    <row r="4462" spans="3:3" x14ac:dyDescent="0.35">
      <c r="C4462" s="1"/>
    </row>
    <row r="4463" spans="3:3" x14ac:dyDescent="0.35">
      <c r="C4463" s="1"/>
    </row>
    <row r="4464" spans="3:3" x14ac:dyDescent="0.35">
      <c r="C4464" s="1"/>
    </row>
    <row r="4465" spans="3:3" x14ac:dyDescent="0.35">
      <c r="C4465" s="1"/>
    </row>
    <row r="4466" spans="3:3" x14ac:dyDescent="0.35">
      <c r="C4466" s="1"/>
    </row>
    <row r="4467" spans="3:3" x14ac:dyDescent="0.35">
      <c r="C4467" s="1"/>
    </row>
    <row r="4468" spans="3:3" x14ac:dyDescent="0.35">
      <c r="C4468" s="1"/>
    </row>
    <row r="4469" spans="3:3" x14ac:dyDescent="0.35">
      <c r="C4469" s="1"/>
    </row>
    <row r="4470" spans="3:3" x14ac:dyDescent="0.35">
      <c r="C4470" s="1"/>
    </row>
    <row r="4471" spans="3:3" x14ac:dyDescent="0.35">
      <c r="C4471" s="1"/>
    </row>
    <row r="4472" spans="3:3" x14ac:dyDescent="0.35">
      <c r="C4472" s="1"/>
    </row>
    <row r="4473" spans="3:3" x14ac:dyDescent="0.35">
      <c r="C4473" s="1"/>
    </row>
    <row r="4474" spans="3:3" x14ac:dyDescent="0.35">
      <c r="C4474" s="1"/>
    </row>
    <row r="4475" spans="3:3" x14ac:dyDescent="0.35">
      <c r="C4475" s="1"/>
    </row>
    <row r="4476" spans="3:3" x14ac:dyDescent="0.35">
      <c r="C4476" s="1"/>
    </row>
    <row r="4477" spans="3:3" x14ac:dyDescent="0.35">
      <c r="C4477" s="1"/>
    </row>
    <row r="4478" spans="3:3" x14ac:dyDescent="0.35">
      <c r="C4478" s="1"/>
    </row>
    <row r="4479" spans="3:3" x14ac:dyDescent="0.35">
      <c r="C4479" s="1"/>
    </row>
    <row r="4480" spans="3:3" x14ac:dyDescent="0.35">
      <c r="C4480" s="1"/>
    </row>
    <row r="4481" spans="3:3" x14ac:dyDescent="0.35">
      <c r="C4481" s="1"/>
    </row>
    <row r="4482" spans="3:3" x14ac:dyDescent="0.35">
      <c r="C4482" s="1"/>
    </row>
    <row r="4483" spans="3:3" x14ac:dyDescent="0.35">
      <c r="C4483" s="1"/>
    </row>
    <row r="4484" spans="3:3" x14ac:dyDescent="0.35">
      <c r="C4484" s="1"/>
    </row>
    <row r="4485" spans="3:3" x14ac:dyDescent="0.35">
      <c r="C4485" s="1"/>
    </row>
    <row r="4486" spans="3:3" x14ac:dyDescent="0.35">
      <c r="C4486" s="1"/>
    </row>
    <row r="4487" spans="3:3" x14ac:dyDescent="0.35">
      <c r="C4487" s="1"/>
    </row>
    <row r="4488" spans="3:3" x14ac:dyDescent="0.35">
      <c r="C4488" s="1"/>
    </row>
    <row r="4489" spans="3:3" x14ac:dyDescent="0.35">
      <c r="C4489" s="1"/>
    </row>
    <row r="4490" spans="3:3" x14ac:dyDescent="0.35">
      <c r="C4490" s="1"/>
    </row>
    <row r="4491" spans="3:3" x14ac:dyDescent="0.35">
      <c r="C4491" s="1"/>
    </row>
    <row r="4492" spans="3:3" x14ac:dyDescent="0.35">
      <c r="C4492" s="1"/>
    </row>
    <row r="4493" spans="3:3" x14ac:dyDescent="0.35">
      <c r="C4493" s="1"/>
    </row>
    <row r="4494" spans="3:3" x14ac:dyDescent="0.35">
      <c r="C4494" s="1"/>
    </row>
    <row r="4495" spans="3:3" x14ac:dyDescent="0.35">
      <c r="C4495" s="1"/>
    </row>
    <row r="4496" spans="3:3" x14ac:dyDescent="0.35">
      <c r="C4496" s="1"/>
    </row>
    <row r="4497" spans="3:3" x14ac:dyDescent="0.35">
      <c r="C4497" s="1"/>
    </row>
    <row r="4498" spans="3:3" x14ac:dyDescent="0.35">
      <c r="C4498" s="1"/>
    </row>
    <row r="4499" spans="3:3" x14ac:dyDescent="0.35">
      <c r="C4499" s="1"/>
    </row>
    <row r="4500" spans="3:3" x14ac:dyDescent="0.35">
      <c r="C4500" s="1"/>
    </row>
    <row r="4501" spans="3:3" x14ac:dyDescent="0.35">
      <c r="C4501" s="1"/>
    </row>
    <row r="4502" spans="3:3" x14ac:dyDescent="0.35">
      <c r="C4502" s="1"/>
    </row>
    <row r="4503" spans="3:3" x14ac:dyDescent="0.35">
      <c r="C4503" s="1"/>
    </row>
    <row r="4504" spans="3:3" x14ac:dyDescent="0.35">
      <c r="C4504" s="1"/>
    </row>
    <row r="4505" spans="3:3" x14ac:dyDescent="0.35">
      <c r="C4505" s="1"/>
    </row>
    <row r="4506" spans="3:3" x14ac:dyDescent="0.35">
      <c r="C4506" s="1"/>
    </row>
    <row r="4507" spans="3:3" x14ac:dyDescent="0.35">
      <c r="C4507" s="1"/>
    </row>
    <row r="4508" spans="3:3" x14ac:dyDescent="0.35">
      <c r="C4508" s="1"/>
    </row>
    <row r="4509" spans="3:3" x14ac:dyDescent="0.35">
      <c r="C4509" s="1"/>
    </row>
    <row r="4510" spans="3:3" x14ac:dyDescent="0.35">
      <c r="C4510" s="1"/>
    </row>
    <row r="4511" spans="3:3" x14ac:dyDescent="0.35">
      <c r="C4511" s="1"/>
    </row>
    <row r="4512" spans="3:3" x14ac:dyDescent="0.35">
      <c r="C4512" s="1"/>
    </row>
    <row r="4513" spans="3:3" x14ac:dyDescent="0.35">
      <c r="C4513" s="1"/>
    </row>
    <row r="4514" spans="3:3" x14ac:dyDescent="0.35">
      <c r="C4514" s="1"/>
    </row>
    <row r="4515" spans="3:3" x14ac:dyDescent="0.35">
      <c r="C4515" s="1"/>
    </row>
    <row r="4516" spans="3:3" x14ac:dyDescent="0.35">
      <c r="C4516" s="1"/>
    </row>
    <row r="4517" spans="3:3" x14ac:dyDescent="0.35">
      <c r="C4517" s="1"/>
    </row>
    <row r="4518" spans="3:3" x14ac:dyDescent="0.35">
      <c r="C4518" s="1"/>
    </row>
    <row r="4519" spans="3:3" x14ac:dyDescent="0.35">
      <c r="C4519" s="1"/>
    </row>
    <row r="4520" spans="3:3" x14ac:dyDescent="0.35">
      <c r="C4520" s="1"/>
    </row>
    <row r="4521" spans="3:3" x14ac:dyDescent="0.35">
      <c r="C4521" s="1"/>
    </row>
    <row r="4522" spans="3:3" x14ac:dyDescent="0.35">
      <c r="C4522" s="1"/>
    </row>
    <row r="4523" spans="3:3" x14ac:dyDescent="0.35">
      <c r="C4523" s="1"/>
    </row>
    <row r="4524" spans="3:3" x14ac:dyDescent="0.35">
      <c r="C4524" s="1"/>
    </row>
    <row r="4525" spans="3:3" x14ac:dyDescent="0.35">
      <c r="C4525" s="1"/>
    </row>
    <row r="4526" spans="3:3" x14ac:dyDescent="0.35">
      <c r="C4526" s="1"/>
    </row>
    <row r="4527" spans="3:3" x14ac:dyDescent="0.35">
      <c r="C4527" s="1"/>
    </row>
    <row r="4528" spans="3:3" x14ac:dyDescent="0.35">
      <c r="C4528" s="1"/>
    </row>
    <row r="4529" spans="3:3" x14ac:dyDescent="0.35">
      <c r="C4529" s="1"/>
    </row>
    <row r="4530" spans="3:3" x14ac:dyDescent="0.35">
      <c r="C4530" s="1"/>
    </row>
    <row r="4531" spans="3:3" x14ac:dyDescent="0.35">
      <c r="C4531" s="1"/>
    </row>
    <row r="4532" spans="3:3" x14ac:dyDescent="0.35">
      <c r="C4532" s="1"/>
    </row>
    <row r="4533" spans="3:3" x14ac:dyDescent="0.35">
      <c r="C4533" s="1"/>
    </row>
    <row r="4534" spans="3:3" x14ac:dyDescent="0.35">
      <c r="C4534" s="1"/>
    </row>
    <row r="4535" spans="3:3" x14ac:dyDescent="0.35">
      <c r="C4535" s="1"/>
    </row>
    <row r="4536" spans="3:3" x14ac:dyDescent="0.35">
      <c r="C4536" s="1"/>
    </row>
    <row r="4537" spans="3:3" x14ac:dyDescent="0.35">
      <c r="C4537" s="1"/>
    </row>
    <row r="4538" spans="3:3" x14ac:dyDescent="0.35">
      <c r="C4538" s="1"/>
    </row>
    <row r="4539" spans="3:3" x14ac:dyDescent="0.35">
      <c r="C4539" s="1"/>
    </row>
    <row r="4540" spans="3:3" x14ac:dyDescent="0.35">
      <c r="C4540" s="1"/>
    </row>
    <row r="4541" spans="3:3" x14ac:dyDescent="0.35">
      <c r="C4541" s="1"/>
    </row>
    <row r="4542" spans="3:3" x14ac:dyDescent="0.35">
      <c r="C4542" s="1"/>
    </row>
    <row r="4543" spans="3:3" x14ac:dyDescent="0.35">
      <c r="C4543" s="1"/>
    </row>
    <row r="4544" spans="3:3" x14ac:dyDescent="0.35">
      <c r="C4544" s="1"/>
    </row>
    <row r="4545" spans="3:3" x14ac:dyDescent="0.35">
      <c r="C4545" s="1"/>
    </row>
    <row r="4546" spans="3:3" x14ac:dyDescent="0.35">
      <c r="C4546" s="1"/>
    </row>
    <row r="4547" spans="3:3" x14ac:dyDescent="0.35">
      <c r="C4547" s="1"/>
    </row>
    <row r="4548" spans="3:3" x14ac:dyDescent="0.35">
      <c r="C4548" s="1"/>
    </row>
    <row r="4549" spans="3:3" x14ac:dyDescent="0.35">
      <c r="C4549" s="1"/>
    </row>
    <row r="4550" spans="3:3" x14ac:dyDescent="0.35">
      <c r="C4550" s="1"/>
    </row>
    <row r="4551" spans="3:3" x14ac:dyDescent="0.35">
      <c r="C4551" s="1"/>
    </row>
    <row r="4552" spans="3:3" x14ac:dyDescent="0.35">
      <c r="C4552" s="1"/>
    </row>
    <row r="4553" spans="3:3" x14ac:dyDescent="0.35">
      <c r="C4553" s="1"/>
    </row>
    <row r="4554" spans="3:3" x14ac:dyDescent="0.35">
      <c r="C4554" s="1"/>
    </row>
    <row r="4555" spans="3:3" x14ac:dyDescent="0.35">
      <c r="C4555" s="1"/>
    </row>
    <row r="4556" spans="3:3" x14ac:dyDescent="0.35">
      <c r="C4556" s="1"/>
    </row>
    <row r="4557" spans="3:3" x14ac:dyDescent="0.35">
      <c r="C4557" s="1"/>
    </row>
    <row r="4558" spans="3:3" x14ac:dyDescent="0.35">
      <c r="C4558" s="1"/>
    </row>
    <row r="4559" spans="3:3" x14ac:dyDescent="0.35">
      <c r="C4559" s="1"/>
    </row>
    <row r="4560" spans="3:3" x14ac:dyDescent="0.35">
      <c r="C4560" s="1"/>
    </row>
    <row r="4561" spans="3:3" x14ac:dyDescent="0.35">
      <c r="C4561" s="1"/>
    </row>
    <row r="4562" spans="3:3" x14ac:dyDescent="0.35">
      <c r="C4562" s="1"/>
    </row>
    <row r="4563" spans="3:3" x14ac:dyDescent="0.35">
      <c r="C4563" s="1"/>
    </row>
    <row r="4564" spans="3:3" x14ac:dyDescent="0.35">
      <c r="C4564" s="1"/>
    </row>
    <row r="4565" spans="3:3" x14ac:dyDescent="0.35">
      <c r="C4565" s="1"/>
    </row>
    <row r="4566" spans="3:3" x14ac:dyDescent="0.35">
      <c r="C4566" s="1"/>
    </row>
    <row r="4567" spans="3:3" x14ac:dyDescent="0.35">
      <c r="C4567" s="1"/>
    </row>
    <row r="4568" spans="3:3" x14ac:dyDescent="0.35">
      <c r="C4568" s="1"/>
    </row>
    <row r="4569" spans="3:3" x14ac:dyDescent="0.35">
      <c r="C4569" s="1"/>
    </row>
    <row r="4570" spans="3:3" x14ac:dyDescent="0.35">
      <c r="C4570" s="1"/>
    </row>
    <row r="4571" spans="3:3" x14ac:dyDescent="0.35">
      <c r="C4571" s="1"/>
    </row>
    <row r="4572" spans="3:3" x14ac:dyDescent="0.35">
      <c r="C4572" s="1"/>
    </row>
    <row r="4573" spans="3:3" x14ac:dyDescent="0.35">
      <c r="C4573" s="1"/>
    </row>
    <row r="4574" spans="3:3" x14ac:dyDescent="0.35">
      <c r="C4574" s="1"/>
    </row>
    <row r="4575" spans="3:3" x14ac:dyDescent="0.35">
      <c r="C4575" s="1"/>
    </row>
    <row r="4576" spans="3:3" x14ac:dyDescent="0.35">
      <c r="C4576" s="1"/>
    </row>
    <row r="4577" spans="3:3" x14ac:dyDescent="0.35">
      <c r="C4577" s="1"/>
    </row>
    <row r="4578" spans="3:3" x14ac:dyDescent="0.35">
      <c r="C4578" s="1"/>
    </row>
    <row r="4579" spans="3:3" x14ac:dyDescent="0.35">
      <c r="C4579" s="1"/>
    </row>
    <row r="4580" spans="3:3" x14ac:dyDescent="0.35">
      <c r="C4580" s="1"/>
    </row>
    <row r="4581" spans="3:3" x14ac:dyDescent="0.35">
      <c r="C4581" s="1"/>
    </row>
    <row r="4582" spans="3:3" x14ac:dyDescent="0.35">
      <c r="C4582" s="1"/>
    </row>
    <row r="4583" spans="3:3" x14ac:dyDescent="0.35">
      <c r="C4583" s="1"/>
    </row>
    <row r="4584" spans="3:3" x14ac:dyDescent="0.35">
      <c r="C4584" s="1"/>
    </row>
    <row r="4585" spans="3:3" x14ac:dyDescent="0.35">
      <c r="C4585" s="1"/>
    </row>
    <row r="4586" spans="3:3" x14ac:dyDescent="0.35">
      <c r="C4586" s="1"/>
    </row>
    <row r="4587" spans="3:3" x14ac:dyDescent="0.35">
      <c r="C4587" s="1"/>
    </row>
    <row r="4588" spans="3:3" x14ac:dyDescent="0.35">
      <c r="C4588" s="1"/>
    </row>
    <row r="4589" spans="3:3" x14ac:dyDescent="0.35">
      <c r="C4589" s="1"/>
    </row>
    <row r="4590" spans="3:3" x14ac:dyDescent="0.35">
      <c r="C4590" s="1"/>
    </row>
    <row r="4591" spans="3:3" x14ac:dyDescent="0.35">
      <c r="C4591" s="1"/>
    </row>
    <row r="4592" spans="3:3" x14ac:dyDescent="0.35">
      <c r="C4592" s="1"/>
    </row>
    <row r="4593" spans="3:3" x14ac:dyDescent="0.35">
      <c r="C4593" s="1"/>
    </row>
    <row r="4594" spans="3:3" x14ac:dyDescent="0.35">
      <c r="C4594" s="1"/>
    </row>
    <row r="4595" spans="3:3" x14ac:dyDescent="0.35">
      <c r="C4595" s="1"/>
    </row>
    <row r="4596" spans="3:3" x14ac:dyDescent="0.35">
      <c r="C4596" s="1"/>
    </row>
    <row r="4597" spans="3:3" x14ac:dyDescent="0.35">
      <c r="C4597" s="1"/>
    </row>
    <row r="4598" spans="3:3" x14ac:dyDescent="0.35">
      <c r="C4598" s="1"/>
    </row>
    <row r="4599" spans="3:3" x14ac:dyDescent="0.35">
      <c r="C4599" s="1"/>
    </row>
    <row r="4600" spans="3:3" x14ac:dyDescent="0.35">
      <c r="C4600" s="1"/>
    </row>
    <row r="4601" spans="3:3" x14ac:dyDescent="0.35">
      <c r="C4601" s="1"/>
    </row>
    <row r="4602" spans="3:3" x14ac:dyDescent="0.35">
      <c r="C4602" s="1"/>
    </row>
    <row r="4603" spans="3:3" x14ac:dyDescent="0.35">
      <c r="C4603" s="1"/>
    </row>
    <row r="4604" spans="3:3" x14ac:dyDescent="0.35">
      <c r="C4604" s="1"/>
    </row>
    <row r="4605" spans="3:3" x14ac:dyDescent="0.35">
      <c r="C4605" s="1"/>
    </row>
    <row r="4606" spans="3:3" x14ac:dyDescent="0.35">
      <c r="C4606" s="1"/>
    </row>
    <row r="4607" spans="3:3" x14ac:dyDescent="0.35">
      <c r="C4607" s="1"/>
    </row>
    <row r="4608" spans="3:3" x14ac:dyDescent="0.35">
      <c r="C4608" s="1"/>
    </row>
    <row r="4609" spans="3:3" x14ac:dyDescent="0.35">
      <c r="C4609" s="1"/>
    </row>
    <row r="4610" spans="3:3" x14ac:dyDescent="0.35">
      <c r="C4610" s="1"/>
    </row>
    <row r="4611" spans="3:3" x14ac:dyDescent="0.35">
      <c r="C4611" s="1"/>
    </row>
    <row r="4612" spans="3:3" x14ac:dyDescent="0.35">
      <c r="C4612" s="1"/>
    </row>
    <row r="4613" spans="3:3" x14ac:dyDescent="0.35">
      <c r="C4613" s="1"/>
    </row>
    <row r="4614" spans="3:3" x14ac:dyDescent="0.35">
      <c r="C4614" s="1"/>
    </row>
    <row r="4615" spans="3:3" x14ac:dyDescent="0.35">
      <c r="C4615" s="1"/>
    </row>
    <row r="4616" spans="3:3" x14ac:dyDescent="0.35">
      <c r="C4616" s="1"/>
    </row>
    <row r="4617" spans="3:3" x14ac:dyDescent="0.35">
      <c r="C4617" s="1"/>
    </row>
    <row r="4618" spans="3:3" x14ac:dyDescent="0.35">
      <c r="C4618" s="1"/>
    </row>
    <row r="4619" spans="3:3" x14ac:dyDescent="0.35">
      <c r="C4619" s="1"/>
    </row>
    <row r="4620" spans="3:3" x14ac:dyDescent="0.35">
      <c r="C4620" s="1"/>
    </row>
    <row r="4621" spans="3:3" x14ac:dyDescent="0.35">
      <c r="C4621" s="1"/>
    </row>
    <row r="4622" spans="3:3" x14ac:dyDescent="0.35">
      <c r="C4622" s="1"/>
    </row>
    <row r="4623" spans="3:3" x14ac:dyDescent="0.35">
      <c r="C4623" s="1"/>
    </row>
    <row r="4624" spans="3:3" x14ac:dyDescent="0.35">
      <c r="C4624" s="1"/>
    </row>
    <row r="4625" spans="3:3" x14ac:dyDescent="0.35">
      <c r="C4625" s="1"/>
    </row>
    <row r="4626" spans="3:3" x14ac:dyDescent="0.35">
      <c r="C4626" s="1"/>
    </row>
    <row r="4627" spans="3:3" x14ac:dyDescent="0.35">
      <c r="C4627" s="1"/>
    </row>
    <row r="4628" spans="3:3" x14ac:dyDescent="0.35">
      <c r="C4628" s="1"/>
    </row>
    <row r="4629" spans="3:3" x14ac:dyDescent="0.35">
      <c r="C4629" s="1"/>
    </row>
    <row r="4630" spans="3:3" x14ac:dyDescent="0.35">
      <c r="C4630" s="1"/>
    </row>
    <row r="4631" spans="3:3" x14ac:dyDescent="0.35">
      <c r="C4631" s="1"/>
    </row>
    <row r="4632" spans="3:3" x14ac:dyDescent="0.35">
      <c r="C4632" s="1"/>
    </row>
    <row r="4633" spans="3:3" x14ac:dyDescent="0.35">
      <c r="C4633" s="1"/>
    </row>
    <row r="4634" spans="3:3" x14ac:dyDescent="0.35">
      <c r="C4634" s="1"/>
    </row>
    <row r="4635" spans="3:3" x14ac:dyDescent="0.35">
      <c r="C4635" s="1"/>
    </row>
    <row r="4636" spans="3:3" x14ac:dyDescent="0.35">
      <c r="C4636" s="1"/>
    </row>
    <row r="4637" spans="3:3" x14ac:dyDescent="0.35">
      <c r="C4637" s="1"/>
    </row>
    <row r="4638" spans="3:3" x14ac:dyDescent="0.35">
      <c r="C4638" s="1"/>
    </row>
    <row r="4639" spans="3:3" x14ac:dyDescent="0.35">
      <c r="C4639" s="1"/>
    </row>
    <row r="4640" spans="3:3" x14ac:dyDescent="0.35">
      <c r="C4640" s="1"/>
    </row>
    <row r="4641" spans="3:3" x14ac:dyDescent="0.35">
      <c r="C4641" s="1"/>
    </row>
    <row r="4642" spans="3:3" x14ac:dyDescent="0.35">
      <c r="C4642" s="1"/>
    </row>
    <row r="4643" spans="3:3" x14ac:dyDescent="0.35">
      <c r="C4643" s="1"/>
    </row>
    <row r="4644" spans="3:3" x14ac:dyDescent="0.35">
      <c r="C4644" s="1"/>
    </row>
    <row r="4645" spans="3:3" x14ac:dyDescent="0.35">
      <c r="C4645" s="1"/>
    </row>
    <row r="4646" spans="3:3" x14ac:dyDescent="0.35">
      <c r="C4646" s="1"/>
    </row>
    <row r="4647" spans="3:3" x14ac:dyDescent="0.35">
      <c r="C4647" s="1"/>
    </row>
    <row r="4648" spans="3:3" x14ac:dyDescent="0.35">
      <c r="C4648" s="1"/>
    </row>
    <row r="4649" spans="3:3" x14ac:dyDescent="0.35">
      <c r="C4649" s="1"/>
    </row>
    <row r="4650" spans="3:3" x14ac:dyDescent="0.35">
      <c r="C4650" s="1"/>
    </row>
    <row r="4651" spans="3:3" x14ac:dyDescent="0.35">
      <c r="C4651" s="1"/>
    </row>
    <row r="4652" spans="3:3" x14ac:dyDescent="0.35">
      <c r="C4652" s="1"/>
    </row>
    <row r="4653" spans="3:3" x14ac:dyDescent="0.35">
      <c r="C4653" s="1"/>
    </row>
    <row r="4654" spans="3:3" x14ac:dyDescent="0.35">
      <c r="C4654" s="1"/>
    </row>
    <row r="4655" spans="3:3" x14ac:dyDescent="0.35">
      <c r="C4655" s="1"/>
    </row>
    <row r="4656" spans="3:3" x14ac:dyDescent="0.35">
      <c r="C4656" s="1"/>
    </row>
    <row r="4657" spans="3:3" x14ac:dyDescent="0.35">
      <c r="C4657" s="1"/>
    </row>
    <row r="4658" spans="3:3" x14ac:dyDescent="0.35">
      <c r="C4658" s="1"/>
    </row>
    <row r="4659" spans="3:3" x14ac:dyDescent="0.35">
      <c r="C4659" s="1"/>
    </row>
    <row r="4660" spans="3:3" x14ac:dyDescent="0.35">
      <c r="C4660" s="1"/>
    </row>
    <row r="4661" spans="3:3" x14ac:dyDescent="0.35">
      <c r="C4661" s="1"/>
    </row>
    <row r="4662" spans="3:3" x14ac:dyDescent="0.35">
      <c r="C4662" s="1"/>
    </row>
    <row r="4663" spans="3:3" x14ac:dyDescent="0.35">
      <c r="C4663" s="1"/>
    </row>
    <row r="4664" spans="3:3" x14ac:dyDescent="0.35">
      <c r="C4664" s="1"/>
    </row>
    <row r="4665" spans="3:3" x14ac:dyDescent="0.35">
      <c r="C4665" s="1"/>
    </row>
    <row r="4666" spans="3:3" x14ac:dyDescent="0.35">
      <c r="C4666" s="1"/>
    </row>
    <row r="4667" spans="3:3" x14ac:dyDescent="0.35">
      <c r="C4667" s="1"/>
    </row>
    <row r="4668" spans="3:3" x14ac:dyDescent="0.35">
      <c r="C4668" s="1"/>
    </row>
    <row r="4669" spans="3:3" x14ac:dyDescent="0.35">
      <c r="C4669" s="1"/>
    </row>
    <row r="4670" spans="3:3" x14ac:dyDescent="0.35">
      <c r="C4670" s="1"/>
    </row>
    <row r="4671" spans="3:3" x14ac:dyDescent="0.35">
      <c r="C4671" s="1"/>
    </row>
    <row r="4672" spans="3:3" x14ac:dyDescent="0.35">
      <c r="C4672" s="1"/>
    </row>
    <row r="4673" spans="3:3" x14ac:dyDescent="0.35">
      <c r="C4673" s="1"/>
    </row>
    <row r="4674" spans="3:3" x14ac:dyDescent="0.35">
      <c r="C4674" s="1"/>
    </row>
    <row r="4675" spans="3:3" x14ac:dyDescent="0.35">
      <c r="C4675" s="1"/>
    </row>
    <row r="4676" spans="3:3" x14ac:dyDescent="0.35">
      <c r="C4676" s="1"/>
    </row>
    <row r="4677" spans="3:3" x14ac:dyDescent="0.35">
      <c r="C4677" s="1"/>
    </row>
    <row r="4678" spans="3:3" x14ac:dyDescent="0.35">
      <c r="C4678" s="1"/>
    </row>
    <row r="4679" spans="3:3" x14ac:dyDescent="0.35">
      <c r="C4679" s="1"/>
    </row>
    <row r="4680" spans="3:3" x14ac:dyDescent="0.35">
      <c r="C4680" s="1"/>
    </row>
    <row r="4681" spans="3:3" x14ac:dyDescent="0.35">
      <c r="C4681" s="1"/>
    </row>
    <row r="4682" spans="3:3" x14ac:dyDescent="0.35">
      <c r="C4682" s="1"/>
    </row>
    <row r="4683" spans="3:3" x14ac:dyDescent="0.35">
      <c r="C4683" s="1"/>
    </row>
    <row r="4684" spans="3:3" x14ac:dyDescent="0.35">
      <c r="C4684" s="1"/>
    </row>
    <row r="4685" spans="3:3" x14ac:dyDescent="0.35">
      <c r="C4685" s="1"/>
    </row>
    <row r="4686" spans="3:3" x14ac:dyDescent="0.35">
      <c r="C4686" s="1"/>
    </row>
    <row r="4687" spans="3:3" x14ac:dyDescent="0.35">
      <c r="C4687" s="1"/>
    </row>
    <row r="4688" spans="3:3" x14ac:dyDescent="0.35">
      <c r="C4688" s="1"/>
    </row>
    <row r="4689" spans="3:3" x14ac:dyDescent="0.35">
      <c r="C4689" s="1"/>
    </row>
    <row r="4690" spans="3:3" x14ac:dyDescent="0.35">
      <c r="C4690" s="1"/>
    </row>
    <row r="4691" spans="3:3" x14ac:dyDescent="0.35">
      <c r="C4691" s="1"/>
    </row>
    <row r="4692" spans="3:3" x14ac:dyDescent="0.35">
      <c r="C4692" s="1"/>
    </row>
    <row r="4693" spans="3:3" x14ac:dyDescent="0.35">
      <c r="C4693" s="1"/>
    </row>
    <row r="4694" spans="3:3" x14ac:dyDescent="0.35">
      <c r="C4694" s="1"/>
    </row>
    <row r="4695" spans="3:3" x14ac:dyDescent="0.35">
      <c r="C4695" s="1"/>
    </row>
    <row r="4696" spans="3:3" x14ac:dyDescent="0.35">
      <c r="C4696" s="1"/>
    </row>
    <row r="4697" spans="3:3" x14ac:dyDescent="0.35">
      <c r="C4697" s="1"/>
    </row>
    <row r="4698" spans="3:3" x14ac:dyDescent="0.35">
      <c r="C4698" s="1"/>
    </row>
    <row r="4699" spans="3:3" x14ac:dyDescent="0.35">
      <c r="C4699" s="1"/>
    </row>
    <row r="4700" spans="3:3" x14ac:dyDescent="0.35">
      <c r="C4700" s="1"/>
    </row>
    <row r="4701" spans="3:3" x14ac:dyDescent="0.35">
      <c r="C4701" s="1"/>
    </row>
    <row r="4702" spans="3:3" x14ac:dyDescent="0.35">
      <c r="C4702" s="1"/>
    </row>
    <row r="4703" spans="3:3" x14ac:dyDescent="0.35">
      <c r="C4703" s="1"/>
    </row>
    <row r="4704" spans="3:3" x14ac:dyDescent="0.35">
      <c r="C4704" s="1"/>
    </row>
    <row r="4705" spans="3:3" x14ac:dyDescent="0.35">
      <c r="C4705" s="1"/>
    </row>
    <row r="4706" spans="3:3" x14ac:dyDescent="0.35">
      <c r="C4706" s="1"/>
    </row>
    <row r="4707" spans="3:3" x14ac:dyDescent="0.35">
      <c r="C4707" s="1"/>
    </row>
    <row r="4708" spans="3:3" x14ac:dyDescent="0.35">
      <c r="C4708" s="1"/>
    </row>
    <row r="4709" spans="3:3" x14ac:dyDescent="0.35">
      <c r="C4709" s="1"/>
    </row>
    <row r="4710" spans="3:3" x14ac:dyDescent="0.35">
      <c r="C4710" s="1"/>
    </row>
    <row r="4711" spans="3:3" x14ac:dyDescent="0.35">
      <c r="C4711" s="1"/>
    </row>
    <row r="4712" spans="3:3" x14ac:dyDescent="0.35">
      <c r="C4712" s="1"/>
    </row>
    <row r="4713" spans="3:3" x14ac:dyDescent="0.35">
      <c r="C4713" s="1"/>
    </row>
    <row r="4714" spans="3:3" x14ac:dyDescent="0.35">
      <c r="C4714" s="1"/>
    </row>
    <row r="4715" spans="3:3" x14ac:dyDescent="0.35">
      <c r="C4715" s="1"/>
    </row>
    <row r="4716" spans="3:3" x14ac:dyDescent="0.35">
      <c r="C4716" s="1"/>
    </row>
    <row r="4717" spans="3:3" x14ac:dyDescent="0.35">
      <c r="C4717" s="1"/>
    </row>
    <row r="4718" spans="3:3" x14ac:dyDescent="0.35">
      <c r="C4718" s="1"/>
    </row>
    <row r="4719" spans="3:3" x14ac:dyDescent="0.35">
      <c r="C4719" s="1"/>
    </row>
    <row r="4720" spans="3:3" x14ac:dyDescent="0.35">
      <c r="C4720" s="1"/>
    </row>
    <row r="4721" spans="3:3" x14ac:dyDescent="0.35">
      <c r="C4721" s="1"/>
    </row>
    <row r="4722" spans="3:3" x14ac:dyDescent="0.35">
      <c r="C4722" s="1"/>
    </row>
    <row r="4723" spans="3:3" x14ac:dyDescent="0.35">
      <c r="C4723" s="1"/>
    </row>
    <row r="4724" spans="3:3" x14ac:dyDescent="0.35">
      <c r="C4724" s="1"/>
    </row>
    <row r="4725" spans="3:3" x14ac:dyDescent="0.35">
      <c r="C4725" s="1"/>
    </row>
    <row r="4726" spans="3:3" x14ac:dyDescent="0.35">
      <c r="C4726" s="1"/>
    </row>
    <row r="4727" spans="3:3" x14ac:dyDescent="0.35">
      <c r="C4727" s="1"/>
    </row>
    <row r="4728" spans="3:3" x14ac:dyDescent="0.35">
      <c r="C4728" s="1"/>
    </row>
    <row r="4729" spans="3:3" x14ac:dyDescent="0.35">
      <c r="C4729" s="1"/>
    </row>
    <row r="4730" spans="3:3" x14ac:dyDescent="0.35">
      <c r="C4730" s="1"/>
    </row>
    <row r="4731" spans="3:3" x14ac:dyDescent="0.35">
      <c r="C4731" s="1"/>
    </row>
    <row r="4732" spans="3:3" x14ac:dyDescent="0.35">
      <c r="C4732" s="1"/>
    </row>
    <row r="4733" spans="3:3" x14ac:dyDescent="0.35">
      <c r="C4733" s="1"/>
    </row>
    <row r="4734" spans="3:3" x14ac:dyDescent="0.35">
      <c r="C4734" s="1"/>
    </row>
    <row r="4735" spans="3:3" x14ac:dyDescent="0.35">
      <c r="C4735" s="1"/>
    </row>
    <row r="4736" spans="3:3" x14ac:dyDescent="0.35">
      <c r="C4736" s="1"/>
    </row>
    <row r="4737" spans="3:3" x14ac:dyDescent="0.35">
      <c r="C4737" s="1"/>
    </row>
    <row r="4738" spans="3:3" x14ac:dyDescent="0.35">
      <c r="C4738" s="1"/>
    </row>
    <row r="4739" spans="3:3" x14ac:dyDescent="0.35">
      <c r="C4739" s="1"/>
    </row>
    <row r="4740" spans="3:3" x14ac:dyDescent="0.35">
      <c r="C4740" s="1"/>
    </row>
    <row r="4741" spans="3:3" x14ac:dyDescent="0.35">
      <c r="C4741" s="1"/>
    </row>
    <row r="4742" spans="3:3" x14ac:dyDescent="0.35">
      <c r="C4742" s="1"/>
    </row>
    <row r="4743" spans="3:3" x14ac:dyDescent="0.35">
      <c r="C4743" s="1"/>
    </row>
    <row r="4744" spans="3:3" x14ac:dyDescent="0.35">
      <c r="C4744" s="1"/>
    </row>
    <row r="4745" spans="3:3" x14ac:dyDescent="0.35">
      <c r="C4745" s="1"/>
    </row>
    <row r="4746" spans="3:3" x14ac:dyDescent="0.35">
      <c r="C4746" s="1"/>
    </row>
    <row r="4747" spans="3:3" x14ac:dyDescent="0.35">
      <c r="C4747" s="1"/>
    </row>
    <row r="4748" spans="3:3" x14ac:dyDescent="0.35">
      <c r="C4748" s="1"/>
    </row>
    <row r="4749" spans="3:3" x14ac:dyDescent="0.35">
      <c r="C4749" s="1"/>
    </row>
    <row r="4750" spans="3:3" x14ac:dyDescent="0.35">
      <c r="C4750" s="1"/>
    </row>
    <row r="4751" spans="3:3" x14ac:dyDescent="0.35">
      <c r="C4751" s="1"/>
    </row>
    <row r="4752" spans="3:3" x14ac:dyDescent="0.35">
      <c r="C4752" s="1"/>
    </row>
    <row r="4753" spans="3:3" x14ac:dyDescent="0.35">
      <c r="C4753" s="1"/>
    </row>
    <row r="4754" spans="3:3" x14ac:dyDescent="0.35">
      <c r="C4754" s="1"/>
    </row>
    <row r="4755" spans="3:3" x14ac:dyDescent="0.35">
      <c r="C4755" s="1"/>
    </row>
    <row r="4756" spans="3:3" x14ac:dyDescent="0.35">
      <c r="C4756" s="1"/>
    </row>
    <row r="4757" spans="3:3" x14ac:dyDescent="0.35">
      <c r="C4757" s="1"/>
    </row>
    <row r="4758" spans="3:3" x14ac:dyDescent="0.35">
      <c r="C4758" s="1"/>
    </row>
    <row r="4759" spans="3:3" x14ac:dyDescent="0.35">
      <c r="C4759" s="1"/>
    </row>
    <row r="4760" spans="3:3" x14ac:dyDescent="0.35">
      <c r="C4760" s="1"/>
    </row>
    <row r="4761" spans="3:3" x14ac:dyDescent="0.35">
      <c r="C4761" s="1"/>
    </row>
    <row r="4762" spans="3:3" x14ac:dyDescent="0.35">
      <c r="C4762" s="1"/>
    </row>
    <row r="4763" spans="3:3" x14ac:dyDescent="0.35">
      <c r="C4763" s="1"/>
    </row>
    <row r="4764" spans="3:3" x14ac:dyDescent="0.35">
      <c r="C4764" s="1"/>
    </row>
    <row r="4765" spans="3:3" x14ac:dyDescent="0.35">
      <c r="C4765" s="1"/>
    </row>
    <row r="4766" spans="3:3" x14ac:dyDescent="0.35">
      <c r="C4766" s="1"/>
    </row>
    <row r="4767" spans="3:3" x14ac:dyDescent="0.35">
      <c r="C4767" s="1"/>
    </row>
    <row r="4768" spans="3:3" x14ac:dyDescent="0.35">
      <c r="C4768" s="1"/>
    </row>
    <row r="4769" spans="3:3" x14ac:dyDescent="0.35">
      <c r="C4769" s="1"/>
    </row>
    <row r="4770" spans="3:3" x14ac:dyDescent="0.35">
      <c r="C4770" s="1"/>
    </row>
    <row r="4771" spans="3:3" x14ac:dyDescent="0.35">
      <c r="C4771" s="1"/>
    </row>
    <row r="4772" spans="3:3" x14ac:dyDescent="0.35">
      <c r="C4772" s="1"/>
    </row>
    <row r="4773" spans="3:3" x14ac:dyDescent="0.35">
      <c r="C4773" s="1"/>
    </row>
    <row r="4774" spans="3:3" x14ac:dyDescent="0.35">
      <c r="C4774" s="1"/>
    </row>
    <row r="4775" spans="3:3" x14ac:dyDescent="0.35">
      <c r="C4775" s="1"/>
    </row>
    <row r="4776" spans="3:3" x14ac:dyDescent="0.35">
      <c r="C4776" s="1"/>
    </row>
    <row r="4777" spans="3:3" x14ac:dyDescent="0.35">
      <c r="C4777" s="1"/>
    </row>
    <row r="4778" spans="3:3" x14ac:dyDescent="0.35">
      <c r="C4778" s="1"/>
    </row>
    <row r="4779" spans="3:3" x14ac:dyDescent="0.35">
      <c r="C4779" s="1"/>
    </row>
    <row r="4780" spans="3:3" x14ac:dyDescent="0.35">
      <c r="C4780" s="1"/>
    </row>
    <row r="4781" spans="3:3" x14ac:dyDescent="0.35">
      <c r="C4781" s="1"/>
    </row>
    <row r="4782" spans="3:3" x14ac:dyDescent="0.35">
      <c r="C4782" s="1"/>
    </row>
    <row r="4783" spans="3:3" x14ac:dyDescent="0.35">
      <c r="C4783" s="1"/>
    </row>
    <row r="4784" spans="3:3" x14ac:dyDescent="0.35">
      <c r="C4784" s="1"/>
    </row>
    <row r="4785" spans="3:3" x14ac:dyDescent="0.35">
      <c r="C4785" s="1"/>
    </row>
    <row r="4786" spans="3:3" x14ac:dyDescent="0.35">
      <c r="C4786" s="1"/>
    </row>
    <row r="4787" spans="3:3" x14ac:dyDescent="0.35">
      <c r="C4787" s="1"/>
    </row>
    <row r="4788" spans="3:3" x14ac:dyDescent="0.35">
      <c r="C4788" s="1"/>
    </row>
    <row r="4789" spans="3:3" x14ac:dyDescent="0.35">
      <c r="C4789" s="1"/>
    </row>
    <row r="4790" spans="3:3" x14ac:dyDescent="0.35">
      <c r="C4790" s="1"/>
    </row>
    <row r="4791" spans="3:3" x14ac:dyDescent="0.35">
      <c r="C4791" s="1"/>
    </row>
    <row r="4792" spans="3:3" x14ac:dyDescent="0.35">
      <c r="C4792" s="1"/>
    </row>
    <row r="4793" spans="3:3" x14ac:dyDescent="0.35">
      <c r="C4793" s="1"/>
    </row>
    <row r="4794" spans="3:3" x14ac:dyDescent="0.35">
      <c r="C4794" s="1"/>
    </row>
    <row r="4795" spans="3:3" x14ac:dyDescent="0.35">
      <c r="C4795" s="1"/>
    </row>
    <row r="4796" spans="3:3" x14ac:dyDescent="0.35">
      <c r="C4796" s="1"/>
    </row>
    <row r="4797" spans="3:3" x14ac:dyDescent="0.35">
      <c r="C4797" s="1"/>
    </row>
    <row r="4798" spans="3:3" x14ac:dyDescent="0.35">
      <c r="C4798" s="1"/>
    </row>
    <row r="4799" spans="3:3" x14ac:dyDescent="0.35">
      <c r="C4799" s="1"/>
    </row>
    <row r="4800" spans="3:3" x14ac:dyDescent="0.35">
      <c r="C4800" s="1"/>
    </row>
    <row r="4801" spans="3:3" x14ac:dyDescent="0.35">
      <c r="C4801" s="1"/>
    </row>
    <row r="4802" spans="3:3" x14ac:dyDescent="0.35">
      <c r="C4802" s="1"/>
    </row>
    <row r="4803" spans="3:3" x14ac:dyDescent="0.35">
      <c r="C4803" s="1"/>
    </row>
    <row r="4804" spans="3:3" x14ac:dyDescent="0.35">
      <c r="C4804" s="1"/>
    </row>
    <row r="4805" spans="3:3" x14ac:dyDescent="0.35">
      <c r="C4805" s="1"/>
    </row>
    <row r="4806" spans="3:3" x14ac:dyDescent="0.35">
      <c r="C4806" s="1"/>
    </row>
    <row r="4807" spans="3:3" x14ac:dyDescent="0.35">
      <c r="C4807" s="1"/>
    </row>
    <row r="4808" spans="3:3" x14ac:dyDescent="0.35">
      <c r="C4808" s="1"/>
    </row>
    <row r="4809" spans="3:3" x14ac:dyDescent="0.35">
      <c r="C4809" s="1"/>
    </row>
    <row r="4810" spans="3:3" x14ac:dyDescent="0.35">
      <c r="C4810" s="1"/>
    </row>
    <row r="4811" spans="3:3" x14ac:dyDescent="0.35">
      <c r="C4811" s="1"/>
    </row>
    <row r="4812" spans="3:3" x14ac:dyDescent="0.35">
      <c r="C4812" s="1"/>
    </row>
    <row r="4813" spans="3:3" x14ac:dyDescent="0.35">
      <c r="C4813" s="1"/>
    </row>
    <row r="4814" spans="3:3" x14ac:dyDescent="0.35">
      <c r="C4814" s="1"/>
    </row>
    <row r="4815" spans="3:3" x14ac:dyDescent="0.35">
      <c r="C4815" s="1"/>
    </row>
    <row r="4816" spans="3:3" x14ac:dyDescent="0.35">
      <c r="C4816" s="1"/>
    </row>
    <row r="4817" spans="3:3" x14ac:dyDescent="0.35">
      <c r="C4817" s="1"/>
    </row>
    <row r="4818" spans="3:3" x14ac:dyDescent="0.35">
      <c r="C4818" s="1"/>
    </row>
    <row r="4819" spans="3:3" x14ac:dyDescent="0.35">
      <c r="C4819" s="1"/>
    </row>
    <row r="4820" spans="3:3" x14ac:dyDescent="0.35">
      <c r="C4820" s="1"/>
    </row>
    <row r="4821" spans="3:3" x14ac:dyDescent="0.35">
      <c r="C4821" s="1"/>
    </row>
    <row r="4822" spans="3:3" x14ac:dyDescent="0.35">
      <c r="C4822" s="1"/>
    </row>
    <row r="4823" spans="3:3" x14ac:dyDescent="0.35">
      <c r="C4823" s="1"/>
    </row>
    <row r="4824" spans="3:3" x14ac:dyDescent="0.35">
      <c r="C4824" s="1"/>
    </row>
    <row r="4825" spans="3:3" x14ac:dyDescent="0.35">
      <c r="C4825" s="1"/>
    </row>
    <row r="4826" spans="3:3" x14ac:dyDescent="0.35">
      <c r="C4826" s="1"/>
    </row>
    <row r="4827" spans="3:3" x14ac:dyDescent="0.35">
      <c r="C4827" s="1"/>
    </row>
    <row r="4828" spans="3:3" x14ac:dyDescent="0.35">
      <c r="C4828" s="1"/>
    </row>
    <row r="4829" spans="3:3" x14ac:dyDescent="0.35">
      <c r="C4829" s="1"/>
    </row>
    <row r="4830" spans="3:3" x14ac:dyDescent="0.35">
      <c r="C4830" s="1"/>
    </row>
    <row r="4831" spans="3:3" x14ac:dyDescent="0.35">
      <c r="C4831" s="1"/>
    </row>
    <row r="4832" spans="3:3" x14ac:dyDescent="0.35">
      <c r="C4832" s="1"/>
    </row>
    <row r="4833" spans="3:3" x14ac:dyDescent="0.35">
      <c r="C4833" s="1"/>
    </row>
    <row r="4834" spans="3:3" x14ac:dyDescent="0.35">
      <c r="C4834" s="1"/>
    </row>
    <row r="4835" spans="3:3" x14ac:dyDescent="0.35">
      <c r="C4835" s="1"/>
    </row>
    <row r="4836" spans="3:3" x14ac:dyDescent="0.35">
      <c r="C4836" s="1"/>
    </row>
    <row r="4837" spans="3:3" x14ac:dyDescent="0.35">
      <c r="C4837" s="1"/>
    </row>
    <row r="4838" spans="3:3" x14ac:dyDescent="0.35">
      <c r="C4838" s="1"/>
    </row>
    <row r="4839" spans="3:3" x14ac:dyDescent="0.35">
      <c r="C4839" s="1"/>
    </row>
    <row r="4840" spans="3:3" x14ac:dyDescent="0.35">
      <c r="C4840" s="1"/>
    </row>
    <row r="4841" spans="3:3" x14ac:dyDescent="0.35">
      <c r="C4841" s="1"/>
    </row>
    <row r="4842" spans="3:3" x14ac:dyDescent="0.35">
      <c r="C4842" s="1"/>
    </row>
    <row r="4843" spans="3:3" x14ac:dyDescent="0.35">
      <c r="C4843" s="1"/>
    </row>
    <row r="4844" spans="3:3" x14ac:dyDescent="0.35">
      <c r="C4844" s="1"/>
    </row>
    <row r="4845" spans="3:3" x14ac:dyDescent="0.35">
      <c r="C4845" s="1"/>
    </row>
    <row r="4846" spans="3:3" x14ac:dyDescent="0.35">
      <c r="C4846" s="1"/>
    </row>
    <row r="4847" spans="3:3" x14ac:dyDescent="0.35">
      <c r="C4847" s="1"/>
    </row>
    <row r="4848" spans="3:3" x14ac:dyDescent="0.35">
      <c r="C4848" s="1"/>
    </row>
    <row r="4849" spans="3:3" x14ac:dyDescent="0.35">
      <c r="C4849" s="1"/>
    </row>
    <row r="4850" spans="3:3" x14ac:dyDescent="0.35">
      <c r="C4850" s="1"/>
    </row>
    <row r="4851" spans="3:3" x14ac:dyDescent="0.35">
      <c r="C4851" s="1"/>
    </row>
    <row r="4852" spans="3:3" x14ac:dyDescent="0.35">
      <c r="C4852" s="1"/>
    </row>
    <row r="4853" spans="3:3" x14ac:dyDescent="0.35">
      <c r="C4853" s="1"/>
    </row>
    <row r="4854" spans="3:3" x14ac:dyDescent="0.35">
      <c r="C4854" s="1"/>
    </row>
    <row r="4855" spans="3:3" x14ac:dyDescent="0.35">
      <c r="C4855" s="1"/>
    </row>
    <row r="4856" spans="3:3" x14ac:dyDescent="0.35">
      <c r="C4856" s="1"/>
    </row>
    <row r="4857" spans="3:3" x14ac:dyDescent="0.35">
      <c r="C4857" s="1"/>
    </row>
    <row r="4858" spans="3:3" x14ac:dyDescent="0.35">
      <c r="C4858" s="1"/>
    </row>
    <row r="4859" spans="3:3" x14ac:dyDescent="0.35">
      <c r="C4859" s="1"/>
    </row>
    <row r="4860" spans="3:3" x14ac:dyDescent="0.35">
      <c r="C4860" s="1"/>
    </row>
    <row r="4861" spans="3:3" x14ac:dyDescent="0.35">
      <c r="C4861" s="1"/>
    </row>
    <row r="4862" spans="3:3" x14ac:dyDescent="0.35">
      <c r="C4862" s="1"/>
    </row>
    <row r="4863" spans="3:3" x14ac:dyDescent="0.35">
      <c r="C4863" s="1"/>
    </row>
    <row r="4864" spans="3:3" x14ac:dyDescent="0.35">
      <c r="C4864" s="1"/>
    </row>
    <row r="4865" spans="3:3" x14ac:dyDescent="0.35">
      <c r="C4865" s="1"/>
    </row>
    <row r="4866" spans="3:3" x14ac:dyDescent="0.35">
      <c r="C4866" s="1"/>
    </row>
    <row r="4867" spans="3:3" x14ac:dyDescent="0.35">
      <c r="C4867" s="1"/>
    </row>
    <row r="4868" spans="3:3" x14ac:dyDescent="0.35">
      <c r="C4868" s="1"/>
    </row>
    <row r="4869" spans="3:3" x14ac:dyDescent="0.35">
      <c r="C4869" s="1"/>
    </row>
    <row r="4870" spans="3:3" x14ac:dyDescent="0.35">
      <c r="C4870" s="1"/>
    </row>
    <row r="4871" spans="3:3" x14ac:dyDescent="0.35">
      <c r="C4871" s="1"/>
    </row>
    <row r="4872" spans="3:3" x14ac:dyDescent="0.35">
      <c r="C4872" s="1"/>
    </row>
    <row r="4873" spans="3:3" x14ac:dyDescent="0.35">
      <c r="C4873" s="1"/>
    </row>
    <row r="4874" spans="3:3" x14ac:dyDescent="0.35">
      <c r="C4874" s="1"/>
    </row>
    <row r="4875" spans="3:3" x14ac:dyDescent="0.35">
      <c r="C4875" s="1"/>
    </row>
    <row r="4876" spans="3:3" x14ac:dyDescent="0.35">
      <c r="C4876" s="1"/>
    </row>
    <row r="4877" spans="3:3" x14ac:dyDescent="0.35">
      <c r="C4877" s="1"/>
    </row>
    <row r="4878" spans="3:3" x14ac:dyDescent="0.35">
      <c r="C4878" s="1"/>
    </row>
    <row r="4879" spans="3:3" x14ac:dyDescent="0.35">
      <c r="C4879" s="1"/>
    </row>
    <row r="4880" spans="3:3" x14ac:dyDescent="0.35">
      <c r="C4880" s="1"/>
    </row>
    <row r="4881" spans="3:3" x14ac:dyDescent="0.35">
      <c r="C4881" s="1"/>
    </row>
    <row r="4882" spans="3:3" x14ac:dyDescent="0.35">
      <c r="C4882" s="1"/>
    </row>
    <row r="4883" spans="3:3" x14ac:dyDescent="0.35">
      <c r="C4883" s="1"/>
    </row>
    <row r="4884" spans="3:3" x14ac:dyDescent="0.35">
      <c r="C4884" s="1"/>
    </row>
    <row r="4885" spans="3:3" x14ac:dyDescent="0.35">
      <c r="C4885" s="1"/>
    </row>
    <row r="4886" spans="3:3" x14ac:dyDescent="0.35">
      <c r="C4886" s="1"/>
    </row>
    <row r="4887" spans="3:3" x14ac:dyDescent="0.35">
      <c r="C4887" s="1"/>
    </row>
    <row r="4888" spans="3:3" x14ac:dyDescent="0.35">
      <c r="C4888" s="1"/>
    </row>
    <row r="4889" spans="3:3" x14ac:dyDescent="0.35">
      <c r="C4889" s="1"/>
    </row>
    <row r="4890" spans="3:3" x14ac:dyDescent="0.35">
      <c r="C4890" s="1"/>
    </row>
    <row r="4891" spans="3:3" x14ac:dyDescent="0.35">
      <c r="C4891" s="1"/>
    </row>
    <row r="4892" spans="3:3" x14ac:dyDescent="0.35">
      <c r="C4892" s="1"/>
    </row>
    <row r="4893" spans="3:3" x14ac:dyDescent="0.35">
      <c r="C4893" s="1"/>
    </row>
    <row r="4894" spans="3:3" x14ac:dyDescent="0.35">
      <c r="C4894" s="1"/>
    </row>
    <row r="4895" spans="3:3" x14ac:dyDescent="0.35">
      <c r="C4895" s="1"/>
    </row>
    <row r="4896" spans="3:3" x14ac:dyDescent="0.35">
      <c r="C4896" s="1"/>
    </row>
    <row r="4897" spans="3:3" x14ac:dyDescent="0.35">
      <c r="C4897" s="1"/>
    </row>
    <row r="4898" spans="3:3" x14ac:dyDescent="0.35">
      <c r="C4898" s="1"/>
    </row>
    <row r="4899" spans="3:3" x14ac:dyDescent="0.35">
      <c r="C4899" s="1"/>
    </row>
    <row r="4900" spans="3:3" x14ac:dyDescent="0.35">
      <c r="C4900" s="1"/>
    </row>
    <row r="4901" spans="3:3" x14ac:dyDescent="0.35">
      <c r="C4901" s="1"/>
    </row>
    <row r="4902" spans="3:3" x14ac:dyDescent="0.35">
      <c r="C4902" s="1"/>
    </row>
    <row r="4903" spans="3:3" x14ac:dyDescent="0.35">
      <c r="C4903" s="1"/>
    </row>
    <row r="4904" spans="3:3" x14ac:dyDescent="0.35">
      <c r="C4904" s="1"/>
    </row>
    <row r="4905" spans="3:3" x14ac:dyDescent="0.35">
      <c r="C4905" s="1"/>
    </row>
    <row r="4906" spans="3:3" x14ac:dyDescent="0.35">
      <c r="C4906" s="1"/>
    </row>
    <row r="4907" spans="3:3" x14ac:dyDescent="0.35">
      <c r="C4907" s="1"/>
    </row>
    <row r="4908" spans="3:3" x14ac:dyDescent="0.35">
      <c r="C4908" s="1"/>
    </row>
    <row r="4909" spans="3:3" x14ac:dyDescent="0.35">
      <c r="C4909" s="1"/>
    </row>
    <row r="4910" spans="3:3" x14ac:dyDescent="0.35">
      <c r="C4910" s="1"/>
    </row>
    <row r="4911" spans="3:3" x14ac:dyDescent="0.35">
      <c r="C4911" s="1"/>
    </row>
    <row r="4912" spans="3:3" x14ac:dyDescent="0.35">
      <c r="C4912" s="1"/>
    </row>
    <row r="4913" spans="3:3" x14ac:dyDescent="0.35">
      <c r="C4913" s="1"/>
    </row>
    <row r="4914" spans="3:3" x14ac:dyDescent="0.35">
      <c r="C4914" s="1"/>
    </row>
    <row r="4915" spans="3:3" x14ac:dyDescent="0.35">
      <c r="C4915" s="1"/>
    </row>
    <row r="4916" spans="3:3" x14ac:dyDescent="0.35">
      <c r="C4916" s="1"/>
    </row>
    <row r="4917" spans="3:3" x14ac:dyDescent="0.35">
      <c r="C4917" s="1"/>
    </row>
    <row r="4918" spans="3:3" x14ac:dyDescent="0.35">
      <c r="C4918" s="1"/>
    </row>
    <row r="4919" spans="3:3" x14ac:dyDescent="0.35">
      <c r="C4919" s="1"/>
    </row>
    <row r="4920" spans="3:3" x14ac:dyDescent="0.35">
      <c r="C4920" s="1"/>
    </row>
    <row r="4921" spans="3:3" x14ac:dyDescent="0.35">
      <c r="C4921" s="1"/>
    </row>
    <row r="4922" spans="3:3" x14ac:dyDescent="0.35">
      <c r="C4922" s="1"/>
    </row>
    <row r="4923" spans="3:3" x14ac:dyDescent="0.35">
      <c r="C4923" s="1"/>
    </row>
    <row r="4924" spans="3:3" x14ac:dyDescent="0.35">
      <c r="C4924" s="1"/>
    </row>
    <row r="4925" spans="3:3" x14ac:dyDescent="0.35">
      <c r="C4925" s="1"/>
    </row>
    <row r="4926" spans="3:3" x14ac:dyDescent="0.35">
      <c r="C4926" s="1"/>
    </row>
    <row r="4927" spans="3:3" x14ac:dyDescent="0.35">
      <c r="C4927" s="1"/>
    </row>
    <row r="4928" spans="3:3" x14ac:dyDescent="0.35">
      <c r="C4928" s="1"/>
    </row>
    <row r="4929" spans="3:3" x14ac:dyDescent="0.35">
      <c r="C4929" s="1"/>
    </row>
    <row r="4930" spans="3:3" x14ac:dyDescent="0.35">
      <c r="C4930" s="1"/>
    </row>
    <row r="4931" spans="3:3" x14ac:dyDescent="0.35">
      <c r="C4931" s="1"/>
    </row>
    <row r="4932" spans="3:3" x14ac:dyDescent="0.35">
      <c r="C4932" s="1"/>
    </row>
    <row r="4933" spans="3:3" x14ac:dyDescent="0.35">
      <c r="C4933" s="1"/>
    </row>
    <row r="4934" spans="3:3" x14ac:dyDescent="0.35">
      <c r="C4934" s="1"/>
    </row>
    <row r="4935" spans="3:3" x14ac:dyDescent="0.35">
      <c r="C4935" s="1"/>
    </row>
    <row r="4936" spans="3:3" x14ac:dyDescent="0.35">
      <c r="C4936" s="1"/>
    </row>
    <row r="4937" spans="3:3" x14ac:dyDescent="0.35">
      <c r="C4937" s="1"/>
    </row>
    <row r="4938" spans="3:3" x14ac:dyDescent="0.35">
      <c r="C4938" s="1"/>
    </row>
    <row r="4939" spans="3:3" x14ac:dyDescent="0.35">
      <c r="C4939" s="1"/>
    </row>
    <row r="4940" spans="3:3" x14ac:dyDescent="0.35">
      <c r="C4940" s="1"/>
    </row>
    <row r="4941" spans="3:3" x14ac:dyDescent="0.35">
      <c r="C4941" s="1"/>
    </row>
    <row r="4942" spans="3:3" x14ac:dyDescent="0.35">
      <c r="C4942" s="1"/>
    </row>
    <row r="4943" spans="3:3" x14ac:dyDescent="0.35">
      <c r="C4943" s="1"/>
    </row>
    <row r="4944" spans="3:3" x14ac:dyDescent="0.35">
      <c r="C4944" s="1"/>
    </row>
    <row r="4945" spans="3:3" x14ac:dyDescent="0.35">
      <c r="C4945" s="1"/>
    </row>
    <row r="4946" spans="3:3" x14ac:dyDescent="0.35">
      <c r="C4946" s="1"/>
    </row>
    <row r="4947" spans="3:3" x14ac:dyDescent="0.35">
      <c r="C4947" s="1"/>
    </row>
    <row r="4948" spans="3:3" x14ac:dyDescent="0.35">
      <c r="C4948" s="1"/>
    </row>
    <row r="4949" spans="3:3" x14ac:dyDescent="0.35">
      <c r="C4949" s="1"/>
    </row>
    <row r="4950" spans="3:3" x14ac:dyDescent="0.35">
      <c r="C4950" s="1"/>
    </row>
    <row r="4951" spans="3:3" x14ac:dyDescent="0.35">
      <c r="C4951" s="1"/>
    </row>
    <row r="4952" spans="3:3" x14ac:dyDescent="0.35">
      <c r="C4952" s="1"/>
    </row>
    <row r="4953" spans="3:3" x14ac:dyDescent="0.35">
      <c r="C4953" s="1"/>
    </row>
    <row r="4954" spans="3:3" x14ac:dyDescent="0.35">
      <c r="C4954" s="1"/>
    </row>
    <row r="4955" spans="3:3" x14ac:dyDescent="0.35">
      <c r="C4955" s="1"/>
    </row>
    <row r="4956" spans="3:3" x14ac:dyDescent="0.35">
      <c r="C4956" s="1"/>
    </row>
    <row r="4957" spans="3:3" x14ac:dyDescent="0.35">
      <c r="C4957" s="1"/>
    </row>
    <row r="4958" spans="3:3" x14ac:dyDescent="0.35">
      <c r="C4958" s="1"/>
    </row>
    <row r="4959" spans="3:3" x14ac:dyDescent="0.35">
      <c r="C4959" s="1"/>
    </row>
    <row r="4960" spans="3:3" x14ac:dyDescent="0.35">
      <c r="C4960" s="1"/>
    </row>
    <row r="4961" spans="3:3" x14ac:dyDescent="0.35">
      <c r="C4961" s="1"/>
    </row>
    <row r="4962" spans="3:3" x14ac:dyDescent="0.35">
      <c r="C4962" s="1"/>
    </row>
    <row r="4963" spans="3:3" x14ac:dyDescent="0.35">
      <c r="C4963" s="1"/>
    </row>
    <row r="4964" spans="3:3" x14ac:dyDescent="0.35">
      <c r="C4964" s="1"/>
    </row>
    <row r="4965" spans="3:3" x14ac:dyDescent="0.35">
      <c r="C4965" s="1"/>
    </row>
    <row r="4966" spans="3:3" x14ac:dyDescent="0.35">
      <c r="C4966" s="1"/>
    </row>
    <row r="4967" spans="3:3" x14ac:dyDescent="0.35">
      <c r="C4967" s="1"/>
    </row>
    <row r="4968" spans="3:3" x14ac:dyDescent="0.35">
      <c r="C4968" s="1"/>
    </row>
    <row r="4969" spans="3:3" x14ac:dyDescent="0.35">
      <c r="C4969" s="1"/>
    </row>
    <row r="4970" spans="3:3" x14ac:dyDescent="0.35">
      <c r="C4970" s="1"/>
    </row>
    <row r="4971" spans="3:3" x14ac:dyDescent="0.35">
      <c r="C4971" s="1"/>
    </row>
    <row r="4972" spans="3:3" x14ac:dyDescent="0.35">
      <c r="C4972" s="1"/>
    </row>
    <row r="4973" spans="3:3" x14ac:dyDescent="0.35">
      <c r="C4973" s="1"/>
    </row>
    <row r="4974" spans="3:3" x14ac:dyDescent="0.35">
      <c r="C4974" s="1"/>
    </row>
    <row r="4975" spans="3:3" x14ac:dyDescent="0.35">
      <c r="C4975" s="1"/>
    </row>
    <row r="4976" spans="3:3" x14ac:dyDescent="0.35">
      <c r="C4976" s="1"/>
    </row>
    <row r="4977" spans="3:3" x14ac:dyDescent="0.35">
      <c r="C4977" s="1"/>
    </row>
    <row r="4978" spans="3:3" x14ac:dyDescent="0.35">
      <c r="C4978" s="1"/>
    </row>
    <row r="4979" spans="3:3" x14ac:dyDescent="0.35">
      <c r="C4979" s="1"/>
    </row>
    <row r="4980" spans="3:3" x14ac:dyDescent="0.35">
      <c r="C4980" s="1"/>
    </row>
    <row r="4981" spans="3:3" x14ac:dyDescent="0.35">
      <c r="C4981" s="1"/>
    </row>
    <row r="4982" spans="3:3" x14ac:dyDescent="0.35">
      <c r="C4982" s="1"/>
    </row>
    <row r="4983" spans="3:3" x14ac:dyDescent="0.35">
      <c r="C4983" s="1"/>
    </row>
    <row r="4984" spans="3:3" x14ac:dyDescent="0.35">
      <c r="C4984" s="1"/>
    </row>
    <row r="4985" spans="3:3" x14ac:dyDescent="0.35">
      <c r="C4985" s="1"/>
    </row>
    <row r="4986" spans="3:3" x14ac:dyDescent="0.35">
      <c r="C4986" s="1"/>
    </row>
    <row r="4987" spans="3:3" x14ac:dyDescent="0.35">
      <c r="C4987" s="1"/>
    </row>
    <row r="4988" spans="3:3" x14ac:dyDescent="0.35">
      <c r="C4988" s="1"/>
    </row>
    <row r="4989" spans="3:3" x14ac:dyDescent="0.35">
      <c r="C4989" s="1"/>
    </row>
    <row r="4990" spans="3:3" x14ac:dyDescent="0.35">
      <c r="C4990" s="1"/>
    </row>
    <row r="4991" spans="3:3" x14ac:dyDescent="0.35">
      <c r="C4991" s="1"/>
    </row>
    <row r="4992" spans="3:3" x14ac:dyDescent="0.35">
      <c r="C4992" s="1"/>
    </row>
    <row r="4993" spans="3:3" x14ac:dyDescent="0.35">
      <c r="C4993" s="1"/>
    </row>
    <row r="4994" spans="3:3" x14ac:dyDescent="0.35">
      <c r="C4994" s="1"/>
    </row>
    <row r="4995" spans="3:3" x14ac:dyDescent="0.35">
      <c r="C4995" s="1"/>
    </row>
    <row r="4996" spans="3:3" x14ac:dyDescent="0.35">
      <c r="C4996" s="1"/>
    </row>
    <row r="4997" spans="3:3" x14ac:dyDescent="0.35">
      <c r="C4997" s="1"/>
    </row>
    <row r="4998" spans="3:3" x14ac:dyDescent="0.35">
      <c r="C4998" s="1"/>
    </row>
    <row r="4999" spans="3:3" x14ac:dyDescent="0.35">
      <c r="C4999" s="1"/>
    </row>
    <row r="5000" spans="3:3" x14ac:dyDescent="0.35">
      <c r="C5000" s="1"/>
    </row>
    <row r="5001" spans="3:3" x14ac:dyDescent="0.35">
      <c r="C5001" s="1"/>
    </row>
    <row r="5002" spans="3:3" x14ac:dyDescent="0.35">
      <c r="C5002" s="1"/>
    </row>
    <row r="5003" spans="3:3" x14ac:dyDescent="0.35">
      <c r="C5003" s="1"/>
    </row>
    <row r="5004" spans="3:3" x14ac:dyDescent="0.35">
      <c r="C5004" s="1"/>
    </row>
    <row r="5005" spans="3:3" x14ac:dyDescent="0.35">
      <c r="C5005" s="1"/>
    </row>
    <row r="5006" spans="3:3" x14ac:dyDescent="0.35">
      <c r="C5006" s="1"/>
    </row>
    <row r="5007" spans="3:3" x14ac:dyDescent="0.35">
      <c r="C5007" s="1"/>
    </row>
    <row r="5008" spans="3:3" x14ac:dyDescent="0.35">
      <c r="C5008" s="1"/>
    </row>
    <row r="5009" spans="3:3" x14ac:dyDescent="0.35">
      <c r="C5009" s="1"/>
    </row>
    <row r="5010" spans="3:3" x14ac:dyDescent="0.35">
      <c r="C5010" s="1"/>
    </row>
    <row r="5011" spans="3:3" x14ac:dyDescent="0.35">
      <c r="C5011" s="1"/>
    </row>
    <row r="5012" spans="3:3" x14ac:dyDescent="0.35">
      <c r="C5012" s="1"/>
    </row>
    <row r="5013" spans="3:3" x14ac:dyDescent="0.35">
      <c r="C5013" s="1"/>
    </row>
    <row r="5014" spans="3:3" x14ac:dyDescent="0.35">
      <c r="C5014" s="1"/>
    </row>
    <row r="5015" spans="3:3" x14ac:dyDescent="0.35">
      <c r="C5015" s="1"/>
    </row>
    <row r="5016" spans="3:3" x14ac:dyDescent="0.35">
      <c r="C5016" s="1"/>
    </row>
    <row r="5017" spans="3:3" x14ac:dyDescent="0.35">
      <c r="C5017" s="1"/>
    </row>
    <row r="5018" spans="3:3" x14ac:dyDescent="0.35">
      <c r="C5018" s="1"/>
    </row>
    <row r="5019" spans="3:3" x14ac:dyDescent="0.35">
      <c r="C5019" s="1"/>
    </row>
    <row r="5020" spans="3:3" x14ac:dyDescent="0.35">
      <c r="C5020" s="1"/>
    </row>
    <row r="5021" spans="3:3" x14ac:dyDescent="0.35">
      <c r="C5021" s="1"/>
    </row>
    <row r="5022" spans="3:3" x14ac:dyDescent="0.35">
      <c r="C5022" s="1"/>
    </row>
    <row r="5023" spans="3:3" x14ac:dyDescent="0.35">
      <c r="C5023" s="1"/>
    </row>
    <row r="5024" spans="3:3" x14ac:dyDescent="0.35">
      <c r="C5024" s="1"/>
    </row>
    <row r="5025" spans="3:3" x14ac:dyDescent="0.35">
      <c r="C5025" s="1"/>
    </row>
    <row r="5026" spans="3:3" x14ac:dyDescent="0.35">
      <c r="C5026" s="1"/>
    </row>
    <row r="5027" spans="3:3" x14ac:dyDescent="0.35">
      <c r="C5027" s="1"/>
    </row>
    <row r="5028" spans="3:3" x14ac:dyDescent="0.35">
      <c r="C5028" s="1"/>
    </row>
    <row r="5029" spans="3:3" x14ac:dyDescent="0.35">
      <c r="C5029" s="1"/>
    </row>
    <row r="5030" spans="3:3" x14ac:dyDescent="0.35">
      <c r="C5030" s="1"/>
    </row>
    <row r="5031" spans="3:3" x14ac:dyDescent="0.35">
      <c r="C5031" s="1"/>
    </row>
    <row r="5032" spans="3:3" x14ac:dyDescent="0.35">
      <c r="C5032" s="1"/>
    </row>
    <row r="5033" spans="3:3" x14ac:dyDescent="0.35">
      <c r="C5033" s="1"/>
    </row>
    <row r="5034" spans="3:3" x14ac:dyDescent="0.35">
      <c r="C5034" s="1"/>
    </row>
    <row r="5035" spans="3:3" x14ac:dyDescent="0.35">
      <c r="C5035" s="1"/>
    </row>
    <row r="5036" spans="3:3" x14ac:dyDescent="0.35">
      <c r="C5036" s="1"/>
    </row>
    <row r="5037" spans="3:3" x14ac:dyDescent="0.35">
      <c r="C5037" s="1"/>
    </row>
    <row r="5038" spans="3:3" x14ac:dyDescent="0.35">
      <c r="C5038" s="1"/>
    </row>
    <row r="5039" spans="3:3" x14ac:dyDescent="0.35">
      <c r="C5039" s="1"/>
    </row>
    <row r="5040" spans="3:3" x14ac:dyDescent="0.35">
      <c r="C5040" s="1"/>
    </row>
    <row r="5041" spans="3:3" x14ac:dyDescent="0.35">
      <c r="C5041" s="1"/>
    </row>
    <row r="5042" spans="3:3" x14ac:dyDescent="0.35">
      <c r="C5042" s="1"/>
    </row>
    <row r="5043" spans="3:3" x14ac:dyDescent="0.35">
      <c r="C5043" s="1"/>
    </row>
    <row r="5044" spans="3:3" x14ac:dyDescent="0.35">
      <c r="C5044" s="1"/>
    </row>
    <row r="5045" spans="3:3" x14ac:dyDescent="0.35">
      <c r="C5045" s="1"/>
    </row>
    <row r="5046" spans="3:3" x14ac:dyDescent="0.35">
      <c r="C5046" s="1"/>
    </row>
    <row r="5047" spans="3:3" x14ac:dyDescent="0.35">
      <c r="C5047" s="1"/>
    </row>
    <row r="5048" spans="3:3" x14ac:dyDescent="0.35">
      <c r="C5048" s="1"/>
    </row>
    <row r="5049" spans="3:3" x14ac:dyDescent="0.35">
      <c r="C5049" s="1"/>
    </row>
    <row r="5050" spans="3:3" x14ac:dyDescent="0.35">
      <c r="C5050" s="1"/>
    </row>
    <row r="5051" spans="3:3" x14ac:dyDescent="0.35">
      <c r="C5051" s="1"/>
    </row>
    <row r="5052" spans="3:3" x14ac:dyDescent="0.35">
      <c r="C5052" s="1"/>
    </row>
    <row r="5053" spans="3:3" x14ac:dyDescent="0.35">
      <c r="C5053" s="1"/>
    </row>
    <row r="5054" spans="3:3" x14ac:dyDescent="0.35">
      <c r="C5054" s="1"/>
    </row>
    <row r="5055" spans="3:3" x14ac:dyDescent="0.35">
      <c r="C5055" s="1"/>
    </row>
    <row r="5056" spans="3:3" x14ac:dyDescent="0.35">
      <c r="C5056" s="1"/>
    </row>
    <row r="5057" spans="3:3" x14ac:dyDescent="0.35">
      <c r="C5057" s="1"/>
    </row>
    <row r="5058" spans="3:3" x14ac:dyDescent="0.35">
      <c r="C5058" s="1"/>
    </row>
    <row r="5059" spans="3:3" x14ac:dyDescent="0.35">
      <c r="C5059" s="1"/>
    </row>
    <row r="5060" spans="3:3" x14ac:dyDescent="0.35">
      <c r="C5060" s="1"/>
    </row>
    <row r="5061" spans="3:3" x14ac:dyDescent="0.35">
      <c r="C5061" s="1"/>
    </row>
    <row r="5062" spans="3:3" x14ac:dyDescent="0.35">
      <c r="C5062" s="1"/>
    </row>
    <row r="5063" spans="3:3" x14ac:dyDescent="0.35">
      <c r="C5063" s="1"/>
    </row>
    <row r="5064" spans="3:3" x14ac:dyDescent="0.35">
      <c r="C5064" s="1"/>
    </row>
    <row r="5065" spans="3:3" x14ac:dyDescent="0.35">
      <c r="C5065" s="1"/>
    </row>
    <row r="5066" spans="3:3" x14ac:dyDescent="0.35">
      <c r="C5066" s="1"/>
    </row>
    <row r="5067" spans="3:3" x14ac:dyDescent="0.35">
      <c r="C5067" s="1"/>
    </row>
    <row r="5068" spans="3:3" x14ac:dyDescent="0.35">
      <c r="C5068" s="1"/>
    </row>
    <row r="5069" spans="3:3" x14ac:dyDescent="0.35">
      <c r="C5069" s="1"/>
    </row>
    <row r="5070" spans="3:3" x14ac:dyDescent="0.35">
      <c r="C5070" s="1"/>
    </row>
    <row r="5071" spans="3:3" x14ac:dyDescent="0.35">
      <c r="C5071" s="1"/>
    </row>
    <row r="5072" spans="3:3" x14ac:dyDescent="0.35">
      <c r="C5072" s="1"/>
    </row>
    <row r="5073" spans="3:3" x14ac:dyDescent="0.35">
      <c r="C5073" s="1"/>
    </row>
    <row r="5074" spans="3:3" x14ac:dyDescent="0.35">
      <c r="C5074" s="1"/>
    </row>
    <row r="5075" spans="3:3" x14ac:dyDescent="0.35">
      <c r="C5075" s="1"/>
    </row>
    <row r="5076" spans="3:3" x14ac:dyDescent="0.35">
      <c r="C5076" s="1"/>
    </row>
    <row r="5077" spans="3:3" x14ac:dyDescent="0.35">
      <c r="C5077" s="1"/>
    </row>
    <row r="5078" spans="3:3" x14ac:dyDescent="0.35">
      <c r="C5078" s="1"/>
    </row>
    <row r="5079" spans="3:3" x14ac:dyDescent="0.35">
      <c r="C5079" s="1"/>
    </row>
    <row r="5080" spans="3:3" x14ac:dyDescent="0.35">
      <c r="C5080" s="1"/>
    </row>
    <row r="5081" spans="3:3" x14ac:dyDescent="0.35">
      <c r="C5081" s="1"/>
    </row>
    <row r="5082" spans="3:3" x14ac:dyDescent="0.35">
      <c r="C5082" s="1"/>
    </row>
    <row r="5083" spans="3:3" x14ac:dyDescent="0.35">
      <c r="C5083" s="1"/>
    </row>
    <row r="5084" spans="3:3" x14ac:dyDescent="0.35">
      <c r="C5084" s="1"/>
    </row>
    <row r="5085" spans="3:3" x14ac:dyDescent="0.35">
      <c r="C5085" s="1"/>
    </row>
    <row r="5086" spans="3:3" x14ac:dyDescent="0.35">
      <c r="C5086" s="1"/>
    </row>
    <row r="5087" spans="3:3" x14ac:dyDescent="0.35">
      <c r="C5087" s="1"/>
    </row>
    <row r="5088" spans="3:3" x14ac:dyDescent="0.35">
      <c r="C5088" s="1"/>
    </row>
    <row r="5089" spans="3:3" x14ac:dyDescent="0.35">
      <c r="C5089" s="1"/>
    </row>
    <row r="5090" spans="3:3" x14ac:dyDescent="0.35">
      <c r="C5090" s="1"/>
    </row>
    <row r="5091" spans="3:3" x14ac:dyDescent="0.35">
      <c r="C5091" s="1"/>
    </row>
    <row r="5092" spans="3:3" x14ac:dyDescent="0.35">
      <c r="C5092" s="1"/>
    </row>
    <row r="5093" spans="3:3" x14ac:dyDescent="0.35">
      <c r="C5093" s="1"/>
    </row>
    <row r="5094" spans="3:3" x14ac:dyDescent="0.35">
      <c r="C5094" s="1"/>
    </row>
    <row r="5095" spans="3:3" x14ac:dyDescent="0.35">
      <c r="C5095" s="1"/>
    </row>
    <row r="5096" spans="3:3" x14ac:dyDescent="0.35">
      <c r="C5096" s="1"/>
    </row>
    <row r="5097" spans="3:3" x14ac:dyDescent="0.35">
      <c r="C5097" s="1"/>
    </row>
    <row r="5098" spans="3:3" x14ac:dyDescent="0.35">
      <c r="C5098" s="1"/>
    </row>
    <row r="5099" spans="3:3" x14ac:dyDescent="0.35">
      <c r="C5099" s="1"/>
    </row>
    <row r="5100" spans="3:3" x14ac:dyDescent="0.35">
      <c r="C5100" s="1"/>
    </row>
    <row r="5101" spans="3:3" x14ac:dyDescent="0.35">
      <c r="C5101" s="1"/>
    </row>
    <row r="5102" spans="3:3" x14ac:dyDescent="0.35">
      <c r="C5102" s="1"/>
    </row>
    <row r="5103" spans="3:3" x14ac:dyDescent="0.35">
      <c r="C5103" s="1"/>
    </row>
    <row r="5104" spans="3:3" x14ac:dyDescent="0.35">
      <c r="C5104" s="1"/>
    </row>
    <row r="5105" spans="3:3" x14ac:dyDescent="0.35">
      <c r="C5105" s="1"/>
    </row>
    <row r="5106" spans="3:3" x14ac:dyDescent="0.35">
      <c r="C5106" s="1"/>
    </row>
    <row r="5107" spans="3:3" x14ac:dyDescent="0.35">
      <c r="C5107" s="1"/>
    </row>
    <row r="5108" spans="3:3" x14ac:dyDescent="0.35">
      <c r="C5108" s="1"/>
    </row>
    <row r="5109" spans="3:3" x14ac:dyDescent="0.35">
      <c r="C5109" s="1"/>
    </row>
    <row r="5110" spans="3:3" x14ac:dyDescent="0.35">
      <c r="C5110" s="1"/>
    </row>
    <row r="5111" spans="3:3" x14ac:dyDescent="0.35">
      <c r="C5111" s="1"/>
    </row>
    <row r="5112" spans="3:3" x14ac:dyDescent="0.35">
      <c r="C5112" s="1"/>
    </row>
    <row r="5113" spans="3:3" x14ac:dyDescent="0.35">
      <c r="C5113" s="1"/>
    </row>
    <row r="5114" spans="3:3" x14ac:dyDescent="0.35">
      <c r="C5114" s="1"/>
    </row>
    <row r="5115" spans="3:3" x14ac:dyDescent="0.35">
      <c r="C5115" s="1"/>
    </row>
    <row r="5116" spans="3:3" x14ac:dyDescent="0.35">
      <c r="C5116" s="1"/>
    </row>
    <row r="5117" spans="3:3" x14ac:dyDescent="0.35">
      <c r="C5117" s="1"/>
    </row>
    <row r="5118" spans="3:3" x14ac:dyDescent="0.35">
      <c r="C5118" s="1"/>
    </row>
    <row r="5119" spans="3:3" x14ac:dyDescent="0.35">
      <c r="C5119" s="1"/>
    </row>
    <row r="5120" spans="3:3" x14ac:dyDescent="0.35">
      <c r="C5120" s="1"/>
    </row>
    <row r="5121" spans="3:3" x14ac:dyDescent="0.35">
      <c r="C5121" s="1"/>
    </row>
    <row r="5122" spans="3:3" x14ac:dyDescent="0.35">
      <c r="C5122" s="1"/>
    </row>
    <row r="5123" spans="3:3" x14ac:dyDescent="0.35">
      <c r="C5123" s="1"/>
    </row>
    <row r="5124" spans="3:3" x14ac:dyDescent="0.35">
      <c r="C5124" s="1"/>
    </row>
    <row r="5125" spans="3:3" x14ac:dyDescent="0.35">
      <c r="C5125" s="1"/>
    </row>
    <row r="5126" spans="3:3" x14ac:dyDescent="0.35">
      <c r="C5126" s="1"/>
    </row>
    <row r="5127" spans="3:3" x14ac:dyDescent="0.35">
      <c r="C5127" s="1"/>
    </row>
    <row r="5128" spans="3:3" x14ac:dyDescent="0.35">
      <c r="C5128" s="1"/>
    </row>
    <row r="5129" spans="3:3" x14ac:dyDescent="0.35">
      <c r="C5129" s="1"/>
    </row>
    <row r="5130" spans="3:3" x14ac:dyDescent="0.35">
      <c r="C5130" s="1"/>
    </row>
    <row r="5131" spans="3:3" x14ac:dyDescent="0.35">
      <c r="C5131" s="1"/>
    </row>
    <row r="5132" spans="3:3" x14ac:dyDescent="0.35">
      <c r="C5132" s="1"/>
    </row>
    <row r="5133" spans="3:3" x14ac:dyDescent="0.35">
      <c r="C5133" s="1"/>
    </row>
    <row r="5134" spans="3:3" x14ac:dyDescent="0.35">
      <c r="C5134" s="1"/>
    </row>
    <row r="5135" spans="3:3" x14ac:dyDescent="0.35">
      <c r="C5135" s="1"/>
    </row>
    <row r="5136" spans="3:3" x14ac:dyDescent="0.35">
      <c r="C5136" s="1"/>
    </row>
    <row r="5137" spans="3:3" x14ac:dyDescent="0.35">
      <c r="C5137" s="1"/>
    </row>
    <row r="5138" spans="3:3" x14ac:dyDescent="0.35">
      <c r="C5138" s="1"/>
    </row>
    <row r="5139" spans="3:3" x14ac:dyDescent="0.35">
      <c r="C5139" s="1"/>
    </row>
    <row r="5140" spans="3:3" x14ac:dyDescent="0.35">
      <c r="C5140" s="1"/>
    </row>
    <row r="5141" spans="3:3" x14ac:dyDescent="0.35">
      <c r="C5141" s="1"/>
    </row>
    <row r="5142" spans="3:3" x14ac:dyDescent="0.35">
      <c r="C5142" s="1"/>
    </row>
    <row r="5143" spans="3:3" x14ac:dyDescent="0.35">
      <c r="C5143" s="1"/>
    </row>
    <row r="5144" spans="3:3" x14ac:dyDescent="0.35">
      <c r="C5144" s="1"/>
    </row>
    <row r="5145" spans="3:3" x14ac:dyDescent="0.35">
      <c r="C5145" s="1"/>
    </row>
    <row r="5146" spans="3:3" x14ac:dyDescent="0.35">
      <c r="C5146" s="1"/>
    </row>
    <row r="5147" spans="3:3" x14ac:dyDescent="0.35">
      <c r="C5147" s="1"/>
    </row>
    <row r="5148" spans="3:3" x14ac:dyDescent="0.35">
      <c r="C5148" s="1"/>
    </row>
    <row r="5149" spans="3:3" x14ac:dyDescent="0.35">
      <c r="C5149" s="1"/>
    </row>
    <row r="5150" spans="3:3" x14ac:dyDescent="0.35">
      <c r="C5150" s="1"/>
    </row>
    <row r="5151" spans="3:3" x14ac:dyDescent="0.35">
      <c r="C5151" s="1"/>
    </row>
    <row r="5152" spans="3:3" x14ac:dyDescent="0.35">
      <c r="C5152" s="1"/>
    </row>
    <row r="5153" spans="3:3" x14ac:dyDescent="0.35">
      <c r="C5153" s="1"/>
    </row>
    <row r="5154" spans="3:3" x14ac:dyDescent="0.35">
      <c r="C5154" s="1"/>
    </row>
    <row r="5155" spans="3:3" x14ac:dyDescent="0.35">
      <c r="C5155" s="1"/>
    </row>
    <row r="5156" spans="3:3" x14ac:dyDescent="0.35">
      <c r="C5156" s="1"/>
    </row>
    <row r="5157" spans="3:3" x14ac:dyDescent="0.35">
      <c r="C5157" s="1"/>
    </row>
    <row r="5158" spans="3:3" x14ac:dyDescent="0.35">
      <c r="C5158" s="1"/>
    </row>
    <row r="5159" spans="3:3" x14ac:dyDescent="0.35">
      <c r="C5159" s="1"/>
    </row>
    <row r="5160" spans="3:3" x14ac:dyDescent="0.35">
      <c r="C5160" s="1"/>
    </row>
    <row r="5161" spans="3:3" x14ac:dyDescent="0.35">
      <c r="C5161" s="1"/>
    </row>
    <row r="5162" spans="3:3" x14ac:dyDescent="0.35">
      <c r="C5162" s="1"/>
    </row>
    <row r="5163" spans="3:3" x14ac:dyDescent="0.35">
      <c r="C5163" s="1"/>
    </row>
    <row r="5164" spans="3:3" x14ac:dyDescent="0.35">
      <c r="C5164" s="1"/>
    </row>
    <row r="5165" spans="3:3" x14ac:dyDescent="0.35">
      <c r="C5165" s="1"/>
    </row>
    <row r="5166" spans="3:3" x14ac:dyDescent="0.35">
      <c r="C5166" s="1"/>
    </row>
    <row r="5167" spans="3:3" x14ac:dyDescent="0.35">
      <c r="C5167" s="1"/>
    </row>
    <row r="5168" spans="3:3" x14ac:dyDescent="0.35">
      <c r="C5168" s="1"/>
    </row>
    <row r="5169" spans="3:3" x14ac:dyDescent="0.35">
      <c r="C5169" s="1"/>
    </row>
    <row r="5170" spans="3:3" x14ac:dyDescent="0.35">
      <c r="C5170" s="1"/>
    </row>
    <row r="5171" spans="3:3" x14ac:dyDescent="0.35">
      <c r="C5171" s="1"/>
    </row>
    <row r="5172" spans="3:3" x14ac:dyDescent="0.35">
      <c r="C5172" s="1"/>
    </row>
    <row r="5173" spans="3:3" x14ac:dyDescent="0.35">
      <c r="C5173" s="1"/>
    </row>
    <row r="5174" spans="3:3" x14ac:dyDescent="0.35">
      <c r="C5174" s="1"/>
    </row>
    <row r="5175" spans="3:3" x14ac:dyDescent="0.35">
      <c r="C5175" s="1"/>
    </row>
    <row r="5176" spans="3:3" x14ac:dyDescent="0.35">
      <c r="C5176" s="1"/>
    </row>
    <row r="5177" spans="3:3" x14ac:dyDescent="0.35">
      <c r="C5177" s="1"/>
    </row>
    <row r="5178" spans="3:3" x14ac:dyDescent="0.35">
      <c r="C5178" s="1"/>
    </row>
    <row r="5179" spans="3:3" x14ac:dyDescent="0.35">
      <c r="C5179" s="1"/>
    </row>
    <row r="5180" spans="3:3" x14ac:dyDescent="0.35">
      <c r="C5180" s="1"/>
    </row>
    <row r="5181" spans="3:3" x14ac:dyDescent="0.35">
      <c r="C5181" s="1"/>
    </row>
    <row r="5182" spans="3:3" x14ac:dyDescent="0.35">
      <c r="C5182" s="1"/>
    </row>
    <row r="5183" spans="3:3" x14ac:dyDescent="0.35">
      <c r="C5183" s="1"/>
    </row>
    <row r="5184" spans="3:3" x14ac:dyDescent="0.35">
      <c r="C5184" s="1"/>
    </row>
    <row r="5185" spans="3:3" x14ac:dyDescent="0.35">
      <c r="C5185" s="1"/>
    </row>
    <row r="5186" spans="3:3" x14ac:dyDescent="0.35">
      <c r="C5186" s="1"/>
    </row>
    <row r="5187" spans="3:3" x14ac:dyDescent="0.35">
      <c r="C5187" s="1"/>
    </row>
    <row r="5188" spans="3:3" x14ac:dyDescent="0.35">
      <c r="C5188" s="1"/>
    </row>
    <row r="5189" spans="3:3" x14ac:dyDescent="0.35">
      <c r="C5189" s="1"/>
    </row>
    <row r="5190" spans="3:3" x14ac:dyDescent="0.35">
      <c r="C5190" s="1"/>
    </row>
    <row r="5191" spans="3:3" x14ac:dyDescent="0.35">
      <c r="C5191" s="1"/>
    </row>
    <row r="5192" spans="3:3" x14ac:dyDescent="0.35">
      <c r="C5192" s="1"/>
    </row>
    <row r="5193" spans="3:3" x14ac:dyDescent="0.35">
      <c r="C5193" s="1"/>
    </row>
    <row r="5194" spans="3:3" x14ac:dyDescent="0.35">
      <c r="C5194" s="1"/>
    </row>
    <row r="5195" spans="3:3" x14ac:dyDescent="0.35">
      <c r="C5195" s="1"/>
    </row>
    <row r="5196" spans="3:3" x14ac:dyDescent="0.35">
      <c r="C5196" s="1"/>
    </row>
    <row r="5197" spans="3:3" x14ac:dyDescent="0.35">
      <c r="C5197" s="1"/>
    </row>
    <row r="5198" spans="3:3" x14ac:dyDescent="0.35">
      <c r="C5198" s="1"/>
    </row>
    <row r="5199" spans="3:3" x14ac:dyDescent="0.35">
      <c r="C5199" s="1"/>
    </row>
    <row r="5200" spans="3:3" x14ac:dyDescent="0.35">
      <c r="C5200" s="1"/>
    </row>
    <row r="5201" spans="3:3" x14ac:dyDescent="0.35">
      <c r="C5201" s="1"/>
    </row>
    <row r="5202" spans="3:3" x14ac:dyDescent="0.35">
      <c r="C5202" s="1"/>
    </row>
    <row r="5203" spans="3:3" x14ac:dyDescent="0.35">
      <c r="C5203" s="1"/>
    </row>
    <row r="5204" spans="3:3" x14ac:dyDescent="0.35">
      <c r="C5204" s="1"/>
    </row>
    <row r="5205" spans="3:3" x14ac:dyDescent="0.35">
      <c r="C5205" s="1"/>
    </row>
    <row r="5206" spans="3:3" x14ac:dyDescent="0.35">
      <c r="C5206" s="1"/>
    </row>
    <row r="5207" spans="3:3" x14ac:dyDescent="0.35">
      <c r="C5207" s="1"/>
    </row>
    <row r="5208" spans="3:3" x14ac:dyDescent="0.35">
      <c r="C5208" s="1"/>
    </row>
    <row r="5209" spans="3:3" x14ac:dyDescent="0.35">
      <c r="C5209" s="1"/>
    </row>
    <row r="5210" spans="3:3" x14ac:dyDescent="0.35">
      <c r="C5210" s="1"/>
    </row>
    <row r="5211" spans="3:3" x14ac:dyDescent="0.35">
      <c r="C5211" s="1"/>
    </row>
    <row r="5212" spans="3:3" x14ac:dyDescent="0.35">
      <c r="C5212" s="1"/>
    </row>
    <row r="5213" spans="3:3" x14ac:dyDescent="0.35">
      <c r="C5213" s="1"/>
    </row>
    <row r="5214" spans="3:3" x14ac:dyDescent="0.35">
      <c r="C5214" s="1"/>
    </row>
    <row r="5215" spans="3:3" x14ac:dyDescent="0.35">
      <c r="C5215" s="1"/>
    </row>
    <row r="5216" spans="3:3" x14ac:dyDescent="0.35">
      <c r="C5216" s="1"/>
    </row>
    <row r="5217" spans="3:3" x14ac:dyDescent="0.35">
      <c r="C5217" s="1"/>
    </row>
    <row r="5218" spans="3:3" x14ac:dyDescent="0.35">
      <c r="C5218" s="1"/>
    </row>
    <row r="5219" spans="3:3" x14ac:dyDescent="0.35">
      <c r="C5219" s="1"/>
    </row>
    <row r="5220" spans="3:3" x14ac:dyDescent="0.35">
      <c r="C5220" s="1"/>
    </row>
    <row r="5221" spans="3:3" x14ac:dyDescent="0.35">
      <c r="C5221" s="1"/>
    </row>
    <row r="5222" spans="3:3" x14ac:dyDescent="0.35">
      <c r="C5222" s="1"/>
    </row>
    <row r="5223" spans="3:3" x14ac:dyDescent="0.35">
      <c r="C5223" s="1"/>
    </row>
    <row r="5224" spans="3:3" x14ac:dyDescent="0.35">
      <c r="C5224" s="1"/>
    </row>
    <row r="5225" spans="3:3" x14ac:dyDescent="0.35">
      <c r="C5225" s="1"/>
    </row>
    <row r="5226" spans="3:3" x14ac:dyDescent="0.35">
      <c r="C5226" s="1"/>
    </row>
    <row r="5227" spans="3:3" x14ac:dyDescent="0.35">
      <c r="C5227" s="1"/>
    </row>
    <row r="5228" spans="3:3" x14ac:dyDescent="0.35">
      <c r="C5228" s="1"/>
    </row>
    <row r="5229" spans="3:3" x14ac:dyDescent="0.35">
      <c r="C5229" s="1"/>
    </row>
    <row r="5230" spans="3:3" x14ac:dyDescent="0.35">
      <c r="C5230" s="1"/>
    </row>
    <row r="5231" spans="3:3" x14ac:dyDescent="0.35">
      <c r="C5231" s="1"/>
    </row>
    <row r="5232" spans="3:3" x14ac:dyDescent="0.35">
      <c r="C5232" s="1"/>
    </row>
    <row r="5233" spans="3:3" x14ac:dyDescent="0.35">
      <c r="C5233" s="1"/>
    </row>
    <row r="5234" spans="3:3" x14ac:dyDescent="0.35">
      <c r="C5234" s="1"/>
    </row>
    <row r="5235" spans="3:3" x14ac:dyDescent="0.35">
      <c r="C5235" s="1"/>
    </row>
    <row r="5236" spans="3:3" x14ac:dyDescent="0.35">
      <c r="C5236" s="1"/>
    </row>
    <row r="5237" spans="3:3" x14ac:dyDescent="0.35">
      <c r="C5237" s="1"/>
    </row>
    <row r="5238" spans="3:3" x14ac:dyDescent="0.35">
      <c r="C5238" s="1"/>
    </row>
    <row r="5239" spans="3:3" x14ac:dyDescent="0.35">
      <c r="C5239" s="1"/>
    </row>
    <row r="5240" spans="3:3" x14ac:dyDescent="0.35">
      <c r="C5240" s="1"/>
    </row>
    <row r="5241" spans="3:3" x14ac:dyDescent="0.35">
      <c r="C5241" s="1"/>
    </row>
    <row r="5242" spans="3:3" x14ac:dyDescent="0.35">
      <c r="C5242" s="1"/>
    </row>
    <row r="5243" spans="3:3" x14ac:dyDescent="0.35">
      <c r="C5243" s="1"/>
    </row>
    <row r="5244" spans="3:3" x14ac:dyDescent="0.35">
      <c r="C5244" s="1"/>
    </row>
    <row r="5245" spans="3:3" x14ac:dyDescent="0.35">
      <c r="C5245" s="1"/>
    </row>
    <row r="5246" spans="3:3" x14ac:dyDescent="0.35">
      <c r="C5246" s="1"/>
    </row>
    <row r="5247" spans="3:3" x14ac:dyDescent="0.35">
      <c r="C5247" s="1"/>
    </row>
    <row r="5248" spans="3:3" x14ac:dyDescent="0.35">
      <c r="C5248" s="1"/>
    </row>
    <row r="5249" spans="3:3" x14ac:dyDescent="0.35">
      <c r="C5249" s="1"/>
    </row>
    <row r="5250" spans="3:3" x14ac:dyDescent="0.35">
      <c r="C5250" s="1"/>
    </row>
    <row r="5251" spans="3:3" x14ac:dyDescent="0.35">
      <c r="C5251" s="1"/>
    </row>
    <row r="5252" spans="3:3" x14ac:dyDescent="0.35">
      <c r="C5252" s="1"/>
    </row>
    <row r="5253" spans="3:3" x14ac:dyDescent="0.35">
      <c r="C5253" s="1"/>
    </row>
    <row r="5254" spans="3:3" x14ac:dyDescent="0.35">
      <c r="C5254" s="1"/>
    </row>
    <row r="5255" spans="3:3" x14ac:dyDescent="0.35">
      <c r="C5255" s="1"/>
    </row>
    <row r="5256" spans="3:3" x14ac:dyDescent="0.35">
      <c r="C5256" s="1"/>
    </row>
    <row r="5257" spans="3:3" x14ac:dyDescent="0.35">
      <c r="C5257" s="1"/>
    </row>
    <row r="5258" spans="3:3" x14ac:dyDescent="0.35">
      <c r="C5258" s="1"/>
    </row>
    <row r="5259" spans="3:3" x14ac:dyDescent="0.35">
      <c r="C5259" s="1"/>
    </row>
    <row r="5260" spans="3:3" x14ac:dyDescent="0.35">
      <c r="C5260" s="1"/>
    </row>
    <row r="5261" spans="3:3" x14ac:dyDescent="0.35">
      <c r="C5261" s="1"/>
    </row>
    <row r="5262" spans="3:3" x14ac:dyDescent="0.35">
      <c r="C5262" s="1"/>
    </row>
    <row r="5263" spans="3:3" x14ac:dyDescent="0.35">
      <c r="C5263" s="1"/>
    </row>
    <row r="5264" spans="3:3" x14ac:dyDescent="0.35">
      <c r="C5264" s="1"/>
    </row>
    <row r="5265" spans="3:3" x14ac:dyDescent="0.35">
      <c r="C5265" s="1"/>
    </row>
    <row r="5266" spans="3:3" x14ac:dyDescent="0.35">
      <c r="C5266" s="1"/>
    </row>
    <row r="5267" spans="3:3" x14ac:dyDescent="0.35">
      <c r="C5267" s="1"/>
    </row>
    <row r="5268" spans="3:3" x14ac:dyDescent="0.35">
      <c r="C5268" s="1"/>
    </row>
    <row r="5269" spans="3:3" x14ac:dyDescent="0.35">
      <c r="C5269" s="1"/>
    </row>
    <row r="5270" spans="3:3" x14ac:dyDescent="0.35">
      <c r="C5270" s="1"/>
    </row>
    <row r="5271" spans="3:3" x14ac:dyDescent="0.35">
      <c r="C5271" s="1"/>
    </row>
    <row r="5272" spans="3:3" x14ac:dyDescent="0.35">
      <c r="C5272" s="1"/>
    </row>
    <row r="5273" spans="3:3" x14ac:dyDescent="0.35">
      <c r="C5273" s="1"/>
    </row>
    <row r="5274" spans="3:3" x14ac:dyDescent="0.35">
      <c r="C5274" s="1"/>
    </row>
    <row r="5275" spans="3:3" x14ac:dyDescent="0.35">
      <c r="C5275" s="1"/>
    </row>
    <row r="5276" spans="3:3" x14ac:dyDescent="0.35">
      <c r="C5276" s="1"/>
    </row>
    <row r="5277" spans="3:3" x14ac:dyDescent="0.35">
      <c r="C5277" s="1"/>
    </row>
    <row r="5278" spans="3:3" x14ac:dyDescent="0.35">
      <c r="C5278" s="1"/>
    </row>
    <row r="5279" spans="3:3" x14ac:dyDescent="0.35">
      <c r="C5279" s="1"/>
    </row>
    <row r="5280" spans="3:3" x14ac:dyDescent="0.35">
      <c r="C5280" s="1"/>
    </row>
    <row r="5281" spans="3:3" x14ac:dyDescent="0.35">
      <c r="C5281" s="1"/>
    </row>
    <row r="5282" spans="3:3" x14ac:dyDescent="0.35">
      <c r="C5282" s="1"/>
    </row>
    <row r="5283" spans="3:3" x14ac:dyDescent="0.35">
      <c r="C5283" s="1"/>
    </row>
    <row r="5284" spans="3:3" x14ac:dyDescent="0.35">
      <c r="C5284" s="1"/>
    </row>
    <row r="5285" spans="3:3" x14ac:dyDescent="0.35">
      <c r="C5285" s="1"/>
    </row>
    <row r="5286" spans="3:3" x14ac:dyDescent="0.35">
      <c r="C5286" s="1"/>
    </row>
    <row r="5287" spans="3:3" x14ac:dyDescent="0.35">
      <c r="C5287" s="1"/>
    </row>
    <row r="5288" spans="3:3" x14ac:dyDescent="0.35">
      <c r="C5288" s="1"/>
    </row>
    <row r="5289" spans="3:3" x14ac:dyDescent="0.35">
      <c r="C5289" s="1"/>
    </row>
    <row r="5290" spans="3:3" x14ac:dyDescent="0.35">
      <c r="C5290" s="1"/>
    </row>
    <row r="5291" spans="3:3" x14ac:dyDescent="0.35">
      <c r="C5291" s="1"/>
    </row>
    <row r="5292" spans="3:3" x14ac:dyDescent="0.35">
      <c r="C5292" s="1"/>
    </row>
    <row r="5293" spans="3:3" x14ac:dyDescent="0.35">
      <c r="C5293" s="1"/>
    </row>
    <row r="5294" spans="3:3" x14ac:dyDescent="0.35">
      <c r="C5294" s="1"/>
    </row>
    <row r="5295" spans="3:3" x14ac:dyDescent="0.35">
      <c r="C5295" s="1"/>
    </row>
    <row r="5296" spans="3:3" x14ac:dyDescent="0.35">
      <c r="C5296" s="1"/>
    </row>
    <row r="5297" spans="3:3" x14ac:dyDescent="0.35">
      <c r="C5297" s="1"/>
    </row>
    <row r="5298" spans="3:3" x14ac:dyDescent="0.35">
      <c r="C5298" s="1"/>
    </row>
    <row r="5299" spans="3:3" x14ac:dyDescent="0.35">
      <c r="C5299" s="1"/>
    </row>
    <row r="5300" spans="3:3" x14ac:dyDescent="0.35">
      <c r="C5300" s="1"/>
    </row>
    <row r="5301" spans="3:3" x14ac:dyDescent="0.35">
      <c r="C5301" s="1"/>
    </row>
    <row r="5302" spans="3:3" x14ac:dyDescent="0.35">
      <c r="C5302" s="1"/>
    </row>
    <row r="5303" spans="3:3" x14ac:dyDescent="0.35">
      <c r="C5303" s="1"/>
    </row>
    <row r="5304" spans="3:3" x14ac:dyDescent="0.35">
      <c r="C5304" s="1"/>
    </row>
    <row r="5305" spans="3:3" x14ac:dyDescent="0.35">
      <c r="C5305" s="1"/>
    </row>
    <row r="5306" spans="3:3" x14ac:dyDescent="0.35">
      <c r="C5306" s="1"/>
    </row>
    <row r="5307" spans="3:3" x14ac:dyDescent="0.35">
      <c r="C5307" s="1"/>
    </row>
    <row r="5308" spans="3:3" x14ac:dyDescent="0.35">
      <c r="C5308" s="1"/>
    </row>
    <row r="5309" spans="3:3" x14ac:dyDescent="0.35">
      <c r="C5309" s="1"/>
    </row>
    <row r="5310" spans="3:3" x14ac:dyDescent="0.35">
      <c r="C5310" s="1"/>
    </row>
    <row r="5311" spans="3:3" x14ac:dyDescent="0.35">
      <c r="C5311" s="1"/>
    </row>
    <row r="5312" spans="3:3" x14ac:dyDescent="0.35">
      <c r="C5312" s="1"/>
    </row>
    <row r="5313" spans="3:3" x14ac:dyDescent="0.35">
      <c r="C5313" s="1"/>
    </row>
    <row r="5314" spans="3:3" x14ac:dyDescent="0.35">
      <c r="C5314" s="1"/>
    </row>
    <row r="5315" spans="3:3" x14ac:dyDescent="0.35">
      <c r="C5315" s="1"/>
    </row>
    <row r="5316" spans="3:3" x14ac:dyDescent="0.35">
      <c r="C5316" s="1"/>
    </row>
    <row r="5317" spans="3:3" x14ac:dyDescent="0.35">
      <c r="C5317" s="1"/>
    </row>
    <row r="5318" spans="3:3" x14ac:dyDescent="0.35">
      <c r="C5318" s="1"/>
    </row>
    <row r="5319" spans="3:3" x14ac:dyDescent="0.35">
      <c r="C5319" s="1"/>
    </row>
    <row r="5320" spans="3:3" x14ac:dyDescent="0.35">
      <c r="C5320" s="1"/>
    </row>
    <row r="5321" spans="3:3" x14ac:dyDescent="0.35">
      <c r="C5321" s="1"/>
    </row>
    <row r="5322" spans="3:3" x14ac:dyDescent="0.35">
      <c r="C5322" s="1"/>
    </row>
    <row r="5323" spans="3:3" x14ac:dyDescent="0.35">
      <c r="C5323" s="1"/>
    </row>
    <row r="5324" spans="3:3" x14ac:dyDescent="0.35">
      <c r="C5324" s="1"/>
    </row>
    <row r="5325" spans="3:3" x14ac:dyDescent="0.35">
      <c r="C5325" s="1"/>
    </row>
    <row r="5326" spans="3:3" x14ac:dyDescent="0.35">
      <c r="C5326" s="1"/>
    </row>
    <row r="5327" spans="3:3" x14ac:dyDescent="0.35">
      <c r="C5327" s="1"/>
    </row>
    <row r="5328" spans="3:3" x14ac:dyDescent="0.35">
      <c r="C5328" s="1"/>
    </row>
    <row r="5329" spans="3:3" x14ac:dyDescent="0.35">
      <c r="C5329" s="1"/>
    </row>
    <row r="5330" spans="3:3" x14ac:dyDescent="0.35">
      <c r="C5330" s="1"/>
    </row>
    <row r="5331" spans="3:3" x14ac:dyDescent="0.35">
      <c r="C5331" s="1"/>
    </row>
    <row r="5332" spans="3:3" x14ac:dyDescent="0.35">
      <c r="C5332" s="1"/>
    </row>
    <row r="5333" spans="3:3" x14ac:dyDescent="0.35">
      <c r="C5333" s="1"/>
    </row>
    <row r="5334" spans="3:3" x14ac:dyDescent="0.35">
      <c r="C5334" s="1"/>
    </row>
    <row r="5335" spans="3:3" x14ac:dyDescent="0.35">
      <c r="C5335" s="1"/>
    </row>
    <row r="5336" spans="3:3" x14ac:dyDescent="0.35">
      <c r="C5336" s="1"/>
    </row>
    <row r="5337" spans="3:3" x14ac:dyDescent="0.35">
      <c r="C5337" s="1"/>
    </row>
    <row r="5338" spans="3:3" x14ac:dyDescent="0.35">
      <c r="C5338" s="1"/>
    </row>
    <row r="5339" spans="3:3" x14ac:dyDescent="0.35">
      <c r="C5339" s="1"/>
    </row>
    <row r="5340" spans="3:3" x14ac:dyDescent="0.35">
      <c r="C5340" s="1"/>
    </row>
    <row r="5341" spans="3:3" x14ac:dyDescent="0.35">
      <c r="C5341" s="1"/>
    </row>
    <row r="5342" spans="3:3" x14ac:dyDescent="0.35">
      <c r="C5342" s="1"/>
    </row>
    <row r="5343" spans="3:3" x14ac:dyDescent="0.35">
      <c r="C5343" s="1"/>
    </row>
    <row r="5344" spans="3:3" x14ac:dyDescent="0.35">
      <c r="C5344" s="1"/>
    </row>
    <row r="5345" spans="3:3" x14ac:dyDescent="0.35">
      <c r="C5345" s="1"/>
    </row>
    <row r="5346" spans="3:3" x14ac:dyDescent="0.35">
      <c r="C5346" s="1"/>
    </row>
    <row r="5347" spans="3:3" x14ac:dyDescent="0.35">
      <c r="C5347" s="1"/>
    </row>
    <row r="5348" spans="3:3" x14ac:dyDescent="0.35">
      <c r="C5348" s="1"/>
    </row>
    <row r="5349" spans="3:3" x14ac:dyDescent="0.35">
      <c r="C5349" s="1"/>
    </row>
    <row r="5350" spans="3:3" x14ac:dyDescent="0.35">
      <c r="C5350" s="1"/>
    </row>
    <row r="5351" spans="3:3" x14ac:dyDescent="0.35">
      <c r="C5351" s="1"/>
    </row>
    <row r="5352" spans="3:3" x14ac:dyDescent="0.35">
      <c r="C5352" s="1"/>
    </row>
    <row r="5353" spans="3:3" x14ac:dyDescent="0.35">
      <c r="C5353" s="1"/>
    </row>
    <row r="5354" spans="3:3" x14ac:dyDescent="0.35">
      <c r="C5354" s="1"/>
    </row>
    <row r="5355" spans="3:3" x14ac:dyDescent="0.35">
      <c r="C5355" s="1"/>
    </row>
    <row r="5356" spans="3:3" x14ac:dyDescent="0.35">
      <c r="C5356" s="1"/>
    </row>
    <row r="5357" spans="3:3" x14ac:dyDescent="0.35">
      <c r="C5357" s="1"/>
    </row>
    <row r="5358" spans="3:3" x14ac:dyDescent="0.35">
      <c r="C5358" s="1"/>
    </row>
    <row r="5359" spans="3:3" x14ac:dyDescent="0.35">
      <c r="C5359" s="1"/>
    </row>
    <row r="5360" spans="3:3" x14ac:dyDescent="0.35">
      <c r="C5360" s="1"/>
    </row>
    <row r="5361" spans="3:3" x14ac:dyDescent="0.35">
      <c r="C5361" s="1"/>
    </row>
    <row r="5362" spans="3:3" x14ac:dyDescent="0.35">
      <c r="C5362" s="1"/>
    </row>
    <row r="5363" spans="3:3" x14ac:dyDescent="0.35">
      <c r="C5363" s="1"/>
    </row>
    <row r="5364" spans="3:3" x14ac:dyDescent="0.35">
      <c r="C5364" s="1"/>
    </row>
    <row r="5365" spans="3:3" x14ac:dyDescent="0.35">
      <c r="C5365" s="1"/>
    </row>
    <row r="5366" spans="3:3" x14ac:dyDescent="0.35">
      <c r="C5366" s="1"/>
    </row>
    <row r="5367" spans="3:3" x14ac:dyDescent="0.35">
      <c r="C5367" s="1"/>
    </row>
    <row r="5368" spans="3:3" x14ac:dyDescent="0.35">
      <c r="C5368" s="1"/>
    </row>
    <row r="5369" spans="3:3" x14ac:dyDescent="0.35">
      <c r="C5369" s="1"/>
    </row>
    <row r="5370" spans="3:3" x14ac:dyDescent="0.35">
      <c r="C5370" s="1"/>
    </row>
    <row r="5371" spans="3:3" x14ac:dyDescent="0.35">
      <c r="C5371" s="1"/>
    </row>
    <row r="5372" spans="3:3" x14ac:dyDescent="0.35">
      <c r="C5372" s="1"/>
    </row>
    <row r="5373" spans="3:3" x14ac:dyDescent="0.35">
      <c r="C5373" s="1"/>
    </row>
    <row r="5374" spans="3:3" x14ac:dyDescent="0.35">
      <c r="C5374" s="1"/>
    </row>
    <row r="5375" spans="3:3" x14ac:dyDescent="0.35">
      <c r="C5375" s="1"/>
    </row>
    <row r="5376" spans="3:3" x14ac:dyDescent="0.35">
      <c r="C5376" s="1"/>
    </row>
    <row r="5377" spans="3:3" x14ac:dyDescent="0.35">
      <c r="C5377" s="1"/>
    </row>
    <row r="5378" spans="3:3" x14ac:dyDescent="0.35">
      <c r="C5378" s="1"/>
    </row>
    <row r="5379" spans="3:3" x14ac:dyDescent="0.35">
      <c r="C5379" s="1"/>
    </row>
    <row r="5380" spans="3:3" x14ac:dyDescent="0.35">
      <c r="C5380" s="1"/>
    </row>
    <row r="5381" spans="3:3" x14ac:dyDescent="0.35">
      <c r="C5381" s="1"/>
    </row>
    <row r="5382" spans="3:3" x14ac:dyDescent="0.35">
      <c r="C5382" s="1"/>
    </row>
    <row r="5383" spans="3:3" x14ac:dyDescent="0.35">
      <c r="C5383" s="1"/>
    </row>
    <row r="5384" spans="3:3" x14ac:dyDescent="0.35">
      <c r="C5384" s="1"/>
    </row>
    <row r="5385" spans="3:3" x14ac:dyDescent="0.35">
      <c r="C5385" s="1"/>
    </row>
    <row r="5386" spans="3:3" x14ac:dyDescent="0.35">
      <c r="C5386" s="1"/>
    </row>
    <row r="5387" spans="3:3" x14ac:dyDescent="0.35">
      <c r="C5387" s="1"/>
    </row>
    <row r="5388" spans="3:3" x14ac:dyDescent="0.35">
      <c r="C5388" s="1"/>
    </row>
    <row r="5389" spans="3:3" x14ac:dyDescent="0.35">
      <c r="C5389" s="1"/>
    </row>
    <row r="5390" spans="3:3" x14ac:dyDescent="0.35">
      <c r="C5390" s="1"/>
    </row>
    <row r="5391" spans="3:3" x14ac:dyDescent="0.35">
      <c r="C5391" s="1"/>
    </row>
    <row r="5392" spans="3:3" x14ac:dyDescent="0.35">
      <c r="C5392" s="1"/>
    </row>
    <row r="5393" spans="3:3" x14ac:dyDescent="0.35">
      <c r="C5393" s="1"/>
    </row>
    <row r="5394" spans="3:3" x14ac:dyDescent="0.35">
      <c r="C5394" s="1"/>
    </row>
    <row r="5395" spans="3:3" x14ac:dyDescent="0.35">
      <c r="C5395" s="1"/>
    </row>
    <row r="5396" spans="3:3" x14ac:dyDescent="0.35">
      <c r="C5396" s="1"/>
    </row>
    <row r="5397" spans="3:3" x14ac:dyDescent="0.35">
      <c r="C5397" s="1"/>
    </row>
    <row r="5398" spans="3:3" x14ac:dyDescent="0.35">
      <c r="C5398" s="1"/>
    </row>
    <row r="5399" spans="3:3" x14ac:dyDescent="0.35">
      <c r="C5399" s="1"/>
    </row>
    <row r="5400" spans="3:3" x14ac:dyDescent="0.35">
      <c r="C5400" s="1"/>
    </row>
    <row r="5401" spans="3:3" x14ac:dyDescent="0.35">
      <c r="C5401" s="1"/>
    </row>
    <row r="5402" spans="3:3" x14ac:dyDescent="0.35">
      <c r="C5402" s="1"/>
    </row>
    <row r="5403" spans="3:3" x14ac:dyDescent="0.35">
      <c r="C5403" s="1"/>
    </row>
    <row r="5404" spans="3:3" x14ac:dyDescent="0.35">
      <c r="C5404" s="1"/>
    </row>
    <row r="5405" spans="3:3" x14ac:dyDescent="0.35">
      <c r="C5405" s="1"/>
    </row>
    <row r="5406" spans="3:3" x14ac:dyDescent="0.35">
      <c r="C5406" s="1"/>
    </row>
    <row r="5407" spans="3:3" x14ac:dyDescent="0.35">
      <c r="C5407" s="1"/>
    </row>
    <row r="5408" spans="3:3" x14ac:dyDescent="0.35">
      <c r="C5408" s="1"/>
    </row>
    <row r="5409" spans="3:3" x14ac:dyDescent="0.35">
      <c r="C5409" s="1"/>
    </row>
    <row r="5410" spans="3:3" x14ac:dyDescent="0.35">
      <c r="C5410" s="1"/>
    </row>
    <row r="5411" spans="3:3" x14ac:dyDescent="0.35">
      <c r="C5411" s="1"/>
    </row>
    <row r="5412" spans="3:3" x14ac:dyDescent="0.35">
      <c r="C5412" s="1"/>
    </row>
    <row r="5413" spans="3:3" x14ac:dyDescent="0.35">
      <c r="C5413" s="1"/>
    </row>
    <row r="5414" spans="3:3" x14ac:dyDescent="0.35">
      <c r="C5414" s="1"/>
    </row>
    <row r="5415" spans="3:3" x14ac:dyDescent="0.35">
      <c r="C5415" s="1"/>
    </row>
    <row r="5416" spans="3:3" x14ac:dyDescent="0.35">
      <c r="C5416" s="1"/>
    </row>
    <row r="5417" spans="3:3" x14ac:dyDescent="0.35">
      <c r="C5417" s="1"/>
    </row>
    <row r="5418" spans="3:3" x14ac:dyDescent="0.35">
      <c r="C5418" s="1"/>
    </row>
    <row r="5419" spans="3:3" x14ac:dyDescent="0.35">
      <c r="C5419" s="1"/>
    </row>
    <row r="5420" spans="3:3" x14ac:dyDescent="0.35">
      <c r="C5420" s="1"/>
    </row>
    <row r="5421" spans="3:3" x14ac:dyDescent="0.35">
      <c r="C5421" s="1"/>
    </row>
    <row r="5422" spans="3:3" x14ac:dyDescent="0.35">
      <c r="C5422" s="1"/>
    </row>
    <row r="5423" spans="3:3" x14ac:dyDescent="0.35">
      <c r="C5423" s="1"/>
    </row>
    <row r="5424" spans="3:3" x14ac:dyDescent="0.35">
      <c r="C5424" s="1"/>
    </row>
    <row r="5425" spans="3:3" x14ac:dyDescent="0.35">
      <c r="C5425" s="1"/>
    </row>
    <row r="5426" spans="3:3" x14ac:dyDescent="0.35">
      <c r="C5426" s="1"/>
    </row>
    <row r="5427" spans="3:3" x14ac:dyDescent="0.35">
      <c r="C5427" s="1"/>
    </row>
    <row r="5428" spans="3:3" x14ac:dyDescent="0.35">
      <c r="C5428" s="1"/>
    </row>
    <row r="5429" spans="3:3" x14ac:dyDescent="0.35">
      <c r="C5429" s="1"/>
    </row>
    <row r="5430" spans="3:3" x14ac:dyDescent="0.35">
      <c r="C5430" s="1"/>
    </row>
    <row r="5431" spans="3:3" x14ac:dyDescent="0.35">
      <c r="C5431" s="1"/>
    </row>
    <row r="5432" spans="3:3" x14ac:dyDescent="0.35">
      <c r="C5432" s="1"/>
    </row>
    <row r="5433" spans="3:3" x14ac:dyDescent="0.35">
      <c r="C5433" s="1"/>
    </row>
    <row r="5434" spans="3:3" x14ac:dyDescent="0.35">
      <c r="C5434" s="1"/>
    </row>
    <row r="5435" spans="3:3" x14ac:dyDescent="0.35">
      <c r="C5435" s="1"/>
    </row>
    <row r="5436" spans="3:3" x14ac:dyDescent="0.35">
      <c r="C5436" s="1"/>
    </row>
    <row r="5437" spans="3:3" x14ac:dyDescent="0.35">
      <c r="C5437" s="1"/>
    </row>
    <row r="5438" spans="3:3" x14ac:dyDescent="0.35">
      <c r="C5438" s="1"/>
    </row>
    <row r="5439" spans="3:3" x14ac:dyDescent="0.35">
      <c r="C5439" s="1"/>
    </row>
    <row r="5440" spans="3:3" x14ac:dyDescent="0.35">
      <c r="C5440" s="1"/>
    </row>
    <row r="5441" spans="3:3" x14ac:dyDescent="0.35">
      <c r="C5441" s="1"/>
    </row>
    <row r="5442" spans="3:3" x14ac:dyDescent="0.35">
      <c r="C5442" s="1"/>
    </row>
    <row r="5443" spans="3:3" x14ac:dyDescent="0.35">
      <c r="C5443" s="1"/>
    </row>
    <row r="5444" spans="3:3" x14ac:dyDescent="0.35">
      <c r="C5444" s="1"/>
    </row>
    <row r="5445" spans="3:3" x14ac:dyDescent="0.35">
      <c r="C5445" s="1"/>
    </row>
    <row r="5446" spans="3:3" x14ac:dyDescent="0.35">
      <c r="C5446" s="1"/>
    </row>
    <row r="5447" spans="3:3" x14ac:dyDescent="0.35">
      <c r="C5447" s="1"/>
    </row>
    <row r="5448" spans="3:3" x14ac:dyDescent="0.35">
      <c r="C5448" s="1"/>
    </row>
    <row r="5449" spans="3:3" x14ac:dyDescent="0.35">
      <c r="C5449" s="1"/>
    </row>
    <row r="5450" spans="3:3" x14ac:dyDescent="0.35">
      <c r="C5450" s="1"/>
    </row>
    <row r="5451" spans="3:3" x14ac:dyDescent="0.35">
      <c r="C5451" s="1"/>
    </row>
    <row r="5452" spans="3:3" x14ac:dyDescent="0.35">
      <c r="C5452" s="1"/>
    </row>
    <row r="5453" spans="3:3" x14ac:dyDescent="0.35">
      <c r="C5453" s="1"/>
    </row>
    <row r="5454" spans="3:3" x14ac:dyDescent="0.35">
      <c r="C5454" s="1"/>
    </row>
    <row r="5455" spans="3:3" x14ac:dyDescent="0.35">
      <c r="C5455" s="1"/>
    </row>
    <row r="5456" spans="3:3" x14ac:dyDescent="0.35">
      <c r="C5456" s="1"/>
    </row>
    <row r="5457" spans="3:3" x14ac:dyDescent="0.35">
      <c r="C5457" s="1"/>
    </row>
    <row r="5458" spans="3:3" x14ac:dyDescent="0.35">
      <c r="C5458" s="1"/>
    </row>
    <row r="5459" spans="3:3" x14ac:dyDescent="0.35">
      <c r="C5459" s="1"/>
    </row>
    <row r="5460" spans="3:3" x14ac:dyDescent="0.35">
      <c r="C5460" s="1"/>
    </row>
    <row r="5461" spans="3:3" x14ac:dyDescent="0.35">
      <c r="C5461" s="1"/>
    </row>
    <row r="5462" spans="3:3" x14ac:dyDescent="0.35">
      <c r="C5462" s="1"/>
    </row>
    <row r="5463" spans="3:3" x14ac:dyDescent="0.35">
      <c r="C5463" s="1"/>
    </row>
    <row r="5464" spans="3:3" x14ac:dyDescent="0.35">
      <c r="C5464" s="1"/>
    </row>
    <row r="5465" spans="3:3" x14ac:dyDescent="0.35">
      <c r="C5465" s="1"/>
    </row>
    <row r="5466" spans="3:3" x14ac:dyDescent="0.35">
      <c r="C5466" s="1"/>
    </row>
    <row r="5467" spans="3:3" x14ac:dyDescent="0.35">
      <c r="C5467" s="1"/>
    </row>
    <row r="5468" spans="3:3" x14ac:dyDescent="0.35">
      <c r="C5468" s="1"/>
    </row>
    <row r="5469" spans="3:3" x14ac:dyDescent="0.35">
      <c r="C5469" s="1"/>
    </row>
    <row r="5470" spans="3:3" x14ac:dyDescent="0.35">
      <c r="C5470" s="1"/>
    </row>
    <row r="5471" spans="3:3" x14ac:dyDescent="0.35">
      <c r="C5471" s="1"/>
    </row>
    <row r="5472" spans="3:3" x14ac:dyDescent="0.35">
      <c r="C5472" s="1"/>
    </row>
    <row r="5473" spans="3:3" x14ac:dyDescent="0.35">
      <c r="C5473" s="1"/>
    </row>
    <row r="5474" spans="3:3" x14ac:dyDescent="0.35">
      <c r="C5474" s="1"/>
    </row>
    <row r="5475" spans="3:3" x14ac:dyDescent="0.35">
      <c r="C5475" s="1"/>
    </row>
    <row r="5476" spans="3:3" x14ac:dyDescent="0.35">
      <c r="C5476" s="1"/>
    </row>
    <row r="5477" spans="3:3" x14ac:dyDescent="0.35">
      <c r="C5477" s="1"/>
    </row>
    <row r="5478" spans="3:3" x14ac:dyDescent="0.35">
      <c r="C5478" s="1"/>
    </row>
    <row r="5479" spans="3:3" x14ac:dyDescent="0.35">
      <c r="C5479" s="1"/>
    </row>
    <row r="5480" spans="3:3" x14ac:dyDescent="0.35">
      <c r="C5480" s="1"/>
    </row>
    <row r="5481" spans="3:3" x14ac:dyDescent="0.35">
      <c r="C5481" s="1"/>
    </row>
    <row r="5482" spans="3:3" x14ac:dyDescent="0.35">
      <c r="C5482" s="1"/>
    </row>
    <row r="5483" spans="3:3" x14ac:dyDescent="0.35">
      <c r="C5483" s="1"/>
    </row>
    <row r="5484" spans="3:3" x14ac:dyDescent="0.35">
      <c r="C5484" s="1"/>
    </row>
    <row r="5485" spans="3:3" x14ac:dyDescent="0.35">
      <c r="C5485" s="1"/>
    </row>
    <row r="5486" spans="3:3" x14ac:dyDescent="0.35">
      <c r="C5486" s="1"/>
    </row>
    <row r="5487" spans="3:3" x14ac:dyDescent="0.35">
      <c r="C5487" s="1"/>
    </row>
    <row r="5488" spans="3:3" x14ac:dyDescent="0.35">
      <c r="C5488" s="1"/>
    </row>
    <row r="5489" spans="3:3" x14ac:dyDescent="0.35">
      <c r="C5489" s="1"/>
    </row>
    <row r="5490" spans="3:3" x14ac:dyDescent="0.35">
      <c r="C5490" s="1"/>
    </row>
    <row r="5491" spans="3:3" x14ac:dyDescent="0.35">
      <c r="C5491" s="1"/>
    </row>
    <row r="5492" spans="3:3" x14ac:dyDescent="0.35">
      <c r="C5492" s="1"/>
    </row>
    <row r="5493" spans="3:3" x14ac:dyDescent="0.35">
      <c r="C5493" s="1"/>
    </row>
    <row r="5494" spans="3:3" x14ac:dyDescent="0.35">
      <c r="C5494" s="1"/>
    </row>
    <row r="5495" spans="3:3" x14ac:dyDescent="0.35">
      <c r="C5495" s="1"/>
    </row>
    <row r="5496" spans="3:3" x14ac:dyDescent="0.35">
      <c r="C5496" s="1"/>
    </row>
    <row r="5497" spans="3:3" x14ac:dyDescent="0.35">
      <c r="C5497" s="1"/>
    </row>
    <row r="5498" spans="3:3" x14ac:dyDescent="0.35">
      <c r="C5498" s="1"/>
    </row>
    <row r="5499" spans="3:3" x14ac:dyDescent="0.35">
      <c r="C5499" s="1"/>
    </row>
    <row r="5500" spans="3:3" x14ac:dyDescent="0.35">
      <c r="C5500" s="1"/>
    </row>
    <row r="5501" spans="3:3" x14ac:dyDescent="0.35">
      <c r="C5501" s="1"/>
    </row>
    <row r="5502" spans="3:3" x14ac:dyDescent="0.35">
      <c r="C5502" s="1"/>
    </row>
    <row r="5503" spans="3:3" x14ac:dyDescent="0.35">
      <c r="C5503" s="1"/>
    </row>
    <row r="5504" spans="3:3" x14ac:dyDescent="0.35">
      <c r="C5504" s="1"/>
    </row>
    <row r="5505" spans="3:3" x14ac:dyDescent="0.35">
      <c r="C5505" s="1"/>
    </row>
    <row r="5506" spans="3:3" x14ac:dyDescent="0.35">
      <c r="C5506" s="1"/>
    </row>
    <row r="5507" spans="3:3" x14ac:dyDescent="0.35">
      <c r="C5507" s="1"/>
    </row>
    <row r="5508" spans="3:3" x14ac:dyDescent="0.35">
      <c r="C5508" s="1"/>
    </row>
    <row r="5509" spans="3:3" x14ac:dyDescent="0.35">
      <c r="C5509" s="1"/>
    </row>
    <row r="5510" spans="3:3" x14ac:dyDescent="0.35">
      <c r="C5510" s="1"/>
    </row>
    <row r="5511" spans="3:3" x14ac:dyDescent="0.35">
      <c r="C5511" s="1"/>
    </row>
    <row r="5512" spans="3:3" x14ac:dyDescent="0.35">
      <c r="C5512" s="1"/>
    </row>
    <row r="5513" spans="3:3" x14ac:dyDescent="0.35">
      <c r="C5513" s="1"/>
    </row>
    <row r="5514" spans="3:3" x14ac:dyDescent="0.35">
      <c r="C5514" s="1"/>
    </row>
    <row r="5515" spans="3:3" x14ac:dyDescent="0.35">
      <c r="C5515" s="1"/>
    </row>
    <row r="5516" spans="3:3" x14ac:dyDescent="0.35">
      <c r="C5516" s="1"/>
    </row>
    <row r="5517" spans="3:3" x14ac:dyDescent="0.35">
      <c r="C5517" s="1"/>
    </row>
    <row r="5518" spans="3:3" x14ac:dyDescent="0.35">
      <c r="C5518" s="1"/>
    </row>
    <row r="5519" spans="3:3" x14ac:dyDescent="0.35">
      <c r="C5519" s="1"/>
    </row>
    <row r="5520" spans="3:3" x14ac:dyDescent="0.35">
      <c r="C5520" s="1"/>
    </row>
    <row r="5521" spans="3:3" x14ac:dyDescent="0.35">
      <c r="C5521" s="1"/>
    </row>
    <row r="5522" spans="3:3" x14ac:dyDescent="0.35">
      <c r="C5522" s="1"/>
    </row>
    <row r="5523" spans="3:3" x14ac:dyDescent="0.35">
      <c r="C5523" s="1"/>
    </row>
    <row r="5524" spans="3:3" x14ac:dyDescent="0.35">
      <c r="C5524" s="1"/>
    </row>
    <row r="5525" spans="3:3" x14ac:dyDescent="0.35">
      <c r="C5525" s="1"/>
    </row>
    <row r="5526" spans="3:3" x14ac:dyDescent="0.35">
      <c r="C5526" s="1"/>
    </row>
    <row r="5527" spans="3:3" x14ac:dyDescent="0.35">
      <c r="C5527" s="1"/>
    </row>
    <row r="5528" spans="3:3" x14ac:dyDescent="0.35">
      <c r="C5528" s="1"/>
    </row>
    <row r="5529" spans="3:3" x14ac:dyDescent="0.35">
      <c r="C5529" s="1"/>
    </row>
    <row r="5530" spans="3:3" x14ac:dyDescent="0.35">
      <c r="C5530" s="1"/>
    </row>
    <row r="5531" spans="3:3" x14ac:dyDescent="0.35">
      <c r="C5531" s="1"/>
    </row>
    <row r="5532" spans="3:3" x14ac:dyDescent="0.35">
      <c r="C5532" s="1"/>
    </row>
    <row r="5533" spans="3:3" x14ac:dyDescent="0.35">
      <c r="C5533" s="1"/>
    </row>
    <row r="5534" spans="3:3" x14ac:dyDescent="0.35">
      <c r="C5534" s="1"/>
    </row>
    <row r="5535" spans="3:3" x14ac:dyDescent="0.35">
      <c r="C5535" s="1"/>
    </row>
    <row r="5536" spans="3:3" x14ac:dyDescent="0.35">
      <c r="C5536" s="1"/>
    </row>
    <row r="5537" spans="3:3" x14ac:dyDescent="0.35">
      <c r="C5537" s="1"/>
    </row>
    <row r="5538" spans="3:3" x14ac:dyDescent="0.35">
      <c r="C5538" s="1"/>
    </row>
    <row r="5539" spans="3:3" x14ac:dyDescent="0.35">
      <c r="C5539" s="1"/>
    </row>
    <row r="5540" spans="3:3" x14ac:dyDescent="0.35">
      <c r="C5540" s="1"/>
    </row>
    <row r="5541" spans="3:3" x14ac:dyDescent="0.35">
      <c r="C5541" s="1"/>
    </row>
    <row r="5542" spans="3:3" x14ac:dyDescent="0.35">
      <c r="C5542" s="1"/>
    </row>
    <row r="5543" spans="3:3" x14ac:dyDescent="0.35">
      <c r="C5543" s="1"/>
    </row>
    <row r="5544" spans="3:3" x14ac:dyDescent="0.35">
      <c r="C5544" s="1"/>
    </row>
    <row r="5545" spans="3:3" x14ac:dyDescent="0.35">
      <c r="C5545" s="1"/>
    </row>
    <row r="5546" spans="3:3" x14ac:dyDescent="0.35">
      <c r="C5546" s="1"/>
    </row>
    <row r="5547" spans="3:3" x14ac:dyDescent="0.35">
      <c r="C5547" s="1"/>
    </row>
    <row r="5548" spans="3:3" x14ac:dyDescent="0.35">
      <c r="C5548" s="1"/>
    </row>
    <row r="5549" spans="3:3" x14ac:dyDescent="0.35">
      <c r="C5549" s="1"/>
    </row>
    <row r="5550" spans="3:3" x14ac:dyDescent="0.35">
      <c r="C5550" s="1"/>
    </row>
    <row r="5551" spans="3:3" x14ac:dyDescent="0.35">
      <c r="C5551" s="1"/>
    </row>
    <row r="5552" spans="3:3" x14ac:dyDescent="0.35">
      <c r="C5552" s="1"/>
    </row>
    <row r="5553" spans="3:3" x14ac:dyDescent="0.35">
      <c r="C5553" s="1"/>
    </row>
    <row r="5554" spans="3:3" x14ac:dyDescent="0.35">
      <c r="C5554" s="1"/>
    </row>
    <row r="5555" spans="3:3" x14ac:dyDescent="0.35">
      <c r="C5555" s="1"/>
    </row>
    <row r="5556" spans="3:3" x14ac:dyDescent="0.35">
      <c r="C5556" s="1"/>
    </row>
    <row r="5557" spans="3:3" x14ac:dyDescent="0.35">
      <c r="C5557" s="1"/>
    </row>
    <row r="5558" spans="3:3" x14ac:dyDescent="0.35">
      <c r="C5558" s="1"/>
    </row>
    <row r="5559" spans="3:3" x14ac:dyDescent="0.35">
      <c r="C5559" s="1"/>
    </row>
    <row r="5560" spans="3:3" x14ac:dyDescent="0.35">
      <c r="C5560" s="1"/>
    </row>
    <row r="5561" spans="3:3" x14ac:dyDescent="0.35">
      <c r="C5561" s="1"/>
    </row>
    <row r="5562" spans="3:3" x14ac:dyDescent="0.35">
      <c r="C5562" s="1"/>
    </row>
    <row r="5563" spans="3:3" x14ac:dyDescent="0.35">
      <c r="C5563" s="1"/>
    </row>
    <row r="5564" spans="3:3" x14ac:dyDescent="0.35">
      <c r="C5564" s="1"/>
    </row>
    <row r="5565" spans="3:3" x14ac:dyDescent="0.35">
      <c r="C5565" s="1"/>
    </row>
    <row r="5566" spans="3:3" x14ac:dyDescent="0.35">
      <c r="C5566" s="1"/>
    </row>
    <row r="5567" spans="3:3" x14ac:dyDescent="0.35">
      <c r="C5567" s="1"/>
    </row>
    <row r="5568" spans="3:3" x14ac:dyDescent="0.35">
      <c r="C5568" s="1"/>
    </row>
    <row r="5569" spans="3:3" x14ac:dyDescent="0.35">
      <c r="C5569" s="1"/>
    </row>
    <row r="5570" spans="3:3" x14ac:dyDescent="0.35">
      <c r="C5570" s="1"/>
    </row>
    <row r="5571" spans="3:3" x14ac:dyDescent="0.35">
      <c r="C5571" s="1"/>
    </row>
    <row r="5572" spans="3:3" x14ac:dyDescent="0.35">
      <c r="C5572" s="1"/>
    </row>
    <row r="5573" spans="3:3" x14ac:dyDescent="0.35">
      <c r="C5573" s="1"/>
    </row>
    <row r="5574" spans="3:3" x14ac:dyDescent="0.35">
      <c r="C5574" s="1"/>
    </row>
    <row r="5575" spans="3:3" x14ac:dyDescent="0.35">
      <c r="C5575" s="1"/>
    </row>
    <row r="5576" spans="3:3" x14ac:dyDescent="0.35">
      <c r="C5576" s="1"/>
    </row>
    <row r="5577" spans="3:3" x14ac:dyDescent="0.35">
      <c r="C5577" s="1"/>
    </row>
    <row r="5578" spans="3:3" x14ac:dyDescent="0.35">
      <c r="C5578" s="1"/>
    </row>
    <row r="5579" spans="3:3" x14ac:dyDescent="0.35">
      <c r="C5579" s="1"/>
    </row>
    <row r="5580" spans="3:3" x14ac:dyDescent="0.35">
      <c r="C5580" s="1"/>
    </row>
    <row r="5581" spans="3:3" x14ac:dyDescent="0.35">
      <c r="C5581" s="1"/>
    </row>
    <row r="5582" spans="3:3" x14ac:dyDescent="0.35">
      <c r="C5582" s="1"/>
    </row>
    <row r="5583" spans="3:3" x14ac:dyDescent="0.35">
      <c r="C5583" s="1"/>
    </row>
    <row r="5584" spans="3:3" x14ac:dyDescent="0.35">
      <c r="C5584" s="1"/>
    </row>
    <row r="5585" spans="3:3" x14ac:dyDescent="0.35">
      <c r="C5585" s="1"/>
    </row>
    <row r="5586" spans="3:3" x14ac:dyDescent="0.35">
      <c r="C5586" s="1"/>
    </row>
    <row r="5587" spans="3:3" x14ac:dyDescent="0.35">
      <c r="C5587" s="1"/>
    </row>
    <row r="5588" spans="3:3" x14ac:dyDescent="0.35">
      <c r="C5588" s="1"/>
    </row>
    <row r="5589" spans="3:3" x14ac:dyDescent="0.35">
      <c r="C5589" s="1"/>
    </row>
    <row r="5590" spans="3:3" x14ac:dyDescent="0.35">
      <c r="C5590" s="1"/>
    </row>
    <row r="5591" spans="3:3" x14ac:dyDescent="0.35">
      <c r="C5591" s="1"/>
    </row>
    <row r="5592" spans="3:3" x14ac:dyDescent="0.35">
      <c r="C5592" s="1"/>
    </row>
    <row r="5593" spans="3:3" x14ac:dyDescent="0.35">
      <c r="C5593" s="1"/>
    </row>
    <row r="5594" spans="3:3" x14ac:dyDescent="0.35">
      <c r="C5594" s="1"/>
    </row>
    <row r="5595" spans="3:3" x14ac:dyDescent="0.35">
      <c r="C5595" s="1"/>
    </row>
    <row r="5596" spans="3:3" x14ac:dyDescent="0.35">
      <c r="C5596" s="1"/>
    </row>
    <row r="5597" spans="3:3" x14ac:dyDescent="0.35">
      <c r="C5597" s="1"/>
    </row>
    <row r="5598" spans="3:3" x14ac:dyDescent="0.35">
      <c r="C5598" s="1"/>
    </row>
    <row r="5599" spans="3:3" x14ac:dyDescent="0.35">
      <c r="C5599" s="1"/>
    </row>
    <row r="5600" spans="3:3" x14ac:dyDescent="0.35">
      <c r="C5600" s="1"/>
    </row>
    <row r="5601" spans="3:3" x14ac:dyDescent="0.35">
      <c r="C5601" s="1"/>
    </row>
    <row r="5602" spans="3:3" x14ac:dyDescent="0.35">
      <c r="C5602" s="1"/>
    </row>
    <row r="5603" spans="3:3" x14ac:dyDescent="0.35">
      <c r="C5603" s="1"/>
    </row>
    <row r="5604" spans="3:3" x14ac:dyDescent="0.35">
      <c r="C5604" s="1"/>
    </row>
    <row r="5605" spans="3:3" x14ac:dyDescent="0.35">
      <c r="C5605" s="1"/>
    </row>
    <row r="5606" spans="3:3" x14ac:dyDescent="0.35">
      <c r="C5606" s="1"/>
    </row>
    <row r="5607" spans="3:3" x14ac:dyDescent="0.35">
      <c r="C5607" s="1"/>
    </row>
    <row r="5608" spans="3:3" x14ac:dyDescent="0.35">
      <c r="C5608" s="1"/>
    </row>
    <row r="5609" spans="3:3" x14ac:dyDescent="0.35">
      <c r="C5609" s="1"/>
    </row>
    <row r="5610" spans="3:3" x14ac:dyDescent="0.35">
      <c r="C5610" s="1"/>
    </row>
    <row r="5611" spans="3:3" x14ac:dyDescent="0.35">
      <c r="C5611" s="1"/>
    </row>
    <row r="5612" spans="3:3" x14ac:dyDescent="0.35">
      <c r="C5612" s="1"/>
    </row>
    <row r="5613" spans="3:3" x14ac:dyDescent="0.35">
      <c r="C5613" s="1"/>
    </row>
    <row r="5614" spans="3:3" x14ac:dyDescent="0.35">
      <c r="C5614" s="1"/>
    </row>
    <row r="5615" spans="3:3" x14ac:dyDescent="0.35">
      <c r="C5615" s="1"/>
    </row>
    <row r="5616" spans="3:3" x14ac:dyDescent="0.35">
      <c r="C5616" s="1"/>
    </row>
    <row r="5617" spans="3:3" x14ac:dyDescent="0.35">
      <c r="C5617" s="1"/>
    </row>
    <row r="5618" spans="3:3" x14ac:dyDescent="0.35">
      <c r="C5618" s="1"/>
    </row>
    <row r="5619" spans="3:3" x14ac:dyDescent="0.35">
      <c r="C5619" s="1"/>
    </row>
    <row r="5620" spans="3:3" x14ac:dyDescent="0.35">
      <c r="C5620" s="1"/>
    </row>
    <row r="5621" spans="3:3" x14ac:dyDescent="0.35">
      <c r="C5621" s="1"/>
    </row>
    <row r="5622" spans="3:3" x14ac:dyDescent="0.35">
      <c r="C5622" s="1"/>
    </row>
    <row r="5623" spans="3:3" x14ac:dyDescent="0.35">
      <c r="C5623" s="1"/>
    </row>
    <row r="5624" spans="3:3" x14ac:dyDescent="0.35">
      <c r="C5624" s="1"/>
    </row>
    <row r="5625" spans="3:3" x14ac:dyDescent="0.35">
      <c r="C5625" s="1"/>
    </row>
    <row r="5626" spans="3:3" x14ac:dyDescent="0.35">
      <c r="C5626" s="1"/>
    </row>
    <row r="5627" spans="3:3" x14ac:dyDescent="0.35">
      <c r="C5627" s="1"/>
    </row>
    <row r="5628" spans="3:3" x14ac:dyDescent="0.35">
      <c r="C5628" s="1"/>
    </row>
    <row r="5629" spans="3:3" x14ac:dyDescent="0.35">
      <c r="C5629" s="1"/>
    </row>
    <row r="5630" spans="3:3" x14ac:dyDescent="0.35">
      <c r="C5630" s="1"/>
    </row>
    <row r="5631" spans="3:3" x14ac:dyDescent="0.35">
      <c r="C5631" s="1"/>
    </row>
    <row r="5632" spans="3:3" x14ac:dyDescent="0.35">
      <c r="C5632" s="1"/>
    </row>
    <row r="5633" spans="3:3" x14ac:dyDescent="0.35">
      <c r="C5633" s="1"/>
    </row>
    <row r="5634" spans="3:3" x14ac:dyDescent="0.35">
      <c r="C5634" s="1"/>
    </row>
    <row r="5635" spans="3:3" x14ac:dyDescent="0.35">
      <c r="C5635" s="1"/>
    </row>
    <row r="5636" spans="3:3" x14ac:dyDescent="0.35">
      <c r="C5636" s="1"/>
    </row>
    <row r="5637" spans="3:3" x14ac:dyDescent="0.35">
      <c r="C5637" s="1"/>
    </row>
    <row r="5638" spans="3:3" x14ac:dyDescent="0.35">
      <c r="C5638" s="1"/>
    </row>
    <row r="5639" spans="3:3" x14ac:dyDescent="0.35">
      <c r="C5639" s="1"/>
    </row>
    <row r="5640" spans="3:3" x14ac:dyDescent="0.35">
      <c r="C5640" s="1"/>
    </row>
    <row r="5641" spans="3:3" x14ac:dyDescent="0.35">
      <c r="C5641" s="1"/>
    </row>
    <row r="5642" spans="3:3" x14ac:dyDescent="0.35">
      <c r="C5642" s="1"/>
    </row>
    <row r="5643" spans="3:3" x14ac:dyDescent="0.35">
      <c r="C5643" s="1"/>
    </row>
    <row r="5644" spans="3:3" x14ac:dyDescent="0.35">
      <c r="C5644" s="1"/>
    </row>
    <row r="5645" spans="3:3" x14ac:dyDescent="0.35">
      <c r="C5645" s="1"/>
    </row>
    <row r="5646" spans="3:3" x14ac:dyDescent="0.35">
      <c r="C5646" s="1"/>
    </row>
    <row r="5647" spans="3:3" x14ac:dyDescent="0.35">
      <c r="C5647" s="1"/>
    </row>
    <row r="5648" spans="3:3" x14ac:dyDescent="0.35">
      <c r="C5648" s="1"/>
    </row>
    <row r="5649" spans="3:3" x14ac:dyDescent="0.35">
      <c r="C5649" s="1"/>
    </row>
    <row r="5650" spans="3:3" x14ac:dyDescent="0.35">
      <c r="C5650" s="1"/>
    </row>
    <row r="5651" spans="3:3" x14ac:dyDescent="0.35">
      <c r="C5651" s="1"/>
    </row>
    <row r="5652" spans="3:3" x14ac:dyDescent="0.35">
      <c r="C5652" s="1"/>
    </row>
    <row r="5653" spans="3:3" x14ac:dyDescent="0.35">
      <c r="C5653" s="1"/>
    </row>
    <row r="5654" spans="3:3" x14ac:dyDescent="0.35">
      <c r="C5654" s="1"/>
    </row>
    <row r="5655" spans="3:3" x14ac:dyDescent="0.35">
      <c r="C5655" s="1"/>
    </row>
    <row r="5656" spans="3:3" x14ac:dyDescent="0.35">
      <c r="C5656" s="1"/>
    </row>
    <row r="5657" spans="3:3" x14ac:dyDescent="0.35">
      <c r="C5657" s="1"/>
    </row>
    <row r="5658" spans="3:3" x14ac:dyDescent="0.35">
      <c r="C5658" s="1"/>
    </row>
    <row r="5659" spans="3:3" x14ac:dyDescent="0.35">
      <c r="C5659" s="1"/>
    </row>
    <row r="5660" spans="3:3" x14ac:dyDescent="0.35">
      <c r="C5660" s="1"/>
    </row>
    <row r="5661" spans="3:3" x14ac:dyDescent="0.35">
      <c r="C5661" s="1"/>
    </row>
    <row r="5662" spans="3:3" x14ac:dyDescent="0.35">
      <c r="C5662" s="1"/>
    </row>
    <row r="5663" spans="3:3" x14ac:dyDescent="0.35">
      <c r="C5663" s="1"/>
    </row>
    <row r="5664" spans="3:3" x14ac:dyDescent="0.35">
      <c r="C5664" s="1"/>
    </row>
    <row r="5665" spans="3:3" x14ac:dyDescent="0.35">
      <c r="C5665" s="1"/>
    </row>
    <row r="5666" spans="3:3" x14ac:dyDescent="0.35">
      <c r="C5666" s="1"/>
    </row>
    <row r="5667" spans="3:3" x14ac:dyDescent="0.35">
      <c r="C5667" s="1"/>
    </row>
    <row r="5668" spans="3:3" x14ac:dyDescent="0.35">
      <c r="C5668" s="1"/>
    </row>
    <row r="5669" spans="3:3" x14ac:dyDescent="0.35">
      <c r="C5669" s="1"/>
    </row>
    <row r="5670" spans="3:3" x14ac:dyDescent="0.35">
      <c r="C5670" s="1"/>
    </row>
    <row r="5671" spans="3:3" x14ac:dyDescent="0.35">
      <c r="C5671" s="1"/>
    </row>
    <row r="5672" spans="3:3" x14ac:dyDescent="0.35">
      <c r="C5672" s="1"/>
    </row>
    <row r="5673" spans="3:3" x14ac:dyDescent="0.35">
      <c r="C5673" s="1"/>
    </row>
    <row r="5674" spans="3:3" x14ac:dyDescent="0.35">
      <c r="C5674" s="1"/>
    </row>
    <row r="5675" spans="3:3" x14ac:dyDescent="0.35">
      <c r="C5675" s="1"/>
    </row>
    <row r="5676" spans="3:3" x14ac:dyDescent="0.35">
      <c r="C5676" s="1"/>
    </row>
    <row r="5677" spans="3:3" x14ac:dyDescent="0.35">
      <c r="C5677" s="1"/>
    </row>
    <row r="5678" spans="3:3" x14ac:dyDescent="0.35">
      <c r="C5678" s="1"/>
    </row>
    <row r="5679" spans="3:3" x14ac:dyDescent="0.35">
      <c r="C5679" s="1"/>
    </row>
    <row r="5680" spans="3:3" x14ac:dyDescent="0.35">
      <c r="C5680" s="1"/>
    </row>
    <row r="5681" spans="3:3" x14ac:dyDescent="0.35">
      <c r="C5681" s="1"/>
    </row>
    <row r="5682" spans="3:3" x14ac:dyDescent="0.35">
      <c r="C5682" s="1"/>
    </row>
    <row r="5683" spans="3:3" x14ac:dyDescent="0.35">
      <c r="C5683" s="1"/>
    </row>
    <row r="5684" spans="3:3" x14ac:dyDescent="0.35">
      <c r="C5684" s="1"/>
    </row>
    <row r="5685" spans="3:3" x14ac:dyDescent="0.35">
      <c r="C5685" s="1"/>
    </row>
    <row r="5686" spans="3:3" x14ac:dyDescent="0.35">
      <c r="C5686" s="1"/>
    </row>
    <row r="5687" spans="3:3" x14ac:dyDescent="0.35">
      <c r="C5687" s="1"/>
    </row>
    <row r="5688" spans="3:3" x14ac:dyDescent="0.35">
      <c r="C5688" s="1"/>
    </row>
    <row r="5689" spans="3:3" x14ac:dyDescent="0.35">
      <c r="C5689" s="1"/>
    </row>
    <row r="5690" spans="3:3" x14ac:dyDescent="0.35">
      <c r="C5690" s="1"/>
    </row>
    <row r="5691" spans="3:3" x14ac:dyDescent="0.35">
      <c r="C5691" s="1"/>
    </row>
    <row r="5692" spans="3:3" x14ac:dyDescent="0.35">
      <c r="C5692" s="1"/>
    </row>
    <row r="5693" spans="3:3" x14ac:dyDescent="0.35">
      <c r="C5693" s="1"/>
    </row>
    <row r="5694" spans="3:3" x14ac:dyDescent="0.35">
      <c r="C5694" s="1"/>
    </row>
    <row r="5695" spans="3:3" x14ac:dyDescent="0.35">
      <c r="C5695" s="1"/>
    </row>
    <row r="5696" spans="3:3" x14ac:dyDescent="0.35">
      <c r="C5696" s="1"/>
    </row>
    <row r="5697" spans="3:3" x14ac:dyDescent="0.35">
      <c r="C5697" s="1"/>
    </row>
    <row r="5698" spans="3:3" x14ac:dyDescent="0.35">
      <c r="C5698" s="1"/>
    </row>
    <row r="5699" spans="3:3" x14ac:dyDescent="0.35">
      <c r="C5699" s="1"/>
    </row>
    <row r="5700" spans="3:3" x14ac:dyDescent="0.35">
      <c r="C5700" s="1"/>
    </row>
    <row r="5701" spans="3:3" x14ac:dyDescent="0.35">
      <c r="C5701" s="1"/>
    </row>
    <row r="5702" spans="3:3" x14ac:dyDescent="0.35">
      <c r="C5702" s="1"/>
    </row>
    <row r="5703" spans="3:3" x14ac:dyDescent="0.35">
      <c r="C5703" s="1"/>
    </row>
    <row r="5704" spans="3:3" x14ac:dyDescent="0.35">
      <c r="C5704" s="1"/>
    </row>
    <row r="5705" spans="3:3" x14ac:dyDescent="0.35">
      <c r="C5705" s="1"/>
    </row>
    <row r="5706" spans="3:3" x14ac:dyDescent="0.35">
      <c r="C5706" s="1"/>
    </row>
    <row r="5707" spans="3:3" x14ac:dyDescent="0.35">
      <c r="C5707" s="1"/>
    </row>
    <row r="5708" spans="3:3" x14ac:dyDescent="0.35">
      <c r="C5708" s="1"/>
    </row>
    <row r="5709" spans="3:3" x14ac:dyDescent="0.35">
      <c r="C5709" s="1"/>
    </row>
    <row r="5710" spans="3:3" x14ac:dyDescent="0.35">
      <c r="C5710" s="1"/>
    </row>
    <row r="5711" spans="3:3" x14ac:dyDescent="0.35">
      <c r="C5711" s="1"/>
    </row>
    <row r="5712" spans="3:3" x14ac:dyDescent="0.35">
      <c r="C5712" s="1"/>
    </row>
    <row r="5713" spans="3:3" x14ac:dyDescent="0.35">
      <c r="C5713" s="1"/>
    </row>
    <row r="5714" spans="3:3" x14ac:dyDescent="0.35">
      <c r="C5714" s="1"/>
    </row>
    <row r="5715" spans="3:3" x14ac:dyDescent="0.35">
      <c r="C5715" s="1"/>
    </row>
    <row r="5716" spans="3:3" x14ac:dyDescent="0.35">
      <c r="C5716" s="1"/>
    </row>
    <row r="5717" spans="3:3" x14ac:dyDescent="0.35">
      <c r="C5717" s="1"/>
    </row>
    <row r="5718" spans="3:3" x14ac:dyDescent="0.35">
      <c r="C5718" s="1"/>
    </row>
    <row r="5719" spans="3:3" x14ac:dyDescent="0.35">
      <c r="C5719" s="1"/>
    </row>
    <row r="5720" spans="3:3" x14ac:dyDescent="0.35">
      <c r="C5720" s="1"/>
    </row>
    <row r="5721" spans="3:3" x14ac:dyDescent="0.35">
      <c r="C5721" s="1"/>
    </row>
    <row r="5722" spans="3:3" x14ac:dyDescent="0.35">
      <c r="C5722" s="1"/>
    </row>
    <row r="5723" spans="3:3" x14ac:dyDescent="0.35">
      <c r="C5723" s="1"/>
    </row>
    <row r="5724" spans="3:3" x14ac:dyDescent="0.35">
      <c r="C5724" s="1"/>
    </row>
    <row r="5725" spans="3:3" x14ac:dyDescent="0.35">
      <c r="C5725" s="1"/>
    </row>
    <row r="5726" spans="3:3" x14ac:dyDescent="0.35">
      <c r="C5726" s="1"/>
    </row>
    <row r="5727" spans="3:3" x14ac:dyDescent="0.35">
      <c r="C5727" s="1"/>
    </row>
    <row r="5728" spans="3:3" x14ac:dyDescent="0.35">
      <c r="C5728" s="1"/>
    </row>
    <row r="5729" spans="3:3" x14ac:dyDescent="0.35">
      <c r="C5729" s="1"/>
    </row>
    <row r="5730" spans="3:3" x14ac:dyDescent="0.35">
      <c r="C5730" s="1"/>
    </row>
    <row r="5731" spans="3:3" x14ac:dyDescent="0.35">
      <c r="C5731" s="1"/>
    </row>
    <row r="5732" spans="3:3" x14ac:dyDescent="0.35">
      <c r="C5732" s="1"/>
    </row>
    <row r="5733" spans="3:3" x14ac:dyDescent="0.35">
      <c r="C5733" s="1"/>
    </row>
    <row r="5734" spans="3:3" x14ac:dyDescent="0.35">
      <c r="C5734" s="1"/>
    </row>
    <row r="5735" spans="3:3" x14ac:dyDescent="0.35">
      <c r="C5735" s="1"/>
    </row>
    <row r="5736" spans="3:3" x14ac:dyDescent="0.35">
      <c r="C5736" s="1"/>
    </row>
    <row r="5737" spans="3:3" x14ac:dyDescent="0.35">
      <c r="C5737" s="1"/>
    </row>
    <row r="5738" spans="3:3" x14ac:dyDescent="0.35">
      <c r="C5738" s="1"/>
    </row>
    <row r="5739" spans="3:3" x14ac:dyDescent="0.35">
      <c r="C5739" s="1"/>
    </row>
    <row r="5740" spans="3:3" x14ac:dyDescent="0.35">
      <c r="C5740" s="1"/>
    </row>
    <row r="5741" spans="3:3" x14ac:dyDescent="0.35">
      <c r="C5741" s="1"/>
    </row>
    <row r="5742" spans="3:3" x14ac:dyDescent="0.35">
      <c r="C5742" s="1"/>
    </row>
    <row r="5743" spans="3:3" x14ac:dyDescent="0.35">
      <c r="C5743" s="1"/>
    </row>
    <row r="5744" spans="3:3" x14ac:dyDescent="0.35">
      <c r="C5744" s="1"/>
    </row>
    <row r="5745" spans="3:3" x14ac:dyDescent="0.35">
      <c r="C5745" s="1"/>
    </row>
    <row r="5746" spans="3:3" x14ac:dyDescent="0.35">
      <c r="C5746" s="1"/>
    </row>
    <row r="5747" spans="3:3" x14ac:dyDescent="0.35">
      <c r="C5747" s="1"/>
    </row>
    <row r="5748" spans="3:3" x14ac:dyDescent="0.35">
      <c r="C5748" s="1"/>
    </row>
    <row r="5749" spans="3:3" x14ac:dyDescent="0.35">
      <c r="C5749" s="1"/>
    </row>
    <row r="5750" spans="3:3" x14ac:dyDescent="0.35">
      <c r="C5750" s="1"/>
    </row>
    <row r="5751" spans="3:3" x14ac:dyDescent="0.35">
      <c r="C5751" s="1"/>
    </row>
    <row r="5752" spans="3:3" x14ac:dyDescent="0.35">
      <c r="C5752" s="1"/>
    </row>
    <row r="5753" spans="3:3" x14ac:dyDescent="0.35">
      <c r="C5753" s="1"/>
    </row>
    <row r="5754" spans="3:3" x14ac:dyDescent="0.35">
      <c r="C5754" s="1"/>
    </row>
    <row r="5755" spans="3:3" x14ac:dyDescent="0.35">
      <c r="C5755" s="1"/>
    </row>
    <row r="5756" spans="3:3" x14ac:dyDescent="0.35">
      <c r="C5756" s="1"/>
    </row>
    <row r="5757" spans="3:3" x14ac:dyDescent="0.35">
      <c r="C5757" s="1"/>
    </row>
    <row r="5758" spans="3:3" x14ac:dyDescent="0.35">
      <c r="C5758" s="1"/>
    </row>
    <row r="5759" spans="3:3" x14ac:dyDescent="0.35">
      <c r="C5759" s="1"/>
    </row>
    <row r="5760" spans="3:3" x14ac:dyDescent="0.35">
      <c r="C5760" s="1"/>
    </row>
    <row r="5761" spans="3:3" x14ac:dyDescent="0.35">
      <c r="C5761" s="1"/>
    </row>
    <row r="5762" spans="3:3" x14ac:dyDescent="0.35">
      <c r="C5762" s="1"/>
    </row>
    <row r="5763" spans="3:3" x14ac:dyDescent="0.35">
      <c r="C5763" s="1"/>
    </row>
    <row r="5764" spans="3:3" x14ac:dyDescent="0.35">
      <c r="C5764" s="1"/>
    </row>
    <row r="5765" spans="3:3" x14ac:dyDescent="0.35">
      <c r="C5765" s="1"/>
    </row>
    <row r="5766" spans="3:3" x14ac:dyDescent="0.35">
      <c r="C5766" s="1"/>
    </row>
    <row r="5767" spans="3:3" x14ac:dyDescent="0.35">
      <c r="C5767" s="1"/>
    </row>
    <row r="5768" spans="3:3" x14ac:dyDescent="0.35">
      <c r="C5768" s="1"/>
    </row>
    <row r="5769" spans="3:3" x14ac:dyDescent="0.35">
      <c r="C5769" s="1"/>
    </row>
    <row r="5770" spans="3:3" x14ac:dyDescent="0.35">
      <c r="C5770" s="1"/>
    </row>
    <row r="5771" spans="3:3" x14ac:dyDescent="0.35">
      <c r="C5771" s="1"/>
    </row>
    <row r="5772" spans="3:3" x14ac:dyDescent="0.35">
      <c r="C5772" s="1"/>
    </row>
    <row r="5773" spans="3:3" x14ac:dyDescent="0.35">
      <c r="C5773" s="1"/>
    </row>
    <row r="5774" spans="3:3" x14ac:dyDescent="0.35">
      <c r="C5774" s="1"/>
    </row>
    <row r="5775" spans="3:3" x14ac:dyDescent="0.35">
      <c r="C5775" s="1"/>
    </row>
    <row r="5776" spans="3:3" x14ac:dyDescent="0.35">
      <c r="C5776" s="1"/>
    </row>
    <row r="5777" spans="3:3" x14ac:dyDescent="0.35">
      <c r="C5777" s="1"/>
    </row>
    <row r="5778" spans="3:3" x14ac:dyDescent="0.35">
      <c r="C5778" s="1"/>
    </row>
    <row r="5779" spans="3:3" x14ac:dyDescent="0.35">
      <c r="C5779" s="1"/>
    </row>
    <row r="5780" spans="3:3" x14ac:dyDescent="0.35">
      <c r="C5780" s="1"/>
    </row>
    <row r="5781" spans="3:3" x14ac:dyDescent="0.35">
      <c r="C5781" s="1"/>
    </row>
    <row r="5782" spans="3:3" x14ac:dyDescent="0.35">
      <c r="C5782" s="1"/>
    </row>
    <row r="5783" spans="3:3" x14ac:dyDescent="0.35">
      <c r="C5783" s="1"/>
    </row>
    <row r="5784" spans="3:3" x14ac:dyDescent="0.35">
      <c r="C5784" s="1"/>
    </row>
    <row r="5785" spans="3:3" x14ac:dyDescent="0.35">
      <c r="C5785" s="1"/>
    </row>
    <row r="5786" spans="3:3" x14ac:dyDescent="0.35">
      <c r="C5786" s="1"/>
    </row>
    <row r="5787" spans="3:3" x14ac:dyDescent="0.35">
      <c r="C5787" s="1"/>
    </row>
    <row r="5788" spans="3:3" x14ac:dyDescent="0.35">
      <c r="C5788" s="1"/>
    </row>
    <row r="5789" spans="3:3" x14ac:dyDescent="0.35">
      <c r="C5789" s="1"/>
    </row>
    <row r="5790" spans="3:3" x14ac:dyDescent="0.35">
      <c r="C5790" s="1"/>
    </row>
    <row r="5791" spans="3:3" x14ac:dyDescent="0.35">
      <c r="C5791" s="1"/>
    </row>
    <row r="5792" spans="3:3" x14ac:dyDescent="0.35">
      <c r="C5792" s="1"/>
    </row>
    <row r="5793" spans="3:3" x14ac:dyDescent="0.35">
      <c r="C5793" s="1"/>
    </row>
    <row r="5794" spans="3:3" x14ac:dyDescent="0.35">
      <c r="C5794" s="1"/>
    </row>
    <row r="5795" spans="3:3" x14ac:dyDescent="0.35">
      <c r="C5795" s="1"/>
    </row>
    <row r="5796" spans="3:3" x14ac:dyDescent="0.35">
      <c r="C5796" s="1"/>
    </row>
    <row r="5797" spans="3:3" x14ac:dyDescent="0.35">
      <c r="C5797" s="1"/>
    </row>
    <row r="5798" spans="3:3" x14ac:dyDescent="0.35">
      <c r="C5798" s="1"/>
    </row>
    <row r="5799" spans="3:3" x14ac:dyDescent="0.35">
      <c r="C5799" s="1"/>
    </row>
    <row r="5800" spans="3:3" x14ac:dyDescent="0.35">
      <c r="C5800" s="1"/>
    </row>
    <row r="5801" spans="3:3" x14ac:dyDescent="0.35">
      <c r="C5801" s="1"/>
    </row>
    <row r="5802" spans="3:3" x14ac:dyDescent="0.35">
      <c r="C5802" s="1"/>
    </row>
    <row r="5803" spans="3:3" x14ac:dyDescent="0.35">
      <c r="C5803" s="1"/>
    </row>
    <row r="5804" spans="3:3" x14ac:dyDescent="0.35">
      <c r="C5804" s="1"/>
    </row>
    <row r="5805" spans="3:3" x14ac:dyDescent="0.35">
      <c r="C5805" s="1"/>
    </row>
    <row r="5806" spans="3:3" x14ac:dyDescent="0.35">
      <c r="C5806" s="1"/>
    </row>
    <row r="5807" spans="3:3" x14ac:dyDescent="0.35">
      <c r="C5807" s="1"/>
    </row>
    <row r="5808" spans="3:3" x14ac:dyDescent="0.35">
      <c r="C5808" s="1"/>
    </row>
    <row r="5809" spans="3:3" x14ac:dyDescent="0.35">
      <c r="C5809" s="1"/>
    </row>
    <row r="5810" spans="3:3" x14ac:dyDescent="0.35">
      <c r="C5810" s="1"/>
    </row>
    <row r="5811" spans="3:3" x14ac:dyDescent="0.35">
      <c r="C5811" s="1"/>
    </row>
    <row r="5812" spans="3:3" x14ac:dyDescent="0.35">
      <c r="C5812" s="1"/>
    </row>
    <row r="5813" spans="3:3" x14ac:dyDescent="0.35">
      <c r="C5813" s="1"/>
    </row>
    <row r="5814" spans="3:3" x14ac:dyDescent="0.35">
      <c r="C5814" s="1"/>
    </row>
    <row r="5815" spans="3:3" x14ac:dyDescent="0.35">
      <c r="C5815" s="1"/>
    </row>
    <row r="5816" spans="3:3" x14ac:dyDescent="0.35">
      <c r="C5816" s="1"/>
    </row>
    <row r="5817" spans="3:3" x14ac:dyDescent="0.35">
      <c r="C5817" s="1"/>
    </row>
    <row r="5818" spans="3:3" x14ac:dyDescent="0.35">
      <c r="C5818" s="1"/>
    </row>
    <row r="5819" spans="3:3" x14ac:dyDescent="0.35">
      <c r="C5819" s="1"/>
    </row>
    <row r="5820" spans="3:3" x14ac:dyDescent="0.35">
      <c r="C5820" s="1"/>
    </row>
    <row r="5821" spans="3:3" x14ac:dyDescent="0.35">
      <c r="C5821" s="1"/>
    </row>
    <row r="5822" spans="3:3" x14ac:dyDescent="0.35">
      <c r="C5822" s="1"/>
    </row>
    <row r="5823" spans="3:3" x14ac:dyDescent="0.35">
      <c r="C5823" s="1"/>
    </row>
    <row r="5824" spans="3:3" x14ac:dyDescent="0.35">
      <c r="C5824" s="1"/>
    </row>
    <row r="5825" spans="3:3" x14ac:dyDescent="0.35">
      <c r="C5825" s="1"/>
    </row>
    <row r="5826" spans="3:3" x14ac:dyDescent="0.35">
      <c r="C5826" s="1"/>
    </row>
    <row r="5827" spans="3:3" x14ac:dyDescent="0.35">
      <c r="C5827" s="1"/>
    </row>
    <row r="5828" spans="3:3" x14ac:dyDescent="0.35">
      <c r="C5828" s="1"/>
    </row>
    <row r="5829" spans="3:3" x14ac:dyDescent="0.35">
      <c r="C5829" s="1"/>
    </row>
    <row r="5830" spans="3:3" x14ac:dyDescent="0.35">
      <c r="C5830" s="1"/>
    </row>
    <row r="5831" spans="3:3" x14ac:dyDescent="0.35">
      <c r="C5831" s="1"/>
    </row>
    <row r="5832" spans="3:3" x14ac:dyDescent="0.35">
      <c r="C5832" s="1"/>
    </row>
    <row r="5833" spans="3:3" x14ac:dyDescent="0.35">
      <c r="C5833" s="1"/>
    </row>
    <row r="5834" spans="3:3" x14ac:dyDescent="0.35">
      <c r="C5834" s="1"/>
    </row>
    <row r="5835" spans="3:3" x14ac:dyDescent="0.35">
      <c r="C5835" s="1"/>
    </row>
    <row r="5836" spans="3:3" x14ac:dyDescent="0.35">
      <c r="C5836" s="1"/>
    </row>
    <row r="5837" spans="3:3" x14ac:dyDescent="0.35">
      <c r="C5837" s="1"/>
    </row>
    <row r="5838" spans="3:3" x14ac:dyDescent="0.35">
      <c r="C5838" s="1"/>
    </row>
    <row r="5839" spans="3:3" x14ac:dyDescent="0.35">
      <c r="C5839" s="1"/>
    </row>
    <row r="5840" spans="3:3" x14ac:dyDescent="0.35">
      <c r="C5840" s="1"/>
    </row>
    <row r="5841" spans="3:3" x14ac:dyDescent="0.35">
      <c r="C5841" s="1"/>
    </row>
    <row r="5842" spans="3:3" x14ac:dyDescent="0.35">
      <c r="C5842" s="1"/>
    </row>
    <row r="5843" spans="3:3" x14ac:dyDescent="0.35">
      <c r="C5843" s="1"/>
    </row>
    <row r="5844" spans="3:3" x14ac:dyDescent="0.35">
      <c r="C5844" s="1"/>
    </row>
    <row r="5845" spans="3:3" x14ac:dyDescent="0.35">
      <c r="C5845" s="1"/>
    </row>
    <row r="5846" spans="3:3" x14ac:dyDescent="0.35">
      <c r="C5846" s="1"/>
    </row>
    <row r="5847" spans="3:3" x14ac:dyDescent="0.35">
      <c r="C5847" s="1"/>
    </row>
    <row r="5848" spans="3:3" x14ac:dyDescent="0.35">
      <c r="C5848" s="1"/>
    </row>
    <row r="5849" spans="3:3" x14ac:dyDescent="0.35">
      <c r="C5849" s="1"/>
    </row>
    <row r="5850" spans="3:3" x14ac:dyDescent="0.35">
      <c r="C5850" s="1"/>
    </row>
    <row r="5851" spans="3:3" x14ac:dyDescent="0.35">
      <c r="C5851" s="1"/>
    </row>
    <row r="5852" spans="3:3" x14ac:dyDescent="0.35">
      <c r="C5852" s="1"/>
    </row>
    <row r="5853" spans="3:3" x14ac:dyDescent="0.35">
      <c r="C5853" s="1"/>
    </row>
    <row r="5854" spans="3:3" x14ac:dyDescent="0.35">
      <c r="C5854" s="1"/>
    </row>
    <row r="5855" spans="3:3" x14ac:dyDescent="0.35">
      <c r="C5855" s="1"/>
    </row>
    <row r="5856" spans="3:3" x14ac:dyDescent="0.35">
      <c r="C5856" s="1"/>
    </row>
    <row r="5857" spans="3:3" x14ac:dyDescent="0.35">
      <c r="C5857" s="1"/>
    </row>
    <row r="5858" spans="3:3" x14ac:dyDescent="0.35">
      <c r="C5858" s="1"/>
    </row>
    <row r="5859" spans="3:3" x14ac:dyDescent="0.35">
      <c r="C5859" s="1"/>
    </row>
    <row r="5860" spans="3:3" x14ac:dyDescent="0.35">
      <c r="C5860" s="1"/>
    </row>
    <row r="5861" spans="3:3" x14ac:dyDescent="0.35">
      <c r="C5861" s="1"/>
    </row>
    <row r="5862" spans="3:3" x14ac:dyDescent="0.35">
      <c r="C5862" s="1"/>
    </row>
    <row r="5863" spans="3:3" x14ac:dyDescent="0.35">
      <c r="C5863" s="1"/>
    </row>
    <row r="5864" spans="3:3" x14ac:dyDescent="0.35">
      <c r="C5864" s="1"/>
    </row>
    <row r="5865" spans="3:3" x14ac:dyDescent="0.35">
      <c r="C5865" s="1"/>
    </row>
    <row r="5866" spans="3:3" x14ac:dyDescent="0.35">
      <c r="C5866" s="1"/>
    </row>
    <row r="5867" spans="3:3" x14ac:dyDescent="0.35">
      <c r="C5867" s="1"/>
    </row>
    <row r="5868" spans="3:3" x14ac:dyDescent="0.35">
      <c r="C5868" s="1"/>
    </row>
    <row r="5869" spans="3:3" x14ac:dyDescent="0.35">
      <c r="C5869" s="1"/>
    </row>
    <row r="5870" spans="3:3" x14ac:dyDescent="0.35">
      <c r="C5870" s="1"/>
    </row>
    <row r="5871" spans="3:3" x14ac:dyDescent="0.35">
      <c r="C5871" s="1"/>
    </row>
    <row r="5872" spans="3:3" x14ac:dyDescent="0.35">
      <c r="C5872" s="1"/>
    </row>
    <row r="5873" spans="3:3" x14ac:dyDescent="0.35">
      <c r="C5873" s="1"/>
    </row>
    <row r="5874" spans="3:3" x14ac:dyDescent="0.35">
      <c r="C5874" s="1"/>
    </row>
    <row r="5875" spans="3:3" x14ac:dyDescent="0.35">
      <c r="C5875" s="1"/>
    </row>
    <row r="5876" spans="3:3" x14ac:dyDescent="0.35">
      <c r="C5876" s="1"/>
    </row>
    <row r="5877" spans="3:3" x14ac:dyDescent="0.35">
      <c r="C5877" s="1"/>
    </row>
    <row r="5878" spans="3:3" x14ac:dyDescent="0.35">
      <c r="C5878" s="1"/>
    </row>
    <row r="5879" spans="3:3" x14ac:dyDescent="0.35">
      <c r="C5879" s="1"/>
    </row>
    <row r="5880" spans="3:3" x14ac:dyDescent="0.35">
      <c r="C5880" s="1"/>
    </row>
    <row r="5881" spans="3:3" x14ac:dyDescent="0.35">
      <c r="C5881" s="1"/>
    </row>
    <row r="5882" spans="3:3" x14ac:dyDescent="0.35">
      <c r="C5882" s="1"/>
    </row>
    <row r="5883" spans="3:3" x14ac:dyDescent="0.35">
      <c r="C5883" s="1"/>
    </row>
    <row r="5884" spans="3:3" x14ac:dyDescent="0.35">
      <c r="C5884" s="1"/>
    </row>
    <row r="5885" spans="3:3" x14ac:dyDescent="0.35">
      <c r="C5885" s="1"/>
    </row>
    <row r="5886" spans="3:3" x14ac:dyDescent="0.35">
      <c r="C5886" s="1"/>
    </row>
    <row r="5887" spans="3:3" x14ac:dyDescent="0.35">
      <c r="C5887" s="1"/>
    </row>
    <row r="5888" spans="3:3" x14ac:dyDescent="0.35">
      <c r="C5888" s="1"/>
    </row>
    <row r="5889" spans="3:3" x14ac:dyDescent="0.35">
      <c r="C5889" s="1"/>
    </row>
    <row r="5890" spans="3:3" x14ac:dyDescent="0.35">
      <c r="C5890" s="1"/>
    </row>
    <row r="5891" spans="3:3" x14ac:dyDescent="0.35">
      <c r="C5891" s="1"/>
    </row>
    <row r="5892" spans="3:3" x14ac:dyDescent="0.35">
      <c r="C5892" s="1"/>
    </row>
    <row r="5893" spans="3:3" x14ac:dyDescent="0.35">
      <c r="C5893" s="1"/>
    </row>
    <row r="5894" spans="3:3" x14ac:dyDescent="0.35">
      <c r="C5894" s="1"/>
    </row>
    <row r="5895" spans="3:3" x14ac:dyDescent="0.35">
      <c r="C5895" s="1"/>
    </row>
    <row r="5896" spans="3:3" x14ac:dyDescent="0.35">
      <c r="C5896" s="1"/>
    </row>
    <row r="5897" spans="3:3" x14ac:dyDescent="0.35">
      <c r="C5897" s="1"/>
    </row>
    <row r="5898" spans="3:3" x14ac:dyDescent="0.35">
      <c r="C5898" s="1"/>
    </row>
    <row r="5899" spans="3:3" x14ac:dyDescent="0.35">
      <c r="C5899" s="1"/>
    </row>
    <row r="5900" spans="3:3" x14ac:dyDescent="0.35">
      <c r="C5900" s="1"/>
    </row>
    <row r="5901" spans="3:3" x14ac:dyDescent="0.35">
      <c r="C5901" s="1"/>
    </row>
    <row r="5902" spans="3:3" x14ac:dyDescent="0.35">
      <c r="C5902" s="1"/>
    </row>
    <row r="5903" spans="3:3" x14ac:dyDescent="0.35">
      <c r="C5903" s="1"/>
    </row>
    <row r="5904" spans="3:3" x14ac:dyDescent="0.35">
      <c r="C5904" s="1"/>
    </row>
    <row r="5905" spans="3:3" x14ac:dyDescent="0.35">
      <c r="C5905" s="1"/>
    </row>
    <row r="5906" spans="3:3" x14ac:dyDescent="0.35">
      <c r="C5906" s="1"/>
    </row>
    <row r="5907" spans="3:3" x14ac:dyDescent="0.35">
      <c r="C5907" s="1"/>
    </row>
    <row r="5908" spans="3:3" x14ac:dyDescent="0.35">
      <c r="C5908" s="1"/>
    </row>
    <row r="5909" spans="3:3" x14ac:dyDescent="0.35">
      <c r="C5909" s="1"/>
    </row>
    <row r="5910" spans="3:3" x14ac:dyDescent="0.35">
      <c r="C5910" s="1"/>
    </row>
    <row r="5911" spans="3:3" x14ac:dyDescent="0.35">
      <c r="C5911" s="1"/>
    </row>
    <row r="5912" spans="3:3" x14ac:dyDescent="0.35">
      <c r="C5912" s="1"/>
    </row>
    <row r="5913" spans="3:3" x14ac:dyDescent="0.35">
      <c r="C5913" s="1"/>
    </row>
    <row r="5914" spans="3:3" x14ac:dyDescent="0.35">
      <c r="C5914" s="1"/>
    </row>
    <row r="5915" spans="3:3" x14ac:dyDescent="0.35">
      <c r="C5915" s="1"/>
    </row>
    <row r="5916" spans="3:3" x14ac:dyDescent="0.35">
      <c r="C5916" s="1"/>
    </row>
    <row r="5917" spans="3:3" x14ac:dyDescent="0.35">
      <c r="C5917" s="1"/>
    </row>
    <row r="5918" spans="3:3" x14ac:dyDescent="0.35">
      <c r="C5918" s="1"/>
    </row>
    <row r="5919" spans="3:3" x14ac:dyDescent="0.35">
      <c r="C5919" s="1"/>
    </row>
    <row r="5920" spans="3:3" x14ac:dyDescent="0.35">
      <c r="C5920" s="1"/>
    </row>
    <row r="5921" spans="3:3" x14ac:dyDescent="0.35">
      <c r="C5921" s="1"/>
    </row>
    <row r="5922" spans="3:3" x14ac:dyDescent="0.35">
      <c r="C5922" s="1"/>
    </row>
    <row r="5923" spans="3:3" x14ac:dyDescent="0.35">
      <c r="C5923" s="1"/>
    </row>
    <row r="5924" spans="3:3" x14ac:dyDescent="0.35">
      <c r="C5924" s="1"/>
    </row>
    <row r="5925" spans="3:3" x14ac:dyDescent="0.35">
      <c r="C5925" s="1"/>
    </row>
    <row r="5926" spans="3:3" x14ac:dyDescent="0.35">
      <c r="C5926" s="1"/>
    </row>
    <row r="5927" spans="3:3" x14ac:dyDescent="0.35">
      <c r="C5927" s="1"/>
    </row>
    <row r="5928" spans="3:3" x14ac:dyDescent="0.35">
      <c r="C5928" s="1"/>
    </row>
    <row r="5929" spans="3:3" x14ac:dyDescent="0.35">
      <c r="C5929" s="1"/>
    </row>
    <row r="5930" spans="3:3" x14ac:dyDescent="0.35">
      <c r="C5930" s="1"/>
    </row>
    <row r="5931" spans="3:3" x14ac:dyDescent="0.35">
      <c r="C5931" s="1"/>
    </row>
    <row r="5932" spans="3:3" x14ac:dyDescent="0.35">
      <c r="C5932" s="1"/>
    </row>
    <row r="5933" spans="3:3" x14ac:dyDescent="0.35">
      <c r="C5933" s="1"/>
    </row>
    <row r="5934" spans="3:3" x14ac:dyDescent="0.35">
      <c r="C5934" s="1"/>
    </row>
    <row r="5935" spans="3:3" x14ac:dyDescent="0.35">
      <c r="C5935" s="1"/>
    </row>
    <row r="5936" spans="3:3" x14ac:dyDescent="0.35">
      <c r="C5936" s="1"/>
    </row>
    <row r="5937" spans="3:3" x14ac:dyDescent="0.35">
      <c r="C5937" s="1"/>
    </row>
    <row r="5938" spans="3:3" x14ac:dyDescent="0.35">
      <c r="C5938" s="1"/>
    </row>
    <row r="5939" spans="3:3" x14ac:dyDescent="0.35">
      <c r="C5939" s="1"/>
    </row>
    <row r="5940" spans="3:3" x14ac:dyDescent="0.35">
      <c r="C5940" s="1"/>
    </row>
    <row r="5941" spans="3:3" x14ac:dyDescent="0.35">
      <c r="C5941" s="1"/>
    </row>
    <row r="5942" spans="3:3" x14ac:dyDescent="0.35">
      <c r="C5942" s="1"/>
    </row>
    <row r="5943" spans="3:3" x14ac:dyDescent="0.35">
      <c r="C5943" s="1"/>
    </row>
    <row r="5944" spans="3:3" x14ac:dyDescent="0.35">
      <c r="C5944" s="1"/>
    </row>
    <row r="5945" spans="3:3" x14ac:dyDescent="0.35">
      <c r="C5945" s="1"/>
    </row>
    <row r="5946" spans="3:3" x14ac:dyDescent="0.35">
      <c r="C5946" s="1"/>
    </row>
    <row r="5947" spans="3:3" x14ac:dyDescent="0.35">
      <c r="C5947" s="1"/>
    </row>
    <row r="5948" spans="3:3" x14ac:dyDescent="0.35">
      <c r="C5948" s="1"/>
    </row>
    <row r="5949" spans="3:3" x14ac:dyDescent="0.35">
      <c r="C5949" s="1"/>
    </row>
    <row r="5950" spans="3:3" x14ac:dyDescent="0.35">
      <c r="C5950" s="1"/>
    </row>
    <row r="5951" spans="3:3" x14ac:dyDescent="0.35">
      <c r="C5951" s="1"/>
    </row>
    <row r="5952" spans="3:3" x14ac:dyDescent="0.35">
      <c r="C5952" s="1"/>
    </row>
    <row r="5953" spans="3:3" x14ac:dyDescent="0.35">
      <c r="C5953" s="1"/>
    </row>
    <row r="5954" spans="3:3" x14ac:dyDescent="0.35">
      <c r="C5954" s="1"/>
    </row>
    <row r="5955" spans="3:3" x14ac:dyDescent="0.35">
      <c r="C5955" s="1"/>
    </row>
    <row r="5956" spans="3:3" x14ac:dyDescent="0.35">
      <c r="C5956" s="1"/>
    </row>
    <row r="5957" spans="3:3" x14ac:dyDescent="0.35">
      <c r="C5957" s="1"/>
    </row>
    <row r="5958" spans="3:3" x14ac:dyDescent="0.35">
      <c r="C5958" s="1"/>
    </row>
    <row r="5959" spans="3:3" x14ac:dyDescent="0.35">
      <c r="C5959" s="1"/>
    </row>
    <row r="5960" spans="3:3" x14ac:dyDescent="0.35">
      <c r="C5960" s="1"/>
    </row>
    <row r="5961" spans="3:3" x14ac:dyDescent="0.35">
      <c r="C5961" s="1"/>
    </row>
    <row r="5962" spans="3:3" x14ac:dyDescent="0.35">
      <c r="C5962" s="1"/>
    </row>
    <row r="5963" spans="3:3" x14ac:dyDescent="0.35">
      <c r="C5963" s="1"/>
    </row>
    <row r="5964" spans="3:3" x14ac:dyDescent="0.35">
      <c r="C5964" s="1"/>
    </row>
    <row r="5965" spans="3:3" x14ac:dyDescent="0.35">
      <c r="C5965" s="1"/>
    </row>
    <row r="5966" spans="3:3" x14ac:dyDescent="0.35">
      <c r="C5966" s="1"/>
    </row>
    <row r="5967" spans="3:3" x14ac:dyDescent="0.35">
      <c r="C5967" s="1"/>
    </row>
    <row r="5968" spans="3:3" x14ac:dyDescent="0.35">
      <c r="C5968" s="1"/>
    </row>
    <row r="5969" spans="3:3" x14ac:dyDescent="0.35">
      <c r="C5969" s="1"/>
    </row>
    <row r="5970" spans="3:3" x14ac:dyDescent="0.35">
      <c r="C5970" s="1"/>
    </row>
    <row r="5971" spans="3:3" x14ac:dyDescent="0.35">
      <c r="C5971" s="1"/>
    </row>
    <row r="5972" spans="3:3" x14ac:dyDescent="0.35">
      <c r="C5972" s="1"/>
    </row>
    <row r="5973" spans="3:3" x14ac:dyDescent="0.35">
      <c r="C5973" s="1"/>
    </row>
    <row r="5974" spans="3:3" x14ac:dyDescent="0.35">
      <c r="C5974" s="1"/>
    </row>
    <row r="5975" spans="3:3" x14ac:dyDescent="0.35">
      <c r="C5975" s="1"/>
    </row>
    <row r="5976" spans="3:3" x14ac:dyDescent="0.35">
      <c r="C5976" s="1"/>
    </row>
    <row r="5977" spans="3:3" x14ac:dyDescent="0.35">
      <c r="C5977" s="1"/>
    </row>
    <row r="5978" spans="3:3" x14ac:dyDescent="0.35">
      <c r="C5978" s="1"/>
    </row>
    <row r="5979" spans="3:3" x14ac:dyDescent="0.35">
      <c r="C5979" s="1"/>
    </row>
    <row r="5980" spans="3:3" x14ac:dyDescent="0.35">
      <c r="C5980" s="1"/>
    </row>
    <row r="5981" spans="3:3" x14ac:dyDescent="0.35">
      <c r="C5981" s="1"/>
    </row>
    <row r="5982" spans="3:3" x14ac:dyDescent="0.35">
      <c r="C5982" s="1"/>
    </row>
    <row r="5983" spans="3:3" x14ac:dyDescent="0.35">
      <c r="C5983" s="1"/>
    </row>
    <row r="5984" spans="3:3" x14ac:dyDescent="0.35">
      <c r="C5984" s="1"/>
    </row>
    <row r="5985" spans="3:3" x14ac:dyDescent="0.35">
      <c r="C5985" s="1"/>
    </row>
    <row r="5986" spans="3:3" x14ac:dyDescent="0.35">
      <c r="C5986" s="1"/>
    </row>
    <row r="5987" spans="3:3" x14ac:dyDescent="0.35">
      <c r="C5987" s="1"/>
    </row>
    <row r="5988" spans="3:3" x14ac:dyDescent="0.35">
      <c r="C5988" s="1"/>
    </row>
    <row r="5989" spans="3:3" x14ac:dyDescent="0.35">
      <c r="C5989" s="1"/>
    </row>
    <row r="5990" spans="3:3" x14ac:dyDescent="0.35">
      <c r="C5990" s="1"/>
    </row>
    <row r="5991" spans="3:3" x14ac:dyDescent="0.35">
      <c r="C5991" s="1"/>
    </row>
    <row r="5992" spans="3:3" x14ac:dyDescent="0.35">
      <c r="C5992" s="1"/>
    </row>
    <row r="5993" spans="3:3" x14ac:dyDescent="0.35">
      <c r="C5993" s="1"/>
    </row>
    <row r="5994" spans="3:3" x14ac:dyDescent="0.35">
      <c r="C5994" s="1"/>
    </row>
    <row r="5995" spans="3:3" x14ac:dyDescent="0.35">
      <c r="C5995" s="1"/>
    </row>
    <row r="5996" spans="3:3" x14ac:dyDescent="0.35">
      <c r="C5996" s="1"/>
    </row>
    <row r="5997" spans="3:3" x14ac:dyDescent="0.35">
      <c r="C5997" s="1"/>
    </row>
    <row r="5998" spans="3:3" x14ac:dyDescent="0.35">
      <c r="C5998" s="1"/>
    </row>
    <row r="5999" spans="3:3" x14ac:dyDescent="0.35">
      <c r="C5999" s="1"/>
    </row>
    <row r="6000" spans="3:3" x14ac:dyDescent="0.35">
      <c r="C6000" s="1"/>
    </row>
    <row r="6001" spans="3:3" x14ac:dyDescent="0.35">
      <c r="C6001" s="1"/>
    </row>
    <row r="6002" spans="3:3" x14ac:dyDescent="0.35">
      <c r="C6002" s="1"/>
    </row>
    <row r="6003" spans="3:3" x14ac:dyDescent="0.35">
      <c r="C6003" s="1"/>
    </row>
    <row r="6004" spans="3:3" x14ac:dyDescent="0.35">
      <c r="C6004" s="1"/>
    </row>
    <row r="6005" spans="3:3" x14ac:dyDescent="0.35">
      <c r="C6005" s="1"/>
    </row>
    <row r="6006" spans="3:3" x14ac:dyDescent="0.35">
      <c r="C6006" s="1"/>
    </row>
    <row r="6007" spans="3:3" x14ac:dyDescent="0.35">
      <c r="C6007" s="1"/>
    </row>
    <row r="6008" spans="3:3" x14ac:dyDescent="0.35">
      <c r="C6008" s="1"/>
    </row>
    <row r="6009" spans="3:3" x14ac:dyDescent="0.35">
      <c r="C6009" s="1"/>
    </row>
    <row r="6010" spans="3:3" x14ac:dyDescent="0.35">
      <c r="C6010" s="1"/>
    </row>
    <row r="6011" spans="3:3" x14ac:dyDescent="0.35">
      <c r="C6011" s="1"/>
    </row>
    <row r="6012" spans="3:3" x14ac:dyDescent="0.35">
      <c r="C6012" s="1"/>
    </row>
    <row r="6013" spans="3:3" x14ac:dyDescent="0.35">
      <c r="C6013" s="1"/>
    </row>
    <row r="6014" spans="3:3" x14ac:dyDescent="0.35">
      <c r="C6014" s="1"/>
    </row>
    <row r="6015" spans="3:3" x14ac:dyDescent="0.35">
      <c r="C6015" s="1"/>
    </row>
    <row r="6016" spans="3:3" x14ac:dyDescent="0.35">
      <c r="C6016" s="1"/>
    </row>
    <row r="6017" spans="3:3" x14ac:dyDescent="0.35">
      <c r="C6017" s="1"/>
    </row>
    <row r="6018" spans="3:3" x14ac:dyDescent="0.35">
      <c r="C6018" s="1"/>
    </row>
    <row r="6019" spans="3:3" x14ac:dyDescent="0.35">
      <c r="C6019" s="1"/>
    </row>
    <row r="6020" spans="3:3" x14ac:dyDescent="0.35">
      <c r="C6020" s="1"/>
    </row>
    <row r="6021" spans="3:3" x14ac:dyDescent="0.35">
      <c r="C6021" s="1"/>
    </row>
    <row r="6022" spans="3:3" x14ac:dyDescent="0.35">
      <c r="C6022" s="1"/>
    </row>
    <row r="6023" spans="3:3" x14ac:dyDescent="0.35">
      <c r="C6023" s="1"/>
    </row>
    <row r="6024" spans="3:3" x14ac:dyDescent="0.35">
      <c r="C6024" s="1"/>
    </row>
    <row r="6025" spans="3:3" x14ac:dyDescent="0.35">
      <c r="C6025" s="1"/>
    </row>
    <row r="6026" spans="3:3" x14ac:dyDescent="0.35">
      <c r="C6026" s="1"/>
    </row>
    <row r="6027" spans="3:3" x14ac:dyDescent="0.35">
      <c r="C6027" s="1"/>
    </row>
    <row r="6028" spans="3:3" x14ac:dyDescent="0.35">
      <c r="C6028" s="1"/>
    </row>
    <row r="6029" spans="3:3" x14ac:dyDescent="0.35">
      <c r="C6029" s="1"/>
    </row>
    <row r="6030" spans="3:3" x14ac:dyDescent="0.35">
      <c r="C6030" s="1"/>
    </row>
    <row r="6031" spans="3:3" x14ac:dyDescent="0.35">
      <c r="C6031" s="1"/>
    </row>
    <row r="6032" spans="3:3" x14ac:dyDescent="0.35">
      <c r="C6032" s="1"/>
    </row>
    <row r="6033" spans="3:3" x14ac:dyDescent="0.35">
      <c r="C6033" s="1"/>
    </row>
    <row r="6034" spans="3:3" x14ac:dyDescent="0.35">
      <c r="C6034" s="1"/>
    </row>
    <row r="6035" spans="3:3" x14ac:dyDescent="0.35">
      <c r="C6035" s="1"/>
    </row>
    <row r="6036" spans="3:3" x14ac:dyDescent="0.35">
      <c r="C6036" s="1"/>
    </row>
    <row r="6037" spans="3:3" x14ac:dyDescent="0.35">
      <c r="C6037" s="1"/>
    </row>
    <row r="6038" spans="3:3" x14ac:dyDescent="0.35">
      <c r="C6038" s="1"/>
    </row>
    <row r="6039" spans="3:3" x14ac:dyDescent="0.35">
      <c r="C6039" s="1"/>
    </row>
    <row r="6040" spans="3:3" x14ac:dyDescent="0.35">
      <c r="C6040" s="1"/>
    </row>
    <row r="6041" spans="3:3" x14ac:dyDescent="0.35">
      <c r="C6041" s="1"/>
    </row>
    <row r="6042" spans="3:3" x14ac:dyDescent="0.35">
      <c r="C6042" s="1"/>
    </row>
    <row r="6043" spans="3:3" x14ac:dyDescent="0.35">
      <c r="C6043" s="1"/>
    </row>
    <row r="6044" spans="3:3" x14ac:dyDescent="0.35">
      <c r="C6044" s="1"/>
    </row>
    <row r="6045" spans="3:3" x14ac:dyDescent="0.35">
      <c r="C6045" s="1"/>
    </row>
    <row r="6046" spans="3:3" x14ac:dyDescent="0.35">
      <c r="C6046" s="1"/>
    </row>
    <row r="6047" spans="3:3" x14ac:dyDescent="0.35">
      <c r="C6047" s="1"/>
    </row>
    <row r="6048" spans="3:3" x14ac:dyDescent="0.35">
      <c r="C6048" s="1"/>
    </row>
    <row r="6049" spans="3:3" x14ac:dyDescent="0.35">
      <c r="C6049" s="1"/>
    </row>
    <row r="6050" spans="3:3" x14ac:dyDescent="0.35">
      <c r="C6050" s="1"/>
    </row>
    <row r="6051" spans="3:3" x14ac:dyDescent="0.35">
      <c r="C6051" s="1"/>
    </row>
    <row r="6052" spans="3:3" x14ac:dyDescent="0.35">
      <c r="C6052" s="1"/>
    </row>
    <row r="6053" spans="3:3" x14ac:dyDescent="0.35">
      <c r="C6053" s="1"/>
    </row>
    <row r="6054" spans="3:3" x14ac:dyDescent="0.35">
      <c r="C6054" s="1"/>
    </row>
    <row r="6055" spans="3:3" x14ac:dyDescent="0.35">
      <c r="C6055" s="1"/>
    </row>
    <row r="6056" spans="3:3" x14ac:dyDescent="0.35">
      <c r="C6056" s="1"/>
    </row>
    <row r="6057" spans="3:3" x14ac:dyDescent="0.35">
      <c r="C6057" s="1"/>
    </row>
    <row r="6058" spans="3:3" x14ac:dyDescent="0.35">
      <c r="C6058" s="1"/>
    </row>
    <row r="6059" spans="3:3" x14ac:dyDescent="0.35">
      <c r="C6059" s="1"/>
    </row>
    <row r="6060" spans="3:3" x14ac:dyDescent="0.35">
      <c r="C6060" s="1"/>
    </row>
    <row r="6061" spans="3:3" x14ac:dyDescent="0.35">
      <c r="C6061" s="1"/>
    </row>
    <row r="6062" spans="3:3" x14ac:dyDescent="0.35">
      <c r="C6062" s="1"/>
    </row>
    <row r="6063" spans="3:3" x14ac:dyDescent="0.35">
      <c r="C6063" s="1"/>
    </row>
    <row r="6064" spans="3:3" x14ac:dyDescent="0.35">
      <c r="C6064" s="1"/>
    </row>
    <row r="6065" spans="3:3" x14ac:dyDescent="0.35">
      <c r="C6065" s="1"/>
    </row>
    <row r="6066" spans="3:3" x14ac:dyDescent="0.35">
      <c r="C6066" s="1"/>
    </row>
    <row r="6067" spans="3:3" x14ac:dyDescent="0.35">
      <c r="C6067" s="1"/>
    </row>
    <row r="6068" spans="3:3" x14ac:dyDescent="0.35">
      <c r="C6068" s="1"/>
    </row>
    <row r="6069" spans="3:3" x14ac:dyDescent="0.35">
      <c r="C6069" s="1"/>
    </row>
    <row r="6070" spans="3:3" x14ac:dyDescent="0.35">
      <c r="C6070" s="1"/>
    </row>
    <row r="6071" spans="3:3" x14ac:dyDescent="0.35">
      <c r="C6071" s="1"/>
    </row>
    <row r="6072" spans="3:3" x14ac:dyDescent="0.35">
      <c r="C6072" s="1"/>
    </row>
    <row r="6073" spans="3:3" x14ac:dyDescent="0.35">
      <c r="C6073" s="1"/>
    </row>
    <row r="6074" spans="3:3" x14ac:dyDescent="0.35">
      <c r="C6074" s="1"/>
    </row>
    <row r="6075" spans="3:3" x14ac:dyDescent="0.35">
      <c r="C6075" s="1"/>
    </row>
    <row r="6076" spans="3:3" x14ac:dyDescent="0.35">
      <c r="C6076" s="1"/>
    </row>
    <row r="6077" spans="3:3" x14ac:dyDescent="0.35">
      <c r="C6077" s="1"/>
    </row>
    <row r="6078" spans="3:3" x14ac:dyDescent="0.35">
      <c r="C6078" s="1"/>
    </row>
    <row r="6079" spans="3:3" x14ac:dyDescent="0.35">
      <c r="C6079" s="1"/>
    </row>
    <row r="6080" spans="3:3" x14ac:dyDescent="0.35">
      <c r="C6080" s="1"/>
    </row>
    <row r="6081" spans="3:3" x14ac:dyDescent="0.35">
      <c r="C6081" s="1"/>
    </row>
    <row r="6082" spans="3:3" x14ac:dyDescent="0.35">
      <c r="C6082" s="1"/>
    </row>
    <row r="6083" spans="3:3" x14ac:dyDescent="0.35">
      <c r="C6083" s="1"/>
    </row>
    <row r="6084" spans="3:3" x14ac:dyDescent="0.35">
      <c r="C6084" s="1"/>
    </row>
    <row r="6085" spans="3:3" x14ac:dyDescent="0.35">
      <c r="C6085" s="1"/>
    </row>
    <row r="6086" spans="3:3" x14ac:dyDescent="0.35">
      <c r="C6086" s="1"/>
    </row>
    <row r="6087" spans="3:3" x14ac:dyDescent="0.35">
      <c r="C6087" s="1"/>
    </row>
    <row r="6088" spans="3:3" x14ac:dyDescent="0.35">
      <c r="C6088" s="1"/>
    </row>
    <row r="6089" spans="3:3" x14ac:dyDescent="0.35">
      <c r="C6089" s="1"/>
    </row>
    <row r="6090" spans="3:3" x14ac:dyDescent="0.35">
      <c r="C6090" s="1"/>
    </row>
    <row r="6091" spans="3:3" x14ac:dyDescent="0.35">
      <c r="C6091" s="1"/>
    </row>
    <row r="6092" spans="3:3" x14ac:dyDescent="0.35">
      <c r="C6092" s="1"/>
    </row>
    <row r="6093" spans="3:3" x14ac:dyDescent="0.35">
      <c r="C6093" s="1"/>
    </row>
    <row r="6094" spans="3:3" x14ac:dyDescent="0.35">
      <c r="C6094" s="1"/>
    </row>
    <row r="6095" spans="3:3" x14ac:dyDescent="0.35">
      <c r="C6095" s="1"/>
    </row>
    <row r="6096" spans="3:3" x14ac:dyDescent="0.35">
      <c r="C6096" s="1"/>
    </row>
    <row r="6097" spans="3:3" x14ac:dyDescent="0.35">
      <c r="C6097" s="1"/>
    </row>
    <row r="6098" spans="3:3" x14ac:dyDescent="0.35">
      <c r="C6098" s="1"/>
    </row>
    <row r="6099" spans="3:3" x14ac:dyDescent="0.35">
      <c r="C6099" s="1"/>
    </row>
    <row r="6100" spans="3:3" x14ac:dyDescent="0.35">
      <c r="C6100" s="1"/>
    </row>
    <row r="6101" spans="3:3" x14ac:dyDescent="0.35">
      <c r="C6101" s="1"/>
    </row>
    <row r="6102" spans="3:3" x14ac:dyDescent="0.35">
      <c r="C6102" s="1"/>
    </row>
    <row r="6103" spans="3:3" x14ac:dyDescent="0.35">
      <c r="C6103" s="1"/>
    </row>
    <row r="6104" spans="3:3" x14ac:dyDescent="0.35">
      <c r="C6104" s="1"/>
    </row>
    <row r="6105" spans="3:3" x14ac:dyDescent="0.35">
      <c r="C6105" s="1"/>
    </row>
    <row r="6106" spans="3:3" x14ac:dyDescent="0.35">
      <c r="C6106" s="1"/>
    </row>
    <row r="6107" spans="3:3" x14ac:dyDescent="0.35">
      <c r="C6107" s="1"/>
    </row>
    <row r="6108" spans="3:3" x14ac:dyDescent="0.35">
      <c r="C6108" s="1"/>
    </row>
    <row r="6109" spans="3:3" x14ac:dyDescent="0.35">
      <c r="C6109" s="1"/>
    </row>
    <row r="6110" spans="3:3" x14ac:dyDescent="0.35">
      <c r="C6110" s="1"/>
    </row>
    <row r="6111" spans="3:3" x14ac:dyDescent="0.35">
      <c r="C6111" s="1"/>
    </row>
    <row r="6112" spans="3:3" x14ac:dyDescent="0.35">
      <c r="C6112" s="1"/>
    </row>
    <row r="6113" spans="3:3" x14ac:dyDescent="0.35">
      <c r="C6113" s="1"/>
    </row>
    <row r="6114" spans="3:3" x14ac:dyDescent="0.35">
      <c r="C6114" s="1"/>
    </row>
    <row r="6115" spans="3:3" x14ac:dyDescent="0.35">
      <c r="C6115" s="1"/>
    </row>
    <row r="6116" spans="3:3" x14ac:dyDescent="0.35">
      <c r="C6116" s="1"/>
    </row>
    <row r="6117" spans="3:3" x14ac:dyDescent="0.35">
      <c r="C6117" s="1"/>
    </row>
    <row r="6118" spans="3:3" x14ac:dyDescent="0.35">
      <c r="C6118" s="1"/>
    </row>
    <row r="6119" spans="3:3" x14ac:dyDescent="0.35">
      <c r="C6119" s="1"/>
    </row>
    <row r="6120" spans="3:3" x14ac:dyDescent="0.35">
      <c r="C6120" s="1"/>
    </row>
    <row r="6121" spans="3:3" x14ac:dyDescent="0.35">
      <c r="C6121" s="1"/>
    </row>
    <row r="6122" spans="3:3" x14ac:dyDescent="0.35">
      <c r="C6122" s="1"/>
    </row>
    <row r="6123" spans="3:3" x14ac:dyDescent="0.35">
      <c r="C6123" s="1"/>
    </row>
    <row r="6124" spans="3:3" x14ac:dyDescent="0.35">
      <c r="C6124" s="1"/>
    </row>
    <row r="6125" spans="3:3" x14ac:dyDescent="0.35">
      <c r="C6125" s="1"/>
    </row>
    <row r="6126" spans="3:3" x14ac:dyDescent="0.35">
      <c r="C6126" s="1"/>
    </row>
    <row r="6127" spans="3:3" x14ac:dyDescent="0.35">
      <c r="C6127" s="1"/>
    </row>
    <row r="6128" spans="3:3" x14ac:dyDescent="0.35">
      <c r="C6128" s="1"/>
    </row>
    <row r="6129" spans="3:3" x14ac:dyDescent="0.35">
      <c r="C6129" s="1"/>
    </row>
    <row r="6130" spans="3:3" x14ac:dyDescent="0.35">
      <c r="C6130" s="1"/>
    </row>
    <row r="6131" spans="3:3" x14ac:dyDescent="0.35">
      <c r="C6131" s="1"/>
    </row>
    <row r="6132" spans="3:3" x14ac:dyDescent="0.35">
      <c r="C6132" s="1"/>
    </row>
    <row r="6133" spans="3:3" x14ac:dyDescent="0.35">
      <c r="C6133" s="1"/>
    </row>
    <row r="6134" spans="3:3" x14ac:dyDescent="0.35">
      <c r="C6134" s="1"/>
    </row>
    <row r="6135" spans="3:3" x14ac:dyDescent="0.35">
      <c r="C6135" s="1"/>
    </row>
    <row r="6136" spans="3:3" x14ac:dyDescent="0.35">
      <c r="C6136" s="1"/>
    </row>
    <row r="6137" spans="3:3" x14ac:dyDescent="0.35">
      <c r="C6137" s="1"/>
    </row>
    <row r="6138" spans="3:3" x14ac:dyDescent="0.35">
      <c r="C6138" s="1"/>
    </row>
    <row r="6139" spans="3:3" x14ac:dyDescent="0.35">
      <c r="C6139" s="1"/>
    </row>
    <row r="6140" spans="3:3" x14ac:dyDescent="0.35">
      <c r="C6140" s="1"/>
    </row>
    <row r="6141" spans="3:3" x14ac:dyDescent="0.35">
      <c r="C6141" s="1"/>
    </row>
    <row r="6142" spans="3:3" x14ac:dyDescent="0.35">
      <c r="C6142" s="1"/>
    </row>
    <row r="6143" spans="3:3" x14ac:dyDescent="0.35">
      <c r="C6143" s="1"/>
    </row>
    <row r="6144" spans="3:3" x14ac:dyDescent="0.35">
      <c r="C6144" s="1"/>
    </row>
    <row r="6145" spans="3:3" x14ac:dyDescent="0.35">
      <c r="C6145" s="1"/>
    </row>
    <row r="6146" spans="3:3" x14ac:dyDescent="0.35">
      <c r="C6146" s="1"/>
    </row>
    <row r="6147" spans="3:3" x14ac:dyDescent="0.35">
      <c r="C6147" s="1"/>
    </row>
    <row r="6148" spans="3:3" x14ac:dyDescent="0.35">
      <c r="C6148" s="1"/>
    </row>
    <row r="6149" spans="3:3" x14ac:dyDescent="0.35">
      <c r="C6149" s="1"/>
    </row>
    <row r="6150" spans="3:3" x14ac:dyDescent="0.35">
      <c r="C6150" s="1"/>
    </row>
    <row r="6151" spans="3:3" x14ac:dyDescent="0.35">
      <c r="C6151" s="1"/>
    </row>
    <row r="6152" spans="3:3" x14ac:dyDescent="0.35">
      <c r="C6152" s="1"/>
    </row>
    <row r="6153" spans="3:3" x14ac:dyDescent="0.35">
      <c r="C6153" s="1"/>
    </row>
    <row r="6154" spans="3:3" x14ac:dyDescent="0.35">
      <c r="C6154" s="1"/>
    </row>
    <row r="6155" spans="3:3" x14ac:dyDescent="0.35">
      <c r="C6155" s="1"/>
    </row>
    <row r="6156" spans="3:3" x14ac:dyDescent="0.35">
      <c r="C6156" s="1"/>
    </row>
    <row r="6157" spans="3:3" x14ac:dyDescent="0.35">
      <c r="C6157" s="1"/>
    </row>
    <row r="6158" spans="3:3" x14ac:dyDescent="0.35">
      <c r="C6158" s="1"/>
    </row>
    <row r="6159" spans="3:3" x14ac:dyDescent="0.35">
      <c r="C6159" s="1"/>
    </row>
    <row r="6160" spans="3:3" x14ac:dyDescent="0.35">
      <c r="C6160" s="1"/>
    </row>
    <row r="6161" spans="3:3" x14ac:dyDescent="0.35">
      <c r="C6161" s="1"/>
    </row>
    <row r="6162" spans="3:3" x14ac:dyDescent="0.35">
      <c r="C6162" s="1"/>
    </row>
    <row r="6163" spans="3:3" x14ac:dyDescent="0.35">
      <c r="C6163" s="1"/>
    </row>
    <row r="6164" spans="3:3" x14ac:dyDescent="0.35">
      <c r="C6164" s="1"/>
    </row>
    <row r="6165" spans="3:3" x14ac:dyDescent="0.35">
      <c r="C6165" s="1"/>
    </row>
    <row r="6166" spans="3:3" x14ac:dyDescent="0.35">
      <c r="C6166" s="1"/>
    </row>
    <row r="6167" spans="3:3" x14ac:dyDescent="0.35">
      <c r="C6167" s="1"/>
    </row>
    <row r="6168" spans="3:3" x14ac:dyDescent="0.35">
      <c r="C6168" s="1"/>
    </row>
    <row r="6169" spans="3:3" x14ac:dyDescent="0.35">
      <c r="C6169" s="1"/>
    </row>
    <row r="6170" spans="3:3" x14ac:dyDescent="0.35">
      <c r="C6170" s="1"/>
    </row>
    <row r="6171" spans="3:3" x14ac:dyDescent="0.35">
      <c r="C6171" s="1"/>
    </row>
    <row r="6172" spans="3:3" x14ac:dyDescent="0.35">
      <c r="C6172" s="1"/>
    </row>
    <row r="6173" spans="3:3" x14ac:dyDescent="0.35">
      <c r="C6173" s="1"/>
    </row>
    <row r="6174" spans="3:3" x14ac:dyDescent="0.35">
      <c r="C6174" s="1"/>
    </row>
    <row r="6175" spans="3:3" x14ac:dyDescent="0.35">
      <c r="C6175" s="1"/>
    </row>
    <row r="6176" spans="3:3" x14ac:dyDescent="0.35">
      <c r="C6176" s="1"/>
    </row>
    <row r="6177" spans="3:3" x14ac:dyDescent="0.35">
      <c r="C6177" s="1"/>
    </row>
    <row r="6178" spans="3:3" x14ac:dyDescent="0.35">
      <c r="C6178" s="1"/>
    </row>
    <row r="6179" spans="3:3" x14ac:dyDescent="0.35">
      <c r="C6179" s="1"/>
    </row>
    <row r="6180" spans="3:3" x14ac:dyDescent="0.35">
      <c r="C6180" s="1"/>
    </row>
    <row r="6181" spans="3:3" x14ac:dyDescent="0.35">
      <c r="C6181" s="1"/>
    </row>
    <row r="6182" spans="3:3" x14ac:dyDescent="0.35">
      <c r="C6182" s="1"/>
    </row>
    <row r="6183" spans="3:3" x14ac:dyDescent="0.35">
      <c r="C6183" s="1"/>
    </row>
    <row r="6184" spans="3:3" x14ac:dyDescent="0.35">
      <c r="C6184" s="1"/>
    </row>
    <row r="6185" spans="3:3" x14ac:dyDescent="0.35">
      <c r="C6185" s="1"/>
    </row>
    <row r="6186" spans="3:3" x14ac:dyDescent="0.35">
      <c r="C6186" s="1"/>
    </row>
    <row r="6187" spans="3:3" x14ac:dyDescent="0.35">
      <c r="C6187" s="1"/>
    </row>
    <row r="6188" spans="3:3" x14ac:dyDescent="0.35">
      <c r="C6188" s="1"/>
    </row>
    <row r="6189" spans="3:3" x14ac:dyDescent="0.35">
      <c r="C6189" s="1"/>
    </row>
    <row r="6190" spans="3:3" x14ac:dyDescent="0.35">
      <c r="C6190" s="1"/>
    </row>
    <row r="6191" spans="3:3" x14ac:dyDescent="0.35">
      <c r="C6191" s="1"/>
    </row>
    <row r="6192" spans="3:3" x14ac:dyDescent="0.35">
      <c r="C6192" s="1"/>
    </row>
    <row r="6193" spans="3:3" x14ac:dyDescent="0.35">
      <c r="C6193" s="1"/>
    </row>
    <row r="6194" spans="3:3" x14ac:dyDescent="0.35">
      <c r="C6194" s="1"/>
    </row>
    <row r="6195" spans="3:3" x14ac:dyDescent="0.35">
      <c r="C6195" s="1"/>
    </row>
    <row r="6196" spans="3:3" x14ac:dyDescent="0.35">
      <c r="C6196" s="1"/>
    </row>
    <row r="6197" spans="3:3" x14ac:dyDescent="0.35">
      <c r="C6197" s="1"/>
    </row>
    <row r="6198" spans="3:3" x14ac:dyDescent="0.35">
      <c r="C6198" s="1"/>
    </row>
    <row r="6199" spans="3:3" x14ac:dyDescent="0.35">
      <c r="C6199" s="1"/>
    </row>
    <row r="6200" spans="3:3" x14ac:dyDescent="0.35">
      <c r="C6200" s="1"/>
    </row>
    <row r="6201" spans="3:3" x14ac:dyDescent="0.35">
      <c r="C6201" s="1"/>
    </row>
    <row r="6202" spans="3:3" x14ac:dyDescent="0.35">
      <c r="C6202" s="1"/>
    </row>
    <row r="6203" spans="3:3" x14ac:dyDescent="0.35">
      <c r="C6203" s="1"/>
    </row>
    <row r="6204" spans="3:3" x14ac:dyDescent="0.35">
      <c r="C6204" s="1"/>
    </row>
    <row r="6205" spans="3:3" x14ac:dyDescent="0.35">
      <c r="C6205" s="1"/>
    </row>
    <row r="6206" spans="3:3" x14ac:dyDescent="0.35">
      <c r="C6206" s="1"/>
    </row>
    <row r="6207" spans="3:3" x14ac:dyDescent="0.35">
      <c r="C6207" s="1"/>
    </row>
    <row r="6208" spans="3:3" x14ac:dyDescent="0.35">
      <c r="C6208" s="1"/>
    </row>
    <row r="6209" spans="3:3" x14ac:dyDescent="0.35">
      <c r="C6209" s="1"/>
    </row>
    <row r="6210" spans="3:3" x14ac:dyDescent="0.35">
      <c r="C6210" s="1"/>
    </row>
    <row r="6211" spans="3:3" x14ac:dyDescent="0.35">
      <c r="C6211" s="1"/>
    </row>
    <row r="6212" spans="3:3" x14ac:dyDescent="0.35">
      <c r="C6212" s="1"/>
    </row>
    <row r="6213" spans="3:3" x14ac:dyDescent="0.35">
      <c r="C6213" s="1"/>
    </row>
    <row r="6214" spans="3:3" x14ac:dyDescent="0.35">
      <c r="C6214" s="1"/>
    </row>
    <row r="6215" spans="3:3" x14ac:dyDescent="0.35">
      <c r="C6215" s="1"/>
    </row>
    <row r="6216" spans="3:3" x14ac:dyDescent="0.35">
      <c r="C6216" s="1"/>
    </row>
    <row r="6217" spans="3:3" x14ac:dyDescent="0.35">
      <c r="C6217" s="1"/>
    </row>
    <row r="6218" spans="3:3" x14ac:dyDescent="0.35">
      <c r="C6218" s="1"/>
    </row>
    <row r="6219" spans="3:3" x14ac:dyDescent="0.35">
      <c r="C6219" s="1"/>
    </row>
    <row r="6220" spans="3:3" x14ac:dyDescent="0.35">
      <c r="C6220" s="1"/>
    </row>
    <row r="6221" spans="3:3" x14ac:dyDescent="0.35">
      <c r="C6221" s="1"/>
    </row>
    <row r="6222" spans="3:3" x14ac:dyDescent="0.35">
      <c r="C6222" s="1"/>
    </row>
    <row r="6223" spans="3:3" x14ac:dyDescent="0.35">
      <c r="C6223" s="1"/>
    </row>
    <row r="6224" spans="3:3" x14ac:dyDescent="0.35">
      <c r="C6224" s="1"/>
    </row>
    <row r="6225" spans="3:3" x14ac:dyDescent="0.35">
      <c r="C6225" s="1"/>
    </row>
    <row r="6226" spans="3:3" x14ac:dyDescent="0.35">
      <c r="C6226" s="1"/>
    </row>
    <row r="6227" spans="3:3" x14ac:dyDescent="0.35">
      <c r="C6227" s="1"/>
    </row>
    <row r="6228" spans="3:3" x14ac:dyDescent="0.35">
      <c r="C6228" s="1"/>
    </row>
    <row r="6229" spans="3:3" x14ac:dyDescent="0.35">
      <c r="C6229" s="1"/>
    </row>
    <row r="6230" spans="3:3" x14ac:dyDescent="0.35">
      <c r="C6230" s="1"/>
    </row>
    <row r="6231" spans="3:3" x14ac:dyDescent="0.35">
      <c r="C6231" s="1"/>
    </row>
    <row r="6232" spans="3:3" x14ac:dyDescent="0.35">
      <c r="C6232" s="1"/>
    </row>
    <row r="6233" spans="3:3" x14ac:dyDescent="0.35">
      <c r="C6233" s="1"/>
    </row>
    <row r="6234" spans="3:3" x14ac:dyDescent="0.35">
      <c r="C6234" s="1"/>
    </row>
    <row r="6235" spans="3:3" x14ac:dyDescent="0.35">
      <c r="C6235" s="1"/>
    </row>
    <row r="6236" spans="3:3" x14ac:dyDescent="0.35">
      <c r="C6236" s="1"/>
    </row>
    <row r="6237" spans="3:3" x14ac:dyDescent="0.35">
      <c r="C6237" s="1"/>
    </row>
    <row r="6238" spans="3:3" x14ac:dyDescent="0.35">
      <c r="C6238" s="1"/>
    </row>
    <row r="6239" spans="3:3" x14ac:dyDescent="0.35">
      <c r="C6239" s="1"/>
    </row>
    <row r="6240" spans="3:3" x14ac:dyDescent="0.35">
      <c r="C6240" s="1"/>
    </row>
    <row r="6241" spans="3:3" x14ac:dyDescent="0.35">
      <c r="C6241" s="1"/>
    </row>
    <row r="6242" spans="3:3" x14ac:dyDescent="0.35">
      <c r="C6242" s="1"/>
    </row>
    <row r="6243" spans="3:3" x14ac:dyDescent="0.35">
      <c r="C6243" s="1"/>
    </row>
    <row r="6244" spans="3:3" x14ac:dyDescent="0.35">
      <c r="C6244" s="1"/>
    </row>
    <row r="6245" spans="3:3" x14ac:dyDescent="0.35">
      <c r="C6245" s="1"/>
    </row>
    <row r="6246" spans="3:3" x14ac:dyDescent="0.35">
      <c r="C6246" s="1"/>
    </row>
    <row r="6247" spans="3:3" x14ac:dyDescent="0.35">
      <c r="C6247" s="1"/>
    </row>
    <row r="6248" spans="3:3" x14ac:dyDescent="0.35">
      <c r="C6248" s="1"/>
    </row>
    <row r="6249" spans="3:3" x14ac:dyDescent="0.35">
      <c r="C6249" s="1"/>
    </row>
    <row r="6250" spans="3:3" x14ac:dyDescent="0.35">
      <c r="C6250" s="1"/>
    </row>
    <row r="6251" spans="3:3" x14ac:dyDescent="0.35">
      <c r="C6251" s="1"/>
    </row>
    <row r="6252" spans="3:3" x14ac:dyDescent="0.35">
      <c r="C6252" s="1"/>
    </row>
    <row r="6253" spans="3:3" x14ac:dyDescent="0.35">
      <c r="C6253" s="1"/>
    </row>
    <row r="6254" spans="3:3" x14ac:dyDescent="0.35">
      <c r="C6254" s="1"/>
    </row>
    <row r="6255" spans="3:3" x14ac:dyDescent="0.35">
      <c r="C6255" s="1"/>
    </row>
    <row r="6256" spans="3:3" x14ac:dyDescent="0.35">
      <c r="C6256" s="1"/>
    </row>
    <row r="6257" spans="3:3" x14ac:dyDescent="0.35">
      <c r="C6257" s="1"/>
    </row>
    <row r="6258" spans="3:3" x14ac:dyDescent="0.35">
      <c r="C6258" s="1"/>
    </row>
    <row r="6259" spans="3:3" x14ac:dyDescent="0.35">
      <c r="C6259" s="1"/>
    </row>
    <row r="6260" spans="3:3" x14ac:dyDescent="0.35">
      <c r="C6260" s="1"/>
    </row>
    <row r="6261" spans="3:3" x14ac:dyDescent="0.35">
      <c r="C6261" s="1"/>
    </row>
    <row r="6262" spans="3:3" x14ac:dyDescent="0.35">
      <c r="C6262" s="1"/>
    </row>
    <row r="6263" spans="3:3" x14ac:dyDescent="0.35">
      <c r="C6263" s="1"/>
    </row>
    <row r="6264" spans="3:3" x14ac:dyDescent="0.35">
      <c r="C6264" s="1"/>
    </row>
    <row r="6265" spans="3:3" x14ac:dyDescent="0.35">
      <c r="C6265" s="1"/>
    </row>
    <row r="6266" spans="3:3" x14ac:dyDescent="0.35">
      <c r="C6266" s="1"/>
    </row>
    <row r="6267" spans="3:3" x14ac:dyDescent="0.35">
      <c r="C6267" s="1"/>
    </row>
    <row r="6268" spans="3:3" x14ac:dyDescent="0.35">
      <c r="C6268" s="1"/>
    </row>
    <row r="6269" spans="3:3" x14ac:dyDescent="0.35">
      <c r="C6269" s="1"/>
    </row>
    <row r="6270" spans="3:3" x14ac:dyDescent="0.35">
      <c r="C6270" s="1"/>
    </row>
    <row r="6271" spans="3:3" x14ac:dyDescent="0.35">
      <c r="C6271" s="1"/>
    </row>
    <row r="6272" spans="3:3" x14ac:dyDescent="0.35">
      <c r="C6272" s="1"/>
    </row>
    <row r="6273" spans="3:3" x14ac:dyDescent="0.35">
      <c r="C6273" s="1"/>
    </row>
    <row r="6274" spans="3:3" x14ac:dyDescent="0.35">
      <c r="C6274" s="1"/>
    </row>
    <row r="6275" spans="3:3" x14ac:dyDescent="0.35">
      <c r="C6275" s="1"/>
    </row>
    <row r="6276" spans="3:3" x14ac:dyDescent="0.35">
      <c r="C6276" s="1"/>
    </row>
    <row r="6277" spans="3:3" x14ac:dyDescent="0.35">
      <c r="C6277" s="1"/>
    </row>
    <row r="6278" spans="3:3" x14ac:dyDescent="0.35">
      <c r="C6278" s="1"/>
    </row>
    <row r="6279" spans="3:3" x14ac:dyDescent="0.35">
      <c r="C6279" s="1"/>
    </row>
    <row r="6280" spans="3:3" x14ac:dyDescent="0.35">
      <c r="C6280" s="1"/>
    </row>
    <row r="6281" spans="3:3" x14ac:dyDescent="0.35">
      <c r="C6281" s="1"/>
    </row>
    <row r="6282" spans="3:3" x14ac:dyDescent="0.35">
      <c r="C6282" s="1"/>
    </row>
    <row r="6283" spans="3:3" x14ac:dyDescent="0.35">
      <c r="C6283" s="1"/>
    </row>
    <row r="6284" spans="3:3" x14ac:dyDescent="0.35">
      <c r="C6284" s="1"/>
    </row>
    <row r="6285" spans="3:3" x14ac:dyDescent="0.35">
      <c r="C6285" s="1"/>
    </row>
    <row r="6286" spans="3:3" x14ac:dyDescent="0.35">
      <c r="C6286" s="1"/>
    </row>
    <row r="6287" spans="3:3" x14ac:dyDescent="0.35">
      <c r="C6287" s="1"/>
    </row>
    <row r="6288" spans="3:3" x14ac:dyDescent="0.35">
      <c r="C6288" s="1"/>
    </row>
    <row r="6289" spans="3:3" x14ac:dyDescent="0.35">
      <c r="C6289" s="1"/>
    </row>
    <row r="6290" spans="3:3" x14ac:dyDescent="0.35">
      <c r="C6290" s="1"/>
    </row>
    <row r="6291" spans="3:3" x14ac:dyDescent="0.35">
      <c r="C6291" s="1"/>
    </row>
    <row r="6292" spans="3:3" x14ac:dyDescent="0.35">
      <c r="C6292" s="1"/>
    </row>
    <row r="6293" spans="3:3" x14ac:dyDescent="0.35">
      <c r="C6293" s="1"/>
    </row>
    <row r="6294" spans="3:3" x14ac:dyDescent="0.35">
      <c r="C6294" s="1"/>
    </row>
    <row r="6295" spans="3:3" x14ac:dyDescent="0.35">
      <c r="C6295" s="1"/>
    </row>
    <row r="6296" spans="3:3" x14ac:dyDescent="0.35">
      <c r="C6296" s="1"/>
    </row>
    <row r="6297" spans="3:3" x14ac:dyDescent="0.35">
      <c r="C6297" s="1"/>
    </row>
    <row r="6298" spans="3:3" x14ac:dyDescent="0.35">
      <c r="C6298" s="1"/>
    </row>
    <row r="6299" spans="3:3" x14ac:dyDescent="0.35">
      <c r="C6299" s="1"/>
    </row>
    <row r="6300" spans="3:3" x14ac:dyDescent="0.35">
      <c r="C6300" s="1"/>
    </row>
    <row r="6301" spans="3:3" x14ac:dyDescent="0.35">
      <c r="C6301" s="1"/>
    </row>
    <row r="6302" spans="3:3" x14ac:dyDescent="0.35">
      <c r="C6302" s="1"/>
    </row>
    <row r="6303" spans="3:3" x14ac:dyDescent="0.35">
      <c r="C6303" s="1"/>
    </row>
    <row r="6304" spans="3:3" x14ac:dyDescent="0.35">
      <c r="C6304" s="1"/>
    </row>
    <row r="6305" spans="3:3" x14ac:dyDescent="0.35">
      <c r="C6305" s="1"/>
    </row>
    <row r="6306" spans="3:3" x14ac:dyDescent="0.35">
      <c r="C6306" s="1"/>
    </row>
    <row r="6307" spans="3:3" x14ac:dyDescent="0.35">
      <c r="C6307" s="1"/>
    </row>
    <row r="6308" spans="3:3" x14ac:dyDescent="0.35">
      <c r="C6308" s="1"/>
    </row>
    <row r="6309" spans="3:3" x14ac:dyDescent="0.35">
      <c r="C6309" s="1"/>
    </row>
    <row r="6310" spans="3:3" x14ac:dyDescent="0.35">
      <c r="C6310" s="1"/>
    </row>
    <row r="6311" spans="3:3" x14ac:dyDescent="0.35">
      <c r="C6311" s="1"/>
    </row>
    <row r="6312" spans="3:3" x14ac:dyDescent="0.35">
      <c r="C6312" s="1"/>
    </row>
    <row r="6313" spans="3:3" x14ac:dyDescent="0.35">
      <c r="C6313" s="1"/>
    </row>
    <row r="6314" spans="3:3" x14ac:dyDescent="0.35">
      <c r="C6314" s="1"/>
    </row>
    <row r="6315" spans="3:3" x14ac:dyDescent="0.35">
      <c r="C6315" s="1"/>
    </row>
    <row r="6316" spans="3:3" x14ac:dyDescent="0.35">
      <c r="C6316" s="1"/>
    </row>
    <row r="6317" spans="3:3" x14ac:dyDescent="0.35">
      <c r="C6317" s="1"/>
    </row>
    <row r="6318" spans="3:3" x14ac:dyDescent="0.35">
      <c r="C6318" s="1"/>
    </row>
    <row r="6319" spans="3:3" x14ac:dyDescent="0.35">
      <c r="C6319" s="1"/>
    </row>
    <row r="6320" spans="3:3" x14ac:dyDescent="0.35">
      <c r="C6320" s="1"/>
    </row>
    <row r="6321" spans="3:3" x14ac:dyDescent="0.35">
      <c r="C6321" s="1"/>
    </row>
    <row r="6322" spans="3:3" x14ac:dyDescent="0.35">
      <c r="C6322" s="1"/>
    </row>
    <row r="6323" spans="3:3" x14ac:dyDescent="0.35">
      <c r="C6323" s="1"/>
    </row>
    <row r="6324" spans="3:3" x14ac:dyDescent="0.35">
      <c r="C6324" s="1"/>
    </row>
    <row r="6325" spans="3:3" x14ac:dyDescent="0.35">
      <c r="C6325" s="1"/>
    </row>
    <row r="6326" spans="3:3" x14ac:dyDescent="0.35">
      <c r="C6326" s="1"/>
    </row>
    <row r="6327" spans="3:3" x14ac:dyDescent="0.35">
      <c r="C6327" s="1"/>
    </row>
    <row r="6328" spans="3:3" x14ac:dyDescent="0.35">
      <c r="C6328" s="1"/>
    </row>
    <row r="6329" spans="3:3" x14ac:dyDescent="0.35">
      <c r="C6329" s="1"/>
    </row>
    <row r="6330" spans="3:3" x14ac:dyDescent="0.35">
      <c r="C6330" s="1"/>
    </row>
    <row r="6331" spans="3:3" x14ac:dyDescent="0.35">
      <c r="C6331" s="1"/>
    </row>
    <row r="6332" spans="3:3" x14ac:dyDescent="0.35">
      <c r="C6332" s="1"/>
    </row>
    <row r="6333" spans="3:3" x14ac:dyDescent="0.35">
      <c r="C6333" s="1"/>
    </row>
    <row r="6334" spans="3:3" x14ac:dyDescent="0.35">
      <c r="C6334" s="1"/>
    </row>
    <row r="6335" spans="3:3" x14ac:dyDescent="0.35">
      <c r="C6335" s="1"/>
    </row>
    <row r="6336" spans="3:3" x14ac:dyDescent="0.35">
      <c r="C6336" s="1"/>
    </row>
    <row r="6337" spans="3:3" x14ac:dyDescent="0.35">
      <c r="C6337" s="1"/>
    </row>
    <row r="6338" spans="3:3" x14ac:dyDescent="0.35">
      <c r="C6338" s="1"/>
    </row>
    <row r="6339" spans="3:3" x14ac:dyDescent="0.35">
      <c r="C6339" s="1"/>
    </row>
    <row r="6340" spans="3:3" x14ac:dyDescent="0.35">
      <c r="C6340" s="1"/>
    </row>
    <row r="6341" spans="3:3" x14ac:dyDescent="0.35">
      <c r="C6341" s="1"/>
    </row>
    <row r="6342" spans="3:3" x14ac:dyDescent="0.35">
      <c r="C6342" s="1"/>
    </row>
    <row r="6343" spans="3:3" x14ac:dyDescent="0.35">
      <c r="C6343" s="1"/>
    </row>
    <row r="6344" spans="3:3" x14ac:dyDescent="0.35">
      <c r="C6344" s="1"/>
    </row>
    <row r="6345" spans="3:3" x14ac:dyDescent="0.35">
      <c r="C6345" s="1"/>
    </row>
    <row r="6346" spans="3:3" x14ac:dyDescent="0.35">
      <c r="C6346" s="1"/>
    </row>
    <row r="6347" spans="3:3" x14ac:dyDescent="0.35">
      <c r="C6347" s="1"/>
    </row>
    <row r="6348" spans="3:3" x14ac:dyDescent="0.35">
      <c r="C6348" s="1"/>
    </row>
    <row r="6349" spans="3:3" x14ac:dyDescent="0.35">
      <c r="C6349" s="1"/>
    </row>
    <row r="6350" spans="3:3" x14ac:dyDescent="0.35">
      <c r="C6350" s="1"/>
    </row>
    <row r="6351" spans="3:3" x14ac:dyDescent="0.35">
      <c r="C6351" s="1"/>
    </row>
    <row r="6352" spans="3:3" x14ac:dyDescent="0.35">
      <c r="C6352" s="1"/>
    </row>
    <row r="6353" spans="3:3" x14ac:dyDescent="0.35">
      <c r="C6353" s="1"/>
    </row>
    <row r="6354" spans="3:3" x14ac:dyDescent="0.35">
      <c r="C6354" s="1"/>
    </row>
    <row r="6355" spans="3:3" x14ac:dyDescent="0.35">
      <c r="C6355" s="1"/>
    </row>
    <row r="6356" spans="3:3" x14ac:dyDescent="0.35">
      <c r="C6356" s="1"/>
    </row>
    <row r="6357" spans="3:3" x14ac:dyDescent="0.35">
      <c r="C6357" s="1"/>
    </row>
    <row r="6358" spans="3:3" x14ac:dyDescent="0.35">
      <c r="C6358" s="1"/>
    </row>
    <row r="6359" spans="3:3" x14ac:dyDescent="0.35">
      <c r="C6359" s="1"/>
    </row>
    <row r="6360" spans="3:3" x14ac:dyDescent="0.35">
      <c r="C6360" s="1"/>
    </row>
    <row r="6361" spans="3:3" x14ac:dyDescent="0.35">
      <c r="C6361" s="1"/>
    </row>
    <row r="6362" spans="3:3" x14ac:dyDescent="0.35">
      <c r="C6362" s="1"/>
    </row>
    <row r="6363" spans="3:3" x14ac:dyDescent="0.35">
      <c r="C6363" s="1"/>
    </row>
    <row r="6364" spans="3:3" x14ac:dyDescent="0.35">
      <c r="C6364" s="1"/>
    </row>
    <row r="6365" spans="3:3" x14ac:dyDescent="0.35">
      <c r="C6365" s="1"/>
    </row>
    <row r="6366" spans="3:3" x14ac:dyDescent="0.35">
      <c r="C6366" s="1"/>
    </row>
    <row r="6367" spans="3:3" x14ac:dyDescent="0.35">
      <c r="C6367" s="1"/>
    </row>
    <row r="6368" spans="3:3" x14ac:dyDescent="0.35">
      <c r="C6368" s="1"/>
    </row>
    <row r="6369" spans="3:3" x14ac:dyDescent="0.35">
      <c r="C6369" s="1"/>
    </row>
    <row r="6370" spans="3:3" x14ac:dyDescent="0.35">
      <c r="C6370" s="1"/>
    </row>
    <row r="6371" spans="3:3" x14ac:dyDescent="0.35">
      <c r="C6371" s="1"/>
    </row>
    <row r="6372" spans="3:3" x14ac:dyDescent="0.35">
      <c r="C6372" s="1"/>
    </row>
    <row r="6373" spans="3:3" x14ac:dyDescent="0.35">
      <c r="C6373" s="1"/>
    </row>
    <row r="6374" spans="3:3" x14ac:dyDescent="0.35">
      <c r="C6374" s="1"/>
    </row>
    <row r="6375" spans="3:3" x14ac:dyDescent="0.35">
      <c r="C6375" s="1"/>
    </row>
    <row r="6376" spans="3:3" x14ac:dyDescent="0.35">
      <c r="C6376" s="1"/>
    </row>
    <row r="6377" spans="3:3" x14ac:dyDescent="0.35">
      <c r="C6377" s="1"/>
    </row>
    <row r="6378" spans="3:3" x14ac:dyDescent="0.35">
      <c r="C6378" s="1"/>
    </row>
    <row r="6379" spans="3:3" x14ac:dyDescent="0.35">
      <c r="C6379" s="1"/>
    </row>
    <row r="6380" spans="3:3" x14ac:dyDescent="0.35">
      <c r="C6380" s="1"/>
    </row>
    <row r="6381" spans="3:3" x14ac:dyDescent="0.35">
      <c r="C6381" s="1"/>
    </row>
    <row r="6382" spans="3:3" x14ac:dyDescent="0.35">
      <c r="C6382" s="1"/>
    </row>
    <row r="6383" spans="3:3" x14ac:dyDescent="0.35">
      <c r="C6383" s="1"/>
    </row>
    <row r="6384" spans="3:3" x14ac:dyDescent="0.35">
      <c r="C6384" s="1"/>
    </row>
    <row r="6385" spans="3:3" x14ac:dyDescent="0.35">
      <c r="C6385" s="1"/>
    </row>
    <row r="6386" spans="3:3" x14ac:dyDescent="0.35">
      <c r="C6386" s="1"/>
    </row>
    <row r="6387" spans="3:3" x14ac:dyDescent="0.35">
      <c r="C6387" s="1"/>
    </row>
    <row r="6388" spans="3:3" x14ac:dyDescent="0.35">
      <c r="C6388" s="1"/>
    </row>
    <row r="6389" spans="3:3" x14ac:dyDescent="0.35">
      <c r="C6389" s="1"/>
    </row>
    <row r="6390" spans="3:3" x14ac:dyDescent="0.35">
      <c r="C6390" s="1"/>
    </row>
    <row r="6391" spans="3:3" x14ac:dyDescent="0.35">
      <c r="C6391" s="1"/>
    </row>
    <row r="6392" spans="3:3" x14ac:dyDescent="0.35">
      <c r="C6392" s="1"/>
    </row>
    <row r="6393" spans="3:3" x14ac:dyDescent="0.35">
      <c r="C6393" s="1"/>
    </row>
    <row r="6394" spans="3:3" x14ac:dyDescent="0.35">
      <c r="C6394" s="1"/>
    </row>
    <row r="6395" spans="3:3" x14ac:dyDescent="0.35">
      <c r="C6395" s="1"/>
    </row>
    <row r="6396" spans="3:3" x14ac:dyDescent="0.35">
      <c r="C6396" s="1"/>
    </row>
    <row r="6397" spans="3:3" x14ac:dyDescent="0.35">
      <c r="C6397" s="1"/>
    </row>
    <row r="6398" spans="3:3" x14ac:dyDescent="0.35">
      <c r="C6398" s="1"/>
    </row>
    <row r="6399" spans="3:3" x14ac:dyDescent="0.35">
      <c r="C6399" s="1"/>
    </row>
    <row r="6400" spans="3:3" x14ac:dyDescent="0.35">
      <c r="C6400" s="1"/>
    </row>
    <row r="6401" spans="3:3" x14ac:dyDescent="0.35">
      <c r="C6401" s="1"/>
    </row>
    <row r="6402" spans="3:3" x14ac:dyDescent="0.35">
      <c r="C6402" s="1"/>
    </row>
    <row r="6403" spans="3:3" x14ac:dyDescent="0.35">
      <c r="C6403" s="1"/>
    </row>
    <row r="6404" spans="3:3" x14ac:dyDescent="0.35">
      <c r="C6404" s="1"/>
    </row>
    <row r="6405" spans="3:3" x14ac:dyDescent="0.35">
      <c r="C6405" s="1"/>
    </row>
    <row r="6406" spans="3:3" x14ac:dyDescent="0.35">
      <c r="C6406" s="1"/>
    </row>
    <row r="6407" spans="3:3" x14ac:dyDescent="0.35">
      <c r="C6407" s="1"/>
    </row>
    <row r="6408" spans="3:3" x14ac:dyDescent="0.35">
      <c r="C6408" s="1"/>
    </row>
    <row r="6409" spans="3:3" x14ac:dyDescent="0.35">
      <c r="C6409" s="1"/>
    </row>
    <row r="6410" spans="3:3" x14ac:dyDescent="0.35">
      <c r="C6410" s="1"/>
    </row>
    <row r="6411" spans="3:3" x14ac:dyDescent="0.35">
      <c r="C6411" s="1"/>
    </row>
    <row r="6412" spans="3:3" x14ac:dyDescent="0.35">
      <c r="C6412" s="1"/>
    </row>
    <row r="6413" spans="3:3" x14ac:dyDescent="0.35">
      <c r="C6413" s="1"/>
    </row>
    <row r="6414" spans="3:3" x14ac:dyDescent="0.35">
      <c r="C6414" s="1"/>
    </row>
    <row r="6415" spans="3:3" x14ac:dyDescent="0.35">
      <c r="C6415" s="1"/>
    </row>
    <row r="6416" spans="3:3" x14ac:dyDescent="0.35">
      <c r="C6416" s="1"/>
    </row>
    <row r="6417" spans="3:3" x14ac:dyDescent="0.35">
      <c r="C6417" s="1"/>
    </row>
    <row r="6418" spans="3:3" x14ac:dyDescent="0.35">
      <c r="C6418" s="1"/>
    </row>
    <row r="6419" spans="3:3" x14ac:dyDescent="0.35">
      <c r="C6419" s="1"/>
    </row>
    <row r="6420" spans="3:3" x14ac:dyDescent="0.35">
      <c r="C6420" s="1"/>
    </row>
    <row r="6421" spans="3:3" x14ac:dyDescent="0.35">
      <c r="C6421" s="1"/>
    </row>
    <row r="6422" spans="3:3" x14ac:dyDescent="0.35">
      <c r="C6422" s="1"/>
    </row>
    <row r="6423" spans="3:3" x14ac:dyDescent="0.35">
      <c r="C6423" s="1"/>
    </row>
    <row r="6424" spans="3:3" x14ac:dyDescent="0.35">
      <c r="C6424" s="1"/>
    </row>
    <row r="6425" spans="3:3" x14ac:dyDescent="0.35">
      <c r="C6425" s="1"/>
    </row>
    <row r="6426" spans="3:3" x14ac:dyDescent="0.35">
      <c r="C6426" s="1"/>
    </row>
    <row r="6427" spans="3:3" x14ac:dyDescent="0.35">
      <c r="C6427" s="1"/>
    </row>
    <row r="6428" spans="3:3" x14ac:dyDescent="0.35">
      <c r="C6428" s="1"/>
    </row>
    <row r="6429" spans="3:3" x14ac:dyDescent="0.35">
      <c r="C6429" s="1"/>
    </row>
    <row r="6430" spans="3:3" x14ac:dyDescent="0.35">
      <c r="C6430" s="1"/>
    </row>
    <row r="6431" spans="3:3" x14ac:dyDescent="0.35">
      <c r="C6431" s="1"/>
    </row>
    <row r="6432" spans="3:3" x14ac:dyDescent="0.35">
      <c r="C6432" s="1"/>
    </row>
    <row r="6433" spans="3:3" x14ac:dyDescent="0.35">
      <c r="C6433" s="1"/>
    </row>
    <row r="6434" spans="3:3" x14ac:dyDescent="0.35">
      <c r="C6434" s="1"/>
    </row>
    <row r="6435" spans="3:3" x14ac:dyDescent="0.35">
      <c r="C6435" s="1"/>
    </row>
    <row r="6436" spans="3:3" x14ac:dyDescent="0.35">
      <c r="C6436" s="1"/>
    </row>
    <row r="6437" spans="3:3" x14ac:dyDescent="0.35">
      <c r="C6437" s="1"/>
    </row>
    <row r="6438" spans="3:3" x14ac:dyDescent="0.35">
      <c r="C6438" s="1"/>
    </row>
    <row r="6439" spans="3:3" x14ac:dyDescent="0.35">
      <c r="C6439" s="1"/>
    </row>
    <row r="6440" spans="3:3" x14ac:dyDescent="0.35">
      <c r="C6440" s="1"/>
    </row>
    <row r="6441" spans="3:3" x14ac:dyDescent="0.35">
      <c r="C6441" s="1"/>
    </row>
    <row r="6442" spans="3:3" x14ac:dyDescent="0.35">
      <c r="C6442" s="1"/>
    </row>
    <row r="6443" spans="3:3" x14ac:dyDescent="0.35">
      <c r="C6443" s="1"/>
    </row>
    <row r="6444" spans="3:3" x14ac:dyDescent="0.35">
      <c r="C6444" s="1"/>
    </row>
    <row r="6445" spans="3:3" x14ac:dyDescent="0.35">
      <c r="C6445" s="1"/>
    </row>
    <row r="6446" spans="3:3" x14ac:dyDescent="0.35">
      <c r="C6446" s="1"/>
    </row>
    <row r="6447" spans="3:3" x14ac:dyDescent="0.35">
      <c r="C6447" s="1"/>
    </row>
    <row r="6448" spans="3:3" x14ac:dyDescent="0.35">
      <c r="C6448" s="1"/>
    </row>
    <row r="6449" spans="3:3" x14ac:dyDescent="0.35">
      <c r="C6449" s="1"/>
    </row>
    <row r="6450" spans="3:3" x14ac:dyDescent="0.35">
      <c r="C6450" s="1"/>
    </row>
    <row r="6451" spans="3:3" x14ac:dyDescent="0.35">
      <c r="C6451" s="1"/>
    </row>
    <row r="6452" spans="3:3" x14ac:dyDescent="0.35">
      <c r="C6452" s="1"/>
    </row>
    <row r="6453" spans="3:3" x14ac:dyDescent="0.35">
      <c r="C6453" s="1"/>
    </row>
    <row r="6454" spans="3:3" x14ac:dyDescent="0.35">
      <c r="C6454" s="1"/>
    </row>
    <row r="6455" spans="3:3" x14ac:dyDescent="0.35">
      <c r="C6455" s="1"/>
    </row>
    <row r="6456" spans="3:3" x14ac:dyDescent="0.35">
      <c r="C6456" s="1"/>
    </row>
    <row r="6457" spans="3:3" x14ac:dyDescent="0.35">
      <c r="C6457" s="1"/>
    </row>
    <row r="6458" spans="3:3" x14ac:dyDescent="0.35">
      <c r="C6458" s="1"/>
    </row>
    <row r="6459" spans="3:3" x14ac:dyDescent="0.35">
      <c r="C6459" s="1"/>
    </row>
    <row r="6460" spans="3:3" x14ac:dyDescent="0.35">
      <c r="C6460" s="1"/>
    </row>
    <row r="6461" spans="3:3" x14ac:dyDescent="0.35">
      <c r="C6461" s="1"/>
    </row>
    <row r="6462" spans="3:3" x14ac:dyDescent="0.35">
      <c r="C6462" s="1"/>
    </row>
    <row r="6463" spans="3:3" x14ac:dyDescent="0.35">
      <c r="C6463" s="1"/>
    </row>
    <row r="6464" spans="3:3" x14ac:dyDescent="0.35">
      <c r="C6464" s="1"/>
    </row>
    <row r="6465" spans="3:3" x14ac:dyDescent="0.35">
      <c r="C6465" s="1"/>
    </row>
    <row r="6466" spans="3:3" x14ac:dyDescent="0.35">
      <c r="C6466" s="1"/>
    </row>
    <row r="6467" spans="3:3" x14ac:dyDescent="0.35">
      <c r="C6467" s="1"/>
    </row>
    <row r="6468" spans="3:3" x14ac:dyDescent="0.35">
      <c r="C6468" s="1"/>
    </row>
    <row r="6469" spans="3:3" x14ac:dyDescent="0.35">
      <c r="C6469" s="1"/>
    </row>
    <row r="6470" spans="3:3" x14ac:dyDescent="0.35">
      <c r="C6470" s="1"/>
    </row>
    <row r="6471" spans="3:3" x14ac:dyDescent="0.35">
      <c r="C6471" s="1"/>
    </row>
    <row r="6472" spans="3:3" x14ac:dyDescent="0.35">
      <c r="C6472" s="1"/>
    </row>
    <row r="6473" spans="3:3" x14ac:dyDescent="0.35">
      <c r="C6473" s="1"/>
    </row>
    <row r="6474" spans="3:3" x14ac:dyDescent="0.35">
      <c r="C6474" s="1"/>
    </row>
    <row r="6475" spans="3:3" x14ac:dyDescent="0.35">
      <c r="C6475" s="1"/>
    </row>
    <row r="6476" spans="3:3" x14ac:dyDescent="0.35">
      <c r="C6476" s="1"/>
    </row>
    <row r="6477" spans="3:3" x14ac:dyDescent="0.35">
      <c r="C6477" s="1"/>
    </row>
    <row r="6478" spans="3:3" x14ac:dyDescent="0.35">
      <c r="C6478" s="1"/>
    </row>
    <row r="6479" spans="3:3" x14ac:dyDescent="0.35">
      <c r="C6479" s="1"/>
    </row>
    <row r="6480" spans="3:3" x14ac:dyDescent="0.35">
      <c r="C6480" s="1"/>
    </row>
    <row r="6481" spans="3:3" x14ac:dyDescent="0.35">
      <c r="C6481" s="1"/>
    </row>
    <row r="6482" spans="3:3" x14ac:dyDescent="0.35">
      <c r="C6482" s="1"/>
    </row>
    <row r="6483" spans="3:3" x14ac:dyDescent="0.35">
      <c r="C6483" s="1"/>
    </row>
    <row r="6484" spans="3:3" x14ac:dyDescent="0.35">
      <c r="C6484" s="1"/>
    </row>
    <row r="6485" spans="3:3" x14ac:dyDescent="0.35">
      <c r="C6485" s="1"/>
    </row>
    <row r="6486" spans="3:3" x14ac:dyDescent="0.35">
      <c r="C6486" s="1"/>
    </row>
    <row r="6487" spans="3:3" x14ac:dyDescent="0.35">
      <c r="C6487" s="1"/>
    </row>
    <row r="6488" spans="3:3" x14ac:dyDescent="0.35">
      <c r="C6488" s="1"/>
    </row>
    <row r="6489" spans="3:3" x14ac:dyDescent="0.35">
      <c r="C6489" s="1"/>
    </row>
    <row r="6490" spans="3:3" x14ac:dyDescent="0.35">
      <c r="C6490" s="1"/>
    </row>
    <row r="6491" spans="3:3" x14ac:dyDescent="0.35">
      <c r="C6491" s="1"/>
    </row>
    <row r="6492" spans="3:3" x14ac:dyDescent="0.35">
      <c r="C6492" s="1"/>
    </row>
    <row r="6493" spans="3:3" x14ac:dyDescent="0.35">
      <c r="C6493" s="1"/>
    </row>
    <row r="6494" spans="3:3" x14ac:dyDescent="0.35">
      <c r="C6494" s="1"/>
    </row>
    <row r="6495" spans="3:3" x14ac:dyDescent="0.35">
      <c r="C6495" s="1"/>
    </row>
    <row r="6496" spans="3:3" x14ac:dyDescent="0.35">
      <c r="C6496" s="1"/>
    </row>
    <row r="6497" spans="3:3" x14ac:dyDescent="0.35">
      <c r="C6497" s="1"/>
    </row>
    <row r="6498" spans="3:3" x14ac:dyDescent="0.35">
      <c r="C6498" s="1"/>
    </row>
    <row r="6499" spans="3:3" x14ac:dyDescent="0.35">
      <c r="C6499" s="1"/>
    </row>
    <row r="6500" spans="3:3" x14ac:dyDescent="0.35">
      <c r="C6500" s="1"/>
    </row>
    <row r="6501" spans="3:3" x14ac:dyDescent="0.35">
      <c r="C6501" s="1"/>
    </row>
    <row r="6502" spans="3:3" x14ac:dyDescent="0.35">
      <c r="C6502" s="1"/>
    </row>
    <row r="6503" spans="3:3" x14ac:dyDescent="0.35">
      <c r="C6503" s="1"/>
    </row>
    <row r="6504" spans="3:3" x14ac:dyDescent="0.35">
      <c r="C6504" s="1"/>
    </row>
    <row r="6505" spans="3:3" x14ac:dyDescent="0.35">
      <c r="C6505" s="1"/>
    </row>
    <row r="6506" spans="3:3" x14ac:dyDescent="0.35">
      <c r="C6506" s="1"/>
    </row>
    <row r="6507" spans="3:3" x14ac:dyDescent="0.35">
      <c r="C6507" s="1"/>
    </row>
    <row r="6508" spans="3:3" x14ac:dyDescent="0.35">
      <c r="C6508" s="1"/>
    </row>
    <row r="6509" spans="3:3" x14ac:dyDescent="0.35">
      <c r="C6509" s="1"/>
    </row>
    <row r="6510" spans="3:3" x14ac:dyDescent="0.35">
      <c r="C6510" s="1"/>
    </row>
    <row r="6511" spans="3:3" x14ac:dyDescent="0.35">
      <c r="C6511" s="1"/>
    </row>
    <row r="6512" spans="3:3" x14ac:dyDescent="0.35">
      <c r="C6512" s="1"/>
    </row>
    <row r="6513" spans="3:3" x14ac:dyDescent="0.35">
      <c r="C6513" s="1"/>
    </row>
    <row r="6514" spans="3:3" x14ac:dyDescent="0.35">
      <c r="C6514" s="1"/>
    </row>
    <row r="6515" spans="3:3" x14ac:dyDescent="0.35">
      <c r="C6515" s="1"/>
    </row>
    <row r="6516" spans="3:3" x14ac:dyDescent="0.35">
      <c r="C6516" s="1"/>
    </row>
    <row r="6517" spans="3:3" x14ac:dyDescent="0.35">
      <c r="C6517" s="1"/>
    </row>
    <row r="6518" spans="3:3" x14ac:dyDescent="0.35">
      <c r="C6518" s="1"/>
    </row>
    <row r="6519" spans="3:3" x14ac:dyDescent="0.35">
      <c r="C6519" s="1"/>
    </row>
    <row r="6520" spans="3:3" x14ac:dyDescent="0.35">
      <c r="C6520" s="1"/>
    </row>
    <row r="6521" spans="3:3" x14ac:dyDescent="0.35">
      <c r="C6521" s="1"/>
    </row>
    <row r="6522" spans="3:3" x14ac:dyDescent="0.35">
      <c r="C6522" s="1"/>
    </row>
    <row r="6523" spans="3:3" x14ac:dyDescent="0.35">
      <c r="C6523" s="1"/>
    </row>
    <row r="6524" spans="3:3" x14ac:dyDescent="0.35">
      <c r="C6524" s="1"/>
    </row>
    <row r="6525" spans="3:3" x14ac:dyDescent="0.35">
      <c r="C6525" s="1"/>
    </row>
    <row r="6526" spans="3:3" x14ac:dyDescent="0.35">
      <c r="C6526" s="1"/>
    </row>
    <row r="6527" spans="3:3" x14ac:dyDescent="0.35">
      <c r="C6527" s="1"/>
    </row>
    <row r="6528" spans="3:3" x14ac:dyDescent="0.35">
      <c r="C6528" s="1"/>
    </row>
    <row r="6529" spans="3:3" x14ac:dyDescent="0.35">
      <c r="C6529" s="1"/>
    </row>
    <row r="6530" spans="3:3" x14ac:dyDescent="0.35">
      <c r="C6530" s="1"/>
    </row>
    <row r="6531" spans="3:3" x14ac:dyDescent="0.35">
      <c r="C6531" s="1"/>
    </row>
    <row r="6532" spans="3:3" x14ac:dyDescent="0.35">
      <c r="C6532" s="1"/>
    </row>
    <row r="6533" spans="3:3" x14ac:dyDescent="0.35">
      <c r="C6533" s="1"/>
    </row>
    <row r="6534" spans="3:3" x14ac:dyDescent="0.35">
      <c r="C6534" s="1"/>
    </row>
    <row r="6535" spans="3:3" x14ac:dyDescent="0.35">
      <c r="C6535" s="1"/>
    </row>
    <row r="6536" spans="3:3" x14ac:dyDescent="0.35">
      <c r="C6536" s="1"/>
    </row>
    <row r="6537" spans="3:3" x14ac:dyDescent="0.35">
      <c r="C6537" s="1"/>
    </row>
    <row r="6538" spans="3:3" x14ac:dyDescent="0.35">
      <c r="C6538" s="1"/>
    </row>
    <row r="6539" spans="3:3" x14ac:dyDescent="0.35">
      <c r="C6539" s="1"/>
    </row>
    <row r="6540" spans="3:3" x14ac:dyDescent="0.35">
      <c r="C6540" s="1"/>
    </row>
    <row r="6541" spans="3:3" x14ac:dyDescent="0.35">
      <c r="C6541" s="1"/>
    </row>
    <row r="6542" spans="3:3" x14ac:dyDescent="0.35">
      <c r="C6542" s="1"/>
    </row>
    <row r="6543" spans="3:3" x14ac:dyDescent="0.35">
      <c r="C6543" s="1"/>
    </row>
    <row r="6544" spans="3:3" x14ac:dyDescent="0.35">
      <c r="C6544" s="1"/>
    </row>
    <row r="6545" spans="3:3" x14ac:dyDescent="0.35">
      <c r="C6545" s="1"/>
    </row>
    <row r="6546" spans="3:3" x14ac:dyDescent="0.35">
      <c r="C6546" s="1"/>
    </row>
    <row r="6547" spans="3:3" x14ac:dyDescent="0.35">
      <c r="C6547" s="1"/>
    </row>
    <row r="6548" spans="3:3" x14ac:dyDescent="0.35">
      <c r="C6548" s="1"/>
    </row>
    <row r="6549" spans="3:3" x14ac:dyDescent="0.35">
      <c r="C6549" s="1"/>
    </row>
    <row r="6550" spans="3:3" x14ac:dyDescent="0.35">
      <c r="C6550" s="1"/>
    </row>
    <row r="6551" spans="3:3" x14ac:dyDescent="0.35">
      <c r="C6551" s="1"/>
    </row>
    <row r="6552" spans="3:3" x14ac:dyDescent="0.35">
      <c r="C6552" s="1"/>
    </row>
    <row r="6553" spans="3:3" x14ac:dyDescent="0.35">
      <c r="C6553" s="1"/>
    </row>
    <row r="6554" spans="3:3" x14ac:dyDescent="0.35">
      <c r="C6554" s="1"/>
    </row>
    <row r="6555" spans="3:3" x14ac:dyDescent="0.35">
      <c r="C6555" s="1"/>
    </row>
    <row r="6556" spans="3:3" x14ac:dyDescent="0.35">
      <c r="C6556" s="1"/>
    </row>
    <row r="6557" spans="3:3" x14ac:dyDescent="0.35">
      <c r="C6557" s="1"/>
    </row>
    <row r="6558" spans="3:3" x14ac:dyDescent="0.35">
      <c r="C6558" s="1"/>
    </row>
    <row r="6559" spans="3:3" x14ac:dyDescent="0.35">
      <c r="C6559" s="1"/>
    </row>
    <row r="6560" spans="3:3" x14ac:dyDescent="0.35">
      <c r="C6560" s="1"/>
    </row>
    <row r="6561" spans="3:3" x14ac:dyDescent="0.35">
      <c r="C6561" s="1"/>
    </row>
    <row r="6562" spans="3:3" x14ac:dyDescent="0.35">
      <c r="C6562" s="1"/>
    </row>
    <row r="6563" spans="3:3" x14ac:dyDescent="0.35">
      <c r="C6563" s="1"/>
    </row>
    <row r="6564" spans="3:3" x14ac:dyDescent="0.35">
      <c r="C6564" s="1"/>
    </row>
    <row r="6565" spans="3:3" x14ac:dyDescent="0.35">
      <c r="C6565" s="1"/>
    </row>
    <row r="6566" spans="3:3" x14ac:dyDescent="0.35">
      <c r="C6566" s="1"/>
    </row>
    <row r="6567" spans="3:3" x14ac:dyDescent="0.35">
      <c r="C6567" s="1"/>
    </row>
    <row r="6568" spans="3:3" x14ac:dyDescent="0.35">
      <c r="C6568" s="1"/>
    </row>
    <row r="6569" spans="3:3" x14ac:dyDescent="0.35">
      <c r="C6569" s="1"/>
    </row>
    <row r="6570" spans="3:3" x14ac:dyDescent="0.35">
      <c r="C6570" s="1"/>
    </row>
    <row r="6571" spans="3:3" x14ac:dyDescent="0.35">
      <c r="C6571" s="1"/>
    </row>
    <row r="6572" spans="3:3" x14ac:dyDescent="0.35">
      <c r="C6572" s="1"/>
    </row>
    <row r="6573" spans="3:3" x14ac:dyDescent="0.35">
      <c r="C6573" s="1"/>
    </row>
    <row r="6574" spans="3:3" x14ac:dyDescent="0.35">
      <c r="C6574" s="1"/>
    </row>
    <row r="6575" spans="3:3" x14ac:dyDescent="0.35">
      <c r="C6575" s="1"/>
    </row>
    <row r="6576" spans="3:3" x14ac:dyDescent="0.35">
      <c r="C6576" s="1"/>
    </row>
    <row r="6577" spans="3:3" x14ac:dyDescent="0.35">
      <c r="C6577" s="1"/>
    </row>
    <row r="6578" spans="3:3" x14ac:dyDescent="0.35">
      <c r="C6578" s="1"/>
    </row>
    <row r="6579" spans="3:3" x14ac:dyDescent="0.35">
      <c r="C6579" s="1"/>
    </row>
    <row r="6580" spans="3:3" x14ac:dyDescent="0.35">
      <c r="C6580" s="1"/>
    </row>
    <row r="6581" spans="3:3" x14ac:dyDescent="0.35">
      <c r="C6581" s="1"/>
    </row>
    <row r="6582" spans="3:3" x14ac:dyDescent="0.35">
      <c r="C6582" s="1"/>
    </row>
    <row r="6583" spans="3:3" x14ac:dyDescent="0.35">
      <c r="C6583" s="1"/>
    </row>
    <row r="6584" spans="3:3" x14ac:dyDescent="0.35">
      <c r="C6584" s="1"/>
    </row>
    <row r="6585" spans="3:3" x14ac:dyDescent="0.35">
      <c r="C6585" s="1"/>
    </row>
    <row r="6586" spans="3:3" x14ac:dyDescent="0.35">
      <c r="C6586" s="1"/>
    </row>
    <row r="6587" spans="3:3" x14ac:dyDescent="0.35">
      <c r="C6587" s="1"/>
    </row>
    <row r="6588" spans="3:3" x14ac:dyDescent="0.35">
      <c r="C6588" s="1"/>
    </row>
    <row r="6589" spans="3:3" x14ac:dyDescent="0.35">
      <c r="C6589" s="1"/>
    </row>
    <row r="6590" spans="3:3" x14ac:dyDescent="0.35">
      <c r="C6590" s="1"/>
    </row>
    <row r="6591" spans="3:3" x14ac:dyDescent="0.35">
      <c r="C6591" s="1"/>
    </row>
    <row r="6592" spans="3:3" x14ac:dyDescent="0.35">
      <c r="C6592" s="1"/>
    </row>
    <row r="6593" spans="3:3" x14ac:dyDescent="0.35">
      <c r="C6593" s="1"/>
    </row>
    <row r="6594" spans="3:3" x14ac:dyDescent="0.35">
      <c r="C6594" s="1"/>
    </row>
    <row r="6595" spans="3:3" x14ac:dyDescent="0.35">
      <c r="C6595" s="1"/>
    </row>
    <row r="6596" spans="3:3" x14ac:dyDescent="0.35">
      <c r="C6596" s="1"/>
    </row>
    <row r="6597" spans="3:3" x14ac:dyDescent="0.35">
      <c r="C6597" s="1"/>
    </row>
    <row r="6598" spans="3:3" x14ac:dyDescent="0.35">
      <c r="C6598" s="1"/>
    </row>
    <row r="6599" spans="3:3" x14ac:dyDescent="0.35">
      <c r="C6599" s="1"/>
    </row>
    <row r="6600" spans="3:3" x14ac:dyDescent="0.35">
      <c r="C6600" s="1"/>
    </row>
    <row r="6601" spans="3:3" x14ac:dyDescent="0.35">
      <c r="C6601" s="1"/>
    </row>
    <row r="6602" spans="3:3" x14ac:dyDescent="0.35">
      <c r="C6602" s="1"/>
    </row>
    <row r="6603" spans="3:3" x14ac:dyDescent="0.35">
      <c r="C6603" s="1"/>
    </row>
    <row r="6604" spans="3:3" x14ac:dyDescent="0.35">
      <c r="C6604" s="1"/>
    </row>
    <row r="6605" spans="3:3" x14ac:dyDescent="0.35">
      <c r="C6605" s="1"/>
    </row>
    <row r="6606" spans="3:3" x14ac:dyDescent="0.35">
      <c r="C6606" s="1"/>
    </row>
    <row r="6607" spans="3:3" x14ac:dyDescent="0.35">
      <c r="C6607" s="1"/>
    </row>
    <row r="6608" spans="3:3" x14ac:dyDescent="0.35">
      <c r="C6608" s="1"/>
    </row>
    <row r="6609" spans="3:3" x14ac:dyDescent="0.35">
      <c r="C6609" s="1"/>
    </row>
    <row r="6610" spans="3:3" x14ac:dyDescent="0.35">
      <c r="C6610" s="1"/>
    </row>
    <row r="6611" spans="3:3" x14ac:dyDescent="0.35">
      <c r="C6611" s="1"/>
    </row>
    <row r="6612" spans="3:3" x14ac:dyDescent="0.35">
      <c r="C6612" s="1"/>
    </row>
    <row r="6613" spans="3:3" x14ac:dyDescent="0.35">
      <c r="C6613" s="1"/>
    </row>
    <row r="6614" spans="3:3" x14ac:dyDescent="0.35">
      <c r="C6614" s="1"/>
    </row>
    <row r="6615" spans="3:3" x14ac:dyDescent="0.35">
      <c r="C6615" s="1"/>
    </row>
    <row r="6616" spans="3:3" x14ac:dyDescent="0.35">
      <c r="C6616" s="1"/>
    </row>
    <row r="6617" spans="3:3" x14ac:dyDescent="0.35">
      <c r="C6617" s="1"/>
    </row>
    <row r="6618" spans="3:3" x14ac:dyDescent="0.35">
      <c r="C6618" s="1"/>
    </row>
    <row r="6619" spans="3:3" x14ac:dyDescent="0.35">
      <c r="C6619" s="1"/>
    </row>
    <row r="6620" spans="3:3" x14ac:dyDescent="0.35">
      <c r="C6620" s="1"/>
    </row>
    <row r="6621" spans="3:3" x14ac:dyDescent="0.35">
      <c r="C6621" s="1"/>
    </row>
    <row r="6622" spans="3:3" x14ac:dyDescent="0.35">
      <c r="C6622" s="1"/>
    </row>
    <row r="6623" spans="3:3" x14ac:dyDescent="0.35">
      <c r="C6623" s="1"/>
    </row>
    <row r="6624" spans="3:3" x14ac:dyDescent="0.35">
      <c r="C6624" s="1"/>
    </row>
    <row r="6625" spans="3:3" x14ac:dyDescent="0.35">
      <c r="C6625" s="1"/>
    </row>
    <row r="6626" spans="3:3" x14ac:dyDescent="0.35">
      <c r="C6626" s="1"/>
    </row>
    <row r="6627" spans="3:3" x14ac:dyDescent="0.35">
      <c r="C6627" s="1"/>
    </row>
    <row r="6628" spans="3:3" x14ac:dyDescent="0.35">
      <c r="C6628" s="1"/>
    </row>
    <row r="6629" spans="3:3" x14ac:dyDescent="0.35">
      <c r="C6629" s="1"/>
    </row>
    <row r="6630" spans="3:3" x14ac:dyDescent="0.35">
      <c r="C6630" s="1"/>
    </row>
    <row r="6631" spans="3:3" x14ac:dyDescent="0.35">
      <c r="C6631" s="1"/>
    </row>
    <row r="6632" spans="3:3" x14ac:dyDescent="0.35">
      <c r="C6632" s="1"/>
    </row>
    <row r="6633" spans="3:3" x14ac:dyDescent="0.35">
      <c r="C6633" s="1"/>
    </row>
    <row r="6634" spans="3:3" x14ac:dyDescent="0.35">
      <c r="C6634" s="1"/>
    </row>
    <row r="6635" spans="3:3" x14ac:dyDescent="0.35">
      <c r="C6635" s="1"/>
    </row>
    <row r="6636" spans="3:3" x14ac:dyDescent="0.35">
      <c r="C6636" s="1"/>
    </row>
    <row r="6637" spans="3:3" x14ac:dyDescent="0.35">
      <c r="C6637" s="1"/>
    </row>
    <row r="6638" spans="3:3" x14ac:dyDescent="0.35">
      <c r="C6638" s="1"/>
    </row>
    <row r="6639" spans="3:3" x14ac:dyDescent="0.35">
      <c r="C6639" s="1"/>
    </row>
    <row r="6640" spans="3:3" x14ac:dyDescent="0.35">
      <c r="C6640" s="1"/>
    </row>
    <row r="6641" spans="3:3" x14ac:dyDescent="0.35">
      <c r="C6641" s="1"/>
    </row>
    <row r="6642" spans="3:3" x14ac:dyDescent="0.35">
      <c r="C6642" s="1"/>
    </row>
    <row r="6643" spans="3:3" x14ac:dyDescent="0.35">
      <c r="C6643" s="1"/>
    </row>
    <row r="6644" spans="3:3" x14ac:dyDescent="0.35">
      <c r="C6644" s="1"/>
    </row>
    <row r="6645" spans="3:3" x14ac:dyDescent="0.35">
      <c r="C6645" s="1"/>
    </row>
    <row r="6646" spans="3:3" x14ac:dyDescent="0.35">
      <c r="C6646" s="1"/>
    </row>
    <row r="6647" spans="3:3" x14ac:dyDescent="0.35">
      <c r="C6647" s="1"/>
    </row>
    <row r="6648" spans="3:3" x14ac:dyDescent="0.35">
      <c r="C6648" s="1"/>
    </row>
    <row r="6649" spans="3:3" x14ac:dyDescent="0.35">
      <c r="C6649" s="1"/>
    </row>
    <row r="6650" spans="3:3" x14ac:dyDescent="0.35">
      <c r="C6650" s="1"/>
    </row>
    <row r="6651" spans="3:3" x14ac:dyDescent="0.35">
      <c r="C6651" s="1"/>
    </row>
    <row r="6652" spans="3:3" x14ac:dyDescent="0.35">
      <c r="C6652" s="1"/>
    </row>
    <row r="6653" spans="3:3" x14ac:dyDescent="0.35">
      <c r="C6653" s="1"/>
    </row>
    <row r="6654" spans="3:3" x14ac:dyDescent="0.35">
      <c r="C6654" s="1"/>
    </row>
    <row r="6655" spans="3:3" x14ac:dyDescent="0.35">
      <c r="C6655" s="1"/>
    </row>
    <row r="6656" spans="3:3" x14ac:dyDescent="0.35">
      <c r="C6656" s="1"/>
    </row>
    <row r="6657" spans="3:3" x14ac:dyDescent="0.35">
      <c r="C6657" s="1"/>
    </row>
    <row r="6658" spans="3:3" x14ac:dyDescent="0.35">
      <c r="C6658" s="1"/>
    </row>
    <row r="6659" spans="3:3" x14ac:dyDescent="0.35">
      <c r="C6659" s="1"/>
    </row>
    <row r="6660" spans="3:3" x14ac:dyDescent="0.35">
      <c r="C6660" s="1"/>
    </row>
    <row r="6661" spans="3:3" x14ac:dyDescent="0.35">
      <c r="C6661" s="1"/>
    </row>
    <row r="6662" spans="3:3" x14ac:dyDescent="0.35">
      <c r="C6662" s="1"/>
    </row>
    <row r="6663" spans="3:3" x14ac:dyDescent="0.35">
      <c r="C6663" s="1"/>
    </row>
    <row r="6664" spans="3:3" x14ac:dyDescent="0.35">
      <c r="C6664" s="1"/>
    </row>
    <row r="6665" spans="3:3" x14ac:dyDescent="0.35">
      <c r="C6665" s="1"/>
    </row>
    <row r="6666" spans="3:3" x14ac:dyDescent="0.35">
      <c r="C6666" s="1"/>
    </row>
    <row r="6667" spans="3:3" x14ac:dyDescent="0.35">
      <c r="C6667" s="1"/>
    </row>
    <row r="6668" spans="3:3" x14ac:dyDescent="0.35">
      <c r="C6668" s="1"/>
    </row>
    <row r="6669" spans="3:3" x14ac:dyDescent="0.35">
      <c r="C6669" s="1"/>
    </row>
    <row r="6670" spans="3:3" x14ac:dyDescent="0.35">
      <c r="C6670" s="1"/>
    </row>
    <row r="6671" spans="3:3" x14ac:dyDescent="0.35">
      <c r="C6671" s="1"/>
    </row>
    <row r="6672" spans="3:3" x14ac:dyDescent="0.35">
      <c r="C6672" s="1"/>
    </row>
    <row r="6673" spans="3:3" x14ac:dyDescent="0.35">
      <c r="C6673" s="1"/>
    </row>
    <row r="6674" spans="3:3" x14ac:dyDescent="0.35">
      <c r="C6674" s="1"/>
    </row>
    <row r="6675" spans="3:3" x14ac:dyDescent="0.35">
      <c r="C6675" s="1"/>
    </row>
    <row r="6676" spans="3:3" x14ac:dyDescent="0.35">
      <c r="C6676" s="1"/>
    </row>
    <row r="6677" spans="3:3" x14ac:dyDescent="0.35">
      <c r="C6677" s="1"/>
    </row>
    <row r="6678" spans="3:3" x14ac:dyDescent="0.35">
      <c r="C6678" s="1"/>
    </row>
    <row r="6679" spans="3:3" x14ac:dyDescent="0.35">
      <c r="C6679" s="1"/>
    </row>
    <row r="6680" spans="3:3" x14ac:dyDescent="0.35">
      <c r="C6680" s="1"/>
    </row>
    <row r="6681" spans="3:3" x14ac:dyDescent="0.35">
      <c r="C6681" s="1"/>
    </row>
    <row r="6682" spans="3:3" x14ac:dyDescent="0.35">
      <c r="C6682" s="1"/>
    </row>
    <row r="6683" spans="3:3" x14ac:dyDescent="0.35">
      <c r="C6683" s="1"/>
    </row>
    <row r="6684" spans="3:3" x14ac:dyDescent="0.35">
      <c r="C6684" s="1"/>
    </row>
    <row r="6685" spans="3:3" x14ac:dyDescent="0.35">
      <c r="C6685" s="1"/>
    </row>
    <row r="6686" spans="3:3" x14ac:dyDescent="0.35">
      <c r="C6686" s="1"/>
    </row>
    <row r="6687" spans="3:3" x14ac:dyDescent="0.35">
      <c r="C6687" s="1"/>
    </row>
    <row r="6688" spans="3:3" x14ac:dyDescent="0.35">
      <c r="C6688" s="1"/>
    </row>
    <row r="6689" spans="3:3" x14ac:dyDescent="0.35">
      <c r="C6689" s="1"/>
    </row>
    <row r="6690" spans="3:3" x14ac:dyDescent="0.35">
      <c r="C6690" s="1"/>
    </row>
    <row r="6691" spans="3:3" x14ac:dyDescent="0.35">
      <c r="C6691" s="1"/>
    </row>
    <row r="6692" spans="3:3" x14ac:dyDescent="0.35">
      <c r="C6692" s="1"/>
    </row>
    <row r="6693" spans="3:3" x14ac:dyDescent="0.35">
      <c r="C6693" s="1"/>
    </row>
    <row r="6694" spans="3:3" x14ac:dyDescent="0.35">
      <c r="C6694" s="1"/>
    </row>
    <row r="6695" spans="3:3" x14ac:dyDescent="0.35">
      <c r="C6695" s="1"/>
    </row>
    <row r="6696" spans="3:3" x14ac:dyDescent="0.35">
      <c r="C6696" s="1"/>
    </row>
    <row r="6697" spans="3:3" x14ac:dyDescent="0.35">
      <c r="C6697" s="1"/>
    </row>
    <row r="6698" spans="3:3" x14ac:dyDescent="0.35">
      <c r="C6698" s="1"/>
    </row>
    <row r="6699" spans="3:3" x14ac:dyDescent="0.35">
      <c r="C6699" s="1"/>
    </row>
    <row r="6700" spans="3:3" x14ac:dyDescent="0.35">
      <c r="C6700" s="1"/>
    </row>
    <row r="6701" spans="3:3" x14ac:dyDescent="0.35">
      <c r="C6701" s="1"/>
    </row>
    <row r="6702" spans="3:3" x14ac:dyDescent="0.35">
      <c r="C6702" s="1"/>
    </row>
    <row r="6703" spans="3:3" x14ac:dyDescent="0.35">
      <c r="C6703" s="1"/>
    </row>
    <row r="6704" spans="3:3" x14ac:dyDescent="0.35">
      <c r="C6704" s="1"/>
    </row>
    <row r="6705" spans="3:3" x14ac:dyDescent="0.35">
      <c r="C6705" s="1"/>
    </row>
    <row r="6706" spans="3:3" x14ac:dyDescent="0.35">
      <c r="C6706" s="1"/>
    </row>
    <row r="6707" spans="3:3" x14ac:dyDescent="0.35">
      <c r="C6707" s="1"/>
    </row>
    <row r="6708" spans="3:3" x14ac:dyDescent="0.35">
      <c r="C6708" s="1"/>
    </row>
    <row r="6709" spans="3:3" x14ac:dyDescent="0.35">
      <c r="C6709" s="1"/>
    </row>
    <row r="6710" spans="3:3" x14ac:dyDescent="0.35">
      <c r="C6710" s="1"/>
    </row>
    <row r="6711" spans="3:3" x14ac:dyDescent="0.35">
      <c r="C6711" s="1"/>
    </row>
    <row r="6712" spans="3:3" x14ac:dyDescent="0.35">
      <c r="C6712" s="1"/>
    </row>
    <row r="6713" spans="3:3" x14ac:dyDescent="0.35">
      <c r="C6713" s="1"/>
    </row>
    <row r="6714" spans="3:3" x14ac:dyDescent="0.35">
      <c r="C6714" s="1"/>
    </row>
    <row r="6715" spans="3:3" x14ac:dyDescent="0.35">
      <c r="C6715" s="1"/>
    </row>
    <row r="6716" spans="3:3" x14ac:dyDescent="0.35">
      <c r="C6716" s="1"/>
    </row>
    <row r="6717" spans="3:3" x14ac:dyDescent="0.35">
      <c r="C6717" s="1"/>
    </row>
    <row r="6718" spans="3:3" x14ac:dyDescent="0.35">
      <c r="C6718" s="1"/>
    </row>
    <row r="6719" spans="3:3" x14ac:dyDescent="0.35">
      <c r="C6719" s="1"/>
    </row>
    <row r="6720" spans="3:3" x14ac:dyDescent="0.35">
      <c r="C6720" s="1"/>
    </row>
    <row r="6721" spans="3:3" x14ac:dyDescent="0.35">
      <c r="C6721" s="1"/>
    </row>
    <row r="6722" spans="3:3" x14ac:dyDescent="0.35">
      <c r="C6722" s="1"/>
    </row>
    <row r="6723" spans="3:3" x14ac:dyDescent="0.35">
      <c r="C6723" s="1"/>
    </row>
    <row r="6724" spans="3:3" x14ac:dyDescent="0.35">
      <c r="C6724" s="1"/>
    </row>
    <row r="6725" spans="3:3" x14ac:dyDescent="0.35">
      <c r="C6725" s="1"/>
    </row>
    <row r="6726" spans="3:3" x14ac:dyDescent="0.35">
      <c r="C6726" s="1"/>
    </row>
    <row r="6727" spans="3:3" x14ac:dyDescent="0.35">
      <c r="C6727" s="1"/>
    </row>
    <row r="6728" spans="3:3" x14ac:dyDescent="0.35">
      <c r="C6728" s="1"/>
    </row>
    <row r="6729" spans="3:3" x14ac:dyDescent="0.35">
      <c r="C6729" s="1"/>
    </row>
    <row r="6730" spans="3:3" x14ac:dyDescent="0.35">
      <c r="C6730" s="1"/>
    </row>
    <row r="6731" spans="3:3" x14ac:dyDescent="0.35">
      <c r="C6731" s="1"/>
    </row>
    <row r="6732" spans="3:3" x14ac:dyDescent="0.35">
      <c r="C6732" s="1"/>
    </row>
    <row r="6733" spans="3:3" x14ac:dyDescent="0.35">
      <c r="C6733" s="1"/>
    </row>
    <row r="6734" spans="3:3" x14ac:dyDescent="0.35">
      <c r="C6734" s="1"/>
    </row>
    <row r="6735" spans="3:3" x14ac:dyDescent="0.35">
      <c r="C6735" s="1"/>
    </row>
    <row r="6736" spans="3:3" x14ac:dyDescent="0.35">
      <c r="C6736" s="1"/>
    </row>
    <row r="6737" spans="3:3" x14ac:dyDescent="0.35">
      <c r="C6737" s="1"/>
    </row>
    <row r="6738" spans="3:3" x14ac:dyDescent="0.35">
      <c r="C6738" s="1"/>
    </row>
    <row r="6739" spans="3:3" x14ac:dyDescent="0.35">
      <c r="C6739" s="1"/>
    </row>
    <row r="6740" spans="3:3" x14ac:dyDescent="0.35">
      <c r="C6740" s="1"/>
    </row>
    <row r="6741" spans="3:3" x14ac:dyDescent="0.35">
      <c r="C6741" s="1"/>
    </row>
    <row r="6742" spans="3:3" x14ac:dyDescent="0.35">
      <c r="C6742" s="1"/>
    </row>
    <row r="6743" spans="3:3" x14ac:dyDescent="0.35">
      <c r="C6743" s="1"/>
    </row>
    <row r="6744" spans="3:3" x14ac:dyDescent="0.35">
      <c r="C6744" s="1"/>
    </row>
    <row r="6745" spans="3:3" x14ac:dyDescent="0.35">
      <c r="C6745" s="1"/>
    </row>
    <row r="6746" spans="3:3" x14ac:dyDescent="0.35">
      <c r="C6746" s="1"/>
    </row>
    <row r="6747" spans="3:3" x14ac:dyDescent="0.35">
      <c r="C6747" s="1"/>
    </row>
    <row r="6748" spans="3:3" x14ac:dyDescent="0.35">
      <c r="C6748" s="1"/>
    </row>
    <row r="6749" spans="3:3" x14ac:dyDescent="0.35">
      <c r="C6749" s="1"/>
    </row>
    <row r="6750" spans="3:3" x14ac:dyDescent="0.35">
      <c r="C6750" s="1"/>
    </row>
    <row r="6751" spans="3:3" x14ac:dyDescent="0.35">
      <c r="C6751" s="1"/>
    </row>
    <row r="6752" spans="3:3" x14ac:dyDescent="0.35">
      <c r="C6752" s="1"/>
    </row>
    <row r="6753" spans="3:3" x14ac:dyDescent="0.35">
      <c r="C6753" s="1"/>
    </row>
    <row r="6754" spans="3:3" x14ac:dyDescent="0.35">
      <c r="C6754" s="1"/>
    </row>
    <row r="6755" spans="3:3" x14ac:dyDescent="0.35">
      <c r="C6755" s="1"/>
    </row>
    <row r="6756" spans="3:3" x14ac:dyDescent="0.35">
      <c r="C6756" s="1"/>
    </row>
    <row r="6757" spans="3:3" x14ac:dyDescent="0.35">
      <c r="C6757" s="1"/>
    </row>
    <row r="6758" spans="3:3" x14ac:dyDescent="0.35">
      <c r="C6758" s="1"/>
    </row>
    <row r="6759" spans="3:3" x14ac:dyDescent="0.35">
      <c r="C6759" s="1"/>
    </row>
    <row r="6760" spans="3:3" x14ac:dyDescent="0.35">
      <c r="C6760" s="1"/>
    </row>
    <row r="6761" spans="3:3" x14ac:dyDescent="0.35">
      <c r="C6761" s="1"/>
    </row>
    <row r="6762" spans="3:3" x14ac:dyDescent="0.35">
      <c r="C6762" s="1"/>
    </row>
    <row r="6763" spans="3:3" x14ac:dyDescent="0.35">
      <c r="C6763" s="1"/>
    </row>
    <row r="6764" spans="3:3" x14ac:dyDescent="0.35">
      <c r="C6764" s="1"/>
    </row>
    <row r="6765" spans="3:3" x14ac:dyDescent="0.35">
      <c r="C6765" s="1"/>
    </row>
    <row r="6766" spans="3:3" x14ac:dyDescent="0.35">
      <c r="C6766" s="1"/>
    </row>
    <row r="6767" spans="3:3" x14ac:dyDescent="0.35">
      <c r="C6767" s="1"/>
    </row>
    <row r="6768" spans="3:3" x14ac:dyDescent="0.35">
      <c r="C6768" s="1"/>
    </row>
    <row r="6769" spans="3:3" x14ac:dyDescent="0.35">
      <c r="C6769" s="1"/>
    </row>
    <row r="6770" spans="3:3" x14ac:dyDescent="0.35">
      <c r="C6770" s="1"/>
    </row>
    <row r="6771" spans="3:3" x14ac:dyDescent="0.35">
      <c r="C6771" s="1"/>
    </row>
    <row r="6772" spans="3:3" x14ac:dyDescent="0.35">
      <c r="C6772" s="1"/>
    </row>
    <row r="6773" spans="3:3" x14ac:dyDescent="0.35">
      <c r="C6773" s="1"/>
    </row>
    <row r="6774" spans="3:3" x14ac:dyDescent="0.35">
      <c r="C6774" s="1"/>
    </row>
    <row r="6775" spans="3:3" x14ac:dyDescent="0.35">
      <c r="C6775" s="1"/>
    </row>
    <row r="6776" spans="3:3" x14ac:dyDescent="0.35">
      <c r="C6776" s="1"/>
    </row>
    <row r="6777" spans="3:3" x14ac:dyDescent="0.35">
      <c r="C6777" s="1"/>
    </row>
    <row r="6778" spans="3:3" x14ac:dyDescent="0.35">
      <c r="C6778" s="1"/>
    </row>
    <row r="6779" spans="3:3" x14ac:dyDescent="0.35">
      <c r="C6779" s="1"/>
    </row>
    <row r="6780" spans="3:3" x14ac:dyDescent="0.35">
      <c r="C6780" s="1"/>
    </row>
    <row r="6781" spans="3:3" x14ac:dyDescent="0.35">
      <c r="C6781" s="1"/>
    </row>
    <row r="6782" spans="3:3" x14ac:dyDescent="0.35">
      <c r="C6782" s="1"/>
    </row>
    <row r="6783" spans="3:3" x14ac:dyDescent="0.35">
      <c r="C6783" s="1"/>
    </row>
    <row r="6784" spans="3:3" x14ac:dyDescent="0.35">
      <c r="C6784" s="1"/>
    </row>
    <row r="6785" spans="3:3" x14ac:dyDescent="0.35">
      <c r="C6785" s="1"/>
    </row>
    <row r="6786" spans="3:3" x14ac:dyDescent="0.35">
      <c r="C6786" s="1"/>
    </row>
    <row r="6787" spans="3:3" x14ac:dyDescent="0.35">
      <c r="C6787" s="1"/>
    </row>
    <row r="6788" spans="3:3" x14ac:dyDescent="0.35">
      <c r="C6788" s="1"/>
    </row>
    <row r="6789" spans="3:3" x14ac:dyDescent="0.35">
      <c r="C6789" s="1"/>
    </row>
    <row r="6790" spans="3:3" x14ac:dyDescent="0.35">
      <c r="C6790" s="1"/>
    </row>
    <row r="6791" spans="3:3" x14ac:dyDescent="0.35">
      <c r="C6791" s="1"/>
    </row>
    <row r="6792" spans="3:3" x14ac:dyDescent="0.35">
      <c r="C6792" s="1"/>
    </row>
    <row r="6793" spans="3:3" x14ac:dyDescent="0.35">
      <c r="C6793" s="1"/>
    </row>
    <row r="6794" spans="3:3" x14ac:dyDescent="0.35">
      <c r="C6794" s="1"/>
    </row>
    <row r="6795" spans="3:3" x14ac:dyDescent="0.35">
      <c r="C6795" s="1"/>
    </row>
    <row r="6796" spans="3:3" x14ac:dyDescent="0.35">
      <c r="C6796" s="1"/>
    </row>
    <row r="6797" spans="3:3" x14ac:dyDescent="0.35">
      <c r="C6797" s="1"/>
    </row>
    <row r="6798" spans="3:3" x14ac:dyDescent="0.35">
      <c r="C6798" s="1"/>
    </row>
    <row r="6799" spans="3:3" x14ac:dyDescent="0.35">
      <c r="C6799" s="1"/>
    </row>
    <row r="6800" spans="3:3" x14ac:dyDescent="0.35">
      <c r="C6800" s="1"/>
    </row>
    <row r="6801" spans="3:3" x14ac:dyDescent="0.35">
      <c r="C6801" s="1"/>
    </row>
    <row r="6802" spans="3:3" x14ac:dyDescent="0.35">
      <c r="C6802" s="1"/>
    </row>
    <row r="6803" spans="3:3" x14ac:dyDescent="0.35">
      <c r="C6803" s="1"/>
    </row>
    <row r="6804" spans="3:3" x14ac:dyDescent="0.35">
      <c r="C6804" s="1"/>
    </row>
    <row r="6805" spans="3:3" x14ac:dyDescent="0.35">
      <c r="C6805" s="1"/>
    </row>
    <row r="6806" spans="3:3" x14ac:dyDescent="0.35">
      <c r="C6806" s="1"/>
    </row>
    <row r="6807" spans="3:3" x14ac:dyDescent="0.35">
      <c r="C6807" s="1"/>
    </row>
    <row r="6808" spans="3:3" x14ac:dyDescent="0.35">
      <c r="C6808" s="1"/>
    </row>
    <row r="6809" spans="3:3" x14ac:dyDescent="0.35">
      <c r="C6809" s="1"/>
    </row>
    <row r="6810" spans="3:3" x14ac:dyDescent="0.35">
      <c r="C6810" s="1"/>
    </row>
    <row r="6811" spans="3:3" x14ac:dyDescent="0.35">
      <c r="C6811" s="1"/>
    </row>
    <row r="6812" spans="3:3" x14ac:dyDescent="0.35">
      <c r="C6812" s="1"/>
    </row>
    <row r="6813" spans="3:3" x14ac:dyDescent="0.35">
      <c r="C6813" s="1"/>
    </row>
    <row r="6814" spans="3:3" x14ac:dyDescent="0.35">
      <c r="C6814" s="1"/>
    </row>
    <row r="6815" spans="3:3" x14ac:dyDescent="0.35">
      <c r="C6815" s="1"/>
    </row>
    <row r="6816" spans="3:3" x14ac:dyDescent="0.35">
      <c r="C6816" s="1"/>
    </row>
    <row r="6817" spans="3:3" x14ac:dyDescent="0.35">
      <c r="C6817" s="1"/>
    </row>
    <row r="6818" spans="3:3" x14ac:dyDescent="0.35">
      <c r="C6818" s="1"/>
    </row>
    <row r="6819" spans="3:3" x14ac:dyDescent="0.35">
      <c r="C6819" s="1"/>
    </row>
    <row r="6820" spans="3:3" x14ac:dyDescent="0.35">
      <c r="C6820" s="1"/>
    </row>
    <row r="6821" spans="3:3" x14ac:dyDescent="0.35">
      <c r="C6821" s="1"/>
    </row>
    <row r="6822" spans="3:3" x14ac:dyDescent="0.35">
      <c r="C6822" s="1"/>
    </row>
    <row r="6823" spans="3:3" x14ac:dyDescent="0.35">
      <c r="C6823" s="1"/>
    </row>
    <row r="6824" spans="3:3" x14ac:dyDescent="0.35">
      <c r="C6824" s="1"/>
    </row>
    <row r="6825" spans="3:3" x14ac:dyDescent="0.35">
      <c r="C6825" s="1"/>
    </row>
    <row r="6826" spans="3:3" x14ac:dyDescent="0.35">
      <c r="C6826" s="1"/>
    </row>
    <row r="6827" spans="3:3" x14ac:dyDescent="0.35">
      <c r="C6827" s="1"/>
    </row>
    <row r="6828" spans="3:3" x14ac:dyDescent="0.35">
      <c r="C6828" s="1"/>
    </row>
    <row r="6829" spans="3:3" x14ac:dyDescent="0.35">
      <c r="C6829" s="1"/>
    </row>
    <row r="6830" spans="3:3" x14ac:dyDescent="0.35">
      <c r="C6830" s="1"/>
    </row>
    <row r="6831" spans="3:3" x14ac:dyDescent="0.35">
      <c r="C6831" s="1"/>
    </row>
    <row r="6832" spans="3:3" x14ac:dyDescent="0.35">
      <c r="C6832" s="1"/>
    </row>
    <row r="6833" spans="3:3" x14ac:dyDescent="0.35">
      <c r="C6833" s="1"/>
    </row>
    <row r="6834" spans="3:3" x14ac:dyDescent="0.35">
      <c r="C6834" s="1"/>
    </row>
    <row r="6835" spans="3:3" x14ac:dyDescent="0.35">
      <c r="C6835" s="1"/>
    </row>
    <row r="6836" spans="3:3" x14ac:dyDescent="0.35">
      <c r="C6836" s="1"/>
    </row>
    <row r="6837" spans="3:3" x14ac:dyDescent="0.35">
      <c r="C6837" s="1"/>
    </row>
    <row r="6838" spans="3:3" x14ac:dyDescent="0.35">
      <c r="C6838" s="1"/>
    </row>
    <row r="6839" spans="3:3" x14ac:dyDescent="0.35">
      <c r="C6839" s="1"/>
    </row>
    <row r="6840" spans="3:3" x14ac:dyDescent="0.35">
      <c r="C6840" s="1"/>
    </row>
    <row r="6841" spans="3:3" x14ac:dyDescent="0.35">
      <c r="C6841" s="1"/>
    </row>
    <row r="6842" spans="3:3" x14ac:dyDescent="0.35">
      <c r="C6842" s="1"/>
    </row>
    <row r="6843" spans="3:3" x14ac:dyDescent="0.35">
      <c r="C6843" s="1"/>
    </row>
    <row r="6844" spans="3:3" x14ac:dyDescent="0.35">
      <c r="C6844" s="1"/>
    </row>
    <row r="6845" spans="3:3" x14ac:dyDescent="0.35">
      <c r="C6845" s="1"/>
    </row>
    <row r="6846" spans="3:3" x14ac:dyDescent="0.35">
      <c r="C6846" s="1"/>
    </row>
    <row r="6847" spans="3:3" x14ac:dyDescent="0.35">
      <c r="C6847" s="1"/>
    </row>
    <row r="6848" spans="3:3" x14ac:dyDescent="0.35">
      <c r="C6848" s="1"/>
    </row>
    <row r="6849" spans="3:3" x14ac:dyDescent="0.35">
      <c r="C6849" s="1"/>
    </row>
    <row r="6850" spans="3:3" x14ac:dyDescent="0.35">
      <c r="C6850" s="1"/>
    </row>
    <row r="6851" spans="3:3" x14ac:dyDescent="0.35">
      <c r="C6851" s="1"/>
    </row>
    <row r="6852" spans="3:3" x14ac:dyDescent="0.35">
      <c r="C6852" s="1"/>
    </row>
    <row r="6853" spans="3:3" x14ac:dyDescent="0.35">
      <c r="C6853" s="1"/>
    </row>
    <row r="6854" spans="3:3" x14ac:dyDescent="0.35">
      <c r="C6854" s="1"/>
    </row>
    <row r="6855" spans="3:3" x14ac:dyDescent="0.35">
      <c r="C6855" s="1"/>
    </row>
    <row r="6856" spans="3:3" x14ac:dyDescent="0.35">
      <c r="C6856" s="1"/>
    </row>
    <row r="6857" spans="3:3" x14ac:dyDescent="0.35">
      <c r="C6857" s="1"/>
    </row>
    <row r="6858" spans="3:3" x14ac:dyDescent="0.35">
      <c r="C6858" s="1"/>
    </row>
    <row r="6859" spans="3:3" x14ac:dyDescent="0.35">
      <c r="C6859" s="1"/>
    </row>
    <row r="6860" spans="3:3" x14ac:dyDescent="0.35">
      <c r="C6860" s="1"/>
    </row>
    <row r="6861" spans="3:3" x14ac:dyDescent="0.35">
      <c r="C6861" s="1"/>
    </row>
    <row r="6862" spans="3:3" x14ac:dyDescent="0.35">
      <c r="C6862" s="1"/>
    </row>
    <row r="6863" spans="3:3" x14ac:dyDescent="0.35">
      <c r="C6863" s="1"/>
    </row>
    <row r="6864" spans="3:3" x14ac:dyDescent="0.35">
      <c r="C6864" s="1"/>
    </row>
    <row r="6865" spans="3:3" x14ac:dyDescent="0.35">
      <c r="C6865" s="1"/>
    </row>
    <row r="6866" spans="3:3" x14ac:dyDescent="0.35">
      <c r="C6866" s="1"/>
    </row>
    <row r="6867" spans="3:3" x14ac:dyDescent="0.35">
      <c r="C6867" s="1"/>
    </row>
    <row r="6868" spans="3:3" x14ac:dyDescent="0.35">
      <c r="C6868" s="1"/>
    </row>
    <row r="6869" spans="3:3" x14ac:dyDescent="0.35">
      <c r="C6869" s="1"/>
    </row>
    <row r="6870" spans="3:3" x14ac:dyDescent="0.35">
      <c r="C6870" s="1"/>
    </row>
    <row r="6871" spans="3:3" x14ac:dyDescent="0.35">
      <c r="C6871" s="1"/>
    </row>
    <row r="6872" spans="3:3" x14ac:dyDescent="0.35">
      <c r="C6872" s="1"/>
    </row>
    <row r="6873" spans="3:3" x14ac:dyDescent="0.35">
      <c r="C6873" s="1"/>
    </row>
    <row r="6874" spans="3:3" x14ac:dyDescent="0.35">
      <c r="C6874" s="1"/>
    </row>
    <row r="6875" spans="3:3" x14ac:dyDescent="0.35">
      <c r="C6875" s="1"/>
    </row>
    <row r="6876" spans="3:3" x14ac:dyDescent="0.35">
      <c r="C6876" s="1"/>
    </row>
    <row r="6877" spans="3:3" x14ac:dyDescent="0.35">
      <c r="C6877" s="1"/>
    </row>
    <row r="6878" spans="3:3" x14ac:dyDescent="0.35">
      <c r="C6878" s="1"/>
    </row>
    <row r="6879" spans="3:3" x14ac:dyDescent="0.35">
      <c r="C6879" s="1"/>
    </row>
    <row r="6880" spans="3:3" x14ac:dyDescent="0.35">
      <c r="C6880" s="1"/>
    </row>
    <row r="6881" spans="3:3" x14ac:dyDescent="0.35">
      <c r="C6881" s="1"/>
    </row>
    <row r="6882" spans="3:3" x14ac:dyDescent="0.35">
      <c r="C6882" s="1"/>
    </row>
    <row r="6883" spans="3:3" x14ac:dyDescent="0.35">
      <c r="C6883" s="1"/>
    </row>
    <row r="6884" spans="3:3" x14ac:dyDescent="0.35">
      <c r="C6884" s="1"/>
    </row>
    <row r="6885" spans="3:3" x14ac:dyDescent="0.35">
      <c r="C6885" s="1"/>
    </row>
    <row r="6886" spans="3:3" x14ac:dyDescent="0.35">
      <c r="C6886" s="1"/>
    </row>
    <row r="6887" spans="3:3" x14ac:dyDescent="0.35">
      <c r="C6887" s="1"/>
    </row>
    <row r="6888" spans="3:3" x14ac:dyDescent="0.35">
      <c r="C6888" s="1"/>
    </row>
    <row r="6889" spans="3:3" x14ac:dyDescent="0.35">
      <c r="C6889" s="1"/>
    </row>
    <row r="6890" spans="3:3" x14ac:dyDescent="0.35">
      <c r="C6890" s="1"/>
    </row>
    <row r="6891" spans="3:3" x14ac:dyDescent="0.35">
      <c r="C6891" s="1"/>
    </row>
    <row r="6892" spans="3:3" x14ac:dyDescent="0.35">
      <c r="C6892" s="1"/>
    </row>
    <row r="6893" spans="3:3" x14ac:dyDescent="0.35">
      <c r="C6893" s="1"/>
    </row>
    <row r="6894" spans="3:3" x14ac:dyDescent="0.35">
      <c r="C6894" s="1"/>
    </row>
    <row r="6895" spans="3:3" x14ac:dyDescent="0.35">
      <c r="C6895" s="1"/>
    </row>
    <row r="6896" spans="3:3" x14ac:dyDescent="0.35">
      <c r="C6896" s="1"/>
    </row>
    <row r="6897" spans="3:3" x14ac:dyDescent="0.35">
      <c r="C6897" s="1"/>
    </row>
    <row r="6898" spans="3:3" x14ac:dyDescent="0.35">
      <c r="C6898" s="1"/>
    </row>
    <row r="6899" spans="3:3" x14ac:dyDescent="0.35">
      <c r="C6899" s="1"/>
    </row>
    <row r="6900" spans="3:3" x14ac:dyDescent="0.35">
      <c r="C6900" s="1"/>
    </row>
    <row r="6901" spans="3:3" x14ac:dyDescent="0.35">
      <c r="C6901" s="1"/>
    </row>
    <row r="6902" spans="3:3" x14ac:dyDescent="0.35">
      <c r="C6902" s="1"/>
    </row>
    <row r="6903" spans="3:3" x14ac:dyDescent="0.35">
      <c r="C6903" s="1"/>
    </row>
    <row r="6904" spans="3:3" x14ac:dyDescent="0.35">
      <c r="C6904" s="1"/>
    </row>
    <row r="6905" spans="3:3" x14ac:dyDescent="0.35">
      <c r="C6905" s="1"/>
    </row>
    <row r="6906" spans="3:3" x14ac:dyDescent="0.35">
      <c r="C6906" s="1"/>
    </row>
    <row r="6907" spans="3:3" x14ac:dyDescent="0.35">
      <c r="C6907" s="1"/>
    </row>
    <row r="6908" spans="3:3" x14ac:dyDescent="0.35">
      <c r="C6908" s="1"/>
    </row>
    <row r="6909" spans="3:3" x14ac:dyDescent="0.35">
      <c r="C6909" s="1"/>
    </row>
    <row r="6910" spans="3:3" x14ac:dyDescent="0.35">
      <c r="C6910" s="1"/>
    </row>
    <row r="6911" spans="3:3" x14ac:dyDescent="0.35">
      <c r="C6911" s="1"/>
    </row>
    <row r="6912" spans="3:3" x14ac:dyDescent="0.35">
      <c r="C6912" s="1"/>
    </row>
    <row r="6913" spans="3:3" x14ac:dyDescent="0.35">
      <c r="C6913" s="1"/>
    </row>
    <row r="6914" spans="3:3" x14ac:dyDescent="0.35">
      <c r="C6914" s="1"/>
    </row>
    <row r="6915" spans="3:3" x14ac:dyDescent="0.35">
      <c r="C6915" s="1"/>
    </row>
    <row r="6916" spans="3:3" x14ac:dyDescent="0.35">
      <c r="C6916" s="1"/>
    </row>
    <row r="6917" spans="3:3" x14ac:dyDescent="0.35">
      <c r="C6917" s="1"/>
    </row>
    <row r="6918" spans="3:3" x14ac:dyDescent="0.35">
      <c r="C6918" s="1"/>
    </row>
    <row r="6919" spans="3:3" x14ac:dyDescent="0.35">
      <c r="C6919" s="1"/>
    </row>
    <row r="6920" spans="3:3" x14ac:dyDescent="0.35">
      <c r="C6920" s="1"/>
    </row>
    <row r="6921" spans="3:3" x14ac:dyDescent="0.35">
      <c r="C6921" s="1"/>
    </row>
    <row r="6922" spans="3:3" x14ac:dyDescent="0.35">
      <c r="C6922" s="1"/>
    </row>
    <row r="6923" spans="3:3" x14ac:dyDescent="0.35">
      <c r="C6923" s="1"/>
    </row>
    <row r="6924" spans="3:3" x14ac:dyDescent="0.35">
      <c r="C6924" s="1"/>
    </row>
    <row r="6925" spans="3:3" x14ac:dyDescent="0.35">
      <c r="C6925" s="1"/>
    </row>
    <row r="6926" spans="3:3" x14ac:dyDescent="0.35">
      <c r="C6926" s="1"/>
    </row>
    <row r="6927" spans="3:3" x14ac:dyDescent="0.35">
      <c r="C6927" s="1"/>
    </row>
    <row r="6928" spans="3:3" x14ac:dyDescent="0.35">
      <c r="C6928" s="1"/>
    </row>
    <row r="6929" spans="3:3" x14ac:dyDescent="0.35">
      <c r="C6929" s="1"/>
    </row>
    <row r="6930" spans="3:3" x14ac:dyDescent="0.35">
      <c r="C6930" s="1"/>
    </row>
    <row r="6931" spans="3:3" x14ac:dyDescent="0.35">
      <c r="C6931" s="1"/>
    </row>
    <row r="6932" spans="3:3" x14ac:dyDescent="0.35">
      <c r="C6932" s="1"/>
    </row>
    <row r="6933" spans="3:3" x14ac:dyDescent="0.35">
      <c r="C6933" s="1"/>
    </row>
    <row r="6934" spans="3:3" x14ac:dyDescent="0.35">
      <c r="C6934" s="1"/>
    </row>
    <row r="6935" spans="3:3" x14ac:dyDescent="0.35">
      <c r="C6935" s="1"/>
    </row>
    <row r="6936" spans="3:3" x14ac:dyDescent="0.35">
      <c r="C6936" s="1"/>
    </row>
    <row r="6937" spans="3:3" x14ac:dyDescent="0.35">
      <c r="C6937" s="1"/>
    </row>
    <row r="6938" spans="3:3" x14ac:dyDescent="0.35">
      <c r="C6938" s="1"/>
    </row>
    <row r="6939" spans="3:3" x14ac:dyDescent="0.35">
      <c r="C6939" s="1"/>
    </row>
    <row r="6940" spans="3:3" x14ac:dyDescent="0.35">
      <c r="C6940" s="1"/>
    </row>
    <row r="6941" spans="3:3" x14ac:dyDescent="0.35">
      <c r="C6941" s="1"/>
    </row>
    <row r="6942" spans="3:3" x14ac:dyDescent="0.35">
      <c r="C6942" s="1"/>
    </row>
    <row r="6943" spans="3:3" x14ac:dyDescent="0.35">
      <c r="C6943" s="1"/>
    </row>
    <row r="6944" spans="3:3" x14ac:dyDescent="0.35">
      <c r="C6944" s="1"/>
    </row>
    <row r="6945" spans="3:3" x14ac:dyDescent="0.35">
      <c r="C6945" s="1"/>
    </row>
    <row r="6946" spans="3:3" x14ac:dyDescent="0.35">
      <c r="C6946" s="1"/>
    </row>
    <row r="6947" spans="3:3" x14ac:dyDescent="0.35">
      <c r="C6947" s="1"/>
    </row>
    <row r="6948" spans="3:3" x14ac:dyDescent="0.35">
      <c r="C6948" s="1"/>
    </row>
    <row r="6949" spans="3:3" x14ac:dyDescent="0.35">
      <c r="C6949" s="1"/>
    </row>
    <row r="6950" spans="3:3" x14ac:dyDescent="0.35">
      <c r="C6950" s="1"/>
    </row>
    <row r="6951" spans="3:3" x14ac:dyDescent="0.35">
      <c r="C6951" s="1"/>
    </row>
    <row r="6952" spans="3:3" x14ac:dyDescent="0.35">
      <c r="C6952" s="1"/>
    </row>
    <row r="6953" spans="3:3" x14ac:dyDescent="0.35">
      <c r="C6953" s="1"/>
    </row>
    <row r="6954" spans="3:3" x14ac:dyDescent="0.35">
      <c r="C6954" s="1"/>
    </row>
    <row r="6955" spans="3:3" x14ac:dyDescent="0.35">
      <c r="C6955" s="1"/>
    </row>
    <row r="6956" spans="3:3" x14ac:dyDescent="0.35">
      <c r="C6956" s="1"/>
    </row>
    <row r="6957" spans="3:3" x14ac:dyDescent="0.35">
      <c r="C6957" s="1"/>
    </row>
    <row r="6958" spans="3:3" x14ac:dyDescent="0.35">
      <c r="C6958" s="1"/>
    </row>
    <row r="6959" spans="3:3" x14ac:dyDescent="0.35">
      <c r="C6959" s="1"/>
    </row>
    <row r="6960" spans="3:3" x14ac:dyDescent="0.35">
      <c r="C6960" s="1"/>
    </row>
    <row r="6961" spans="3:3" x14ac:dyDescent="0.35">
      <c r="C6961" s="1"/>
    </row>
    <row r="6962" spans="3:3" x14ac:dyDescent="0.35">
      <c r="C6962" s="1"/>
    </row>
    <row r="6963" spans="3:3" x14ac:dyDescent="0.35">
      <c r="C6963" s="1"/>
    </row>
    <row r="6964" spans="3:3" x14ac:dyDescent="0.35">
      <c r="C6964" s="1"/>
    </row>
    <row r="6965" spans="3:3" x14ac:dyDescent="0.35">
      <c r="C6965" s="1"/>
    </row>
    <row r="6966" spans="3:3" x14ac:dyDescent="0.35">
      <c r="C6966" s="1"/>
    </row>
    <row r="6967" spans="3:3" x14ac:dyDescent="0.35">
      <c r="C6967" s="1"/>
    </row>
    <row r="6968" spans="3:3" x14ac:dyDescent="0.35">
      <c r="C6968" s="1"/>
    </row>
    <row r="6969" spans="3:3" x14ac:dyDescent="0.35">
      <c r="C6969" s="1"/>
    </row>
    <row r="6970" spans="3:3" x14ac:dyDescent="0.35">
      <c r="C6970" s="1"/>
    </row>
    <row r="6971" spans="3:3" x14ac:dyDescent="0.35">
      <c r="C6971" s="1"/>
    </row>
    <row r="6972" spans="3:3" x14ac:dyDescent="0.35">
      <c r="C6972" s="1"/>
    </row>
    <row r="6973" spans="3:3" x14ac:dyDescent="0.35">
      <c r="C6973" s="1"/>
    </row>
    <row r="6974" spans="3:3" x14ac:dyDescent="0.35">
      <c r="C6974" s="1"/>
    </row>
    <row r="6975" spans="3:3" x14ac:dyDescent="0.35">
      <c r="C6975" s="1"/>
    </row>
    <row r="6976" spans="3:3" x14ac:dyDescent="0.35">
      <c r="C6976" s="1"/>
    </row>
    <row r="6977" spans="3:3" x14ac:dyDescent="0.35">
      <c r="C6977" s="1"/>
    </row>
    <row r="6978" spans="3:3" x14ac:dyDescent="0.35">
      <c r="C6978" s="1"/>
    </row>
    <row r="6979" spans="3:3" x14ac:dyDescent="0.35">
      <c r="C6979" s="1"/>
    </row>
    <row r="6980" spans="3:3" x14ac:dyDescent="0.35">
      <c r="C6980" s="1"/>
    </row>
    <row r="6981" spans="3:3" x14ac:dyDescent="0.35">
      <c r="C6981" s="1"/>
    </row>
    <row r="6982" spans="3:3" x14ac:dyDescent="0.35">
      <c r="C6982" s="1"/>
    </row>
    <row r="6983" spans="3:3" x14ac:dyDescent="0.35">
      <c r="C6983" s="1"/>
    </row>
    <row r="6984" spans="3:3" x14ac:dyDescent="0.35">
      <c r="C6984" s="1"/>
    </row>
    <row r="6985" spans="3:3" x14ac:dyDescent="0.35">
      <c r="C6985" s="1"/>
    </row>
    <row r="6986" spans="3:3" x14ac:dyDescent="0.35">
      <c r="C6986" s="1"/>
    </row>
    <row r="6987" spans="3:3" x14ac:dyDescent="0.35">
      <c r="C6987" s="1"/>
    </row>
    <row r="6988" spans="3:3" x14ac:dyDescent="0.35">
      <c r="C6988" s="1"/>
    </row>
    <row r="6989" spans="3:3" x14ac:dyDescent="0.35">
      <c r="C6989" s="1"/>
    </row>
    <row r="6990" spans="3:3" x14ac:dyDescent="0.35">
      <c r="C6990" s="1"/>
    </row>
    <row r="6991" spans="3:3" x14ac:dyDescent="0.35">
      <c r="C6991" s="1"/>
    </row>
    <row r="6992" spans="3:3" x14ac:dyDescent="0.35">
      <c r="C6992" s="1"/>
    </row>
    <row r="6993" spans="3:3" x14ac:dyDescent="0.35">
      <c r="C6993" s="1"/>
    </row>
    <row r="6994" spans="3:3" x14ac:dyDescent="0.35">
      <c r="C6994" s="1"/>
    </row>
    <row r="6995" spans="3:3" x14ac:dyDescent="0.35">
      <c r="C6995" s="1"/>
    </row>
    <row r="6996" spans="3:3" x14ac:dyDescent="0.35">
      <c r="C6996" s="1"/>
    </row>
    <row r="6997" spans="3:3" x14ac:dyDescent="0.35">
      <c r="C6997" s="1"/>
    </row>
    <row r="6998" spans="3:3" x14ac:dyDescent="0.35">
      <c r="C6998" s="1"/>
    </row>
    <row r="6999" spans="3:3" x14ac:dyDescent="0.35">
      <c r="C6999" s="1"/>
    </row>
    <row r="7000" spans="3:3" x14ac:dyDescent="0.35">
      <c r="C7000" s="1"/>
    </row>
    <row r="7001" spans="3:3" x14ac:dyDescent="0.35">
      <c r="C7001" s="1"/>
    </row>
    <row r="7002" spans="3:3" x14ac:dyDescent="0.35">
      <c r="C7002" s="1"/>
    </row>
    <row r="7003" spans="3:3" x14ac:dyDescent="0.35">
      <c r="C7003" s="1"/>
    </row>
    <row r="7004" spans="3:3" x14ac:dyDescent="0.35">
      <c r="C7004" s="1"/>
    </row>
    <row r="7005" spans="3:3" x14ac:dyDescent="0.35">
      <c r="C7005" s="1"/>
    </row>
    <row r="7006" spans="3:3" x14ac:dyDescent="0.35">
      <c r="C7006" s="1"/>
    </row>
    <row r="7007" spans="3:3" x14ac:dyDescent="0.35">
      <c r="C7007" s="1"/>
    </row>
    <row r="7008" spans="3:3" x14ac:dyDescent="0.35">
      <c r="C7008" s="1"/>
    </row>
    <row r="7009" spans="3:3" x14ac:dyDescent="0.35">
      <c r="C7009" s="1"/>
    </row>
    <row r="7010" spans="3:3" x14ac:dyDescent="0.35">
      <c r="C7010" s="1"/>
    </row>
    <row r="7011" spans="3:3" x14ac:dyDescent="0.35">
      <c r="C7011" s="1"/>
    </row>
    <row r="7012" spans="3:3" x14ac:dyDescent="0.35">
      <c r="C7012" s="1"/>
    </row>
    <row r="7013" spans="3:3" x14ac:dyDescent="0.35">
      <c r="C7013" s="1"/>
    </row>
    <row r="7014" spans="3:3" x14ac:dyDescent="0.35">
      <c r="C7014" s="1"/>
    </row>
    <row r="7015" spans="3:3" x14ac:dyDescent="0.35">
      <c r="C7015" s="1"/>
    </row>
    <row r="7016" spans="3:3" x14ac:dyDescent="0.35">
      <c r="C7016" s="1"/>
    </row>
    <row r="7017" spans="3:3" x14ac:dyDescent="0.35">
      <c r="C7017" s="1"/>
    </row>
    <row r="7018" spans="3:3" x14ac:dyDescent="0.35">
      <c r="C7018" s="1"/>
    </row>
    <row r="7019" spans="3:3" x14ac:dyDescent="0.35">
      <c r="C7019" s="1"/>
    </row>
    <row r="7020" spans="3:3" x14ac:dyDescent="0.35">
      <c r="C7020" s="1"/>
    </row>
    <row r="7021" spans="3:3" x14ac:dyDescent="0.35">
      <c r="C7021" s="1"/>
    </row>
    <row r="7022" spans="3:3" x14ac:dyDescent="0.35">
      <c r="C7022" s="1"/>
    </row>
    <row r="7023" spans="3:3" x14ac:dyDescent="0.35">
      <c r="C7023" s="1"/>
    </row>
    <row r="7024" spans="3:3" x14ac:dyDescent="0.35">
      <c r="C7024" s="1"/>
    </row>
    <row r="7025" spans="3:3" x14ac:dyDescent="0.35">
      <c r="C7025" s="1"/>
    </row>
    <row r="7026" spans="3:3" x14ac:dyDescent="0.35">
      <c r="C7026" s="1"/>
    </row>
    <row r="7027" spans="3:3" x14ac:dyDescent="0.35">
      <c r="C7027" s="1"/>
    </row>
    <row r="7028" spans="3:3" x14ac:dyDescent="0.35">
      <c r="C7028" s="1"/>
    </row>
    <row r="7029" spans="3:3" x14ac:dyDescent="0.35">
      <c r="C7029" s="1"/>
    </row>
    <row r="7030" spans="3:3" x14ac:dyDescent="0.35">
      <c r="C7030" s="1"/>
    </row>
    <row r="7031" spans="3:3" x14ac:dyDescent="0.35">
      <c r="C7031" s="1"/>
    </row>
    <row r="7032" spans="3:3" x14ac:dyDescent="0.35">
      <c r="C7032" s="1"/>
    </row>
    <row r="7033" spans="3:3" x14ac:dyDescent="0.35">
      <c r="C7033" s="1"/>
    </row>
    <row r="7034" spans="3:3" x14ac:dyDescent="0.35">
      <c r="C7034" s="1"/>
    </row>
    <row r="7035" spans="3:3" x14ac:dyDescent="0.35">
      <c r="C7035" s="1"/>
    </row>
    <row r="7036" spans="3:3" x14ac:dyDescent="0.35">
      <c r="C7036" s="1"/>
    </row>
    <row r="7037" spans="3:3" x14ac:dyDescent="0.35">
      <c r="C7037" s="1"/>
    </row>
    <row r="7038" spans="3:3" x14ac:dyDescent="0.35">
      <c r="C7038" s="1"/>
    </row>
    <row r="7039" spans="3:3" x14ac:dyDescent="0.35">
      <c r="C7039" s="1"/>
    </row>
    <row r="7040" spans="3:3" x14ac:dyDescent="0.35">
      <c r="C7040" s="1"/>
    </row>
    <row r="7041" spans="3:3" x14ac:dyDescent="0.35">
      <c r="C7041" s="1"/>
    </row>
    <row r="7042" spans="3:3" x14ac:dyDescent="0.35">
      <c r="C7042" s="1"/>
    </row>
    <row r="7043" spans="3:3" x14ac:dyDescent="0.35">
      <c r="C7043" s="1"/>
    </row>
    <row r="7044" spans="3:3" x14ac:dyDescent="0.35">
      <c r="C7044" s="1"/>
    </row>
    <row r="7045" spans="3:3" x14ac:dyDescent="0.35">
      <c r="C7045" s="1"/>
    </row>
    <row r="7046" spans="3:3" x14ac:dyDescent="0.35">
      <c r="C7046" s="1"/>
    </row>
    <row r="7047" spans="3:3" x14ac:dyDescent="0.35">
      <c r="C7047" s="1"/>
    </row>
    <row r="7048" spans="3:3" x14ac:dyDescent="0.35">
      <c r="C7048" s="1"/>
    </row>
    <row r="7049" spans="3:3" x14ac:dyDescent="0.35">
      <c r="C7049" s="1"/>
    </row>
    <row r="7050" spans="3:3" x14ac:dyDescent="0.35">
      <c r="C7050" s="1"/>
    </row>
    <row r="7051" spans="3:3" x14ac:dyDescent="0.35">
      <c r="C7051" s="1"/>
    </row>
    <row r="7052" spans="3:3" x14ac:dyDescent="0.35">
      <c r="C7052" s="1"/>
    </row>
    <row r="7053" spans="3:3" x14ac:dyDescent="0.35">
      <c r="C7053" s="1"/>
    </row>
    <row r="7054" spans="3:3" x14ac:dyDescent="0.35">
      <c r="C7054" s="1"/>
    </row>
    <row r="7055" spans="3:3" x14ac:dyDescent="0.35">
      <c r="C7055" s="1"/>
    </row>
    <row r="7056" spans="3:3" x14ac:dyDescent="0.35">
      <c r="C7056" s="1"/>
    </row>
    <row r="7057" spans="3:3" x14ac:dyDescent="0.35">
      <c r="C7057" s="1"/>
    </row>
    <row r="7058" spans="3:3" x14ac:dyDescent="0.35">
      <c r="C7058" s="1"/>
    </row>
    <row r="7059" spans="3:3" x14ac:dyDescent="0.35">
      <c r="C7059" s="1"/>
    </row>
    <row r="7060" spans="3:3" x14ac:dyDescent="0.35">
      <c r="C7060" s="1"/>
    </row>
    <row r="7061" spans="3:3" x14ac:dyDescent="0.35">
      <c r="C7061" s="1"/>
    </row>
    <row r="7062" spans="3:3" x14ac:dyDescent="0.35">
      <c r="C7062" s="1"/>
    </row>
    <row r="7063" spans="3:3" x14ac:dyDescent="0.35">
      <c r="C7063" s="1"/>
    </row>
    <row r="7064" spans="3:3" x14ac:dyDescent="0.35">
      <c r="C7064" s="1"/>
    </row>
    <row r="7065" spans="3:3" x14ac:dyDescent="0.35">
      <c r="C7065" s="1"/>
    </row>
    <row r="7066" spans="3:3" x14ac:dyDescent="0.35">
      <c r="C7066" s="1"/>
    </row>
    <row r="7067" spans="3:3" x14ac:dyDescent="0.35">
      <c r="C7067" s="1"/>
    </row>
    <row r="7068" spans="3:3" x14ac:dyDescent="0.35">
      <c r="C7068" s="1"/>
    </row>
    <row r="7069" spans="3:3" x14ac:dyDescent="0.35">
      <c r="C7069" s="1"/>
    </row>
    <row r="7070" spans="3:3" x14ac:dyDescent="0.35">
      <c r="C7070" s="1"/>
    </row>
    <row r="7071" spans="3:3" x14ac:dyDescent="0.35">
      <c r="C7071" s="1"/>
    </row>
    <row r="7072" spans="3:3" x14ac:dyDescent="0.35">
      <c r="C7072" s="1"/>
    </row>
    <row r="7073" spans="3:3" x14ac:dyDescent="0.35">
      <c r="C7073" s="1"/>
    </row>
    <row r="7074" spans="3:3" x14ac:dyDescent="0.35">
      <c r="C7074" s="1"/>
    </row>
    <row r="7075" spans="3:3" x14ac:dyDescent="0.35">
      <c r="C7075" s="1"/>
    </row>
    <row r="7076" spans="3:3" x14ac:dyDescent="0.35">
      <c r="C7076" s="1"/>
    </row>
    <row r="7077" spans="3:3" x14ac:dyDescent="0.35">
      <c r="C7077" s="1"/>
    </row>
    <row r="7078" spans="3:3" x14ac:dyDescent="0.35">
      <c r="C7078" s="1"/>
    </row>
    <row r="7079" spans="3:3" x14ac:dyDescent="0.35">
      <c r="C7079" s="1"/>
    </row>
    <row r="7080" spans="3:3" x14ac:dyDescent="0.35">
      <c r="C7080" s="1"/>
    </row>
    <row r="7081" spans="3:3" x14ac:dyDescent="0.35">
      <c r="C7081" s="1"/>
    </row>
    <row r="7082" spans="3:3" x14ac:dyDescent="0.35">
      <c r="C7082" s="1"/>
    </row>
    <row r="7083" spans="3:3" x14ac:dyDescent="0.35">
      <c r="C7083" s="1"/>
    </row>
    <row r="7084" spans="3:3" x14ac:dyDescent="0.35">
      <c r="C7084" s="1"/>
    </row>
    <row r="7085" spans="3:3" x14ac:dyDescent="0.35">
      <c r="C7085" s="1"/>
    </row>
    <row r="7086" spans="3:3" x14ac:dyDescent="0.35">
      <c r="C7086" s="1"/>
    </row>
    <row r="7087" spans="3:3" x14ac:dyDescent="0.35">
      <c r="C7087" s="1"/>
    </row>
    <row r="7088" spans="3:3" x14ac:dyDescent="0.35">
      <c r="C7088" s="1"/>
    </row>
    <row r="7089" spans="3:3" x14ac:dyDescent="0.35">
      <c r="C7089" s="1"/>
    </row>
    <row r="7090" spans="3:3" x14ac:dyDescent="0.35">
      <c r="C7090" s="1"/>
    </row>
    <row r="7091" spans="3:3" x14ac:dyDescent="0.35">
      <c r="C7091" s="1"/>
    </row>
    <row r="7092" spans="3:3" x14ac:dyDescent="0.35">
      <c r="C7092" s="1"/>
    </row>
    <row r="7093" spans="3:3" x14ac:dyDescent="0.35">
      <c r="C7093" s="1"/>
    </row>
    <row r="7094" spans="3:3" x14ac:dyDescent="0.35">
      <c r="C7094" s="1"/>
    </row>
    <row r="7095" spans="3:3" x14ac:dyDescent="0.35">
      <c r="C7095" s="1"/>
    </row>
    <row r="7096" spans="3:3" x14ac:dyDescent="0.35">
      <c r="C7096" s="1"/>
    </row>
    <row r="7097" spans="3:3" x14ac:dyDescent="0.35">
      <c r="C7097" s="1"/>
    </row>
    <row r="7098" spans="3:3" x14ac:dyDescent="0.35">
      <c r="C7098" s="1"/>
    </row>
    <row r="7099" spans="3:3" x14ac:dyDescent="0.35">
      <c r="C7099" s="1"/>
    </row>
    <row r="7100" spans="3:3" x14ac:dyDescent="0.35">
      <c r="C7100" s="1"/>
    </row>
    <row r="7101" spans="3:3" x14ac:dyDescent="0.35">
      <c r="C7101" s="1"/>
    </row>
    <row r="7102" spans="3:3" x14ac:dyDescent="0.35">
      <c r="C7102" s="1"/>
    </row>
    <row r="7103" spans="3:3" x14ac:dyDescent="0.35">
      <c r="C7103" s="1"/>
    </row>
    <row r="7104" spans="3:3" x14ac:dyDescent="0.35">
      <c r="C7104" s="1"/>
    </row>
    <row r="7105" spans="3:3" x14ac:dyDescent="0.35">
      <c r="C7105" s="1"/>
    </row>
    <row r="7106" spans="3:3" x14ac:dyDescent="0.35">
      <c r="C7106" s="1"/>
    </row>
    <row r="7107" spans="3:3" x14ac:dyDescent="0.35">
      <c r="C7107" s="1"/>
    </row>
    <row r="7108" spans="3:3" x14ac:dyDescent="0.35">
      <c r="C7108" s="1"/>
    </row>
    <row r="7109" spans="3:3" x14ac:dyDescent="0.35">
      <c r="C7109" s="1"/>
    </row>
    <row r="7110" spans="3:3" x14ac:dyDescent="0.35">
      <c r="C7110" s="1"/>
    </row>
    <row r="7111" spans="3:3" x14ac:dyDescent="0.35">
      <c r="C7111" s="1"/>
    </row>
    <row r="7112" spans="3:3" x14ac:dyDescent="0.35">
      <c r="C7112" s="1"/>
    </row>
    <row r="7113" spans="3:3" x14ac:dyDescent="0.35">
      <c r="C7113" s="1"/>
    </row>
    <row r="7114" spans="3:3" x14ac:dyDescent="0.35">
      <c r="C7114" s="1"/>
    </row>
    <row r="7115" spans="3:3" x14ac:dyDescent="0.35">
      <c r="C7115" s="1"/>
    </row>
    <row r="7116" spans="3:3" x14ac:dyDescent="0.35">
      <c r="C7116" s="1"/>
    </row>
    <row r="7117" spans="3:3" x14ac:dyDescent="0.35">
      <c r="C7117" s="1"/>
    </row>
    <row r="7118" spans="3:3" x14ac:dyDescent="0.35">
      <c r="C7118" s="1"/>
    </row>
    <row r="7119" spans="3:3" x14ac:dyDescent="0.35">
      <c r="C7119" s="1"/>
    </row>
    <row r="7120" spans="3:3" x14ac:dyDescent="0.35">
      <c r="C7120" s="1"/>
    </row>
    <row r="7121" spans="3:3" x14ac:dyDescent="0.35">
      <c r="C7121" s="1"/>
    </row>
    <row r="7122" spans="3:3" x14ac:dyDescent="0.35">
      <c r="C7122" s="1"/>
    </row>
    <row r="7123" spans="3:3" x14ac:dyDescent="0.35">
      <c r="C7123" s="1"/>
    </row>
    <row r="7124" spans="3:3" x14ac:dyDescent="0.35">
      <c r="C7124" s="1"/>
    </row>
    <row r="7125" spans="3:3" x14ac:dyDescent="0.35">
      <c r="C7125" s="1"/>
    </row>
    <row r="7126" spans="3:3" x14ac:dyDescent="0.35">
      <c r="C7126" s="1"/>
    </row>
    <row r="7127" spans="3:3" x14ac:dyDescent="0.35">
      <c r="C7127" s="1"/>
    </row>
    <row r="7128" spans="3:3" x14ac:dyDescent="0.35">
      <c r="C7128" s="1"/>
    </row>
    <row r="7129" spans="3:3" x14ac:dyDescent="0.35">
      <c r="C7129" s="1"/>
    </row>
    <row r="7130" spans="3:3" x14ac:dyDescent="0.35">
      <c r="C7130" s="1"/>
    </row>
    <row r="7131" spans="3:3" x14ac:dyDescent="0.35">
      <c r="C7131" s="1"/>
    </row>
    <row r="7132" spans="3:3" x14ac:dyDescent="0.35">
      <c r="C7132" s="1"/>
    </row>
    <row r="7133" spans="3:3" x14ac:dyDescent="0.35">
      <c r="C7133" s="1"/>
    </row>
    <row r="7134" spans="3:3" x14ac:dyDescent="0.35">
      <c r="C7134" s="1"/>
    </row>
    <row r="7135" spans="3:3" x14ac:dyDescent="0.35">
      <c r="C7135" s="1"/>
    </row>
    <row r="7136" spans="3:3" x14ac:dyDescent="0.35">
      <c r="C7136" s="1"/>
    </row>
    <row r="7137" spans="3:3" x14ac:dyDescent="0.35">
      <c r="C7137" s="1"/>
    </row>
    <row r="7138" spans="3:3" x14ac:dyDescent="0.35">
      <c r="C7138" s="1"/>
    </row>
    <row r="7139" spans="3:3" x14ac:dyDescent="0.35">
      <c r="C7139" s="1"/>
    </row>
    <row r="7140" spans="3:3" x14ac:dyDescent="0.35">
      <c r="C7140" s="1"/>
    </row>
    <row r="7141" spans="3:3" x14ac:dyDescent="0.35">
      <c r="C7141" s="1"/>
    </row>
    <row r="7142" spans="3:3" x14ac:dyDescent="0.35">
      <c r="C7142" s="1"/>
    </row>
    <row r="7143" spans="3:3" x14ac:dyDescent="0.35">
      <c r="C7143" s="1"/>
    </row>
    <row r="7144" spans="3:3" x14ac:dyDescent="0.35">
      <c r="C7144" s="1"/>
    </row>
    <row r="7145" spans="3:3" x14ac:dyDescent="0.35">
      <c r="C7145" s="1"/>
    </row>
    <row r="7146" spans="3:3" x14ac:dyDescent="0.35">
      <c r="C7146" s="1"/>
    </row>
    <row r="7147" spans="3:3" x14ac:dyDescent="0.35">
      <c r="C7147" s="1"/>
    </row>
    <row r="7148" spans="3:3" x14ac:dyDescent="0.35">
      <c r="C7148" s="1"/>
    </row>
    <row r="7149" spans="3:3" x14ac:dyDescent="0.35">
      <c r="C7149" s="1"/>
    </row>
    <row r="7150" spans="3:3" x14ac:dyDescent="0.35">
      <c r="C7150" s="1"/>
    </row>
    <row r="7151" spans="3:3" x14ac:dyDescent="0.35">
      <c r="C7151" s="1"/>
    </row>
    <row r="7152" spans="3:3" x14ac:dyDescent="0.35">
      <c r="C7152" s="1"/>
    </row>
    <row r="7153" spans="3:3" x14ac:dyDescent="0.35">
      <c r="C7153" s="1"/>
    </row>
    <row r="7154" spans="3:3" x14ac:dyDescent="0.35">
      <c r="C7154" s="1"/>
    </row>
    <row r="7155" spans="3:3" x14ac:dyDescent="0.35">
      <c r="C7155" s="1"/>
    </row>
    <row r="7156" spans="3:3" x14ac:dyDescent="0.35">
      <c r="C7156" s="1"/>
    </row>
    <row r="7157" spans="3:3" x14ac:dyDescent="0.35">
      <c r="C7157" s="1"/>
    </row>
    <row r="7158" spans="3:3" x14ac:dyDescent="0.35">
      <c r="C7158" s="1"/>
    </row>
    <row r="7159" spans="3:3" x14ac:dyDescent="0.35">
      <c r="C7159" s="1"/>
    </row>
    <row r="7160" spans="3:3" x14ac:dyDescent="0.35">
      <c r="C7160" s="1"/>
    </row>
    <row r="7161" spans="3:3" x14ac:dyDescent="0.35">
      <c r="C7161" s="1"/>
    </row>
    <row r="7162" spans="3:3" x14ac:dyDescent="0.35">
      <c r="C7162" s="1"/>
    </row>
    <row r="7163" spans="3:3" x14ac:dyDescent="0.35">
      <c r="C7163" s="1"/>
    </row>
    <row r="7164" spans="3:3" x14ac:dyDescent="0.35">
      <c r="C7164" s="1"/>
    </row>
    <row r="7165" spans="3:3" x14ac:dyDescent="0.35">
      <c r="C7165" s="1"/>
    </row>
    <row r="7166" spans="3:3" x14ac:dyDescent="0.35">
      <c r="C7166" s="1"/>
    </row>
    <row r="7167" spans="3:3" x14ac:dyDescent="0.35">
      <c r="C7167" s="1"/>
    </row>
    <row r="7168" spans="3:3" x14ac:dyDescent="0.35">
      <c r="C7168" s="1"/>
    </row>
    <row r="7169" spans="3:3" x14ac:dyDescent="0.35">
      <c r="C7169" s="1"/>
    </row>
    <row r="7170" spans="3:3" x14ac:dyDescent="0.35">
      <c r="C7170" s="1"/>
    </row>
    <row r="7171" spans="3:3" x14ac:dyDescent="0.35">
      <c r="C7171" s="1"/>
    </row>
    <row r="7172" spans="3:3" x14ac:dyDescent="0.35">
      <c r="C7172" s="1"/>
    </row>
    <row r="7173" spans="3:3" x14ac:dyDescent="0.35">
      <c r="C7173" s="1"/>
    </row>
    <row r="7174" spans="3:3" x14ac:dyDescent="0.35">
      <c r="C7174" s="1"/>
    </row>
    <row r="7175" spans="3:3" x14ac:dyDescent="0.35">
      <c r="C7175" s="1"/>
    </row>
    <row r="7176" spans="3:3" x14ac:dyDescent="0.35">
      <c r="C7176" s="1"/>
    </row>
    <row r="7177" spans="3:3" x14ac:dyDescent="0.35">
      <c r="C7177" s="1"/>
    </row>
    <row r="7178" spans="3:3" x14ac:dyDescent="0.35">
      <c r="C7178" s="1"/>
    </row>
    <row r="7179" spans="3:3" x14ac:dyDescent="0.35">
      <c r="C7179" s="1"/>
    </row>
    <row r="7180" spans="3:3" x14ac:dyDescent="0.35">
      <c r="C7180" s="1"/>
    </row>
    <row r="7181" spans="3:3" x14ac:dyDescent="0.35">
      <c r="C7181" s="1"/>
    </row>
    <row r="7182" spans="3:3" x14ac:dyDescent="0.35">
      <c r="C7182" s="1"/>
    </row>
    <row r="7183" spans="3:3" x14ac:dyDescent="0.35">
      <c r="C7183" s="1"/>
    </row>
    <row r="7184" spans="3:3" x14ac:dyDescent="0.35">
      <c r="C7184" s="1"/>
    </row>
    <row r="7185" spans="3:3" x14ac:dyDescent="0.35">
      <c r="C7185" s="1"/>
    </row>
    <row r="7186" spans="3:3" x14ac:dyDescent="0.35">
      <c r="C7186" s="1"/>
    </row>
    <row r="7187" spans="3:3" x14ac:dyDescent="0.35">
      <c r="C7187" s="1"/>
    </row>
    <row r="7188" spans="3:3" x14ac:dyDescent="0.35">
      <c r="C7188" s="1"/>
    </row>
    <row r="7189" spans="3:3" x14ac:dyDescent="0.35">
      <c r="C7189" s="1"/>
    </row>
    <row r="7190" spans="3:3" x14ac:dyDescent="0.35">
      <c r="C7190" s="1"/>
    </row>
    <row r="7191" spans="3:3" x14ac:dyDescent="0.35">
      <c r="C7191" s="1"/>
    </row>
    <row r="7192" spans="3:3" x14ac:dyDescent="0.35">
      <c r="C7192" s="1"/>
    </row>
    <row r="7193" spans="3:3" x14ac:dyDescent="0.35">
      <c r="C7193" s="1"/>
    </row>
    <row r="7194" spans="3:3" x14ac:dyDescent="0.35">
      <c r="C7194" s="1"/>
    </row>
    <row r="7195" spans="3:3" x14ac:dyDescent="0.35">
      <c r="C7195" s="1"/>
    </row>
    <row r="7196" spans="3:3" x14ac:dyDescent="0.35">
      <c r="C7196" s="1"/>
    </row>
    <row r="7197" spans="3:3" x14ac:dyDescent="0.35">
      <c r="C7197" s="1"/>
    </row>
    <row r="7198" spans="3:3" x14ac:dyDescent="0.35">
      <c r="C7198" s="1"/>
    </row>
    <row r="7199" spans="3:3" x14ac:dyDescent="0.35">
      <c r="C7199" s="1"/>
    </row>
    <row r="7200" spans="3:3" x14ac:dyDescent="0.35">
      <c r="C7200" s="1"/>
    </row>
    <row r="7201" spans="3:3" x14ac:dyDescent="0.35">
      <c r="C7201" s="1"/>
    </row>
    <row r="7202" spans="3:3" x14ac:dyDescent="0.35">
      <c r="C7202" s="1"/>
    </row>
    <row r="7203" spans="3:3" x14ac:dyDescent="0.35">
      <c r="C7203" s="1"/>
    </row>
    <row r="7204" spans="3:3" x14ac:dyDescent="0.35">
      <c r="C7204" s="1"/>
    </row>
    <row r="7205" spans="3:3" x14ac:dyDescent="0.35">
      <c r="C7205" s="1"/>
    </row>
    <row r="7206" spans="3:3" x14ac:dyDescent="0.35">
      <c r="C7206" s="1"/>
    </row>
    <row r="7207" spans="3:3" x14ac:dyDescent="0.35">
      <c r="C7207" s="1"/>
    </row>
    <row r="7208" spans="3:3" x14ac:dyDescent="0.35">
      <c r="C7208" s="1"/>
    </row>
    <row r="7209" spans="3:3" x14ac:dyDescent="0.35">
      <c r="C7209" s="1"/>
    </row>
    <row r="7210" spans="3:3" x14ac:dyDescent="0.35">
      <c r="C7210" s="1"/>
    </row>
    <row r="7211" spans="3:3" x14ac:dyDescent="0.35">
      <c r="C7211" s="1"/>
    </row>
    <row r="7212" spans="3:3" x14ac:dyDescent="0.35">
      <c r="C7212" s="1"/>
    </row>
    <row r="7213" spans="3:3" x14ac:dyDescent="0.35">
      <c r="C7213" s="1"/>
    </row>
    <row r="7214" spans="3:3" x14ac:dyDescent="0.35">
      <c r="C7214" s="1"/>
    </row>
    <row r="7215" spans="3:3" x14ac:dyDescent="0.35">
      <c r="C7215" s="1"/>
    </row>
    <row r="7216" spans="3:3" x14ac:dyDescent="0.35">
      <c r="C7216" s="1"/>
    </row>
    <row r="7217" spans="3:3" x14ac:dyDescent="0.35">
      <c r="C7217" s="1"/>
    </row>
    <row r="7218" spans="3:3" x14ac:dyDescent="0.35">
      <c r="C7218" s="1"/>
    </row>
    <row r="7219" spans="3:3" x14ac:dyDescent="0.35">
      <c r="C7219" s="1"/>
    </row>
    <row r="7220" spans="3:3" x14ac:dyDescent="0.35">
      <c r="C7220" s="1"/>
    </row>
    <row r="7221" spans="3:3" x14ac:dyDescent="0.35">
      <c r="C7221" s="1"/>
    </row>
    <row r="7222" spans="3:3" x14ac:dyDescent="0.35">
      <c r="C7222" s="1"/>
    </row>
    <row r="7223" spans="3:3" x14ac:dyDescent="0.35">
      <c r="C7223" s="1"/>
    </row>
    <row r="7224" spans="3:3" x14ac:dyDescent="0.35">
      <c r="C7224" s="1"/>
    </row>
    <row r="7225" spans="3:3" x14ac:dyDescent="0.35">
      <c r="C7225" s="1"/>
    </row>
    <row r="7226" spans="3:3" x14ac:dyDescent="0.35">
      <c r="C7226" s="1"/>
    </row>
    <row r="7227" spans="3:3" x14ac:dyDescent="0.35">
      <c r="C7227" s="1"/>
    </row>
    <row r="7228" spans="3:3" x14ac:dyDescent="0.35">
      <c r="C7228" s="1"/>
    </row>
    <row r="7229" spans="3:3" x14ac:dyDescent="0.35">
      <c r="C7229" s="1"/>
    </row>
    <row r="7230" spans="3:3" x14ac:dyDescent="0.35">
      <c r="C7230" s="1"/>
    </row>
    <row r="7231" spans="3:3" x14ac:dyDescent="0.35">
      <c r="C7231" s="1"/>
    </row>
    <row r="7232" spans="3:3" x14ac:dyDescent="0.35">
      <c r="C7232" s="1"/>
    </row>
    <row r="7233" spans="3:3" x14ac:dyDescent="0.35">
      <c r="C7233" s="1"/>
    </row>
    <row r="7234" spans="3:3" x14ac:dyDescent="0.35">
      <c r="C7234" s="1"/>
    </row>
    <row r="7235" spans="3:3" x14ac:dyDescent="0.35">
      <c r="C7235" s="1"/>
    </row>
    <row r="7236" spans="3:3" x14ac:dyDescent="0.35">
      <c r="C7236" s="1"/>
    </row>
    <row r="7237" spans="3:3" x14ac:dyDescent="0.35">
      <c r="C7237" s="1"/>
    </row>
    <row r="7238" spans="3:3" x14ac:dyDescent="0.35">
      <c r="C7238" s="1"/>
    </row>
    <row r="7239" spans="3:3" x14ac:dyDescent="0.35">
      <c r="C7239" s="1"/>
    </row>
    <row r="7240" spans="3:3" x14ac:dyDescent="0.35">
      <c r="C7240" s="1"/>
    </row>
    <row r="7241" spans="3:3" x14ac:dyDescent="0.35">
      <c r="C7241" s="1"/>
    </row>
    <row r="7242" spans="3:3" x14ac:dyDescent="0.35">
      <c r="C7242" s="1"/>
    </row>
    <row r="7243" spans="3:3" x14ac:dyDescent="0.35">
      <c r="C7243" s="1"/>
    </row>
    <row r="7244" spans="3:3" x14ac:dyDescent="0.35">
      <c r="C7244" s="1"/>
    </row>
    <row r="7245" spans="3:3" x14ac:dyDescent="0.35">
      <c r="C7245" s="1"/>
    </row>
    <row r="7246" spans="3:3" x14ac:dyDescent="0.35">
      <c r="C7246" s="1"/>
    </row>
    <row r="7247" spans="3:3" x14ac:dyDescent="0.35">
      <c r="C7247" s="1"/>
    </row>
    <row r="7248" spans="3:3" x14ac:dyDescent="0.35">
      <c r="C7248" s="1"/>
    </row>
    <row r="7249" spans="3:3" x14ac:dyDescent="0.35">
      <c r="C7249" s="1"/>
    </row>
    <row r="7250" spans="3:3" x14ac:dyDescent="0.35">
      <c r="C7250" s="1"/>
    </row>
    <row r="7251" spans="3:3" x14ac:dyDescent="0.35">
      <c r="C7251" s="1"/>
    </row>
    <row r="7252" spans="3:3" x14ac:dyDescent="0.35">
      <c r="C7252" s="1"/>
    </row>
    <row r="7253" spans="3:3" x14ac:dyDescent="0.35">
      <c r="C7253" s="1"/>
    </row>
    <row r="7254" spans="3:3" x14ac:dyDescent="0.35">
      <c r="C7254" s="1"/>
    </row>
    <row r="7255" spans="3:3" x14ac:dyDescent="0.35">
      <c r="C7255" s="1"/>
    </row>
    <row r="7256" spans="3:3" x14ac:dyDescent="0.35">
      <c r="C7256" s="1"/>
    </row>
    <row r="7257" spans="3:3" x14ac:dyDescent="0.35">
      <c r="C7257" s="1"/>
    </row>
    <row r="7258" spans="3:3" x14ac:dyDescent="0.35">
      <c r="C7258" s="1"/>
    </row>
    <row r="7259" spans="3:3" x14ac:dyDescent="0.35">
      <c r="C7259" s="1"/>
    </row>
    <row r="7260" spans="3:3" x14ac:dyDescent="0.35">
      <c r="C7260" s="1"/>
    </row>
    <row r="7261" spans="3:3" x14ac:dyDescent="0.35">
      <c r="C7261" s="1"/>
    </row>
    <row r="7262" spans="3:3" x14ac:dyDescent="0.35">
      <c r="C7262" s="1"/>
    </row>
    <row r="7263" spans="3:3" x14ac:dyDescent="0.35">
      <c r="C7263" s="1"/>
    </row>
    <row r="7264" spans="3:3" x14ac:dyDescent="0.35">
      <c r="C7264" s="1"/>
    </row>
    <row r="7265" spans="3:3" x14ac:dyDescent="0.35">
      <c r="C7265" s="1"/>
    </row>
    <row r="7266" spans="3:3" x14ac:dyDescent="0.35">
      <c r="C7266" s="1"/>
    </row>
    <row r="7267" spans="3:3" x14ac:dyDescent="0.35">
      <c r="C7267" s="1"/>
    </row>
    <row r="7268" spans="3:3" x14ac:dyDescent="0.35">
      <c r="C7268" s="1"/>
    </row>
    <row r="7269" spans="3:3" x14ac:dyDescent="0.35">
      <c r="C7269" s="1"/>
    </row>
    <row r="7270" spans="3:3" x14ac:dyDescent="0.35">
      <c r="C7270" s="1"/>
    </row>
    <row r="7271" spans="3:3" x14ac:dyDescent="0.35">
      <c r="C7271" s="1"/>
    </row>
    <row r="7272" spans="3:3" x14ac:dyDescent="0.35">
      <c r="C7272" s="1"/>
    </row>
    <row r="7273" spans="3:3" x14ac:dyDescent="0.35">
      <c r="C7273" s="1"/>
    </row>
    <row r="7274" spans="3:3" x14ac:dyDescent="0.35">
      <c r="C7274" s="1"/>
    </row>
    <row r="7275" spans="3:3" x14ac:dyDescent="0.35">
      <c r="C7275" s="1"/>
    </row>
    <row r="7276" spans="3:3" x14ac:dyDescent="0.35">
      <c r="C7276" s="1"/>
    </row>
    <row r="7277" spans="3:3" x14ac:dyDescent="0.35">
      <c r="C7277" s="1"/>
    </row>
    <row r="7278" spans="3:3" x14ac:dyDescent="0.35">
      <c r="C7278" s="1"/>
    </row>
    <row r="7279" spans="3:3" x14ac:dyDescent="0.35">
      <c r="C7279" s="1"/>
    </row>
    <row r="7280" spans="3:3" x14ac:dyDescent="0.35">
      <c r="C7280" s="1"/>
    </row>
    <row r="7281" spans="3:3" x14ac:dyDescent="0.35">
      <c r="C7281" s="1"/>
    </row>
    <row r="7282" spans="3:3" x14ac:dyDescent="0.35">
      <c r="C7282" s="1"/>
    </row>
    <row r="7283" spans="3:3" x14ac:dyDescent="0.35">
      <c r="C7283" s="1"/>
    </row>
    <row r="7284" spans="3:3" x14ac:dyDescent="0.35">
      <c r="C7284" s="1"/>
    </row>
    <row r="7285" spans="3:3" x14ac:dyDescent="0.35">
      <c r="C7285" s="1"/>
    </row>
    <row r="7286" spans="3:3" x14ac:dyDescent="0.35">
      <c r="C7286" s="1"/>
    </row>
    <row r="7287" spans="3:3" x14ac:dyDescent="0.35">
      <c r="C7287" s="1"/>
    </row>
    <row r="7288" spans="3:3" x14ac:dyDescent="0.35">
      <c r="C7288" s="1"/>
    </row>
    <row r="7289" spans="3:3" x14ac:dyDescent="0.35">
      <c r="C7289" s="1"/>
    </row>
    <row r="7290" spans="3:3" x14ac:dyDescent="0.35">
      <c r="C7290" s="1"/>
    </row>
    <row r="7291" spans="3:3" x14ac:dyDescent="0.35">
      <c r="C7291" s="1"/>
    </row>
    <row r="7292" spans="3:3" x14ac:dyDescent="0.35">
      <c r="C7292" s="1"/>
    </row>
    <row r="7293" spans="3:3" x14ac:dyDescent="0.35">
      <c r="C7293" s="1"/>
    </row>
    <row r="7294" spans="3:3" x14ac:dyDescent="0.35">
      <c r="C7294" s="1"/>
    </row>
    <row r="7295" spans="3:3" x14ac:dyDescent="0.35">
      <c r="C7295" s="1"/>
    </row>
    <row r="7296" spans="3:3" x14ac:dyDescent="0.35">
      <c r="C7296" s="1"/>
    </row>
    <row r="7297" spans="3:3" x14ac:dyDescent="0.35">
      <c r="C7297" s="1"/>
    </row>
    <row r="7298" spans="3:3" x14ac:dyDescent="0.35">
      <c r="C7298" s="1"/>
    </row>
    <row r="7299" spans="3:3" x14ac:dyDescent="0.35">
      <c r="C7299" s="1"/>
    </row>
    <row r="7300" spans="3:3" x14ac:dyDescent="0.35">
      <c r="C7300" s="1"/>
    </row>
    <row r="7301" spans="3:3" x14ac:dyDescent="0.35">
      <c r="C7301" s="1"/>
    </row>
    <row r="7302" spans="3:3" x14ac:dyDescent="0.35">
      <c r="C7302" s="1"/>
    </row>
    <row r="7303" spans="3:3" x14ac:dyDescent="0.35">
      <c r="C7303" s="1"/>
    </row>
    <row r="7304" spans="3:3" x14ac:dyDescent="0.35">
      <c r="C7304" s="1"/>
    </row>
    <row r="7305" spans="3:3" x14ac:dyDescent="0.35">
      <c r="C7305" s="1"/>
    </row>
    <row r="7306" spans="3:3" x14ac:dyDescent="0.35">
      <c r="C7306" s="1"/>
    </row>
    <row r="7307" spans="3:3" x14ac:dyDescent="0.35">
      <c r="C7307" s="1"/>
    </row>
    <row r="7308" spans="3:3" x14ac:dyDescent="0.35">
      <c r="C7308" s="1"/>
    </row>
    <row r="7309" spans="3:3" x14ac:dyDescent="0.35">
      <c r="C7309" s="1"/>
    </row>
    <row r="7310" spans="3:3" x14ac:dyDescent="0.35">
      <c r="C7310" s="1"/>
    </row>
    <row r="7311" spans="3:3" x14ac:dyDescent="0.35">
      <c r="C7311" s="1"/>
    </row>
    <row r="7312" spans="3:3" x14ac:dyDescent="0.35">
      <c r="C7312" s="1"/>
    </row>
    <row r="7313" spans="3:3" x14ac:dyDescent="0.35">
      <c r="C7313" s="1"/>
    </row>
    <row r="7314" spans="3:3" x14ac:dyDescent="0.35">
      <c r="C7314" s="1"/>
    </row>
    <row r="7315" spans="3:3" x14ac:dyDescent="0.35">
      <c r="C7315" s="1"/>
    </row>
    <row r="7316" spans="3:3" x14ac:dyDescent="0.35">
      <c r="C7316" s="1"/>
    </row>
    <row r="7317" spans="3:3" x14ac:dyDescent="0.35">
      <c r="C7317" s="1"/>
    </row>
    <row r="7318" spans="3:3" x14ac:dyDescent="0.35">
      <c r="C7318" s="1"/>
    </row>
    <row r="7319" spans="3:3" x14ac:dyDescent="0.35">
      <c r="C7319" s="1"/>
    </row>
    <row r="7320" spans="3:3" x14ac:dyDescent="0.35">
      <c r="C7320" s="1"/>
    </row>
    <row r="7321" spans="3:3" x14ac:dyDescent="0.35">
      <c r="C7321" s="1"/>
    </row>
    <row r="7322" spans="3:3" x14ac:dyDescent="0.35">
      <c r="C7322" s="1"/>
    </row>
    <row r="7323" spans="3:3" x14ac:dyDescent="0.35">
      <c r="C7323" s="1"/>
    </row>
    <row r="7324" spans="3:3" x14ac:dyDescent="0.35">
      <c r="C7324" s="1"/>
    </row>
    <row r="7325" spans="3:3" x14ac:dyDescent="0.35">
      <c r="C7325" s="1"/>
    </row>
    <row r="7326" spans="3:3" x14ac:dyDescent="0.35">
      <c r="C7326" s="1"/>
    </row>
    <row r="7327" spans="3:3" x14ac:dyDescent="0.35">
      <c r="C7327" s="1"/>
    </row>
    <row r="7328" spans="3:3" x14ac:dyDescent="0.35">
      <c r="C7328" s="1"/>
    </row>
    <row r="7329" spans="3:3" x14ac:dyDescent="0.35">
      <c r="C7329" s="1"/>
    </row>
    <row r="7330" spans="3:3" x14ac:dyDescent="0.35">
      <c r="C7330" s="1"/>
    </row>
    <row r="7331" spans="3:3" x14ac:dyDescent="0.35">
      <c r="C7331" s="1"/>
    </row>
    <row r="7332" spans="3:3" x14ac:dyDescent="0.35">
      <c r="C7332" s="1"/>
    </row>
    <row r="7333" spans="3:3" x14ac:dyDescent="0.35">
      <c r="C7333" s="1"/>
    </row>
    <row r="7334" spans="3:3" x14ac:dyDescent="0.35">
      <c r="C7334" s="1"/>
    </row>
    <row r="7335" spans="3:3" x14ac:dyDescent="0.35">
      <c r="C7335" s="1"/>
    </row>
    <row r="7336" spans="3:3" x14ac:dyDescent="0.35">
      <c r="C7336" s="1"/>
    </row>
    <row r="7337" spans="3:3" x14ac:dyDescent="0.35">
      <c r="C7337" s="1"/>
    </row>
    <row r="7338" spans="3:3" x14ac:dyDescent="0.35">
      <c r="C7338" s="1"/>
    </row>
    <row r="7339" spans="3:3" x14ac:dyDescent="0.35">
      <c r="C7339" s="1"/>
    </row>
    <row r="7340" spans="3:3" x14ac:dyDescent="0.35">
      <c r="C7340" s="1"/>
    </row>
    <row r="7341" spans="3:3" x14ac:dyDescent="0.35">
      <c r="C7341" s="1"/>
    </row>
    <row r="7342" spans="3:3" x14ac:dyDescent="0.35">
      <c r="C7342" s="1"/>
    </row>
    <row r="7343" spans="3:3" x14ac:dyDescent="0.35">
      <c r="C7343" s="1"/>
    </row>
    <row r="7344" spans="3:3" x14ac:dyDescent="0.35">
      <c r="C7344" s="1"/>
    </row>
    <row r="7345" spans="3:3" x14ac:dyDescent="0.35">
      <c r="C7345" s="1"/>
    </row>
    <row r="7346" spans="3:3" x14ac:dyDescent="0.35">
      <c r="C7346" s="1"/>
    </row>
    <row r="7347" spans="3:3" x14ac:dyDescent="0.35">
      <c r="C7347" s="1"/>
    </row>
    <row r="7348" spans="3:3" x14ac:dyDescent="0.35">
      <c r="C7348" s="1"/>
    </row>
    <row r="7349" spans="3:3" x14ac:dyDescent="0.35">
      <c r="C7349" s="1"/>
    </row>
    <row r="7350" spans="3:3" x14ac:dyDescent="0.35">
      <c r="C7350" s="1"/>
    </row>
    <row r="7351" spans="3:3" x14ac:dyDescent="0.35">
      <c r="C7351" s="1"/>
    </row>
    <row r="7352" spans="3:3" x14ac:dyDescent="0.35">
      <c r="C7352" s="1"/>
    </row>
    <row r="7353" spans="3:3" x14ac:dyDescent="0.35">
      <c r="C7353" s="1"/>
    </row>
    <row r="7354" spans="3:3" x14ac:dyDescent="0.35">
      <c r="C7354" s="1"/>
    </row>
    <row r="7355" spans="3:3" x14ac:dyDescent="0.35">
      <c r="C7355" s="1"/>
    </row>
    <row r="7356" spans="3:3" x14ac:dyDescent="0.35">
      <c r="C7356" s="1"/>
    </row>
    <row r="7357" spans="3:3" x14ac:dyDescent="0.35">
      <c r="C7357" s="1"/>
    </row>
    <row r="7358" spans="3:3" x14ac:dyDescent="0.35">
      <c r="C7358" s="1"/>
    </row>
    <row r="7359" spans="3:3" x14ac:dyDescent="0.35">
      <c r="C7359" s="1"/>
    </row>
    <row r="7360" spans="3:3" x14ac:dyDescent="0.35">
      <c r="C7360" s="1"/>
    </row>
    <row r="7361" spans="3:3" x14ac:dyDescent="0.35">
      <c r="C7361" s="1"/>
    </row>
    <row r="7362" spans="3:3" x14ac:dyDescent="0.35">
      <c r="C7362" s="1"/>
    </row>
    <row r="7363" spans="3:3" x14ac:dyDescent="0.35">
      <c r="C7363" s="1"/>
    </row>
    <row r="7364" spans="3:3" x14ac:dyDescent="0.35">
      <c r="C7364" s="1"/>
    </row>
    <row r="7365" spans="3:3" x14ac:dyDescent="0.35">
      <c r="C7365" s="1"/>
    </row>
    <row r="7366" spans="3:3" x14ac:dyDescent="0.35">
      <c r="C7366" s="1"/>
    </row>
    <row r="7367" spans="3:3" x14ac:dyDescent="0.35">
      <c r="C7367" s="1"/>
    </row>
    <row r="7368" spans="3:3" x14ac:dyDescent="0.35">
      <c r="C7368" s="1"/>
    </row>
    <row r="7369" spans="3:3" x14ac:dyDescent="0.35">
      <c r="C7369" s="1"/>
    </row>
    <row r="7370" spans="3:3" x14ac:dyDescent="0.35">
      <c r="C7370" s="1"/>
    </row>
    <row r="7371" spans="3:3" x14ac:dyDescent="0.35">
      <c r="C7371" s="1"/>
    </row>
    <row r="7372" spans="3:3" x14ac:dyDescent="0.35">
      <c r="C7372" s="1"/>
    </row>
    <row r="7373" spans="3:3" x14ac:dyDescent="0.35">
      <c r="C7373" s="1"/>
    </row>
    <row r="7374" spans="3:3" x14ac:dyDescent="0.35">
      <c r="C7374" s="1"/>
    </row>
    <row r="7375" spans="3:3" x14ac:dyDescent="0.35">
      <c r="C7375" s="1"/>
    </row>
    <row r="7376" spans="3:3" x14ac:dyDescent="0.35">
      <c r="C7376" s="1"/>
    </row>
    <row r="7377" spans="3:3" x14ac:dyDescent="0.35">
      <c r="C7377" s="1"/>
    </row>
    <row r="7378" spans="3:3" x14ac:dyDescent="0.35">
      <c r="C7378" s="1"/>
    </row>
    <row r="7379" spans="3:3" x14ac:dyDescent="0.35">
      <c r="C7379" s="1"/>
    </row>
    <row r="7380" spans="3:3" x14ac:dyDescent="0.35">
      <c r="C7380" s="1"/>
    </row>
    <row r="7381" spans="3:3" x14ac:dyDescent="0.35">
      <c r="C7381" s="1"/>
    </row>
    <row r="7382" spans="3:3" x14ac:dyDescent="0.35">
      <c r="C7382" s="1"/>
    </row>
    <row r="7383" spans="3:3" x14ac:dyDescent="0.35">
      <c r="C7383" s="1"/>
    </row>
    <row r="7384" spans="3:3" x14ac:dyDescent="0.35">
      <c r="C7384" s="1"/>
    </row>
    <row r="7385" spans="3:3" x14ac:dyDescent="0.35">
      <c r="C7385" s="1"/>
    </row>
    <row r="7386" spans="3:3" x14ac:dyDescent="0.35">
      <c r="C7386" s="1"/>
    </row>
    <row r="7387" spans="3:3" x14ac:dyDescent="0.35">
      <c r="C7387" s="1"/>
    </row>
    <row r="7388" spans="3:3" x14ac:dyDescent="0.35">
      <c r="C7388" s="1"/>
    </row>
    <row r="7389" spans="3:3" x14ac:dyDescent="0.35">
      <c r="C7389" s="1"/>
    </row>
    <row r="7390" spans="3:3" x14ac:dyDescent="0.35">
      <c r="C7390" s="1"/>
    </row>
    <row r="7391" spans="3:3" x14ac:dyDescent="0.35">
      <c r="C7391" s="1"/>
    </row>
    <row r="7392" spans="3:3" x14ac:dyDescent="0.35">
      <c r="C7392" s="1"/>
    </row>
    <row r="7393" spans="3:3" x14ac:dyDescent="0.35">
      <c r="C7393" s="1"/>
    </row>
    <row r="7394" spans="3:3" x14ac:dyDescent="0.35">
      <c r="C7394" s="1"/>
    </row>
    <row r="7395" spans="3:3" x14ac:dyDescent="0.35">
      <c r="C7395" s="1"/>
    </row>
    <row r="7396" spans="3:3" x14ac:dyDescent="0.35">
      <c r="C7396" s="1"/>
    </row>
    <row r="7397" spans="3:3" x14ac:dyDescent="0.35">
      <c r="C7397" s="1"/>
    </row>
    <row r="7398" spans="3:3" x14ac:dyDescent="0.35">
      <c r="C7398" s="1"/>
    </row>
    <row r="7399" spans="3:3" x14ac:dyDescent="0.35">
      <c r="C7399" s="1"/>
    </row>
    <row r="7400" spans="3:3" x14ac:dyDescent="0.35">
      <c r="C7400" s="1"/>
    </row>
    <row r="7401" spans="3:3" x14ac:dyDescent="0.35">
      <c r="C7401" s="1"/>
    </row>
    <row r="7402" spans="3:3" x14ac:dyDescent="0.35">
      <c r="C7402" s="1"/>
    </row>
    <row r="7403" spans="3:3" x14ac:dyDescent="0.35">
      <c r="C7403" s="1"/>
    </row>
    <row r="7404" spans="3:3" x14ac:dyDescent="0.35">
      <c r="C7404" s="1"/>
    </row>
    <row r="7405" spans="3:3" x14ac:dyDescent="0.35">
      <c r="C7405" s="1"/>
    </row>
    <row r="7406" spans="3:3" x14ac:dyDescent="0.35">
      <c r="C7406" s="1"/>
    </row>
    <row r="7407" spans="3:3" x14ac:dyDescent="0.35">
      <c r="C7407" s="1"/>
    </row>
    <row r="7408" spans="3:3" x14ac:dyDescent="0.35">
      <c r="C7408" s="1"/>
    </row>
    <row r="7409" spans="3:3" x14ac:dyDescent="0.35">
      <c r="C7409" s="1"/>
    </row>
    <row r="7410" spans="3:3" x14ac:dyDescent="0.35">
      <c r="C7410" s="1"/>
    </row>
    <row r="7411" spans="3:3" x14ac:dyDescent="0.35">
      <c r="C7411" s="1"/>
    </row>
    <row r="7412" spans="3:3" x14ac:dyDescent="0.35">
      <c r="C7412" s="1"/>
    </row>
    <row r="7413" spans="3:3" x14ac:dyDescent="0.35">
      <c r="C7413" s="1"/>
    </row>
    <row r="7414" spans="3:3" x14ac:dyDescent="0.35">
      <c r="C7414" s="1"/>
    </row>
    <row r="7415" spans="3:3" x14ac:dyDescent="0.35">
      <c r="C7415" s="1"/>
    </row>
    <row r="7416" spans="3:3" x14ac:dyDescent="0.35">
      <c r="C7416" s="1"/>
    </row>
    <row r="7417" spans="3:3" x14ac:dyDescent="0.35">
      <c r="C7417" s="1"/>
    </row>
    <row r="7418" spans="3:3" x14ac:dyDescent="0.35">
      <c r="C7418" s="1"/>
    </row>
    <row r="7419" spans="3:3" x14ac:dyDescent="0.35">
      <c r="C7419" s="1"/>
    </row>
    <row r="7420" spans="3:3" x14ac:dyDescent="0.35">
      <c r="C7420" s="1"/>
    </row>
    <row r="7421" spans="3:3" x14ac:dyDescent="0.35">
      <c r="C7421" s="1"/>
    </row>
    <row r="7422" spans="3:3" x14ac:dyDescent="0.35">
      <c r="C7422" s="1"/>
    </row>
    <row r="7423" spans="3:3" x14ac:dyDescent="0.35">
      <c r="C7423" s="1"/>
    </row>
    <row r="7424" spans="3:3" x14ac:dyDescent="0.35">
      <c r="C7424" s="1"/>
    </row>
    <row r="7425" spans="3:3" x14ac:dyDescent="0.35">
      <c r="C7425" s="1"/>
    </row>
    <row r="7426" spans="3:3" x14ac:dyDescent="0.35">
      <c r="C7426" s="1"/>
    </row>
    <row r="7427" spans="3:3" x14ac:dyDescent="0.35">
      <c r="C7427" s="1"/>
    </row>
    <row r="7428" spans="3:3" x14ac:dyDescent="0.35">
      <c r="C7428" s="1"/>
    </row>
    <row r="7429" spans="3:3" x14ac:dyDescent="0.35">
      <c r="C7429" s="1"/>
    </row>
    <row r="7430" spans="3:3" x14ac:dyDescent="0.35">
      <c r="C7430" s="1"/>
    </row>
    <row r="7431" spans="3:3" x14ac:dyDescent="0.35">
      <c r="C7431" s="1"/>
    </row>
    <row r="7432" spans="3:3" x14ac:dyDescent="0.35">
      <c r="C7432" s="1"/>
    </row>
    <row r="7433" spans="3:3" x14ac:dyDescent="0.35">
      <c r="C7433" s="1"/>
    </row>
    <row r="7434" spans="3:3" x14ac:dyDescent="0.35">
      <c r="C7434" s="1"/>
    </row>
    <row r="7435" spans="3:3" x14ac:dyDescent="0.35">
      <c r="C7435" s="1"/>
    </row>
    <row r="7436" spans="3:3" x14ac:dyDescent="0.35">
      <c r="C7436" s="1"/>
    </row>
    <row r="7437" spans="3:3" x14ac:dyDescent="0.35">
      <c r="C7437" s="1"/>
    </row>
    <row r="7438" spans="3:3" x14ac:dyDescent="0.35">
      <c r="C7438" s="1"/>
    </row>
    <row r="7439" spans="3:3" x14ac:dyDescent="0.35">
      <c r="C7439" s="1"/>
    </row>
    <row r="7440" spans="3:3" x14ac:dyDescent="0.35">
      <c r="C7440" s="1"/>
    </row>
    <row r="7441" spans="3:3" x14ac:dyDescent="0.35">
      <c r="C7441" s="1"/>
    </row>
    <row r="7442" spans="3:3" x14ac:dyDescent="0.35">
      <c r="C7442" s="1"/>
    </row>
    <row r="7443" spans="3:3" x14ac:dyDescent="0.35">
      <c r="C7443" s="1"/>
    </row>
    <row r="7444" spans="3:3" x14ac:dyDescent="0.35">
      <c r="C7444" s="1"/>
    </row>
    <row r="7445" spans="3:3" x14ac:dyDescent="0.35">
      <c r="C7445" s="1"/>
    </row>
    <row r="7446" spans="3:3" x14ac:dyDescent="0.35">
      <c r="C7446" s="1"/>
    </row>
    <row r="7447" spans="3:3" x14ac:dyDescent="0.35">
      <c r="C7447" s="1"/>
    </row>
    <row r="7448" spans="3:3" x14ac:dyDescent="0.35">
      <c r="C7448" s="1"/>
    </row>
    <row r="7449" spans="3:3" x14ac:dyDescent="0.35">
      <c r="C7449" s="1"/>
    </row>
    <row r="7450" spans="3:3" x14ac:dyDescent="0.35">
      <c r="C7450" s="1"/>
    </row>
    <row r="7451" spans="3:3" x14ac:dyDescent="0.35">
      <c r="C7451" s="1"/>
    </row>
    <row r="7452" spans="3:3" x14ac:dyDescent="0.35">
      <c r="C7452" s="1"/>
    </row>
    <row r="7453" spans="3:3" x14ac:dyDescent="0.35">
      <c r="C7453" s="1"/>
    </row>
    <row r="7454" spans="3:3" x14ac:dyDescent="0.35">
      <c r="C7454" s="1"/>
    </row>
    <row r="7455" spans="3:3" x14ac:dyDescent="0.35">
      <c r="C7455" s="1"/>
    </row>
    <row r="7456" spans="3:3" x14ac:dyDescent="0.35">
      <c r="C7456" s="1"/>
    </row>
    <row r="7457" spans="3:3" x14ac:dyDescent="0.35">
      <c r="C7457" s="1"/>
    </row>
    <row r="7458" spans="3:3" x14ac:dyDescent="0.35">
      <c r="C7458" s="1"/>
    </row>
    <row r="7459" spans="3:3" x14ac:dyDescent="0.35">
      <c r="C7459" s="1"/>
    </row>
    <row r="7460" spans="3:3" x14ac:dyDescent="0.35">
      <c r="C7460" s="1"/>
    </row>
    <row r="7461" spans="3:3" x14ac:dyDescent="0.35">
      <c r="C7461" s="1"/>
    </row>
    <row r="7462" spans="3:3" x14ac:dyDescent="0.35">
      <c r="C7462" s="1"/>
    </row>
    <row r="7463" spans="3:3" x14ac:dyDescent="0.35">
      <c r="C7463" s="1"/>
    </row>
    <row r="7464" spans="3:3" x14ac:dyDescent="0.35">
      <c r="C7464" s="1"/>
    </row>
    <row r="7465" spans="3:3" x14ac:dyDescent="0.35">
      <c r="C7465" s="1"/>
    </row>
    <row r="7466" spans="3:3" x14ac:dyDescent="0.35">
      <c r="C7466" s="1"/>
    </row>
    <row r="7467" spans="3:3" x14ac:dyDescent="0.35">
      <c r="C7467" s="1"/>
    </row>
    <row r="7468" spans="3:3" x14ac:dyDescent="0.35">
      <c r="C7468" s="1"/>
    </row>
    <row r="7469" spans="3:3" x14ac:dyDescent="0.35">
      <c r="C7469" s="1"/>
    </row>
    <row r="7470" spans="3:3" x14ac:dyDescent="0.35">
      <c r="C7470" s="1"/>
    </row>
    <row r="7471" spans="3:3" x14ac:dyDescent="0.35">
      <c r="C7471" s="1"/>
    </row>
    <row r="7472" spans="3:3" x14ac:dyDescent="0.35">
      <c r="C7472" s="1"/>
    </row>
    <row r="7473" spans="3:3" x14ac:dyDescent="0.35">
      <c r="C7473" s="1"/>
    </row>
    <row r="7474" spans="3:3" x14ac:dyDescent="0.35">
      <c r="C7474" s="1"/>
    </row>
    <row r="7475" spans="3:3" x14ac:dyDescent="0.35">
      <c r="C7475" s="1"/>
    </row>
    <row r="7476" spans="3:3" x14ac:dyDescent="0.35">
      <c r="C7476" s="1"/>
    </row>
    <row r="7477" spans="3:3" x14ac:dyDescent="0.35">
      <c r="C7477" s="1"/>
    </row>
    <row r="7478" spans="3:3" x14ac:dyDescent="0.35">
      <c r="C7478" s="1"/>
    </row>
    <row r="7479" spans="3:3" x14ac:dyDescent="0.35">
      <c r="C7479" s="1"/>
    </row>
    <row r="7480" spans="3:3" x14ac:dyDescent="0.35">
      <c r="C7480" s="1"/>
    </row>
    <row r="7481" spans="3:3" x14ac:dyDescent="0.35">
      <c r="C7481" s="1"/>
    </row>
    <row r="7482" spans="3:3" x14ac:dyDescent="0.35">
      <c r="C7482" s="1"/>
    </row>
    <row r="7483" spans="3:3" x14ac:dyDescent="0.35">
      <c r="C7483" s="1"/>
    </row>
    <row r="7484" spans="3:3" x14ac:dyDescent="0.35">
      <c r="C7484" s="1"/>
    </row>
    <row r="7485" spans="3:3" x14ac:dyDescent="0.35">
      <c r="C7485" s="1"/>
    </row>
    <row r="7486" spans="3:3" x14ac:dyDescent="0.35">
      <c r="C7486" s="1"/>
    </row>
    <row r="7487" spans="3:3" x14ac:dyDescent="0.35">
      <c r="C7487" s="1"/>
    </row>
    <row r="7488" spans="3:3" x14ac:dyDescent="0.35">
      <c r="C7488" s="1"/>
    </row>
    <row r="7489" spans="3:3" x14ac:dyDescent="0.35">
      <c r="C7489" s="1"/>
    </row>
    <row r="7490" spans="3:3" x14ac:dyDescent="0.35">
      <c r="C7490" s="1"/>
    </row>
    <row r="7491" spans="3:3" x14ac:dyDescent="0.35">
      <c r="C7491" s="1"/>
    </row>
    <row r="7492" spans="3:3" x14ac:dyDescent="0.35">
      <c r="C7492" s="1"/>
    </row>
    <row r="7493" spans="3:3" x14ac:dyDescent="0.35">
      <c r="C7493" s="1"/>
    </row>
    <row r="7494" spans="3:3" x14ac:dyDescent="0.35">
      <c r="C7494" s="1"/>
    </row>
    <row r="7495" spans="3:3" x14ac:dyDescent="0.35">
      <c r="C7495" s="1"/>
    </row>
    <row r="7496" spans="3:3" x14ac:dyDescent="0.35">
      <c r="C7496" s="1"/>
    </row>
    <row r="7497" spans="3:3" x14ac:dyDescent="0.35">
      <c r="C7497" s="1"/>
    </row>
    <row r="7498" spans="3:3" x14ac:dyDescent="0.35">
      <c r="C7498" s="1"/>
    </row>
    <row r="7499" spans="3:3" x14ac:dyDescent="0.35">
      <c r="C7499" s="1"/>
    </row>
    <row r="7500" spans="3:3" x14ac:dyDescent="0.35">
      <c r="C7500" s="1"/>
    </row>
    <row r="7501" spans="3:3" x14ac:dyDescent="0.35">
      <c r="C7501" s="1"/>
    </row>
    <row r="7502" spans="3:3" x14ac:dyDescent="0.35">
      <c r="C7502" s="1"/>
    </row>
    <row r="7503" spans="3:3" x14ac:dyDescent="0.35">
      <c r="C7503" s="1"/>
    </row>
    <row r="7504" spans="3:3" x14ac:dyDescent="0.35">
      <c r="C7504" s="1"/>
    </row>
    <row r="7505" spans="3:3" x14ac:dyDescent="0.35">
      <c r="C7505" s="1"/>
    </row>
    <row r="7506" spans="3:3" x14ac:dyDescent="0.35">
      <c r="C7506" s="1"/>
    </row>
    <row r="7507" spans="3:3" x14ac:dyDescent="0.35">
      <c r="C7507" s="1"/>
    </row>
    <row r="7508" spans="3:3" x14ac:dyDescent="0.35">
      <c r="C7508" s="1"/>
    </row>
    <row r="7509" spans="3:3" x14ac:dyDescent="0.35">
      <c r="C7509" s="1"/>
    </row>
    <row r="7510" spans="3:3" x14ac:dyDescent="0.35">
      <c r="C7510" s="1"/>
    </row>
    <row r="7511" spans="3:3" x14ac:dyDescent="0.35">
      <c r="C7511" s="1"/>
    </row>
    <row r="7512" spans="3:3" x14ac:dyDescent="0.35">
      <c r="C7512" s="1"/>
    </row>
    <row r="7513" spans="3:3" x14ac:dyDescent="0.35">
      <c r="C7513" s="1"/>
    </row>
    <row r="7514" spans="3:3" x14ac:dyDescent="0.35">
      <c r="C7514" s="1"/>
    </row>
    <row r="7515" spans="3:3" x14ac:dyDescent="0.35">
      <c r="C7515" s="1"/>
    </row>
    <row r="7516" spans="3:3" x14ac:dyDescent="0.35">
      <c r="C7516" s="1"/>
    </row>
    <row r="7517" spans="3:3" x14ac:dyDescent="0.35">
      <c r="C7517" s="1"/>
    </row>
    <row r="7518" spans="3:3" x14ac:dyDescent="0.35">
      <c r="C7518" s="1"/>
    </row>
    <row r="7519" spans="3:3" x14ac:dyDescent="0.35">
      <c r="C7519" s="1"/>
    </row>
    <row r="7520" spans="3:3" x14ac:dyDescent="0.35">
      <c r="C7520" s="1"/>
    </row>
    <row r="7521" spans="3:3" x14ac:dyDescent="0.35">
      <c r="C7521" s="1"/>
    </row>
    <row r="7522" spans="3:3" x14ac:dyDescent="0.35">
      <c r="C7522" s="1"/>
    </row>
    <row r="7523" spans="3:3" x14ac:dyDescent="0.35">
      <c r="C7523" s="1"/>
    </row>
    <row r="7524" spans="3:3" x14ac:dyDescent="0.35">
      <c r="C7524" s="1"/>
    </row>
    <row r="7525" spans="3:3" x14ac:dyDescent="0.35">
      <c r="C7525" s="1"/>
    </row>
    <row r="7526" spans="3:3" x14ac:dyDescent="0.35">
      <c r="C7526" s="1"/>
    </row>
    <row r="7527" spans="3:3" x14ac:dyDescent="0.35">
      <c r="C7527" s="1"/>
    </row>
    <row r="7528" spans="3:3" x14ac:dyDescent="0.35">
      <c r="C7528" s="1"/>
    </row>
    <row r="7529" spans="3:3" x14ac:dyDescent="0.35">
      <c r="C7529" s="1"/>
    </row>
    <row r="7530" spans="3:3" x14ac:dyDescent="0.35">
      <c r="C7530" s="1"/>
    </row>
    <row r="7531" spans="3:3" x14ac:dyDescent="0.35">
      <c r="C7531" s="1"/>
    </row>
    <row r="7532" spans="3:3" x14ac:dyDescent="0.35">
      <c r="C7532" s="1"/>
    </row>
    <row r="7533" spans="3:3" x14ac:dyDescent="0.35">
      <c r="C7533" s="1"/>
    </row>
    <row r="7534" spans="3:3" x14ac:dyDescent="0.35">
      <c r="C7534" s="1"/>
    </row>
    <row r="7535" spans="3:3" x14ac:dyDescent="0.35">
      <c r="C7535" s="1"/>
    </row>
    <row r="7536" spans="3:3" x14ac:dyDescent="0.35">
      <c r="C7536" s="1"/>
    </row>
    <row r="7537" spans="3:3" x14ac:dyDescent="0.35">
      <c r="C7537" s="1"/>
    </row>
    <row r="7538" spans="3:3" x14ac:dyDescent="0.35">
      <c r="C7538" s="1"/>
    </row>
    <row r="7539" spans="3:3" x14ac:dyDescent="0.35">
      <c r="C7539" s="1"/>
    </row>
    <row r="7540" spans="3:3" x14ac:dyDescent="0.35">
      <c r="C7540" s="1"/>
    </row>
    <row r="7541" spans="3:3" x14ac:dyDescent="0.35">
      <c r="C7541" s="1"/>
    </row>
    <row r="7542" spans="3:3" x14ac:dyDescent="0.35">
      <c r="C7542" s="1"/>
    </row>
    <row r="7543" spans="3:3" x14ac:dyDescent="0.35">
      <c r="C7543" s="1"/>
    </row>
    <row r="7544" spans="3:3" x14ac:dyDescent="0.35">
      <c r="C7544" s="1"/>
    </row>
    <row r="7545" spans="3:3" x14ac:dyDescent="0.35">
      <c r="C7545" s="1"/>
    </row>
    <row r="7546" spans="3:3" x14ac:dyDescent="0.35">
      <c r="C7546" s="1"/>
    </row>
    <row r="7547" spans="3:3" x14ac:dyDescent="0.35">
      <c r="C7547" s="1"/>
    </row>
    <row r="7548" spans="3:3" x14ac:dyDescent="0.35">
      <c r="C7548" s="1"/>
    </row>
    <row r="7549" spans="3:3" x14ac:dyDescent="0.35">
      <c r="C7549" s="1"/>
    </row>
    <row r="7550" spans="3:3" x14ac:dyDescent="0.35">
      <c r="C7550" s="1"/>
    </row>
    <row r="7551" spans="3:3" x14ac:dyDescent="0.35">
      <c r="C7551" s="1"/>
    </row>
    <row r="7552" spans="3:3" x14ac:dyDescent="0.35">
      <c r="C7552" s="1"/>
    </row>
    <row r="7553" spans="3:3" x14ac:dyDescent="0.35">
      <c r="C7553" s="1"/>
    </row>
    <row r="7554" spans="3:3" x14ac:dyDescent="0.35">
      <c r="C7554" s="1"/>
    </row>
    <row r="7555" spans="3:3" x14ac:dyDescent="0.35">
      <c r="C7555" s="1"/>
    </row>
    <row r="7556" spans="3:3" x14ac:dyDescent="0.35">
      <c r="C7556" s="1"/>
    </row>
    <row r="7557" spans="3:3" x14ac:dyDescent="0.35">
      <c r="C7557" s="1"/>
    </row>
    <row r="7558" spans="3:3" x14ac:dyDescent="0.35">
      <c r="C7558" s="1"/>
    </row>
    <row r="7559" spans="3:3" x14ac:dyDescent="0.35">
      <c r="C7559" s="1"/>
    </row>
    <row r="7560" spans="3:3" x14ac:dyDescent="0.35">
      <c r="C7560" s="1"/>
    </row>
    <row r="7561" spans="3:3" x14ac:dyDescent="0.35">
      <c r="C7561" s="1"/>
    </row>
    <row r="7562" spans="3:3" x14ac:dyDescent="0.35">
      <c r="C7562" s="1"/>
    </row>
    <row r="7563" spans="3:3" x14ac:dyDescent="0.35">
      <c r="C7563" s="1"/>
    </row>
    <row r="7564" spans="3:3" x14ac:dyDescent="0.35">
      <c r="C7564" s="1"/>
    </row>
    <row r="7565" spans="3:3" x14ac:dyDescent="0.35">
      <c r="C7565" s="1"/>
    </row>
    <row r="7566" spans="3:3" x14ac:dyDescent="0.35">
      <c r="C7566" s="1"/>
    </row>
    <row r="7567" spans="3:3" x14ac:dyDescent="0.35">
      <c r="C7567" s="1"/>
    </row>
    <row r="7568" spans="3:3" x14ac:dyDescent="0.35">
      <c r="C7568" s="1"/>
    </row>
    <row r="7569" spans="3:3" x14ac:dyDescent="0.35">
      <c r="C7569" s="1"/>
    </row>
    <row r="7570" spans="3:3" x14ac:dyDescent="0.35">
      <c r="C7570" s="1"/>
    </row>
    <row r="7571" spans="3:3" x14ac:dyDescent="0.35">
      <c r="C7571" s="1"/>
    </row>
    <row r="7572" spans="3:3" x14ac:dyDescent="0.35">
      <c r="C7572" s="1"/>
    </row>
    <row r="7573" spans="3:3" x14ac:dyDescent="0.35">
      <c r="C7573" s="1"/>
    </row>
    <row r="7574" spans="3:3" x14ac:dyDescent="0.35">
      <c r="C7574" s="1"/>
    </row>
    <row r="7575" spans="3:3" x14ac:dyDescent="0.35">
      <c r="C7575" s="1"/>
    </row>
    <row r="7576" spans="3:3" x14ac:dyDescent="0.35">
      <c r="C7576" s="1"/>
    </row>
    <row r="7577" spans="3:3" x14ac:dyDescent="0.35">
      <c r="C7577" s="1"/>
    </row>
    <row r="7578" spans="3:3" x14ac:dyDescent="0.35">
      <c r="C7578" s="1"/>
    </row>
    <row r="7579" spans="3:3" x14ac:dyDescent="0.35">
      <c r="C7579" s="1"/>
    </row>
    <row r="7580" spans="3:3" x14ac:dyDescent="0.35">
      <c r="C7580" s="1"/>
    </row>
    <row r="7581" spans="3:3" x14ac:dyDescent="0.35">
      <c r="C7581" s="1"/>
    </row>
    <row r="7582" spans="3:3" x14ac:dyDescent="0.35">
      <c r="C7582" s="1"/>
    </row>
    <row r="7583" spans="3:3" x14ac:dyDescent="0.35">
      <c r="C7583" s="1"/>
    </row>
    <row r="7584" spans="3:3" x14ac:dyDescent="0.35">
      <c r="C7584" s="1"/>
    </row>
    <row r="7585" spans="3:3" x14ac:dyDescent="0.35">
      <c r="C7585" s="1"/>
    </row>
    <row r="7586" spans="3:3" x14ac:dyDescent="0.35">
      <c r="C7586" s="1"/>
    </row>
    <row r="7587" spans="3:3" x14ac:dyDescent="0.35">
      <c r="C7587" s="1"/>
    </row>
    <row r="7588" spans="3:3" x14ac:dyDescent="0.35">
      <c r="C7588" s="1"/>
    </row>
    <row r="7589" spans="3:3" x14ac:dyDescent="0.35">
      <c r="C7589" s="1"/>
    </row>
    <row r="7590" spans="3:3" x14ac:dyDescent="0.35">
      <c r="C7590" s="1"/>
    </row>
    <row r="7591" spans="3:3" x14ac:dyDescent="0.35">
      <c r="C7591" s="1"/>
    </row>
    <row r="7592" spans="3:3" x14ac:dyDescent="0.35">
      <c r="C7592" s="1"/>
    </row>
    <row r="7593" spans="3:3" x14ac:dyDescent="0.35">
      <c r="C7593" s="1"/>
    </row>
    <row r="7594" spans="3:3" x14ac:dyDescent="0.35">
      <c r="C7594" s="1"/>
    </row>
    <row r="7595" spans="3:3" x14ac:dyDescent="0.35">
      <c r="C7595" s="1"/>
    </row>
    <row r="7596" spans="3:3" x14ac:dyDescent="0.35">
      <c r="C7596" s="1"/>
    </row>
    <row r="7597" spans="3:3" x14ac:dyDescent="0.35">
      <c r="C7597" s="1"/>
    </row>
    <row r="7598" spans="3:3" x14ac:dyDescent="0.35">
      <c r="C7598" s="1"/>
    </row>
    <row r="7599" spans="3:3" x14ac:dyDescent="0.35">
      <c r="C7599" s="1"/>
    </row>
    <row r="7600" spans="3:3" x14ac:dyDescent="0.35">
      <c r="C7600" s="1"/>
    </row>
    <row r="7601" spans="3:3" x14ac:dyDescent="0.35">
      <c r="C7601" s="1"/>
    </row>
    <row r="7602" spans="3:3" x14ac:dyDescent="0.35">
      <c r="C7602" s="1"/>
    </row>
    <row r="7603" spans="3:3" x14ac:dyDescent="0.35">
      <c r="C7603" s="1"/>
    </row>
    <row r="7604" spans="3:3" x14ac:dyDescent="0.35">
      <c r="C7604" s="1"/>
    </row>
    <row r="7605" spans="3:3" x14ac:dyDescent="0.35">
      <c r="C7605" s="1"/>
    </row>
    <row r="7606" spans="3:3" x14ac:dyDescent="0.35">
      <c r="C7606" s="1"/>
    </row>
    <row r="7607" spans="3:3" x14ac:dyDescent="0.35">
      <c r="C7607" s="1"/>
    </row>
    <row r="7608" spans="3:3" x14ac:dyDescent="0.35">
      <c r="C7608" s="1"/>
    </row>
    <row r="7609" spans="3:3" x14ac:dyDescent="0.35">
      <c r="C7609" s="1"/>
    </row>
    <row r="7610" spans="3:3" x14ac:dyDescent="0.35">
      <c r="C7610" s="1"/>
    </row>
    <row r="7611" spans="3:3" x14ac:dyDescent="0.35">
      <c r="C7611" s="1"/>
    </row>
    <row r="7612" spans="3:3" x14ac:dyDescent="0.35">
      <c r="C7612" s="1"/>
    </row>
    <row r="7613" spans="3:3" x14ac:dyDescent="0.35">
      <c r="C7613" s="1"/>
    </row>
    <row r="7614" spans="3:3" x14ac:dyDescent="0.35">
      <c r="C7614" s="1"/>
    </row>
    <row r="7615" spans="3:3" x14ac:dyDescent="0.35">
      <c r="C7615" s="1"/>
    </row>
    <row r="7616" spans="3:3" x14ac:dyDescent="0.35">
      <c r="C7616" s="1"/>
    </row>
    <row r="7617" spans="3:3" x14ac:dyDescent="0.35">
      <c r="C7617" s="1"/>
    </row>
    <row r="7618" spans="3:3" x14ac:dyDescent="0.35">
      <c r="C7618" s="1"/>
    </row>
    <row r="7619" spans="3:3" x14ac:dyDescent="0.35">
      <c r="C7619" s="1"/>
    </row>
    <row r="7620" spans="3:3" x14ac:dyDescent="0.35">
      <c r="C7620" s="1"/>
    </row>
    <row r="7621" spans="3:3" x14ac:dyDescent="0.35">
      <c r="C7621" s="1"/>
    </row>
    <row r="7622" spans="3:3" x14ac:dyDescent="0.35">
      <c r="C7622" s="1"/>
    </row>
    <row r="7623" spans="3:3" x14ac:dyDescent="0.35">
      <c r="C7623" s="1"/>
    </row>
    <row r="7624" spans="3:3" x14ac:dyDescent="0.35">
      <c r="C7624" s="1"/>
    </row>
    <row r="7625" spans="3:3" x14ac:dyDescent="0.35">
      <c r="C7625" s="1"/>
    </row>
    <row r="7626" spans="3:3" x14ac:dyDescent="0.35">
      <c r="C7626" s="1"/>
    </row>
    <row r="7627" spans="3:3" x14ac:dyDescent="0.35">
      <c r="C7627" s="1"/>
    </row>
    <row r="7628" spans="3:3" x14ac:dyDescent="0.35">
      <c r="C7628" s="1"/>
    </row>
    <row r="7629" spans="3:3" x14ac:dyDescent="0.35">
      <c r="C7629" s="1"/>
    </row>
    <row r="7630" spans="3:3" x14ac:dyDescent="0.35">
      <c r="C7630" s="1"/>
    </row>
    <row r="7631" spans="3:3" x14ac:dyDescent="0.35">
      <c r="C7631" s="1"/>
    </row>
    <row r="7632" spans="3:3" x14ac:dyDescent="0.35">
      <c r="C7632" s="1"/>
    </row>
    <row r="7633" spans="3:3" x14ac:dyDescent="0.35">
      <c r="C7633" s="1"/>
    </row>
    <row r="7634" spans="3:3" x14ac:dyDescent="0.35">
      <c r="C7634" s="1"/>
    </row>
    <row r="7635" spans="3:3" x14ac:dyDescent="0.35">
      <c r="C7635" s="1"/>
    </row>
    <row r="7636" spans="3:3" x14ac:dyDescent="0.35">
      <c r="C7636" s="1"/>
    </row>
    <row r="7637" spans="3:3" x14ac:dyDescent="0.35">
      <c r="C7637" s="1"/>
    </row>
    <row r="7638" spans="3:3" x14ac:dyDescent="0.35">
      <c r="C7638" s="1"/>
    </row>
    <row r="7639" spans="3:3" x14ac:dyDescent="0.35">
      <c r="C7639" s="1"/>
    </row>
    <row r="7640" spans="3:3" x14ac:dyDescent="0.35">
      <c r="C7640" s="1"/>
    </row>
    <row r="7641" spans="3:3" x14ac:dyDescent="0.35">
      <c r="C7641" s="1"/>
    </row>
    <row r="7642" spans="3:3" x14ac:dyDescent="0.35">
      <c r="C7642" s="1"/>
    </row>
    <row r="7643" spans="3:3" x14ac:dyDescent="0.35">
      <c r="C7643" s="1"/>
    </row>
    <row r="7644" spans="3:3" x14ac:dyDescent="0.35">
      <c r="C7644" s="1"/>
    </row>
    <row r="7645" spans="3:3" x14ac:dyDescent="0.35">
      <c r="C7645" s="1"/>
    </row>
    <row r="7646" spans="3:3" x14ac:dyDescent="0.35">
      <c r="C7646" s="1"/>
    </row>
    <row r="7647" spans="3:3" x14ac:dyDescent="0.35">
      <c r="C7647" s="1"/>
    </row>
    <row r="7648" spans="3:3" x14ac:dyDescent="0.35">
      <c r="C7648" s="1"/>
    </row>
    <row r="7649" spans="3:3" x14ac:dyDescent="0.35">
      <c r="C7649" s="1"/>
    </row>
    <row r="7650" spans="3:3" x14ac:dyDescent="0.35">
      <c r="C7650" s="1"/>
    </row>
    <row r="7651" spans="3:3" x14ac:dyDescent="0.35">
      <c r="C7651" s="1"/>
    </row>
    <row r="7652" spans="3:3" x14ac:dyDescent="0.35">
      <c r="C7652" s="1"/>
    </row>
    <row r="7653" spans="3:3" x14ac:dyDescent="0.35">
      <c r="C7653" s="1"/>
    </row>
    <row r="7654" spans="3:3" x14ac:dyDescent="0.35">
      <c r="C7654" s="1"/>
    </row>
    <row r="7655" spans="3:3" x14ac:dyDescent="0.35">
      <c r="C7655" s="1"/>
    </row>
    <row r="7656" spans="3:3" x14ac:dyDescent="0.35">
      <c r="C7656" s="1"/>
    </row>
    <row r="7657" spans="3:3" x14ac:dyDescent="0.35">
      <c r="C7657" s="1"/>
    </row>
    <row r="7658" spans="3:3" x14ac:dyDescent="0.35">
      <c r="C7658" s="1"/>
    </row>
    <row r="7659" spans="3:3" x14ac:dyDescent="0.35">
      <c r="C7659" s="1"/>
    </row>
    <row r="7660" spans="3:3" x14ac:dyDescent="0.35">
      <c r="C7660" s="1"/>
    </row>
    <row r="7661" spans="3:3" x14ac:dyDescent="0.35">
      <c r="C7661" s="1"/>
    </row>
    <row r="7662" spans="3:3" x14ac:dyDescent="0.35">
      <c r="C7662" s="1"/>
    </row>
    <row r="7663" spans="3:3" x14ac:dyDescent="0.35">
      <c r="C7663" s="1"/>
    </row>
    <row r="7664" spans="3:3" x14ac:dyDescent="0.35">
      <c r="C7664" s="1"/>
    </row>
    <row r="7665" spans="3:3" x14ac:dyDescent="0.35">
      <c r="C7665" s="1"/>
    </row>
    <row r="7666" spans="3:3" x14ac:dyDescent="0.35">
      <c r="C7666" s="1"/>
    </row>
    <row r="7667" spans="3:3" x14ac:dyDescent="0.35">
      <c r="C7667" s="1"/>
    </row>
    <row r="7668" spans="3:3" x14ac:dyDescent="0.35">
      <c r="C7668" s="1"/>
    </row>
    <row r="7669" spans="3:3" x14ac:dyDescent="0.35">
      <c r="C7669" s="1"/>
    </row>
    <row r="7670" spans="3:3" x14ac:dyDescent="0.35">
      <c r="C7670" s="1"/>
    </row>
    <row r="7671" spans="3:3" x14ac:dyDescent="0.35">
      <c r="C7671" s="1"/>
    </row>
    <row r="7672" spans="3:3" x14ac:dyDescent="0.35">
      <c r="C7672" s="1"/>
    </row>
    <row r="7673" spans="3:3" x14ac:dyDescent="0.35">
      <c r="C7673" s="1"/>
    </row>
    <row r="7674" spans="3:3" x14ac:dyDescent="0.35">
      <c r="C7674" s="1"/>
    </row>
    <row r="7675" spans="3:3" x14ac:dyDescent="0.35">
      <c r="C7675" s="1"/>
    </row>
    <row r="7676" spans="3:3" x14ac:dyDescent="0.35">
      <c r="C7676" s="1"/>
    </row>
    <row r="7677" spans="3:3" x14ac:dyDescent="0.35">
      <c r="C7677" s="1"/>
    </row>
    <row r="7678" spans="3:3" x14ac:dyDescent="0.35">
      <c r="C7678" s="1"/>
    </row>
    <row r="7679" spans="3:3" x14ac:dyDescent="0.35">
      <c r="C7679" s="1"/>
    </row>
    <row r="7680" spans="3:3" x14ac:dyDescent="0.35">
      <c r="C7680" s="1"/>
    </row>
    <row r="7681" spans="3:3" x14ac:dyDescent="0.35">
      <c r="C7681" s="1"/>
    </row>
    <row r="7682" spans="3:3" x14ac:dyDescent="0.35">
      <c r="C7682" s="1"/>
    </row>
    <row r="7683" spans="3:3" x14ac:dyDescent="0.35">
      <c r="C7683" s="1"/>
    </row>
    <row r="7684" spans="3:3" x14ac:dyDescent="0.35">
      <c r="C7684" s="1"/>
    </row>
    <row r="7685" spans="3:3" x14ac:dyDescent="0.35">
      <c r="C7685" s="1"/>
    </row>
    <row r="7686" spans="3:3" x14ac:dyDescent="0.35">
      <c r="C7686" s="1"/>
    </row>
    <row r="7687" spans="3:3" x14ac:dyDescent="0.35">
      <c r="C7687" s="1"/>
    </row>
    <row r="7688" spans="3:3" x14ac:dyDescent="0.35">
      <c r="C7688" s="1"/>
    </row>
    <row r="7689" spans="3:3" x14ac:dyDescent="0.35">
      <c r="C7689" s="1"/>
    </row>
    <row r="7690" spans="3:3" x14ac:dyDescent="0.35">
      <c r="C7690" s="1"/>
    </row>
    <row r="7691" spans="3:3" x14ac:dyDescent="0.35">
      <c r="C7691" s="1"/>
    </row>
    <row r="7692" spans="3:3" x14ac:dyDescent="0.35">
      <c r="C7692" s="1"/>
    </row>
    <row r="7693" spans="3:3" x14ac:dyDescent="0.35">
      <c r="C7693" s="1"/>
    </row>
    <row r="7694" spans="3:3" x14ac:dyDescent="0.35">
      <c r="C7694" s="1"/>
    </row>
    <row r="7695" spans="3:3" x14ac:dyDescent="0.35">
      <c r="C7695" s="1"/>
    </row>
    <row r="7696" spans="3:3" x14ac:dyDescent="0.35">
      <c r="C7696" s="1"/>
    </row>
    <row r="7697" spans="3:3" x14ac:dyDescent="0.35">
      <c r="C7697" s="1"/>
    </row>
    <row r="7698" spans="3:3" x14ac:dyDescent="0.35">
      <c r="C7698" s="1"/>
    </row>
    <row r="7699" spans="3:3" x14ac:dyDescent="0.35">
      <c r="C7699" s="1"/>
    </row>
    <row r="7700" spans="3:3" x14ac:dyDescent="0.35">
      <c r="C7700" s="1"/>
    </row>
    <row r="7701" spans="3:3" x14ac:dyDescent="0.35">
      <c r="C7701" s="1"/>
    </row>
    <row r="7702" spans="3:3" x14ac:dyDescent="0.35">
      <c r="C7702" s="1"/>
    </row>
    <row r="7703" spans="3:3" x14ac:dyDescent="0.35">
      <c r="C7703" s="1"/>
    </row>
    <row r="7704" spans="3:3" x14ac:dyDescent="0.35">
      <c r="C7704" s="1"/>
    </row>
    <row r="7705" spans="3:3" x14ac:dyDescent="0.35">
      <c r="C7705" s="1"/>
    </row>
    <row r="7706" spans="3:3" x14ac:dyDescent="0.35">
      <c r="C7706" s="1"/>
    </row>
    <row r="7707" spans="3:3" x14ac:dyDescent="0.35">
      <c r="C7707" s="1"/>
    </row>
    <row r="7708" spans="3:3" x14ac:dyDescent="0.35">
      <c r="C7708" s="1"/>
    </row>
    <row r="7709" spans="3:3" x14ac:dyDescent="0.35">
      <c r="C7709" s="1"/>
    </row>
    <row r="7710" spans="3:3" x14ac:dyDescent="0.35">
      <c r="C7710" s="1"/>
    </row>
    <row r="7711" spans="3:3" x14ac:dyDescent="0.35">
      <c r="C7711" s="1"/>
    </row>
    <row r="7712" spans="3:3" x14ac:dyDescent="0.35">
      <c r="C7712" s="1"/>
    </row>
    <row r="7713" spans="3:3" x14ac:dyDescent="0.35">
      <c r="C7713" s="1"/>
    </row>
    <row r="7714" spans="3:3" x14ac:dyDescent="0.35">
      <c r="C7714" s="1"/>
    </row>
    <row r="7715" spans="3:3" x14ac:dyDescent="0.35">
      <c r="C7715" s="1"/>
    </row>
    <row r="7716" spans="3:3" x14ac:dyDescent="0.35">
      <c r="C7716" s="1"/>
    </row>
    <row r="7717" spans="3:3" x14ac:dyDescent="0.35">
      <c r="C7717" s="1"/>
    </row>
    <row r="7718" spans="3:3" x14ac:dyDescent="0.35">
      <c r="C7718" s="1"/>
    </row>
    <row r="7719" spans="3:3" x14ac:dyDescent="0.35">
      <c r="C7719" s="1"/>
    </row>
    <row r="7720" spans="3:3" x14ac:dyDescent="0.35">
      <c r="C7720" s="1"/>
    </row>
    <row r="7721" spans="3:3" x14ac:dyDescent="0.35">
      <c r="C7721" s="1"/>
    </row>
    <row r="7722" spans="3:3" x14ac:dyDescent="0.35">
      <c r="C7722" s="1"/>
    </row>
    <row r="7723" spans="3:3" x14ac:dyDescent="0.35">
      <c r="C7723" s="1"/>
    </row>
    <row r="7724" spans="3:3" x14ac:dyDescent="0.35">
      <c r="C7724" s="1"/>
    </row>
    <row r="7725" spans="3:3" x14ac:dyDescent="0.35">
      <c r="C7725" s="1"/>
    </row>
    <row r="7726" spans="3:3" x14ac:dyDescent="0.35">
      <c r="C7726" s="1"/>
    </row>
    <row r="7727" spans="3:3" x14ac:dyDescent="0.35">
      <c r="C7727" s="1"/>
    </row>
    <row r="7728" spans="3:3" x14ac:dyDescent="0.35">
      <c r="C7728" s="1"/>
    </row>
    <row r="7729" spans="3:3" x14ac:dyDescent="0.35">
      <c r="C7729" s="1"/>
    </row>
    <row r="7730" spans="3:3" x14ac:dyDescent="0.35">
      <c r="C7730" s="1"/>
    </row>
    <row r="7731" spans="3:3" x14ac:dyDescent="0.35">
      <c r="C7731" s="1"/>
    </row>
    <row r="7732" spans="3:3" x14ac:dyDescent="0.35">
      <c r="C7732" s="1"/>
    </row>
    <row r="7733" spans="3:3" x14ac:dyDescent="0.35">
      <c r="C7733" s="1"/>
    </row>
    <row r="7734" spans="3:3" x14ac:dyDescent="0.35">
      <c r="C7734" s="1"/>
    </row>
    <row r="7735" spans="3:3" x14ac:dyDescent="0.35">
      <c r="C7735" s="1"/>
    </row>
    <row r="7736" spans="3:3" x14ac:dyDescent="0.35">
      <c r="C7736" s="1"/>
    </row>
    <row r="7737" spans="3:3" x14ac:dyDescent="0.35">
      <c r="C7737" s="1"/>
    </row>
    <row r="7738" spans="3:3" x14ac:dyDescent="0.35">
      <c r="C7738" s="1"/>
    </row>
    <row r="7739" spans="3:3" x14ac:dyDescent="0.35">
      <c r="C7739" s="1"/>
    </row>
    <row r="7740" spans="3:3" x14ac:dyDescent="0.35">
      <c r="C7740" s="1"/>
    </row>
    <row r="7741" spans="3:3" x14ac:dyDescent="0.35">
      <c r="C7741" s="1"/>
    </row>
    <row r="7742" spans="3:3" x14ac:dyDescent="0.35">
      <c r="C7742" s="1"/>
    </row>
    <row r="7743" spans="3:3" x14ac:dyDescent="0.35">
      <c r="C7743" s="1"/>
    </row>
    <row r="7744" spans="3:3" x14ac:dyDescent="0.35">
      <c r="C7744" s="1"/>
    </row>
    <row r="7745" spans="3:3" x14ac:dyDescent="0.35">
      <c r="C7745" s="1"/>
    </row>
    <row r="7746" spans="3:3" x14ac:dyDescent="0.35">
      <c r="C7746" s="1"/>
    </row>
    <row r="7747" spans="3:3" x14ac:dyDescent="0.35">
      <c r="C7747" s="1"/>
    </row>
    <row r="7748" spans="3:3" x14ac:dyDescent="0.35">
      <c r="C7748" s="1"/>
    </row>
    <row r="7749" spans="3:3" x14ac:dyDescent="0.35">
      <c r="C7749" s="1"/>
    </row>
    <row r="7750" spans="3:3" x14ac:dyDescent="0.35">
      <c r="C7750" s="1"/>
    </row>
    <row r="7751" spans="3:3" x14ac:dyDescent="0.35">
      <c r="C7751" s="1"/>
    </row>
    <row r="7752" spans="3:3" x14ac:dyDescent="0.35">
      <c r="C7752" s="1"/>
    </row>
    <row r="7753" spans="3:3" x14ac:dyDescent="0.35">
      <c r="C7753" s="1"/>
    </row>
    <row r="7754" spans="3:3" x14ac:dyDescent="0.35">
      <c r="C7754" s="1"/>
    </row>
    <row r="7755" spans="3:3" x14ac:dyDescent="0.35">
      <c r="C7755" s="1"/>
    </row>
    <row r="7756" spans="3:3" x14ac:dyDescent="0.35">
      <c r="C7756" s="1"/>
    </row>
    <row r="7757" spans="3:3" x14ac:dyDescent="0.35">
      <c r="C7757" s="1"/>
    </row>
    <row r="7758" spans="3:3" x14ac:dyDescent="0.35">
      <c r="C7758" s="1"/>
    </row>
    <row r="7759" spans="3:3" x14ac:dyDescent="0.35">
      <c r="C7759" s="1"/>
    </row>
    <row r="7760" spans="3:3" x14ac:dyDescent="0.35">
      <c r="C7760" s="1"/>
    </row>
    <row r="7761" spans="3:3" x14ac:dyDescent="0.35">
      <c r="C7761" s="1"/>
    </row>
    <row r="7762" spans="3:3" x14ac:dyDescent="0.35">
      <c r="C7762" s="1"/>
    </row>
    <row r="7763" spans="3:3" x14ac:dyDescent="0.35">
      <c r="C7763" s="1"/>
    </row>
    <row r="7764" spans="3:3" x14ac:dyDescent="0.35">
      <c r="C7764" s="1"/>
    </row>
    <row r="7765" spans="3:3" x14ac:dyDescent="0.35">
      <c r="C7765" s="1"/>
    </row>
    <row r="7766" spans="3:3" x14ac:dyDescent="0.35">
      <c r="C7766" s="1"/>
    </row>
    <row r="7767" spans="3:3" x14ac:dyDescent="0.35">
      <c r="C7767" s="1"/>
    </row>
    <row r="7768" spans="3:3" x14ac:dyDescent="0.35">
      <c r="C7768" s="1"/>
    </row>
    <row r="7769" spans="3:3" x14ac:dyDescent="0.35">
      <c r="C7769" s="1"/>
    </row>
    <row r="7770" spans="3:3" x14ac:dyDescent="0.35">
      <c r="C7770" s="1"/>
    </row>
    <row r="7771" spans="3:3" x14ac:dyDescent="0.35">
      <c r="C7771" s="1"/>
    </row>
    <row r="7772" spans="3:3" x14ac:dyDescent="0.35">
      <c r="C7772" s="1"/>
    </row>
    <row r="7773" spans="3:3" x14ac:dyDescent="0.35">
      <c r="C7773" s="1"/>
    </row>
    <row r="7774" spans="3:3" x14ac:dyDescent="0.35">
      <c r="C7774" s="1"/>
    </row>
    <row r="7775" spans="3:3" x14ac:dyDescent="0.35">
      <c r="C7775" s="1"/>
    </row>
    <row r="7776" spans="3:3" x14ac:dyDescent="0.35">
      <c r="C7776" s="1"/>
    </row>
    <row r="7777" spans="3:3" x14ac:dyDescent="0.35">
      <c r="C7777" s="1"/>
    </row>
    <row r="7778" spans="3:3" x14ac:dyDescent="0.35">
      <c r="C7778" s="1"/>
    </row>
    <row r="7779" spans="3:3" x14ac:dyDescent="0.35">
      <c r="C7779" s="1"/>
    </row>
    <row r="7780" spans="3:3" x14ac:dyDescent="0.35">
      <c r="C7780" s="1"/>
    </row>
    <row r="7781" spans="3:3" x14ac:dyDescent="0.35">
      <c r="C7781" s="1"/>
    </row>
    <row r="7782" spans="3:3" x14ac:dyDescent="0.35">
      <c r="C7782" s="1"/>
    </row>
    <row r="7783" spans="3:3" x14ac:dyDescent="0.35">
      <c r="C7783" s="1"/>
    </row>
    <row r="7784" spans="3:3" x14ac:dyDescent="0.35">
      <c r="C7784" s="1"/>
    </row>
    <row r="7785" spans="3:3" x14ac:dyDescent="0.35">
      <c r="C7785" s="1"/>
    </row>
    <row r="7786" spans="3:3" x14ac:dyDescent="0.35">
      <c r="C7786" s="1"/>
    </row>
    <row r="7787" spans="3:3" x14ac:dyDescent="0.35">
      <c r="C7787" s="1"/>
    </row>
    <row r="7788" spans="3:3" x14ac:dyDescent="0.35">
      <c r="C7788" s="1"/>
    </row>
    <row r="7789" spans="3:3" x14ac:dyDescent="0.35">
      <c r="C7789" s="1"/>
    </row>
    <row r="7790" spans="3:3" x14ac:dyDescent="0.35">
      <c r="C7790" s="1"/>
    </row>
    <row r="7791" spans="3:3" x14ac:dyDescent="0.35">
      <c r="C7791" s="1"/>
    </row>
    <row r="7792" spans="3:3" x14ac:dyDescent="0.35">
      <c r="C7792" s="1"/>
    </row>
    <row r="7793" spans="3:3" x14ac:dyDescent="0.35">
      <c r="C7793" s="1"/>
    </row>
    <row r="7794" spans="3:3" x14ac:dyDescent="0.35">
      <c r="C7794" s="1"/>
    </row>
    <row r="7795" spans="3:3" x14ac:dyDescent="0.35">
      <c r="C7795" s="1"/>
    </row>
    <row r="7796" spans="3:3" x14ac:dyDescent="0.35">
      <c r="C7796" s="1"/>
    </row>
    <row r="7797" spans="3:3" x14ac:dyDescent="0.35">
      <c r="C7797" s="1"/>
    </row>
    <row r="7798" spans="3:3" x14ac:dyDescent="0.35">
      <c r="C7798" s="1"/>
    </row>
    <row r="7799" spans="3:3" x14ac:dyDescent="0.35">
      <c r="C7799" s="1"/>
    </row>
    <row r="7800" spans="3:3" x14ac:dyDescent="0.35">
      <c r="C7800" s="1"/>
    </row>
    <row r="7801" spans="3:3" x14ac:dyDescent="0.35">
      <c r="C7801" s="1"/>
    </row>
    <row r="7802" spans="3:3" x14ac:dyDescent="0.35">
      <c r="C7802" s="1"/>
    </row>
    <row r="7803" spans="3:3" x14ac:dyDescent="0.35">
      <c r="C7803" s="1"/>
    </row>
    <row r="7804" spans="3:3" x14ac:dyDescent="0.35">
      <c r="C7804" s="1"/>
    </row>
    <row r="7805" spans="3:3" x14ac:dyDescent="0.35">
      <c r="C7805" s="1"/>
    </row>
    <row r="7806" spans="3:3" x14ac:dyDescent="0.35">
      <c r="C7806" s="1"/>
    </row>
    <row r="7807" spans="3:3" x14ac:dyDescent="0.35">
      <c r="C7807" s="1"/>
    </row>
    <row r="7808" spans="3:3" x14ac:dyDescent="0.35">
      <c r="C7808" s="1"/>
    </row>
    <row r="7809" spans="3:3" x14ac:dyDescent="0.35">
      <c r="C7809" s="1"/>
    </row>
    <row r="7810" spans="3:3" x14ac:dyDescent="0.35">
      <c r="C7810" s="1"/>
    </row>
    <row r="7811" spans="3:3" x14ac:dyDescent="0.35">
      <c r="C7811" s="1"/>
    </row>
    <row r="7812" spans="3:3" x14ac:dyDescent="0.35">
      <c r="C7812" s="1"/>
    </row>
    <row r="7813" spans="3:3" x14ac:dyDescent="0.35">
      <c r="C7813" s="1"/>
    </row>
    <row r="7814" spans="3:3" x14ac:dyDescent="0.35">
      <c r="C7814" s="1"/>
    </row>
    <row r="7815" spans="3:3" x14ac:dyDescent="0.35">
      <c r="C7815" s="1"/>
    </row>
    <row r="7816" spans="3:3" x14ac:dyDescent="0.35">
      <c r="C7816" s="1"/>
    </row>
    <row r="7817" spans="3:3" x14ac:dyDescent="0.35">
      <c r="C7817" s="1"/>
    </row>
    <row r="7818" spans="3:3" x14ac:dyDescent="0.35">
      <c r="C7818" s="1"/>
    </row>
    <row r="7819" spans="3:3" x14ac:dyDescent="0.35">
      <c r="C7819" s="1"/>
    </row>
    <row r="7820" spans="3:3" x14ac:dyDescent="0.35">
      <c r="C7820" s="1"/>
    </row>
    <row r="7821" spans="3:3" x14ac:dyDescent="0.35">
      <c r="C7821" s="1"/>
    </row>
    <row r="7822" spans="3:3" x14ac:dyDescent="0.35">
      <c r="C7822" s="1"/>
    </row>
    <row r="7823" spans="3:3" x14ac:dyDescent="0.35">
      <c r="C7823" s="1"/>
    </row>
    <row r="7824" spans="3:3" x14ac:dyDescent="0.35">
      <c r="C7824" s="1"/>
    </row>
    <row r="7825" spans="3:3" x14ac:dyDescent="0.35">
      <c r="C7825" s="1"/>
    </row>
    <row r="7826" spans="3:3" x14ac:dyDescent="0.35">
      <c r="C7826" s="1"/>
    </row>
    <row r="7827" spans="3:3" x14ac:dyDescent="0.35">
      <c r="C7827" s="1"/>
    </row>
    <row r="7828" spans="3:3" x14ac:dyDescent="0.35">
      <c r="C7828" s="1"/>
    </row>
    <row r="7829" spans="3:3" x14ac:dyDescent="0.35">
      <c r="C7829" s="1"/>
    </row>
    <row r="7830" spans="3:3" x14ac:dyDescent="0.35">
      <c r="C7830" s="1"/>
    </row>
    <row r="7831" spans="3:3" x14ac:dyDescent="0.35">
      <c r="C7831" s="1"/>
    </row>
    <row r="7832" spans="3:3" x14ac:dyDescent="0.35">
      <c r="C7832" s="1"/>
    </row>
    <row r="7833" spans="3:3" x14ac:dyDescent="0.35">
      <c r="C7833" s="1"/>
    </row>
    <row r="7834" spans="3:3" x14ac:dyDescent="0.35">
      <c r="C7834" s="1"/>
    </row>
    <row r="7835" spans="3:3" x14ac:dyDescent="0.35">
      <c r="C7835" s="1"/>
    </row>
    <row r="7836" spans="3:3" x14ac:dyDescent="0.35">
      <c r="C7836" s="1"/>
    </row>
    <row r="7837" spans="3:3" x14ac:dyDescent="0.35">
      <c r="C7837" s="1"/>
    </row>
    <row r="7838" spans="3:3" x14ac:dyDescent="0.35">
      <c r="C7838" s="1"/>
    </row>
    <row r="7839" spans="3:3" x14ac:dyDescent="0.35">
      <c r="C7839" s="1"/>
    </row>
    <row r="7840" spans="3:3" x14ac:dyDescent="0.35">
      <c r="C7840" s="1"/>
    </row>
    <row r="7841" spans="3:3" x14ac:dyDescent="0.35">
      <c r="C7841" s="1"/>
    </row>
    <row r="7842" spans="3:3" x14ac:dyDescent="0.35">
      <c r="C7842" s="1"/>
    </row>
    <row r="7843" spans="3:3" x14ac:dyDescent="0.35">
      <c r="C7843" s="1"/>
    </row>
    <row r="7844" spans="3:3" x14ac:dyDescent="0.35">
      <c r="C7844" s="1"/>
    </row>
    <row r="7845" spans="3:3" x14ac:dyDescent="0.35">
      <c r="C7845" s="1"/>
    </row>
    <row r="7846" spans="3:3" x14ac:dyDescent="0.35">
      <c r="C7846" s="1"/>
    </row>
    <row r="7847" spans="3:3" x14ac:dyDescent="0.35">
      <c r="C7847" s="1"/>
    </row>
    <row r="7848" spans="3:3" x14ac:dyDescent="0.35">
      <c r="C7848" s="1"/>
    </row>
    <row r="7849" spans="3:3" x14ac:dyDescent="0.35">
      <c r="C7849" s="1"/>
    </row>
    <row r="7850" spans="3:3" x14ac:dyDescent="0.35">
      <c r="C7850" s="1"/>
    </row>
    <row r="7851" spans="3:3" x14ac:dyDescent="0.35">
      <c r="C7851" s="1"/>
    </row>
    <row r="7852" spans="3:3" x14ac:dyDescent="0.35">
      <c r="C7852" s="1"/>
    </row>
    <row r="7853" spans="3:3" x14ac:dyDescent="0.35">
      <c r="C7853" s="1"/>
    </row>
    <row r="7854" spans="3:3" x14ac:dyDescent="0.35">
      <c r="C7854" s="1"/>
    </row>
    <row r="7855" spans="3:3" x14ac:dyDescent="0.35">
      <c r="C7855" s="1"/>
    </row>
    <row r="7856" spans="3:3" x14ac:dyDescent="0.35">
      <c r="C7856" s="1"/>
    </row>
    <row r="7857" spans="3:3" x14ac:dyDescent="0.35">
      <c r="C7857" s="1"/>
    </row>
    <row r="7858" spans="3:3" x14ac:dyDescent="0.35">
      <c r="C7858" s="1"/>
    </row>
    <row r="7859" spans="3:3" x14ac:dyDescent="0.35">
      <c r="C7859" s="1"/>
    </row>
    <row r="7860" spans="3:3" x14ac:dyDescent="0.35">
      <c r="C7860" s="1"/>
    </row>
    <row r="7861" spans="3:3" x14ac:dyDescent="0.35">
      <c r="C7861" s="1"/>
    </row>
    <row r="7862" spans="3:3" x14ac:dyDescent="0.35">
      <c r="C7862" s="1"/>
    </row>
    <row r="7863" spans="3:3" x14ac:dyDescent="0.35">
      <c r="C7863" s="1"/>
    </row>
    <row r="7864" spans="3:3" x14ac:dyDescent="0.35">
      <c r="C7864" s="1"/>
    </row>
    <row r="7865" spans="3:3" x14ac:dyDescent="0.35">
      <c r="C7865" s="1"/>
    </row>
    <row r="7866" spans="3:3" x14ac:dyDescent="0.35">
      <c r="C7866" s="1"/>
    </row>
    <row r="7867" spans="3:3" x14ac:dyDescent="0.35">
      <c r="C7867" s="1"/>
    </row>
    <row r="7868" spans="3:3" x14ac:dyDescent="0.35">
      <c r="C7868" s="1"/>
    </row>
    <row r="7869" spans="3:3" x14ac:dyDescent="0.35">
      <c r="C7869" s="1"/>
    </row>
    <row r="7870" spans="3:3" x14ac:dyDescent="0.35">
      <c r="C7870" s="1"/>
    </row>
    <row r="7871" spans="3:3" x14ac:dyDescent="0.35">
      <c r="C7871" s="1"/>
    </row>
    <row r="7872" spans="3:3" x14ac:dyDescent="0.35">
      <c r="C7872" s="1"/>
    </row>
    <row r="7873" spans="3:3" x14ac:dyDescent="0.35">
      <c r="C7873" s="1"/>
    </row>
    <row r="7874" spans="3:3" x14ac:dyDescent="0.35">
      <c r="C7874" s="1"/>
    </row>
    <row r="7875" spans="3:3" x14ac:dyDescent="0.35">
      <c r="C7875" s="1"/>
    </row>
    <row r="7876" spans="3:3" x14ac:dyDescent="0.35">
      <c r="C7876" s="1"/>
    </row>
    <row r="7877" spans="3:3" x14ac:dyDescent="0.35">
      <c r="C7877" s="1"/>
    </row>
    <row r="7878" spans="3:3" x14ac:dyDescent="0.35">
      <c r="C7878" s="1"/>
    </row>
    <row r="7879" spans="3:3" x14ac:dyDescent="0.35">
      <c r="C7879" s="1"/>
    </row>
    <row r="7880" spans="3:3" x14ac:dyDescent="0.35">
      <c r="C7880" s="1"/>
    </row>
    <row r="7881" spans="3:3" x14ac:dyDescent="0.35">
      <c r="C7881" s="1"/>
    </row>
    <row r="7882" spans="3:3" x14ac:dyDescent="0.35">
      <c r="C7882" s="1"/>
    </row>
    <row r="7883" spans="3:3" x14ac:dyDescent="0.35">
      <c r="C7883" s="1"/>
    </row>
    <row r="7884" spans="3:3" x14ac:dyDescent="0.35">
      <c r="C7884" s="1"/>
    </row>
    <row r="7885" spans="3:3" x14ac:dyDescent="0.35">
      <c r="C7885" s="1"/>
    </row>
    <row r="7886" spans="3:3" x14ac:dyDescent="0.35">
      <c r="C7886" s="1"/>
    </row>
    <row r="7887" spans="3:3" x14ac:dyDescent="0.35">
      <c r="C7887" s="1"/>
    </row>
    <row r="7888" spans="3:3" x14ac:dyDescent="0.35">
      <c r="C7888" s="1"/>
    </row>
    <row r="7889" spans="3:3" x14ac:dyDescent="0.35">
      <c r="C7889" s="1"/>
    </row>
    <row r="7890" spans="3:3" x14ac:dyDescent="0.35">
      <c r="C7890" s="1"/>
    </row>
    <row r="7891" spans="3:3" x14ac:dyDescent="0.35">
      <c r="C7891" s="1"/>
    </row>
    <row r="7892" spans="3:3" x14ac:dyDescent="0.35">
      <c r="C7892" s="1"/>
    </row>
    <row r="7893" spans="3:3" x14ac:dyDescent="0.35">
      <c r="C7893" s="1"/>
    </row>
    <row r="7894" spans="3:3" x14ac:dyDescent="0.35">
      <c r="C7894" s="1"/>
    </row>
    <row r="7895" spans="3:3" x14ac:dyDescent="0.35">
      <c r="C7895" s="1"/>
    </row>
    <row r="7896" spans="3:3" x14ac:dyDescent="0.35">
      <c r="C7896" s="1"/>
    </row>
    <row r="7897" spans="3:3" x14ac:dyDescent="0.35">
      <c r="C7897" s="1"/>
    </row>
    <row r="7898" spans="3:3" x14ac:dyDescent="0.35">
      <c r="C7898" s="1"/>
    </row>
    <row r="7899" spans="3:3" x14ac:dyDescent="0.35">
      <c r="C7899" s="1"/>
    </row>
    <row r="7900" spans="3:3" x14ac:dyDescent="0.35">
      <c r="C7900" s="1"/>
    </row>
    <row r="7901" spans="3:3" x14ac:dyDescent="0.35">
      <c r="C7901" s="1"/>
    </row>
    <row r="7902" spans="3:3" x14ac:dyDescent="0.35">
      <c r="C7902" s="1"/>
    </row>
    <row r="7903" spans="3:3" x14ac:dyDescent="0.35">
      <c r="C7903" s="1"/>
    </row>
    <row r="7904" spans="3:3" x14ac:dyDescent="0.35">
      <c r="C7904" s="1"/>
    </row>
    <row r="7905" spans="3:3" x14ac:dyDescent="0.35">
      <c r="C7905" s="1"/>
    </row>
    <row r="7906" spans="3:3" x14ac:dyDescent="0.35">
      <c r="C7906" s="1"/>
    </row>
    <row r="7907" spans="3:3" x14ac:dyDescent="0.35">
      <c r="C7907" s="1"/>
    </row>
    <row r="7908" spans="3:3" x14ac:dyDescent="0.35">
      <c r="C7908" s="1"/>
    </row>
    <row r="7909" spans="3:3" x14ac:dyDescent="0.35">
      <c r="C7909" s="1"/>
    </row>
    <row r="7910" spans="3:3" x14ac:dyDescent="0.35">
      <c r="C7910" s="1"/>
    </row>
    <row r="7911" spans="3:3" x14ac:dyDescent="0.35">
      <c r="C7911" s="1"/>
    </row>
    <row r="7912" spans="3:3" x14ac:dyDescent="0.35">
      <c r="C7912" s="1"/>
    </row>
    <row r="7913" spans="3:3" x14ac:dyDescent="0.35">
      <c r="C7913" s="1"/>
    </row>
    <row r="7914" spans="3:3" x14ac:dyDescent="0.35">
      <c r="C7914" s="1"/>
    </row>
    <row r="7915" spans="3:3" x14ac:dyDescent="0.35">
      <c r="C7915" s="1"/>
    </row>
    <row r="7916" spans="3:3" x14ac:dyDescent="0.35">
      <c r="C7916" s="1"/>
    </row>
    <row r="7917" spans="3:3" x14ac:dyDescent="0.35">
      <c r="C7917" s="1"/>
    </row>
    <row r="7918" spans="3:3" x14ac:dyDescent="0.35">
      <c r="C7918" s="1"/>
    </row>
    <row r="7919" spans="3:3" x14ac:dyDescent="0.35">
      <c r="C7919" s="1"/>
    </row>
    <row r="7920" spans="3:3" x14ac:dyDescent="0.35">
      <c r="C7920" s="1"/>
    </row>
    <row r="7921" spans="3:3" x14ac:dyDescent="0.35">
      <c r="C7921" s="1"/>
    </row>
    <row r="7922" spans="3:3" x14ac:dyDescent="0.35">
      <c r="C7922" s="1"/>
    </row>
    <row r="7923" spans="3:3" x14ac:dyDescent="0.35">
      <c r="C7923" s="1"/>
    </row>
    <row r="7924" spans="3:3" x14ac:dyDescent="0.35">
      <c r="C7924" s="1"/>
    </row>
    <row r="7925" spans="3:3" x14ac:dyDescent="0.35">
      <c r="C7925" s="1"/>
    </row>
    <row r="7926" spans="3:3" x14ac:dyDescent="0.35">
      <c r="C7926" s="1"/>
    </row>
    <row r="7927" spans="3:3" x14ac:dyDescent="0.35">
      <c r="C7927" s="1"/>
    </row>
    <row r="7928" spans="3:3" x14ac:dyDescent="0.35">
      <c r="C7928" s="1"/>
    </row>
    <row r="7929" spans="3:3" x14ac:dyDescent="0.35">
      <c r="C7929" s="1"/>
    </row>
    <row r="7930" spans="3:3" x14ac:dyDescent="0.35">
      <c r="C7930" s="1"/>
    </row>
    <row r="7931" spans="3:3" x14ac:dyDescent="0.35">
      <c r="C7931" s="1"/>
    </row>
    <row r="7932" spans="3:3" x14ac:dyDescent="0.35">
      <c r="C7932" s="1"/>
    </row>
    <row r="7933" spans="3:3" x14ac:dyDescent="0.35">
      <c r="C7933" s="1"/>
    </row>
    <row r="7934" spans="3:3" x14ac:dyDescent="0.35">
      <c r="C7934" s="1"/>
    </row>
    <row r="7935" spans="3:3" x14ac:dyDescent="0.35">
      <c r="C7935" s="1"/>
    </row>
    <row r="7936" spans="3:3" x14ac:dyDescent="0.35">
      <c r="C7936" s="1"/>
    </row>
    <row r="7937" spans="3:3" x14ac:dyDescent="0.35">
      <c r="C7937" s="1"/>
    </row>
    <row r="7938" spans="3:3" x14ac:dyDescent="0.35">
      <c r="C7938" s="1"/>
    </row>
    <row r="7939" spans="3:3" x14ac:dyDescent="0.35">
      <c r="C7939" s="1"/>
    </row>
    <row r="7940" spans="3:3" x14ac:dyDescent="0.35">
      <c r="C7940" s="1"/>
    </row>
    <row r="7941" spans="3:3" x14ac:dyDescent="0.35">
      <c r="C7941" s="1"/>
    </row>
    <row r="7942" spans="3:3" x14ac:dyDescent="0.35">
      <c r="C7942" s="1"/>
    </row>
    <row r="7943" spans="3:3" x14ac:dyDescent="0.35">
      <c r="C7943" s="1"/>
    </row>
    <row r="7944" spans="3:3" x14ac:dyDescent="0.35">
      <c r="C7944" s="1"/>
    </row>
    <row r="7945" spans="3:3" x14ac:dyDescent="0.35">
      <c r="C7945" s="1"/>
    </row>
    <row r="7946" spans="3:3" x14ac:dyDescent="0.35">
      <c r="C7946" s="1"/>
    </row>
    <row r="7947" spans="3:3" x14ac:dyDescent="0.35">
      <c r="C7947" s="1"/>
    </row>
    <row r="7948" spans="3:3" x14ac:dyDescent="0.35">
      <c r="C7948" s="1"/>
    </row>
    <row r="7949" spans="3:3" x14ac:dyDescent="0.35">
      <c r="C7949" s="1"/>
    </row>
    <row r="7950" spans="3:3" x14ac:dyDescent="0.35">
      <c r="C7950" s="1"/>
    </row>
    <row r="7951" spans="3:3" x14ac:dyDescent="0.35">
      <c r="C7951" s="1"/>
    </row>
    <row r="7952" spans="3:3" x14ac:dyDescent="0.35">
      <c r="C7952" s="1"/>
    </row>
    <row r="7953" spans="3:3" x14ac:dyDescent="0.35">
      <c r="C7953" s="1"/>
    </row>
    <row r="7954" spans="3:3" x14ac:dyDescent="0.35">
      <c r="C7954" s="1"/>
    </row>
    <row r="7955" spans="3:3" x14ac:dyDescent="0.35">
      <c r="C7955" s="1"/>
    </row>
    <row r="7956" spans="3:3" x14ac:dyDescent="0.35">
      <c r="C7956" s="1"/>
    </row>
    <row r="7957" spans="3:3" x14ac:dyDescent="0.35">
      <c r="C7957" s="1"/>
    </row>
    <row r="7958" spans="3:3" x14ac:dyDescent="0.35">
      <c r="C7958" s="1"/>
    </row>
    <row r="7959" spans="3:3" x14ac:dyDescent="0.35">
      <c r="C7959" s="1"/>
    </row>
    <row r="7960" spans="3:3" x14ac:dyDescent="0.35">
      <c r="C7960" s="1"/>
    </row>
    <row r="7961" spans="3:3" x14ac:dyDescent="0.35">
      <c r="C7961" s="1"/>
    </row>
    <row r="7962" spans="3:3" x14ac:dyDescent="0.35">
      <c r="C7962" s="1"/>
    </row>
    <row r="7963" spans="3:3" x14ac:dyDescent="0.35">
      <c r="C7963" s="1"/>
    </row>
    <row r="7964" spans="3:3" x14ac:dyDescent="0.35">
      <c r="C7964" s="1"/>
    </row>
    <row r="7965" spans="3:3" x14ac:dyDescent="0.35">
      <c r="C7965" s="1"/>
    </row>
    <row r="7966" spans="3:3" x14ac:dyDescent="0.35">
      <c r="C7966" s="1"/>
    </row>
    <row r="7967" spans="3:3" x14ac:dyDescent="0.35">
      <c r="C7967" s="1"/>
    </row>
    <row r="7968" spans="3:3" x14ac:dyDescent="0.35">
      <c r="C7968" s="1"/>
    </row>
    <row r="7969" spans="3:3" x14ac:dyDescent="0.35">
      <c r="C7969" s="1"/>
    </row>
    <row r="7970" spans="3:3" x14ac:dyDescent="0.35">
      <c r="C7970" s="1"/>
    </row>
    <row r="7971" spans="3:3" x14ac:dyDescent="0.35">
      <c r="C7971" s="1"/>
    </row>
    <row r="7972" spans="3:3" x14ac:dyDescent="0.35">
      <c r="C7972" s="1"/>
    </row>
    <row r="7973" spans="3:3" x14ac:dyDescent="0.35">
      <c r="C7973" s="1"/>
    </row>
    <row r="7974" spans="3:3" x14ac:dyDescent="0.35">
      <c r="C7974" s="1"/>
    </row>
    <row r="7975" spans="3:3" x14ac:dyDescent="0.35">
      <c r="C7975" s="1"/>
    </row>
    <row r="7976" spans="3:3" x14ac:dyDescent="0.35">
      <c r="C7976" s="1"/>
    </row>
    <row r="7977" spans="3:3" x14ac:dyDescent="0.35">
      <c r="C7977" s="1"/>
    </row>
    <row r="7978" spans="3:3" x14ac:dyDescent="0.35">
      <c r="C7978" s="1"/>
    </row>
    <row r="7979" spans="3:3" x14ac:dyDescent="0.35">
      <c r="C7979" s="1"/>
    </row>
    <row r="7980" spans="3:3" x14ac:dyDescent="0.35">
      <c r="C7980" s="1"/>
    </row>
    <row r="7981" spans="3:3" x14ac:dyDescent="0.35">
      <c r="C7981" s="1"/>
    </row>
    <row r="7982" spans="3:3" x14ac:dyDescent="0.35">
      <c r="C7982" s="1"/>
    </row>
    <row r="7983" spans="3:3" x14ac:dyDescent="0.35">
      <c r="C7983" s="1"/>
    </row>
    <row r="7984" spans="3:3" x14ac:dyDescent="0.35">
      <c r="C7984" s="1"/>
    </row>
    <row r="7985" spans="3:3" x14ac:dyDescent="0.35">
      <c r="C7985" s="1"/>
    </row>
    <row r="7986" spans="3:3" x14ac:dyDescent="0.35">
      <c r="C7986" s="1"/>
    </row>
    <row r="7987" spans="3:3" x14ac:dyDescent="0.35">
      <c r="C7987" s="1"/>
    </row>
    <row r="7988" spans="3:3" x14ac:dyDescent="0.35">
      <c r="C7988" s="1"/>
    </row>
    <row r="7989" spans="3:3" x14ac:dyDescent="0.35">
      <c r="C7989" s="1"/>
    </row>
    <row r="7990" spans="3:3" x14ac:dyDescent="0.35">
      <c r="C7990" s="1"/>
    </row>
    <row r="7991" spans="3:3" x14ac:dyDescent="0.35">
      <c r="C7991" s="1"/>
    </row>
    <row r="7992" spans="3:3" x14ac:dyDescent="0.35">
      <c r="C7992" s="1"/>
    </row>
    <row r="7993" spans="3:3" x14ac:dyDescent="0.35">
      <c r="C7993" s="1"/>
    </row>
    <row r="7994" spans="3:3" x14ac:dyDescent="0.35">
      <c r="C7994" s="1"/>
    </row>
    <row r="7995" spans="3:3" x14ac:dyDescent="0.35">
      <c r="C7995" s="1"/>
    </row>
    <row r="7996" spans="3:3" x14ac:dyDescent="0.35">
      <c r="C7996" s="1"/>
    </row>
    <row r="7997" spans="3:3" x14ac:dyDescent="0.35">
      <c r="C7997" s="1"/>
    </row>
    <row r="7998" spans="3:3" x14ac:dyDescent="0.35">
      <c r="C7998" s="1"/>
    </row>
    <row r="7999" spans="3:3" x14ac:dyDescent="0.35">
      <c r="C7999" s="1"/>
    </row>
    <row r="8000" spans="3:3" x14ac:dyDescent="0.35">
      <c r="C8000" s="1"/>
    </row>
    <row r="8001" spans="3:3" x14ac:dyDescent="0.35">
      <c r="C8001" s="1"/>
    </row>
    <row r="8002" spans="3:3" x14ac:dyDescent="0.35">
      <c r="C8002" s="1"/>
    </row>
    <row r="8003" spans="3:3" x14ac:dyDescent="0.35">
      <c r="C8003" s="1"/>
    </row>
    <row r="8004" spans="3:3" x14ac:dyDescent="0.35">
      <c r="C8004" s="1"/>
    </row>
    <row r="8005" spans="3:3" x14ac:dyDescent="0.35">
      <c r="C8005" s="1"/>
    </row>
    <row r="8006" spans="3:3" x14ac:dyDescent="0.35">
      <c r="C8006" s="1"/>
    </row>
    <row r="8007" spans="3:3" x14ac:dyDescent="0.35">
      <c r="C8007" s="1"/>
    </row>
    <row r="8008" spans="3:3" x14ac:dyDescent="0.35">
      <c r="C8008" s="1"/>
    </row>
    <row r="8009" spans="3:3" x14ac:dyDescent="0.35">
      <c r="C8009" s="1"/>
    </row>
    <row r="8010" spans="3:3" x14ac:dyDescent="0.35">
      <c r="C8010" s="1"/>
    </row>
    <row r="8011" spans="3:3" x14ac:dyDescent="0.35">
      <c r="C8011" s="1"/>
    </row>
    <row r="8012" spans="3:3" x14ac:dyDescent="0.35">
      <c r="C8012" s="1"/>
    </row>
    <row r="8013" spans="3:3" x14ac:dyDescent="0.35">
      <c r="C8013" s="1"/>
    </row>
    <row r="8014" spans="3:3" x14ac:dyDescent="0.35">
      <c r="C8014" s="1"/>
    </row>
    <row r="8015" spans="3:3" x14ac:dyDescent="0.35">
      <c r="C8015" s="1"/>
    </row>
    <row r="8016" spans="3:3" x14ac:dyDescent="0.35">
      <c r="C8016" s="1"/>
    </row>
    <row r="8017" spans="3:3" x14ac:dyDescent="0.35">
      <c r="C8017" s="1"/>
    </row>
    <row r="8018" spans="3:3" x14ac:dyDescent="0.35">
      <c r="C8018" s="1"/>
    </row>
    <row r="8019" spans="3:3" x14ac:dyDescent="0.35">
      <c r="C8019" s="1"/>
    </row>
    <row r="8020" spans="3:3" x14ac:dyDescent="0.35">
      <c r="C8020" s="1"/>
    </row>
    <row r="8021" spans="3:3" x14ac:dyDescent="0.35">
      <c r="C8021" s="1"/>
    </row>
    <row r="8022" spans="3:3" x14ac:dyDescent="0.35">
      <c r="C8022" s="1"/>
    </row>
    <row r="8023" spans="3:3" x14ac:dyDescent="0.35">
      <c r="C8023" s="1"/>
    </row>
    <row r="8024" spans="3:3" x14ac:dyDescent="0.35">
      <c r="C8024" s="1"/>
    </row>
    <row r="8025" spans="3:3" x14ac:dyDescent="0.35">
      <c r="C8025" s="1"/>
    </row>
    <row r="8026" spans="3:3" x14ac:dyDescent="0.35">
      <c r="C8026" s="1"/>
    </row>
    <row r="8027" spans="3:3" x14ac:dyDescent="0.35">
      <c r="C8027" s="1"/>
    </row>
    <row r="8028" spans="3:3" x14ac:dyDescent="0.35">
      <c r="C8028" s="1"/>
    </row>
    <row r="8029" spans="3:3" x14ac:dyDescent="0.35">
      <c r="C8029" s="1"/>
    </row>
    <row r="8030" spans="3:3" x14ac:dyDescent="0.35">
      <c r="C8030" s="1"/>
    </row>
    <row r="8031" spans="3:3" x14ac:dyDescent="0.35">
      <c r="C8031" s="1"/>
    </row>
    <row r="8032" spans="3:3" x14ac:dyDescent="0.35">
      <c r="C8032" s="1"/>
    </row>
    <row r="8033" spans="3:3" x14ac:dyDescent="0.35">
      <c r="C8033" s="1"/>
    </row>
    <row r="8034" spans="3:3" x14ac:dyDescent="0.35">
      <c r="C8034" s="1"/>
    </row>
    <row r="8035" spans="3:3" x14ac:dyDescent="0.35">
      <c r="C8035" s="1"/>
    </row>
    <row r="8036" spans="3:3" x14ac:dyDescent="0.35">
      <c r="C8036" s="1"/>
    </row>
    <row r="8037" spans="3:3" x14ac:dyDescent="0.35">
      <c r="C8037" s="1"/>
    </row>
    <row r="8038" spans="3:3" x14ac:dyDescent="0.35">
      <c r="C8038" s="1"/>
    </row>
    <row r="8039" spans="3:3" x14ac:dyDescent="0.35">
      <c r="C8039" s="1"/>
    </row>
    <row r="8040" spans="3:3" x14ac:dyDescent="0.35">
      <c r="C8040" s="1"/>
    </row>
    <row r="8041" spans="3:3" x14ac:dyDescent="0.35">
      <c r="C8041" s="1"/>
    </row>
    <row r="8042" spans="3:3" x14ac:dyDescent="0.35">
      <c r="C8042" s="1"/>
    </row>
    <row r="8043" spans="3:3" x14ac:dyDescent="0.35">
      <c r="C8043" s="1"/>
    </row>
    <row r="8044" spans="3:3" x14ac:dyDescent="0.35">
      <c r="C8044" s="1"/>
    </row>
    <row r="8045" spans="3:3" x14ac:dyDescent="0.35">
      <c r="C8045" s="1"/>
    </row>
    <row r="8046" spans="3:3" x14ac:dyDescent="0.35">
      <c r="C8046" s="1"/>
    </row>
    <row r="8047" spans="3:3" x14ac:dyDescent="0.35">
      <c r="C8047" s="1"/>
    </row>
    <row r="8048" spans="3:3" x14ac:dyDescent="0.35">
      <c r="C8048" s="1"/>
    </row>
    <row r="8049" spans="3:3" x14ac:dyDescent="0.35">
      <c r="C8049" s="1"/>
    </row>
    <row r="8050" spans="3:3" x14ac:dyDescent="0.35">
      <c r="C8050" s="1"/>
    </row>
    <row r="8051" spans="3:3" x14ac:dyDescent="0.35">
      <c r="C8051" s="1"/>
    </row>
    <row r="8052" spans="3:3" x14ac:dyDescent="0.35">
      <c r="C8052" s="1"/>
    </row>
    <row r="8053" spans="3:3" x14ac:dyDescent="0.35">
      <c r="C8053" s="1"/>
    </row>
    <row r="8054" spans="3:3" x14ac:dyDescent="0.35">
      <c r="C8054" s="1"/>
    </row>
    <row r="8055" spans="3:3" x14ac:dyDescent="0.35">
      <c r="C8055" s="1"/>
    </row>
    <row r="8056" spans="3:3" x14ac:dyDescent="0.35">
      <c r="C8056" s="1"/>
    </row>
    <row r="8057" spans="3:3" x14ac:dyDescent="0.35">
      <c r="C8057" s="1"/>
    </row>
    <row r="8058" spans="3:3" x14ac:dyDescent="0.35">
      <c r="C8058" s="1"/>
    </row>
    <row r="8059" spans="3:3" x14ac:dyDescent="0.35">
      <c r="C8059" s="1"/>
    </row>
    <row r="8060" spans="3:3" x14ac:dyDescent="0.35">
      <c r="C8060" s="1"/>
    </row>
    <row r="8061" spans="3:3" x14ac:dyDescent="0.35">
      <c r="C8061" s="1"/>
    </row>
    <row r="8062" spans="3:3" x14ac:dyDescent="0.35">
      <c r="C8062" s="1"/>
    </row>
    <row r="8063" spans="3:3" x14ac:dyDescent="0.35">
      <c r="C8063" s="1"/>
    </row>
    <row r="8064" spans="3:3" x14ac:dyDescent="0.35">
      <c r="C8064" s="1"/>
    </row>
    <row r="8065" spans="3:3" x14ac:dyDescent="0.35">
      <c r="C8065" s="1"/>
    </row>
    <row r="8066" spans="3:3" x14ac:dyDescent="0.35">
      <c r="C8066" s="1"/>
    </row>
    <row r="8067" spans="3:3" x14ac:dyDescent="0.35">
      <c r="C8067" s="1"/>
    </row>
    <row r="8068" spans="3:3" x14ac:dyDescent="0.35">
      <c r="C8068" s="1"/>
    </row>
    <row r="8069" spans="3:3" x14ac:dyDescent="0.35">
      <c r="C8069" s="1"/>
    </row>
    <row r="8070" spans="3:3" x14ac:dyDescent="0.35">
      <c r="C8070" s="1"/>
    </row>
    <row r="8071" spans="3:3" x14ac:dyDescent="0.35">
      <c r="C8071" s="1"/>
    </row>
    <row r="8072" spans="3:3" x14ac:dyDescent="0.35">
      <c r="C8072" s="1"/>
    </row>
    <row r="8073" spans="3:3" x14ac:dyDescent="0.35">
      <c r="C8073" s="1"/>
    </row>
    <row r="8074" spans="3:3" x14ac:dyDescent="0.35">
      <c r="C8074" s="1"/>
    </row>
    <row r="8075" spans="3:3" x14ac:dyDescent="0.35">
      <c r="C8075" s="1"/>
    </row>
    <row r="8076" spans="3:3" x14ac:dyDescent="0.35">
      <c r="C8076" s="1"/>
    </row>
    <row r="8077" spans="3:3" x14ac:dyDescent="0.35">
      <c r="C8077" s="1"/>
    </row>
    <row r="8078" spans="3:3" x14ac:dyDescent="0.35">
      <c r="C8078" s="1"/>
    </row>
    <row r="8079" spans="3:3" x14ac:dyDescent="0.35">
      <c r="C8079" s="1"/>
    </row>
    <row r="8080" spans="3:3" x14ac:dyDescent="0.35">
      <c r="C8080" s="1"/>
    </row>
    <row r="8081" spans="3:3" x14ac:dyDescent="0.35">
      <c r="C8081" s="1"/>
    </row>
    <row r="8082" spans="3:3" x14ac:dyDescent="0.35">
      <c r="C8082" s="1"/>
    </row>
    <row r="8083" spans="3:3" x14ac:dyDescent="0.35">
      <c r="C8083" s="1"/>
    </row>
    <row r="8084" spans="3:3" x14ac:dyDescent="0.35">
      <c r="C8084" s="1"/>
    </row>
    <row r="8085" spans="3:3" x14ac:dyDescent="0.35">
      <c r="C8085" s="1"/>
    </row>
    <row r="8086" spans="3:3" x14ac:dyDescent="0.35">
      <c r="C8086" s="1"/>
    </row>
    <row r="8087" spans="3:3" x14ac:dyDescent="0.35">
      <c r="C8087" s="1"/>
    </row>
    <row r="8088" spans="3:3" x14ac:dyDescent="0.35">
      <c r="C8088" s="1"/>
    </row>
    <row r="8089" spans="3:3" x14ac:dyDescent="0.35">
      <c r="C8089" s="1"/>
    </row>
    <row r="8090" spans="3:3" x14ac:dyDescent="0.35">
      <c r="C8090" s="1"/>
    </row>
    <row r="8091" spans="3:3" x14ac:dyDescent="0.35">
      <c r="C8091" s="1"/>
    </row>
    <row r="8092" spans="3:3" x14ac:dyDescent="0.35">
      <c r="C8092" s="1"/>
    </row>
    <row r="8093" spans="3:3" x14ac:dyDescent="0.35">
      <c r="C8093" s="1"/>
    </row>
    <row r="8094" spans="3:3" x14ac:dyDescent="0.35">
      <c r="C8094" s="1"/>
    </row>
    <row r="8095" spans="3:3" x14ac:dyDescent="0.35">
      <c r="C8095" s="1"/>
    </row>
    <row r="8096" spans="3:3" x14ac:dyDescent="0.35">
      <c r="C8096" s="1"/>
    </row>
    <row r="8097" spans="3:3" x14ac:dyDescent="0.35">
      <c r="C8097" s="1"/>
    </row>
    <row r="8098" spans="3:3" x14ac:dyDescent="0.35">
      <c r="C8098" s="1"/>
    </row>
    <row r="8099" spans="3:3" x14ac:dyDescent="0.35">
      <c r="C8099" s="1"/>
    </row>
    <row r="8100" spans="3:3" x14ac:dyDescent="0.35">
      <c r="C8100" s="1"/>
    </row>
    <row r="8101" spans="3:3" x14ac:dyDescent="0.35">
      <c r="C8101" s="1"/>
    </row>
    <row r="8102" spans="3:3" x14ac:dyDescent="0.35">
      <c r="C8102" s="1"/>
    </row>
    <row r="8103" spans="3:3" x14ac:dyDescent="0.35">
      <c r="C8103" s="1"/>
    </row>
    <row r="8104" spans="3:3" x14ac:dyDescent="0.35">
      <c r="C8104" s="1"/>
    </row>
    <row r="8105" spans="3:3" x14ac:dyDescent="0.35">
      <c r="C8105" s="1"/>
    </row>
    <row r="8106" spans="3:3" x14ac:dyDescent="0.35">
      <c r="C8106" s="1"/>
    </row>
    <row r="8107" spans="3:3" x14ac:dyDescent="0.35">
      <c r="C8107" s="1"/>
    </row>
    <row r="8108" spans="3:3" x14ac:dyDescent="0.35">
      <c r="C8108" s="1"/>
    </row>
    <row r="8109" spans="3:3" x14ac:dyDescent="0.35">
      <c r="C8109" s="1"/>
    </row>
    <row r="8110" spans="3:3" x14ac:dyDescent="0.35">
      <c r="C8110" s="1"/>
    </row>
    <row r="8111" spans="3:3" x14ac:dyDescent="0.35">
      <c r="C8111" s="1"/>
    </row>
    <row r="8112" spans="3:3" x14ac:dyDescent="0.35">
      <c r="C8112" s="1"/>
    </row>
    <row r="8113" spans="3:3" x14ac:dyDescent="0.35">
      <c r="C8113" s="1"/>
    </row>
    <row r="8114" spans="3:3" x14ac:dyDescent="0.35">
      <c r="C8114" s="1"/>
    </row>
    <row r="8115" spans="3:3" x14ac:dyDescent="0.35">
      <c r="C8115" s="1"/>
    </row>
    <row r="8116" spans="3:3" x14ac:dyDescent="0.35">
      <c r="C8116" s="1"/>
    </row>
    <row r="8117" spans="3:3" x14ac:dyDescent="0.35">
      <c r="C8117" s="1"/>
    </row>
    <row r="8118" spans="3:3" x14ac:dyDescent="0.35">
      <c r="C8118" s="1"/>
    </row>
    <row r="8119" spans="3:3" x14ac:dyDescent="0.35">
      <c r="C8119" s="1"/>
    </row>
    <row r="8120" spans="3:3" x14ac:dyDescent="0.35">
      <c r="C8120" s="1"/>
    </row>
    <row r="8121" spans="3:3" x14ac:dyDescent="0.35">
      <c r="C8121" s="1"/>
    </row>
    <row r="8122" spans="3:3" x14ac:dyDescent="0.35">
      <c r="C8122" s="1"/>
    </row>
    <row r="8123" spans="3:3" x14ac:dyDescent="0.35">
      <c r="C8123" s="1"/>
    </row>
    <row r="8124" spans="3:3" x14ac:dyDescent="0.35">
      <c r="C8124" s="1"/>
    </row>
    <row r="8125" spans="3:3" x14ac:dyDescent="0.35">
      <c r="C8125" s="1"/>
    </row>
    <row r="8126" spans="3:3" x14ac:dyDescent="0.35">
      <c r="C8126" s="1"/>
    </row>
    <row r="8127" spans="3:3" x14ac:dyDescent="0.35">
      <c r="C8127" s="1"/>
    </row>
    <row r="8128" spans="3:3" x14ac:dyDescent="0.35">
      <c r="C8128" s="1"/>
    </row>
    <row r="8129" spans="3:3" x14ac:dyDescent="0.35">
      <c r="C8129" s="1"/>
    </row>
    <row r="8130" spans="3:3" x14ac:dyDescent="0.35">
      <c r="C8130" s="1"/>
    </row>
    <row r="8131" spans="3:3" x14ac:dyDescent="0.35">
      <c r="C8131" s="1"/>
    </row>
    <row r="8132" spans="3:3" x14ac:dyDescent="0.35">
      <c r="C8132" s="1"/>
    </row>
    <row r="8133" spans="3:3" x14ac:dyDescent="0.35">
      <c r="C8133" s="1"/>
    </row>
    <row r="8134" spans="3:3" x14ac:dyDescent="0.35">
      <c r="C8134" s="1"/>
    </row>
    <row r="8135" spans="3:3" x14ac:dyDescent="0.35">
      <c r="C8135" s="1"/>
    </row>
    <row r="8136" spans="3:3" x14ac:dyDescent="0.35">
      <c r="C8136" s="1"/>
    </row>
    <row r="8137" spans="3:3" x14ac:dyDescent="0.35">
      <c r="C8137" s="1"/>
    </row>
    <row r="8138" spans="3:3" x14ac:dyDescent="0.35">
      <c r="C8138" s="1"/>
    </row>
    <row r="8139" spans="3:3" x14ac:dyDescent="0.35">
      <c r="C8139" s="1"/>
    </row>
    <row r="8140" spans="3:3" x14ac:dyDescent="0.35">
      <c r="C8140" s="1"/>
    </row>
    <row r="8141" spans="3:3" x14ac:dyDescent="0.35">
      <c r="C8141" s="1"/>
    </row>
    <row r="8142" spans="3:3" x14ac:dyDescent="0.35">
      <c r="C8142" s="1"/>
    </row>
    <row r="8143" spans="3:3" x14ac:dyDescent="0.35">
      <c r="C8143" s="1"/>
    </row>
    <row r="8144" spans="3:3" x14ac:dyDescent="0.35">
      <c r="C8144" s="1"/>
    </row>
    <row r="8145" spans="3:3" x14ac:dyDescent="0.35">
      <c r="C8145" s="1"/>
    </row>
    <row r="8146" spans="3:3" x14ac:dyDescent="0.35">
      <c r="C8146" s="1"/>
    </row>
    <row r="8147" spans="3:3" x14ac:dyDescent="0.35">
      <c r="C8147" s="1"/>
    </row>
    <row r="8148" spans="3:3" x14ac:dyDescent="0.35">
      <c r="C8148" s="1"/>
    </row>
    <row r="8149" spans="3:3" x14ac:dyDescent="0.35">
      <c r="C8149" s="1"/>
    </row>
    <row r="8150" spans="3:3" x14ac:dyDescent="0.35">
      <c r="C8150" s="1"/>
    </row>
    <row r="8151" spans="3:3" x14ac:dyDescent="0.35">
      <c r="C8151" s="1"/>
    </row>
    <row r="8152" spans="3:3" x14ac:dyDescent="0.35">
      <c r="C8152" s="1"/>
    </row>
    <row r="8153" spans="3:3" x14ac:dyDescent="0.35">
      <c r="C8153" s="1"/>
    </row>
    <row r="8154" spans="3:3" x14ac:dyDescent="0.35">
      <c r="C8154" s="1"/>
    </row>
    <row r="8155" spans="3:3" x14ac:dyDescent="0.35">
      <c r="C8155" s="1"/>
    </row>
    <row r="8156" spans="3:3" x14ac:dyDescent="0.35">
      <c r="C8156" s="1"/>
    </row>
    <row r="8157" spans="3:3" x14ac:dyDescent="0.35">
      <c r="C8157" s="1"/>
    </row>
    <row r="8158" spans="3:3" x14ac:dyDescent="0.35">
      <c r="C8158" s="1"/>
    </row>
    <row r="8159" spans="3:3" x14ac:dyDescent="0.35">
      <c r="C8159" s="1"/>
    </row>
    <row r="8160" spans="3:3" x14ac:dyDescent="0.35">
      <c r="C8160" s="1"/>
    </row>
    <row r="8161" spans="3:3" x14ac:dyDescent="0.35">
      <c r="C8161" s="1"/>
    </row>
    <row r="8162" spans="3:3" x14ac:dyDescent="0.35">
      <c r="C8162" s="1"/>
    </row>
    <row r="8163" spans="3:3" x14ac:dyDescent="0.35">
      <c r="C8163" s="1"/>
    </row>
    <row r="8164" spans="3:3" x14ac:dyDescent="0.35">
      <c r="C8164" s="1"/>
    </row>
    <row r="8165" spans="3:3" x14ac:dyDescent="0.35">
      <c r="C8165" s="1"/>
    </row>
    <row r="8166" spans="3:3" x14ac:dyDescent="0.35">
      <c r="C8166" s="1"/>
    </row>
    <row r="8167" spans="3:3" x14ac:dyDescent="0.35">
      <c r="C8167" s="1"/>
    </row>
    <row r="8168" spans="3:3" x14ac:dyDescent="0.35">
      <c r="C8168" s="1"/>
    </row>
    <row r="8169" spans="3:3" x14ac:dyDescent="0.35">
      <c r="C8169" s="1"/>
    </row>
    <row r="8170" spans="3:3" x14ac:dyDescent="0.35">
      <c r="C8170" s="1"/>
    </row>
    <row r="8171" spans="3:3" x14ac:dyDescent="0.35">
      <c r="C8171" s="1"/>
    </row>
    <row r="8172" spans="3:3" x14ac:dyDescent="0.35">
      <c r="C8172" s="1"/>
    </row>
    <row r="8173" spans="3:3" x14ac:dyDescent="0.35">
      <c r="C8173" s="1"/>
    </row>
    <row r="8174" spans="3:3" x14ac:dyDescent="0.35">
      <c r="C8174" s="1"/>
    </row>
    <row r="8175" spans="3:3" x14ac:dyDescent="0.35">
      <c r="C8175" s="1"/>
    </row>
    <row r="8176" spans="3:3" x14ac:dyDescent="0.35">
      <c r="C8176" s="1"/>
    </row>
    <row r="8177" spans="3:3" x14ac:dyDescent="0.35">
      <c r="C8177" s="1"/>
    </row>
    <row r="8178" spans="3:3" x14ac:dyDescent="0.35">
      <c r="C8178" s="1"/>
    </row>
    <row r="8179" spans="3:3" x14ac:dyDescent="0.35">
      <c r="C8179" s="1"/>
    </row>
    <row r="8180" spans="3:3" x14ac:dyDescent="0.35">
      <c r="C8180" s="1"/>
    </row>
    <row r="8181" spans="3:3" x14ac:dyDescent="0.35">
      <c r="C8181" s="1"/>
    </row>
    <row r="8182" spans="3:3" x14ac:dyDescent="0.35">
      <c r="C8182" s="1"/>
    </row>
    <row r="8183" spans="3:3" x14ac:dyDescent="0.35">
      <c r="C8183" s="1"/>
    </row>
    <row r="8184" spans="3:3" x14ac:dyDescent="0.35">
      <c r="C8184" s="1"/>
    </row>
    <row r="8185" spans="3:3" x14ac:dyDescent="0.35">
      <c r="C8185" s="1"/>
    </row>
    <row r="8186" spans="3:3" x14ac:dyDescent="0.35">
      <c r="C8186" s="1"/>
    </row>
    <row r="8187" spans="3:3" x14ac:dyDescent="0.35">
      <c r="C8187" s="1"/>
    </row>
    <row r="8188" spans="3:3" x14ac:dyDescent="0.35">
      <c r="C8188" s="1"/>
    </row>
    <row r="8189" spans="3:3" x14ac:dyDescent="0.35">
      <c r="C8189" s="1"/>
    </row>
    <row r="8190" spans="3:3" x14ac:dyDescent="0.35">
      <c r="C8190" s="1"/>
    </row>
    <row r="8191" spans="3:3" x14ac:dyDescent="0.35">
      <c r="C8191" s="1"/>
    </row>
    <row r="8192" spans="3:3" x14ac:dyDescent="0.35">
      <c r="C8192" s="1"/>
    </row>
    <row r="8193" spans="3:3" x14ac:dyDescent="0.35">
      <c r="C8193" s="1"/>
    </row>
    <row r="8194" spans="3:3" x14ac:dyDescent="0.35">
      <c r="C8194" s="1"/>
    </row>
    <row r="8195" spans="3:3" x14ac:dyDescent="0.35">
      <c r="C8195" s="1"/>
    </row>
    <row r="8196" spans="3:3" x14ac:dyDescent="0.35">
      <c r="C8196" s="1"/>
    </row>
    <row r="8197" spans="3:3" x14ac:dyDescent="0.35">
      <c r="C8197" s="1"/>
    </row>
    <row r="8198" spans="3:3" x14ac:dyDescent="0.35">
      <c r="C8198" s="1"/>
    </row>
    <row r="8199" spans="3:3" x14ac:dyDescent="0.35">
      <c r="C8199" s="1"/>
    </row>
    <row r="8200" spans="3:3" x14ac:dyDescent="0.35">
      <c r="C8200" s="1"/>
    </row>
    <row r="8201" spans="3:3" x14ac:dyDescent="0.35">
      <c r="C8201" s="1"/>
    </row>
    <row r="8202" spans="3:3" x14ac:dyDescent="0.35">
      <c r="C8202" s="1"/>
    </row>
    <row r="8203" spans="3:3" x14ac:dyDescent="0.35">
      <c r="C8203" s="1"/>
    </row>
    <row r="8204" spans="3:3" x14ac:dyDescent="0.35">
      <c r="C8204" s="1"/>
    </row>
    <row r="8205" spans="3:3" x14ac:dyDescent="0.35">
      <c r="C8205" s="1"/>
    </row>
    <row r="8206" spans="3:3" x14ac:dyDescent="0.35">
      <c r="C8206" s="1"/>
    </row>
    <row r="8207" spans="3:3" x14ac:dyDescent="0.35">
      <c r="C8207" s="1"/>
    </row>
    <row r="8208" spans="3:3" x14ac:dyDescent="0.35">
      <c r="C8208" s="1"/>
    </row>
    <row r="8209" spans="3:3" x14ac:dyDescent="0.35">
      <c r="C8209" s="1"/>
    </row>
    <row r="8210" spans="3:3" x14ac:dyDescent="0.35">
      <c r="C8210" s="1"/>
    </row>
    <row r="8211" spans="3:3" x14ac:dyDescent="0.35">
      <c r="C8211" s="1"/>
    </row>
    <row r="8212" spans="3:3" x14ac:dyDescent="0.35">
      <c r="C8212" s="1"/>
    </row>
    <row r="8213" spans="3:3" x14ac:dyDescent="0.35">
      <c r="C8213" s="1"/>
    </row>
    <row r="8214" spans="3:3" x14ac:dyDescent="0.35">
      <c r="C8214" s="1"/>
    </row>
    <row r="8215" spans="3:3" x14ac:dyDescent="0.35">
      <c r="C8215" s="1"/>
    </row>
    <row r="8216" spans="3:3" x14ac:dyDescent="0.35">
      <c r="C8216" s="1"/>
    </row>
    <row r="8217" spans="3:3" x14ac:dyDescent="0.35">
      <c r="C8217" s="1"/>
    </row>
    <row r="8218" spans="3:3" x14ac:dyDescent="0.35">
      <c r="C8218" s="1"/>
    </row>
    <row r="8219" spans="3:3" x14ac:dyDescent="0.35">
      <c r="C8219" s="1"/>
    </row>
    <row r="8220" spans="3:3" x14ac:dyDescent="0.35">
      <c r="C8220" s="1"/>
    </row>
    <row r="8221" spans="3:3" x14ac:dyDescent="0.35">
      <c r="C8221" s="1"/>
    </row>
    <row r="8222" spans="3:3" x14ac:dyDescent="0.35">
      <c r="C8222" s="1"/>
    </row>
    <row r="8223" spans="3:3" x14ac:dyDescent="0.35">
      <c r="C8223" s="1"/>
    </row>
    <row r="8224" spans="3:3" x14ac:dyDescent="0.35">
      <c r="C8224" s="1"/>
    </row>
    <row r="8225" spans="3:3" x14ac:dyDescent="0.35">
      <c r="C8225" s="1"/>
    </row>
    <row r="8226" spans="3:3" x14ac:dyDescent="0.35">
      <c r="C8226" s="1"/>
    </row>
    <row r="8227" spans="3:3" x14ac:dyDescent="0.35">
      <c r="C8227" s="1"/>
    </row>
    <row r="8228" spans="3:3" x14ac:dyDescent="0.35">
      <c r="C8228" s="1"/>
    </row>
    <row r="8229" spans="3:3" x14ac:dyDescent="0.35">
      <c r="C8229" s="1"/>
    </row>
    <row r="8230" spans="3:3" x14ac:dyDescent="0.35">
      <c r="C8230" s="1"/>
    </row>
    <row r="8231" spans="3:3" x14ac:dyDescent="0.35">
      <c r="C8231" s="1"/>
    </row>
    <row r="8232" spans="3:3" x14ac:dyDescent="0.35">
      <c r="C8232" s="1"/>
    </row>
    <row r="8233" spans="3:3" x14ac:dyDescent="0.35">
      <c r="C8233" s="1"/>
    </row>
    <row r="8234" spans="3:3" x14ac:dyDescent="0.35">
      <c r="C8234" s="1"/>
    </row>
    <row r="8235" spans="3:3" x14ac:dyDescent="0.35">
      <c r="C8235" s="1"/>
    </row>
    <row r="8236" spans="3:3" x14ac:dyDescent="0.35">
      <c r="C8236" s="1"/>
    </row>
    <row r="8237" spans="3:3" x14ac:dyDescent="0.35">
      <c r="C8237" s="1"/>
    </row>
    <row r="8238" spans="3:3" x14ac:dyDescent="0.35">
      <c r="C8238" s="1"/>
    </row>
    <row r="8239" spans="3:3" x14ac:dyDescent="0.35">
      <c r="C8239" s="1"/>
    </row>
    <row r="8240" spans="3:3" x14ac:dyDescent="0.35">
      <c r="C8240" s="1"/>
    </row>
    <row r="8241" spans="3:3" x14ac:dyDescent="0.35">
      <c r="C8241" s="1"/>
    </row>
    <row r="8242" spans="3:3" x14ac:dyDescent="0.35">
      <c r="C8242" s="1"/>
    </row>
    <row r="8243" spans="3:3" x14ac:dyDescent="0.35">
      <c r="C8243" s="1"/>
    </row>
    <row r="8244" spans="3:3" x14ac:dyDescent="0.35">
      <c r="C8244" s="1"/>
    </row>
    <row r="8245" spans="3:3" x14ac:dyDescent="0.35">
      <c r="C8245" s="1"/>
    </row>
    <row r="8246" spans="3:3" x14ac:dyDescent="0.35">
      <c r="C8246" s="1"/>
    </row>
    <row r="8247" spans="3:3" x14ac:dyDescent="0.35">
      <c r="C8247" s="1"/>
    </row>
    <row r="8248" spans="3:3" x14ac:dyDescent="0.35">
      <c r="C8248" s="1"/>
    </row>
    <row r="8249" spans="3:3" x14ac:dyDescent="0.35">
      <c r="C8249" s="1"/>
    </row>
    <row r="8250" spans="3:3" x14ac:dyDescent="0.35">
      <c r="C8250" s="1"/>
    </row>
    <row r="8251" spans="3:3" x14ac:dyDescent="0.35">
      <c r="C8251" s="1"/>
    </row>
    <row r="8252" spans="3:3" x14ac:dyDescent="0.35">
      <c r="C8252" s="1"/>
    </row>
    <row r="8253" spans="3:3" x14ac:dyDescent="0.35">
      <c r="C8253" s="1"/>
    </row>
    <row r="8254" spans="3:3" x14ac:dyDescent="0.35">
      <c r="C8254" s="1"/>
    </row>
    <row r="8255" spans="3:3" x14ac:dyDescent="0.35">
      <c r="C8255" s="1"/>
    </row>
    <row r="8256" spans="3:3" x14ac:dyDescent="0.35">
      <c r="C8256" s="1"/>
    </row>
    <row r="8257" spans="3:3" x14ac:dyDescent="0.35">
      <c r="C8257" s="1"/>
    </row>
    <row r="8258" spans="3:3" x14ac:dyDescent="0.35">
      <c r="C8258" s="1"/>
    </row>
    <row r="8259" spans="3:3" x14ac:dyDescent="0.35">
      <c r="C8259" s="1"/>
    </row>
    <row r="8260" spans="3:3" x14ac:dyDescent="0.35">
      <c r="C8260" s="1"/>
    </row>
    <row r="8261" spans="3:3" x14ac:dyDescent="0.35">
      <c r="C8261" s="1"/>
    </row>
    <row r="8262" spans="3:3" x14ac:dyDescent="0.35">
      <c r="C8262" s="1"/>
    </row>
    <row r="8263" spans="3:3" x14ac:dyDescent="0.35">
      <c r="C8263" s="1"/>
    </row>
    <row r="8264" spans="3:3" x14ac:dyDescent="0.35">
      <c r="C8264" s="1"/>
    </row>
    <row r="8265" spans="3:3" x14ac:dyDescent="0.35">
      <c r="C8265" s="1"/>
    </row>
    <row r="8266" spans="3:3" x14ac:dyDescent="0.35">
      <c r="C8266" s="1"/>
    </row>
    <row r="8267" spans="3:3" x14ac:dyDescent="0.35">
      <c r="C8267" s="1"/>
    </row>
    <row r="8268" spans="3:3" x14ac:dyDescent="0.35">
      <c r="C8268" s="1"/>
    </row>
    <row r="8269" spans="3:3" x14ac:dyDescent="0.35">
      <c r="C8269" s="1"/>
    </row>
    <row r="8270" spans="3:3" x14ac:dyDescent="0.35">
      <c r="C8270" s="1"/>
    </row>
    <row r="8271" spans="3:3" x14ac:dyDescent="0.35">
      <c r="C8271" s="1"/>
    </row>
    <row r="8272" spans="3:3" x14ac:dyDescent="0.35">
      <c r="C8272" s="1"/>
    </row>
    <row r="8273" spans="3:3" x14ac:dyDescent="0.35">
      <c r="C8273" s="1"/>
    </row>
    <row r="8274" spans="3:3" x14ac:dyDescent="0.35">
      <c r="C8274" s="1"/>
    </row>
    <row r="8275" spans="3:3" x14ac:dyDescent="0.35">
      <c r="C8275" s="1"/>
    </row>
    <row r="8276" spans="3:3" x14ac:dyDescent="0.35">
      <c r="C8276" s="1"/>
    </row>
    <row r="8277" spans="3:3" x14ac:dyDescent="0.35">
      <c r="C8277" s="1"/>
    </row>
    <row r="8278" spans="3:3" x14ac:dyDescent="0.35">
      <c r="C8278" s="1"/>
    </row>
    <row r="8279" spans="3:3" x14ac:dyDescent="0.35">
      <c r="C8279" s="1"/>
    </row>
    <row r="8280" spans="3:3" x14ac:dyDescent="0.35">
      <c r="C8280" s="1"/>
    </row>
    <row r="8281" spans="3:3" x14ac:dyDescent="0.35">
      <c r="C8281" s="1"/>
    </row>
    <row r="8282" spans="3:3" x14ac:dyDescent="0.35">
      <c r="C8282" s="1"/>
    </row>
    <row r="8283" spans="3:3" x14ac:dyDescent="0.35">
      <c r="C8283" s="1"/>
    </row>
    <row r="8284" spans="3:3" x14ac:dyDescent="0.35">
      <c r="C8284" s="1"/>
    </row>
    <row r="8285" spans="3:3" x14ac:dyDescent="0.35">
      <c r="C8285" s="1"/>
    </row>
    <row r="8286" spans="3:3" x14ac:dyDescent="0.35">
      <c r="C8286" s="1"/>
    </row>
    <row r="8287" spans="3:3" x14ac:dyDescent="0.35">
      <c r="C8287" s="1"/>
    </row>
    <row r="8288" spans="3:3" x14ac:dyDescent="0.35">
      <c r="C8288" s="1"/>
    </row>
    <row r="8289" spans="3:3" x14ac:dyDescent="0.35">
      <c r="C8289" s="1"/>
    </row>
    <row r="8290" spans="3:3" x14ac:dyDescent="0.35">
      <c r="C8290" s="1"/>
    </row>
    <row r="8291" spans="3:3" x14ac:dyDescent="0.35">
      <c r="C8291" s="1"/>
    </row>
    <row r="8292" spans="3:3" x14ac:dyDescent="0.35">
      <c r="C8292" s="1"/>
    </row>
    <row r="8293" spans="3:3" x14ac:dyDescent="0.35">
      <c r="C8293" s="1"/>
    </row>
    <row r="8294" spans="3:3" x14ac:dyDescent="0.35">
      <c r="C8294" s="1"/>
    </row>
    <row r="8295" spans="3:3" x14ac:dyDescent="0.35">
      <c r="C8295" s="1"/>
    </row>
    <row r="8296" spans="3:3" x14ac:dyDescent="0.35">
      <c r="C8296" s="1"/>
    </row>
    <row r="8297" spans="3:3" x14ac:dyDescent="0.35">
      <c r="C8297" s="1"/>
    </row>
    <row r="8298" spans="3:3" x14ac:dyDescent="0.35">
      <c r="C8298" s="1"/>
    </row>
    <row r="8299" spans="3:3" x14ac:dyDescent="0.35">
      <c r="C8299" s="1"/>
    </row>
    <row r="8300" spans="3:3" x14ac:dyDescent="0.35">
      <c r="C8300" s="1"/>
    </row>
    <row r="8301" spans="3:3" x14ac:dyDescent="0.35">
      <c r="C8301" s="1"/>
    </row>
    <row r="8302" spans="3:3" x14ac:dyDescent="0.35">
      <c r="C8302" s="1"/>
    </row>
    <row r="8303" spans="3:3" x14ac:dyDescent="0.35">
      <c r="C8303" s="1"/>
    </row>
    <row r="8304" spans="3:3" x14ac:dyDescent="0.35">
      <c r="C8304" s="1"/>
    </row>
    <row r="8305" spans="3:3" x14ac:dyDescent="0.35">
      <c r="C8305" s="1"/>
    </row>
    <row r="8306" spans="3:3" x14ac:dyDescent="0.35">
      <c r="C8306" s="1"/>
    </row>
    <row r="8307" spans="3:3" x14ac:dyDescent="0.35">
      <c r="C8307" s="1"/>
    </row>
    <row r="8308" spans="3:3" x14ac:dyDescent="0.35">
      <c r="C8308" s="1"/>
    </row>
    <row r="8309" spans="3:3" x14ac:dyDescent="0.35">
      <c r="C8309" s="1"/>
    </row>
    <row r="8310" spans="3:3" x14ac:dyDescent="0.35">
      <c r="C8310" s="1"/>
    </row>
    <row r="8311" spans="3:3" x14ac:dyDescent="0.35">
      <c r="C8311" s="1"/>
    </row>
    <row r="8312" spans="3:3" x14ac:dyDescent="0.35">
      <c r="C8312" s="1"/>
    </row>
    <row r="8313" spans="3:3" x14ac:dyDescent="0.35">
      <c r="C8313" s="1"/>
    </row>
    <row r="8314" spans="3:3" x14ac:dyDescent="0.35">
      <c r="C8314" s="1"/>
    </row>
    <row r="8315" spans="3:3" x14ac:dyDescent="0.35">
      <c r="C8315" s="1"/>
    </row>
    <row r="8316" spans="3:3" x14ac:dyDescent="0.35">
      <c r="C8316" s="1"/>
    </row>
    <row r="8317" spans="3:3" x14ac:dyDescent="0.35">
      <c r="C8317" s="1"/>
    </row>
    <row r="8318" spans="3:3" x14ac:dyDescent="0.35">
      <c r="C8318" s="1"/>
    </row>
    <row r="8319" spans="3:3" x14ac:dyDescent="0.35">
      <c r="C8319" s="1"/>
    </row>
    <row r="8320" spans="3:3" x14ac:dyDescent="0.35">
      <c r="C8320" s="1"/>
    </row>
    <row r="8321" spans="3:3" x14ac:dyDescent="0.35">
      <c r="C8321" s="1"/>
    </row>
    <row r="8322" spans="3:3" x14ac:dyDescent="0.35">
      <c r="C8322" s="1"/>
    </row>
    <row r="8323" spans="3:3" x14ac:dyDescent="0.35">
      <c r="C8323" s="1"/>
    </row>
    <row r="8324" spans="3:3" x14ac:dyDescent="0.35">
      <c r="C8324" s="1"/>
    </row>
    <row r="8325" spans="3:3" x14ac:dyDescent="0.35">
      <c r="C8325" s="1"/>
    </row>
    <row r="8326" spans="3:3" x14ac:dyDescent="0.35">
      <c r="C8326" s="1"/>
    </row>
    <row r="8327" spans="3:3" x14ac:dyDescent="0.35">
      <c r="C8327" s="1"/>
    </row>
    <row r="8328" spans="3:3" x14ac:dyDescent="0.35">
      <c r="C8328" s="1"/>
    </row>
    <row r="8329" spans="3:3" x14ac:dyDescent="0.35">
      <c r="C8329" s="1"/>
    </row>
    <row r="8330" spans="3:3" x14ac:dyDescent="0.35">
      <c r="C8330" s="1"/>
    </row>
    <row r="8331" spans="3:3" x14ac:dyDescent="0.35">
      <c r="C8331" s="1"/>
    </row>
    <row r="8332" spans="3:3" x14ac:dyDescent="0.35">
      <c r="C8332" s="1"/>
    </row>
    <row r="8333" spans="3:3" x14ac:dyDescent="0.35">
      <c r="C8333" s="1"/>
    </row>
    <row r="8334" spans="3:3" x14ac:dyDescent="0.35">
      <c r="C8334" s="1"/>
    </row>
    <row r="8335" spans="3:3" x14ac:dyDescent="0.35">
      <c r="C8335" s="1"/>
    </row>
    <row r="8336" spans="3:3" x14ac:dyDescent="0.35">
      <c r="C8336" s="1"/>
    </row>
    <row r="8337" spans="3:3" x14ac:dyDescent="0.35">
      <c r="C8337" s="1"/>
    </row>
    <row r="8338" spans="3:3" x14ac:dyDescent="0.35">
      <c r="C8338" s="1"/>
    </row>
    <row r="8339" spans="3:3" x14ac:dyDescent="0.35">
      <c r="C8339" s="1"/>
    </row>
    <row r="8340" spans="3:3" x14ac:dyDescent="0.35">
      <c r="C8340" s="1"/>
    </row>
    <row r="8341" spans="3:3" x14ac:dyDescent="0.35">
      <c r="C8341" s="1"/>
    </row>
    <row r="8342" spans="3:3" x14ac:dyDescent="0.35">
      <c r="C8342" s="1"/>
    </row>
    <row r="8343" spans="3:3" x14ac:dyDescent="0.35">
      <c r="C8343" s="1"/>
    </row>
    <row r="8344" spans="3:3" x14ac:dyDescent="0.35">
      <c r="C8344" s="1"/>
    </row>
    <row r="8345" spans="3:3" x14ac:dyDescent="0.35">
      <c r="C8345" s="1"/>
    </row>
    <row r="8346" spans="3:3" x14ac:dyDescent="0.35">
      <c r="C8346" s="1"/>
    </row>
    <row r="8347" spans="3:3" x14ac:dyDescent="0.35">
      <c r="C8347" s="1"/>
    </row>
    <row r="8348" spans="3:3" x14ac:dyDescent="0.35">
      <c r="C8348" s="1"/>
    </row>
    <row r="8349" spans="3:3" x14ac:dyDescent="0.35">
      <c r="C8349" s="1"/>
    </row>
    <row r="8350" spans="3:3" x14ac:dyDescent="0.35">
      <c r="C8350" s="1"/>
    </row>
    <row r="8351" spans="3:3" x14ac:dyDescent="0.35">
      <c r="C8351" s="1"/>
    </row>
    <row r="8352" spans="3:3" x14ac:dyDescent="0.35">
      <c r="C8352" s="1"/>
    </row>
    <row r="8353" spans="3:3" x14ac:dyDescent="0.35">
      <c r="C8353" s="1"/>
    </row>
    <row r="8354" spans="3:3" x14ac:dyDescent="0.35">
      <c r="C8354" s="1"/>
    </row>
    <row r="8355" spans="3:3" x14ac:dyDescent="0.35">
      <c r="C8355" s="1"/>
    </row>
    <row r="8356" spans="3:3" x14ac:dyDescent="0.35">
      <c r="C8356" s="1"/>
    </row>
    <row r="8357" spans="3:3" x14ac:dyDescent="0.35">
      <c r="C8357" s="1"/>
    </row>
    <row r="8358" spans="3:3" x14ac:dyDescent="0.35">
      <c r="C8358" s="1"/>
    </row>
    <row r="8359" spans="3:3" x14ac:dyDescent="0.35">
      <c r="C8359" s="1"/>
    </row>
    <row r="8360" spans="3:3" x14ac:dyDescent="0.35">
      <c r="C8360" s="1"/>
    </row>
    <row r="8361" spans="3:3" x14ac:dyDescent="0.35">
      <c r="C8361" s="1"/>
    </row>
    <row r="8362" spans="3:3" x14ac:dyDescent="0.35">
      <c r="C8362" s="1"/>
    </row>
    <row r="8363" spans="3:3" x14ac:dyDescent="0.35">
      <c r="C8363" s="1"/>
    </row>
    <row r="8364" spans="3:3" x14ac:dyDescent="0.35">
      <c r="C8364" s="1"/>
    </row>
    <row r="8365" spans="3:3" x14ac:dyDescent="0.35">
      <c r="C8365" s="1"/>
    </row>
    <row r="8366" spans="3:3" x14ac:dyDescent="0.35">
      <c r="C8366" s="1"/>
    </row>
    <row r="8367" spans="3:3" x14ac:dyDescent="0.35">
      <c r="C8367" s="1"/>
    </row>
    <row r="8368" spans="3:3" x14ac:dyDescent="0.35">
      <c r="C8368" s="1"/>
    </row>
    <row r="8369" spans="3:3" x14ac:dyDescent="0.35">
      <c r="C8369" s="1"/>
    </row>
    <row r="8370" spans="3:3" x14ac:dyDescent="0.35">
      <c r="C8370" s="1"/>
    </row>
    <row r="8371" spans="3:3" x14ac:dyDescent="0.35">
      <c r="C8371" s="1"/>
    </row>
    <row r="8372" spans="3:3" x14ac:dyDescent="0.35">
      <c r="C8372" s="1"/>
    </row>
    <row r="8373" spans="3:3" x14ac:dyDescent="0.35">
      <c r="C8373" s="1"/>
    </row>
    <row r="8374" spans="3:3" x14ac:dyDescent="0.35">
      <c r="C8374" s="1"/>
    </row>
    <row r="8375" spans="3:3" x14ac:dyDescent="0.35">
      <c r="C8375" s="1"/>
    </row>
    <row r="8376" spans="3:3" x14ac:dyDescent="0.35">
      <c r="C8376" s="1"/>
    </row>
    <row r="8377" spans="3:3" x14ac:dyDescent="0.35">
      <c r="C8377" s="1"/>
    </row>
    <row r="8378" spans="3:3" x14ac:dyDescent="0.35">
      <c r="C8378" s="1"/>
    </row>
    <row r="8379" spans="3:3" x14ac:dyDescent="0.35">
      <c r="C8379" s="1"/>
    </row>
    <row r="8380" spans="3:3" x14ac:dyDescent="0.35">
      <c r="C8380" s="1"/>
    </row>
    <row r="8381" spans="3:3" x14ac:dyDescent="0.35">
      <c r="C8381" s="1"/>
    </row>
    <row r="8382" spans="3:3" x14ac:dyDescent="0.35">
      <c r="C8382" s="1"/>
    </row>
    <row r="8383" spans="3:3" x14ac:dyDescent="0.35">
      <c r="C8383" s="1"/>
    </row>
    <row r="8384" spans="3:3" x14ac:dyDescent="0.35">
      <c r="C8384" s="1"/>
    </row>
    <row r="8385" spans="3:3" x14ac:dyDescent="0.35">
      <c r="C8385" s="1"/>
    </row>
    <row r="8386" spans="3:3" x14ac:dyDescent="0.35">
      <c r="C8386" s="1"/>
    </row>
    <row r="8387" spans="3:3" x14ac:dyDescent="0.35">
      <c r="C8387" s="1"/>
    </row>
    <row r="8388" spans="3:3" x14ac:dyDescent="0.35">
      <c r="C8388" s="1"/>
    </row>
    <row r="8389" spans="3:3" x14ac:dyDescent="0.35">
      <c r="C8389" s="1"/>
    </row>
    <row r="8390" spans="3:3" x14ac:dyDescent="0.35">
      <c r="C8390" s="1"/>
    </row>
    <row r="8391" spans="3:3" x14ac:dyDescent="0.35">
      <c r="C8391" s="1"/>
    </row>
    <row r="8392" spans="3:3" x14ac:dyDescent="0.35">
      <c r="C8392" s="1"/>
    </row>
    <row r="8393" spans="3:3" x14ac:dyDescent="0.35">
      <c r="C8393" s="1"/>
    </row>
    <row r="8394" spans="3:3" x14ac:dyDescent="0.35">
      <c r="C8394" s="1"/>
    </row>
    <row r="8395" spans="3:3" x14ac:dyDescent="0.35">
      <c r="C8395" s="1"/>
    </row>
    <row r="8396" spans="3:3" x14ac:dyDescent="0.35">
      <c r="C8396" s="1"/>
    </row>
    <row r="8397" spans="3:3" x14ac:dyDescent="0.35">
      <c r="C8397" s="1"/>
    </row>
    <row r="8398" spans="3:3" x14ac:dyDescent="0.35">
      <c r="C8398" s="1"/>
    </row>
    <row r="8399" spans="3:3" x14ac:dyDescent="0.35">
      <c r="C8399" s="1"/>
    </row>
    <row r="8400" spans="3:3" x14ac:dyDescent="0.35">
      <c r="C8400" s="1"/>
    </row>
    <row r="8401" spans="3:3" x14ac:dyDescent="0.35">
      <c r="C8401" s="1"/>
    </row>
    <row r="8402" spans="3:3" x14ac:dyDescent="0.35">
      <c r="C8402" s="1"/>
    </row>
    <row r="8403" spans="3:3" x14ac:dyDescent="0.35">
      <c r="C8403" s="1"/>
    </row>
    <row r="8404" spans="3:3" x14ac:dyDescent="0.35">
      <c r="C8404" s="1"/>
    </row>
    <row r="8405" spans="3:3" x14ac:dyDescent="0.35">
      <c r="C8405" s="1"/>
    </row>
    <row r="8406" spans="3:3" x14ac:dyDescent="0.35">
      <c r="C8406" s="1"/>
    </row>
    <row r="8407" spans="3:3" x14ac:dyDescent="0.35">
      <c r="C8407" s="1"/>
    </row>
    <row r="8408" spans="3:3" x14ac:dyDescent="0.35">
      <c r="C8408" s="1"/>
    </row>
    <row r="8409" spans="3:3" x14ac:dyDescent="0.35">
      <c r="C8409" s="1"/>
    </row>
    <row r="8410" spans="3:3" x14ac:dyDescent="0.35">
      <c r="C8410" s="1"/>
    </row>
    <row r="8411" spans="3:3" x14ac:dyDescent="0.35">
      <c r="C8411" s="1"/>
    </row>
    <row r="8412" spans="3:3" x14ac:dyDescent="0.35">
      <c r="C8412" s="1"/>
    </row>
    <row r="8413" spans="3:3" x14ac:dyDescent="0.35">
      <c r="C8413" s="1"/>
    </row>
    <row r="8414" spans="3:3" x14ac:dyDescent="0.35">
      <c r="C8414" s="1"/>
    </row>
    <row r="8415" spans="3:3" x14ac:dyDescent="0.35">
      <c r="C8415" s="1"/>
    </row>
    <row r="8416" spans="3:3" x14ac:dyDescent="0.35">
      <c r="C8416" s="1"/>
    </row>
    <row r="8417" spans="3:3" x14ac:dyDescent="0.35">
      <c r="C8417" s="1"/>
    </row>
    <row r="8418" spans="3:3" x14ac:dyDescent="0.35">
      <c r="C8418" s="1"/>
    </row>
    <row r="8419" spans="3:3" x14ac:dyDescent="0.35">
      <c r="C8419" s="1"/>
    </row>
    <row r="8420" spans="3:3" x14ac:dyDescent="0.35">
      <c r="C8420" s="1"/>
    </row>
    <row r="8421" spans="3:3" x14ac:dyDescent="0.35">
      <c r="C8421" s="1"/>
    </row>
    <row r="8422" spans="3:3" x14ac:dyDescent="0.35">
      <c r="C8422" s="1"/>
    </row>
    <row r="8423" spans="3:3" x14ac:dyDescent="0.35">
      <c r="C8423" s="1"/>
    </row>
    <row r="8424" spans="3:3" x14ac:dyDescent="0.35">
      <c r="C8424" s="1"/>
    </row>
    <row r="8425" spans="3:3" x14ac:dyDescent="0.35">
      <c r="C8425" s="1"/>
    </row>
    <row r="8426" spans="3:3" x14ac:dyDescent="0.35">
      <c r="C8426" s="1"/>
    </row>
    <row r="8427" spans="3:3" x14ac:dyDescent="0.35">
      <c r="C8427" s="1"/>
    </row>
    <row r="8428" spans="3:3" x14ac:dyDescent="0.35">
      <c r="C8428" s="1"/>
    </row>
    <row r="8429" spans="3:3" x14ac:dyDescent="0.35">
      <c r="C8429" s="1"/>
    </row>
    <row r="8430" spans="3:3" x14ac:dyDescent="0.35">
      <c r="C8430" s="1"/>
    </row>
    <row r="8431" spans="3:3" x14ac:dyDescent="0.35">
      <c r="C8431" s="1"/>
    </row>
    <row r="8432" spans="3:3" x14ac:dyDescent="0.35">
      <c r="C8432" s="1"/>
    </row>
    <row r="8433" spans="3:3" x14ac:dyDescent="0.35">
      <c r="C8433" s="1"/>
    </row>
    <row r="8434" spans="3:3" x14ac:dyDescent="0.35">
      <c r="C8434" s="1"/>
    </row>
    <row r="8435" spans="3:3" x14ac:dyDescent="0.35">
      <c r="C8435" s="1"/>
    </row>
    <row r="8436" spans="3:3" x14ac:dyDescent="0.35">
      <c r="C8436" s="1"/>
    </row>
    <row r="8437" spans="3:3" x14ac:dyDescent="0.35">
      <c r="C8437" s="1"/>
    </row>
    <row r="8438" spans="3:3" x14ac:dyDescent="0.35">
      <c r="C8438" s="1"/>
    </row>
    <row r="8439" spans="3:3" x14ac:dyDescent="0.35">
      <c r="C8439" s="1"/>
    </row>
    <row r="8440" spans="3:3" x14ac:dyDescent="0.35">
      <c r="C8440" s="1"/>
    </row>
    <row r="8441" spans="3:3" x14ac:dyDescent="0.35">
      <c r="C8441" s="1"/>
    </row>
    <row r="8442" spans="3:3" x14ac:dyDescent="0.35">
      <c r="C8442" s="1"/>
    </row>
    <row r="8443" spans="3:3" x14ac:dyDescent="0.35">
      <c r="C8443" s="1"/>
    </row>
    <row r="8444" spans="3:3" x14ac:dyDescent="0.35">
      <c r="C8444" s="1"/>
    </row>
    <row r="8445" spans="3:3" x14ac:dyDescent="0.35">
      <c r="C8445" s="1"/>
    </row>
    <row r="8446" spans="3:3" x14ac:dyDescent="0.35">
      <c r="C8446" s="1"/>
    </row>
    <row r="8447" spans="3:3" x14ac:dyDescent="0.35">
      <c r="C8447" s="1"/>
    </row>
    <row r="8448" spans="3:3" x14ac:dyDescent="0.35">
      <c r="C8448" s="1"/>
    </row>
    <row r="8449" spans="3:3" x14ac:dyDescent="0.35">
      <c r="C8449" s="1"/>
    </row>
    <row r="8450" spans="3:3" x14ac:dyDescent="0.35">
      <c r="C8450" s="1"/>
    </row>
    <row r="8451" spans="3:3" x14ac:dyDescent="0.35">
      <c r="C8451" s="1"/>
    </row>
    <row r="8452" spans="3:3" x14ac:dyDescent="0.35">
      <c r="C8452" s="1"/>
    </row>
    <row r="8453" spans="3:3" x14ac:dyDescent="0.35">
      <c r="C8453" s="1"/>
    </row>
    <row r="8454" spans="3:3" x14ac:dyDescent="0.35">
      <c r="C8454" s="1"/>
    </row>
    <row r="8455" spans="3:3" x14ac:dyDescent="0.35">
      <c r="C8455" s="1"/>
    </row>
    <row r="8456" spans="3:3" x14ac:dyDescent="0.35">
      <c r="C8456" s="1"/>
    </row>
    <row r="8457" spans="3:3" x14ac:dyDescent="0.35">
      <c r="C8457" s="1"/>
    </row>
    <row r="8458" spans="3:3" x14ac:dyDescent="0.35">
      <c r="C8458" s="1"/>
    </row>
    <row r="8459" spans="3:3" x14ac:dyDescent="0.35">
      <c r="C8459" s="1"/>
    </row>
    <row r="8460" spans="3:3" x14ac:dyDescent="0.35">
      <c r="C8460" s="1"/>
    </row>
    <row r="8461" spans="3:3" x14ac:dyDescent="0.35">
      <c r="C8461" s="1"/>
    </row>
    <row r="8462" spans="3:3" x14ac:dyDescent="0.35">
      <c r="C8462" s="1"/>
    </row>
    <row r="8463" spans="3:3" x14ac:dyDescent="0.35">
      <c r="C8463" s="1"/>
    </row>
    <row r="8464" spans="3:3" x14ac:dyDescent="0.35">
      <c r="C8464" s="1"/>
    </row>
    <row r="8465" spans="3:3" x14ac:dyDescent="0.35">
      <c r="C8465" s="1"/>
    </row>
    <row r="8466" spans="3:3" x14ac:dyDescent="0.35">
      <c r="C8466" s="1"/>
    </row>
    <row r="8467" spans="3:3" x14ac:dyDescent="0.35">
      <c r="C8467" s="1"/>
    </row>
    <row r="8468" spans="3:3" x14ac:dyDescent="0.35">
      <c r="C8468" s="1"/>
    </row>
    <row r="8469" spans="3:3" x14ac:dyDescent="0.35">
      <c r="C8469" s="1"/>
    </row>
    <row r="8470" spans="3:3" x14ac:dyDescent="0.35">
      <c r="C8470" s="1"/>
    </row>
    <row r="8471" spans="3:3" x14ac:dyDescent="0.35">
      <c r="C8471" s="1"/>
    </row>
    <row r="8472" spans="3:3" x14ac:dyDescent="0.35">
      <c r="C8472" s="1"/>
    </row>
    <row r="8473" spans="3:3" x14ac:dyDescent="0.35">
      <c r="C8473" s="1"/>
    </row>
    <row r="8474" spans="3:3" x14ac:dyDescent="0.35">
      <c r="C8474" s="1"/>
    </row>
    <row r="8475" spans="3:3" x14ac:dyDescent="0.35">
      <c r="C8475" s="1"/>
    </row>
    <row r="8476" spans="3:3" x14ac:dyDescent="0.35">
      <c r="C8476" s="1"/>
    </row>
    <row r="8477" spans="3:3" x14ac:dyDescent="0.35">
      <c r="C8477" s="1"/>
    </row>
    <row r="8478" spans="3:3" x14ac:dyDescent="0.35">
      <c r="C8478" s="1"/>
    </row>
    <row r="8479" spans="3:3" x14ac:dyDescent="0.35">
      <c r="C8479" s="1"/>
    </row>
    <row r="8480" spans="3:3" x14ac:dyDescent="0.35">
      <c r="C8480" s="1"/>
    </row>
    <row r="8481" spans="3:3" x14ac:dyDescent="0.35">
      <c r="C8481" s="1"/>
    </row>
    <row r="8482" spans="3:3" x14ac:dyDescent="0.35">
      <c r="C8482" s="1"/>
    </row>
    <row r="8483" spans="3:3" x14ac:dyDescent="0.35">
      <c r="C8483" s="1"/>
    </row>
    <row r="8484" spans="3:3" x14ac:dyDescent="0.35">
      <c r="C8484" s="1"/>
    </row>
    <row r="8485" spans="3:3" x14ac:dyDescent="0.35">
      <c r="C8485" s="1"/>
    </row>
    <row r="8486" spans="3:3" x14ac:dyDescent="0.35">
      <c r="C8486" s="1"/>
    </row>
    <row r="8487" spans="3:3" x14ac:dyDescent="0.35">
      <c r="C8487" s="1"/>
    </row>
    <row r="8488" spans="3:3" x14ac:dyDescent="0.35">
      <c r="C8488" s="1"/>
    </row>
    <row r="8489" spans="3:3" x14ac:dyDescent="0.35">
      <c r="C8489" s="1"/>
    </row>
    <row r="8490" spans="3:3" x14ac:dyDescent="0.35">
      <c r="C8490" s="1"/>
    </row>
    <row r="8491" spans="3:3" x14ac:dyDescent="0.35">
      <c r="C8491" s="1"/>
    </row>
    <row r="8492" spans="3:3" x14ac:dyDescent="0.35">
      <c r="C8492" s="1"/>
    </row>
    <row r="8493" spans="3:3" x14ac:dyDescent="0.35">
      <c r="C8493" s="1"/>
    </row>
    <row r="8494" spans="3:3" x14ac:dyDescent="0.35">
      <c r="C8494" s="1"/>
    </row>
    <row r="8495" spans="3:3" x14ac:dyDescent="0.35">
      <c r="C8495" s="1"/>
    </row>
    <row r="8496" spans="3:3" x14ac:dyDescent="0.35">
      <c r="C8496" s="1"/>
    </row>
    <row r="8497" spans="3:3" x14ac:dyDescent="0.35">
      <c r="C8497" s="1"/>
    </row>
    <row r="8498" spans="3:3" x14ac:dyDescent="0.35">
      <c r="C8498" s="1"/>
    </row>
    <row r="8499" spans="3:3" x14ac:dyDescent="0.35">
      <c r="C8499" s="1"/>
    </row>
    <row r="8500" spans="3:3" x14ac:dyDescent="0.35">
      <c r="C8500" s="1"/>
    </row>
    <row r="8501" spans="3:3" x14ac:dyDescent="0.35">
      <c r="C8501" s="1"/>
    </row>
    <row r="8502" spans="3:3" x14ac:dyDescent="0.35">
      <c r="C8502" s="1"/>
    </row>
    <row r="8503" spans="3:3" x14ac:dyDescent="0.35">
      <c r="C8503" s="1"/>
    </row>
    <row r="8504" spans="3:3" x14ac:dyDescent="0.35">
      <c r="C8504" s="1"/>
    </row>
    <row r="8505" spans="3:3" x14ac:dyDescent="0.35">
      <c r="C8505" s="1"/>
    </row>
    <row r="8506" spans="3:3" x14ac:dyDescent="0.35">
      <c r="C8506" s="1"/>
    </row>
    <row r="8507" spans="3:3" x14ac:dyDescent="0.35">
      <c r="C8507" s="1"/>
    </row>
    <row r="8508" spans="3:3" x14ac:dyDescent="0.35">
      <c r="C8508" s="1"/>
    </row>
    <row r="8509" spans="3:3" x14ac:dyDescent="0.35">
      <c r="C8509" s="1"/>
    </row>
    <row r="8510" spans="3:3" x14ac:dyDescent="0.35">
      <c r="C8510" s="1"/>
    </row>
    <row r="8511" spans="3:3" x14ac:dyDescent="0.35">
      <c r="C8511" s="1"/>
    </row>
    <row r="8512" spans="3:3" x14ac:dyDescent="0.35">
      <c r="C8512" s="1"/>
    </row>
    <row r="8513" spans="3:3" x14ac:dyDescent="0.35">
      <c r="C8513" s="1"/>
    </row>
    <row r="8514" spans="3:3" x14ac:dyDescent="0.35">
      <c r="C8514" s="1"/>
    </row>
    <row r="8515" spans="3:3" x14ac:dyDescent="0.35">
      <c r="C8515" s="1"/>
    </row>
    <row r="8516" spans="3:3" x14ac:dyDescent="0.35">
      <c r="C8516" s="1"/>
    </row>
    <row r="8517" spans="3:3" x14ac:dyDescent="0.35">
      <c r="C8517" s="1"/>
    </row>
    <row r="8518" spans="3:3" x14ac:dyDescent="0.35">
      <c r="C8518" s="1"/>
    </row>
    <row r="8519" spans="3:3" x14ac:dyDescent="0.35">
      <c r="C8519" s="1"/>
    </row>
    <row r="8520" spans="3:3" x14ac:dyDescent="0.35">
      <c r="C8520" s="1"/>
    </row>
    <row r="8521" spans="3:3" x14ac:dyDescent="0.35">
      <c r="C8521" s="1"/>
    </row>
    <row r="8522" spans="3:3" x14ac:dyDescent="0.35">
      <c r="C8522" s="1"/>
    </row>
    <row r="8523" spans="3:3" x14ac:dyDescent="0.35">
      <c r="C8523" s="1"/>
    </row>
    <row r="8524" spans="3:3" x14ac:dyDescent="0.35">
      <c r="C8524" s="1"/>
    </row>
    <row r="8525" spans="3:3" x14ac:dyDescent="0.35">
      <c r="C8525" s="1"/>
    </row>
    <row r="8526" spans="3:3" x14ac:dyDescent="0.35">
      <c r="C8526" s="1"/>
    </row>
    <row r="8527" spans="3:3" x14ac:dyDescent="0.35">
      <c r="C8527" s="1"/>
    </row>
    <row r="8528" spans="3:3" x14ac:dyDescent="0.35">
      <c r="C8528" s="1"/>
    </row>
    <row r="8529" spans="3:3" x14ac:dyDescent="0.35">
      <c r="C8529" s="1"/>
    </row>
    <row r="8530" spans="3:3" x14ac:dyDescent="0.35">
      <c r="C8530" s="1"/>
    </row>
    <row r="8531" spans="3:3" x14ac:dyDescent="0.35">
      <c r="C8531" s="1"/>
    </row>
    <row r="8532" spans="3:3" x14ac:dyDescent="0.35">
      <c r="C8532" s="1"/>
    </row>
    <row r="8533" spans="3:3" x14ac:dyDescent="0.35">
      <c r="C8533" s="1"/>
    </row>
    <row r="8534" spans="3:3" x14ac:dyDescent="0.35">
      <c r="C8534" s="1"/>
    </row>
    <row r="8535" spans="3:3" x14ac:dyDescent="0.35">
      <c r="C8535" s="1"/>
    </row>
    <row r="8536" spans="3:3" x14ac:dyDescent="0.35">
      <c r="C8536" s="1"/>
    </row>
    <row r="8537" spans="3:3" x14ac:dyDescent="0.35">
      <c r="C8537" s="1"/>
    </row>
    <row r="8538" spans="3:3" x14ac:dyDescent="0.35">
      <c r="C8538" s="1"/>
    </row>
    <row r="8539" spans="3:3" x14ac:dyDescent="0.35">
      <c r="C8539" s="1"/>
    </row>
    <row r="8540" spans="3:3" x14ac:dyDescent="0.35">
      <c r="C8540" s="1"/>
    </row>
    <row r="8541" spans="3:3" x14ac:dyDescent="0.35">
      <c r="C8541" s="1"/>
    </row>
    <row r="8542" spans="3:3" x14ac:dyDescent="0.35">
      <c r="C8542" s="1"/>
    </row>
    <row r="8543" spans="3:3" x14ac:dyDescent="0.35">
      <c r="C8543" s="1"/>
    </row>
    <row r="8544" spans="3:3" x14ac:dyDescent="0.35">
      <c r="C8544" s="1"/>
    </row>
    <row r="8545" spans="3:3" x14ac:dyDescent="0.35">
      <c r="C8545" s="1"/>
    </row>
    <row r="8546" spans="3:3" x14ac:dyDescent="0.35">
      <c r="C8546" s="1"/>
    </row>
    <row r="8547" spans="3:3" x14ac:dyDescent="0.35">
      <c r="C8547" s="1"/>
    </row>
    <row r="8548" spans="3:3" x14ac:dyDescent="0.35">
      <c r="C8548" s="1"/>
    </row>
    <row r="8549" spans="3:3" x14ac:dyDescent="0.35">
      <c r="C8549" s="1"/>
    </row>
    <row r="8550" spans="3:3" x14ac:dyDescent="0.35">
      <c r="C8550" s="1"/>
    </row>
    <row r="8551" spans="3:3" x14ac:dyDescent="0.35">
      <c r="C8551" s="1"/>
    </row>
    <row r="8552" spans="3:3" x14ac:dyDescent="0.35">
      <c r="C8552" s="1"/>
    </row>
    <row r="8553" spans="3:3" x14ac:dyDescent="0.35">
      <c r="C8553" s="1"/>
    </row>
    <row r="8554" spans="3:3" x14ac:dyDescent="0.35">
      <c r="C8554" s="1"/>
    </row>
    <row r="8555" spans="3:3" x14ac:dyDescent="0.35">
      <c r="C8555" s="1"/>
    </row>
    <row r="8556" spans="3:3" x14ac:dyDescent="0.35">
      <c r="C8556" s="1"/>
    </row>
    <row r="8557" spans="3:3" x14ac:dyDescent="0.35">
      <c r="C8557" s="1"/>
    </row>
    <row r="8558" spans="3:3" x14ac:dyDescent="0.35">
      <c r="C8558" s="1"/>
    </row>
    <row r="8559" spans="3:3" x14ac:dyDescent="0.35">
      <c r="C8559" s="1"/>
    </row>
    <row r="8560" spans="3:3" x14ac:dyDescent="0.35">
      <c r="C8560" s="1"/>
    </row>
    <row r="8561" spans="3:3" x14ac:dyDescent="0.35">
      <c r="C8561" s="1"/>
    </row>
    <row r="8562" spans="3:3" x14ac:dyDescent="0.35">
      <c r="C8562" s="1"/>
    </row>
    <row r="8563" spans="3:3" x14ac:dyDescent="0.35">
      <c r="C8563" s="1"/>
    </row>
    <row r="8564" spans="3:3" x14ac:dyDescent="0.35">
      <c r="C8564" s="1"/>
    </row>
    <row r="8565" spans="3:3" x14ac:dyDescent="0.35">
      <c r="C8565" s="1"/>
    </row>
    <row r="8566" spans="3:3" x14ac:dyDescent="0.35">
      <c r="C8566" s="1"/>
    </row>
    <row r="8567" spans="3:3" x14ac:dyDescent="0.35">
      <c r="C8567" s="1"/>
    </row>
    <row r="8568" spans="3:3" x14ac:dyDescent="0.35">
      <c r="C8568" s="1"/>
    </row>
    <row r="8569" spans="3:3" x14ac:dyDescent="0.35">
      <c r="C8569" s="1"/>
    </row>
    <row r="8570" spans="3:3" x14ac:dyDescent="0.35">
      <c r="C8570" s="1"/>
    </row>
    <row r="8571" spans="3:3" x14ac:dyDescent="0.35">
      <c r="C8571" s="1"/>
    </row>
    <row r="8572" spans="3:3" x14ac:dyDescent="0.35">
      <c r="C8572" s="1"/>
    </row>
    <row r="8573" spans="3:3" x14ac:dyDescent="0.35">
      <c r="C8573" s="1"/>
    </row>
    <row r="8574" spans="3:3" x14ac:dyDescent="0.35">
      <c r="C8574" s="1"/>
    </row>
    <row r="8575" spans="3:3" x14ac:dyDescent="0.35">
      <c r="C8575" s="1"/>
    </row>
    <row r="8576" spans="3:3" x14ac:dyDescent="0.35">
      <c r="C8576" s="1"/>
    </row>
    <row r="8577" spans="3:3" x14ac:dyDescent="0.35">
      <c r="C8577" s="1"/>
    </row>
    <row r="8578" spans="3:3" x14ac:dyDescent="0.35">
      <c r="C8578" s="1"/>
    </row>
    <row r="8579" spans="3:3" x14ac:dyDescent="0.35">
      <c r="C8579" s="1"/>
    </row>
    <row r="8580" spans="3:3" x14ac:dyDescent="0.35">
      <c r="C8580" s="1"/>
    </row>
    <row r="8581" spans="3:3" x14ac:dyDescent="0.35">
      <c r="C8581" s="1"/>
    </row>
    <row r="8582" spans="3:3" x14ac:dyDescent="0.35">
      <c r="C8582" s="1"/>
    </row>
    <row r="8583" spans="3:3" x14ac:dyDescent="0.35">
      <c r="C8583" s="1"/>
    </row>
    <row r="8584" spans="3:3" x14ac:dyDescent="0.35">
      <c r="C8584" s="1"/>
    </row>
    <row r="8585" spans="3:3" x14ac:dyDescent="0.35">
      <c r="C8585" s="1"/>
    </row>
    <row r="8586" spans="3:3" x14ac:dyDescent="0.35">
      <c r="C8586" s="1"/>
    </row>
    <row r="8587" spans="3:3" x14ac:dyDescent="0.35">
      <c r="C8587" s="1"/>
    </row>
    <row r="8588" spans="3:3" x14ac:dyDescent="0.35">
      <c r="C8588" s="1"/>
    </row>
    <row r="8589" spans="3:3" x14ac:dyDescent="0.35">
      <c r="C8589" s="1"/>
    </row>
    <row r="8590" spans="3:3" x14ac:dyDescent="0.35">
      <c r="C8590" s="1"/>
    </row>
    <row r="8591" spans="3:3" x14ac:dyDescent="0.35">
      <c r="C8591" s="1"/>
    </row>
    <row r="8592" spans="3:3" x14ac:dyDescent="0.35">
      <c r="C8592" s="1"/>
    </row>
    <row r="8593" spans="3:3" x14ac:dyDescent="0.35">
      <c r="C8593" s="1"/>
    </row>
    <row r="8594" spans="3:3" x14ac:dyDescent="0.35">
      <c r="C8594" s="1"/>
    </row>
    <row r="8595" spans="3:3" x14ac:dyDescent="0.35">
      <c r="C8595" s="1"/>
    </row>
    <row r="8596" spans="3:3" x14ac:dyDescent="0.35">
      <c r="C8596" s="1"/>
    </row>
    <row r="8597" spans="3:3" x14ac:dyDescent="0.35">
      <c r="C8597" s="1"/>
    </row>
    <row r="8598" spans="3:3" x14ac:dyDescent="0.35">
      <c r="C8598" s="1"/>
    </row>
    <row r="8599" spans="3:3" x14ac:dyDescent="0.35">
      <c r="C8599" s="1"/>
    </row>
    <row r="8600" spans="3:3" x14ac:dyDescent="0.35">
      <c r="C8600" s="1"/>
    </row>
    <row r="8601" spans="3:3" x14ac:dyDescent="0.35">
      <c r="C8601" s="1"/>
    </row>
    <row r="8602" spans="3:3" x14ac:dyDescent="0.35">
      <c r="C8602" s="1"/>
    </row>
    <row r="8603" spans="3:3" x14ac:dyDescent="0.35">
      <c r="C8603" s="1"/>
    </row>
    <row r="8604" spans="3:3" x14ac:dyDescent="0.35">
      <c r="C8604" s="1"/>
    </row>
    <row r="8605" spans="3:3" x14ac:dyDescent="0.35">
      <c r="C8605" s="1"/>
    </row>
    <row r="8606" spans="3:3" x14ac:dyDescent="0.35">
      <c r="C8606" s="1"/>
    </row>
    <row r="8607" spans="3:3" x14ac:dyDescent="0.35">
      <c r="C8607" s="1"/>
    </row>
    <row r="8608" spans="3:3" x14ac:dyDescent="0.35">
      <c r="C8608" s="1"/>
    </row>
    <row r="8609" spans="3:3" x14ac:dyDescent="0.35">
      <c r="C8609" s="1"/>
    </row>
    <row r="8610" spans="3:3" x14ac:dyDescent="0.35">
      <c r="C8610" s="1"/>
    </row>
    <row r="8611" spans="3:3" x14ac:dyDescent="0.35">
      <c r="C8611" s="1"/>
    </row>
    <row r="8612" spans="3:3" x14ac:dyDescent="0.35">
      <c r="C8612" s="1"/>
    </row>
    <row r="8613" spans="3:3" x14ac:dyDescent="0.35">
      <c r="C8613" s="1"/>
    </row>
    <row r="8614" spans="3:3" x14ac:dyDescent="0.35">
      <c r="C8614" s="1"/>
    </row>
    <row r="8615" spans="3:3" x14ac:dyDescent="0.35">
      <c r="C8615" s="1"/>
    </row>
    <row r="8616" spans="3:3" x14ac:dyDescent="0.35">
      <c r="C8616" s="1"/>
    </row>
    <row r="8617" spans="3:3" x14ac:dyDescent="0.35">
      <c r="C8617" s="1"/>
    </row>
    <row r="8618" spans="3:3" x14ac:dyDescent="0.35">
      <c r="C8618" s="1"/>
    </row>
    <row r="8619" spans="3:3" x14ac:dyDescent="0.35">
      <c r="C8619" s="1"/>
    </row>
    <row r="8620" spans="3:3" x14ac:dyDescent="0.35">
      <c r="C8620" s="1"/>
    </row>
    <row r="8621" spans="3:3" x14ac:dyDescent="0.35">
      <c r="C8621" s="1"/>
    </row>
    <row r="8622" spans="3:3" x14ac:dyDescent="0.35">
      <c r="C8622" s="1"/>
    </row>
    <row r="8623" spans="3:3" x14ac:dyDescent="0.35">
      <c r="C8623" s="1"/>
    </row>
    <row r="8624" spans="3:3" x14ac:dyDescent="0.35">
      <c r="C8624" s="1"/>
    </row>
    <row r="8625" spans="3:3" x14ac:dyDescent="0.35">
      <c r="C8625" s="1"/>
    </row>
    <row r="8626" spans="3:3" x14ac:dyDescent="0.35">
      <c r="C8626" s="1"/>
    </row>
    <row r="8627" spans="3:3" x14ac:dyDescent="0.35">
      <c r="C8627" s="1"/>
    </row>
    <row r="8628" spans="3:3" x14ac:dyDescent="0.35">
      <c r="C8628" s="1"/>
    </row>
    <row r="8629" spans="3:3" x14ac:dyDescent="0.35">
      <c r="C8629" s="1"/>
    </row>
    <row r="8630" spans="3:3" x14ac:dyDescent="0.35">
      <c r="C8630" s="1"/>
    </row>
    <row r="8631" spans="3:3" x14ac:dyDescent="0.35">
      <c r="C8631" s="1"/>
    </row>
    <row r="8632" spans="3:3" x14ac:dyDescent="0.35">
      <c r="C8632" s="1"/>
    </row>
    <row r="8633" spans="3:3" x14ac:dyDescent="0.35">
      <c r="C8633" s="1"/>
    </row>
    <row r="8634" spans="3:3" x14ac:dyDescent="0.35">
      <c r="C8634" s="1"/>
    </row>
    <row r="8635" spans="3:3" x14ac:dyDescent="0.35">
      <c r="C8635" s="1"/>
    </row>
    <row r="8636" spans="3:3" x14ac:dyDescent="0.35">
      <c r="C8636" s="1"/>
    </row>
    <row r="8637" spans="3:3" x14ac:dyDescent="0.35">
      <c r="C8637" s="1"/>
    </row>
    <row r="8638" spans="3:3" x14ac:dyDescent="0.35">
      <c r="C8638" s="1"/>
    </row>
    <row r="8639" spans="3:3" x14ac:dyDescent="0.35">
      <c r="C8639" s="1"/>
    </row>
    <row r="8640" spans="3:3" x14ac:dyDescent="0.35">
      <c r="C8640" s="1"/>
    </row>
    <row r="8641" spans="3:3" x14ac:dyDescent="0.35">
      <c r="C8641" s="1"/>
    </row>
    <row r="8642" spans="3:3" x14ac:dyDescent="0.35">
      <c r="C8642" s="1"/>
    </row>
    <row r="8643" spans="3:3" x14ac:dyDescent="0.35">
      <c r="C8643" s="1"/>
    </row>
    <row r="8644" spans="3:3" x14ac:dyDescent="0.35">
      <c r="C8644" s="1"/>
    </row>
    <row r="8645" spans="3:3" x14ac:dyDescent="0.35">
      <c r="C8645" s="1"/>
    </row>
    <row r="8646" spans="3:3" x14ac:dyDescent="0.35">
      <c r="C8646" s="1"/>
    </row>
    <row r="8647" spans="3:3" x14ac:dyDescent="0.35">
      <c r="C8647" s="1"/>
    </row>
    <row r="8648" spans="3:3" x14ac:dyDescent="0.35">
      <c r="C8648" s="1"/>
    </row>
    <row r="8649" spans="3:3" x14ac:dyDescent="0.35">
      <c r="C8649" s="1"/>
    </row>
    <row r="8650" spans="3:3" x14ac:dyDescent="0.35">
      <c r="C8650" s="1"/>
    </row>
    <row r="8651" spans="3:3" x14ac:dyDescent="0.35">
      <c r="C8651" s="1"/>
    </row>
    <row r="8652" spans="3:3" x14ac:dyDescent="0.35">
      <c r="C8652" s="1"/>
    </row>
    <row r="8653" spans="3:3" x14ac:dyDescent="0.35">
      <c r="C8653" s="1"/>
    </row>
    <row r="8654" spans="3:3" x14ac:dyDescent="0.35">
      <c r="C8654" s="1"/>
    </row>
    <row r="8655" spans="3:3" x14ac:dyDescent="0.35">
      <c r="C8655" s="1"/>
    </row>
    <row r="8656" spans="3:3" x14ac:dyDescent="0.35">
      <c r="C8656" s="1"/>
    </row>
    <row r="8657" spans="3:3" x14ac:dyDescent="0.35">
      <c r="C8657" s="1"/>
    </row>
    <row r="8658" spans="3:3" x14ac:dyDescent="0.35">
      <c r="C8658" s="1"/>
    </row>
    <row r="8659" spans="3:3" x14ac:dyDescent="0.35">
      <c r="C8659" s="1"/>
    </row>
    <row r="8660" spans="3:3" x14ac:dyDescent="0.35">
      <c r="C8660" s="1"/>
    </row>
    <row r="8661" spans="3:3" x14ac:dyDescent="0.35">
      <c r="C8661" s="1"/>
    </row>
    <row r="8662" spans="3:3" x14ac:dyDescent="0.35">
      <c r="C8662" s="1"/>
    </row>
    <row r="8663" spans="3:3" x14ac:dyDescent="0.35">
      <c r="C8663" s="1"/>
    </row>
    <row r="8664" spans="3:3" x14ac:dyDescent="0.35">
      <c r="C8664" s="1"/>
    </row>
    <row r="8665" spans="3:3" x14ac:dyDescent="0.35">
      <c r="C8665" s="1"/>
    </row>
    <row r="8666" spans="3:3" x14ac:dyDescent="0.35">
      <c r="C8666" s="1"/>
    </row>
    <row r="8667" spans="3:3" x14ac:dyDescent="0.35">
      <c r="C8667" s="1"/>
    </row>
    <row r="8668" spans="3:3" x14ac:dyDescent="0.35">
      <c r="C8668" s="1"/>
    </row>
    <row r="8669" spans="3:3" x14ac:dyDescent="0.35">
      <c r="C8669" s="1"/>
    </row>
    <row r="8670" spans="3:3" x14ac:dyDescent="0.35">
      <c r="C8670" s="1"/>
    </row>
    <row r="8671" spans="3:3" x14ac:dyDescent="0.35">
      <c r="C8671" s="1"/>
    </row>
    <row r="8672" spans="3:3" x14ac:dyDescent="0.35">
      <c r="C8672" s="1"/>
    </row>
    <row r="8673" spans="3:3" x14ac:dyDescent="0.35">
      <c r="C8673" s="1"/>
    </row>
    <row r="8674" spans="3:3" x14ac:dyDescent="0.35">
      <c r="C8674" s="1"/>
    </row>
    <row r="8675" spans="3:3" x14ac:dyDescent="0.35">
      <c r="C8675" s="1"/>
    </row>
    <row r="8676" spans="3:3" x14ac:dyDescent="0.35">
      <c r="C8676" s="1"/>
    </row>
    <row r="8677" spans="3:3" x14ac:dyDescent="0.35">
      <c r="C8677" s="1"/>
    </row>
    <row r="8678" spans="3:3" x14ac:dyDescent="0.35">
      <c r="C8678" s="1"/>
    </row>
    <row r="8679" spans="3:3" x14ac:dyDescent="0.35">
      <c r="C8679" s="1"/>
    </row>
    <row r="8680" spans="3:3" x14ac:dyDescent="0.35">
      <c r="C8680" s="1"/>
    </row>
    <row r="8681" spans="3:3" x14ac:dyDescent="0.35">
      <c r="C8681" s="1"/>
    </row>
    <row r="8682" spans="3:3" x14ac:dyDescent="0.35">
      <c r="C8682" s="1"/>
    </row>
    <row r="8683" spans="3:3" x14ac:dyDescent="0.35">
      <c r="C8683" s="1"/>
    </row>
    <row r="8684" spans="3:3" x14ac:dyDescent="0.35">
      <c r="C8684" s="1"/>
    </row>
    <row r="8685" spans="3:3" x14ac:dyDescent="0.35">
      <c r="C8685" s="1"/>
    </row>
    <row r="8686" spans="3:3" x14ac:dyDescent="0.35">
      <c r="C8686" s="1"/>
    </row>
    <row r="8687" spans="3:3" x14ac:dyDescent="0.35">
      <c r="C8687" s="1"/>
    </row>
    <row r="8688" spans="3:3" x14ac:dyDescent="0.35">
      <c r="C8688" s="1"/>
    </row>
    <row r="8689" spans="3:3" x14ac:dyDescent="0.35">
      <c r="C8689" s="1"/>
    </row>
    <row r="8690" spans="3:3" x14ac:dyDescent="0.35">
      <c r="C8690" s="1"/>
    </row>
    <row r="8691" spans="3:3" x14ac:dyDescent="0.35">
      <c r="C8691" s="1"/>
    </row>
    <row r="8692" spans="3:3" x14ac:dyDescent="0.35">
      <c r="C8692" s="1"/>
    </row>
    <row r="8693" spans="3:3" x14ac:dyDescent="0.35">
      <c r="C8693" s="1"/>
    </row>
    <row r="8694" spans="3:3" x14ac:dyDescent="0.35">
      <c r="C8694" s="1"/>
    </row>
    <row r="8695" spans="3:3" x14ac:dyDescent="0.35">
      <c r="C8695" s="1"/>
    </row>
    <row r="8696" spans="3:3" x14ac:dyDescent="0.35">
      <c r="C8696" s="1"/>
    </row>
    <row r="8697" spans="3:3" x14ac:dyDescent="0.35">
      <c r="C8697" s="1"/>
    </row>
    <row r="8698" spans="3:3" x14ac:dyDescent="0.35">
      <c r="C8698" s="1"/>
    </row>
    <row r="8699" spans="3:3" x14ac:dyDescent="0.35">
      <c r="C8699" s="1"/>
    </row>
    <row r="8700" spans="3:3" x14ac:dyDescent="0.35">
      <c r="C8700" s="1"/>
    </row>
    <row r="8701" spans="3:3" x14ac:dyDescent="0.35">
      <c r="C8701" s="1"/>
    </row>
    <row r="8702" spans="3:3" x14ac:dyDescent="0.35">
      <c r="C8702" s="1"/>
    </row>
    <row r="8703" spans="3:3" x14ac:dyDescent="0.35">
      <c r="C8703" s="1"/>
    </row>
    <row r="8704" spans="3:3" x14ac:dyDescent="0.35">
      <c r="C8704" s="1"/>
    </row>
    <row r="8705" spans="3:3" x14ac:dyDescent="0.35">
      <c r="C8705" s="1"/>
    </row>
    <row r="8706" spans="3:3" x14ac:dyDescent="0.35">
      <c r="C8706" s="1"/>
    </row>
    <row r="8707" spans="3:3" x14ac:dyDescent="0.35">
      <c r="C8707" s="1"/>
    </row>
    <row r="8708" spans="3:3" x14ac:dyDescent="0.35">
      <c r="C8708" s="1"/>
    </row>
    <row r="8709" spans="3:3" x14ac:dyDescent="0.35">
      <c r="C8709" s="1"/>
    </row>
    <row r="8710" spans="3:3" x14ac:dyDescent="0.35">
      <c r="C8710" s="1"/>
    </row>
    <row r="8711" spans="3:3" x14ac:dyDescent="0.35">
      <c r="C8711" s="1"/>
    </row>
    <row r="8712" spans="3:3" x14ac:dyDescent="0.35">
      <c r="C8712" s="1"/>
    </row>
    <row r="8713" spans="3:3" x14ac:dyDescent="0.35">
      <c r="C8713" s="1"/>
    </row>
    <row r="8714" spans="3:3" x14ac:dyDescent="0.35">
      <c r="C8714" s="1"/>
    </row>
    <row r="8715" spans="3:3" x14ac:dyDescent="0.35">
      <c r="C8715" s="1"/>
    </row>
    <row r="8716" spans="3:3" x14ac:dyDescent="0.35">
      <c r="C8716" s="1"/>
    </row>
    <row r="8717" spans="3:3" x14ac:dyDescent="0.35">
      <c r="C8717" s="1"/>
    </row>
    <row r="8718" spans="3:3" x14ac:dyDescent="0.35">
      <c r="C8718" s="1"/>
    </row>
    <row r="8719" spans="3:3" x14ac:dyDescent="0.35">
      <c r="C8719" s="1"/>
    </row>
    <row r="8720" spans="3:3" x14ac:dyDescent="0.35">
      <c r="C8720" s="1"/>
    </row>
    <row r="8721" spans="3:3" x14ac:dyDescent="0.35">
      <c r="C8721" s="1"/>
    </row>
    <row r="8722" spans="3:3" x14ac:dyDescent="0.35">
      <c r="C8722" s="1"/>
    </row>
    <row r="8723" spans="3:3" x14ac:dyDescent="0.35">
      <c r="C8723" s="1"/>
    </row>
    <row r="8724" spans="3:3" x14ac:dyDescent="0.35">
      <c r="C8724" s="1"/>
    </row>
    <row r="8725" spans="3:3" x14ac:dyDescent="0.35">
      <c r="C8725" s="1"/>
    </row>
    <row r="8726" spans="3:3" x14ac:dyDescent="0.35">
      <c r="C8726" s="1"/>
    </row>
    <row r="8727" spans="3:3" x14ac:dyDescent="0.35">
      <c r="C8727" s="1"/>
    </row>
    <row r="8728" spans="3:3" x14ac:dyDescent="0.35">
      <c r="C8728" s="1"/>
    </row>
    <row r="8729" spans="3:3" x14ac:dyDescent="0.35">
      <c r="C8729" s="1"/>
    </row>
    <row r="8730" spans="3:3" x14ac:dyDescent="0.35">
      <c r="C8730" s="1"/>
    </row>
    <row r="8731" spans="3:3" x14ac:dyDescent="0.35">
      <c r="C8731" s="1"/>
    </row>
    <row r="8732" spans="3:3" x14ac:dyDescent="0.35">
      <c r="C8732" s="1"/>
    </row>
    <row r="8733" spans="3:3" x14ac:dyDescent="0.35">
      <c r="C8733" s="1"/>
    </row>
  </sheetData>
  <autoFilter ref="A1:DV8733"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2" tint="-9.9978637043366805E-2"/>
  </sheetPr>
  <dimension ref="A1:L1581"/>
  <sheetViews>
    <sheetView zoomScale="170" zoomScaleNormal="170" workbookViewId="0">
      <pane ySplit="1" topLeftCell="A1563" activePane="bottomLeft" state="frozen"/>
      <selection activeCell="D1587" sqref="D1587"/>
      <selection pane="bottomLeft" activeCell="D1587" sqref="D1587"/>
    </sheetView>
  </sheetViews>
  <sheetFormatPr defaultColWidth="10.90625" defaultRowHeight="14.5" x14ac:dyDescent="0.35"/>
  <cols>
    <col min="1" max="1" width="10.81640625" customWidth="1"/>
  </cols>
  <sheetData>
    <row r="1" spans="1:12" x14ac:dyDescent="0.35">
      <c r="A1" t="s">
        <v>939</v>
      </c>
      <c r="B1" t="s">
        <v>28</v>
      </c>
      <c r="C1" t="s">
        <v>32</v>
      </c>
      <c r="D1" t="s">
        <v>19</v>
      </c>
      <c r="E1" t="s">
        <v>29</v>
      </c>
      <c r="F1" t="s">
        <v>17</v>
      </c>
      <c r="G1" t="s">
        <v>34</v>
      </c>
      <c r="H1" t="s">
        <v>22</v>
      </c>
      <c r="I1" t="s">
        <v>21</v>
      </c>
      <c r="J1" t="s">
        <v>24</v>
      </c>
      <c r="K1" t="s">
        <v>31</v>
      </c>
      <c r="L1" t="s">
        <v>26</v>
      </c>
    </row>
    <row r="2" spans="1:12" x14ac:dyDescent="0.35">
      <c r="A2" s="51">
        <v>33883</v>
      </c>
      <c r="E2">
        <v>-72</v>
      </c>
      <c r="G2">
        <v>-7651</v>
      </c>
      <c r="H2">
        <v>6900</v>
      </c>
    </row>
    <row r="3" spans="1:12" x14ac:dyDescent="0.35">
      <c r="A3" s="51">
        <v>33890</v>
      </c>
      <c r="E3">
        <v>-6304</v>
      </c>
      <c r="G3">
        <v>-7228</v>
      </c>
      <c r="H3">
        <v>3655</v>
      </c>
    </row>
    <row r="4" spans="1:12" x14ac:dyDescent="0.35">
      <c r="A4" s="51">
        <v>33897</v>
      </c>
      <c r="E4">
        <v>-12656</v>
      </c>
      <c r="G4">
        <v>-6089</v>
      </c>
      <c r="H4">
        <v>5811</v>
      </c>
    </row>
    <row r="5" spans="1:12" x14ac:dyDescent="0.35">
      <c r="A5" s="51">
        <v>33904</v>
      </c>
      <c r="E5">
        <v>-9248</v>
      </c>
      <c r="G5">
        <v>-7853</v>
      </c>
      <c r="H5">
        <v>4608</v>
      </c>
    </row>
    <row r="6" spans="1:12" x14ac:dyDescent="0.35">
      <c r="A6" s="51">
        <v>33911</v>
      </c>
      <c r="E6">
        <v>-9248</v>
      </c>
      <c r="G6">
        <v>-8347</v>
      </c>
      <c r="H6">
        <v>1625</v>
      </c>
    </row>
    <row r="7" spans="1:12" x14ac:dyDescent="0.35">
      <c r="A7" s="51">
        <v>33918</v>
      </c>
      <c r="E7">
        <v>-9216</v>
      </c>
      <c r="G7">
        <v>-7677</v>
      </c>
      <c r="H7">
        <v>-1800</v>
      </c>
    </row>
    <row r="8" spans="1:12" x14ac:dyDescent="0.35">
      <c r="A8" s="51">
        <v>33925</v>
      </c>
      <c r="E8">
        <v>-11016</v>
      </c>
      <c r="G8">
        <v>-8216</v>
      </c>
      <c r="H8">
        <v>-4807</v>
      </c>
    </row>
    <row r="9" spans="1:12" x14ac:dyDescent="0.35">
      <c r="A9" s="51">
        <v>33932</v>
      </c>
      <c r="E9">
        <v>-11353</v>
      </c>
      <c r="G9">
        <v>-8827</v>
      </c>
      <c r="H9">
        <v>-4451</v>
      </c>
    </row>
    <row r="10" spans="1:12" x14ac:dyDescent="0.35">
      <c r="A10" s="51">
        <v>33939</v>
      </c>
      <c r="E10">
        <v>-11464</v>
      </c>
      <c r="G10">
        <v>-6178</v>
      </c>
      <c r="H10">
        <v>-3976</v>
      </c>
    </row>
    <row r="11" spans="1:12" x14ac:dyDescent="0.35">
      <c r="A11" s="51">
        <v>33946</v>
      </c>
      <c r="E11">
        <v>-11494</v>
      </c>
      <c r="G11">
        <v>-1986</v>
      </c>
      <c r="H11">
        <v>-5789</v>
      </c>
    </row>
    <row r="12" spans="1:12" x14ac:dyDescent="0.35">
      <c r="A12" s="51">
        <v>33953</v>
      </c>
      <c r="E12">
        <v>-10676</v>
      </c>
      <c r="G12">
        <v>-1762</v>
      </c>
      <c r="H12">
        <v>-2827</v>
      </c>
    </row>
    <row r="13" spans="1:12" x14ac:dyDescent="0.35">
      <c r="A13" s="51">
        <v>33960</v>
      </c>
      <c r="E13">
        <v>-11316</v>
      </c>
      <c r="G13">
        <v>-4274</v>
      </c>
      <c r="H13">
        <v>41</v>
      </c>
    </row>
    <row r="14" spans="1:12" x14ac:dyDescent="0.35">
      <c r="A14" s="51">
        <v>33967</v>
      </c>
      <c r="E14">
        <v>-16649</v>
      </c>
      <c r="G14">
        <v>-10404</v>
      </c>
      <c r="H14">
        <v>-9125</v>
      </c>
    </row>
    <row r="15" spans="1:12" x14ac:dyDescent="0.35">
      <c r="A15" s="51">
        <v>33974</v>
      </c>
      <c r="B15">
        <v>-1326</v>
      </c>
      <c r="D15">
        <v>758</v>
      </c>
      <c r="E15">
        <v>-17130</v>
      </c>
      <c r="G15">
        <v>-8878</v>
      </c>
      <c r="H15">
        <v>-11350</v>
      </c>
    </row>
    <row r="16" spans="1:12" x14ac:dyDescent="0.35">
      <c r="A16" s="51">
        <v>33981</v>
      </c>
      <c r="B16">
        <v>-1626</v>
      </c>
      <c r="D16">
        <v>-6</v>
      </c>
      <c r="E16">
        <v>-22604</v>
      </c>
      <c r="G16">
        <v>-2051</v>
      </c>
      <c r="H16">
        <v>-12893</v>
      </c>
    </row>
    <row r="17" spans="1:8" x14ac:dyDescent="0.35">
      <c r="A17" s="51">
        <v>33988</v>
      </c>
      <c r="B17">
        <v>-1626</v>
      </c>
      <c r="D17">
        <v>-359</v>
      </c>
      <c r="E17">
        <v>-18510</v>
      </c>
      <c r="G17">
        <v>-1152</v>
      </c>
      <c r="H17">
        <v>-17700</v>
      </c>
    </row>
    <row r="18" spans="1:8" x14ac:dyDescent="0.35">
      <c r="A18" s="51">
        <v>33995</v>
      </c>
      <c r="B18">
        <v>-1417</v>
      </c>
      <c r="D18">
        <v>-1147</v>
      </c>
      <c r="E18">
        <v>-12713</v>
      </c>
      <c r="G18">
        <v>-1603</v>
      </c>
      <c r="H18">
        <v>-6056</v>
      </c>
    </row>
    <row r="19" spans="1:8" x14ac:dyDescent="0.35">
      <c r="A19" s="51">
        <v>34002</v>
      </c>
      <c r="B19">
        <v>-1619</v>
      </c>
      <c r="D19">
        <v>3878</v>
      </c>
      <c r="E19">
        <v>-16727</v>
      </c>
      <c r="G19">
        <v>-8951</v>
      </c>
      <c r="H19">
        <v>-4169</v>
      </c>
    </row>
    <row r="20" spans="1:8" x14ac:dyDescent="0.35">
      <c r="A20" s="51">
        <v>34009</v>
      </c>
      <c r="B20">
        <v>-1252</v>
      </c>
      <c r="D20">
        <v>4504</v>
      </c>
      <c r="E20">
        <v>-13134</v>
      </c>
      <c r="G20">
        <v>-11824</v>
      </c>
      <c r="H20">
        <v>8417</v>
      </c>
    </row>
    <row r="21" spans="1:8" x14ac:dyDescent="0.35">
      <c r="A21" s="51">
        <v>34016</v>
      </c>
      <c r="B21">
        <v>-851</v>
      </c>
      <c r="D21">
        <v>4939</v>
      </c>
      <c r="E21">
        <v>-13710</v>
      </c>
      <c r="G21">
        <v>-13191</v>
      </c>
      <c r="H21">
        <v>16697</v>
      </c>
    </row>
    <row r="22" spans="1:8" x14ac:dyDescent="0.35">
      <c r="A22" s="51">
        <v>34023</v>
      </c>
      <c r="B22">
        <v>-25</v>
      </c>
      <c r="D22">
        <v>6167</v>
      </c>
      <c r="E22">
        <v>-10511</v>
      </c>
      <c r="G22">
        <v>-13425</v>
      </c>
      <c r="H22">
        <v>20356</v>
      </c>
    </row>
    <row r="23" spans="1:8" x14ac:dyDescent="0.35">
      <c r="A23" s="51">
        <v>34030</v>
      </c>
      <c r="B23">
        <v>738</v>
      </c>
      <c r="D23">
        <v>7565</v>
      </c>
      <c r="E23">
        <v>-14431</v>
      </c>
      <c r="G23">
        <v>-13284</v>
      </c>
      <c r="H23">
        <v>18963</v>
      </c>
    </row>
    <row r="24" spans="1:8" x14ac:dyDescent="0.35">
      <c r="A24" s="51">
        <v>34037</v>
      </c>
      <c r="B24">
        <v>738</v>
      </c>
      <c r="D24">
        <v>6708</v>
      </c>
      <c r="E24">
        <v>-12979</v>
      </c>
      <c r="G24">
        <v>-11891</v>
      </c>
      <c r="H24">
        <v>17362</v>
      </c>
    </row>
    <row r="25" spans="1:8" x14ac:dyDescent="0.35">
      <c r="A25" s="51">
        <v>34044</v>
      </c>
      <c r="B25">
        <v>872</v>
      </c>
      <c r="D25">
        <v>7529</v>
      </c>
      <c r="E25">
        <v>-7386</v>
      </c>
      <c r="G25">
        <v>-9627</v>
      </c>
      <c r="H25">
        <v>12526</v>
      </c>
    </row>
    <row r="26" spans="1:8" x14ac:dyDescent="0.35">
      <c r="A26" s="51">
        <v>34051</v>
      </c>
      <c r="B26">
        <v>1059</v>
      </c>
      <c r="D26">
        <v>5126</v>
      </c>
      <c r="E26">
        <v>-12764</v>
      </c>
      <c r="G26">
        <v>2004</v>
      </c>
      <c r="H26">
        <v>17056</v>
      </c>
    </row>
    <row r="27" spans="1:8" x14ac:dyDescent="0.35">
      <c r="A27" s="51">
        <v>34058</v>
      </c>
      <c r="B27">
        <v>1059</v>
      </c>
      <c r="D27">
        <v>1794</v>
      </c>
      <c r="E27">
        <v>-11478</v>
      </c>
      <c r="G27">
        <v>1635</v>
      </c>
      <c r="H27">
        <v>9928</v>
      </c>
    </row>
    <row r="28" spans="1:8" x14ac:dyDescent="0.35">
      <c r="A28" s="51">
        <v>34065</v>
      </c>
      <c r="B28">
        <v>327</v>
      </c>
      <c r="D28">
        <v>306</v>
      </c>
      <c r="E28">
        <v>-5027</v>
      </c>
      <c r="G28">
        <v>4165</v>
      </c>
      <c r="H28">
        <v>13184</v>
      </c>
    </row>
    <row r="29" spans="1:8" x14ac:dyDescent="0.35">
      <c r="A29" s="51">
        <v>34072</v>
      </c>
      <c r="B29">
        <v>548</v>
      </c>
      <c r="D29">
        <v>-526</v>
      </c>
      <c r="E29">
        <v>3023</v>
      </c>
      <c r="G29">
        <v>5694</v>
      </c>
      <c r="H29">
        <v>22368</v>
      </c>
    </row>
    <row r="30" spans="1:8" x14ac:dyDescent="0.35">
      <c r="A30" s="51">
        <v>34079</v>
      </c>
      <c r="B30">
        <v>656</v>
      </c>
      <c r="D30">
        <v>-2348</v>
      </c>
      <c r="E30">
        <v>1632</v>
      </c>
      <c r="G30">
        <v>6731</v>
      </c>
      <c r="H30">
        <v>22530</v>
      </c>
    </row>
    <row r="31" spans="1:8" x14ac:dyDescent="0.35">
      <c r="A31" s="51">
        <v>34086</v>
      </c>
      <c r="B31">
        <v>650</v>
      </c>
      <c r="D31">
        <v>-5515</v>
      </c>
      <c r="E31">
        <v>4837</v>
      </c>
      <c r="G31">
        <v>10617</v>
      </c>
      <c r="H31">
        <v>18877</v>
      </c>
    </row>
    <row r="32" spans="1:8" x14ac:dyDescent="0.35">
      <c r="A32" s="51">
        <v>34093</v>
      </c>
      <c r="B32">
        <v>319</v>
      </c>
      <c r="D32">
        <v>-6440</v>
      </c>
      <c r="E32">
        <v>9030</v>
      </c>
      <c r="G32">
        <v>10445</v>
      </c>
      <c r="H32">
        <v>19533</v>
      </c>
    </row>
    <row r="33" spans="1:8" x14ac:dyDescent="0.35">
      <c r="A33" s="51">
        <v>34100</v>
      </c>
      <c r="B33">
        <v>319</v>
      </c>
      <c r="D33">
        <v>-7287</v>
      </c>
      <c r="E33">
        <v>4876</v>
      </c>
      <c r="G33">
        <v>8956</v>
      </c>
      <c r="H33">
        <v>17386</v>
      </c>
    </row>
    <row r="34" spans="1:8" x14ac:dyDescent="0.35">
      <c r="A34" s="51">
        <v>34107</v>
      </c>
      <c r="B34">
        <v>25</v>
      </c>
      <c r="D34">
        <v>-5530</v>
      </c>
      <c r="E34">
        <v>359</v>
      </c>
      <c r="G34">
        <v>5980</v>
      </c>
      <c r="H34">
        <v>21047</v>
      </c>
    </row>
    <row r="35" spans="1:8" x14ac:dyDescent="0.35">
      <c r="A35" s="51">
        <v>34114</v>
      </c>
      <c r="B35">
        <v>-60</v>
      </c>
      <c r="D35">
        <v>-113</v>
      </c>
      <c r="E35">
        <v>2401</v>
      </c>
      <c r="G35">
        <v>5837</v>
      </c>
      <c r="H35">
        <v>26486</v>
      </c>
    </row>
    <row r="36" spans="1:8" x14ac:dyDescent="0.35">
      <c r="A36" s="51">
        <v>34121</v>
      </c>
      <c r="B36">
        <v>-459</v>
      </c>
      <c r="D36">
        <v>-1087</v>
      </c>
      <c r="E36">
        <v>4090</v>
      </c>
      <c r="G36">
        <v>3025</v>
      </c>
      <c r="H36">
        <v>25759</v>
      </c>
    </row>
    <row r="37" spans="1:8" x14ac:dyDescent="0.35">
      <c r="A37" s="51">
        <v>34128</v>
      </c>
      <c r="B37">
        <v>-533</v>
      </c>
      <c r="D37">
        <v>-6437</v>
      </c>
      <c r="E37">
        <v>832</v>
      </c>
      <c r="G37">
        <v>-3849</v>
      </c>
      <c r="H37">
        <v>26461</v>
      </c>
    </row>
    <row r="38" spans="1:8" x14ac:dyDescent="0.35">
      <c r="A38" s="51">
        <v>34135</v>
      </c>
      <c r="B38">
        <v>-588</v>
      </c>
      <c r="D38">
        <v>-7068</v>
      </c>
      <c r="E38">
        <v>-1095</v>
      </c>
      <c r="G38">
        <v>-4875</v>
      </c>
      <c r="H38">
        <v>29193</v>
      </c>
    </row>
    <row r="39" spans="1:8" x14ac:dyDescent="0.35">
      <c r="A39" s="51">
        <v>34142</v>
      </c>
      <c r="B39">
        <v>-877</v>
      </c>
      <c r="D39">
        <v>-2428</v>
      </c>
      <c r="E39">
        <v>-7828</v>
      </c>
      <c r="G39">
        <v>-9290</v>
      </c>
      <c r="H39">
        <v>13911</v>
      </c>
    </row>
    <row r="40" spans="1:8" x14ac:dyDescent="0.35">
      <c r="A40" s="51">
        <v>34149</v>
      </c>
      <c r="B40">
        <v>-981</v>
      </c>
      <c r="D40">
        <v>-2898</v>
      </c>
      <c r="E40">
        <v>-8680</v>
      </c>
      <c r="G40">
        <v>-4874</v>
      </c>
      <c r="H40">
        <v>16504</v>
      </c>
    </row>
    <row r="41" spans="1:8" x14ac:dyDescent="0.35">
      <c r="A41" s="51">
        <v>34156</v>
      </c>
      <c r="B41">
        <v>-781</v>
      </c>
      <c r="D41">
        <v>-5661</v>
      </c>
      <c r="E41">
        <v>-8132</v>
      </c>
      <c r="G41">
        <v>-4241</v>
      </c>
      <c r="H41">
        <v>13785</v>
      </c>
    </row>
    <row r="42" spans="1:8" x14ac:dyDescent="0.35">
      <c r="A42" s="51">
        <v>34163</v>
      </c>
      <c r="B42">
        <v>-708</v>
      </c>
      <c r="D42">
        <v>-2209</v>
      </c>
      <c r="E42">
        <v>-13313</v>
      </c>
      <c r="G42">
        <v>-3908</v>
      </c>
      <c r="H42">
        <v>12080</v>
      </c>
    </row>
    <row r="43" spans="1:8" x14ac:dyDescent="0.35">
      <c r="A43" s="51">
        <v>34170</v>
      </c>
      <c r="B43">
        <v>-940</v>
      </c>
      <c r="D43">
        <v>414</v>
      </c>
      <c r="E43">
        <v>-8339</v>
      </c>
      <c r="G43">
        <v>-3444</v>
      </c>
      <c r="H43">
        <v>10736</v>
      </c>
    </row>
    <row r="44" spans="1:8" x14ac:dyDescent="0.35">
      <c r="A44" s="51">
        <v>34177</v>
      </c>
      <c r="B44">
        <v>-953</v>
      </c>
      <c r="D44">
        <v>-1996</v>
      </c>
      <c r="E44">
        <v>-10695</v>
      </c>
      <c r="G44">
        <v>-3079</v>
      </c>
      <c r="H44">
        <v>20910</v>
      </c>
    </row>
    <row r="45" spans="1:8" x14ac:dyDescent="0.35">
      <c r="A45" s="51">
        <v>34184</v>
      </c>
      <c r="B45">
        <v>-420</v>
      </c>
      <c r="D45">
        <v>-10779</v>
      </c>
      <c r="E45">
        <v>-6998</v>
      </c>
      <c r="G45">
        <v>-4100</v>
      </c>
      <c r="H45">
        <v>25585</v>
      </c>
    </row>
    <row r="46" spans="1:8" x14ac:dyDescent="0.35">
      <c r="A46" s="51">
        <v>34191</v>
      </c>
      <c r="B46">
        <v>704</v>
      </c>
      <c r="D46">
        <v>-12884</v>
      </c>
      <c r="E46">
        <v>-9385</v>
      </c>
      <c r="G46">
        <v>-9654</v>
      </c>
      <c r="H46">
        <v>20211</v>
      </c>
    </row>
    <row r="47" spans="1:8" x14ac:dyDescent="0.35">
      <c r="A47" s="51">
        <v>34198</v>
      </c>
      <c r="B47">
        <v>2115</v>
      </c>
      <c r="D47">
        <v>-18602</v>
      </c>
      <c r="E47">
        <v>-9343</v>
      </c>
      <c r="G47">
        <v>-10024</v>
      </c>
      <c r="H47">
        <v>24637</v>
      </c>
    </row>
    <row r="48" spans="1:8" x14ac:dyDescent="0.35">
      <c r="A48" s="51">
        <v>34205</v>
      </c>
      <c r="B48">
        <v>1102</v>
      </c>
      <c r="D48">
        <v>-18328</v>
      </c>
      <c r="E48">
        <v>84</v>
      </c>
      <c r="G48">
        <v>626</v>
      </c>
      <c r="H48">
        <v>17802</v>
      </c>
    </row>
    <row r="49" spans="1:8" x14ac:dyDescent="0.35">
      <c r="A49" s="51">
        <v>34212</v>
      </c>
      <c r="B49">
        <v>964</v>
      </c>
      <c r="D49">
        <v>-15844</v>
      </c>
      <c r="E49">
        <v>2924</v>
      </c>
      <c r="G49">
        <v>-5909</v>
      </c>
      <c r="H49">
        <v>15127</v>
      </c>
    </row>
    <row r="50" spans="1:8" x14ac:dyDescent="0.35">
      <c r="A50" s="51">
        <v>34219</v>
      </c>
      <c r="B50">
        <v>-1775</v>
      </c>
      <c r="D50">
        <v>-15482</v>
      </c>
      <c r="E50">
        <v>13572</v>
      </c>
      <c r="G50">
        <v>6555</v>
      </c>
      <c r="H50">
        <v>5292</v>
      </c>
    </row>
    <row r="51" spans="1:8" x14ac:dyDescent="0.35">
      <c r="A51" s="51">
        <v>34226</v>
      </c>
      <c r="B51">
        <v>-2131</v>
      </c>
      <c r="D51">
        <v>-10328</v>
      </c>
      <c r="E51">
        <v>22446</v>
      </c>
      <c r="G51">
        <v>7333</v>
      </c>
      <c r="H51">
        <v>-7820</v>
      </c>
    </row>
    <row r="52" spans="1:8" x14ac:dyDescent="0.35">
      <c r="A52" s="51">
        <v>34233</v>
      </c>
      <c r="B52">
        <v>-2201</v>
      </c>
      <c r="D52">
        <v>-6499</v>
      </c>
      <c r="E52">
        <v>23259</v>
      </c>
      <c r="G52">
        <v>4459</v>
      </c>
      <c r="H52">
        <v>-13672</v>
      </c>
    </row>
    <row r="53" spans="1:8" x14ac:dyDescent="0.35">
      <c r="A53" s="51">
        <v>34240</v>
      </c>
      <c r="B53">
        <v>-2201</v>
      </c>
      <c r="D53">
        <v>-8246</v>
      </c>
      <c r="E53">
        <v>24365</v>
      </c>
      <c r="G53">
        <v>2797</v>
      </c>
      <c r="H53">
        <v>-9553</v>
      </c>
    </row>
    <row r="54" spans="1:8" x14ac:dyDescent="0.35">
      <c r="A54" s="51">
        <v>34247</v>
      </c>
      <c r="B54">
        <v>-2630</v>
      </c>
      <c r="D54">
        <v>-16540</v>
      </c>
      <c r="E54">
        <v>24771</v>
      </c>
      <c r="G54">
        <v>1442</v>
      </c>
      <c r="H54">
        <v>-12979</v>
      </c>
    </row>
    <row r="55" spans="1:8" x14ac:dyDescent="0.35">
      <c r="A55" s="51">
        <v>34254</v>
      </c>
      <c r="B55">
        <v>-1735</v>
      </c>
      <c r="D55">
        <v>-14494</v>
      </c>
      <c r="E55">
        <v>29561</v>
      </c>
      <c r="G55">
        <v>1081</v>
      </c>
      <c r="H55">
        <v>-13249</v>
      </c>
    </row>
    <row r="56" spans="1:8" x14ac:dyDescent="0.35">
      <c r="A56" s="51">
        <v>34261</v>
      </c>
      <c r="B56">
        <v>-1265</v>
      </c>
      <c r="D56">
        <v>-10891</v>
      </c>
      <c r="E56">
        <v>14207</v>
      </c>
      <c r="G56">
        <v>-4785</v>
      </c>
      <c r="H56">
        <v>-33048</v>
      </c>
    </row>
    <row r="57" spans="1:8" x14ac:dyDescent="0.35">
      <c r="A57" s="51">
        <v>34268</v>
      </c>
      <c r="B57">
        <v>-1149</v>
      </c>
      <c r="D57">
        <v>4078</v>
      </c>
      <c r="E57">
        <v>-1208</v>
      </c>
      <c r="G57">
        <v>-7490</v>
      </c>
      <c r="H57">
        <v>-40094</v>
      </c>
    </row>
    <row r="58" spans="1:8" x14ac:dyDescent="0.35">
      <c r="A58" s="51">
        <v>34275</v>
      </c>
      <c r="B58">
        <v>-145</v>
      </c>
      <c r="D58">
        <v>4970</v>
      </c>
      <c r="E58">
        <v>-13168</v>
      </c>
      <c r="G58">
        <v>-7598</v>
      </c>
      <c r="H58">
        <v>-32794</v>
      </c>
    </row>
    <row r="59" spans="1:8" x14ac:dyDescent="0.35">
      <c r="A59" s="51">
        <v>34282</v>
      </c>
      <c r="B59">
        <v>428</v>
      </c>
      <c r="D59">
        <v>5445</v>
      </c>
      <c r="E59">
        <v>-13334</v>
      </c>
      <c r="G59">
        <v>-10135</v>
      </c>
      <c r="H59">
        <v>-30580</v>
      </c>
    </row>
    <row r="60" spans="1:8" x14ac:dyDescent="0.35">
      <c r="A60" s="51">
        <v>34289</v>
      </c>
      <c r="B60">
        <v>-413</v>
      </c>
      <c r="D60">
        <v>-1487</v>
      </c>
      <c r="E60">
        <v>-26453</v>
      </c>
      <c r="G60">
        <v>-9187</v>
      </c>
      <c r="H60">
        <v>-10055</v>
      </c>
    </row>
    <row r="61" spans="1:8" x14ac:dyDescent="0.35">
      <c r="A61" s="51">
        <v>34296</v>
      </c>
      <c r="B61">
        <v>-413</v>
      </c>
      <c r="D61">
        <v>1089</v>
      </c>
      <c r="E61">
        <v>-22372</v>
      </c>
      <c r="G61">
        <v>-6968</v>
      </c>
      <c r="H61">
        <v>-14803</v>
      </c>
    </row>
    <row r="62" spans="1:8" x14ac:dyDescent="0.35">
      <c r="A62" s="51">
        <v>34303</v>
      </c>
      <c r="B62">
        <v>-413</v>
      </c>
      <c r="D62">
        <v>-838</v>
      </c>
      <c r="E62">
        <v>-18454</v>
      </c>
      <c r="G62">
        <v>-3152</v>
      </c>
      <c r="H62">
        <v>-22632</v>
      </c>
    </row>
    <row r="63" spans="1:8" x14ac:dyDescent="0.35">
      <c r="A63" s="51">
        <v>34310</v>
      </c>
      <c r="B63">
        <v>-308</v>
      </c>
      <c r="D63">
        <v>782</v>
      </c>
      <c r="E63">
        <v>-3911</v>
      </c>
      <c r="G63">
        <v>3076</v>
      </c>
      <c r="H63">
        <v>-19772</v>
      </c>
    </row>
    <row r="64" spans="1:8" x14ac:dyDescent="0.35">
      <c r="A64" s="51">
        <v>34317</v>
      </c>
      <c r="B64">
        <v>-9</v>
      </c>
      <c r="D64">
        <v>-1136</v>
      </c>
      <c r="E64">
        <v>-3340</v>
      </c>
      <c r="G64">
        <v>5052</v>
      </c>
      <c r="H64">
        <v>-25864</v>
      </c>
    </row>
    <row r="65" spans="1:8" x14ac:dyDescent="0.35">
      <c r="A65" s="51">
        <v>34324</v>
      </c>
      <c r="B65">
        <v>1328</v>
      </c>
      <c r="D65">
        <v>-2089</v>
      </c>
      <c r="E65">
        <v>815</v>
      </c>
      <c r="G65">
        <v>-838</v>
      </c>
      <c r="H65">
        <v>-42727</v>
      </c>
    </row>
    <row r="66" spans="1:8" x14ac:dyDescent="0.35">
      <c r="A66" s="51">
        <v>34331</v>
      </c>
      <c r="B66">
        <v>1560</v>
      </c>
      <c r="D66">
        <v>702</v>
      </c>
      <c r="E66">
        <v>14188</v>
      </c>
      <c r="G66">
        <v>7980</v>
      </c>
      <c r="H66">
        <v>-43099</v>
      </c>
    </row>
    <row r="67" spans="1:8" x14ac:dyDescent="0.35">
      <c r="A67" s="51">
        <v>34338</v>
      </c>
      <c r="B67">
        <v>2242</v>
      </c>
      <c r="D67">
        <v>7372</v>
      </c>
      <c r="E67">
        <v>9440</v>
      </c>
      <c r="G67">
        <v>-2472</v>
      </c>
      <c r="H67">
        <v>-22270</v>
      </c>
    </row>
    <row r="68" spans="1:8" x14ac:dyDescent="0.35">
      <c r="A68" s="51">
        <v>34345</v>
      </c>
      <c r="B68">
        <v>2499</v>
      </c>
      <c r="D68">
        <v>5829</v>
      </c>
      <c r="E68">
        <v>9594</v>
      </c>
      <c r="G68">
        <v>-1471</v>
      </c>
      <c r="H68">
        <v>-20591</v>
      </c>
    </row>
    <row r="69" spans="1:8" x14ac:dyDescent="0.35">
      <c r="A69" s="51">
        <v>34352</v>
      </c>
      <c r="B69">
        <v>3051</v>
      </c>
      <c r="D69">
        <v>4678</v>
      </c>
      <c r="E69">
        <v>-1930</v>
      </c>
      <c r="G69">
        <v>8819</v>
      </c>
      <c r="H69">
        <v>-18610</v>
      </c>
    </row>
    <row r="70" spans="1:8" x14ac:dyDescent="0.35">
      <c r="A70" s="51">
        <v>34359</v>
      </c>
      <c r="B70">
        <v>4590</v>
      </c>
      <c r="D70">
        <v>6951</v>
      </c>
      <c r="E70">
        <v>-5741</v>
      </c>
      <c r="G70">
        <v>13027</v>
      </c>
      <c r="H70">
        <v>-32963</v>
      </c>
    </row>
    <row r="71" spans="1:8" x14ac:dyDescent="0.35">
      <c r="A71" s="51">
        <v>34366</v>
      </c>
      <c r="B71">
        <v>3474</v>
      </c>
      <c r="D71">
        <v>3854</v>
      </c>
      <c r="E71">
        <v>427</v>
      </c>
      <c r="G71">
        <v>19052</v>
      </c>
      <c r="H71">
        <v>-9519</v>
      </c>
    </row>
    <row r="72" spans="1:8" x14ac:dyDescent="0.35">
      <c r="A72" s="51">
        <v>34373</v>
      </c>
      <c r="B72">
        <v>3467</v>
      </c>
      <c r="D72">
        <v>-1477</v>
      </c>
      <c r="E72">
        <v>4645</v>
      </c>
      <c r="G72">
        <v>-6666</v>
      </c>
      <c r="H72">
        <v>-6366</v>
      </c>
    </row>
    <row r="73" spans="1:8" x14ac:dyDescent="0.35">
      <c r="A73" s="51">
        <v>34380</v>
      </c>
      <c r="B73">
        <v>3159</v>
      </c>
      <c r="D73">
        <v>-5197</v>
      </c>
      <c r="E73">
        <v>1215</v>
      </c>
      <c r="G73">
        <v>-8238</v>
      </c>
      <c r="H73">
        <v>11167</v>
      </c>
    </row>
    <row r="74" spans="1:8" x14ac:dyDescent="0.35">
      <c r="A74" s="51">
        <v>34387</v>
      </c>
      <c r="B74">
        <v>3545</v>
      </c>
      <c r="D74">
        <v>-4246</v>
      </c>
      <c r="E74">
        <v>3601</v>
      </c>
      <c r="G74">
        <v>-9865</v>
      </c>
      <c r="H74">
        <v>13200</v>
      </c>
    </row>
    <row r="75" spans="1:8" x14ac:dyDescent="0.35">
      <c r="A75" s="51">
        <v>34394</v>
      </c>
      <c r="B75">
        <v>3708</v>
      </c>
      <c r="D75">
        <v>-6991</v>
      </c>
      <c r="E75">
        <v>5409</v>
      </c>
      <c r="G75">
        <v>-12226</v>
      </c>
      <c r="H75">
        <v>8528</v>
      </c>
    </row>
    <row r="76" spans="1:8" x14ac:dyDescent="0.35">
      <c r="A76" s="51">
        <v>34401</v>
      </c>
      <c r="B76">
        <v>2640</v>
      </c>
      <c r="D76">
        <v>-9400</v>
      </c>
      <c r="E76">
        <v>5335</v>
      </c>
      <c r="G76">
        <v>-1897</v>
      </c>
      <c r="H76">
        <v>3134</v>
      </c>
    </row>
    <row r="77" spans="1:8" x14ac:dyDescent="0.35">
      <c r="A77" s="51">
        <v>34408</v>
      </c>
      <c r="B77">
        <v>1285</v>
      </c>
      <c r="D77">
        <v>-9547</v>
      </c>
      <c r="E77">
        <v>4478</v>
      </c>
      <c r="G77">
        <v>612</v>
      </c>
      <c r="H77">
        <v>-1969</v>
      </c>
    </row>
    <row r="78" spans="1:8" x14ac:dyDescent="0.35">
      <c r="A78" s="51">
        <v>34415</v>
      </c>
      <c r="B78">
        <v>1478</v>
      </c>
      <c r="D78">
        <v>-8132</v>
      </c>
      <c r="E78">
        <v>5369</v>
      </c>
      <c r="G78">
        <v>-958</v>
      </c>
      <c r="H78">
        <v>-8979</v>
      </c>
    </row>
    <row r="79" spans="1:8" x14ac:dyDescent="0.35">
      <c r="A79" s="51">
        <v>34422</v>
      </c>
      <c r="B79">
        <v>830</v>
      </c>
      <c r="D79">
        <v>-10015</v>
      </c>
      <c r="E79">
        <v>5865</v>
      </c>
      <c r="G79">
        <v>-5129</v>
      </c>
      <c r="H79">
        <v>-6055</v>
      </c>
    </row>
    <row r="80" spans="1:8" x14ac:dyDescent="0.35">
      <c r="A80" s="51">
        <v>34429</v>
      </c>
      <c r="B80">
        <v>-400</v>
      </c>
      <c r="D80">
        <v>-11630</v>
      </c>
      <c r="E80">
        <v>1383</v>
      </c>
      <c r="G80">
        <v>-17834</v>
      </c>
      <c r="H80">
        <v>-407</v>
      </c>
    </row>
    <row r="81" spans="1:8" x14ac:dyDescent="0.35">
      <c r="A81" s="51">
        <v>34436</v>
      </c>
      <c r="B81">
        <v>1226</v>
      </c>
      <c r="D81">
        <v>-8967</v>
      </c>
      <c r="E81">
        <v>371</v>
      </c>
      <c r="G81">
        <v>-18420</v>
      </c>
      <c r="H81">
        <v>-3126</v>
      </c>
    </row>
    <row r="82" spans="1:8" x14ac:dyDescent="0.35">
      <c r="A82" s="51">
        <v>34443</v>
      </c>
      <c r="B82">
        <v>1461</v>
      </c>
      <c r="D82">
        <v>-6361</v>
      </c>
      <c r="E82">
        <v>-5580</v>
      </c>
      <c r="G82">
        <v>-14981</v>
      </c>
      <c r="H82">
        <v>-2468</v>
      </c>
    </row>
    <row r="83" spans="1:8" x14ac:dyDescent="0.35">
      <c r="A83" s="51">
        <v>34450</v>
      </c>
      <c r="B83">
        <v>1379</v>
      </c>
      <c r="D83">
        <v>-4437</v>
      </c>
      <c r="E83">
        <v>-394</v>
      </c>
      <c r="G83">
        <v>6241</v>
      </c>
      <c r="H83">
        <v>-311</v>
      </c>
    </row>
    <row r="84" spans="1:8" x14ac:dyDescent="0.35">
      <c r="A84" s="51">
        <v>34457</v>
      </c>
      <c r="B84">
        <v>1490</v>
      </c>
      <c r="D84">
        <v>-6427</v>
      </c>
      <c r="E84">
        <v>12317</v>
      </c>
      <c r="G84">
        <v>12382</v>
      </c>
      <c r="H84">
        <v>1352</v>
      </c>
    </row>
    <row r="85" spans="1:8" x14ac:dyDescent="0.35">
      <c r="A85" s="51">
        <v>34464</v>
      </c>
      <c r="B85">
        <v>1077</v>
      </c>
      <c r="D85">
        <v>-2405</v>
      </c>
      <c r="E85">
        <v>6240</v>
      </c>
      <c r="G85">
        <v>6704</v>
      </c>
      <c r="H85">
        <v>-8747</v>
      </c>
    </row>
    <row r="86" spans="1:8" x14ac:dyDescent="0.35">
      <c r="A86" s="51">
        <v>34471</v>
      </c>
      <c r="B86">
        <v>1709</v>
      </c>
      <c r="D86">
        <v>-4139</v>
      </c>
      <c r="E86">
        <v>8542</v>
      </c>
      <c r="G86">
        <v>7531</v>
      </c>
      <c r="H86">
        <v>-10603</v>
      </c>
    </row>
    <row r="87" spans="1:8" x14ac:dyDescent="0.35">
      <c r="A87" s="51">
        <v>34478</v>
      </c>
      <c r="B87">
        <v>2883</v>
      </c>
      <c r="D87">
        <v>-7335</v>
      </c>
      <c r="E87">
        <v>7852</v>
      </c>
      <c r="G87">
        <v>6780</v>
      </c>
      <c r="H87">
        <v>-14274</v>
      </c>
    </row>
    <row r="88" spans="1:8" x14ac:dyDescent="0.35">
      <c r="A88" s="51">
        <v>34485</v>
      </c>
      <c r="B88">
        <v>2924</v>
      </c>
      <c r="D88">
        <v>-5900</v>
      </c>
      <c r="E88">
        <v>8478</v>
      </c>
      <c r="G88">
        <v>6394</v>
      </c>
      <c r="H88">
        <v>-14113</v>
      </c>
    </row>
    <row r="89" spans="1:8" x14ac:dyDescent="0.35">
      <c r="A89" s="51">
        <v>34492</v>
      </c>
      <c r="B89">
        <v>2647</v>
      </c>
      <c r="D89">
        <v>2168</v>
      </c>
      <c r="E89">
        <v>5973</v>
      </c>
      <c r="G89">
        <v>5521</v>
      </c>
      <c r="H89">
        <v>-18003</v>
      </c>
    </row>
    <row r="90" spans="1:8" x14ac:dyDescent="0.35">
      <c r="A90" s="51">
        <v>34499</v>
      </c>
      <c r="B90">
        <v>2589</v>
      </c>
      <c r="D90">
        <v>386</v>
      </c>
      <c r="E90">
        <v>15458</v>
      </c>
      <c r="G90">
        <v>11692</v>
      </c>
      <c r="H90">
        <v>-9464</v>
      </c>
    </row>
    <row r="91" spans="1:8" x14ac:dyDescent="0.35">
      <c r="A91" s="51">
        <v>34506</v>
      </c>
      <c r="B91">
        <v>2967</v>
      </c>
      <c r="D91">
        <v>-4817</v>
      </c>
      <c r="E91">
        <v>21074</v>
      </c>
      <c r="G91">
        <v>16953</v>
      </c>
      <c r="H91">
        <v>-3330</v>
      </c>
    </row>
    <row r="92" spans="1:8" x14ac:dyDescent="0.35">
      <c r="A92" s="51">
        <v>34513</v>
      </c>
      <c r="B92">
        <v>178</v>
      </c>
      <c r="D92">
        <v>-3945</v>
      </c>
      <c r="E92">
        <v>20849</v>
      </c>
      <c r="G92">
        <v>16197</v>
      </c>
      <c r="H92">
        <v>-3797</v>
      </c>
    </row>
    <row r="93" spans="1:8" x14ac:dyDescent="0.35">
      <c r="A93" s="51">
        <v>34520</v>
      </c>
      <c r="B93">
        <v>396</v>
      </c>
      <c r="D93">
        <v>2447</v>
      </c>
      <c r="E93">
        <v>21634</v>
      </c>
      <c r="G93">
        <v>15147</v>
      </c>
      <c r="H93">
        <v>2183</v>
      </c>
    </row>
    <row r="94" spans="1:8" x14ac:dyDescent="0.35">
      <c r="A94" s="51">
        <v>34527</v>
      </c>
      <c r="B94">
        <v>1302</v>
      </c>
      <c r="D94">
        <v>452</v>
      </c>
      <c r="E94">
        <v>20502</v>
      </c>
      <c r="G94">
        <v>12338</v>
      </c>
      <c r="H94">
        <v>716</v>
      </c>
    </row>
    <row r="95" spans="1:8" x14ac:dyDescent="0.35">
      <c r="A95" s="51">
        <v>34534</v>
      </c>
      <c r="B95">
        <v>1484</v>
      </c>
      <c r="D95">
        <v>5649</v>
      </c>
      <c r="E95">
        <v>14894</v>
      </c>
      <c r="G95">
        <v>9275</v>
      </c>
      <c r="H95">
        <v>-4079</v>
      </c>
    </row>
    <row r="96" spans="1:8" x14ac:dyDescent="0.35">
      <c r="A96" s="51">
        <v>34541</v>
      </c>
      <c r="B96">
        <v>2235</v>
      </c>
      <c r="D96">
        <v>6988</v>
      </c>
      <c r="E96">
        <v>11484</v>
      </c>
      <c r="G96">
        <v>-4269</v>
      </c>
      <c r="H96">
        <v>-3506</v>
      </c>
    </row>
    <row r="97" spans="1:8" x14ac:dyDescent="0.35">
      <c r="A97" s="51">
        <v>34548</v>
      </c>
      <c r="B97">
        <v>2524</v>
      </c>
      <c r="D97">
        <v>-2124</v>
      </c>
      <c r="E97">
        <v>11954</v>
      </c>
      <c r="G97">
        <v>-4972</v>
      </c>
      <c r="H97">
        <v>-8981</v>
      </c>
    </row>
    <row r="98" spans="1:8" x14ac:dyDescent="0.35">
      <c r="A98" s="51">
        <v>34555</v>
      </c>
      <c r="B98">
        <v>3113</v>
      </c>
      <c r="D98">
        <v>8935</v>
      </c>
      <c r="E98">
        <v>15105</v>
      </c>
      <c r="G98">
        <v>-4426</v>
      </c>
      <c r="H98">
        <v>-13317</v>
      </c>
    </row>
    <row r="99" spans="1:8" x14ac:dyDescent="0.35">
      <c r="A99" s="51">
        <v>34562</v>
      </c>
      <c r="B99">
        <v>3177</v>
      </c>
      <c r="D99">
        <v>8472</v>
      </c>
      <c r="E99">
        <v>19039</v>
      </c>
      <c r="G99">
        <v>-3044</v>
      </c>
      <c r="H99">
        <v>-11654</v>
      </c>
    </row>
    <row r="100" spans="1:8" x14ac:dyDescent="0.35">
      <c r="A100" s="51">
        <v>34569</v>
      </c>
      <c r="B100">
        <v>1670</v>
      </c>
      <c r="D100">
        <v>6255</v>
      </c>
      <c r="E100">
        <v>20365</v>
      </c>
      <c r="G100">
        <v>38</v>
      </c>
      <c r="H100">
        <v>-8683</v>
      </c>
    </row>
    <row r="101" spans="1:8" x14ac:dyDescent="0.35">
      <c r="A101" s="51">
        <v>34576</v>
      </c>
      <c r="B101">
        <v>2227</v>
      </c>
      <c r="D101">
        <v>8277</v>
      </c>
      <c r="E101">
        <v>9802</v>
      </c>
      <c r="G101">
        <v>-6618</v>
      </c>
      <c r="H101">
        <v>-11226</v>
      </c>
    </row>
    <row r="102" spans="1:8" x14ac:dyDescent="0.35">
      <c r="A102" s="51">
        <v>34583</v>
      </c>
      <c r="B102">
        <v>2190</v>
      </c>
      <c r="D102">
        <v>6541</v>
      </c>
      <c r="E102">
        <v>14397</v>
      </c>
      <c r="G102">
        <v>-4327</v>
      </c>
      <c r="H102">
        <v>-10599</v>
      </c>
    </row>
    <row r="103" spans="1:8" x14ac:dyDescent="0.35">
      <c r="A103" s="51">
        <v>34590</v>
      </c>
      <c r="B103">
        <v>1933</v>
      </c>
      <c r="D103">
        <v>16032</v>
      </c>
      <c r="E103">
        <v>13630</v>
      </c>
      <c r="G103">
        <v>4164</v>
      </c>
      <c r="H103">
        <v>-10096</v>
      </c>
    </row>
    <row r="104" spans="1:8" x14ac:dyDescent="0.35">
      <c r="A104" s="51">
        <v>34597</v>
      </c>
      <c r="B104">
        <v>1300</v>
      </c>
      <c r="D104">
        <v>21018</v>
      </c>
      <c r="E104">
        <v>13286</v>
      </c>
      <c r="G104">
        <v>10314</v>
      </c>
      <c r="H104">
        <v>-1452</v>
      </c>
    </row>
    <row r="105" spans="1:8" x14ac:dyDescent="0.35">
      <c r="A105" s="51">
        <v>34604</v>
      </c>
      <c r="B105">
        <v>1306</v>
      </c>
      <c r="D105">
        <v>20149</v>
      </c>
      <c r="E105">
        <v>12150</v>
      </c>
      <c r="G105">
        <v>11875</v>
      </c>
      <c r="H105">
        <v>-2596</v>
      </c>
    </row>
    <row r="106" spans="1:8" x14ac:dyDescent="0.35">
      <c r="A106" s="51">
        <v>34611</v>
      </c>
      <c r="B106">
        <v>1296</v>
      </c>
      <c r="D106">
        <v>19723</v>
      </c>
      <c r="E106">
        <v>9213</v>
      </c>
      <c r="G106">
        <v>12819</v>
      </c>
      <c r="H106">
        <v>-7539</v>
      </c>
    </row>
    <row r="107" spans="1:8" x14ac:dyDescent="0.35">
      <c r="A107" s="51">
        <v>34618</v>
      </c>
      <c r="B107">
        <v>1259</v>
      </c>
      <c r="D107">
        <v>18385</v>
      </c>
      <c r="E107">
        <v>9080</v>
      </c>
      <c r="G107">
        <v>12949</v>
      </c>
      <c r="H107">
        <v>-13419</v>
      </c>
    </row>
    <row r="108" spans="1:8" x14ac:dyDescent="0.35">
      <c r="A108" s="51">
        <v>34625</v>
      </c>
      <c r="B108">
        <v>1010</v>
      </c>
      <c r="D108">
        <v>1015</v>
      </c>
      <c r="E108">
        <v>15850</v>
      </c>
      <c r="G108">
        <v>13420</v>
      </c>
      <c r="H108">
        <v>-7555</v>
      </c>
    </row>
    <row r="109" spans="1:8" x14ac:dyDescent="0.35">
      <c r="A109" s="51">
        <v>34632</v>
      </c>
      <c r="B109">
        <v>-2683</v>
      </c>
      <c r="D109">
        <v>3593</v>
      </c>
      <c r="E109">
        <v>14295</v>
      </c>
      <c r="G109">
        <v>14715</v>
      </c>
      <c r="H109">
        <v>-3429</v>
      </c>
    </row>
    <row r="110" spans="1:8" x14ac:dyDescent="0.35">
      <c r="A110" s="51">
        <v>34639</v>
      </c>
      <c r="B110">
        <v>513</v>
      </c>
      <c r="D110">
        <v>380</v>
      </c>
      <c r="E110">
        <v>11391</v>
      </c>
      <c r="G110">
        <v>12479</v>
      </c>
      <c r="H110">
        <v>-5109</v>
      </c>
    </row>
    <row r="111" spans="1:8" x14ac:dyDescent="0.35">
      <c r="A111" s="51">
        <v>34646</v>
      </c>
      <c r="B111">
        <v>6538</v>
      </c>
      <c r="D111">
        <v>-3834</v>
      </c>
      <c r="E111">
        <v>3809</v>
      </c>
      <c r="G111">
        <v>7350</v>
      </c>
      <c r="H111">
        <v>-10265</v>
      </c>
    </row>
    <row r="112" spans="1:8" x14ac:dyDescent="0.35">
      <c r="A112" s="51">
        <v>34653</v>
      </c>
      <c r="B112">
        <v>7392</v>
      </c>
      <c r="D112">
        <v>-7652</v>
      </c>
      <c r="E112">
        <v>-15532</v>
      </c>
      <c r="G112">
        <v>-3720</v>
      </c>
      <c r="H112">
        <v>-17414</v>
      </c>
    </row>
    <row r="113" spans="1:8" x14ac:dyDescent="0.35">
      <c r="A113" s="51">
        <v>34660</v>
      </c>
      <c r="B113">
        <v>9051</v>
      </c>
      <c r="D113">
        <v>-17033</v>
      </c>
      <c r="E113">
        <v>-22154</v>
      </c>
      <c r="G113">
        <v>-17046</v>
      </c>
      <c r="H113">
        <v>-23805</v>
      </c>
    </row>
    <row r="114" spans="1:8" x14ac:dyDescent="0.35">
      <c r="A114" s="51">
        <v>34667</v>
      </c>
      <c r="B114">
        <v>6828</v>
      </c>
      <c r="D114">
        <v>-20226</v>
      </c>
      <c r="E114">
        <v>-22990</v>
      </c>
      <c r="G114">
        <v>-18669</v>
      </c>
      <c r="H114">
        <v>-25277</v>
      </c>
    </row>
    <row r="115" spans="1:8" x14ac:dyDescent="0.35">
      <c r="A115" s="51">
        <v>34674</v>
      </c>
      <c r="B115">
        <v>6766</v>
      </c>
      <c r="D115">
        <v>-17574</v>
      </c>
      <c r="E115">
        <v>-24470</v>
      </c>
      <c r="G115">
        <v>-17712</v>
      </c>
      <c r="H115">
        <v>-35724</v>
      </c>
    </row>
    <row r="116" spans="1:8" x14ac:dyDescent="0.35">
      <c r="A116" s="51">
        <v>34681</v>
      </c>
      <c r="B116">
        <v>7049</v>
      </c>
      <c r="D116">
        <v>-22865</v>
      </c>
      <c r="E116">
        <v>-23288</v>
      </c>
      <c r="G116">
        <v>-19438</v>
      </c>
      <c r="H116">
        <v>-37538</v>
      </c>
    </row>
    <row r="117" spans="1:8" x14ac:dyDescent="0.35">
      <c r="A117" s="51">
        <v>34688</v>
      </c>
      <c r="B117">
        <v>8570</v>
      </c>
      <c r="D117">
        <v>-24444</v>
      </c>
      <c r="E117">
        <v>-15415</v>
      </c>
      <c r="G117">
        <v>-11336</v>
      </c>
      <c r="H117">
        <v>-30500</v>
      </c>
    </row>
    <row r="118" spans="1:8" x14ac:dyDescent="0.35">
      <c r="A118" s="51">
        <v>34695</v>
      </c>
      <c r="B118">
        <v>8825</v>
      </c>
      <c r="D118">
        <v>-24857</v>
      </c>
      <c r="E118">
        <v>-16071</v>
      </c>
      <c r="G118">
        <v>-23164</v>
      </c>
      <c r="H118">
        <v>-30649</v>
      </c>
    </row>
    <row r="119" spans="1:8" x14ac:dyDescent="0.35">
      <c r="A119" s="51">
        <v>34702</v>
      </c>
      <c r="B119">
        <v>7941</v>
      </c>
      <c r="D119">
        <v>-27195</v>
      </c>
      <c r="E119">
        <v>-10337</v>
      </c>
      <c r="G119">
        <v>-15443</v>
      </c>
      <c r="H119">
        <v>-33724</v>
      </c>
    </row>
    <row r="120" spans="1:8" x14ac:dyDescent="0.35">
      <c r="A120" s="51">
        <v>34709</v>
      </c>
      <c r="B120">
        <v>6114</v>
      </c>
      <c r="D120">
        <v>-26749</v>
      </c>
      <c r="E120">
        <v>-3419</v>
      </c>
      <c r="G120">
        <v>-15891</v>
      </c>
      <c r="H120">
        <v>-40300</v>
      </c>
    </row>
    <row r="121" spans="1:8" x14ac:dyDescent="0.35">
      <c r="A121" s="51">
        <v>34716</v>
      </c>
      <c r="B121">
        <v>2127</v>
      </c>
      <c r="D121">
        <v>-24149</v>
      </c>
      <c r="E121">
        <v>-2908</v>
      </c>
      <c r="G121">
        <v>-12897</v>
      </c>
      <c r="H121">
        <v>-24181</v>
      </c>
    </row>
    <row r="122" spans="1:8" x14ac:dyDescent="0.35">
      <c r="A122" s="51">
        <v>34723</v>
      </c>
      <c r="B122">
        <v>2657</v>
      </c>
      <c r="D122">
        <v>-22638</v>
      </c>
      <c r="E122">
        <v>-1689</v>
      </c>
      <c r="G122">
        <v>-3868</v>
      </c>
      <c r="H122">
        <v>-24894</v>
      </c>
    </row>
    <row r="123" spans="1:8" x14ac:dyDescent="0.35">
      <c r="A123" s="51">
        <v>34730</v>
      </c>
      <c r="B123">
        <v>1381</v>
      </c>
      <c r="D123">
        <v>-17701</v>
      </c>
      <c r="E123">
        <v>-4290</v>
      </c>
      <c r="G123">
        <v>-4700</v>
      </c>
      <c r="H123">
        <v>-26239</v>
      </c>
    </row>
    <row r="124" spans="1:8" x14ac:dyDescent="0.35">
      <c r="A124" s="51">
        <v>34737</v>
      </c>
      <c r="B124">
        <v>-1920</v>
      </c>
      <c r="D124">
        <v>-5438</v>
      </c>
      <c r="E124">
        <v>-8773</v>
      </c>
      <c r="G124">
        <v>-11909</v>
      </c>
      <c r="H124">
        <v>-27510</v>
      </c>
    </row>
    <row r="125" spans="1:8" x14ac:dyDescent="0.35">
      <c r="A125" s="51">
        <v>34744</v>
      </c>
      <c r="B125">
        <v>-2651</v>
      </c>
      <c r="D125">
        <v>-232</v>
      </c>
      <c r="E125">
        <v>-9026</v>
      </c>
      <c r="G125">
        <v>-9662</v>
      </c>
      <c r="H125">
        <v>-23663</v>
      </c>
    </row>
    <row r="126" spans="1:8" x14ac:dyDescent="0.35">
      <c r="A126" s="51">
        <v>34751</v>
      </c>
      <c r="B126">
        <v>-3216</v>
      </c>
      <c r="D126">
        <v>890</v>
      </c>
      <c r="E126">
        <v>-6304</v>
      </c>
      <c r="G126">
        <v>-8124</v>
      </c>
      <c r="H126">
        <v>-3808</v>
      </c>
    </row>
    <row r="127" spans="1:8" x14ac:dyDescent="0.35">
      <c r="A127" s="51">
        <v>34758</v>
      </c>
      <c r="B127">
        <v>-3173</v>
      </c>
      <c r="D127">
        <v>688</v>
      </c>
      <c r="E127">
        <v>-6747</v>
      </c>
      <c r="G127">
        <v>-4596</v>
      </c>
      <c r="H127">
        <v>-870</v>
      </c>
    </row>
    <row r="128" spans="1:8" x14ac:dyDescent="0.35">
      <c r="A128" s="51">
        <v>34765</v>
      </c>
      <c r="B128">
        <v>-1948</v>
      </c>
      <c r="D128">
        <v>-620</v>
      </c>
      <c r="E128">
        <v>5988</v>
      </c>
      <c r="G128">
        <v>8661</v>
      </c>
      <c r="H128">
        <v>2196</v>
      </c>
    </row>
    <row r="129" spans="1:9" x14ac:dyDescent="0.35">
      <c r="A129" s="51">
        <v>34772</v>
      </c>
      <c r="B129">
        <v>-1561</v>
      </c>
      <c r="D129">
        <v>-2049</v>
      </c>
      <c r="E129">
        <v>8460</v>
      </c>
      <c r="G129">
        <v>4108</v>
      </c>
      <c r="H129">
        <v>5165</v>
      </c>
    </row>
    <row r="130" spans="1:9" x14ac:dyDescent="0.35">
      <c r="A130" s="51">
        <v>34779</v>
      </c>
      <c r="B130">
        <v>-3962</v>
      </c>
      <c r="D130">
        <v>1318</v>
      </c>
      <c r="E130">
        <v>8087</v>
      </c>
      <c r="G130">
        <v>3477</v>
      </c>
      <c r="H130">
        <v>7276</v>
      </c>
    </row>
    <row r="131" spans="1:9" x14ac:dyDescent="0.35">
      <c r="A131" s="51">
        <v>34786</v>
      </c>
      <c r="B131">
        <v>-3961</v>
      </c>
      <c r="D131">
        <v>1987</v>
      </c>
      <c r="E131">
        <v>7849</v>
      </c>
      <c r="G131">
        <v>3815</v>
      </c>
      <c r="H131">
        <v>4997</v>
      </c>
    </row>
    <row r="132" spans="1:9" x14ac:dyDescent="0.35">
      <c r="A132" s="51">
        <v>34793</v>
      </c>
      <c r="B132">
        <v>-2702</v>
      </c>
      <c r="D132">
        <v>6371</v>
      </c>
      <c r="E132">
        <v>6931</v>
      </c>
      <c r="G132">
        <v>3732</v>
      </c>
      <c r="H132">
        <v>5627</v>
      </c>
    </row>
    <row r="133" spans="1:9" x14ac:dyDescent="0.35">
      <c r="A133" s="51">
        <v>34800</v>
      </c>
      <c r="B133">
        <v>-1593</v>
      </c>
      <c r="D133">
        <v>14413</v>
      </c>
      <c r="E133">
        <v>6414</v>
      </c>
      <c r="G133">
        <v>2786</v>
      </c>
      <c r="H133">
        <v>4767</v>
      </c>
    </row>
    <row r="134" spans="1:9" x14ac:dyDescent="0.35">
      <c r="A134" s="51">
        <v>34807</v>
      </c>
      <c r="B134">
        <v>-1509</v>
      </c>
      <c r="D134">
        <v>16433</v>
      </c>
      <c r="E134">
        <v>6508</v>
      </c>
      <c r="G134">
        <v>3473</v>
      </c>
      <c r="H134">
        <v>5150</v>
      </c>
    </row>
    <row r="135" spans="1:9" x14ac:dyDescent="0.35">
      <c r="A135" s="51">
        <v>34814</v>
      </c>
      <c r="B135">
        <v>-1832</v>
      </c>
      <c r="D135">
        <v>16548</v>
      </c>
      <c r="E135">
        <v>6152</v>
      </c>
      <c r="G135">
        <v>2821</v>
      </c>
      <c r="H135">
        <v>4805</v>
      </c>
    </row>
    <row r="136" spans="1:9" x14ac:dyDescent="0.35">
      <c r="A136" s="51">
        <v>34821</v>
      </c>
      <c r="B136">
        <v>-1696</v>
      </c>
      <c r="D136">
        <v>17147</v>
      </c>
      <c r="E136">
        <v>5880</v>
      </c>
      <c r="G136">
        <v>2427</v>
      </c>
      <c r="H136">
        <v>3673</v>
      </c>
    </row>
    <row r="137" spans="1:9" x14ac:dyDescent="0.35">
      <c r="A137" s="51">
        <v>34828</v>
      </c>
      <c r="B137">
        <v>-784</v>
      </c>
      <c r="D137">
        <v>16780</v>
      </c>
      <c r="E137">
        <v>5887</v>
      </c>
      <c r="G137">
        <v>1383</v>
      </c>
      <c r="H137">
        <v>768</v>
      </c>
    </row>
    <row r="138" spans="1:9" x14ac:dyDescent="0.35">
      <c r="A138" s="51">
        <v>34835</v>
      </c>
      <c r="B138">
        <v>-877</v>
      </c>
      <c r="D138">
        <v>15673</v>
      </c>
      <c r="E138">
        <v>-5105</v>
      </c>
      <c r="G138">
        <v>-10645</v>
      </c>
      <c r="H138">
        <v>-3939</v>
      </c>
    </row>
    <row r="139" spans="1:9" x14ac:dyDescent="0.35">
      <c r="A139" s="51">
        <v>34842</v>
      </c>
      <c r="B139">
        <v>-1962</v>
      </c>
      <c r="D139">
        <v>13255</v>
      </c>
      <c r="E139">
        <v>-6378</v>
      </c>
      <c r="G139">
        <v>-10827</v>
      </c>
      <c r="H139">
        <v>-7684</v>
      </c>
      <c r="I139">
        <v>679</v>
      </c>
    </row>
    <row r="140" spans="1:9" x14ac:dyDescent="0.35">
      <c r="A140" s="51">
        <v>34849</v>
      </c>
      <c r="B140">
        <v>-1822</v>
      </c>
      <c r="D140">
        <v>8040</v>
      </c>
      <c r="E140">
        <v>-2821</v>
      </c>
      <c r="G140">
        <v>-6663</v>
      </c>
      <c r="H140">
        <v>-2379</v>
      </c>
      <c r="I140">
        <v>1162</v>
      </c>
    </row>
    <row r="141" spans="1:9" x14ac:dyDescent="0.35">
      <c r="A141" s="51">
        <v>34856</v>
      </c>
      <c r="B141">
        <v>-2027</v>
      </c>
      <c r="D141">
        <v>4727</v>
      </c>
      <c r="E141">
        <v>-3081</v>
      </c>
      <c r="G141">
        <v>-6315</v>
      </c>
      <c r="H141">
        <v>-3774</v>
      </c>
      <c r="I141">
        <v>579</v>
      </c>
    </row>
    <row r="142" spans="1:9" x14ac:dyDescent="0.35">
      <c r="A142" s="51">
        <v>34863</v>
      </c>
      <c r="B142">
        <v>-1906</v>
      </c>
      <c r="D142">
        <v>1955</v>
      </c>
      <c r="E142">
        <v>-3063</v>
      </c>
      <c r="G142">
        <v>-6676</v>
      </c>
      <c r="H142">
        <v>-4820</v>
      </c>
      <c r="I142">
        <v>1287</v>
      </c>
    </row>
    <row r="143" spans="1:9" x14ac:dyDescent="0.35">
      <c r="A143" s="51">
        <v>34870</v>
      </c>
      <c r="B143">
        <v>-647</v>
      </c>
      <c r="D143">
        <v>4353</v>
      </c>
      <c r="E143">
        <v>-3316</v>
      </c>
      <c r="G143">
        <v>-2426</v>
      </c>
      <c r="H143">
        <v>-5517</v>
      </c>
      <c r="I143">
        <v>1754</v>
      </c>
    </row>
    <row r="144" spans="1:9" x14ac:dyDescent="0.35">
      <c r="A144" s="51">
        <v>34877</v>
      </c>
      <c r="B144">
        <v>-1326</v>
      </c>
      <c r="D144">
        <v>6117</v>
      </c>
      <c r="E144">
        <v>-2145</v>
      </c>
      <c r="G144">
        <v>-4841</v>
      </c>
      <c r="H144">
        <v>-3876</v>
      </c>
      <c r="I144">
        <v>2683</v>
      </c>
    </row>
    <row r="145" spans="1:9" x14ac:dyDescent="0.35">
      <c r="A145" s="51">
        <v>34884</v>
      </c>
      <c r="B145">
        <v>-1550</v>
      </c>
      <c r="D145">
        <v>6628</v>
      </c>
      <c r="E145">
        <v>-2800</v>
      </c>
      <c r="G145">
        <v>-5011</v>
      </c>
      <c r="H145">
        <v>-9046</v>
      </c>
      <c r="I145">
        <v>2628</v>
      </c>
    </row>
    <row r="146" spans="1:9" x14ac:dyDescent="0.35">
      <c r="A146" s="51">
        <v>34891</v>
      </c>
      <c r="B146">
        <v>-1316</v>
      </c>
      <c r="D146">
        <v>17139</v>
      </c>
      <c r="E146">
        <v>-3727</v>
      </c>
      <c r="G146">
        <v>-5727</v>
      </c>
      <c r="H146">
        <v>-10926</v>
      </c>
      <c r="I146">
        <v>2944</v>
      </c>
    </row>
    <row r="147" spans="1:9" x14ac:dyDescent="0.35">
      <c r="A147" s="51">
        <v>34898</v>
      </c>
      <c r="B147">
        <v>1227</v>
      </c>
      <c r="D147">
        <v>16720</v>
      </c>
      <c r="E147">
        <v>-4807</v>
      </c>
      <c r="G147">
        <v>-5096</v>
      </c>
      <c r="H147">
        <v>-12258</v>
      </c>
      <c r="I147">
        <v>2471</v>
      </c>
    </row>
    <row r="148" spans="1:9" x14ac:dyDescent="0.35">
      <c r="A148" s="51">
        <v>34905</v>
      </c>
      <c r="B148">
        <v>1671</v>
      </c>
      <c r="D148">
        <v>16394</v>
      </c>
      <c r="E148">
        <v>-4077</v>
      </c>
      <c r="G148">
        <v>-6953</v>
      </c>
      <c r="H148">
        <v>-13666</v>
      </c>
      <c r="I148">
        <v>2338</v>
      </c>
    </row>
    <row r="149" spans="1:9" x14ac:dyDescent="0.35">
      <c r="A149" s="51">
        <v>34912</v>
      </c>
      <c r="B149">
        <v>1833</v>
      </c>
      <c r="D149">
        <v>11119</v>
      </c>
      <c r="E149">
        <v>-152</v>
      </c>
      <c r="G149">
        <v>-1985</v>
      </c>
      <c r="H149">
        <v>-12959</v>
      </c>
      <c r="I149">
        <v>2685</v>
      </c>
    </row>
    <row r="150" spans="1:9" x14ac:dyDescent="0.35">
      <c r="A150" s="51">
        <v>34919</v>
      </c>
      <c r="B150">
        <v>2797</v>
      </c>
      <c r="D150">
        <v>11699</v>
      </c>
      <c r="E150">
        <v>-2680</v>
      </c>
      <c r="G150">
        <v>2824</v>
      </c>
      <c r="H150">
        <v>-14584</v>
      </c>
      <c r="I150">
        <v>2328</v>
      </c>
    </row>
    <row r="151" spans="1:9" x14ac:dyDescent="0.35">
      <c r="A151" s="51">
        <v>34926</v>
      </c>
      <c r="B151">
        <v>1903</v>
      </c>
      <c r="D151">
        <v>10476</v>
      </c>
      <c r="E151">
        <v>-6773</v>
      </c>
      <c r="G151">
        <v>-10450</v>
      </c>
      <c r="H151">
        <v>-16718</v>
      </c>
      <c r="I151">
        <v>53</v>
      </c>
    </row>
    <row r="152" spans="1:9" x14ac:dyDescent="0.35">
      <c r="A152" s="51">
        <v>34933</v>
      </c>
      <c r="B152">
        <v>673</v>
      </c>
      <c r="D152">
        <v>11930</v>
      </c>
      <c r="E152">
        <v>-6874</v>
      </c>
      <c r="G152">
        <v>-14645</v>
      </c>
      <c r="H152">
        <v>-15549</v>
      </c>
      <c r="I152">
        <v>288</v>
      </c>
    </row>
    <row r="153" spans="1:9" x14ac:dyDescent="0.35">
      <c r="A153" s="51">
        <v>34940</v>
      </c>
      <c r="B153">
        <v>3719</v>
      </c>
      <c r="D153">
        <v>24193</v>
      </c>
      <c r="E153">
        <v>-6857</v>
      </c>
      <c r="G153">
        <v>-12982</v>
      </c>
      <c r="H153">
        <v>-14134</v>
      </c>
      <c r="I153">
        <v>497</v>
      </c>
    </row>
    <row r="154" spans="1:9" x14ac:dyDescent="0.35">
      <c r="A154" s="51">
        <v>34947</v>
      </c>
      <c r="B154">
        <v>4443</v>
      </c>
      <c r="D154">
        <v>25699</v>
      </c>
      <c r="E154">
        <v>-5964</v>
      </c>
      <c r="G154">
        <v>-11932</v>
      </c>
      <c r="H154">
        <v>-15342</v>
      </c>
      <c r="I154">
        <v>225</v>
      </c>
    </row>
    <row r="155" spans="1:9" x14ac:dyDescent="0.35">
      <c r="A155" s="51">
        <v>34954</v>
      </c>
      <c r="B155">
        <v>5067</v>
      </c>
      <c r="D155">
        <v>23619</v>
      </c>
      <c r="E155">
        <v>-8453</v>
      </c>
      <c r="G155">
        <v>-13621</v>
      </c>
      <c r="H155">
        <v>-18439</v>
      </c>
      <c r="I155">
        <v>225</v>
      </c>
    </row>
    <row r="156" spans="1:9" x14ac:dyDescent="0.35">
      <c r="A156" s="51">
        <v>34961</v>
      </c>
      <c r="B156">
        <v>6974</v>
      </c>
      <c r="D156">
        <v>1674</v>
      </c>
      <c r="E156">
        <v>-8048</v>
      </c>
      <c r="G156">
        <v>-13549</v>
      </c>
      <c r="H156">
        <v>-18410</v>
      </c>
      <c r="I156">
        <v>225</v>
      </c>
    </row>
    <row r="157" spans="1:9" x14ac:dyDescent="0.35">
      <c r="A157" s="51">
        <v>34968</v>
      </c>
      <c r="B157">
        <v>1955</v>
      </c>
      <c r="D157">
        <v>2674</v>
      </c>
      <c r="E157">
        <v>3586</v>
      </c>
      <c r="G157">
        <v>6465</v>
      </c>
      <c r="H157">
        <v>-20211</v>
      </c>
      <c r="I157">
        <v>448</v>
      </c>
    </row>
    <row r="158" spans="1:9" x14ac:dyDescent="0.35">
      <c r="A158" s="51">
        <v>34975</v>
      </c>
      <c r="B158">
        <v>3185</v>
      </c>
      <c r="D158">
        <v>9148</v>
      </c>
      <c r="E158">
        <v>3250</v>
      </c>
      <c r="G158">
        <v>6050</v>
      </c>
      <c r="H158">
        <v>-20961</v>
      </c>
      <c r="I158">
        <v>1029</v>
      </c>
    </row>
    <row r="159" spans="1:9" x14ac:dyDescent="0.35">
      <c r="A159" s="51">
        <v>34982</v>
      </c>
      <c r="B159">
        <v>3148</v>
      </c>
      <c r="D159">
        <v>10566</v>
      </c>
      <c r="E159">
        <v>3265</v>
      </c>
      <c r="G159">
        <v>7967</v>
      </c>
      <c r="H159">
        <v>-20783</v>
      </c>
      <c r="I159">
        <v>948</v>
      </c>
    </row>
    <row r="160" spans="1:9" x14ac:dyDescent="0.35">
      <c r="A160" s="51">
        <v>34989</v>
      </c>
      <c r="B160">
        <v>2838</v>
      </c>
      <c r="D160">
        <v>10324</v>
      </c>
      <c r="E160">
        <v>2990</v>
      </c>
      <c r="G160">
        <v>8494</v>
      </c>
      <c r="H160">
        <v>-21164</v>
      </c>
      <c r="I160">
        <v>963</v>
      </c>
    </row>
    <row r="161" spans="1:9" x14ac:dyDescent="0.35">
      <c r="A161" s="51">
        <v>34996</v>
      </c>
      <c r="B161">
        <v>1200</v>
      </c>
      <c r="D161">
        <v>1125</v>
      </c>
      <c r="E161">
        <v>4090</v>
      </c>
      <c r="G161">
        <v>8801</v>
      </c>
      <c r="H161">
        <v>-20047</v>
      </c>
      <c r="I161">
        <v>917</v>
      </c>
    </row>
    <row r="162" spans="1:9" x14ac:dyDescent="0.35">
      <c r="A162" s="51">
        <v>35003</v>
      </c>
      <c r="B162">
        <v>1666</v>
      </c>
      <c r="D162">
        <v>3819</v>
      </c>
      <c r="E162">
        <v>3422</v>
      </c>
      <c r="G162">
        <v>8387</v>
      </c>
      <c r="H162">
        <v>-22212</v>
      </c>
      <c r="I162">
        <v>1076</v>
      </c>
    </row>
    <row r="163" spans="1:9" x14ac:dyDescent="0.35">
      <c r="A163" s="51">
        <v>35010</v>
      </c>
      <c r="B163">
        <v>1702</v>
      </c>
      <c r="D163">
        <v>4669</v>
      </c>
      <c r="E163">
        <v>2805</v>
      </c>
      <c r="G163">
        <v>8996</v>
      </c>
      <c r="H163">
        <v>-25063</v>
      </c>
      <c r="I163">
        <v>1214</v>
      </c>
    </row>
    <row r="164" spans="1:9" x14ac:dyDescent="0.35">
      <c r="A164" s="51">
        <v>35017</v>
      </c>
      <c r="B164">
        <v>-208</v>
      </c>
      <c r="D164">
        <v>3872</v>
      </c>
      <c r="E164">
        <v>2312</v>
      </c>
      <c r="G164">
        <v>-9594</v>
      </c>
      <c r="H164">
        <v>-23049</v>
      </c>
      <c r="I164">
        <v>1132</v>
      </c>
    </row>
    <row r="165" spans="1:9" x14ac:dyDescent="0.35">
      <c r="A165" s="51">
        <v>35024</v>
      </c>
      <c r="B165">
        <v>-520</v>
      </c>
      <c r="D165">
        <v>3943</v>
      </c>
      <c r="E165">
        <v>2762</v>
      </c>
      <c r="G165">
        <v>-18344</v>
      </c>
      <c r="H165">
        <v>-20664</v>
      </c>
      <c r="I165">
        <v>752</v>
      </c>
    </row>
    <row r="166" spans="1:9" x14ac:dyDescent="0.35">
      <c r="A166" s="51">
        <v>35031</v>
      </c>
      <c r="B166">
        <v>-28</v>
      </c>
      <c r="D166">
        <v>4281</v>
      </c>
      <c r="E166">
        <v>1782</v>
      </c>
      <c r="G166">
        <v>-15378</v>
      </c>
      <c r="H166">
        <v>-19132</v>
      </c>
      <c r="I166">
        <v>612</v>
      </c>
    </row>
    <row r="167" spans="1:9" x14ac:dyDescent="0.35">
      <c r="A167" s="51">
        <v>35038</v>
      </c>
      <c r="B167">
        <v>-305</v>
      </c>
      <c r="D167">
        <v>654</v>
      </c>
      <c r="E167">
        <v>-11859</v>
      </c>
      <c r="G167">
        <v>-16525</v>
      </c>
      <c r="H167">
        <v>-18764</v>
      </c>
      <c r="I167">
        <v>751</v>
      </c>
    </row>
    <row r="168" spans="1:9" x14ac:dyDescent="0.35">
      <c r="A168" s="51">
        <v>35045</v>
      </c>
      <c r="B168">
        <v>-148</v>
      </c>
      <c r="D168">
        <v>-8677</v>
      </c>
      <c r="E168">
        <v>-11813</v>
      </c>
      <c r="G168">
        <v>-14101</v>
      </c>
      <c r="H168">
        <v>-19274</v>
      </c>
      <c r="I168">
        <v>277</v>
      </c>
    </row>
    <row r="169" spans="1:9" x14ac:dyDescent="0.35">
      <c r="A169" s="51">
        <v>35052</v>
      </c>
      <c r="B169">
        <v>0</v>
      </c>
      <c r="D169">
        <v>-8324</v>
      </c>
      <c r="E169">
        <v>-10885</v>
      </c>
      <c r="G169">
        <v>-12295</v>
      </c>
      <c r="H169">
        <v>-23044</v>
      </c>
      <c r="I169">
        <v>-1844</v>
      </c>
    </row>
    <row r="170" spans="1:9" x14ac:dyDescent="0.35">
      <c r="A170" s="51">
        <v>35059</v>
      </c>
      <c r="B170">
        <v>0</v>
      </c>
      <c r="D170">
        <v>1291</v>
      </c>
      <c r="E170">
        <v>-10567</v>
      </c>
      <c r="G170">
        <v>-1927</v>
      </c>
      <c r="H170">
        <v>-28074</v>
      </c>
      <c r="I170">
        <v>-1859</v>
      </c>
    </row>
    <row r="171" spans="1:9" x14ac:dyDescent="0.35">
      <c r="A171" s="51">
        <v>35066</v>
      </c>
      <c r="B171">
        <v>-230</v>
      </c>
      <c r="D171">
        <v>1548</v>
      </c>
      <c r="E171">
        <v>-9228</v>
      </c>
      <c r="G171">
        <v>4562</v>
      </c>
      <c r="H171">
        <v>-32299</v>
      </c>
      <c r="I171">
        <v>-1859</v>
      </c>
    </row>
    <row r="172" spans="1:9" x14ac:dyDescent="0.35">
      <c r="A172" s="51">
        <v>35073</v>
      </c>
      <c r="B172">
        <v>-253</v>
      </c>
      <c r="D172">
        <v>2333</v>
      </c>
      <c r="E172">
        <v>-11134</v>
      </c>
      <c r="G172">
        <v>7619</v>
      </c>
      <c r="H172">
        <v>-33256</v>
      </c>
      <c r="I172">
        <v>-2096</v>
      </c>
    </row>
    <row r="173" spans="1:9" x14ac:dyDescent="0.35">
      <c r="A173" s="51">
        <v>35080</v>
      </c>
      <c r="B173">
        <v>0</v>
      </c>
      <c r="D173">
        <v>2074</v>
      </c>
      <c r="E173">
        <v>-11507</v>
      </c>
      <c r="G173">
        <v>4971</v>
      </c>
      <c r="H173">
        <v>-36988</v>
      </c>
      <c r="I173">
        <v>-2139</v>
      </c>
    </row>
    <row r="174" spans="1:9" x14ac:dyDescent="0.35">
      <c r="A174" s="51">
        <v>35087</v>
      </c>
      <c r="B174">
        <v>-1588</v>
      </c>
      <c r="D174">
        <v>385</v>
      </c>
      <c r="E174">
        <v>-13691</v>
      </c>
      <c r="G174">
        <v>-16895</v>
      </c>
      <c r="H174">
        <v>-35798</v>
      </c>
      <c r="I174">
        <v>-2367</v>
      </c>
    </row>
    <row r="175" spans="1:9" x14ac:dyDescent="0.35">
      <c r="A175" s="51">
        <v>35094</v>
      </c>
      <c r="B175">
        <v>-823</v>
      </c>
      <c r="D175">
        <v>-11492</v>
      </c>
      <c r="E175">
        <v>-14208</v>
      </c>
      <c r="G175">
        <v>-20841</v>
      </c>
      <c r="H175">
        <v>-37035</v>
      </c>
      <c r="I175">
        <v>-3481</v>
      </c>
    </row>
    <row r="176" spans="1:9" x14ac:dyDescent="0.35">
      <c r="A176" s="51">
        <v>35101</v>
      </c>
      <c r="B176">
        <v>2268</v>
      </c>
      <c r="D176">
        <v>-9728</v>
      </c>
      <c r="E176">
        <v>-14261</v>
      </c>
      <c r="G176">
        <v>-1863</v>
      </c>
      <c r="H176">
        <v>-30935</v>
      </c>
      <c r="I176">
        <v>-2962</v>
      </c>
    </row>
    <row r="177" spans="1:9" x14ac:dyDescent="0.35">
      <c r="A177" s="51">
        <v>35108</v>
      </c>
      <c r="B177">
        <v>2637</v>
      </c>
      <c r="D177">
        <v>-222</v>
      </c>
      <c r="E177">
        <v>-13735</v>
      </c>
      <c r="G177">
        <v>1285</v>
      </c>
      <c r="H177">
        <v>-30578</v>
      </c>
      <c r="I177">
        <v>-2420</v>
      </c>
    </row>
    <row r="178" spans="1:9" x14ac:dyDescent="0.35">
      <c r="A178" s="51">
        <v>35115</v>
      </c>
      <c r="B178">
        <v>2532</v>
      </c>
      <c r="D178">
        <v>-5355</v>
      </c>
      <c r="E178">
        <v>-10167</v>
      </c>
      <c r="G178">
        <v>5746</v>
      </c>
      <c r="H178">
        <v>-28625</v>
      </c>
      <c r="I178">
        <v>-1676</v>
      </c>
    </row>
    <row r="179" spans="1:9" x14ac:dyDescent="0.35">
      <c r="A179" s="51">
        <v>35122</v>
      </c>
      <c r="B179">
        <v>2797</v>
      </c>
      <c r="D179">
        <v>-3733</v>
      </c>
      <c r="E179">
        <v>-8506</v>
      </c>
      <c r="G179">
        <v>2172</v>
      </c>
      <c r="H179">
        <v>-20669</v>
      </c>
      <c r="I179">
        <v>-2218</v>
      </c>
    </row>
    <row r="180" spans="1:9" x14ac:dyDescent="0.35">
      <c r="A180" s="51">
        <v>35129</v>
      </c>
      <c r="B180">
        <v>3706</v>
      </c>
      <c r="D180">
        <v>43</v>
      </c>
      <c r="E180">
        <v>-6787</v>
      </c>
      <c r="G180">
        <v>-508</v>
      </c>
      <c r="H180">
        <v>-19845</v>
      </c>
      <c r="I180">
        <v>-2642</v>
      </c>
    </row>
    <row r="181" spans="1:9" x14ac:dyDescent="0.35">
      <c r="A181" s="51">
        <v>35136</v>
      </c>
      <c r="B181">
        <v>4890</v>
      </c>
      <c r="D181">
        <v>3373</v>
      </c>
      <c r="E181">
        <v>-6635</v>
      </c>
      <c r="G181">
        <v>-9455</v>
      </c>
      <c r="H181">
        <v>-19712</v>
      </c>
      <c r="I181">
        <v>-1429</v>
      </c>
    </row>
    <row r="182" spans="1:9" x14ac:dyDescent="0.35">
      <c r="A182" s="51">
        <v>35143</v>
      </c>
      <c r="B182">
        <v>5679</v>
      </c>
      <c r="D182">
        <v>14241</v>
      </c>
      <c r="E182">
        <v>-6777</v>
      </c>
      <c r="G182">
        <v>-6106</v>
      </c>
      <c r="H182">
        <v>-24358</v>
      </c>
      <c r="I182">
        <v>18</v>
      </c>
    </row>
    <row r="183" spans="1:9" x14ac:dyDescent="0.35">
      <c r="A183" s="51">
        <v>35150</v>
      </c>
      <c r="B183">
        <v>5403</v>
      </c>
      <c r="D183">
        <v>13452</v>
      </c>
      <c r="E183">
        <v>-6539</v>
      </c>
      <c r="G183">
        <v>-5152</v>
      </c>
      <c r="H183">
        <v>-29664</v>
      </c>
      <c r="I183">
        <v>-87</v>
      </c>
    </row>
    <row r="184" spans="1:9" x14ac:dyDescent="0.35">
      <c r="A184" s="51">
        <v>35157</v>
      </c>
      <c r="B184">
        <v>6926</v>
      </c>
      <c r="D184">
        <v>18679</v>
      </c>
      <c r="E184">
        <v>-5489</v>
      </c>
      <c r="G184">
        <v>-8841</v>
      </c>
      <c r="H184">
        <v>-33900</v>
      </c>
      <c r="I184">
        <v>173</v>
      </c>
    </row>
    <row r="185" spans="1:9" x14ac:dyDescent="0.35">
      <c r="A185" s="51">
        <v>35164</v>
      </c>
      <c r="B185">
        <v>5403</v>
      </c>
      <c r="D185">
        <v>15126</v>
      </c>
      <c r="E185">
        <v>-8027</v>
      </c>
      <c r="G185">
        <v>-9214</v>
      </c>
      <c r="H185">
        <v>-35695</v>
      </c>
      <c r="I185">
        <v>-228</v>
      </c>
    </row>
    <row r="186" spans="1:9" x14ac:dyDescent="0.35">
      <c r="A186" s="51">
        <v>35171</v>
      </c>
      <c r="B186">
        <v>4649</v>
      </c>
      <c r="D186">
        <v>13763</v>
      </c>
      <c r="E186">
        <v>-13312</v>
      </c>
      <c r="G186">
        <v>-17699</v>
      </c>
      <c r="H186">
        <v>-32574</v>
      </c>
      <c r="I186">
        <v>-348</v>
      </c>
    </row>
    <row r="187" spans="1:9" x14ac:dyDescent="0.35">
      <c r="A187" s="51">
        <v>35178</v>
      </c>
      <c r="B187">
        <v>4889</v>
      </c>
      <c r="D187">
        <v>9827</v>
      </c>
      <c r="E187">
        <v>-12744</v>
      </c>
      <c r="G187">
        <v>-10531</v>
      </c>
      <c r="H187">
        <v>-21926</v>
      </c>
      <c r="I187">
        <v>-1293</v>
      </c>
    </row>
    <row r="188" spans="1:9" x14ac:dyDescent="0.35">
      <c r="A188" s="51">
        <v>35185</v>
      </c>
      <c r="B188">
        <v>4808</v>
      </c>
      <c r="D188">
        <v>6656</v>
      </c>
      <c r="E188">
        <v>-14952</v>
      </c>
      <c r="G188">
        <v>-11113</v>
      </c>
      <c r="H188">
        <v>-9187</v>
      </c>
      <c r="I188">
        <v>-1144</v>
      </c>
    </row>
    <row r="189" spans="1:9" x14ac:dyDescent="0.35">
      <c r="A189" s="51">
        <v>35192</v>
      </c>
      <c r="B189">
        <v>5581</v>
      </c>
      <c r="D189">
        <v>5741</v>
      </c>
      <c r="E189">
        <v>-15083</v>
      </c>
      <c r="G189">
        <v>-10506</v>
      </c>
      <c r="H189">
        <v>-8511</v>
      </c>
      <c r="I189">
        <v>-1012</v>
      </c>
    </row>
    <row r="190" spans="1:9" x14ac:dyDescent="0.35">
      <c r="A190" s="51">
        <v>35199</v>
      </c>
      <c r="B190">
        <v>6106</v>
      </c>
      <c r="D190">
        <v>689</v>
      </c>
      <c r="E190">
        <v>-14604</v>
      </c>
      <c r="G190">
        <v>-438</v>
      </c>
      <c r="H190">
        <v>-10024</v>
      </c>
      <c r="I190">
        <v>-852</v>
      </c>
    </row>
    <row r="191" spans="1:9" x14ac:dyDescent="0.35">
      <c r="A191" s="51">
        <v>35206</v>
      </c>
      <c r="B191">
        <v>5514</v>
      </c>
      <c r="D191">
        <v>-10879</v>
      </c>
      <c r="E191">
        <v>-15131</v>
      </c>
      <c r="G191">
        <v>-852</v>
      </c>
      <c r="H191">
        <v>-15506</v>
      </c>
      <c r="I191">
        <v>-667</v>
      </c>
    </row>
    <row r="192" spans="1:9" x14ac:dyDescent="0.35">
      <c r="A192" s="51">
        <v>35213</v>
      </c>
      <c r="B192">
        <v>5620</v>
      </c>
      <c r="D192">
        <v>-14179</v>
      </c>
      <c r="E192">
        <v>-15545</v>
      </c>
      <c r="G192">
        <v>44</v>
      </c>
      <c r="H192">
        <v>-23871</v>
      </c>
      <c r="I192">
        <v>-955</v>
      </c>
    </row>
    <row r="193" spans="1:9" x14ac:dyDescent="0.35">
      <c r="A193" s="51">
        <v>35220</v>
      </c>
      <c r="B193">
        <v>5198</v>
      </c>
      <c r="D193">
        <v>-2432</v>
      </c>
      <c r="E193">
        <v>-13653</v>
      </c>
      <c r="G193">
        <v>25205</v>
      </c>
      <c r="H193">
        <v>-30082</v>
      </c>
      <c r="I193">
        <v>-1196</v>
      </c>
    </row>
    <row r="194" spans="1:9" x14ac:dyDescent="0.35">
      <c r="A194" s="51">
        <v>35227</v>
      </c>
      <c r="B194">
        <v>3425</v>
      </c>
      <c r="D194">
        <v>2216</v>
      </c>
      <c r="E194">
        <v>-14577</v>
      </c>
      <c r="G194">
        <v>22915</v>
      </c>
      <c r="H194">
        <v>-30748</v>
      </c>
      <c r="I194">
        <v>-669</v>
      </c>
    </row>
    <row r="195" spans="1:9" x14ac:dyDescent="0.35">
      <c r="A195" s="51">
        <v>35234</v>
      </c>
      <c r="B195">
        <v>2491</v>
      </c>
      <c r="D195">
        <v>1528</v>
      </c>
      <c r="E195">
        <v>-11059</v>
      </c>
      <c r="G195">
        <v>15193</v>
      </c>
      <c r="H195">
        <v>-29185</v>
      </c>
      <c r="I195">
        <v>171</v>
      </c>
    </row>
    <row r="196" spans="1:9" x14ac:dyDescent="0.35">
      <c r="A196" s="51">
        <v>35241</v>
      </c>
      <c r="B196">
        <v>2999</v>
      </c>
      <c r="D196">
        <v>8276</v>
      </c>
      <c r="E196">
        <v>-12876</v>
      </c>
      <c r="G196">
        <v>14530</v>
      </c>
      <c r="H196">
        <v>-28056</v>
      </c>
      <c r="I196">
        <v>208</v>
      </c>
    </row>
    <row r="197" spans="1:9" x14ac:dyDescent="0.35">
      <c r="A197" s="51">
        <v>35248</v>
      </c>
      <c r="B197">
        <v>202</v>
      </c>
      <c r="D197">
        <v>7489</v>
      </c>
      <c r="E197">
        <v>-13144</v>
      </c>
      <c r="G197">
        <v>16187</v>
      </c>
      <c r="H197">
        <v>-34188</v>
      </c>
      <c r="I197">
        <v>477</v>
      </c>
    </row>
    <row r="198" spans="1:9" x14ac:dyDescent="0.35">
      <c r="A198" s="51">
        <v>35255</v>
      </c>
      <c r="B198">
        <v>417</v>
      </c>
      <c r="D198">
        <v>306</v>
      </c>
      <c r="E198">
        <v>-12174</v>
      </c>
      <c r="G198">
        <v>20190</v>
      </c>
      <c r="H198">
        <v>-34251</v>
      </c>
      <c r="I198">
        <v>263</v>
      </c>
    </row>
    <row r="199" spans="1:9" x14ac:dyDescent="0.35">
      <c r="A199" s="51">
        <v>35262</v>
      </c>
      <c r="B199">
        <v>1260</v>
      </c>
      <c r="D199">
        <v>-132</v>
      </c>
      <c r="E199">
        <v>1954</v>
      </c>
      <c r="G199">
        <v>19641</v>
      </c>
      <c r="H199">
        <v>-30346</v>
      </c>
      <c r="I199">
        <v>2613</v>
      </c>
    </row>
    <row r="200" spans="1:9" x14ac:dyDescent="0.35">
      <c r="A200" s="51">
        <v>35269</v>
      </c>
      <c r="B200">
        <v>127</v>
      </c>
      <c r="D200">
        <v>-779</v>
      </c>
      <c r="E200">
        <v>5686</v>
      </c>
      <c r="G200">
        <v>13522</v>
      </c>
      <c r="H200">
        <v>-23681</v>
      </c>
      <c r="I200">
        <v>561</v>
      </c>
    </row>
    <row r="201" spans="1:9" x14ac:dyDescent="0.35">
      <c r="A201" s="51">
        <v>35276</v>
      </c>
      <c r="B201">
        <v>-1358</v>
      </c>
      <c r="D201">
        <v>-4596</v>
      </c>
      <c r="E201">
        <v>5952</v>
      </c>
      <c r="G201">
        <v>13676</v>
      </c>
      <c r="H201">
        <v>-24368</v>
      </c>
      <c r="I201">
        <v>1030</v>
      </c>
    </row>
    <row r="202" spans="1:9" x14ac:dyDescent="0.35">
      <c r="A202" s="51">
        <v>35283</v>
      </c>
      <c r="B202">
        <v>-2190</v>
      </c>
      <c r="D202">
        <v>-4457</v>
      </c>
      <c r="E202">
        <v>7744</v>
      </c>
      <c r="G202">
        <v>5934</v>
      </c>
      <c r="H202">
        <v>-9298</v>
      </c>
      <c r="I202">
        <v>381</v>
      </c>
    </row>
    <row r="203" spans="1:9" x14ac:dyDescent="0.35">
      <c r="A203" s="51">
        <v>35290</v>
      </c>
      <c r="B203">
        <v>-1919</v>
      </c>
      <c r="D203">
        <v>-4255</v>
      </c>
      <c r="E203">
        <v>6853</v>
      </c>
      <c r="G203">
        <v>4663</v>
      </c>
      <c r="H203">
        <v>-12136</v>
      </c>
      <c r="I203">
        <v>118</v>
      </c>
    </row>
    <row r="204" spans="1:9" x14ac:dyDescent="0.35">
      <c r="A204" s="51">
        <v>35297</v>
      </c>
      <c r="B204">
        <v>-313</v>
      </c>
      <c r="D204">
        <v>-2504</v>
      </c>
      <c r="E204">
        <v>7352</v>
      </c>
      <c r="G204">
        <v>5440</v>
      </c>
      <c r="H204">
        <v>-12895</v>
      </c>
      <c r="I204">
        <v>241</v>
      </c>
    </row>
    <row r="205" spans="1:9" x14ac:dyDescent="0.35">
      <c r="A205" s="51">
        <v>35304</v>
      </c>
      <c r="B205">
        <v>0</v>
      </c>
      <c r="D205">
        <v>4653</v>
      </c>
      <c r="E205">
        <v>8276</v>
      </c>
      <c r="G205">
        <v>8753</v>
      </c>
      <c r="H205">
        <v>-17125</v>
      </c>
      <c r="I205">
        <v>684</v>
      </c>
    </row>
    <row r="206" spans="1:9" x14ac:dyDescent="0.35">
      <c r="A206" s="51">
        <v>35311</v>
      </c>
      <c r="B206">
        <v>223</v>
      </c>
      <c r="D206">
        <v>8448</v>
      </c>
      <c r="E206">
        <v>7016</v>
      </c>
      <c r="G206">
        <v>18934</v>
      </c>
      <c r="H206">
        <v>-18494</v>
      </c>
      <c r="I206">
        <v>187</v>
      </c>
    </row>
    <row r="207" spans="1:9" x14ac:dyDescent="0.35">
      <c r="A207" s="51">
        <v>35318</v>
      </c>
      <c r="B207">
        <v>3593</v>
      </c>
      <c r="D207">
        <v>-2226</v>
      </c>
      <c r="E207">
        <v>-7135</v>
      </c>
      <c r="G207">
        <v>18027</v>
      </c>
      <c r="H207">
        <v>-31523</v>
      </c>
      <c r="I207">
        <v>1171</v>
      </c>
    </row>
    <row r="208" spans="1:9" x14ac:dyDescent="0.35">
      <c r="A208" s="51">
        <v>35325</v>
      </c>
      <c r="B208">
        <v>764</v>
      </c>
      <c r="D208">
        <v>-981</v>
      </c>
      <c r="E208">
        <v>-12174</v>
      </c>
      <c r="G208">
        <v>17847</v>
      </c>
      <c r="H208">
        <v>-37684</v>
      </c>
      <c r="I208">
        <v>900</v>
      </c>
    </row>
    <row r="209" spans="1:9" x14ac:dyDescent="0.35">
      <c r="A209" s="51">
        <v>35332</v>
      </c>
      <c r="B209">
        <v>-200</v>
      </c>
      <c r="D209">
        <v>6144</v>
      </c>
      <c r="E209">
        <v>-12773</v>
      </c>
      <c r="G209">
        <v>16694</v>
      </c>
      <c r="H209">
        <v>-30333</v>
      </c>
      <c r="I209">
        <v>1064</v>
      </c>
    </row>
    <row r="210" spans="1:9" x14ac:dyDescent="0.35">
      <c r="A210" s="51">
        <v>35339</v>
      </c>
      <c r="B210">
        <v>-322</v>
      </c>
      <c r="D210">
        <v>11509</v>
      </c>
      <c r="E210">
        <v>-13030</v>
      </c>
      <c r="G210">
        <v>17986</v>
      </c>
      <c r="H210">
        <v>-32598</v>
      </c>
      <c r="I210">
        <v>1065</v>
      </c>
    </row>
    <row r="211" spans="1:9" x14ac:dyDescent="0.35">
      <c r="A211" s="51">
        <v>35346</v>
      </c>
      <c r="B211">
        <v>-322</v>
      </c>
      <c r="D211">
        <v>27983</v>
      </c>
      <c r="E211">
        <v>-12622</v>
      </c>
      <c r="G211">
        <v>16022</v>
      </c>
      <c r="H211">
        <v>-31300</v>
      </c>
      <c r="I211">
        <v>962</v>
      </c>
    </row>
    <row r="212" spans="1:9" x14ac:dyDescent="0.35">
      <c r="A212" s="51">
        <v>35353</v>
      </c>
      <c r="B212">
        <v>284</v>
      </c>
      <c r="D212">
        <v>28668</v>
      </c>
      <c r="E212">
        <v>-14429</v>
      </c>
      <c r="G212">
        <v>22679</v>
      </c>
      <c r="H212">
        <v>-30802</v>
      </c>
      <c r="I212">
        <v>1199</v>
      </c>
    </row>
    <row r="213" spans="1:9" x14ac:dyDescent="0.35">
      <c r="A213" s="51">
        <v>35360</v>
      </c>
      <c r="B213">
        <v>1496</v>
      </c>
      <c r="D213">
        <v>31017</v>
      </c>
      <c r="E213">
        <v>-15797</v>
      </c>
      <c r="G213">
        <v>23331</v>
      </c>
      <c r="H213">
        <v>-30035</v>
      </c>
      <c r="I213">
        <v>1444</v>
      </c>
    </row>
    <row r="214" spans="1:9" x14ac:dyDescent="0.35">
      <c r="A214" s="51">
        <v>35367</v>
      </c>
      <c r="B214">
        <v>284</v>
      </c>
      <c r="D214">
        <v>37902</v>
      </c>
      <c r="E214">
        <v>-13407</v>
      </c>
      <c r="G214">
        <v>23706</v>
      </c>
      <c r="H214">
        <v>-31551</v>
      </c>
      <c r="I214">
        <v>1002</v>
      </c>
    </row>
    <row r="215" spans="1:9" x14ac:dyDescent="0.35">
      <c r="A215" s="51">
        <v>35374</v>
      </c>
      <c r="B215">
        <v>64</v>
      </c>
      <c r="D215">
        <v>41530</v>
      </c>
      <c r="E215">
        <v>-15608</v>
      </c>
      <c r="G215">
        <v>22910</v>
      </c>
      <c r="H215">
        <v>-29522</v>
      </c>
      <c r="I215">
        <v>53</v>
      </c>
    </row>
    <row r="216" spans="1:9" x14ac:dyDescent="0.35">
      <c r="A216" s="51">
        <v>35381</v>
      </c>
      <c r="B216">
        <v>-740</v>
      </c>
      <c r="D216">
        <v>45809</v>
      </c>
      <c r="E216">
        <v>-14680</v>
      </c>
      <c r="G216">
        <v>22791</v>
      </c>
      <c r="H216">
        <v>-21177</v>
      </c>
      <c r="I216">
        <v>746</v>
      </c>
    </row>
    <row r="217" spans="1:9" x14ac:dyDescent="0.35">
      <c r="A217" s="51">
        <v>35388</v>
      </c>
      <c r="B217">
        <v>924</v>
      </c>
      <c r="D217">
        <v>30578</v>
      </c>
      <c r="E217">
        <v>-15838</v>
      </c>
      <c r="G217">
        <v>21750</v>
      </c>
      <c r="H217">
        <v>-18693</v>
      </c>
      <c r="I217">
        <v>1104</v>
      </c>
    </row>
    <row r="218" spans="1:9" x14ac:dyDescent="0.35">
      <c r="A218" s="51">
        <v>35395</v>
      </c>
      <c r="B218">
        <v>6004</v>
      </c>
      <c r="D218">
        <v>27776</v>
      </c>
      <c r="E218">
        <v>-17233</v>
      </c>
      <c r="G218">
        <v>20397</v>
      </c>
      <c r="H218">
        <v>-19003</v>
      </c>
      <c r="I218">
        <v>21</v>
      </c>
    </row>
    <row r="219" spans="1:9" x14ac:dyDescent="0.35">
      <c r="A219" s="51">
        <v>35402</v>
      </c>
      <c r="B219">
        <v>1930</v>
      </c>
      <c r="D219">
        <v>14976</v>
      </c>
      <c r="E219">
        <v>-15660</v>
      </c>
      <c r="G219">
        <v>3519</v>
      </c>
      <c r="H219">
        <v>-24590</v>
      </c>
      <c r="I219">
        <v>1285</v>
      </c>
    </row>
    <row r="220" spans="1:9" x14ac:dyDescent="0.35">
      <c r="A220" s="51">
        <v>35409</v>
      </c>
      <c r="B220">
        <v>997</v>
      </c>
      <c r="D220">
        <v>1905</v>
      </c>
      <c r="E220">
        <v>-16822</v>
      </c>
      <c r="G220">
        <v>350</v>
      </c>
      <c r="H220">
        <v>-22744</v>
      </c>
      <c r="I220">
        <v>1496</v>
      </c>
    </row>
    <row r="221" spans="1:9" x14ac:dyDescent="0.35">
      <c r="A221" s="51">
        <v>35416</v>
      </c>
      <c r="B221">
        <v>211</v>
      </c>
      <c r="D221">
        <v>4299</v>
      </c>
      <c r="E221">
        <v>-15564</v>
      </c>
      <c r="G221">
        <v>1278</v>
      </c>
      <c r="H221">
        <v>-23708</v>
      </c>
      <c r="I221">
        <v>1814</v>
      </c>
    </row>
    <row r="222" spans="1:9" x14ac:dyDescent="0.35">
      <c r="A222" s="51">
        <v>35423</v>
      </c>
      <c r="B222">
        <v>171</v>
      </c>
      <c r="D222">
        <v>2914</v>
      </c>
      <c r="E222">
        <v>-17914</v>
      </c>
      <c r="G222">
        <v>1208</v>
      </c>
      <c r="H222">
        <v>-25100</v>
      </c>
      <c r="I222">
        <v>2094</v>
      </c>
    </row>
    <row r="223" spans="1:9" x14ac:dyDescent="0.35">
      <c r="A223" s="51">
        <v>35430</v>
      </c>
      <c r="B223">
        <v>171</v>
      </c>
      <c r="D223">
        <v>717</v>
      </c>
      <c r="E223">
        <v>-16032</v>
      </c>
      <c r="G223">
        <v>16631</v>
      </c>
      <c r="H223">
        <v>-26475</v>
      </c>
      <c r="I223">
        <v>2091</v>
      </c>
    </row>
    <row r="224" spans="1:9" x14ac:dyDescent="0.35">
      <c r="A224" s="51">
        <v>35437</v>
      </c>
      <c r="B224">
        <v>-20</v>
      </c>
      <c r="D224">
        <v>-4230</v>
      </c>
      <c r="E224">
        <v>-17254</v>
      </c>
      <c r="G224">
        <v>14728</v>
      </c>
      <c r="H224">
        <v>-31304</v>
      </c>
      <c r="I224">
        <v>3335</v>
      </c>
    </row>
    <row r="225" spans="1:9" x14ac:dyDescent="0.35">
      <c r="A225" s="51">
        <v>35444</v>
      </c>
      <c r="B225">
        <v>-3796</v>
      </c>
      <c r="D225">
        <v>1801</v>
      </c>
      <c r="E225">
        <v>-20090</v>
      </c>
      <c r="G225">
        <v>10728</v>
      </c>
      <c r="H225">
        <v>-32607</v>
      </c>
      <c r="I225">
        <v>3963</v>
      </c>
    </row>
    <row r="226" spans="1:9" x14ac:dyDescent="0.35">
      <c r="A226" s="51">
        <v>35451</v>
      </c>
      <c r="B226">
        <v>-3806</v>
      </c>
      <c r="D226">
        <v>3742</v>
      </c>
      <c r="E226">
        <v>-19464</v>
      </c>
      <c r="G226">
        <v>10151</v>
      </c>
      <c r="H226">
        <v>-32385</v>
      </c>
      <c r="I226">
        <v>4152</v>
      </c>
    </row>
    <row r="227" spans="1:9" x14ac:dyDescent="0.35">
      <c r="A227" s="51">
        <v>35458</v>
      </c>
      <c r="B227">
        <v>-4293</v>
      </c>
      <c r="D227">
        <v>3383</v>
      </c>
      <c r="E227">
        <v>-18487</v>
      </c>
      <c r="G227">
        <v>-7411</v>
      </c>
      <c r="H227">
        <v>-33226</v>
      </c>
      <c r="I227">
        <v>3979</v>
      </c>
    </row>
    <row r="228" spans="1:9" x14ac:dyDescent="0.35">
      <c r="A228" s="51">
        <v>35465</v>
      </c>
      <c r="B228">
        <v>-5296</v>
      </c>
      <c r="D228">
        <v>1965</v>
      </c>
      <c r="E228">
        <v>-18362</v>
      </c>
      <c r="G228">
        <v>-11716</v>
      </c>
      <c r="H228">
        <v>-32803</v>
      </c>
      <c r="I228">
        <v>4142</v>
      </c>
    </row>
    <row r="229" spans="1:9" x14ac:dyDescent="0.35">
      <c r="A229" s="51">
        <v>35472</v>
      </c>
      <c r="B229">
        <v>-5872</v>
      </c>
      <c r="D229">
        <v>-73</v>
      </c>
      <c r="E229">
        <v>-17959</v>
      </c>
      <c r="G229">
        <v>-8660</v>
      </c>
      <c r="H229">
        <v>-34709</v>
      </c>
      <c r="I229">
        <v>3986</v>
      </c>
    </row>
    <row r="230" spans="1:9" x14ac:dyDescent="0.35">
      <c r="A230" s="51">
        <v>35479</v>
      </c>
      <c r="B230">
        <v>-5608</v>
      </c>
      <c r="D230">
        <v>1165</v>
      </c>
      <c r="E230">
        <v>-18869</v>
      </c>
      <c r="G230">
        <v>-9489</v>
      </c>
      <c r="H230">
        <v>-33148</v>
      </c>
      <c r="I230">
        <v>3807</v>
      </c>
    </row>
    <row r="231" spans="1:9" x14ac:dyDescent="0.35">
      <c r="A231" s="51">
        <v>35486</v>
      </c>
      <c r="B231">
        <v>-2134</v>
      </c>
      <c r="D231">
        <v>-3054</v>
      </c>
      <c r="E231">
        <v>-19291</v>
      </c>
      <c r="G231">
        <v>-8113</v>
      </c>
      <c r="H231">
        <v>-27251</v>
      </c>
      <c r="I231">
        <v>5328</v>
      </c>
    </row>
    <row r="232" spans="1:9" x14ac:dyDescent="0.35">
      <c r="A232" s="51">
        <v>35493</v>
      </c>
      <c r="B232">
        <v>351</v>
      </c>
      <c r="D232">
        <v>-10706</v>
      </c>
      <c r="E232">
        <v>-18795</v>
      </c>
      <c r="G232">
        <v>-7687</v>
      </c>
      <c r="H232">
        <v>-25085</v>
      </c>
      <c r="I232">
        <v>1215</v>
      </c>
    </row>
    <row r="233" spans="1:9" x14ac:dyDescent="0.35">
      <c r="A233" s="51">
        <v>35500</v>
      </c>
      <c r="B233">
        <v>1198</v>
      </c>
      <c r="D233">
        <v>-9735</v>
      </c>
      <c r="E233">
        <v>-17078</v>
      </c>
      <c r="G233">
        <v>-12367</v>
      </c>
      <c r="H233">
        <v>-24227</v>
      </c>
      <c r="I233">
        <v>704</v>
      </c>
    </row>
    <row r="234" spans="1:9" x14ac:dyDescent="0.35">
      <c r="A234" s="51">
        <v>35507</v>
      </c>
      <c r="B234">
        <v>1569</v>
      </c>
      <c r="D234">
        <v>-11987</v>
      </c>
      <c r="E234">
        <v>-14934</v>
      </c>
      <c r="G234">
        <v>-13989</v>
      </c>
      <c r="H234">
        <v>-25670</v>
      </c>
      <c r="I234">
        <v>0</v>
      </c>
    </row>
    <row r="235" spans="1:9" x14ac:dyDescent="0.35">
      <c r="A235" s="51">
        <v>35514</v>
      </c>
      <c r="B235">
        <v>895</v>
      </c>
      <c r="D235">
        <v>-14532</v>
      </c>
      <c r="E235">
        <v>-14738</v>
      </c>
      <c r="G235">
        <v>-10923</v>
      </c>
      <c r="H235">
        <v>-27027</v>
      </c>
      <c r="I235">
        <v>200</v>
      </c>
    </row>
    <row r="236" spans="1:9" x14ac:dyDescent="0.35">
      <c r="A236" s="51">
        <v>35521</v>
      </c>
      <c r="B236">
        <v>254</v>
      </c>
      <c r="D236">
        <v>-14733</v>
      </c>
      <c r="E236">
        <v>-15126</v>
      </c>
      <c r="G236">
        <v>8318</v>
      </c>
      <c r="H236">
        <v>-23733</v>
      </c>
      <c r="I236">
        <v>1266</v>
      </c>
    </row>
    <row r="237" spans="1:9" x14ac:dyDescent="0.35">
      <c r="A237" s="51">
        <v>35528</v>
      </c>
      <c r="B237">
        <v>-745</v>
      </c>
      <c r="D237">
        <v>-17249</v>
      </c>
      <c r="E237">
        <v>-16664</v>
      </c>
      <c r="G237">
        <v>8987</v>
      </c>
      <c r="H237">
        <v>-30640</v>
      </c>
      <c r="I237">
        <v>415</v>
      </c>
    </row>
    <row r="238" spans="1:9" x14ac:dyDescent="0.35">
      <c r="A238" s="51">
        <v>35535</v>
      </c>
      <c r="B238">
        <v>-488</v>
      </c>
      <c r="D238">
        <v>-16240</v>
      </c>
      <c r="E238">
        <v>-16791</v>
      </c>
      <c r="G238">
        <v>8513</v>
      </c>
      <c r="H238">
        <v>-33614</v>
      </c>
      <c r="I238">
        <v>1764</v>
      </c>
    </row>
    <row r="239" spans="1:9" x14ac:dyDescent="0.35">
      <c r="A239" s="51">
        <v>35542</v>
      </c>
      <c r="B239">
        <v>-489</v>
      </c>
      <c r="D239">
        <v>-16178</v>
      </c>
      <c r="E239">
        <v>-16579</v>
      </c>
      <c r="G239">
        <v>9534</v>
      </c>
      <c r="H239">
        <v>-33594</v>
      </c>
      <c r="I239">
        <v>2438</v>
      </c>
    </row>
    <row r="240" spans="1:9" x14ac:dyDescent="0.35">
      <c r="A240" s="51">
        <v>35549</v>
      </c>
      <c r="B240">
        <v>-703</v>
      </c>
      <c r="D240">
        <v>-14470</v>
      </c>
      <c r="E240">
        <v>-16923</v>
      </c>
      <c r="G240">
        <v>12230</v>
      </c>
      <c r="H240">
        <v>-35863</v>
      </c>
      <c r="I240">
        <v>1121</v>
      </c>
    </row>
    <row r="241" spans="1:9" x14ac:dyDescent="0.35">
      <c r="A241" s="51">
        <v>35556</v>
      </c>
      <c r="B241">
        <v>-57</v>
      </c>
      <c r="D241">
        <v>-8540</v>
      </c>
      <c r="E241">
        <v>-12280</v>
      </c>
      <c r="G241">
        <v>8171</v>
      </c>
      <c r="H241">
        <v>-29805</v>
      </c>
      <c r="I241">
        <v>1372</v>
      </c>
    </row>
    <row r="242" spans="1:9" x14ac:dyDescent="0.35">
      <c r="A242" s="51">
        <v>35563</v>
      </c>
      <c r="B242">
        <v>-490</v>
      </c>
      <c r="D242">
        <v>-10082</v>
      </c>
      <c r="E242">
        <v>9949</v>
      </c>
      <c r="G242">
        <v>7370</v>
      </c>
      <c r="H242">
        <v>6971</v>
      </c>
      <c r="I242">
        <v>42</v>
      </c>
    </row>
    <row r="243" spans="1:9" x14ac:dyDescent="0.35">
      <c r="A243" s="51">
        <v>35570</v>
      </c>
      <c r="B243">
        <v>-662</v>
      </c>
      <c r="D243">
        <v>-3263</v>
      </c>
      <c r="E243">
        <v>14379</v>
      </c>
      <c r="G243">
        <v>11111</v>
      </c>
      <c r="H243">
        <v>13580</v>
      </c>
      <c r="I243">
        <v>655</v>
      </c>
    </row>
    <row r="244" spans="1:9" x14ac:dyDescent="0.35">
      <c r="A244" s="51">
        <v>35577</v>
      </c>
      <c r="B244">
        <v>-5078</v>
      </c>
      <c r="D244">
        <v>461</v>
      </c>
      <c r="E244">
        <v>15318</v>
      </c>
      <c r="G244">
        <v>10967</v>
      </c>
      <c r="H244">
        <v>9947</v>
      </c>
      <c r="I244">
        <v>504</v>
      </c>
    </row>
    <row r="245" spans="1:9" x14ac:dyDescent="0.35">
      <c r="A245" s="51">
        <v>35584</v>
      </c>
      <c r="B245">
        <v>-6631</v>
      </c>
      <c r="D245">
        <v>-33</v>
      </c>
      <c r="E245">
        <v>11525</v>
      </c>
      <c r="G245">
        <v>11174</v>
      </c>
      <c r="H245">
        <v>10839</v>
      </c>
      <c r="I245">
        <v>820</v>
      </c>
    </row>
    <row r="246" spans="1:9" x14ac:dyDescent="0.35">
      <c r="A246" s="51">
        <v>35591</v>
      </c>
      <c r="B246">
        <v>-6048</v>
      </c>
      <c r="D246">
        <v>-3014</v>
      </c>
      <c r="E246">
        <v>-9946</v>
      </c>
      <c r="G246">
        <v>10422</v>
      </c>
      <c r="H246">
        <v>10305</v>
      </c>
      <c r="I246">
        <v>634</v>
      </c>
    </row>
    <row r="247" spans="1:9" x14ac:dyDescent="0.35">
      <c r="A247" s="51">
        <v>35598</v>
      </c>
      <c r="B247">
        <v>-7466</v>
      </c>
      <c r="D247">
        <v>-1745</v>
      </c>
      <c r="E247">
        <v>-9745</v>
      </c>
      <c r="G247">
        <v>12199</v>
      </c>
      <c r="H247">
        <v>4461</v>
      </c>
      <c r="I247">
        <v>272</v>
      </c>
    </row>
    <row r="248" spans="1:9" x14ac:dyDescent="0.35">
      <c r="A248" s="51">
        <v>35605</v>
      </c>
      <c r="B248">
        <v>-6826</v>
      </c>
      <c r="D248">
        <v>-3653</v>
      </c>
      <c r="E248">
        <v>-4970</v>
      </c>
      <c r="G248">
        <v>24302</v>
      </c>
      <c r="H248">
        <v>1138</v>
      </c>
      <c r="I248">
        <v>-1896</v>
      </c>
    </row>
    <row r="249" spans="1:9" x14ac:dyDescent="0.35">
      <c r="A249" s="51">
        <v>35612</v>
      </c>
      <c r="B249">
        <v>-7144</v>
      </c>
      <c r="D249">
        <v>-3605</v>
      </c>
      <c r="E249">
        <v>-12855</v>
      </c>
      <c r="G249">
        <v>21986</v>
      </c>
      <c r="H249">
        <v>2468</v>
      </c>
      <c r="I249">
        <v>-1185</v>
      </c>
    </row>
    <row r="250" spans="1:9" x14ac:dyDescent="0.35">
      <c r="A250" s="51">
        <v>35619</v>
      </c>
      <c r="B250">
        <v>-8099</v>
      </c>
      <c r="D250">
        <v>-1096</v>
      </c>
      <c r="E250">
        <v>-20293</v>
      </c>
      <c r="G250">
        <v>27277</v>
      </c>
      <c r="H250">
        <v>8191</v>
      </c>
      <c r="I250">
        <v>259</v>
      </c>
    </row>
    <row r="251" spans="1:9" x14ac:dyDescent="0.35">
      <c r="A251" s="51">
        <v>35626</v>
      </c>
      <c r="B251">
        <v>-8703</v>
      </c>
      <c r="D251">
        <v>-2548</v>
      </c>
      <c r="E251">
        <v>-16728</v>
      </c>
      <c r="G251">
        <v>26956</v>
      </c>
      <c r="H251">
        <v>-1594</v>
      </c>
      <c r="I251">
        <v>663</v>
      </c>
    </row>
    <row r="252" spans="1:9" x14ac:dyDescent="0.35">
      <c r="A252" s="51">
        <v>35633</v>
      </c>
      <c r="B252">
        <v>-8461</v>
      </c>
      <c r="D252">
        <v>-1074</v>
      </c>
      <c r="E252">
        <v>-17755</v>
      </c>
      <c r="G252">
        <v>26094</v>
      </c>
      <c r="H252">
        <v>-2617</v>
      </c>
      <c r="I252">
        <v>1286</v>
      </c>
    </row>
    <row r="253" spans="1:9" x14ac:dyDescent="0.35">
      <c r="A253" s="51">
        <v>35640</v>
      </c>
      <c r="B253">
        <v>-7270</v>
      </c>
      <c r="D253">
        <v>-4934</v>
      </c>
      <c r="E253">
        <v>-21234</v>
      </c>
      <c r="G253">
        <v>-830</v>
      </c>
      <c r="H253">
        <v>-22087</v>
      </c>
      <c r="I253">
        <v>453</v>
      </c>
    </row>
    <row r="254" spans="1:9" x14ac:dyDescent="0.35">
      <c r="A254" s="51">
        <v>35647</v>
      </c>
      <c r="B254">
        <v>-5599</v>
      </c>
      <c r="D254">
        <v>-4163</v>
      </c>
      <c r="E254">
        <v>-22222</v>
      </c>
      <c r="G254">
        <v>-5168</v>
      </c>
      <c r="H254">
        <v>-29326</v>
      </c>
      <c r="I254">
        <v>2772</v>
      </c>
    </row>
    <row r="255" spans="1:9" x14ac:dyDescent="0.35">
      <c r="A255" s="51">
        <v>35654</v>
      </c>
      <c r="B255">
        <v>-6017</v>
      </c>
      <c r="D255">
        <v>-8948</v>
      </c>
      <c r="E255">
        <v>-17201</v>
      </c>
      <c r="G255">
        <v>-12770</v>
      </c>
      <c r="H255">
        <v>-24325</v>
      </c>
      <c r="I255">
        <v>3304</v>
      </c>
    </row>
    <row r="256" spans="1:9" x14ac:dyDescent="0.35">
      <c r="A256" s="51">
        <v>35661</v>
      </c>
      <c r="B256">
        <v>-5457</v>
      </c>
      <c r="D256">
        <v>-14432</v>
      </c>
      <c r="E256">
        <v>-15168</v>
      </c>
      <c r="G256">
        <v>-13339</v>
      </c>
      <c r="H256">
        <v>-26730</v>
      </c>
      <c r="I256">
        <v>3850</v>
      </c>
    </row>
    <row r="257" spans="1:9" x14ac:dyDescent="0.35">
      <c r="A257" s="51">
        <v>35668</v>
      </c>
      <c r="B257">
        <v>-4392</v>
      </c>
      <c r="D257">
        <v>-15188</v>
      </c>
      <c r="E257">
        <v>-10555</v>
      </c>
      <c r="G257">
        <v>-11955</v>
      </c>
      <c r="H257">
        <v>-22748</v>
      </c>
      <c r="I257">
        <v>5237</v>
      </c>
    </row>
    <row r="258" spans="1:9" x14ac:dyDescent="0.35">
      <c r="A258" s="51">
        <v>35675</v>
      </c>
      <c r="B258">
        <v>-5734</v>
      </c>
      <c r="D258">
        <v>-5755</v>
      </c>
      <c r="E258">
        <v>-11054</v>
      </c>
      <c r="G258">
        <v>-11481</v>
      </c>
      <c r="H258">
        <v>-29314</v>
      </c>
      <c r="I258">
        <v>5131</v>
      </c>
    </row>
    <row r="259" spans="1:9" x14ac:dyDescent="0.35">
      <c r="A259" s="51">
        <v>35682</v>
      </c>
      <c r="B259">
        <v>-6658</v>
      </c>
      <c r="D259">
        <v>-2913</v>
      </c>
      <c r="E259">
        <v>-8767</v>
      </c>
      <c r="G259">
        <v>-10321</v>
      </c>
      <c r="H259">
        <v>-20403</v>
      </c>
      <c r="I259">
        <v>5497</v>
      </c>
    </row>
    <row r="260" spans="1:9" x14ac:dyDescent="0.35">
      <c r="A260" s="51">
        <v>35689</v>
      </c>
      <c r="B260">
        <v>-8604</v>
      </c>
      <c r="D260">
        <v>-9130</v>
      </c>
      <c r="E260">
        <v>8239</v>
      </c>
      <c r="G260">
        <v>-11260</v>
      </c>
      <c r="H260">
        <v>-23221</v>
      </c>
      <c r="I260">
        <v>7475</v>
      </c>
    </row>
    <row r="261" spans="1:9" x14ac:dyDescent="0.35">
      <c r="A261" s="51">
        <v>35696</v>
      </c>
      <c r="B261">
        <v>-8868</v>
      </c>
      <c r="D261">
        <v>-10071</v>
      </c>
      <c r="E261">
        <v>8471</v>
      </c>
      <c r="G261">
        <v>-9706</v>
      </c>
      <c r="H261">
        <v>-25155</v>
      </c>
      <c r="I261">
        <v>7071</v>
      </c>
    </row>
    <row r="262" spans="1:9" x14ac:dyDescent="0.35">
      <c r="A262" s="51">
        <v>35703</v>
      </c>
      <c r="B262">
        <v>-8828</v>
      </c>
      <c r="D262">
        <v>-1729</v>
      </c>
      <c r="E262">
        <v>10791</v>
      </c>
      <c r="G262">
        <v>-7307</v>
      </c>
      <c r="H262">
        <v>-26133</v>
      </c>
      <c r="I262">
        <v>6263</v>
      </c>
    </row>
    <row r="263" spans="1:9" x14ac:dyDescent="0.35">
      <c r="A263" s="51">
        <v>35710</v>
      </c>
      <c r="B263">
        <v>-7774</v>
      </c>
      <c r="D263">
        <v>10291</v>
      </c>
      <c r="E263">
        <v>15987</v>
      </c>
      <c r="G263">
        <v>-5777</v>
      </c>
      <c r="H263">
        <v>-33002</v>
      </c>
      <c r="I263">
        <v>5383</v>
      </c>
    </row>
    <row r="264" spans="1:9" x14ac:dyDescent="0.35">
      <c r="A264" s="51">
        <v>35717</v>
      </c>
      <c r="B264">
        <v>-5369</v>
      </c>
      <c r="D264">
        <v>2040</v>
      </c>
      <c r="E264">
        <v>13583</v>
      </c>
      <c r="G264">
        <v>-6012</v>
      </c>
      <c r="H264">
        <v>-18769</v>
      </c>
      <c r="I264">
        <v>7344</v>
      </c>
    </row>
    <row r="265" spans="1:9" x14ac:dyDescent="0.35">
      <c r="A265" s="51">
        <v>35724</v>
      </c>
      <c r="B265">
        <v>-6200</v>
      </c>
      <c r="D265">
        <v>-8155</v>
      </c>
      <c r="E265">
        <v>1646</v>
      </c>
      <c r="G265">
        <v>-111</v>
      </c>
      <c r="H265">
        <v>-10907</v>
      </c>
      <c r="I265">
        <v>7260</v>
      </c>
    </row>
    <row r="266" spans="1:9" x14ac:dyDescent="0.35">
      <c r="A266" s="51">
        <v>35731</v>
      </c>
      <c r="B266">
        <v>-9175</v>
      </c>
      <c r="D266">
        <v>-26066</v>
      </c>
      <c r="E266">
        <v>10176</v>
      </c>
      <c r="G266">
        <v>20105</v>
      </c>
      <c r="H266">
        <v>-16255</v>
      </c>
      <c r="I266">
        <v>4063</v>
      </c>
    </row>
    <row r="267" spans="1:9" x14ac:dyDescent="0.35">
      <c r="A267" s="51">
        <v>35738</v>
      </c>
      <c r="B267">
        <v>-8508</v>
      </c>
      <c r="D267">
        <v>-25503</v>
      </c>
      <c r="E267">
        <v>12113</v>
      </c>
      <c r="G267">
        <v>19482</v>
      </c>
      <c r="H267">
        <v>-20842</v>
      </c>
      <c r="I267">
        <v>1550</v>
      </c>
    </row>
    <row r="268" spans="1:9" x14ac:dyDescent="0.35">
      <c r="A268" s="51">
        <v>35745</v>
      </c>
      <c r="B268">
        <v>-8162</v>
      </c>
      <c r="D268">
        <v>-22096</v>
      </c>
      <c r="E268">
        <v>16168</v>
      </c>
      <c r="G268">
        <v>24809</v>
      </c>
      <c r="H268">
        <v>-34135</v>
      </c>
      <c r="I268">
        <v>638</v>
      </c>
    </row>
    <row r="269" spans="1:9" x14ac:dyDescent="0.35">
      <c r="A269" s="51">
        <v>35752</v>
      </c>
      <c r="B269">
        <v>-7924</v>
      </c>
      <c r="D269">
        <v>-21731</v>
      </c>
      <c r="E269">
        <v>17238</v>
      </c>
      <c r="G269">
        <v>28441</v>
      </c>
      <c r="H269">
        <v>-37522</v>
      </c>
      <c r="I269">
        <v>204</v>
      </c>
    </row>
    <row r="270" spans="1:9" x14ac:dyDescent="0.35">
      <c r="A270" s="51">
        <v>35759</v>
      </c>
      <c r="B270">
        <v>-7752</v>
      </c>
      <c r="D270">
        <v>-20917</v>
      </c>
      <c r="E270">
        <v>16984</v>
      </c>
      <c r="G270">
        <v>24303</v>
      </c>
      <c r="H270">
        <v>-40207</v>
      </c>
      <c r="I270">
        <v>-798</v>
      </c>
    </row>
    <row r="271" spans="1:9" x14ac:dyDescent="0.35">
      <c r="A271" s="51">
        <v>35766</v>
      </c>
      <c r="B271">
        <v>-7837</v>
      </c>
      <c r="D271">
        <v>-19508</v>
      </c>
      <c r="E271">
        <v>11123</v>
      </c>
      <c r="G271">
        <v>24343</v>
      </c>
      <c r="H271">
        <v>-43148</v>
      </c>
      <c r="I271">
        <v>-683</v>
      </c>
    </row>
    <row r="272" spans="1:9" x14ac:dyDescent="0.35">
      <c r="A272" s="51">
        <v>35773</v>
      </c>
      <c r="B272">
        <v>-8075</v>
      </c>
      <c r="D272">
        <v>-18778</v>
      </c>
      <c r="E272">
        <v>-17831</v>
      </c>
      <c r="G272">
        <v>5967</v>
      </c>
      <c r="H272">
        <v>-43600</v>
      </c>
      <c r="I272">
        <v>2728</v>
      </c>
    </row>
    <row r="273" spans="1:9" x14ac:dyDescent="0.35">
      <c r="A273" s="51">
        <v>35780</v>
      </c>
      <c r="B273">
        <v>-8604</v>
      </c>
      <c r="D273">
        <v>-16209</v>
      </c>
      <c r="E273">
        <v>-13437</v>
      </c>
      <c r="G273">
        <v>-1656</v>
      </c>
      <c r="H273">
        <v>-43086</v>
      </c>
      <c r="I273">
        <v>1521</v>
      </c>
    </row>
    <row r="274" spans="1:9" x14ac:dyDescent="0.35">
      <c r="A274" s="51">
        <v>35787</v>
      </c>
      <c r="B274">
        <v>-7966</v>
      </c>
      <c r="D274">
        <v>-20384</v>
      </c>
      <c r="E274">
        <v>-12562</v>
      </c>
      <c r="G274">
        <v>-1503</v>
      </c>
      <c r="H274">
        <v>-35407</v>
      </c>
      <c r="I274">
        <v>-412</v>
      </c>
    </row>
    <row r="275" spans="1:9" x14ac:dyDescent="0.35">
      <c r="A275" s="51">
        <v>35794</v>
      </c>
      <c r="B275">
        <v>-7956</v>
      </c>
      <c r="D275">
        <v>-21397</v>
      </c>
      <c r="E275">
        <v>-15883</v>
      </c>
      <c r="G275">
        <v>-381</v>
      </c>
      <c r="H275">
        <v>-33958</v>
      </c>
      <c r="I275">
        <v>-490</v>
      </c>
    </row>
    <row r="276" spans="1:9" x14ac:dyDescent="0.35">
      <c r="A276" s="51">
        <v>35801</v>
      </c>
      <c r="B276">
        <v>-8833</v>
      </c>
      <c r="D276">
        <v>-19269</v>
      </c>
      <c r="E276">
        <v>-20783</v>
      </c>
      <c r="G276">
        <v>-3620</v>
      </c>
      <c r="H276">
        <v>-42053</v>
      </c>
      <c r="I276">
        <v>-252</v>
      </c>
    </row>
    <row r="277" spans="1:9" x14ac:dyDescent="0.35">
      <c r="A277" s="51">
        <v>35808</v>
      </c>
      <c r="B277">
        <v>-8868</v>
      </c>
      <c r="D277">
        <v>-14732</v>
      </c>
      <c r="E277">
        <v>-22275</v>
      </c>
      <c r="G277">
        <v>-4560</v>
      </c>
      <c r="H277">
        <v>-37612</v>
      </c>
      <c r="I277">
        <v>764</v>
      </c>
    </row>
    <row r="278" spans="1:9" x14ac:dyDescent="0.35">
      <c r="A278" s="51">
        <v>35815</v>
      </c>
      <c r="B278">
        <v>-6204</v>
      </c>
      <c r="D278">
        <v>-13732</v>
      </c>
      <c r="E278">
        <v>-28458</v>
      </c>
      <c r="G278">
        <v>-4240</v>
      </c>
      <c r="H278">
        <v>-30261</v>
      </c>
      <c r="I278">
        <v>58</v>
      </c>
    </row>
    <row r="279" spans="1:9" x14ac:dyDescent="0.35">
      <c r="A279" s="51">
        <v>35822</v>
      </c>
      <c r="B279">
        <v>-3862</v>
      </c>
      <c r="D279">
        <v>-16912</v>
      </c>
      <c r="E279">
        <v>-14522</v>
      </c>
      <c r="G279">
        <v>3276</v>
      </c>
      <c r="H279">
        <v>-22630</v>
      </c>
      <c r="I279">
        <v>2513</v>
      </c>
    </row>
    <row r="280" spans="1:9" x14ac:dyDescent="0.35">
      <c r="A280" s="51">
        <v>35829</v>
      </c>
      <c r="B280">
        <v>-1017</v>
      </c>
      <c r="D280">
        <v>-15670</v>
      </c>
      <c r="E280">
        <v>-12809</v>
      </c>
      <c r="G280">
        <v>2687</v>
      </c>
      <c r="H280">
        <v>-24272</v>
      </c>
      <c r="I280">
        <v>3039</v>
      </c>
    </row>
    <row r="281" spans="1:9" x14ac:dyDescent="0.35">
      <c r="A281" s="51">
        <v>35836</v>
      </c>
      <c r="B281">
        <v>-1795</v>
      </c>
      <c r="D281">
        <v>-7988</v>
      </c>
      <c r="E281">
        <v>-13343</v>
      </c>
      <c r="G281">
        <v>1838</v>
      </c>
      <c r="H281">
        <v>-877</v>
      </c>
      <c r="I281">
        <v>3188</v>
      </c>
    </row>
    <row r="282" spans="1:9" x14ac:dyDescent="0.35">
      <c r="A282" s="51">
        <v>35843</v>
      </c>
      <c r="B282">
        <v>-2179</v>
      </c>
      <c r="D282">
        <v>-9049</v>
      </c>
      <c r="E282">
        <v>-14222</v>
      </c>
      <c r="G282">
        <v>1615</v>
      </c>
      <c r="H282">
        <v>-6623</v>
      </c>
      <c r="I282">
        <v>3332</v>
      </c>
    </row>
    <row r="283" spans="1:9" x14ac:dyDescent="0.35">
      <c r="A283" s="51">
        <v>35850</v>
      </c>
      <c r="B283">
        <v>-1884</v>
      </c>
      <c r="D283">
        <v>-3731</v>
      </c>
      <c r="E283">
        <v>-12255</v>
      </c>
      <c r="G283">
        <v>3668</v>
      </c>
      <c r="H283">
        <v>-9248</v>
      </c>
      <c r="I283">
        <v>254</v>
      </c>
    </row>
    <row r="284" spans="1:9" x14ac:dyDescent="0.35">
      <c r="A284" s="51">
        <v>35857</v>
      </c>
      <c r="B284">
        <v>-1173</v>
      </c>
      <c r="D284">
        <v>-4000</v>
      </c>
      <c r="E284">
        <v>-13317</v>
      </c>
      <c r="G284">
        <v>5309</v>
      </c>
      <c r="H284">
        <v>-8939</v>
      </c>
      <c r="I284">
        <v>2464</v>
      </c>
    </row>
    <row r="285" spans="1:9" x14ac:dyDescent="0.35">
      <c r="A285" s="51">
        <v>35864</v>
      </c>
      <c r="B285">
        <v>-3270</v>
      </c>
      <c r="D285">
        <v>3194</v>
      </c>
      <c r="E285">
        <v>-22605</v>
      </c>
      <c r="G285">
        <v>-249</v>
      </c>
      <c r="H285">
        <v>-14117</v>
      </c>
      <c r="I285">
        <v>3397</v>
      </c>
    </row>
    <row r="286" spans="1:9" x14ac:dyDescent="0.35">
      <c r="A286" s="51">
        <v>35871</v>
      </c>
      <c r="B286">
        <v>-3482</v>
      </c>
      <c r="D286">
        <v>4887</v>
      </c>
      <c r="E286">
        <v>-18025</v>
      </c>
      <c r="G286">
        <v>10879</v>
      </c>
      <c r="H286">
        <v>-21116</v>
      </c>
      <c r="I286">
        <v>3230</v>
      </c>
    </row>
    <row r="287" spans="1:9" x14ac:dyDescent="0.35">
      <c r="A287" s="51">
        <v>35878</v>
      </c>
      <c r="B287">
        <v>-3270</v>
      </c>
      <c r="D287">
        <v>4074</v>
      </c>
      <c r="E287">
        <v>-23731</v>
      </c>
      <c r="G287">
        <v>13076</v>
      </c>
      <c r="H287">
        <v>-32105</v>
      </c>
      <c r="I287">
        <v>4865</v>
      </c>
    </row>
    <row r="288" spans="1:9" x14ac:dyDescent="0.35">
      <c r="A288" s="51">
        <v>35885</v>
      </c>
      <c r="B288">
        <v>-2764</v>
      </c>
      <c r="D288">
        <v>4118</v>
      </c>
      <c r="E288">
        <v>-27004</v>
      </c>
      <c r="G288">
        <v>13590</v>
      </c>
      <c r="H288">
        <v>-42798</v>
      </c>
      <c r="I288">
        <v>1943</v>
      </c>
    </row>
    <row r="289" spans="1:9" x14ac:dyDescent="0.35">
      <c r="A289" s="51">
        <v>35892</v>
      </c>
      <c r="B289">
        <v>-3332</v>
      </c>
      <c r="D289">
        <v>2768</v>
      </c>
      <c r="E289">
        <v>-30014</v>
      </c>
      <c r="G289">
        <v>11810</v>
      </c>
      <c r="H289">
        <v>-55925</v>
      </c>
      <c r="I289">
        <v>813</v>
      </c>
    </row>
    <row r="290" spans="1:9" x14ac:dyDescent="0.35">
      <c r="A290" s="51">
        <v>35899</v>
      </c>
      <c r="B290">
        <v>-6050</v>
      </c>
      <c r="D290">
        <v>-3614</v>
      </c>
      <c r="E290">
        <v>-19237</v>
      </c>
      <c r="G290">
        <v>13358</v>
      </c>
      <c r="H290">
        <v>-37264</v>
      </c>
      <c r="I290">
        <v>2454</v>
      </c>
    </row>
    <row r="291" spans="1:9" x14ac:dyDescent="0.35">
      <c r="A291" s="51">
        <v>35906</v>
      </c>
      <c r="B291">
        <v>-6814</v>
      </c>
      <c r="D291">
        <v>-7390</v>
      </c>
      <c r="E291">
        <v>-14866</v>
      </c>
      <c r="G291">
        <v>17797</v>
      </c>
      <c r="H291">
        <v>-39323</v>
      </c>
      <c r="I291">
        <v>3981</v>
      </c>
    </row>
    <row r="292" spans="1:9" x14ac:dyDescent="0.35">
      <c r="A292" s="51">
        <v>35913</v>
      </c>
      <c r="B292">
        <v>-7053</v>
      </c>
      <c r="D292">
        <v>-8879</v>
      </c>
      <c r="E292">
        <v>-14322</v>
      </c>
      <c r="G292">
        <v>10518</v>
      </c>
      <c r="H292">
        <v>-30425</v>
      </c>
      <c r="I292">
        <v>2542</v>
      </c>
    </row>
    <row r="293" spans="1:9" x14ac:dyDescent="0.35">
      <c r="A293" s="51">
        <v>35920</v>
      </c>
      <c r="B293">
        <v>-7405</v>
      </c>
      <c r="D293">
        <v>-9320</v>
      </c>
      <c r="E293">
        <v>-12672</v>
      </c>
      <c r="G293">
        <v>6131</v>
      </c>
      <c r="H293">
        <v>-26741</v>
      </c>
      <c r="I293">
        <v>5208</v>
      </c>
    </row>
    <row r="294" spans="1:9" x14ac:dyDescent="0.35">
      <c r="A294" s="51">
        <v>35927</v>
      </c>
      <c r="B294">
        <v>-7771</v>
      </c>
      <c r="D294">
        <v>-9503</v>
      </c>
      <c r="E294">
        <v>-7291</v>
      </c>
      <c r="G294">
        <v>-12075</v>
      </c>
      <c r="H294">
        <v>-31922</v>
      </c>
      <c r="I294">
        <v>4297</v>
      </c>
    </row>
    <row r="295" spans="1:9" x14ac:dyDescent="0.35">
      <c r="A295" s="51">
        <v>35934</v>
      </c>
      <c r="B295">
        <v>-8906</v>
      </c>
      <c r="D295">
        <v>-19175</v>
      </c>
      <c r="E295">
        <v>-8494</v>
      </c>
      <c r="G295">
        <v>-19157</v>
      </c>
      <c r="H295">
        <v>-53426</v>
      </c>
      <c r="I295">
        <v>2440</v>
      </c>
    </row>
    <row r="296" spans="1:9" x14ac:dyDescent="0.35">
      <c r="A296" s="51">
        <v>35941</v>
      </c>
      <c r="B296">
        <v>-8319</v>
      </c>
      <c r="D296">
        <v>-18768</v>
      </c>
      <c r="E296">
        <v>11107</v>
      </c>
      <c r="G296">
        <v>-16913</v>
      </c>
      <c r="H296">
        <v>-63478</v>
      </c>
      <c r="I296">
        <v>-672</v>
      </c>
    </row>
    <row r="297" spans="1:9" x14ac:dyDescent="0.35">
      <c r="A297" s="51">
        <v>35948</v>
      </c>
      <c r="B297">
        <v>-8628</v>
      </c>
      <c r="D297">
        <v>-19285</v>
      </c>
      <c r="E297">
        <v>6273</v>
      </c>
      <c r="G297">
        <v>-18164</v>
      </c>
      <c r="H297">
        <v>-58207</v>
      </c>
      <c r="I297">
        <v>-2020</v>
      </c>
    </row>
    <row r="298" spans="1:9" x14ac:dyDescent="0.35">
      <c r="A298" s="51">
        <v>35955</v>
      </c>
      <c r="B298">
        <v>-7939</v>
      </c>
      <c r="D298">
        <v>-19367</v>
      </c>
      <c r="E298">
        <v>6531</v>
      </c>
      <c r="G298">
        <v>-16877</v>
      </c>
      <c r="H298">
        <v>-60795</v>
      </c>
      <c r="I298">
        <v>-1069</v>
      </c>
    </row>
    <row r="299" spans="1:9" x14ac:dyDescent="0.35">
      <c r="A299" s="51">
        <v>35962</v>
      </c>
      <c r="B299">
        <v>-9109</v>
      </c>
      <c r="D299">
        <v>-24781</v>
      </c>
      <c r="E299">
        <v>-22981</v>
      </c>
      <c r="G299">
        <v>-11925</v>
      </c>
      <c r="H299">
        <v>-46747</v>
      </c>
      <c r="I299">
        <v>-1611</v>
      </c>
    </row>
    <row r="300" spans="1:9" x14ac:dyDescent="0.35">
      <c r="A300" s="51">
        <v>35969</v>
      </c>
      <c r="B300">
        <v>-5707</v>
      </c>
      <c r="D300">
        <v>-21656</v>
      </c>
      <c r="E300">
        <v>-25380</v>
      </c>
      <c r="G300">
        <v>17132</v>
      </c>
      <c r="H300">
        <v>-28871</v>
      </c>
      <c r="I300">
        <v>-78</v>
      </c>
    </row>
    <row r="301" spans="1:9" x14ac:dyDescent="0.35">
      <c r="A301" s="51">
        <v>35976</v>
      </c>
      <c r="B301">
        <v>-4680</v>
      </c>
      <c r="D301">
        <v>-22497</v>
      </c>
      <c r="E301">
        <v>-34301</v>
      </c>
      <c r="G301">
        <v>17799</v>
      </c>
      <c r="H301">
        <v>-28973</v>
      </c>
      <c r="I301">
        <v>-47</v>
      </c>
    </row>
    <row r="302" spans="1:9" x14ac:dyDescent="0.35">
      <c r="A302" s="51">
        <v>35983</v>
      </c>
      <c r="B302">
        <v>-3920</v>
      </c>
      <c r="D302">
        <v>-21148</v>
      </c>
      <c r="E302">
        <v>-36438</v>
      </c>
      <c r="G302">
        <v>4208</v>
      </c>
      <c r="H302">
        <v>-30045</v>
      </c>
      <c r="I302">
        <v>1073</v>
      </c>
    </row>
    <row r="303" spans="1:9" x14ac:dyDescent="0.35">
      <c r="A303" s="51">
        <v>35990</v>
      </c>
      <c r="B303">
        <v>-3381</v>
      </c>
      <c r="D303">
        <v>-18804</v>
      </c>
      <c r="E303">
        <v>-32851</v>
      </c>
      <c r="G303">
        <v>-1095</v>
      </c>
      <c r="H303">
        <v>-33107</v>
      </c>
      <c r="I303">
        <v>2730</v>
      </c>
    </row>
    <row r="304" spans="1:9" x14ac:dyDescent="0.35">
      <c r="A304" s="51">
        <v>35997</v>
      </c>
      <c r="B304">
        <v>-1946</v>
      </c>
      <c r="D304">
        <v>-20194</v>
      </c>
      <c r="E304">
        <v>-29060</v>
      </c>
      <c r="G304">
        <v>-2511</v>
      </c>
      <c r="H304">
        <v>-32202</v>
      </c>
      <c r="I304">
        <v>4453</v>
      </c>
    </row>
    <row r="305" spans="1:9" x14ac:dyDescent="0.35">
      <c r="A305" s="51">
        <v>36004</v>
      </c>
      <c r="B305">
        <v>-2408</v>
      </c>
      <c r="D305">
        <v>-22338</v>
      </c>
      <c r="E305">
        <v>-20028</v>
      </c>
      <c r="G305">
        <v>4731</v>
      </c>
      <c r="H305">
        <v>-37924</v>
      </c>
      <c r="I305">
        <v>3696</v>
      </c>
    </row>
    <row r="306" spans="1:9" x14ac:dyDescent="0.35">
      <c r="A306" s="51">
        <v>36011</v>
      </c>
      <c r="B306">
        <v>-2384</v>
      </c>
      <c r="D306">
        <v>-23332</v>
      </c>
      <c r="E306">
        <v>-8641</v>
      </c>
      <c r="G306">
        <v>-2628</v>
      </c>
      <c r="H306">
        <v>-45708</v>
      </c>
      <c r="I306">
        <v>3265</v>
      </c>
    </row>
    <row r="307" spans="1:9" x14ac:dyDescent="0.35">
      <c r="A307" s="51">
        <v>36018</v>
      </c>
      <c r="B307">
        <v>-2830</v>
      </c>
      <c r="D307">
        <v>-21831</v>
      </c>
      <c r="E307">
        <v>-6189</v>
      </c>
      <c r="G307">
        <v>-4266</v>
      </c>
      <c r="H307">
        <v>-54698</v>
      </c>
      <c r="I307">
        <v>787</v>
      </c>
    </row>
    <row r="308" spans="1:9" x14ac:dyDescent="0.35">
      <c r="A308" s="51">
        <v>36025</v>
      </c>
      <c r="B308">
        <v>-2995</v>
      </c>
      <c r="D308">
        <v>-22653</v>
      </c>
      <c r="E308">
        <v>-6146</v>
      </c>
      <c r="G308">
        <v>-26591</v>
      </c>
      <c r="H308">
        <v>-43425</v>
      </c>
      <c r="I308">
        <v>-819</v>
      </c>
    </row>
    <row r="309" spans="1:9" x14ac:dyDescent="0.35">
      <c r="A309" s="51">
        <v>36032</v>
      </c>
      <c r="B309">
        <v>-6413</v>
      </c>
      <c r="D309">
        <v>-22301</v>
      </c>
      <c r="E309">
        <v>-4850</v>
      </c>
      <c r="G309">
        <v>-13352</v>
      </c>
      <c r="H309">
        <v>-41682</v>
      </c>
      <c r="I309">
        <v>-2178</v>
      </c>
    </row>
    <row r="310" spans="1:9" x14ac:dyDescent="0.35">
      <c r="A310" s="51">
        <v>36039</v>
      </c>
      <c r="B310">
        <v>-8624</v>
      </c>
      <c r="D310">
        <v>-11021</v>
      </c>
      <c r="E310">
        <v>26604</v>
      </c>
      <c r="G310">
        <v>21739</v>
      </c>
      <c r="H310">
        <v>-15317</v>
      </c>
      <c r="I310">
        <v>-2247</v>
      </c>
    </row>
    <row r="311" spans="1:9" x14ac:dyDescent="0.35">
      <c r="A311" s="51">
        <v>36046</v>
      </c>
      <c r="B311">
        <v>-8168</v>
      </c>
      <c r="D311">
        <v>-7682</v>
      </c>
      <c r="E311">
        <v>27678</v>
      </c>
      <c r="G311">
        <v>22054</v>
      </c>
      <c r="H311">
        <v>8430</v>
      </c>
      <c r="I311">
        <v>-2283</v>
      </c>
    </row>
    <row r="312" spans="1:9" x14ac:dyDescent="0.35">
      <c r="A312" s="51">
        <v>36053</v>
      </c>
      <c r="B312">
        <v>-7236</v>
      </c>
      <c r="D312">
        <v>-6228</v>
      </c>
      <c r="E312">
        <v>25201</v>
      </c>
      <c r="G312">
        <v>16856</v>
      </c>
      <c r="H312">
        <v>5823</v>
      </c>
      <c r="I312">
        <v>-1062</v>
      </c>
    </row>
    <row r="313" spans="1:9" x14ac:dyDescent="0.35">
      <c r="A313" s="51">
        <v>36060</v>
      </c>
      <c r="B313">
        <v>-6232</v>
      </c>
      <c r="D313">
        <v>-5433</v>
      </c>
      <c r="E313">
        <v>27309</v>
      </c>
      <c r="G313">
        <v>18226</v>
      </c>
      <c r="H313">
        <v>2063</v>
      </c>
      <c r="I313">
        <v>-299</v>
      </c>
    </row>
    <row r="314" spans="1:9" x14ac:dyDescent="0.35">
      <c r="A314" s="51">
        <v>36067</v>
      </c>
      <c r="B314">
        <v>-4034</v>
      </c>
      <c r="D314">
        <v>-3423</v>
      </c>
      <c r="E314">
        <v>26069</v>
      </c>
      <c r="G314">
        <v>22791</v>
      </c>
      <c r="H314">
        <v>862</v>
      </c>
      <c r="I314">
        <v>219</v>
      </c>
    </row>
    <row r="315" spans="1:9" x14ac:dyDescent="0.35">
      <c r="A315" s="51">
        <v>36074</v>
      </c>
      <c r="B315">
        <v>-3827</v>
      </c>
      <c r="D315">
        <v>-4299</v>
      </c>
      <c r="E315">
        <v>26625</v>
      </c>
      <c r="G315">
        <v>17909</v>
      </c>
      <c r="H315">
        <v>7826</v>
      </c>
      <c r="I315">
        <v>-331</v>
      </c>
    </row>
    <row r="316" spans="1:9" x14ac:dyDescent="0.35">
      <c r="A316" s="51">
        <v>36081</v>
      </c>
      <c r="B316">
        <v>-842</v>
      </c>
      <c r="D316">
        <v>-3602</v>
      </c>
      <c r="E316">
        <v>25877</v>
      </c>
      <c r="G316">
        <v>18014</v>
      </c>
      <c r="H316">
        <v>6249</v>
      </c>
      <c r="I316">
        <v>-557</v>
      </c>
    </row>
    <row r="317" spans="1:9" x14ac:dyDescent="0.35">
      <c r="A317" s="51">
        <v>36088</v>
      </c>
      <c r="B317">
        <v>2671</v>
      </c>
      <c r="D317">
        <v>-2843</v>
      </c>
      <c r="E317">
        <v>24459</v>
      </c>
      <c r="G317">
        <v>16561</v>
      </c>
      <c r="H317">
        <v>8220</v>
      </c>
      <c r="I317">
        <v>827</v>
      </c>
    </row>
    <row r="318" spans="1:9" x14ac:dyDescent="0.35">
      <c r="A318" s="51">
        <v>36095</v>
      </c>
      <c r="B318">
        <v>2671</v>
      </c>
      <c r="D318">
        <v>-2984</v>
      </c>
      <c r="E318">
        <v>22836</v>
      </c>
      <c r="G318">
        <v>2108</v>
      </c>
      <c r="H318">
        <v>4490</v>
      </c>
      <c r="I318">
        <v>877</v>
      </c>
    </row>
    <row r="319" spans="1:9" x14ac:dyDescent="0.35">
      <c r="A319" s="51">
        <v>36102</v>
      </c>
      <c r="B319">
        <v>2402</v>
      </c>
      <c r="D319">
        <v>-1649</v>
      </c>
      <c r="E319">
        <v>17326</v>
      </c>
      <c r="G319">
        <v>-5703</v>
      </c>
      <c r="H319">
        <v>8705</v>
      </c>
      <c r="I319">
        <v>877</v>
      </c>
    </row>
    <row r="320" spans="1:9" x14ac:dyDescent="0.35">
      <c r="A320" s="51">
        <v>36109</v>
      </c>
      <c r="B320">
        <v>3214</v>
      </c>
      <c r="D320">
        <v>-1777</v>
      </c>
      <c r="E320">
        <v>-2954</v>
      </c>
      <c r="G320">
        <v>-4665</v>
      </c>
      <c r="H320">
        <v>1073</v>
      </c>
      <c r="I320">
        <v>1092</v>
      </c>
    </row>
    <row r="321" spans="1:9" x14ac:dyDescent="0.35">
      <c r="A321" s="51">
        <v>36116</v>
      </c>
      <c r="B321">
        <v>3812</v>
      </c>
      <c r="D321">
        <v>-5248</v>
      </c>
      <c r="E321">
        <v>938</v>
      </c>
      <c r="G321">
        <v>-7483</v>
      </c>
      <c r="H321">
        <v>2560</v>
      </c>
      <c r="I321">
        <v>1342</v>
      </c>
    </row>
    <row r="322" spans="1:9" x14ac:dyDescent="0.35">
      <c r="A322" s="51">
        <v>36123</v>
      </c>
      <c r="B322">
        <v>4377</v>
      </c>
      <c r="D322">
        <v>-6077</v>
      </c>
      <c r="E322">
        <v>-4278</v>
      </c>
      <c r="G322">
        <v>-9562</v>
      </c>
      <c r="H322">
        <v>929</v>
      </c>
      <c r="I322">
        <v>1842</v>
      </c>
    </row>
    <row r="323" spans="1:9" x14ac:dyDescent="0.35">
      <c r="A323" s="51">
        <v>36130</v>
      </c>
      <c r="B323">
        <v>3805</v>
      </c>
      <c r="D323">
        <v>-2762</v>
      </c>
      <c r="E323">
        <v>-12146</v>
      </c>
      <c r="G323">
        <v>-10428</v>
      </c>
      <c r="H323">
        <v>-2236</v>
      </c>
      <c r="I323">
        <v>1814</v>
      </c>
    </row>
    <row r="324" spans="1:9" x14ac:dyDescent="0.35">
      <c r="A324" s="51">
        <v>36137</v>
      </c>
      <c r="B324">
        <v>2846</v>
      </c>
      <c r="D324">
        <v>-5354</v>
      </c>
      <c r="E324">
        <v>-7366</v>
      </c>
      <c r="G324">
        <v>-10692</v>
      </c>
      <c r="H324">
        <v>2295</v>
      </c>
      <c r="I324">
        <v>3133</v>
      </c>
    </row>
    <row r="325" spans="1:9" x14ac:dyDescent="0.35">
      <c r="A325" s="51">
        <v>36144</v>
      </c>
      <c r="B325">
        <v>257</v>
      </c>
      <c r="D325">
        <v>-5538</v>
      </c>
      <c r="E325">
        <v>11231</v>
      </c>
      <c r="G325">
        <v>12972</v>
      </c>
      <c r="H325">
        <v>8166</v>
      </c>
      <c r="I325">
        <v>3661</v>
      </c>
    </row>
    <row r="326" spans="1:9" x14ac:dyDescent="0.35">
      <c r="A326" s="51">
        <v>36151</v>
      </c>
      <c r="B326">
        <v>758</v>
      </c>
      <c r="D326">
        <v>-8206</v>
      </c>
      <c r="E326">
        <v>8344</v>
      </c>
      <c r="G326">
        <v>9741</v>
      </c>
      <c r="H326">
        <v>7910</v>
      </c>
      <c r="I326">
        <v>4306</v>
      </c>
    </row>
    <row r="327" spans="1:9" x14ac:dyDescent="0.35">
      <c r="A327" s="51">
        <v>36158</v>
      </c>
      <c r="B327">
        <v>-779</v>
      </c>
      <c r="D327">
        <v>-8275</v>
      </c>
      <c r="E327">
        <v>7119</v>
      </c>
      <c r="G327">
        <v>12434</v>
      </c>
      <c r="H327">
        <v>9877</v>
      </c>
      <c r="I327">
        <v>4249</v>
      </c>
    </row>
    <row r="328" spans="1:9" x14ac:dyDescent="0.35">
      <c r="A328" s="51">
        <v>36165</v>
      </c>
      <c r="B328">
        <v>-591</v>
      </c>
      <c r="D328">
        <v>695</v>
      </c>
      <c r="E328">
        <v>3291</v>
      </c>
      <c r="F328">
        <v>-240</v>
      </c>
      <c r="G328">
        <v>4966</v>
      </c>
      <c r="H328">
        <v>22020</v>
      </c>
      <c r="I328">
        <v>4520</v>
      </c>
    </row>
    <row r="329" spans="1:9" x14ac:dyDescent="0.35">
      <c r="A329" s="51">
        <v>36172</v>
      </c>
      <c r="B329">
        <v>900</v>
      </c>
      <c r="D329">
        <v>8313</v>
      </c>
      <c r="E329">
        <v>-485</v>
      </c>
      <c r="F329">
        <v>440</v>
      </c>
      <c r="G329">
        <v>-16161</v>
      </c>
      <c r="H329">
        <v>16926</v>
      </c>
      <c r="I329">
        <v>1007</v>
      </c>
    </row>
    <row r="330" spans="1:9" x14ac:dyDescent="0.35">
      <c r="A330" s="51">
        <v>36179</v>
      </c>
      <c r="B330">
        <v>900</v>
      </c>
      <c r="D330">
        <v>3161</v>
      </c>
      <c r="E330">
        <v>4843</v>
      </c>
      <c r="F330">
        <v>973</v>
      </c>
      <c r="G330">
        <v>-7265</v>
      </c>
      <c r="H330">
        <v>4991</v>
      </c>
      <c r="I330">
        <v>0</v>
      </c>
    </row>
    <row r="331" spans="1:9" x14ac:dyDescent="0.35">
      <c r="A331" s="51">
        <v>36186</v>
      </c>
      <c r="B331">
        <v>900</v>
      </c>
      <c r="D331">
        <v>3347</v>
      </c>
      <c r="E331">
        <v>2119</v>
      </c>
      <c r="F331">
        <v>986</v>
      </c>
      <c r="G331">
        <v>-7263</v>
      </c>
      <c r="H331">
        <v>8568</v>
      </c>
      <c r="I331">
        <v>-200</v>
      </c>
    </row>
    <row r="332" spans="1:9" x14ac:dyDescent="0.35">
      <c r="A332" s="51">
        <v>36193</v>
      </c>
      <c r="B332">
        <v>419</v>
      </c>
      <c r="D332">
        <v>3346</v>
      </c>
      <c r="E332">
        <v>-15793</v>
      </c>
      <c r="F332">
        <v>-10354</v>
      </c>
      <c r="G332">
        <v>-14356</v>
      </c>
      <c r="H332">
        <v>6104</v>
      </c>
      <c r="I332">
        <v>412</v>
      </c>
    </row>
    <row r="333" spans="1:9" x14ac:dyDescent="0.35">
      <c r="A333" s="51">
        <v>36200</v>
      </c>
      <c r="B333">
        <v>8032</v>
      </c>
      <c r="D333">
        <v>14693</v>
      </c>
      <c r="E333">
        <v>-17539</v>
      </c>
      <c r="F333">
        <v>-13123</v>
      </c>
      <c r="G333">
        <v>-13656</v>
      </c>
      <c r="H333">
        <v>6189</v>
      </c>
      <c r="I333">
        <v>821</v>
      </c>
    </row>
    <row r="334" spans="1:9" x14ac:dyDescent="0.35">
      <c r="A334" s="51">
        <v>36207</v>
      </c>
      <c r="B334">
        <v>7102</v>
      </c>
      <c r="D334">
        <v>16047</v>
      </c>
      <c r="E334">
        <v>-18228</v>
      </c>
      <c r="F334">
        <v>-15031</v>
      </c>
      <c r="G334">
        <v>-14215</v>
      </c>
      <c r="H334">
        <v>-11116</v>
      </c>
      <c r="I334">
        <v>4352</v>
      </c>
    </row>
    <row r="335" spans="1:9" x14ac:dyDescent="0.35">
      <c r="A335" s="51">
        <v>36214</v>
      </c>
      <c r="B335">
        <v>5741</v>
      </c>
      <c r="D335">
        <v>15846</v>
      </c>
      <c r="E335">
        <v>-23542</v>
      </c>
      <c r="F335">
        <v>-17145</v>
      </c>
      <c r="G335">
        <v>-23784</v>
      </c>
      <c r="H335">
        <v>-34290</v>
      </c>
      <c r="I335">
        <v>4472</v>
      </c>
    </row>
    <row r="336" spans="1:9" x14ac:dyDescent="0.35">
      <c r="A336" s="51">
        <v>36221</v>
      </c>
      <c r="B336">
        <v>-128</v>
      </c>
      <c r="D336">
        <v>10266</v>
      </c>
      <c r="E336">
        <v>-27589</v>
      </c>
      <c r="F336">
        <v>-13574</v>
      </c>
      <c r="G336">
        <v>-27766</v>
      </c>
      <c r="H336">
        <v>-36211</v>
      </c>
      <c r="I336">
        <v>5984</v>
      </c>
    </row>
    <row r="337" spans="1:9" x14ac:dyDescent="0.35">
      <c r="A337" s="51">
        <v>36228</v>
      </c>
      <c r="B337">
        <v>898</v>
      </c>
      <c r="D337">
        <v>7752</v>
      </c>
      <c r="E337">
        <v>-28973</v>
      </c>
      <c r="F337">
        <v>-8944</v>
      </c>
      <c r="G337">
        <v>-27603</v>
      </c>
      <c r="H337">
        <v>-44258</v>
      </c>
      <c r="I337">
        <v>7670</v>
      </c>
    </row>
    <row r="338" spans="1:9" x14ac:dyDescent="0.35">
      <c r="A338" s="51">
        <v>36235</v>
      </c>
      <c r="B338">
        <v>1698</v>
      </c>
      <c r="D338">
        <v>6038</v>
      </c>
      <c r="E338">
        <v>-32087</v>
      </c>
      <c r="F338">
        <v>-12004</v>
      </c>
      <c r="G338">
        <v>-19133</v>
      </c>
      <c r="H338">
        <v>-31792</v>
      </c>
      <c r="I338">
        <v>7784</v>
      </c>
    </row>
    <row r="339" spans="1:9" x14ac:dyDescent="0.35">
      <c r="A339" s="51">
        <v>36242</v>
      </c>
      <c r="B339">
        <v>2622</v>
      </c>
      <c r="D339">
        <v>10203</v>
      </c>
      <c r="E339">
        <v>-32145</v>
      </c>
      <c r="F339">
        <v>-9129</v>
      </c>
      <c r="G339">
        <v>-11196</v>
      </c>
      <c r="H339">
        <v>-31730</v>
      </c>
      <c r="I339">
        <v>5809</v>
      </c>
    </row>
    <row r="340" spans="1:9" x14ac:dyDescent="0.35">
      <c r="A340" s="51">
        <v>36249</v>
      </c>
      <c r="B340">
        <v>1118</v>
      </c>
      <c r="D340">
        <v>6463</v>
      </c>
      <c r="E340">
        <v>-36330</v>
      </c>
      <c r="F340">
        <v>-17277</v>
      </c>
      <c r="G340">
        <v>-17021</v>
      </c>
      <c r="H340">
        <v>-38463</v>
      </c>
      <c r="I340">
        <v>6419</v>
      </c>
    </row>
    <row r="341" spans="1:9" x14ac:dyDescent="0.35">
      <c r="A341" s="51">
        <v>36256</v>
      </c>
      <c r="B341">
        <v>2565</v>
      </c>
      <c r="D341">
        <v>9693</v>
      </c>
      <c r="E341">
        <v>-34106</v>
      </c>
      <c r="F341">
        <v>-11042</v>
      </c>
      <c r="G341">
        <v>-27260</v>
      </c>
      <c r="H341">
        <v>-35697</v>
      </c>
      <c r="I341">
        <v>6116</v>
      </c>
    </row>
    <row r="342" spans="1:9" x14ac:dyDescent="0.35">
      <c r="A342" s="51">
        <v>36263</v>
      </c>
      <c r="B342">
        <v>1198</v>
      </c>
      <c r="D342">
        <v>19131</v>
      </c>
      <c r="E342">
        <v>-34487</v>
      </c>
      <c r="F342">
        <v>-14160</v>
      </c>
      <c r="G342">
        <v>-29132</v>
      </c>
      <c r="H342">
        <v>-36379</v>
      </c>
      <c r="I342">
        <v>6178</v>
      </c>
    </row>
    <row r="343" spans="1:9" x14ac:dyDescent="0.35">
      <c r="A343" s="51">
        <v>36270</v>
      </c>
      <c r="B343">
        <v>7666</v>
      </c>
      <c r="D343">
        <v>28655</v>
      </c>
      <c r="E343">
        <v>-39912</v>
      </c>
      <c r="F343">
        <v>-24502</v>
      </c>
      <c r="G343">
        <v>-32116</v>
      </c>
      <c r="H343">
        <v>-25677</v>
      </c>
      <c r="I343">
        <v>7342</v>
      </c>
    </row>
    <row r="344" spans="1:9" x14ac:dyDescent="0.35">
      <c r="A344" s="51">
        <v>36277</v>
      </c>
      <c r="B344">
        <v>15853</v>
      </c>
      <c r="D344">
        <v>32190</v>
      </c>
      <c r="E344">
        <v>-45337</v>
      </c>
      <c r="F344">
        <v>-18858</v>
      </c>
      <c r="G344">
        <v>-23495</v>
      </c>
      <c r="H344">
        <v>-35310</v>
      </c>
      <c r="I344">
        <v>6530</v>
      </c>
    </row>
    <row r="345" spans="1:9" x14ac:dyDescent="0.35">
      <c r="A345" s="51">
        <v>36284</v>
      </c>
      <c r="B345">
        <v>18553</v>
      </c>
      <c r="D345">
        <v>31764</v>
      </c>
      <c r="E345">
        <v>-52472</v>
      </c>
      <c r="F345">
        <v>-19180</v>
      </c>
      <c r="G345">
        <v>-15908</v>
      </c>
      <c r="H345">
        <v>-38438</v>
      </c>
      <c r="I345">
        <v>6593</v>
      </c>
    </row>
    <row r="346" spans="1:9" x14ac:dyDescent="0.35">
      <c r="A346" s="51">
        <v>36291</v>
      </c>
      <c r="B346">
        <v>20329</v>
      </c>
      <c r="D346">
        <v>31165</v>
      </c>
      <c r="E346">
        <v>-38187</v>
      </c>
      <c r="F346">
        <v>-10700</v>
      </c>
      <c r="G346">
        <v>14393</v>
      </c>
      <c r="H346">
        <v>-44065</v>
      </c>
      <c r="I346">
        <v>6429</v>
      </c>
    </row>
    <row r="347" spans="1:9" x14ac:dyDescent="0.35">
      <c r="A347" s="51">
        <v>36298</v>
      </c>
      <c r="B347">
        <v>19619</v>
      </c>
      <c r="D347">
        <v>30898</v>
      </c>
      <c r="E347">
        <v>-43350</v>
      </c>
      <c r="F347">
        <v>-10563</v>
      </c>
      <c r="G347">
        <v>14248</v>
      </c>
      <c r="H347">
        <v>-66697</v>
      </c>
      <c r="I347">
        <v>6546</v>
      </c>
    </row>
    <row r="348" spans="1:9" x14ac:dyDescent="0.35">
      <c r="A348" s="51">
        <v>36305</v>
      </c>
      <c r="B348">
        <v>14325</v>
      </c>
      <c r="D348">
        <v>28613</v>
      </c>
      <c r="E348">
        <v>-30615</v>
      </c>
      <c r="F348">
        <v>-9512</v>
      </c>
      <c r="G348">
        <v>-11749</v>
      </c>
      <c r="H348">
        <v>-62184</v>
      </c>
      <c r="I348">
        <v>1703</v>
      </c>
    </row>
    <row r="349" spans="1:9" x14ac:dyDescent="0.35">
      <c r="A349" s="51">
        <v>36312</v>
      </c>
      <c r="B349">
        <v>9210</v>
      </c>
      <c r="D349">
        <v>21820</v>
      </c>
      <c r="E349">
        <v>-33735</v>
      </c>
      <c r="F349">
        <v>-8008</v>
      </c>
      <c r="G349">
        <v>-20502</v>
      </c>
      <c r="H349">
        <v>-45923</v>
      </c>
      <c r="I349">
        <v>250</v>
      </c>
    </row>
    <row r="350" spans="1:9" x14ac:dyDescent="0.35">
      <c r="A350" s="51">
        <v>36319</v>
      </c>
      <c r="B350">
        <v>5673</v>
      </c>
      <c r="D350">
        <v>19517</v>
      </c>
      <c r="E350">
        <v>-35591</v>
      </c>
      <c r="F350">
        <v>-8974</v>
      </c>
      <c r="G350">
        <v>-18315</v>
      </c>
      <c r="H350">
        <v>-49002</v>
      </c>
      <c r="I350">
        <v>1013</v>
      </c>
    </row>
    <row r="351" spans="1:9" x14ac:dyDescent="0.35">
      <c r="A351" s="51">
        <v>36326</v>
      </c>
      <c r="B351">
        <v>7062</v>
      </c>
      <c r="D351">
        <v>20264</v>
      </c>
      <c r="E351">
        <v>-33492</v>
      </c>
      <c r="F351">
        <v>-8523</v>
      </c>
      <c r="G351">
        <v>-19010</v>
      </c>
      <c r="H351">
        <v>-40061</v>
      </c>
      <c r="I351">
        <v>1348</v>
      </c>
    </row>
    <row r="352" spans="1:9" x14ac:dyDescent="0.35">
      <c r="A352" s="51">
        <v>36333</v>
      </c>
      <c r="B352">
        <v>7244</v>
      </c>
      <c r="D352">
        <v>19208</v>
      </c>
      <c r="E352">
        <v>-34727</v>
      </c>
      <c r="F352">
        <v>-5322</v>
      </c>
      <c r="G352">
        <v>-22153</v>
      </c>
      <c r="H352">
        <v>-50843</v>
      </c>
      <c r="I352">
        <v>4284</v>
      </c>
    </row>
    <row r="353" spans="1:9" x14ac:dyDescent="0.35">
      <c r="A353" s="51">
        <v>36340</v>
      </c>
      <c r="B353">
        <v>7330</v>
      </c>
      <c r="D353">
        <v>19682</v>
      </c>
      <c r="E353">
        <v>-36883</v>
      </c>
      <c r="F353">
        <v>-3868</v>
      </c>
      <c r="G353">
        <v>-34422</v>
      </c>
      <c r="H353">
        <v>-49067</v>
      </c>
      <c r="I353">
        <v>4328</v>
      </c>
    </row>
    <row r="354" spans="1:9" x14ac:dyDescent="0.35">
      <c r="A354" s="51">
        <v>36347</v>
      </c>
      <c r="B354">
        <v>9659</v>
      </c>
      <c r="D354">
        <v>15129</v>
      </c>
      <c r="E354">
        <v>-40237</v>
      </c>
      <c r="F354">
        <v>-5711</v>
      </c>
      <c r="G354">
        <v>-38905</v>
      </c>
      <c r="H354">
        <v>-49976</v>
      </c>
      <c r="I354">
        <v>3722</v>
      </c>
    </row>
    <row r="355" spans="1:9" x14ac:dyDescent="0.35">
      <c r="A355" s="51">
        <v>36354</v>
      </c>
      <c r="B355">
        <v>11422</v>
      </c>
      <c r="D355">
        <v>8218</v>
      </c>
      <c r="E355">
        <v>-36684</v>
      </c>
      <c r="F355">
        <v>-5312</v>
      </c>
      <c r="G355">
        <v>-40297</v>
      </c>
      <c r="H355">
        <v>-53198</v>
      </c>
      <c r="I355">
        <v>3931</v>
      </c>
    </row>
    <row r="356" spans="1:9" x14ac:dyDescent="0.35">
      <c r="A356" s="51">
        <v>36361</v>
      </c>
      <c r="B356">
        <v>1474</v>
      </c>
      <c r="D356">
        <v>2444</v>
      </c>
      <c r="E356">
        <v>-33401</v>
      </c>
      <c r="F356">
        <v>-6007</v>
      </c>
      <c r="G356">
        <v>-31695</v>
      </c>
      <c r="H356">
        <v>-2710</v>
      </c>
      <c r="I356">
        <v>3407</v>
      </c>
    </row>
    <row r="357" spans="1:9" x14ac:dyDescent="0.35">
      <c r="A357" s="51">
        <v>36368</v>
      </c>
      <c r="B357">
        <v>-214</v>
      </c>
      <c r="D357">
        <v>-24931</v>
      </c>
      <c r="E357">
        <v>7496</v>
      </c>
      <c r="F357">
        <v>1803</v>
      </c>
      <c r="G357">
        <v>-26738</v>
      </c>
      <c r="H357">
        <v>24761</v>
      </c>
      <c r="I357">
        <v>3427</v>
      </c>
    </row>
    <row r="358" spans="1:9" x14ac:dyDescent="0.35">
      <c r="A358" s="51">
        <v>36375</v>
      </c>
      <c r="B358">
        <v>140</v>
      </c>
      <c r="D358">
        <v>-29215</v>
      </c>
      <c r="E358">
        <v>15138</v>
      </c>
      <c r="F358">
        <v>7453</v>
      </c>
      <c r="G358">
        <v>3544</v>
      </c>
      <c r="H358">
        <v>41869</v>
      </c>
      <c r="I358">
        <v>2953</v>
      </c>
    </row>
    <row r="359" spans="1:9" x14ac:dyDescent="0.35">
      <c r="A359" s="51">
        <v>36382</v>
      </c>
      <c r="B359">
        <v>-556</v>
      </c>
      <c r="D359">
        <v>-17570</v>
      </c>
      <c r="E359">
        <v>17095</v>
      </c>
      <c r="F359">
        <v>11901</v>
      </c>
      <c r="G359">
        <v>8285</v>
      </c>
      <c r="H359">
        <v>40077</v>
      </c>
      <c r="I359">
        <v>1521</v>
      </c>
    </row>
    <row r="360" spans="1:9" x14ac:dyDescent="0.35">
      <c r="A360" s="51">
        <v>36389</v>
      </c>
      <c r="B360">
        <v>-698</v>
      </c>
      <c r="D360">
        <v>-4821</v>
      </c>
      <c r="E360">
        <v>11555</v>
      </c>
      <c r="F360">
        <v>1243</v>
      </c>
      <c r="G360">
        <v>9438</v>
      </c>
      <c r="H360">
        <v>41312</v>
      </c>
      <c r="I360">
        <v>4769</v>
      </c>
    </row>
    <row r="361" spans="1:9" x14ac:dyDescent="0.35">
      <c r="A361" s="51">
        <v>36396</v>
      </c>
      <c r="B361">
        <v>-9578</v>
      </c>
      <c r="D361">
        <v>-6644</v>
      </c>
      <c r="E361">
        <v>9461</v>
      </c>
      <c r="F361">
        <v>605</v>
      </c>
      <c r="G361">
        <v>7311</v>
      </c>
      <c r="H361">
        <v>44431</v>
      </c>
      <c r="I361">
        <v>5041</v>
      </c>
    </row>
    <row r="362" spans="1:9" x14ac:dyDescent="0.35">
      <c r="A362" s="51">
        <v>36403</v>
      </c>
      <c r="B362">
        <v>-10202</v>
      </c>
      <c r="D362">
        <v>-5808</v>
      </c>
      <c r="E362">
        <v>7342</v>
      </c>
      <c r="F362">
        <v>3462</v>
      </c>
      <c r="G362">
        <v>10782</v>
      </c>
      <c r="H362">
        <v>53902</v>
      </c>
      <c r="I362">
        <v>5042</v>
      </c>
    </row>
    <row r="363" spans="1:9" x14ac:dyDescent="0.35">
      <c r="A363" s="51">
        <v>36410</v>
      </c>
      <c r="B363">
        <v>-8999</v>
      </c>
      <c r="D363">
        <v>-4142</v>
      </c>
      <c r="E363">
        <v>13062</v>
      </c>
      <c r="F363">
        <v>1844</v>
      </c>
      <c r="G363">
        <v>3943</v>
      </c>
      <c r="H363">
        <v>44633</v>
      </c>
      <c r="I363">
        <v>6691</v>
      </c>
    </row>
    <row r="364" spans="1:9" x14ac:dyDescent="0.35">
      <c r="A364" s="51">
        <v>36417</v>
      </c>
      <c r="B364">
        <v>-3909</v>
      </c>
      <c r="D364">
        <v>2058</v>
      </c>
      <c r="E364">
        <v>-3594</v>
      </c>
      <c r="F364">
        <v>-2563</v>
      </c>
      <c r="G364">
        <v>10331</v>
      </c>
      <c r="H364">
        <v>41124</v>
      </c>
      <c r="I364">
        <v>8634</v>
      </c>
    </row>
    <row r="365" spans="1:9" x14ac:dyDescent="0.35">
      <c r="A365" s="51">
        <v>36424</v>
      </c>
      <c r="B365">
        <v>-3727</v>
      </c>
      <c r="D365">
        <v>7402</v>
      </c>
      <c r="E365">
        <v>-10421</v>
      </c>
      <c r="F365">
        <v>-1560</v>
      </c>
      <c r="G365">
        <v>9016</v>
      </c>
      <c r="H365">
        <v>36899</v>
      </c>
      <c r="I365">
        <v>7061</v>
      </c>
    </row>
    <row r="366" spans="1:9" x14ac:dyDescent="0.35">
      <c r="A366" s="51">
        <v>36431</v>
      </c>
      <c r="B366">
        <v>-980</v>
      </c>
      <c r="D366">
        <v>12569</v>
      </c>
      <c r="E366">
        <v>-7584</v>
      </c>
      <c r="F366">
        <v>2233</v>
      </c>
      <c r="G366">
        <v>28282</v>
      </c>
      <c r="H366">
        <v>31285</v>
      </c>
      <c r="I366">
        <v>6585</v>
      </c>
    </row>
    <row r="367" spans="1:9" x14ac:dyDescent="0.35">
      <c r="A367" s="51">
        <v>36438</v>
      </c>
      <c r="B367">
        <v>1595</v>
      </c>
      <c r="D367">
        <v>15928</v>
      </c>
      <c r="E367">
        <v>10694</v>
      </c>
      <c r="F367">
        <v>12979</v>
      </c>
      <c r="G367">
        <v>36351</v>
      </c>
      <c r="H367">
        <v>26594</v>
      </c>
      <c r="I367">
        <v>3221</v>
      </c>
    </row>
    <row r="368" spans="1:9" x14ac:dyDescent="0.35">
      <c r="A368" s="51">
        <v>36445</v>
      </c>
      <c r="B368">
        <v>2067</v>
      </c>
      <c r="D368">
        <v>15523</v>
      </c>
      <c r="E368">
        <v>25331</v>
      </c>
      <c r="F368">
        <v>13099</v>
      </c>
      <c r="G368">
        <v>35585</v>
      </c>
      <c r="H368">
        <v>27170</v>
      </c>
      <c r="I368">
        <v>3054</v>
      </c>
    </row>
    <row r="369" spans="1:9" x14ac:dyDescent="0.35">
      <c r="A369" s="51">
        <v>36452</v>
      </c>
      <c r="B369">
        <v>-994</v>
      </c>
      <c r="D369">
        <v>-1275</v>
      </c>
      <c r="E369">
        <v>44644</v>
      </c>
      <c r="F369">
        <v>23385</v>
      </c>
      <c r="G369">
        <v>43779</v>
      </c>
      <c r="H369">
        <v>23378</v>
      </c>
      <c r="I369">
        <v>1976</v>
      </c>
    </row>
    <row r="370" spans="1:9" x14ac:dyDescent="0.35">
      <c r="A370" s="51">
        <v>36459</v>
      </c>
      <c r="B370">
        <v>1677</v>
      </c>
      <c r="D370">
        <v>3215</v>
      </c>
      <c r="E370">
        <v>33579</v>
      </c>
      <c r="F370">
        <v>10239</v>
      </c>
      <c r="G370">
        <v>34044</v>
      </c>
      <c r="H370">
        <v>27713</v>
      </c>
      <c r="I370">
        <v>1475</v>
      </c>
    </row>
    <row r="371" spans="1:9" x14ac:dyDescent="0.35">
      <c r="A371" s="51">
        <v>36466</v>
      </c>
      <c r="B371">
        <v>-1747</v>
      </c>
      <c r="D371">
        <v>6256</v>
      </c>
      <c r="E371">
        <v>11193</v>
      </c>
      <c r="F371">
        <v>-4593</v>
      </c>
      <c r="G371">
        <v>31156</v>
      </c>
      <c r="H371">
        <v>27807</v>
      </c>
      <c r="I371">
        <v>1929</v>
      </c>
    </row>
    <row r="372" spans="1:9" x14ac:dyDescent="0.35">
      <c r="A372" s="51">
        <v>36473</v>
      </c>
      <c r="B372">
        <v>-2886</v>
      </c>
      <c r="D372">
        <v>10363</v>
      </c>
      <c r="E372">
        <v>-16619</v>
      </c>
      <c r="F372">
        <v>-4890</v>
      </c>
      <c r="G372">
        <v>9653</v>
      </c>
      <c r="H372">
        <v>19152</v>
      </c>
      <c r="I372">
        <v>8603</v>
      </c>
    </row>
    <row r="373" spans="1:9" x14ac:dyDescent="0.35">
      <c r="A373" s="51">
        <v>36480</v>
      </c>
      <c r="B373">
        <v>-2011</v>
      </c>
      <c r="D373">
        <v>11516</v>
      </c>
      <c r="E373">
        <v>-19397</v>
      </c>
      <c r="F373">
        <v>-9009</v>
      </c>
      <c r="G373">
        <v>7208</v>
      </c>
      <c r="H373">
        <v>14998</v>
      </c>
      <c r="I373">
        <v>9444</v>
      </c>
    </row>
    <row r="374" spans="1:9" x14ac:dyDescent="0.35">
      <c r="A374" s="51">
        <v>36487</v>
      </c>
      <c r="B374">
        <v>-2920</v>
      </c>
      <c r="D374">
        <v>12540</v>
      </c>
      <c r="E374">
        <v>-20954</v>
      </c>
      <c r="F374">
        <v>-14345</v>
      </c>
      <c r="G374">
        <v>8488</v>
      </c>
      <c r="H374">
        <v>26711</v>
      </c>
      <c r="I374">
        <v>10170</v>
      </c>
    </row>
    <row r="375" spans="1:9" x14ac:dyDescent="0.35">
      <c r="A375" s="51">
        <v>36494</v>
      </c>
      <c r="B375">
        <v>-4723</v>
      </c>
      <c r="D375">
        <v>5193</v>
      </c>
      <c r="E375">
        <v>-22732</v>
      </c>
      <c r="F375">
        <v>-25051</v>
      </c>
      <c r="G375">
        <v>-1117</v>
      </c>
      <c r="H375">
        <v>37980</v>
      </c>
      <c r="I375">
        <v>9776</v>
      </c>
    </row>
    <row r="376" spans="1:9" x14ac:dyDescent="0.35">
      <c r="A376" s="51">
        <v>36501</v>
      </c>
      <c r="B376">
        <v>-7275</v>
      </c>
      <c r="D376">
        <v>-2655</v>
      </c>
      <c r="E376">
        <v>-18181</v>
      </c>
      <c r="F376">
        <v>-20738</v>
      </c>
      <c r="G376">
        <v>-3565</v>
      </c>
      <c r="H376">
        <v>30325</v>
      </c>
      <c r="I376">
        <v>5524</v>
      </c>
    </row>
    <row r="377" spans="1:9" x14ac:dyDescent="0.35">
      <c r="A377" s="51">
        <v>36508</v>
      </c>
      <c r="B377">
        <v>-7381</v>
      </c>
      <c r="D377">
        <v>-3618</v>
      </c>
      <c r="E377">
        <v>-12726</v>
      </c>
      <c r="F377">
        <v>-16856</v>
      </c>
      <c r="G377">
        <v>-3064</v>
      </c>
      <c r="H377">
        <v>9666</v>
      </c>
      <c r="I377">
        <v>5019</v>
      </c>
    </row>
    <row r="378" spans="1:9" x14ac:dyDescent="0.35">
      <c r="A378" s="51">
        <v>36515</v>
      </c>
      <c r="B378">
        <v>-5165</v>
      </c>
      <c r="D378">
        <v>-7101</v>
      </c>
      <c r="E378">
        <v>-11703</v>
      </c>
      <c r="F378">
        <v>-6949</v>
      </c>
      <c r="G378">
        <v>-3981</v>
      </c>
      <c r="H378">
        <v>17384</v>
      </c>
      <c r="I378">
        <v>5454</v>
      </c>
    </row>
    <row r="379" spans="1:9" x14ac:dyDescent="0.35">
      <c r="A379" s="51">
        <v>36522</v>
      </c>
      <c r="B379">
        <v>-4713</v>
      </c>
      <c r="D379">
        <v>6422</v>
      </c>
      <c r="E379">
        <v>-13233</v>
      </c>
      <c r="F379">
        <v>-12841</v>
      </c>
      <c r="G379">
        <v>-4587</v>
      </c>
      <c r="H379">
        <v>20392</v>
      </c>
      <c r="I379">
        <v>4874</v>
      </c>
    </row>
    <row r="380" spans="1:9" x14ac:dyDescent="0.35">
      <c r="A380" s="51">
        <v>36529</v>
      </c>
      <c r="B380">
        <v>6279</v>
      </c>
      <c r="D380">
        <v>13425</v>
      </c>
      <c r="E380">
        <v>-9915</v>
      </c>
      <c r="F380">
        <v>-5189</v>
      </c>
      <c r="G380">
        <v>4043</v>
      </c>
      <c r="H380">
        <v>15475</v>
      </c>
      <c r="I380">
        <v>4950</v>
      </c>
    </row>
    <row r="381" spans="1:9" x14ac:dyDescent="0.35">
      <c r="A381" s="51">
        <v>36536</v>
      </c>
      <c r="B381">
        <v>9140</v>
      </c>
      <c r="D381">
        <v>10081</v>
      </c>
      <c r="E381">
        <v>-54</v>
      </c>
      <c r="F381">
        <v>8714</v>
      </c>
      <c r="G381">
        <v>14108</v>
      </c>
      <c r="H381">
        <v>-22753</v>
      </c>
      <c r="I381">
        <v>5863</v>
      </c>
    </row>
    <row r="382" spans="1:9" x14ac:dyDescent="0.35">
      <c r="A382" s="51">
        <v>36543</v>
      </c>
      <c r="B382">
        <v>17309</v>
      </c>
      <c r="D382">
        <v>19712</v>
      </c>
      <c r="E382">
        <v>-10007</v>
      </c>
      <c r="F382">
        <v>-8018</v>
      </c>
      <c r="G382">
        <v>14998</v>
      </c>
      <c r="H382">
        <v>-24831</v>
      </c>
      <c r="I382">
        <v>6167</v>
      </c>
    </row>
    <row r="383" spans="1:9" x14ac:dyDescent="0.35">
      <c r="A383" s="51">
        <v>36550</v>
      </c>
      <c r="B383">
        <v>15399</v>
      </c>
      <c r="D383">
        <v>27084</v>
      </c>
      <c r="E383">
        <v>-20511</v>
      </c>
      <c r="F383">
        <v>-13303</v>
      </c>
      <c r="G383">
        <v>20092</v>
      </c>
      <c r="H383">
        <v>-23778</v>
      </c>
      <c r="I383">
        <v>5746</v>
      </c>
    </row>
    <row r="384" spans="1:9" x14ac:dyDescent="0.35">
      <c r="A384" s="51">
        <v>36557</v>
      </c>
      <c r="B384">
        <v>-3012</v>
      </c>
      <c r="D384">
        <v>19494</v>
      </c>
      <c r="E384">
        <v>-32413</v>
      </c>
      <c r="F384">
        <v>-23010</v>
      </c>
      <c r="G384">
        <v>-201</v>
      </c>
      <c r="H384">
        <v>-37117</v>
      </c>
      <c r="I384">
        <v>3073</v>
      </c>
    </row>
    <row r="385" spans="1:9" x14ac:dyDescent="0.35">
      <c r="A385" s="51">
        <v>36564</v>
      </c>
      <c r="B385">
        <v>-3098</v>
      </c>
      <c r="D385">
        <v>20468</v>
      </c>
      <c r="E385">
        <v>-31526</v>
      </c>
      <c r="F385">
        <v>-16692</v>
      </c>
      <c r="G385">
        <v>-15910</v>
      </c>
      <c r="H385">
        <v>-43278</v>
      </c>
      <c r="I385">
        <v>7979</v>
      </c>
    </row>
    <row r="386" spans="1:9" x14ac:dyDescent="0.35">
      <c r="A386" s="51">
        <v>36571</v>
      </c>
      <c r="B386">
        <v>-4947</v>
      </c>
      <c r="D386">
        <v>12644</v>
      </c>
      <c r="E386">
        <v>-27587</v>
      </c>
      <c r="F386">
        <v>-5414</v>
      </c>
      <c r="G386">
        <v>-14138</v>
      </c>
      <c r="H386">
        <v>-47825</v>
      </c>
      <c r="I386">
        <v>9003</v>
      </c>
    </row>
    <row r="387" spans="1:9" x14ac:dyDescent="0.35">
      <c r="A387" s="51">
        <v>36578</v>
      </c>
      <c r="B387">
        <v>-5025</v>
      </c>
      <c r="D387">
        <v>4590</v>
      </c>
      <c r="E387">
        <v>-18737</v>
      </c>
      <c r="F387">
        <v>2644</v>
      </c>
      <c r="G387">
        <v>-10441</v>
      </c>
      <c r="H387">
        <v>-50356</v>
      </c>
      <c r="I387">
        <v>9151</v>
      </c>
    </row>
    <row r="388" spans="1:9" x14ac:dyDescent="0.35">
      <c r="A388" s="51">
        <v>36585</v>
      </c>
      <c r="B388">
        <v>-7213</v>
      </c>
      <c r="D388">
        <v>3629</v>
      </c>
      <c r="E388">
        <v>-26712</v>
      </c>
      <c r="F388">
        <v>-7591</v>
      </c>
      <c r="G388">
        <v>-14810</v>
      </c>
      <c r="H388">
        <v>-45394</v>
      </c>
      <c r="I388">
        <v>9609</v>
      </c>
    </row>
    <row r="389" spans="1:9" x14ac:dyDescent="0.35">
      <c r="A389" s="51">
        <v>36592</v>
      </c>
      <c r="B389">
        <v>-7703</v>
      </c>
      <c r="D389">
        <v>-885</v>
      </c>
      <c r="E389">
        <v>-26268</v>
      </c>
      <c r="F389">
        <v>-17953</v>
      </c>
      <c r="G389">
        <v>-12357</v>
      </c>
      <c r="H389">
        <v>-13688</v>
      </c>
      <c r="I389">
        <v>10442</v>
      </c>
    </row>
    <row r="390" spans="1:9" x14ac:dyDescent="0.35">
      <c r="A390" s="51">
        <v>36599</v>
      </c>
      <c r="B390">
        <v>-8421</v>
      </c>
      <c r="D390">
        <v>-1925</v>
      </c>
      <c r="E390">
        <v>-25074</v>
      </c>
      <c r="F390">
        <v>-13639</v>
      </c>
      <c r="G390">
        <v>-17790</v>
      </c>
      <c r="H390">
        <v>-18400</v>
      </c>
      <c r="I390">
        <v>9786</v>
      </c>
    </row>
    <row r="391" spans="1:9" x14ac:dyDescent="0.35">
      <c r="A391" s="51">
        <v>36606</v>
      </c>
      <c r="B391">
        <v>-8307</v>
      </c>
      <c r="D391">
        <v>-9242</v>
      </c>
      <c r="E391">
        <v>-27603</v>
      </c>
      <c r="F391">
        <v>-12025</v>
      </c>
      <c r="G391">
        <v>-17132</v>
      </c>
      <c r="H391">
        <v>-23971</v>
      </c>
      <c r="I391">
        <v>9436</v>
      </c>
    </row>
    <row r="392" spans="1:9" x14ac:dyDescent="0.35">
      <c r="A392" s="51">
        <v>36613</v>
      </c>
      <c r="B392">
        <v>-7848</v>
      </c>
      <c r="D392">
        <v>-2461</v>
      </c>
      <c r="E392">
        <v>-11566</v>
      </c>
      <c r="F392">
        <v>-11640</v>
      </c>
      <c r="G392">
        <v>-5674</v>
      </c>
      <c r="H392">
        <v>-22089</v>
      </c>
      <c r="I392">
        <v>10256</v>
      </c>
    </row>
    <row r="393" spans="1:9" x14ac:dyDescent="0.35">
      <c r="A393" s="51">
        <v>36620</v>
      </c>
      <c r="B393">
        <v>-7568</v>
      </c>
      <c r="D393">
        <v>-393</v>
      </c>
      <c r="E393">
        <v>-9675</v>
      </c>
      <c r="F393">
        <v>-8524</v>
      </c>
      <c r="G393">
        <v>-1120</v>
      </c>
      <c r="H393">
        <v>7315</v>
      </c>
      <c r="I393">
        <v>6601</v>
      </c>
    </row>
    <row r="394" spans="1:9" x14ac:dyDescent="0.35">
      <c r="A394" s="51">
        <v>36627</v>
      </c>
      <c r="B394">
        <v>-8015</v>
      </c>
      <c r="D394">
        <v>-4185</v>
      </c>
      <c r="E394">
        <v>-9628</v>
      </c>
      <c r="F394">
        <v>-4856</v>
      </c>
      <c r="G394">
        <v>-5762</v>
      </c>
      <c r="H394">
        <v>3926</v>
      </c>
      <c r="I394">
        <v>4431</v>
      </c>
    </row>
    <row r="395" spans="1:9" x14ac:dyDescent="0.35">
      <c r="A395" s="51">
        <v>36634</v>
      </c>
      <c r="B395">
        <v>-8965</v>
      </c>
      <c r="D395">
        <v>-11578</v>
      </c>
      <c r="E395">
        <v>-13474</v>
      </c>
      <c r="F395">
        <v>-1664</v>
      </c>
      <c r="G395">
        <v>-8699</v>
      </c>
      <c r="H395">
        <v>5614</v>
      </c>
      <c r="I395">
        <v>1516</v>
      </c>
    </row>
    <row r="396" spans="1:9" x14ac:dyDescent="0.35">
      <c r="A396" s="51">
        <v>36641</v>
      </c>
      <c r="B396">
        <v>-8292</v>
      </c>
      <c r="D396">
        <v>-11360</v>
      </c>
      <c r="E396">
        <v>-17619</v>
      </c>
      <c r="F396">
        <v>980</v>
      </c>
      <c r="G396">
        <v>-10669</v>
      </c>
      <c r="H396">
        <v>3573</v>
      </c>
      <c r="I396">
        <v>1791</v>
      </c>
    </row>
    <row r="397" spans="1:9" x14ac:dyDescent="0.35">
      <c r="A397" s="51">
        <v>36648</v>
      </c>
      <c r="B397">
        <v>-9583</v>
      </c>
      <c r="D397">
        <v>-12079</v>
      </c>
      <c r="E397">
        <v>-18673</v>
      </c>
      <c r="F397">
        <v>1649</v>
      </c>
      <c r="G397">
        <v>-18048</v>
      </c>
      <c r="H397">
        <v>-12850</v>
      </c>
      <c r="I397">
        <v>5542</v>
      </c>
    </row>
    <row r="398" spans="1:9" x14ac:dyDescent="0.35">
      <c r="A398" s="51">
        <v>36655</v>
      </c>
      <c r="B398">
        <v>-8048</v>
      </c>
      <c r="D398">
        <v>-13032</v>
      </c>
      <c r="E398">
        <v>-20739</v>
      </c>
      <c r="F398">
        <v>-2179</v>
      </c>
      <c r="G398">
        <v>-17943</v>
      </c>
      <c r="H398">
        <v>-19676</v>
      </c>
      <c r="I398">
        <v>1604</v>
      </c>
    </row>
    <row r="399" spans="1:9" x14ac:dyDescent="0.35">
      <c r="A399" s="51">
        <v>36662</v>
      </c>
      <c r="B399">
        <v>-5768</v>
      </c>
      <c r="D399">
        <v>-19834</v>
      </c>
      <c r="E399">
        <v>-19232</v>
      </c>
      <c r="F399">
        <v>536</v>
      </c>
      <c r="G399">
        <v>-13124</v>
      </c>
      <c r="H399">
        <v>-17382</v>
      </c>
      <c r="I399">
        <v>-68</v>
      </c>
    </row>
    <row r="400" spans="1:9" x14ac:dyDescent="0.35">
      <c r="A400" s="51">
        <v>36669</v>
      </c>
      <c r="B400">
        <v>-5283</v>
      </c>
      <c r="D400">
        <v>-25769</v>
      </c>
      <c r="E400">
        <v>-17985</v>
      </c>
      <c r="F400">
        <v>519</v>
      </c>
      <c r="G400">
        <v>-16389</v>
      </c>
      <c r="H400">
        <v>-13179</v>
      </c>
      <c r="I400">
        <v>517</v>
      </c>
    </row>
    <row r="401" spans="1:9" x14ac:dyDescent="0.35">
      <c r="A401" s="51">
        <v>36676</v>
      </c>
      <c r="B401">
        <v>-4782</v>
      </c>
      <c r="D401">
        <v>-31489</v>
      </c>
      <c r="E401">
        <v>-10276</v>
      </c>
      <c r="F401">
        <v>6509</v>
      </c>
      <c r="G401">
        <v>-12974</v>
      </c>
      <c r="H401">
        <v>-12465</v>
      </c>
      <c r="I401">
        <v>1945</v>
      </c>
    </row>
    <row r="402" spans="1:9" x14ac:dyDescent="0.35">
      <c r="A402" s="51">
        <v>36683</v>
      </c>
      <c r="B402">
        <v>-5438</v>
      </c>
      <c r="D402">
        <v>-18072</v>
      </c>
      <c r="E402">
        <v>-2424</v>
      </c>
      <c r="F402">
        <v>9951</v>
      </c>
      <c r="G402">
        <v>-8019</v>
      </c>
      <c r="H402">
        <v>-14810</v>
      </c>
      <c r="I402">
        <v>-1212</v>
      </c>
    </row>
    <row r="403" spans="1:9" x14ac:dyDescent="0.35">
      <c r="A403" s="51">
        <v>36690</v>
      </c>
      <c r="B403">
        <v>-3879</v>
      </c>
      <c r="D403">
        <v>-14917</v>
      </c>
      <c r="E403">
        <v>8945</v>
      </c>
      <c r="F403">
        <v>10332</v>
      </c>
      <c r="G403">
        <v>-8103</v>
      </c>
      <c r="H403">
        <v>-9938</v>
      </c>
      <c r="I403">
        <v>-1684</v>
      </c>
    </row>
    <row r="404" spans="1:9" x14ac:dyDescent="0.35">
      <c r="A404" s="51">
        <v>36697</v>
      </c>
      <c r="D404">
        <v>-14343</v>
      </c>
      <c r="E404">
        <v>10376</v>
      </c>
      <c r="F404">
        <v>9625</v>
      </c>
      <c r="G404">
        <v>-4660</v>
      </c>
      <c r="H404">
        <v>-7772</v>
      </c>
      <c r="I404">
        <v>-2172</v>
      </c>
    </row>
    <row r="405" spans="1:9" x14ac:dyDescent="0.35">
      <c r="A405" s="51">
        <v>36704</v>
      </c>
      <c r="D405">
        <v>-16298</v>
      </c>
      <c r="E405">
        <v>8015</v>
      </c>
      <c r="F405">
        <v>9061</v>
      </c>
      <c r="G405">
        <v>-4662</v>
      </c>
      <c r="H405">
        <v>1641</v>
      </c>
      <c r="I405">
        <v>-2613</v>
      </c>
    </row>
    <row r="406" spans="1:9" x14ac:dyDescent="0.35">
      <c r="A406" s="51">
        <v>36711</v>
      </c>
      <c r="D406">
        <v>-19794</v>
      </c>
      <c r="E406">
        <v>8702</v>
      </c>
      <c r="F406">
        <v>7450</v>
      </c>
      <c r="G406">
        <v>-2439</v>
      </c>
      <c r="H406">
        <v>-6070</v>
      </c>
      <c r="I406">
        <v>2400</v>
      </c>
    </row>
    <row r="407" spans="1:9" x14ac:dyDescent="0.35">
      <c r="A407" s="51">
        <v>36718</v>
      </c>
      <c r="D407">
        <v>-19674</v>
      </c>
      <c r="E407">
        <v>9460</v>
      </c>
      <c r="F407">
        <v>10130</v>
      </c>
      <c r="G407">
        <v>-3554</v>
      </c>
      <c r="H407">
        <v>-7789</v>
      </c>
      <c r="I407">
        <v>3104</v>
      </c>
    </row>
    <row r="408" spans="1:9" x14ac:dyDescent="0.35">
      <c r="A408" s="51">
        <v>36725</v>
      </c>
      <c r="D408">
        <v>-18534</v>
      </c>
      <c r="E408">
        <v>1386</v>
      </c>
      <c r="F408">
        <v>8045</v>
      </c>
      <c r="G408">
        <v>-5797</v>
      </c>
      <c r="H408">
        <v>-14486</v>
      </c>
      <c r="I408">
        <v>3910</v>
      </c>
    </row>
    <row r="409" spans="1:9" x14ac:dyDescent="0.35">
      <c r="A409" s="51">
        <v>36732</v>
      </c>
      <c r="D409">
        <v>-5242</v>
      </c>
      <c r="E409">
        <v>-2360</v>
      </c>
      <c r="F409">
        <v>12397</v>
      </c>
      <c r="G409">
        <v>-958</v>
      </c>
      <c r="H409">
        <v>-22229</v>
      </c>
      <c r="I409">
        <v>4167</v>
      </c>
    </row>
    <row r="410" spans="1:9" x14ac:dyDescent="0.35">
      <c r="A410" s="51">
        <v>36739</v>
      </c>
      <c r="D410">
        <v>-13002</v>
      </c>
      <c r="E410">
        <v>-2907</v>
      </c>
      <c r="F410">
        <v>10272</v>
      </c>
      <c r="G410">
        <v>-3629</v>
      </c>
      <c r="H410">
        <v>-24999</v>
      </c>
      <c r="I410">
        <v>4133</v>
      </c>
    </row>
    <row r="411" spans="1:9" x14ac:dyDescent="0.35">
      <c r="A411" s="51">
        <v>36746</v>
      </c>
      <c r="D411">
        <v>-12663</v>
      </c>
      <c r="E411">
        <v>-16995</v>
      </c>
      <c r="F411">
        <v>8362</v>
      </c>
      <c r="G411">
        <v>-5052</v>
      </c>
      <c r="H411">
        <v>-26752</v>
      </c>
      <c r="I411">
        <v>4082</v>
      </c>
    </row>
    <row r="412" spans="1:9" x14ac:dyDescent="0.35">
      <c r="A412" s="51">
        <v>36753</v>
      </c>
      <c r="D412">
        <v>-14278</v>
      </c>
      <c r="E412">
        <v>-16919</v>
      </c>
      <c r="F412">
        <v>7634</v>
      </c>
      <c r="G412">
        <v>-5224</v>
      </c>
      <c r="H412">
        <v>-28804</v>
      </c>
      <c r="I412">
        <v>6019</v>
      </c>
    </row>
    <row r="413" spans="1:9" x14ac:dyDescent="0.35">
      <c r="A413" s="51">
        <v>36760</v>
      </c>
      <c r="D413">
        <v>-12427</v>
      </c>
      <c r="E413">
        <v>-21490</v>
      </c>
      <c r="F413">
        <v>3360</v>
      </c>
      <c r="G413">
        <v>-14685</v>
      </c>
      <c r="H413">
        <v>-28479</v>
      </c>
      <c r="I413">
        <v>5009</v>
      </c>
    </row>
    <row r="414" spans="1:9" x14ac:dyDescent="0.35">
      <c r="A414" s="51">
        <v>36767</v>
      </c>
      <c r="B414">
        <v>-2507</v>
      </c>
      <c r="D414">
        <v>-13740</v>
      </c>
      <c r="E414">
        <v>-21678</v>
      </c>
      <c r="F414">
        <v>1206</v>
      </c>
      <c r="G414">
        <v>-16574</v>
      </c>
      <c r="H414">
        <v>-12975</v>
      </c>
      <c r="I414">
        <v>5274</v>
      </c>
    </row>
    <row r="415" spans="1:9" x14ac:dyDescent="0.35">
      <c r="A415" s="51">
        <v>36774</v>
      </c>
      <c r="B415">
        <v>-2722</v>
      </c>
      <c r="D415">
        <v>-8772</v>
      </c>
      <c r="E415">
        <v>-21864</v>
      </c>
      <c r="F415">
        <v>382</v>
      </c>
      <c r="G415">
        <v>-16174</v>
      </c>
      <c r="H415">
        <v>-7102</v>
      </c>
      <c r="I415">
        <v>5420</v>
      </c>
    </row>
    <row r="416" spans="1:9" x14ac:dyDescent="0.35">
      <c r="A416" s="51">
        <v>36781</v>
      </c>
      <c r="B416">
        <v>-3554</v>
      </c>
      <c r="D416">
        <v>-11975</v>
      </c>
      <c r="E416">
        <v>-22852</v>
      </c>
      <c r="F416">
        <v>1174</v>
      </c>
      <c r="G416">
        <v>-14785</v>
      </c>
      <c r="H416">
        <v>6334</v>
      </c>
      <c r="I416">
        <v>3462</v>
      </c>
    </row>
    <row r="417" spans="1:9" x14ac:dyDescent="0.35">
      <c r="A417" s="51">
        <v>36788</v>
      </c>
      <c r="D417">
        <v>-16783</v>
      </c>
      <c r="E417">
        <v>-22237</v>
      </c>
      <c r="F417">
        <v>-4237</v>
      </c>
      <c r="G417">
        <v>-14913</v>
      </c>
      <c r="H417">
        <v>-4083</v>
      </c>
      <c r="I417">
        <v>1037</v>
      </c>
    </row>
    <row r="418" spans="1:9" x14ac:dyDescent="0.35">
      <c r="A418" s="51">
        <v>36795</v>
      </c>
      <c r="B418">
        <v>-3422</v>
      </c>
      <c r="D418">
        <v>-22895</v>
      </c>
      <c r="E418">
        <v>-15777</v>
      </c>
      <c r="F418">
        <v>149</v>
      </c>
      <c r="G418">
        <v>-6907</v>
      </c>
      <c r="H418">
        <v>-4226</v>
      </c>
      <c r="I418">
        <v>611</v>
      </c>
    </row>
    <row r="419" spans="1:9" x14ac:dyDescent="0.35">
      <c r="A419" s="51">
        <v>36802</v>
      </c>
      <c r="B419">
        <v>-3613</v>
      </c>
      <c r="D419">
        <v>-35165</v>
      </c>
      <c r="E419">
        <v>-15332</v>
      </c>
      <c r="F419">
        <v>3393</v>
      </c>
      <c r="G419">
        <v>-5271</v>
      </c>
      <c r="H419">
        <v>-13767</v>
      </c>
      <c r="I419">
        <v>2719</v>
      </c>
    </row>
    <row r="420" spans="1:9" x14ac:dyDescent="0.35">
      <c r="A420" s="51">
        <v>36809</v>
      </c>
      <c r="B420">
        <v>-3490</v>
      </c>
      <c r="D420">
        <v>-34960</v>
      </c>
      <c r="E420">
        <v>-13893</v>
      </c>
      <c r="F420">
        <v>5403</v>
      </c>
      <c r="G420">
        <v>-4061</v>
      </c>
      <c r="H420">
        <v>-30088</v>
      </c>
      <c r="I420">
        <v>1417</v>
      </c>
    </row>
    <row r="421" spans="1:9" x14ac:dyDescent="0.35">
      <c r="A421" s="51">
        <v>36816</v>
      </c>
      <c r="B421">
        <v>-3201</v>
      </c>
      <c r="D421">
        <v>-37305</v>
      </c>
      <c r="E421">
        <v>-17512</v>
      </c>
      <c r="F421">
        <v>1720</v>
      </c>
      <c r="G421">
        <v>-4731</v>
      </c>
      <c r="H421">
        <v>-29327</v>
      </c>
      <c r="I421">
        <v>259</v>
      </c>
    </row>
    <row r="422" spans="1:9" x14ac:dyDescent="0.35">
      <c r="A422" s="51">
        <v>36823</v>
      </c>
      <c r="B422">
        <v>-1728</v>
      </c>
      <c r="D422">
        <v>-38022</v>
      </c>
      <c r="E422">
        <v>-18005</v>
      </c>
      <c r="F422">
        <v>1833</v>
      </c>
      <c r="G422">
        <v>-4213</v>
      </c>
      <c r="H422">
        <v>-27811</v>
      </c>
      <c r="I422">
        <v>-929</v>
      </c>
    </row>
    <row r="423" spans="1:9" x14ac:dyDescent="0.35">
      <c r="A423" s="51">
        <v>36830</v>
      </c>
      <c r="B423">
        <v>-2146</v>
      </c>
      <c r="D423">
        <v>-37105</v>
      </c>
      <c r="E423">
        <v>-17293</v>
      </c>
      <c r="F423">
        <v>2173</v>
      </c>
      <c r="G423">
        <v>-3425</v>
      </c>
      <c r="H423">
        <v>-27079</v>
      </c>
      <c r="I423">
        <v>-923</v>
      </c>
    </row>
    <row r="424" spans="1:9" x14ac:dyDescent="0.35">
      <c r="A424" s="51">
        <v>36837</v>
      </c>
      <c r="B424">
        <v>-2616</v>
      </c>
      <c r="D424">
        <v>-31595</v>
      </c>
      <c r="E424">
        <v>-13199</v>
      </c>
      <c r="F424">
        <v>3778</v>
      </c>
      <c r="G424">
        <v>-3768</v>
      </c>
      <c r="H424">
        <v>-23877</v>
      </c>
      <c r="I424">
        <v>-1583</v>
      </c>
    </row>
    <row r="425" spans="1:9" x14ac:dyDescent="0.35">
      <c r="A425" s="51">
        <v>36844</v>
      </c>
      <c r="B425">
        <v>-1741</v>
      </c>
      <c r="D425">
        <v>-29729</v>
      </c>
      <c r="E425">
        <v>-12417</v>
      </c>
      <c r="F425">
        <v>2735</v>
      </c>
      <c r="G425">
        <v>-4342</v>
      </c>
      <c r="H425">
        <v>-22570</v>
      </c>
      <c r="I425">
        <v>3988</v>
      </c>
    </row>
    <row r="426" spans="1:9" x14ac:dyDescent="0.35">
      <c r="A426" s="51">
        <v>36851</v>
      </c>
      <c r="B426">
        <v>-2270</v>
      </c>
      <c r="D426">
        <v>-27650</v>
      </c>
      <c r="E426">
        <v>-14700</v>
      </c>
      <c r="F426">
        <v>5908</v>
      </c>
      <c r="G426">
        <v>-5824</v>
      </c>
      <c r="H426">
        <v>-35072</v>
      </c>
      <c r="I426">
        <v>5421</v>
      </c>
    </row>
    <row r="427" spans="1:9" x14ac:dyDescent="0.35">
      <c r="A427" s="51">
        <v>36858</v>
      </c>
      <c r="B427">
        <v>-773</v>
      </c>
      <c r="D427">
        <v>-19181</v>
      </c>
      <c r="E427">
        <v>-11163</v>
      </c>
      <c r="F427">
        <v>6941</v>
      </c>
      <c r="G427">
        <v>-6969</v>
      </c>
      <c r="H427">
        <v>-33330</v>
      </c>
      <c r="I427">
        <v>7705</v>
      </c>
    </row>
    <row r="428" spans="1:9" x14ac:dyDescent="0.35">
      <c r="A428" s="51">
        <v>36865</v>
      </c>
      <c r="B428">
        <v>660</v>
      </c>
      <c r="D428">
        <v>-18437</v>
      </c>
      <c r="E428">
        <v>5125</v>
      </c>
      <c r="F428">
        <v>16028</v>
      </c>
      <c r="G428">
        <v>-5349</v>
      </c>
      <c r="H428">
        <v>-32449</v>
      </c>
      <c r="I428">
        <v>8428</v>
      </c>
    </row>
    <row r="429" spans="1:9" x14ac:dyDescent="0.35">
      <c r="A429" s="51">
        <v>36872</v>
      </c>
      <c r="B429">
        <v>670</v>
      </c>
      <c r="D429">
        <v>-14861</v>
      </c>
      <c r="E429">
        <v>9089</v>
      </c>
      <c r="F429">
        <v>19532</v>
      </c>
      <c r="G429">
        <v>-2189</v>
      </c>
      <c r="H429">
        <v>-41696</v>
      </c>
      <c r="I429">
        <v>7671</v>
      </c>
    </row>
    <row r="430" spans="1:9" x14ac:dyDescent="0.35">
      <c r="A430" s="51">
        <v>36879</v>
      </c>
      <c r="D430">
        <v>-13646</v>
      </c>
      <c r="E430">
        <v>8840</v>
      </c>
      <c r="F430">
        <v>21814</v>
      </c>
      <c r="G430">
        <v>-1618</v>
      </c>
      <c r="H430">
        <v>-38233</v>
      </c>
      <c r="I430">
        <v>9576</v>
      </c>
    </row>
    <row r="431" spans="1:9" x14ac:dyDescent="0.35">
      <c r="A431" s="51">
        <v>36886</v>
      </c>
      <c r="D431">
        <v>-11530</v>
      </c>
      <c r="E431">
        <v>11154</v>
      </c>
      <c r="F431">
        <v>26380</v>
      </c>
      <c r="G431">
        <v>-388</v>
      </c>
      <c r="H431">
        <v>-42620</v>
      </c>
      <c r="I431">
        <v>4254</v>
      </c>
    </row>
    <row r="432" spans="1:9" x14ac:dyDescent="0.35">
      <c r="A432" s="51">
        <v>36893</v>
      </c>
      <c r="B432">
        <v>3046</v>
      </c>
      <c r="D432">
        <v>-3823</v>
      </c>
      <c r="E432">
        <v>11486</v>
      </c>
      <c r="F432">
        <v>27074</v>
      </c>
      <c r="G432">
        <v>1837</v>
      </c>
      <c r="H432">
        <v>-41419</v>
      </c>
      <c r="I432">
        <v>3043</v>
      </c>
    </row>
    <row r="433" spans="1:9" x14ac:dyDescent="0.35">
      <c r="A433" s="51">
        <v>36900</v>
      </c>
      <c r="B433">
        <v>3332</v>
      </c>
      <c r="D433">
        <v>2021</v>
      </c>
      <c r="E433">
        <v>11959</v>
      </c>
      <c r="F433">
        <v>23832</v>
      </c>
      <c r="G433">
        <v>2638</v>
      </c>
      <c r="H433">
        <v>-40138</v>
      </c>
      <c r="I433">
        <v>-453</v>
      </c>
    </row>
    <row r="434" spans="1:9" x14ac:dyDescent="0.35">
      <c r="A434" s="51">
        <v>36907</v>
      </c>
      <c r="B434">
        <v>3259</v>
      </c>
      <c r="D434">
        <v>3974</v>
      </c>
      <c r="E434">
        <v>13313</v>
      </c>
      <c r="F434">
        <v>20735</v>
      </c>
      <c r="G434">
        <v>2000</v>
      </c>
      <c r="H434">
        <v>-33870</v>
      </c>
      <c r="I434">
        <v>-2493</v>
      </c>
    </row>
    <row r="435" spans="1:9" x14ac:dyDescent="0.35">
      <c r="A435" s="51">
        <v>36914</v>
      </c>
      <c r="B435">
        <v>2837</v>
      </c>
      <c r="D435">
        <v>9917</v>
      </c>
      <c r="E435">
        <v>13668</v>
      </c>
      <c r="F435">
        <v>17242</v>
      </c>
      <c r="G435">
        <v>1868</v>
      </c>
      <c r="H435">
        <v>-29212</v>
      </c>
      <c r="I435">
        <v>-2483</v>
      </c>
    </row>
    <row r="436" spans="1:9" x14ac:dyDescent="0.35">
      <c r="A436" s="51">
        <v>36921</v>
      </c>
      <c r="B436">
        <v>1874</v>
      </c>
      <c r="D436">
        <v>7224</v>
      </c>
      <c r="E436">
        <v>10837</v>
      </c>
      <c r="F436">
        <v>16160</v>
      </c>
      <c r="G436">
        <v>1358</v>
      </c>
      <c r="H436">
        <v>-25200</v>
      </c>
      <c r="I436">
        <v>168</v>
      </c>
    </row>
    <row r="437" spans="1:9" x14ac:dyDescent="0.35">
      <c r="A437" s="51">
        <v>36928</v>
      </c>
      <c r="B437">
        <v>1831</v>
      </c>
      <c r="D437">
        <v>8652</v>
      </c>
      <c r="E437">
        <v>8425</v>
      </c>
      <c r="F437">
        <v>14335</v>
      </c>
      <c r="G437">
        <v>1002</v>
      </c>
      <c r="H437">
        <v>-26036</v>
      </c>
      <c r="I437">
        <v>1863</v>
      </c>
    </row>
    <row r="438" spans="1:9" x14ac:dyDescent="0.35">
      <c r="A438" s="51">
        <v>36935</v>
      </c>
      <c r="B438">
        <v>312</v>
      </c>
      <c r="D438">
        <v>25</v>
      </c>
      <c r="E438">
        <v>7587</v>
      </c>
      <c r="F438">
        <v>14702</v>
      </c>
      <c r="G438">
        <v>-1701</v>
      </c>
      <c r="H438">
        <v>-27474</v>
      </c>
      <c r="I438">
        <v>2787</v>
      </c>
    </row>
    <row r="439" spans="1:9" x14ac:dyDescent="0.35">
      <c r="A439" s="51">
        <v>36942</v>
      </c>
      <c r="B439">
        <v>-1215</v>
      </c>
      <c r="D439">
        <v>-4298</v>
      </c>
      <c r="E439">
        <v>-1333</v>
      </c>
      <c r="F439">
        <v>10002</v>
      </c>
      <c r="G439">
        <v>-2950</v>
      </c>
      <c r="H439">
        <v>-27060</v>
      </c>
      <c r="I439">
        <v>3226</v>
      </c>
    </row>
    <row r="440" spans="1:9" x14ac:dyDescent="0.35">
      <c r="A440" s="51">
        <v>36949</v>
      </c>
      <c r="B440">
        <v>-1401</v>
      </c>
      <c r="D440">
        <v>-12949</v>
      </c>
      <c r="E440">
        <v>-2092</v>
      </c>
      <c r="F440">
        <v>9513</v>
      </c>
      <c r="G440">
        <v>-2738</v>
      </c>
      <c r="H440">
        <v>-27537</v>
      </c>
      <c r="I440">
        <v>4843</v>
      </c>
    </row>
    <row r="441" spans="1:9" x14ac:dyDescent="0.35">
      <c r="A441" s="51">
        <v>36956</v>
      </c>
      <c r="B441">
        <v>-1537</v>
      </c>
      <c r="D441">
        <v>-13480</v>
      </c>
      <c r="E441">
        <v>196</v>
      </c>
      <c r="F441">
        <v>17064</v>
      </c>
      <c r="G441">
        <v>43</v>
      </c>
      <c r="H441">
        <v>-31507</v>
      </c>
      <c r="I441">
        <v>5902</v>
      </c>
    </row>
    <row r="442" spans="1:9" x14ac:dyDescent="0.35">
      <c r="A442" s="51">
        <v>36963</v>
      </c>
      <c r="B442">
        <v>-1488</v>
      </c>
      <c r="D442">
        <v>-13419</v>
      </c>
      <c r="E442">
        <v>-1918</v>
      </c>
      <c r="F442">
        <v>7827</v>
      </c>
      <c r="G442">
        <v>998</v>
      </c>
      <c r="H442">
        <v>-18307</v>
      </c>
      <c r="I442">
        <v>10224</v>
      </c>
    </row>
    <row r="443" spans="1:9" x14ac:dyDescent="0.35">
      <c r="A443" s="51">
        <v>36970</v>
      </c>
      <c r="B443">
        <v>-3168</v>
      </c>
      <c r="D443">
        <v>-14674</v>
      </c>
      <c r="E443">
        <v>-14630</v>
      </c>
      <c r="F443">
        <v>2613</v>
      </c>
      <c r="G443">
        <v>-5106</v>
      </c>
      <c r="H443">
        <v>-581</v>
      </c>
      <c r="I443">
        <v>11009</v>
      </c>
    </row>
    <row r="444" spans="1:9" x14ac:dyDescent="0.35">
      <c r="A444" s="51">
        <v>36977</v>
      </c>
      <c r="B444">
        <v>-2628</v>
      </c>
      <c r="D444">
        <v>-21032</v>
      </c>
      <c r="E444">
        <v>-15031</v>
      </c>
      <c r="F444">
        <v>3884</v>
      </c>
      <c r="G444">
        <v>-8302</v>
      </c>
      <c r="H444">
        <v>3487</v>
      </c>
      <c r="I444">
        <v>9924</v>
      </c>
    </row>
    <row r="445" spans="1:9" x14ac:dyDescent="0.35">
      <c r="A445" s="51">
        <v>36984</v>
      </c>
      <c r="B445">
        <v>-3132</v>
      </c>
      <c r="D445">
        <v>-19364</v>
      </c>
      <c r="E445">
        <v>-15316</v>
      </c>
      <c r="F445">
        <v>6775</v>
      </c>
      <c r="G445">
        <v>-8464</v>
      </c>
      <c r="H445">
        <v>1751</v>
      </c>
      <c r="I445">
        <v>10037</v>
      </c>
    </row>
    <row r="446" spans="1:9" x14ac:dyDescent="0.35">
      <c r="A446" s="51">
        <v>36991</v>
      </c>
      <c r="B446">
        <v>-3645</v>
      </c>
      <c r="D446">
        <v>-15022</v>
      </c>
      <c r="E446">
        <v>-15561</v>
      </c>
      <c r="F446">
        <v>5745</v>
      </c>
      <c r="G446">
        <v>-5579</v>
      </c>
      <c r="H446">
        <v>1921</v>
      </c>
      <c r="I446">
        <v>10162</v>
      </c>
    </row>
    <row r="447" spans="1:9" x14ac:dyDescent="0.35">
      <c r="A447" s="51">
        <v>36998</v>
      </c>
      <c r="B447">
        <v>-3069</v>
      </c>
      <c r="D447">
        <v>-15602</v>
      </c>
      <c r="E447">
        <v>-16745</v>
      </c>
      <c r="F447">
        <v>4993</v>
      </c>
      <c r="G447">
        <v>-6973</v>
      </c>
      <c r="H447">
        <v>-25586</v>
      </c>
      <c r="I447">
        <v>9744</v>
      </c>
    </row>
    <row r="448" spans="1:9" x14ac:dyDescent="0.35">
      <c r="A448" s="51">
        <v>37005</v>
      </c>
      <c r="B448">
        <v>-1223</v>
      </c>
      <c r="D448">
        <v>-13517</v>
      </c>
      <c r="E448">
        <v>-18022</v>
      </c>
      <c r="F448">
        <v>7303</v>
      </c>
      <c r="G448">
        <v>-5013</v>
      </c>
      <c r="H448">
        <v>-23460</v>
      </c>
      <c r="I448">
        <v>9627</v>
      </c>
    </row>
    <row r="449" spans="1:9" x14ac:dyDescent="0.35">
      <c r="A449" s="51">
        <v>37012</v>
      </c>
      <c r="B449">
        <v>-785</v>
      </c>
      <c r="D449">
        <v>-12156</v>
      </c>
      <c r="E449">
        <v>-20688</v>
      </c>
      <c r="F449">
        <v>6044</v>
      </c>
      <c r="G449">
        <v>-5592</v>
      </c>
      <c r="H449">
        <v>-5713</v>
      </c>
      <c r="I449">
        <v>10238</v>
      </c>
    </row>
    <row r="450" spans="1:9" x14ac:dyDescent="0.35">
      <c r="A450" s="51">
        <v>37019</v>
      </c>
      <c r="B450">
        <v>-744</v>
      </c>
      <c r="D450">
        <v>-13134</v>
      </c>
      <c r="E450">
        <v>-20424</v>
      </c>
      <c r="F450">
        <v>4354</v>
      </c>
      <c r="G450">
        <v>-9522</v>
      </c>
      <c r="H450">
        <v>-2919</v>
      </c>
      <c r="I450">
        <v>10270</v>
      </c>
    </row>
    <row r="451" spans="1:9" x14ac:dyDescent="0.35">
      <c r="A451" s="51">
        <v>37026</v>
      </c>
      <c r="B451">
        <v>-1359</v>
      </c>
      <c r="D451">
        <v>-14854</v>
      </c>
      <c r="E451">
        <v>-21997</v>
      </c>
      <c r="F451">
        <v>3408</v>
      </c>
      <c r="G451">
        <v>-10314</v>
      </c>
      <c r="H451">
        <v>-2315</v>
      </c>
      <c r="I451">
        <v>11216</v>
      </c>
    </row>
    <row r="452" spans="1:9" x14ac:dyDescent="0.35">
      <c r="A452" s="51">
        <v>37033</v>
      </c>
      <c r="B452">
        <v>1508</v>
      </c>
      <c r="D452">
        <v>-11502</v>
      </c>
      <c r="E452">
        <v>-24343</v>
      </c>
      <c r="F452">
        <v>-5453</v>
      </c>
      <c r="G452">
        <v>-8024</v>
      </c>
      <c r="H452">
        <v>-27048</v>
      </c>
      <c r="I452">
        <v>9257</v>
      </c>
    </row>
    <row r="453" spans="1:9" x14ac:dyDescent="0.35">
      <c r="A453" s="51">
        <v>37040</v>
      </c>
      <c r="B453">
        <v>616</v>
      </c>
      <c r="D453">
        <v>-14042</v>
      </c>
      <c r="E453">
        <v>-23704</v>
      </c>
      <c r="F453">
        <v>-2931</v>
      </c>
      <c r="G453">
        <v>-9858</v>
      </c>
      <c r="H453">
        <v>-10164</v>
      </c>
      <c r="I453">
        <v>9232</v>
      </c>
    </row>
    <row r="454" spans="1:9" x14ac:dyDescent="0.35">
      <c r="A454" s="51">
        <v>37047</v>
      </c>
      <c r="B454">
        <v>843</v>
      </c>
      <c r="D454">
        <v>-11529</v>
      </c>
      <c r="E454">
        <v>-23342</v>
      </c>
      <c r="F454">
        <v>-4813</v>
      </c>
      <c r="G454">
        <v>-12241</v>
      </c>
      <c r="H454">
        <v>5263</v>
      </c>
      <c r="I454">
        <v>7249</v>
      </c>
    </row>
    <row r="455" spans="1:9" x14ac:dyDescent="0.35">
      <c r="A455" s="51">
        <v>37054</v>
      </c>
      <c r="B455">
        <v>79</v>
      </c>
      <c r="D455">
        <v>-5509</v>
      </c>
      <c r="E455">
        <v>-21769</v>
      </c>
      <c r="F455">
        <v>-4588</v>
      </c>
      <c r="G455">
        <v>-12401</v>
      </c>
      <c r="H455">
        <v>2715</v>
      </c>
      <c r="I455">
        <v>7584</v>
      </c>
    </row>
    <row r="456" spans="1:9" x14ac:dyDescent="0.35">
      <c r="A456" s="51">
        <v>37061</v>
      </c>
      <c r="D456">
        <v>-4810</v>
      </c>
      <c r="E456">
        <v>-18492</v>
      </c>
      <c r="F456">
        <v>3633</v>
      </c>
      <c r="G456">
        <v>-13351</v>
      </c>
      <c r="H456">
        <v>-15866</v>
      </c>
      <c r="I456">
        <v>8296</v>
      </c>
    </row>
    <row r="457" spans="1:9" x14ac:dyDescent="0.35">
      <c r="A457" s="51">
        <v>37068</v>
      </c>
      <c r="D457">
        <v>-3407</v>
      </c>
      <c r="E457">
        <v>-17361</v>
      </c>
      <c r="F457">
        <v>3175</v>
      </c>
      <c r="G457">
        <v>-8951</v>
      </c>
      <c r="H457">
        <v>-24586</v>
      </c>
      <c r="I457">
        <v>8465</v>
      </c>
    </row>
    <row r="458" spans="1:9" x14ac:dyDescent="0.35">
      <c r="A458" s="51">
        <v>37075</v>
      </c>
      <c r="B458">
        <v>-711</v>
      </c>
      <c r="D458">
        <v>2124</v>
      </c>
      <c r="E458">
        <v>-28415</v>
      </c>
      <c r="F458">
        <v>3246</v>
      </c>
      <c r="G458">
        <v>-8565</v>
      </c>
      <c r="H458">
        <v>-32380</v>
      </c>
      <c r="I458">
        <v>8022</v>
      </c>
    </row>
    <row r="459" spans="1:9" x14ac:dyDescent="0.35">
      <c r="A459" s="51">
        <v>37082</v>
      </c>
      <c r="B459">
        <v>-525</v>
      </c>
      <c r="D459">
        <v>1472</v>
      </c>
      <c r="E459">
        <v>-26318</v>
      </c>
      <c r="F459">
        <v>6651</v>
      </c>
      <c r="G459">
        <v>-6817</v>
      </c>
      <c r="H459">
        <v>-24090</v>
      </c>
      <c r="I459">
        <v>3206</v>
      </c>
    </row>
    <row r="460" spans="1:9" x14ac:dyDescent="0.35">
      <c r="A460" s="51">
        <v>37089</v>
      </c>
      <c r="B460">
        <v>-1853</v>
      </c>
      <c r="D460">
        <v>-4163</v>
      </c>
      <c r="E460">
        <v>-18118</v>
      </c>
      <c r="F460">
        <v>9043</v>
      </c>
      <c r="G460">
        <v>-7682</v>
      </c>
      <c r="H460">
        <v>-9954</v>
      </c>
      <c r="I460">
        <v>2399</v>
      </c>
    </row>
    <row r="461" spans="1:9" x14ac:dyDescent="0.35">
      <c r="A461" s="51">
        <v>37096</v>
      </c>
      <c r="B461">
        <v>-1158</v>
      </c>
      <c r="D461">
        <v>-12191</v>
      </c>
      <c r="E461">
        <v>4827</v>
      </c>
      <c r="F461">
        <v>14291</v>
      </c>
      <c r="G461">
        <v>-1720</v>
      </c>
      <c r="H461">
        <v>-1229</v>
      </c>
      <c r="I461">
        <v>4264</v>
      </c>
    </row>
    <row r="462" spans="1:9" x14ac:dyDescent="0.35">
      <c r="A462" s="51">
        <v>37103</v>
      </c>
      <c r="B462">
        <v>-767</v>
      </c>
      <c r="D462">
        <v>-1375</v>
      </c>
      <c r="E462">
        <v>6669</v>
      </c>
      <c r="F462">
        <v>16083</v>
      </c>
      <c r="G462">
        <v>-2012</v>
      </c>
      <c r="H462">
        <v>-4435</v>
      </c>
      <c r="I462">
        <v>3554</v>
      </c>
    </row>
    <row r="463" spans="1:9" x14ac:dyDescent="0.35">
      <c r="A463" s="51">
        <v>37110</v>
      </c>
      <c r="B463">
        <v>-590</v>
      </c>
      <c r="D463">
        <v>-1560</v>
      </c>
      <c r="E463">
        <v>10999</v>
      </c>
      <c r="F463">
        <v>16640</v>
      </c>
      <c r="G463">
        <v>-3137</v>
      </c>
      <c r="H463">
        <v>1428</v>
      </c>
      <c r="I463">
        <v>8148</v>
      </c>
    </row>
    <row r="464" spans="1:9" x14ac:dyDescent="0.35">
      <c r="A464" s="51">
        <v>37117</v>
      </c>
      <c r="B464">
        <v>-118</v>
      </c>
      <c r="D464">
        <v>-1651</v>
      </c>
      <c r="E464">
        <v>17131</v>
      </c>
      <c r="F464">
        <v>24353</v>
      </c>
      <c r="G464">
        <v>1208</v>
      </c>
      <c r="H464">
        <v>11558</v>
      </c>
      <c r="I464">
        <v>10531</v>
      </c>
    </row>
    <row r="465" spans="1:9" x14ac:dyDescent="0.35">
      <c r="A465" s="51">
        <v>37124</v>
      </c>
      <c r="B465">
        <v>4724</v>
      </c>
      <c r="D465">
        <v>-7134</v>
      </c>
      <c r="E465">
        <v>20703</v>
      </c>
      <c r="F465">
        <v>28970</v>
      </c>
      <c r="G465">
        <v>10800</v>
      </c>
      <c r="H465">
        <v>30611</v>
      </c>
      <c r="I465">
        <v>9432</v>
      </c>
    </row>
    <row r="466" spans="1:9" x14ac:dyDescent="0.35">
      <c r="A466" s="51">
        <v>37131</v>
      </c>
      <c r="B466">
        <v>3986</v>
      </c>
      <c r="D466">
        <v>-6875</v>
      </c>
      <c r="E466">
        <v>20179</v>
      </c>
      <c r="F466">
        <v>29505</v>
      </c>
      <c r="G466">
        <v>14793</v>
      </c>
      <c r="H466">
        <v>30180</v>
      </c>
      <c r="I466">
        <v>9722</v>
      </c>
    </row>
    <row r="467" spans="1:9" x14ac:dyDescent="0.35">
      <c r="A467" s="51">
        <v>37138</v>
      </c>
      <c r="B467">
        <v>3933</v>
      </c>
      <c r="D467">
        <v>-15527</v>
      </c>
      <c r="E467">
        <v>15362</v>
      </c>
      <c r="F467">
        <v>21821</v>
      </c>
      <c r="G467">
        <v>12046</v>
      </c>
      <c r="H467">
        <v>32511</v>
      </c>
      <c r="I467">
        <v>6429</v>
      </c>
    </row>
    <row r="468" spans="1:9" x14ac:dyDescent="0.35">
      <c r="A468" s="51">
        <v>37145</v>
      </c>
      <c r="B468">
        <v>3703</v>
      </c>
      <c r="D468">
        <v>-25267</v>
      </c>
      <c r="E468">
        <v>14766</v>
      </c>
      <c r="F468">
        <v>17849</v>
      </c>
      <c r="G468">
        <v>12425</v>
      </c>
      <c r="H468">
        <v>23493</v>
      </c>
      <c r="I468">
        <v>2661</v>
      </c>
    </row>
    <row r="469" spans="1:9" x14ac:dyDescent="0.35">
      <c r="A469" s="51">
        <v>37152</v>
      </c>
      <c r="B469">
        <v>-1830</v>
      </c>
      <c r="D469">
        <v>-26578</v>
      </c>
      <c r="E469">
        <v>21668</v>
      </c>
      <c r="F469">
        <v>24437</v>
      </c>
      <c r="G469">
        <v>10169</v>
      </c>
      <c r="H469">
        <v>28439</v>
      </c>
      <c r="I469">
        <v>489</v>
      </c>
    </row>
    <row r="470" spans="1:9" x14ac:dyDescent="0.35">
      <c r="A470" s="51">
        <v>37159</v>
      </c>
      <c r="B470">
        <v>-1816</v>
      </c>
      <c r="D470">
        <v>-27937</v>
      </c>
      <c r="E470">
        <v>18339</v>
      </c>
      <c r="F470">
        <v>27848</v>
      </c>
      <c r="G470">
        <v>9306</v>
      </c>
      <c r="H470">
        <v>30365</v>
      </c>
      <c r="I470">
        <v>206</v>
      </c>
    </row>
    <row r="471" spans="1:9" x14ac:dyDescent="0.35">
      <c r="A471" s="51">
        <v>37166</v>
      </c>
      <c r="B471">
        <v>-1205</v>
      </c>
      <c r="D471">
        <v>-30339</v>
      </c>
      <c r="E471">
        <v>17158</v>
      </c>
      <c r="F471">
        <v>24952</v>
      </c>
      <c r="G471">
        <v>9194</v>
      </c>
      <c r="H471">
        <v>13509</v>
      </c>
      <c r="I471">
        <v>270</v>
      </c>
    </row>
    <row r="472" spans="1:9" x14ac:dyDescent="0.35">
      <c r="A472" s="51">
        <v>37173</v>
      </c>
      <c r="B472">
        <v>-2512</v>
      </c>
      <c r="D472">
        <v>-20289</v>
      </c>
      <c r="E472">
        <v>17082</v>
      </c>
      <c r="F472">
        <v>22441</v>
      </c>
      <c r="G472">
        <v>8288</v>
      </c>
      <c r="H472">
        <v>10268</v>
      </c>
      <c r="I472">
        <v>2355</v>
      </c>
    </row>
    <row r="473" spans="1:9" x14ac:dyDescent="0.35">
      <c r="A473" s="51">
        <v>37180</v>
      </c>
      <c r="B473">
        <v>-942</v>
      </c>
      <c r="D473">
        <v>-12618</v>
      </c>
      <c r="E473">
        <v>16961</v>
      </c>
      <c r="F473">
        <v>17616</v>
      </c>
      <c r="G473">
        <v>4786</v>
      </c>
      <c r="H473">
        <v>-1114</v>
      </c>
      <c r="I473">
        <v>5384</v>
      </c>
    </row>
    <row r="474" spans="1:9" x14ac:dyDescent="0.35">
      <c r="A474" s="51">
        <v>37187</v>
      </c>
      <c r="B474">
        <v>-647</v>
      </c>
      <c r="D474">
        <v>-19804</v>
      </c>
      <c r="E474">
        <v>9443</v>
      </c>
      <c r="F474">
        <v>9390</v>
      </c>
      <c r="G474">
        <v>-1279</v>
      </c>
      <c r="H474">
        <v>-21784</v>
      </c>
      <c r="I474">
        <v>7680</v>
      </c>
    </row>
    <row r="475" spans="1:9" x14ac:dyDescent="0.35">
      <c r="A475" s="51">
        <v>37194</v>
      </c>
      <c r="B475">
        <v>540</v>
      </c>
      <c r="D475">
        <v>-20573</v>
      </c>
      <c r="E475">
        <v>12429</v>
      </c>
      <c r="F475">
        <v>16686</v>
      </c>
      <c r="G475">
        <v>899</v>
      </c>
      <c r="H475">
        <v>-27345</v>
      </c>
      <c r="I475">
        <v>8616</v>
      </c>
    </row>
    <row r="476" spans="1:9" x14ac:dyDescent="0.35">
      <c r="A476" s="51">
        <v>37201</v>
      </c>
      <c r="B476">
        <v>996</v>
      </c>
      <c r="D476">
        <v>-26432</v>
      </c>
      <c r="E476">
        <v>12036</v>
      </c>
      <c r="F476">
        <v>15352</v>
      </c>
      <c r="G476">
        <v>2050</v>
      </c>
      <c r="H476">
        <v>-13914</v>
      </c>
      <c r="I476">
        <v>13219</v>
      </c>
    </row>
    <row r="477" spans="1:9" x14ac:dyDescent="0.35">
      <c r="A477" s="51">
        <v>37208</v>
      </c>
      <c r="B477">
        <v>12</v>
      </c>
      <c r="D477">
        <v>-28089</v>
      </c>
      <c r="E477">
        <v>5219</v>
      </c>
      <c r="F477">
        <v>484</v>
      </c>
      <c r="G477">
        <v>1755</v>
      </c>
      <c r="H477">
        <v>-4231</v>
      </c>
      <c r="I477">
        <v>14322</v>
      </c>
    </row>
    <row r="478" spans="1:9" x14ac:dyDescent="0.35">
      <c r="A478" s="51">
        <v>37215</v>
      </c>
      <c r="B478">
        <v>3301</v>
      </c>
      <c r="D478">
        <v>-25375</v>
      </c>
      <c r="E478">
        <v>239</v>
      </c>
      <c r="F478">
        <v>-286</v>
      </c>
      <c r="G478">
        <v>-6058</v>
      </c>
      <c r="H478">
        <v>-18886</v>
      </c>
      <c r="I478">
        <v>15329</v>
      </c>
    </row>
    <row r="479" spans="1:9" x14ac:dyDescent="0.35">
      <c r="A479" s="51">
        <v>37222</v>
      </c>
      <c r="B479">
        <v>3209</v>
      </c>
      <c r="D479">
        <v>-26672</v>
      </c>
      <c r="E479">
        <v>-4584</v>
      </c>
      <c r="F479">
        <v>915</v>
      </c>
      <c r="G479">
        <v>-8478</v>
      </c>
      <c r="H479">
        <v>-21630</v>
      </c>
      <c r="I479">
        <v>13959</v>
      </c>
    </row>
    <row r="480" spans="1:9" x14ac:dyDescent="0.35">
      <c r="A480" s="51">
        <v>37229</v>
      </c>
      <c r="B480">
        <v>2136</v>
      </c>
      <c r="D480">
        <v>-7970</v>
      </c>
      <c r="E480">
        <v>-205</v>
      </c>
      <c r="F480">
        <v>13846</v>
      </c>
      <c r="G480">
        <v>-8948</v>
      </c>
      <c r="H480">
        <v>-8418</v>
      </c>
      <c r="I480">
        <v>11024</v>
      </c>
    </row>
    <row r="481" spans="1:9" x14ac:dyDescent="0.35">
      <c r="A481" s="51">
        <v>37236</v>
      </c>
      <c r="B481">
        <v>-78</v>
      </c>
      <c r="D481">
        <v>-7794</v>
      </c>
      <c r="E481">
        <v>-466</v>
      </c>
      <c r="F481">
        <v>11906</v>
      </c>
      <c r="G481">
        <v>-2460</v>
      </c>
      <c r="H481">
        <v>-4258</v>
      </c>
      <c r="I481">
        <v>13874</v>
      </c>
    </row>
    <row r="482" spans="1:9" x14ac:dyDescent="0.35">
      <c r="A482" s="51">
        <v>37243</v>
      </c>
      <c r="D482">
        <v>-4900</v>
      </c>
      <c r="E482">
        <v>7133</v>
      </c>
      <c r="F482">
        <v>11871</v>
      </c>
      <c r="G482">
        <v>1742</v>
      </c>
      <c r="H482">
        <v>-1935</v>
      </c>
      <c r="I482">
        <v>14104</v>
      </c>
    </row>
    <row r="483" spans="1:9" x14ac:dyDescent="0.35">
      <c r="A483" s="51">
        <v>37250</v>
      </c>
      <c r="D483">
        <v>-6091</v>
      </c>
      <c r="E483">
        <v>2250</v>
      </c>
      <c r="F483">
        <v>11422</v>
      </c>
      <c r="G483">
        <v>-1628</v>
      </c>
      <c r="H483">
        <v>-4321</v>
      </c>
      <c r="I483">
        <v>15090</v>
      </c>
    </row>
    <row r="484" spans="1:9" x14ac:dyDescent="0.35">
      <c r="A484" s="51">
        <v>37257</v>
      </c>
      <c r="D484">
        <v>-14601</v>
      </c>
      <c r="E484">
        <v>-9439</v>
      </c>
      <c r="F484">
        <v>11182</v>
      </c>
      <c r="G484">
        <v>-2485</v>
      </c>
      <c r="H484">
        <v>866</v>
      </c>
      <c r="I484">
        <v>12974</v>
      </c>
    </row>
    <row r="485" spans="1:9" x14ac:dyDescent="0.35">
      <c r="A485" s="51">
        <v>37264</v>
      </c>
      <c r="D485">
        <v>-15333</v>
      </c>
      <c r="E485">
        <v>-5865</v>
      </c>
      <c r="F485">
        <v>14773</v>
      </c>
      <c r="G485">
        <v>-3410</v>
      </c>
      <c r="H485">
        <v>-3530</v>
      </c>
      <c r="I485">
        <v>14716</v>
      </c>
    </row>
    <row r="486" spans="1:9" x14ac:dyDescent="0.35">
      <c r="A486" s="51">
        <v>37271</v>
      </c>
      <c r="D486">
        <v>-15445</v>
      </c>
      <c r="E486">
        <v>-9020</v>
      </c>
      <c r="F486">
        <v>12096</v>
      </c>
      <c r="G486">
        <v>-4517</v>
      </c>
      <c r="H486">
        <v>-2603</v>
      </c>
      <c r="I486">
        <v>11738</v>
      </c>
    </row>
    <row r="487" spans="1:9" x14ac:dyDescent="0.35">
      <c r="A487" s="51">
        <v>37278</v>
      </c>
      <c r="D487">
        <v>-22045</v>
      </c>
      <c r="E487">
        <v>-3946</v>
      </c>
      <c r="F487">
        <v>17289</v>
      </c>
      <c r="G487">
        <v>-3089</v>
      </c>
      <c r="H487">
        <v>-14401</v>
      </c>
      <c r="I487">
        <v>14993</v>
      </c>
    </row>
    <row r="488" spans="1:9" x14ac:dyDescent="0.35">
      <c r="A488" s="51">
        <v>37285</v>
      </c>
      <c r="B488">
        <v>977</v>
      </c>
      <c r="D488">
        <v>-17164</v>
      </c>
      <c r="E488">
        <v>-18370</v>
      </c>
      <c r="F488">
        <v>855</v>
      </c>
      <c r="G488">
        <v>-11942</v>
      </c>
      <c r="H488">
        <v>-6343</v>
      </c>
      <c r="I488">
        <v>14388</v>
      </c>
    </row>
    <row r="489" spans="1:9" x14ac:dyDescent="0.35">
      <c r="A489" s="51">
        <v>37292</v>
      </c>
      <c r="B489">
        <v>386</v>
      </c>
      <c r="D489">
        <v>-15426</v>
      </c>
      <c r="E489">
        <v>-13957</v>
      </c>
      <c r="F489">
        <v>2323</v>
      </c>
      <c r="G489">
        <v>-10864</v>
      </c>
      <c r="H489">
        <v>-4016</v>
      </c>
      <c r="I489">
        <v>16146</v>
      </c>
    </row>
    <row r="490" spans="1:9" x14ac:dyDescent="0.35">
      <c r="A490" s="51">
        <v>37299</v>
      </c>
      <c r="B490">
        <v>-2837</v>
      </c>
      <c r="D490">
        <v>-13596</v>
      </c>
      <c r="E490">
        <v>-14326</v>
      </c>
      <c r="F490">
        <v>3254</v>
      </c>
      <c r="G490">
        <v>-5398</v>
      </c>
      <c r="H490">
        <v>-7781</v>
      </c>
      <c r="I490">
        <v>18053</v>
      </c>
    </row>
    <row r="491" spans="1:9" x14ac:dyDescent="0.35">
      <c r="A491" s="51">
        <v>37306</v>
      </c>
      <c r="D491">
        <v>-9338</v>
      </c>
      <c r="E491">
        <v>-12230</v>
      </c>
      <c r="F491">
        <v>8647</v>
      </c>
      <c r="G491">
        <v>-5595</v>
      </c>
      <c r="H491">
        <v>-12332</v>
      </c>
      <c r="I491">
        <v>18060</v>
      </c>
    </row>
    <row r="492" spans="1:9" x14ac:dyDescent="0.35">
      <c r="A492" s="51">
        <v>37313</v>
      </c>
      <c r="B492">
        <v>85</v>
      </c>
      <c r="D492">
        <v>-19960</v>
      </c>
      <c r="E492">
        <v>-14899</v>
      </c>
      <c r="F492">
        <v>3133</v>
      </c>
      <c r="G492">
        <v>-6214</v>
      </c>
      <c r="H492">
        <v>-19812</v>
      </c>
      <c r="I492">
        <v>17568</v>
      </c>
    </row>
    <row r="493" spans="1:9" x14ac:dyDescent="0.35">
      <c r="A493" s="51">
        <v>37320</v>
      </c>
      <c r="D493">
        <v>-10094</v>
      </c>
      <c r="E493">
        <v>-12945</v>
      </c>
      <c r="F493">
        <v>6288</v>
      </c>
      <c r="G493">
        <v>-3596</v>
      </c>
      <c r="H493">
        <v>-13646</v>
      </c>
      <c r="I493">
        <v>19348</v>
      </c>
    </row>
    <row r="494" spans="1:9" x14ac:dyDescent="0.35">
      <c r="A494" s="51">
        <v>37327</v>
      </c>
      <c r="B494">
        <v>5426</v>
      </c>
      <c r="D494">
        <v>-2100</v>
      </c>
      <c r="E494">
        <v>-8036</v>
      </c>
      <c r="F494">
        <v>15461</v>
      </c>
      <c r="G494">
        <v>-10123</v>
      </c>
      <c r="H494">
        <v>6898</v>
      </c>
      <c r="I494">
        <v>19444</v>
      </c>
    </row>
    <row r="495" spans="1:9" x14ac:dyDescent="0.35">
      <c r="A495" s="51">
        <v>37334</v>
      </c>
      <c r="B495">
        <v>6875</v>
      </c>
      <c r="D495">
        <v>-2291</v>
      </c>
      <c r="E495">
        <v>-6555</v>
      </c>
      <c r="F495">
        <v>21256</v>
      </c>
      <c r="G495">
        <v>-6691</v>
      </c>
      <c r="H495">
        <v>-1127</v>
      </c>
      <c r="I495">
        <v>20868</v>
      </c>
    </row>
    <row r="496" spans="1:9" x14ac:dyDescent="0.35">
      <c r="A496" s="51">
        <v>37341</v>
      </c>
      <c r="B496">
        <v>12260</v>
      </c>
      <c r="D496">
        <v>-4556</v>
      </c>
      <c r="E496">
        <v>-4257</v>
      </c>
      <c r="F496">
        <v>23293</v>
      </c>
      <c r="G496">
        <v>-855</v>
      </c>
      <c r="H496">
        <v>-4360</v>
      </c>
      <c r="I496">
        <v>22937</v>
      </c>
    </row>
    <row r="497" spans="1:9" x14ac:dyDescent="0.35">
      <c r="A497" s="51">
        <v>37348</v>
      </c>
      <c r="B497">
        <v>14303</v>
      </c>
      <c r="D497">
        <v>-12486</v>
      </c>
      <c r="E497">
        <v>-1741</v>
      </c>
      <c r="F497">
        <v>26158</v>
      </c>
      <c r="G497">
        <v>4602</v>
      </c>
      <c r="H497">
        <v>-9257</v>
      </c>
      <c r="I497">
        <v>22685</v>
      </c>
    </row>
    <row r="498" spans="1:9" x14ac:dyDescent="0.35">
      <c r="A498" s="51">
        <v>37355</v>
      </c>
      <c r="B498">
        <v>24037</v>
      </c>
      <c r="D498">
        <v>-20762</v>
      </c>
      <c r="E498">
        <v>-6540</v>
      </c>
      <c r="F498">
        <v>19441</v>
      </c>
      <c r="G498">
        <v>244</v>
      </c>
      <c r="H498">
        <v>-10841</v>
      </c>
      <c r="I498">
        <v>21793</v>
      </c>
    </row>
    <row r="499" spans="1:9" x14ac:dyDescent="0.35">
      <c r="A499" s="51">
        <v>37362</v>
      </c>
      <c r="B499">
        <v>17167</v>
      </c>
      <c r="D499">
        <v>-8822</v>
      </c>
      <c r="E499">
        <v>-3517</v>
      </c>
      <c r="F499">
        <v>27627</v>
      </c>
      <c r="G499">
        <v>2437</v>
      </c>
      <c r="H499">
        <v>-8751</v>
      </c>
      <c r="I499">
        <v>11255</v>
      </c>
    </row>
    <row r="500" spans="1:9" x14ac:dyDescent="0.35">
      <c r="A500" s="51">
        <v>37369</v>
      </c>
      <c r="B500">
        <v>19351</v>
      </c>
      <c r="D500">
        <v>-469</v>
      </c>
      <c r="E500">
        <v>6770</v>
      </c>
      <c r="F500">
        <v>29623</v>
      </c>
      <c r="G500">
        <v>8681</v>
      </c>
      <c r="H500">
        <v>-726</v>
      </c>
      <c r="I500">
        <v>4041</v>
      </c>
    </row>
    <row r="501" spans="1:9" x14ac:dyDescent="0.35">
      <c r="A501" s="51">
        <v>37376</v>
      </c>
      <c r="B501">
        <v>16621</v>
      </c>
      <c r="D501">
        <v>2307</v>
      </c>
      <c r="E501">
        <v>15107</v>
      </c>
      <c r="F501">
        <v>31472</v>
      </c>
      <c r="G501">
        <v>10558</v>
      </c>
      <c r="H501">
        <v>5654</v>
      </c>
      <c r="I501">
        <v>-145</v>
      </c>
    </row>
    <row r="502" spans="1:9" x14ac:dyDescent="0.35">
      <c r="A502" s="51">
        <v>37383</v>
      </c>
      <c r="B502">
        <v>15329</v>
      </c>
      <c r="D502">
        <v>6182</v>
      </c>
      <c r="E502">
        <v>15674</v>
      </c>
      <c r="F502">
        <v>35433</v>
      </c>
      <c r="G502">
        <v>11670</v>
      </c>
      <c r="H502">
        <v>6514</v>
      </c>
      <c r="I502">
        <v>-1152</v>
      </c>
    </row>
    <row r="503" spans="1:9" x14ac:dyDescent="0.35">
      <c r="A503" s="51">
        <v>37390</v>
      </c>
      <c r="B503">
        <v>11337</v>
      </c>
      <c r="D503">
        <v>10523</v>
      </c>
      <c r="E503">
        <v>13315</v>
      </c>
      <c r="F503">
        <v>34600</v>
      </c>
      <c r="G503">
        <v>4393</v>
      </c>
      <c r="H503">
        <v>2814</v>
      </c>
      <c r="I503">
        <v>-3751</v>
      </c>
    </row>
    <row r="504" spans="1:9" x14ac:dyDescent="0.35">
      <c r="A504" s="51">
        <v>37397</v>
      </c>
      <c r="B504">
        <v>8071</v>
      </c>
      <c r="D504">
        <v>15201</v>
      </c>
      <c r="E504">
        <v>13821</v>
      </c>
      <c r="F504">
        <v>31173</v>
      </c>
      <c r="G504">
        <v>5239</v>
      </c>
      <c r="H504">
        <v>13862</v>
      </c>
      <c r="I504">
        <v>-5900</v>
      </c>
    </row>
    <row r="505" spans="1:9" x14ac:dyDescent="0.35">
      <c r="A505" s="51">
        <v>37404</v>
      </c>
      <c r="B505">
        <v>11822</v>
      </c>
      <c r="D505">
        <v>18205</v>
      </c>
      <c r="E505">
        <v>11988</v>
      </c>
      <c r="F505">
        <v>31725</v>
      </c>
      <c r="G505">
        <v>4646</v>
      </c>
      <c r="H505">
        <v>12174</v>
      </c>
      <c r="I505">
        <v>-6222</v>
      </c>
    </row>
    <row r="506" spans="1:9" x14ac:dyDescent="0.35">
      <c r="A506" s="51">
        <v>37411</v>
      </c>
      <c r="B506">
        <v>14029</v>
      </c>
      <c r="D506">
        <v>23278</v>
      </c>
      <c r="E506">
        <v>10022</v>
      </c>
      <c r="F506">
        <v>31616</v>
      </c>
      <c r="G506">
        <v>2850</v>
      </c>
      <c r="H506">
        <v>8375</v>
      </c>
      <c r="I506">
        <v>-8363</v>
      </c>
    </row>
    <row r="507" spans="1:9" x14ac:dyDescent="0.35">
      <c r="A507" s="51">
        <v>37418</v>
      </c>
      <c r="B507">
        <v>11349</v>
      </c>
      <c r="D507">
        <v>24689</v>
      </c>
      <c r="E507">
        <v>12475</v>
      </c>
      <c r="F507">
        <v>28367</v>
      </c>
      <c r="G507">
        <v>9828</v>
      </c>
      <c r="H507">
        <v>6075</v>
      </c>
      <c r="I507">
        <v>-9198</v>
      </c>
    </row>
    <row r="508" spans="1:9" x14ac:dyDescent="0.35">
      <c r="A508" s="51">
        <v>37425</v>
      </c>
      <c r="B508">
        <v>8436</v>
      </c>
      <c r="D508">
        <v>18945</v>
      </c>
      <c r="E508">
        <v>14400</v>
      </c>
      <c r="F508">
        <v>29457</v>
      </c>
      <c r="G508">
        <v>5843</v>
      </c>
      <c r="H508">
        <v>9469</v>
      </c>
      <c r="I508">
        <v>-7142</v>
      </c>
    </row>
    <row r="509" spans="1:9" x14ac:dyDescent="0.35">
      <c r="A509" s="51">
        <v>37432</v>
      </c>
      <c r="B509">
        <v>6562</v>
      </c>
      <c r="D509">
        <v>18175</v>
      </c>
      <c r="E509">
        <v>14520</v>
      </c>
      <c r="F509">
        <v>22524</v>
      </c>
      <c r="G509">
        <v>5240</v>
      </c>
      <c r="H509">
        <v>10609</v>
      </c>
      <c r="I509">
        <v>-9134</v>
      </c>
    </row>
    <row r="510" spans="1:9" x14ac:dyDescent="0.35">
      <c r="A510" s="51">
        <v>37439</v>
      </c>
      <c r="B510">
        <v>6222</v>
      </c>
      <c r="D510">
        <v>23412</v>
      </c>
      <c r="E510">
        <v>13173</v>
      </c>
      <c r="F510">
        <v>24395</v>
      </c>
      <c r="G510">
        <v>2229</v>
      </c>
      <c r="H510">
        <v>9046</v>
      </c>
      <c r="I510">
        <v>-9360</v>
      </c>
    </row>
    <row r="511" spans="1:9" x14ac:dyDescent="0.35">
      <c r="A511" s="51">
        <v>37446</v>
      </c>
      <c r="B511">
        <v>6337</v>
      </c>
      <c r="D511">
        <v>22316</v>
      </c>
      <c r="E511">
        <v>12398</v>
      </c>
      <c r="F511">
        <v>24082</v>
      </c>
      <c r="G511">
        <v>1916</v>
      </c>
      <c r="H511">
        <v>10200</v>
      </c>
      <c r="I511">
        <v>-7798</v>
      </c>
    </row>
    <row r="512" spans="1:9" x14ac:dyDescent="0.35">
      <c r="A512" s="51">
        <v>37453</v>
      </c>
      <c r="B512">
        <v>4379</v>
      </c>
      <c r="D512">
        <v>16222</v>
      </c>
      <c r="E512">
        <v>14085</v>
      </c>
      <c r="F512">
        <v>26654</v>
      </c>
      <c r="G512">
        <v>-255</v>
      </c>
      <c r="H512">
        <v>11221</v>
      </c>
      <c r="I512">
        <v>-3214</v>
      </c>
    </row>
    <row r="513" spans="1:9" x14ac:dyDescent="0.35">
      <c r="A513" s="51">
        <v>37460</v>
      </c>
      <c r="B513">
        <v>749</v>
      </c>
      <c r="D513">
        <v>9106</v>
      </c>
      <c r="E513">
        <v>13114</v>
      </c>
      <c r="F513">
        <v>25678</v>
      </c>
      <c r="G513">
        <v>167</v>
      </c>
      <c r="H513">
        <v>9863</v>
      </c>
      <c r="I513">
        <v>408</v>
      </c>
    </row>
    <row r="514" spans="1:9" x14ac:dyDescent="0.35">
      <c r="A514" s="51">
        <v>37467</v>
      </c>
      <c r="D514">
        <v>4205</v>
      </c>
      <c r="E514">
        <v>8159</v>
      </c>
      <c r="F514">
        <v>25483</v>
      </c>
      <c r="G514">
        <v>1514</v>
      </c>
      <c r="H514">
        <v>3852</v>
      </c>
      <c r="I514">
        <v>1760</v>
      </c>
    </row>
    <row r="515" spans="1:9" x14ac:dyDescent="0.35">
      <c r="A515" s="51">
        <v>37474</v>
      </c>
      <c r="B515">
        <v>1111</v>
      </c>
      <c r="D515">
        <v>1234</v>
      </c>
      <c r="E515">
        <v>6487</v>
      </c>
      <c r="F515">
        <v>20022</v>
      </c>
      <c r="G515">
        <v>2532</v>
      </c>
      <c r="H515">
        <v>706</v>
      </c>
      <c r="I515">
        <v>158</v>
      </c>
    </row>
    <row r="516" spans="1:9" x14ac:dyDescent="0.35">
      <c r="A516" s="51">
        <v>37481</v>
      </c>
      <c r="B516">
        <v>1191</v>
      </c>
      <c r="D516">
        <v>1061</v>
      </c>
      <c r="E516">
        <v>7552</v>
      </c>
      <c r="F516">
        <v>19782</v>
      </c>
      <c r="G516">
        <v>1031</v>
      </c>
      <c r="H516">
        <v>3664</v>
      </c>
      <c r="I516">
        <v>-1796</v>
      </c>
    </row>
    <row r="517" spans="1:9" x14ac:dyDescent="0.35">
      <c r="A517" s="51">
        <v>37488</v>
      </c>
      <c r="B517">
        <v>553</v>
      </c>
      <c r="D517">
        <v>557</v>
      </c>
      <c r="E517">
        <v>6223</v>
      </c>
      <c r="F517">
        <v>17863</v>
      </c>
      <c r="G517">
        <v>-1177</v>
      </c>
      <c r="H517">
        <v>3412</v>
      </c>
      <c r="I517">
        <v>-716</v>
      </c>
    </row>
    <row r="518" spans="1:9" x14ac:dyDescent="0.35">
      <c r="A518" s="51">
        <v>37495</v>
      </c>
      <c r="B518">
        <v>-90</v>
      </c>
      <c r="D518">
        <v>2767</v>
      </c>
      <c r="E518">
        <v>9939</v>
      </c>
      <c r="F518">
        <v>22088</v>
      </c>
      <c r="G518">
        <v>2563</v>
      </c>
      <c r="H518">
        <v>4351</v>
      </c>
      <c r="I518">
        <v>-1443</v>
      </c>
    </row>
    <row r="519" spans="1:9" x14ac:dyDescent="0.35">
      <c r="A519" s="51">
        <v>37502</v>
      </c>
      <c r="B519">
        <v>167</v>
      </c>
      <c r="D519">
        <v>10520</v>
      </c>
      <c r="E519">
        <v>10931</v>
      </c>
      <c r="F519">
        <v>25238</v>
      </c>
      <c r="G519">
        <v>2871</v>
      </c>
      <c r="H519">
        <v>6641</v>
      </c>
      <c r="I519">
        <v>-2674</v>
      </c>
    </row>
    <row r="520" spans="1:9" x14ac:dyDescent="0.35">
      <c r="A520" s="51">
        <v>37509</v>
      </c>
      <c r="B520">
        <v>524</v>
      </c>
      <c r="D520">
        <v>10603</v>
      </c>
      <c r="E520">
        <v>10234</v>
      </c>
      <c r="F520">
        <v>20351</v>
      </c>
      <c r="G520">
        <v>2023</v>
      </c>
      <c r="H520">
        <v>3220</v>
      </c>
      <c r="I520">
        <v>-4982</v>
      </c>
    </row>
    <row r="521" spans="1:9" x14ac:dyDescent="0.35">
      <c r="A521" s="51">
        <v>37516</v>
      </c>
      <c r="D521">
        <v>2174</v>
      </c>
      <c r="E521">
        <v>-5904</v>
      </c>
      <c r="F521">
        <v>12610</v>
      </c>
      <c r="G521">
        <v>-2423</v>
      </c>
      <c r="H521">
        <v>-16374</v>
      </c>
      <c r="I521">
        <v>-4818</v>
      </c>
    </row>
    <row r="522" spans="1:9" x14ac:dyDescent="0.35">
      <c r="A522" s="51">
        <v>37523</v>
      </c>
      <c r="D522">
        <v>612</v>
      </c>
      <c r="E522">
        <v>-3074</v>
      </c>
      <c r="F522">
        <v>14602</v>
      </c>
      <c r="G522">
        <v>-1680</v>
      </c>
      <c r="H522">
        <v>-18080</v>
      </c>
      <c r="I522">
        <v>-10407</v>
      </c>
    </row>
    <row r="523" spans="1:9" x14ac:dyDescent="0.35">
      <c r="A523" s="51">
        <v>37530</v>
      </c>
      <c r="B523">
        <v>2342</v>
      </c>
      <c r="D523">
        <v>-414</v>
      </c>
      <c r="E523">
        <v>2105</v>
      </c>
      <c r="F523">
        <v>16937</v>
      </c>
      <c r="G523">
        <v>-384</v>
      </c>
      <c r="H523">
        <v>-15313</v>
      </c>
      <c r="I523">
        <v>-10687</v>
      </c>
    </row>
    <row r="524" spans="1:9" x14ac:dyDescent="0.35">
      <c r="A524" s="51">
        <v>37537</v>
      </c>
      <c r="B524">
        <v>5845</v>
      </c>
      <c r="D524">
        <v>53</v>
      </c>
      <c r="E524">
        <v>-3594</v>
      </c>
      <c r="F524">
        <v>12652</v>
      </c>
      <c r="G524">
        <v>-1155</v>
      </c>
      <c r="H524">
        <v>-13241</v>
      </c>
      <c r="I524">
        <v>-10236</v>
      </c>
    </row>
    <row r="525" spans="1:9" x14ac:dyDescent="0.35">
      <c r="A525" s="51">
        <v>37544</v>
      </c>
      <c r="B525">
        <v>5242</v>
      </c>
      <c r="D525">
        <v>-410</v>
      </c>
      <c r="E525">
        <v>-2998</v>
      </c>
      <c r="F525">
        <v>21032</v>
      </c>
      <c r="G525">
        <v>2285</v>
      </c>
      <c r="H525">
        <v>-12830</v>
      </c>
      <c r="I525">
        <v>-7147</v>
      </c>
    </row>
    <row r="526" spans="1:9" x14ac:dyDescent="0.35">
      <c r="A526" s="51">
        <v>37551</v>
      </c>
      <c r="B526">
        <v>9971</v>
      </c>
      <c r="D526">
        <v>7566</v>
      </c>
      <c r="E526">
        <v>-6155</v>
      </c>
      <c r="F526">
        <v>14068</v>
      </c>
      <c r="G526">
        <v>267</v>
      </c>
      <c r="H526">
        <v>-14934</v>
      </c>
      <c r="I526">
        <v>-2594</v>
      </c>
    </row>
    <row r="527" spans="1:9" x14ac:dyDescent="0.35">
      <c r="A527" s="51">
        <v>37558</v>
      </c>
      <c r="B527">
        <v>12614</v>
      </c>
      <c r="D527">
        <v>12585</v>
      </c>
      <c r="E527">
        <v>1677</v>
      </c>
      <c r="F527">
        <v>19325</v>
      </c>
      <c r="G527">
        <v>7677</v>
      </c>
      <c r="H527">
        <v>-8264</v>
      </c>
      <c r="I527">
        <v>-2391</v>
      </c>
    </row>
    <row r="528" spans="1:9" x14ac:dyDescent="0.35">
      <c r="A528" s="51">
        <v>37565</v>
      </c>
      <c r="B528">
        <v>17716</v>
      </c>
      <c r="D528">
        <v>15616</v>
      </c>
      <c r="E528">
        <v>10550</v>
      </c>
      <c r="F528">
        <v>31037</v>
      </c>
      <c r="G528">
        <v>9963</v>
      </c>
      <c r="H528">
        <v>-4696</v>
      </c>
      <c r="I528">
        <v>-5201</v>
      </c>
    </row>
    <row r="529" spans="1:9" x14ac:dyDescent="0.35">
      <c r="A529" s="51">
        <v>37572</v>
      </c>
      <c r="B529">
        <v>17738</v>
      </c>
      <c r="D529">
        <v>11725</v>
      </c>
      <c r="E529">
        <v>17241</v>
      </c>
      <c r="F529">
        <v>33277</v>
      </c>
      <c r="G529">
        <v>15319</v>
      </c>
      <c r="H529">
        <v>-427</v>
      </c>
      <c r="I529">
        <v>-7347</v>
      </c>
    </row>
    <row r="530" spans="1:9" x14ac:dyDescent="0.35">
      <c r="A530" s="51">
        <v>37579</v>
      </c>
      <c r="B530">
        <v>17300</v>
      </c>
      <c r="D530">
        <v>4490</v>
      </c>
      <c r="E530">
        <v>15127</v>
      </c>
      <c r="F530">
        <v>30205</v>
      </c>
      <c r="G530">
        <v>13375</v>
      </c>
      <c r="H530">
        <v>-2891</v>
      </c>
      <c r="I530">
        <v>-2698</v>
      </c>
    </row>
    <row r="531" spans="1:9" x14ac:dyDescent="0.35">
      <c r="A531" s="51">
        <v>37586</v>
      </c>
      <c r="B531">
        <v>15411</v>
      </c>
      <c r="D531">
        <v>4302</v>
      </c>
      <c r="E531">
        <v>6007</v>
      </c>
      <c r="F531">
        <v>28776</v>
      </c>
      <c r="G531">
        <v>6746</v>
      </c>
      <c r="H531">
        <v>-4464</v>
      </c>
      <c r="I531">
        <v>-2203</v>
      </c>
    </row>
    <row r="532" spans="1:9" x14ac:dyDescent="0.35">
      <c r="A532" s="51">
        <v>37593</v>
      </c>
      <c r="B532">
        <v>13508</v>
      </c>
      <c r="D532">
        <v>16642</v>
      </c>
      <c r="E532">
        <v>5308</v>
      </c>
      <c r="F532">
        <v>22876</v>
      </c>
      <c r="G532">
        <v>740</v>
      </c>
      <c r="H532">
        <v>-9903</v>
      </c>
      <c r="I532">
        <v>-307</v>
      </c>
    </row>
    <row r="533" spans="1:9" x14ac:dyDescent="0.35">
      <c r="A533" s="51">
        <v>37600</v>
      </c>
      <c r="B533">
        <v>11373</v>
      </c>
      <c r="D533">
        <v>18682</v>
      </c>
      <c r="E533">
        <v>9033</v>
      </c>
      <c r="F533">
        <v>28064</v>
      </c>
      <c r="G533">
        <v>3542</v>
      </c>
      <c r="H533">
        <v>-12210</v>
      </c>
      <c r="I533">
        <v>-2398</v>
      </c>
    </row>
    <row r="534" spans="1:9" x14ac:dyDescent="0.35">
      <c r="A534" s="51">
        <v>37607</v>
      </c>
      <c r="B534">
        <v>14511</v>
      </c>
      <c r="D534">
        <v>23613</v>
      </c>
      <c r="E534">
        <v>19195</v>
      </c>
      <c r="F534">
        <v>30601</v>
      </c>
      <c r="G534">
        <v>7757</v>
      </c>
      <c r="H534">
        <v>-706</v>
      </c>
      <c r="I534">
        <v>-1380</v>
      </c>
    </row>
    <row r="535" spans="1:9" x14ac:dyDescent="0.35">
      <c r="A535" s="51">
        <v>37614</v>
      </c>
      <c r="B535">
        <v>12508</v>
      </c>
      <c r="D535">
        <v>23062</v>
      </c>
      <c r="E535">
        <v>21823</v>
      </c>
      <c r="F535">
        <v>28127</v>
      </c>
      <c r="G535">
        <v>6901</v>
      </c>
      <c r="H535">
        <v>3807</v>
      </c>
      <c r="I535">
        <v>2115</v>
      </c>
    </row>
    <row r="536" spans="1:9" x14ac:dyDescent="0.35">
      <c r="A536" s="51">
        <v>37621</v>
      </c>
      <c r="B536">
        <v>10920</v>
      </c>
      <c r="D536">
        <v>11519</v>
      </c>
      <c r="E536">
        <v>23253</v>
      </c>
      <c r="F536">
        <v>29010</v>
      </c>
      <c r="G536">
        <v>8370</v>
      </c>
      <c r="H536">
        <v>28134</v>
      </c>
      <c r="I536">
        <v>-7810</v>
      </c>
    </row>
    <row r="537" spans="1:9" x14ac:dyDescent="0.35">
      <c r="A537" s="51">
        <v>37628</v>
      </c>
      <c r="B537">
        <v>19339</v>
      </c>
      <c r="D537">
        <v>13131</v>
      </c>
      <c r="E537">
        <v>23050</v>
      </c>
      <c r="F537">
        <v>28157</v>
      </c>
      <c r="G537">
        <v>8814</v>
      </c>
      <c r="H537">
        <v>27227</v>
      </c>
      <c r="I537">
        <v>-10868</v>
      </c>
    </row>
    <row r="538" spans="1:9" x14ac:dyDescent="0.35">
      <c r="A538" s="51">
        <v>37635</v>
      </c>
      <c r="B538">
        <v>19983</v>
      </c>
      <c r="D538">
        <v>24982</v>
      </c>
      <c r="E538">
        <v>23030</v>
      </c>
      <c r="F538">
        <v>28773</v>
      </c>
      <c r="G538">
        <v>10165</v>
      </c>
      <c r="H538">
        <v>32944</v>
      </c>
      <c r="I538">
        <v>-14662</v>
      </c>
    </row>
    <row r="539" spans="1:9" x14ac:dyDescent="0.35">
      <c r="A539" s="51">
        <v>37642</v>
      </c>
      <c r="B539">
        <v>19357</v>
      </c>
      <c r="D539">
        <v>31985</v>
      </c>
      <c r="E539">
        <v>26679</v>
      </c>
      <c r="F539">
        <v>28442</v>
      </c>
      <c r="G539">
        <v>11291</v>
      </c>
      <c r="H539">
        <v>33293</v>
      </c>
      <c r="I539">
        <v>-19891</v>
      </c>
    </row>
    <row r="540" spans="1:9" x14ac:dyDescent="0.35">
      <c r="A540" s="51">
        <v>37649</v>
      </c>
      <c r="B540">
        <v>19938</v>
      </c>
      <c r="D540">
        <v>38248</v>
      </c>
      <c r="E540">
        <v>25464</v>
      </c>
      <c r="F540">
        <v>26336</v>
      </c>
      <c r="G540">
        <v>9304</v>
      </c>
      <c r="H540">
        <v>25610</v>
      </c>
      <c r="I540">
        <v>-20302</v>
      </c>
    </row>
    <row r="541" spans="1:9" x14ac:dyDescent="0.35">
      <c r="A541" s="51">
        <v>37656</v>
      </c>
      <c r="B541">
        <v>22850</v>
      </c>
      <c r="D541">
        <v>43147</v>
      </c>
      <c r="E541">
        <v>25746</v>
      </c>
      <c r="F541">
        <v>30666</v>
      </c>
      <c r="G541">
        <v>8982</v>
      </c>
      <c r="H541">
        <v>5594</v>
      </c>
      <c r="I541">
        <v>-22048</v>
      </c>
    </row>
    <row r="542" spans="1:9" x14ac:dyDescent="0.35">
      <c r="A542" s="51">
        <v>37663</v>
      </c>
      <c r="B542">
        <v>19635</v>
      </c>
      <c r="D542">
        <v>42822</v>
      </c>
      <c r="E542">
        <v>20287</v>
      </c>
      <c r="F542">
        <v>22298</v>
      </c>
      <c r="G542">
        <v>4992</v>
      </c>
      <c r="H542">
        <v>10709</v>
      </c>
      <c r="I542">
        <v>-21817</v>
      </c>
    </row>
    <row r="543" spans="1:9" x14ac:dyDescent="0.35">
      <c r="A543" s="51">
        <v>37670</v>
      </c>
      <c r="B543">
        <v>18083</v>
      </c>
      <c r="D543">
        <v>43406</v>
      </c>
      <c r="E543">
        <v>14506</v>
      </c>
      <c r="F543">
        <v>25485</v>
      </c>
      <c r="G543">
        <v>376</v>
      </c>
      <c r="H543">
        <v>18433</v>
      </c>
      <c r="I543">
        <v>-15577</v>
      </c>
    </row>
    <row r="544" spans="1:9" x14ac:dyDescent="0.35">
      <c r="A544" s="51">
        <v>37677</v>
      </c>
      <c r="B544">
        <v>18030</v>
      </c>
      <c r="D544">
        <v>41609</v>
      </c>
      <c r="E544">
        <v>15843</v>
      </c>
      <c r="F544">
        <v>20063</v>
      </c>
      <c r="G544">
        <v>-910</v>
      </c>
      <c r="H544">
        <v>35754</v>
      </c>
      <c r="I544">
        <v>-20532</v>
      </c>
    </row>
    <row r="545" spans="1:9" x14ac:dyDescent="0.35">
      <c r="A545" s="51">
        <v>37684</v>
      </c>
      <c r="B545">
        <v>18155</v>
      </c>
      <c r="D545">
        <v>42464</v>
      </c>
      <c r="E545">
        <v>20228</v>
      </c>
      <c r="F545">
        <v>29975</v>
      </c>
      <c r="G545">
        <v>-188</v>
      </c>
      <c r="H545">
        <v>32032</v>
      </c>
      <c r="I545">
        <v>-21869</v>
      </c>
    </row>
    <row r="546" spans="1:9" x14ac:dyDescent="0.35">
      <c r="A546" s="51">
        <v>37691</v>
      </c>
      <c r="B546">
        <v>17998</v>
      </c>
      <c r="D546">
        <v>41764</v>
      </c>
      <c r="E546">
        <v>20819</v>
      </c>
      <c r="F546">
        <v>30266</v>
      </c>
      <c r="G546">
        <v>1438</v>
      </c>
      <c r="H546">
        <v>36219</v>
      </c>
      <c r="I546">
        <v>-16249</v>
      </c>
    </row>
    <row r="547" spans="1:9" x14ac:dyDescent="0.35">
      <c r="A547" s="51">
        <v>37698</v>
      </c>
      <c r="B547">
        <v>9869</v>
      </c>
      <c r="D547">
        <v>42676</v>
      </c>
      <c r="E547">
        <v>5032</v>
      </c>
      <c r="F547">
        <v>13339</v>
      </c>
      <c r="G547">
        <v>-4376</v>
      </c>
      <c r="H547">
        <v>23318</v>
      </c>
      <c r="I547">
        <v>-8302</v>
      </c>
    </row>
    <row r="548" spans="1:9" x14ac:dyDescent="0.35">
      <c r="A548" s="51">
        <v>37705</v>
      </c>
      <c r="B548">
        <v>6153</v>
      </c>
      <c r="D548">
        <v>34208</v>
      </c>
      <c r="E548">
        <v>-443</v>
      </c>
      <c r="F548">
        <v>7594</v>
      </c>
      <c r="G548">
        <v>-2600</v>
      </c>
      <c r="H548">
        <v>-12983</v>
      </c>
      <c r="I548">
        <v>-4628</v>
      </c>
    </row>
    <row r="549" spans="1:9" x14ac:dyDescent="0.35">
      <c r="A549" s="51">
        <v>37712</v>
      </c>
      <c r="B549">
        <v>6016</v>
      </c>
      <c r="D549">
        <v>33189</v>
      </c>
      <c r="E549">
        <v>1988</v>
      </c>
      <c r="F549">
        <v>10564</v>
      </c>
      <c r="G549">
        <v>-2538</v>
      </c>
      <c r="H549">
        <v>-3903</v>
      </c>
      <c r="I549">
        <v>-2173</v>
      </c>
    </row>
    <row r="550" spans="1:9" x14ac:dyDescent="0.35">
      <c r="A550" s="51">
        <v>37719</v>
      </c>
      <c r="B550">
        <v>6806</v>
      </c>
      <c r="D550">
        <v>32803</v>
      </c>
      <c r="E550">
        <v>-1220</v>
      </c>
      <c r="F550">
        <v>13145</v>
      </c>
      <c r="G550">
        <v>-3862</v>
      </c>
      <c r="H550">
        <v>-5634</v>
      </c>
      <c r="I550">
        <v>-4849</v>
      </c>
    </row>
    <row r="551" spans="1:9" x14ac:dyDescent="0.35">
      <c r="A551" s="51">
        <v>37726</v>
      </c>
      <c r="B551">
        <v>10954</v>
      </c>
      <c r="D551">
        <v>33309</v>
      </c>
      <c r="E551">
        <v>-1429</v>
      </c>
      <c r="F551">
        <v>14205</v>
      </c>
      <c r="G551">
        <v>-3071</v>
      </c>
      <c r="H551">
        <v>-9417</v>
      </c>
      <c r="I551">
        <v>574</v>
      </c>
    </row>
    <row r="552" spans="1:9" x14ac:dyDescent="0.35">
      <c r="A552" s="51">
        <v>37733</v>
      </c>
      <c r="B552">
        <v>13782</v>
      </c>
      <c r="D552">
        <v>31088</v>
      </c>
      <c r="E552">
        <v>-2053</v>
      </c>
      <c r="F552">
        <v>24387</v>
      </c>
      <c r="G552">
        <v>-2628</v>
      </c>
      <c r="H552">
        <v>-4183</v>
      </c>
      <c r="I552">
        <v>5506</v>
      </c>
    </row>
    <row r="553" spans="1:9" x14ac:dyDescent="0.35">
      <c r="A553" s="51">
        <v>37740</v>
      </c>
      <c r="B553">
        <v>14806</v>
      </c>
      <c r="D553">
        <v>35436</v>
      </c>
      <c r="E553">
        <v>-326</v>
      </c>
      <c r="F553">
        <v>28005</v>
      </c>
      <c r="G553">
        <v>-2541</v>
      </c>
      <c r="H553">
        <v>-10180</v>
      </c>
      <c r="I553">
        <v>14415</v>
      </c>
    </row>
    <row r="554" spans="1:9" x14ac:dyDescent="0.35">
      <c r="A554" s="51">
        <v>37747</v>
      </c>
      <c r="B554">
        <v>14558</v>
      </c>
      <c r="D554">
        <v>32757</v>
      </c>
      <c r="E554">
        <v>13491</v>
      </c>
      <c r="F554">
        <v>31970</v>
      </c>
      <c r="G554">
        <v>4928</v>
      </c>
      <c r="H554">
        <v>2668</v>
      </c>
      <c r="I554">
        <v>19689</v>
      </c>
    </row>
    <row r="555" spans="1:9" x14ac:dyDescent="0.35">
      <c r="A555" s="51">
        <v>37754</v>
      </c>
      <c r="B555">
        <v>14660</v>
      </c>
      <c r="D555">
        <v>30890</v>
      </c>
      <c r="E555">
        <v>15626</v>
      </c>
      <c r="F555">
        <v>24903</v>
      </c>
      <c r="G555">
        <v>4094</v>
      </c>
      <c r="H555">
        <v>29462</v>
      </c>
      <c r="I555">
        <v>23942</v>
      </c>
    </row>
    <row r="556" spans="1:9" x14ac:dyDescent="0.35">
      <c r="A556" s="51">
        <v>37761</v>
      </c>
      <c r="B556">
        <v>12942</v>
      </c>
      <c r="D556">
        <v>25560</v>
      </c>
      <c r="E556">
        <v>17989</v>
      </c>
      <c r="F556">
        <v>26898</v>
      </c>
      <c r="G556">
        <v>6886</v>
      </c>
      <c r="H556">
        <v>29770</v>
      </c>
      <c r="I556">
        <v>20283</v>
      </c>
    </row>
    <row r="557" spans="1:9" x14ac:dyDescent="0.35">
      <c r="A557" s="51">
        <v>37768</v>
      </c>
      <c r="B557">
        <v>11456</v>
      </c>
      <c r="D557">
        <v>19947</v>
      </c>
      <c r="E557">
        <v>20787</v>
      </c>
      <c r="F557">
        <v>24113</v>
      </c>
      <c r="G557">
        <v>7732</v>
      </c>
      <c r="H557">
        <v>29443</v>
      </c>
      <c r="I557">
        <v>17545</v>
      </c>
    </row>
    <row r="558" spans="1:9" x14ac:dyDescent="0.35">
      <c r="A558" s="51">
        <v>37775</v>
      </c>
      <c r="B558">
        <v>13719</v>
      </c>
      <c r="D558">
        <v>18362</v>
      </c>
      <c r="E558">
        <v>16049</v>
      </c>
      <c r="F558">
        <v>30033</v>
      </c>
      <c r="G558">
        <v>16036</v>
      </c>
      <c r="H558">
        <v>7560</v>
      </c>
      <c r="I558">
        <v>21642</v>
      </c>
    </row>
    <row r="559" spans="1:9" x14ac:dyDescent="0.35">
      <c r="A559" s="51">
        <v>37782</v>
      </c>
      <c r="B559">
        <v>12907</v>
      </c>
      <c r="D559">
        <v>17680</v>
      </c>
      <c r="E559">
        <v>16140</v>
      </c>
      <c r="F559">
        <v>26262</v>
      </c>
      <c r="G559">
        <v>18044</v>
      </c>
      <c r="H559">
        <v>11756</v>
      </c>
      <c r="I559">
        <v>2867</v>
      </c>
    </row>
    <row r="560" spans="1:9" x14ac:dyDescent="0.35">
      <c r="A560" s="51">
        <v>37789</v>
      </c>
      <c r="B560">
        <v>10956</v>
      </c>
      <c r="D560">
        <v>18454</v>
      </c>
      <c r="E560">
        <v>17779</v>
      </c>
      <c r="F560">
        <v>28123</v>
      </c>
      <c r="G560">
        <v>17448</v>
      </c>
      <c r="H560">
        <v>10862</v>
      </c>
      <c r="I560">
        <v>4772</v>
      </c>
    </row>
    <row r="561" spans="1:9" x14ac:dyDescent="0.35">
      <c r="A561" s="51">
        <v>37796</v>
      </c>
      <c r="B561">
        <v>12800</v>
      </c>
      <c r="D561">
        <v>15779</v>
      </c>
      <c r="E561">
        <v>8495</v>
      </c>
      <c r="F561">
        <v>23470</v>
      </c>
      <c r="G561">
        <v>17217</v>
      </c>
      <c r="H561">
        <v>17136</v>
      </c>
      <c r="I561">
        <v>5471</v>
      </c>
    </row>
    <row r="562" spans="1:9" x14ac:dyDescent="0.35">
      <c r="A562" s="51">
        <v>37803</v>
      </c>
      <c r="B562">
        <v>15224</v>
      </c>
      <c r="D562">
        <v>16781</v>
      </c>
      <c r="E562">
        <v>379</v>
      </c>
      <c r="F562">
        <v>23630</v>
      </c>
      <c r="G562">
        <v>16438</v>
      </c>
      <c r="H562">
        <v>-13397</v>
      </c>
      <c r="I562">
        <v>7683</v>
      </c>
    </row>
    <row r="563" spans="1:9" x14ac:dyDescent="0.35">
      <c r="A563" s="51">
        <v>37810</v>
      </c>
      <c r="B563">
        <v>14175</v>
      </c>
      <c r="D563">
        <v>17923</v>
      </c>
      <c r="E563">
        <v>-6099</v>
      </c>
      <c r="F563">
        <v>19161</v>
      </c>
      <c r="G563">
        <v>9954</v>
      </c>
      <c r="H563">
        <v>108</v>
      </c>
      <c r="I563">
        <v>5226</v>
      </c>
    </row>
    <row r="564" spans="1:9" x14ac:dyDescent="0.35">
      <c r="A564" s="51">
        <v>37817</v>
      </c>
      <c r="B564">
        <v>12233</v>
      </c>
      <c r="D564">
        <v>9336</v>
      </c>
      <c r="E564">
        <v>-8852</v>
      </c>
      <c r="F564">
        <v>16195</v>
      </c>
      <c r="G564">
        <v>2502</v>
      </c>
      <c r="H564">
        <v>15825</v>
      </c>
      <c r="I564">
        <v>7711</v>
      </c>
    </row>
    <row r="565" spans="1:9" x14ac:dyDescent="0.35">
      <c r="A565" s="51">
        <v>37824</v>
      </c>
      <c r="B565">
        <v>11621</v>
      </c>
      <c r="D565">
        <v>8266</v>
      </c>
      <c r="E565">
        <v>-9025</v>
      </c>
      <c r="F565">
        <v>13153</v>
      </c>
      <c r="G565">
        <v>-655</v>
      </c>
      <c r="H565">
        <v>6792</v>
      </c>
      <c r="I565">
        <v>9946</v>
      </c>
    </row>
    <row r="566" spans="1:9" x14ac:dyDescent="0.35">
      <c r="A566" s="51">
        <v>37831</v>
      </c>
      <c r="B566">
        <v>12207</v>
      </c>
      <c r="D566">
        <v>9434</v>
      </c>
      <c r="E566">
        <v>-8140</v>
      </c>
      <c r="F566">
        <v>12420</v>
      </c>
      <c r="G566">
        <v>-1686</v>
      </c>
      <c r="H566">
        <v>6308</v>
      </c>
      <c r="I566">
        <v>3345</v>
      </c>
    </row>
    <row r="567" spans="1:9" x14ac:dyDescent="0.35">
      <c r="A567" s="51">
        <v>37838</v>
      </c>
      <c r="B567">
        <v>11385</v>
      </c>
      <c r="D567">
        <v>8295</v>
      </c>
      <c r="E567">
        <v>-8456</v>
      </c>
      <c r="F567">
        <v>13889</v>
      </c>
      <c r="G567">
        <v>-299</v>
      </c>
      <c r="H567">
        <v>-36299</v>
      </c>
      <c r="I567">
        <v>431</v>
      </c>
    </row>
    <row r="568" spans="1:9" x14ac:dyDescent="0.35">
      <c r="A568" s="51">
        <v>37845</v>
      </c>
      <c r="B568">
        <v>10578</v>
      </c>
      <c r="D568">
        <v>13046</v>
      </c>
      <c r="E568">
        <v>-10002</v>
      </c>
      <c r="F568">
        <v>14702</v>
      </c>
      <c r="G568">
        <v>581</v>
      </c>
      <c r="H568">
        <v>-9940</v>
      </c>
      <c r="I568">
        <v>-2087</v>
      </c>
    </row>
    <row r="569" spans="1:9" x14ac:dyDescent="0.35">
      <c r="A569" s="51">
        <v>37852</v>
      </c>
      <c r="B569">
        <v>10320</v>
      </c>
      <c r="D569">
        <v>9971</v>
      </c>
      <c r="E569">
        <v>-19797</v>
      </c>
      <c r="F569">
        <v>9121</v>
      </c>
      <c r="G569">
        <v>-3603</v>
      </c>
      <c r="H569">
        <v>-9352</v>
      </c>
      <c r="I569">
        <v>-7950</v>
      </c>
    </row>
    <row r="570" spans="1:9" x14ac:dyDescent="0.35">
      <c r="A570" s="51">
        <v>37859</v>
      </c>
      <c r="B570">
        <v>6499</v>
      </c>
      <c r="D570">
        <v>9549</v>
      </c>
      <c r="E570">
        <v>-19376</v>
      </c>
      <c r="F570">
        <v>2673</v>
      </c>
      <c r="G570">
        <v>-2183</v>
      </c>
      <c r="H570">
        <v>13232</v>
      </c>
      <c r="I570">
        <v>-10727</v>
      </c>
    </row>
    <row r="571" spans="1:9" x14ac:dyDescent="0.35">
      <c r="A571" s="51">
        <v>37866</v>
      </c>
      <c r="B571">
        <v>4703</v>
      </c>
      <c r="D571">
        <v>12265</v>
      </c>
      <c r="E571">
        <v>-20089</v>
      </c>
      <c r="F571">
        <v>2129</v>
      </c>
      <c r="G571">
        <v>-2325</v>
      </c>
      <c r="H571">
        <v>46955</v>
      </c>
      <c r="I571">
        <v>-14510</v>
      </c>
    </row>
    <row r="572" spans="1:9" x14ac:dyDescent="0.35">
      <c r="A572" s="51">
        <v>37873</v>
      </c>
      <c r="B572">
        <v>3434</v>
      </c>
      <c r="D572">
        <v>19420</v>
      </c>
      <c r="E572">
        <v>-16104</v>
      </c>
      <c r="F572">
        <v>2505</v>
      </c>
      <c r="G572">
        <v>-614</v>
      </c>
      <c r="H572">
        <v>52845</v>
      </c>
      <c r="I572">
        <v>-14958</v>
      </c>
    </row>
    <row r="573" spans="1:9" x14ac:dyDescent="0.35">
      <c r="A573" s="51">
        <v>37880</v>
      </c>
      <c r="B573">
        <v>9897</v>
      </c>
      <c r="D573">
        <v>20132</v>
      </c>
      <c r="E573">
        <v>-19934</v>
      </c>
      <c r="F573">
        <v>4724</v>
      </c>
      <c r="G573">
        <v>1521</v>
      </c>
      <c r="H573">
        <v>54647</v>
      </c>
      <c r="I573">
        <v>-15657</v>
      </c>
    </row>
    <row r="574" spans="1:9" x14ac:dyDescent="0.35">
      <c r="A574" s="51">
        <v>37887</v>
      </c>
      <c r="B574">
        <v>9845</v>
      </c>
      <c r="D574">
        <v>22307</v>
      </c>
      <c r="E574">
        <v>-9503</v>
      </c>
      <c r="F574">
        <v>8777</v>
      </c>
      <c r="G574">
        <v>10046</v>
      </c>
      <c r="H574">
        <v>53548</v>
      </c>
      <c r="I574">
        <v>-8943</v>
      </c>
    </row>
    <row r="575" spans="1:9" x14ac:dyDescent="0.35">
      <c r="A575" s="51">
        <v>37894</v>
      </c>
      <c r="B575">
        <v>11419</v>
      </c>
      <c r="D575">
        <v>23087</v>
      </c>
      <c r="E575">
        <v>1587</v>
      </c>
      <c r="F575">
        <v>13649</v>
      </c>
      <c r="G575">
        <v>9923</v>
      </c>
      <c r="H575">
        <v>40865</v>
      </c>
      <c r="I575">
        <v>-10122</v>
      </c>
    </row>
    <row r="576" spans="1:9" x14ac:dyDescent="0.35">
      <c r="A576" s="51">
        <v>37901</v>
      </c>
      <c r="B576">
        <v>16743</v>
      </c>
      <c r="D576">
        <v>30600</v>
      </c>
      <c r="E576">
        <v>7066</v>
      </c>
      <c r="F576">
        <v>20025</v>
      </c>
      <c r="G576">
        <v>11617</v>
      </c>
      <c r="H576">
        <v>49725</v>
      </c>
      <c r="I576">
        <v>-20041</v>
      </c>
    </row>
    <row r="577" spans="1:10" x14ac:dyDescent="0.35">
      <c r="A577" s="51">
        <v>37908</v>
      </c>
      <c r="B577">
        <v>18122</v>
      </c>
      <c r="D577">
        <v>29854</v>
      </c>
      <c r="E577">
        <v>14898</v>
      </c>
      <c r="F577">
        <v>24994</v>
      </c>
      <c r="G577">
        <v>10700</v>
      </c>
      <c r="H577">
        <v>39209</v>
      </c>
      <c r="I577">
        <v>-23434</v>
      </c>
    </row>
    <row r="578" spans="1:10" x14ac:dyDescent="0.35">
      <c r="A578" s="51">
        <v>37915</v>
      </c>
      <c r="B578">
        <v>20390</v>
      </c>
      <c r="D578">
        <v>29405</v>
      </c>
      <c r="E578">
        <v>11393</v>
      </c>
      <c r="F578">
        <v>24113</v>
      </c>
      <c r="G578">
        <v>12566</v>
      </c>
      <c r="H578">
        <v>48304</v>
      </c>
      <c r="I578">
        <v>-22573</v>
      </c>
    </row>
    <row r="579" spans="1:10" x14ac:dyDescent="0.35">
      <c r="A579" s="51">
        <v>37922</v>
      </c>
      <c r="B579">
        <v>22156</v>
      </c>
      <c r="D579">
        <v>32871</v>
      </c>
      <c r="E579">
        <v>13099</v>
      </c>
      <c r="F579">
        <v>24205</v>
      </c>
      <c r="G579">
        <v>19666</v>
      </c>
      <c r="H579">
        <v>54910</v>
      </c>
      <c r="I579">
        <v>-19729</v>
      </c>
    </row>
    <row r="580" spans="1:10" x14ac:dyDescent="0.35">
      <c r="A580" s="51">
        <v>37929</v>
      </c>
      <c r="B580">
        <v>25320</v>
      </c>
      <c r="D580">
        <v>28720</v>
      </c>
      <c r="E580">
        <v>-2294</v>
      </c>
      <c r="F580">
        <v>19573</v>
      </c>
      <c r="G580">
        <v>19252</v>
      </c>
      <c r="H580">
        <v>50344</v>
      </c>
      <c r="I580">
        <v>-14825</v>
      </c>
    </row>
    <row r="581" spans="1:10" x14ac:dyDescent="0.35">
      <c r="A581" s="51">
        <v>37936</v>
      </c>
      <c r="B581">
        <v>24735</v>
      </c>
      <c r="D581">
        <v>29705</v>
      </c>
      <c r="E581">
        <v>-15722</v>
      </c>
      <c r="F581">
        <v>17919</v>
      </c>
      <c r="G581">
        <v>14700</v>
      </c>
      <c r="H581">
        <v>57797</v>
      </c>
      <c r="I581">
        <v>-11122</v>
      </c>
    </row>
    <row r="582" spans="1:10" x14ac:dyDescent="0.35">
      <c r="A582" s="51">
        <v>37943</v>
      </c>
      <c r="B582">
        <v>26190</v>
      </c>
      <c r="D582">
        <v>33476</v>
      </c>
      <c r="E582">
        <v>2951</v>
      </c>
      <c r="F582">
        <v>34546</v>
      </c>
      <c r="G582">
        <v>18941</v>
      </c>
      <c r="H582">
        <v>53762</v>
      </c>
      <c r="I582">
        <v>-15402</v>
      </c>
    </row>
    <row r="583" spans="1:10" x14ac:dyDescent="0.35">
      <c r="A583" s="51">
        <v>37950</v>
      </c>
      <c r="B583">
        <v>25234</v>
      </c>
      <c r="D583">
        <v>25877</v>
      </c>
      <c r="E583">
        <v>4881</v>
      </c>
      <c r="F583">
        <v>30497</v>
      </c>
      <c r="G583">
        <v>18781</v>
      </c>
      <c r="H583">
        <v>42540</v>
      </c>
      <c r="I583">
        <v>-16509</v>
      </c>
      <c r="J583">
        <v>3693</v>
      </c>
    </row>
    <row r="584" spans="1:10" x14ac:dyDescent="0.35">
      <c r="A584" s="51">
        <v>37957</v>
      </c>
      <c r="B584">
        <v>26431</v>
      </c>
      <c r="D584">
        <v>30668</v>
      </c>
      <c r="E584">
        <v>8458</v>
      </c>
      <c r="F584">
        <v>30680</v>
      </c>
      <c r="G584">
        <v>23402</v>
      </c>
      <c r="H584">
        <v>46186</v>
      </c>
      <c r="I584">
        <v>-18819</v>
      </c>
    </row>
    <row r="585" spans="1:10" x14ac:dyDescent="0.35">
      <c r="A585" s="51">
        <v>37964</v>
      </c>
      <c r="B585">
        <v>25647</v>
      </c>
      <c r="D585">
        <v>27087</v>
      </c>
      <c r="E585">
        <v>12351</v>
      </c>
      <c r="F585">
        <v>27998</v>
      </c>
      <c r="G585">
        <v>24626</v>
      </c>
      <c r="H585">
        <v>56736</v>
      </c>
      <c r="I585">
        <v>-17645</v>
      </c>
    </row>
    <row r="586" spans="1:10" x14ac:dyDescent="0.35">
      <c r="A586" s="51">
        <v>37971</v>
      </c>
      <c r="B586">
        <v>25179</v>
      </c>
      <c r="D586">
        <v>16598</v>
      </c>
      <c r="E586">
        <v>13254</v>
      </c>
      <c r="F586">
        <v>34783</v>
      </c>
      <c r="G586">
        <v>22555</v>
      </c>
      <c r="H586">
        <v>58236</v>
      </c>
      <c r="I586">
        <v>-15506</v>
      </c>
    </row>
    <row r="587" spans="1:10" x14ac:dyDescent="0.35">
      <c r="A587" s="51">
        <v>37978</v>
      </c>
      <c r="B587">
        <v>27325</v>
      </c>
      <c r="D587">
        <v>8663</v>
      </c>
      <c r="E587">
        <v>11632</v>
      </c>
      <c r="F587">
        <v>33708</v>
      </c>
      <c r="G587">
        <v>20337</v>
      </c>
      <c r="H587">
        <v>48135</v>
      </c>
      <c r="I587">
        <v>-17740</v>
      </c>
    </row>
    <row r="588" spans="1:10" x14ac:dyDescent="0.35">
      <c r="A588" s="51">
        <v>37985</v>
      </c>
      <c r="B588">
        <v>26121</v>
      </c>
      <c r="D588">
        <v>18959</v>
      </c>
      <c r="E588">
        <v>16783</v>
      </c>
      <c r="F588">
        <v>33556</v>
      </c>
      <c r="G588">
        <v>19956</v>
      </c>
      <c r="H588">
        <v>47664</v>
      </c>
      <c r="I588">
        <v>-10469</v>
      </c>
    </row>
    <row r="589" spans="1:10" x14ac:dyDescent="0.35">
      <c r="A589" s="51">
        <v>37992</v>
      </c>
      <c r="B589">
        <v>24507</v>
      </c>
      <c r="D589">
        <v>27212</v>
      </c>
      <c r="E589">
        <v>16205</v>
      </c>
      <c r="F589">
        <v>29910</v>
      </c>
      <c r="G589">
        <v>18050</v>
      </c>
      <c r="H589">
        <v>56834</v>
      </c>
      <c r="I589">
        <v>9454</v>
      </c>
    </row>
    <row r="590" spans="1:10" x14ac:dyDescent="0.35">
      <c r="A590" s="51">
        <v>37999</v>
      </c>
      <c r="B590">
        <v>25356</v>
      </c>
      <c r="D590">
        <v>37569</v>
      </c>
      <c r="E590">
        <v>15273</v>
      </c>
      <c r="F590">
        <v>26937</v>
      </c>
      <c r="G590">
        <v>13690</v>
      </c>
      <c r="H590">
        <v>60602</v>
      </c>
      <c r="I590">
        <v>24664</v>
      </c>
    </row>
    <row r="591" spans="1:10" x14ac:dyDescent="0.35">
      <c r="A591" s="51">
        <v>38006</v>
      </c>
      <c r="B591">
        <v>25571</v>
      </c>
      <c r="D591">
        <v>23944</v>
      </c>
      <c r="E591">
        <v>9032</v>
      </c>
      <c r="F591">
        <v>28243</v>
      </c>
      <c r="G591">
        <v>16235</v>
      </c>
      <c r="H591">
        <v>51708</v>
      </c>
      <c r="I591">
        <v>28798</v>
      </c>
    </row>
    <row r="592" spans="1:10" x14ac:dyDescent="0.35">
      <c r="A592" s="51">
        <v>38013</v>
      </c>
      <c r="B592">
        <v>25370</v>
      </c>
      <c r="D592">
        <v>13709</v>
      </c>
      <c r="E592">
        <v>12979</v>
      </c>
      <c r="F592">
        <v>33298</v>
      </c>
      <c r="G592">
        <v>17671</v>
      </c>
      <c r="H592">
        <v>57992</v>
      </c>
      <c r="I592">
        <v>21611</v>
      </c>
    </row>
    <row r="593" spans="1:9" x14ac:dyDescent="0.35">
      <c r="A593" s="51">
        <v>38020</v>
      </c>
      <c r="B593">
        <v>20278</v>
      </c>
      <c r="D593">
        <v>-3852</v>
      </c>
      <c r="E593">
        <v>9443</v>
      </c>
      <c r="F593">
        <v>20446</v>
      </c>
      <c r="G593">
        <v>20893</v>
      </c>
      <c r="H593">
        <v>64499</v>
      </c>
      <c r="I593">
        <v>16950</v>
      </c>
    </row>
    <row r="594" spans="1:9" x14ac:dyDescent="0.35">
      <c r="A594" s="51">
        <v>38027</v>
      </c>
      <c r="B594">
        <v>21913</v>
      </c>
      <c r="D594">
        <v>-4434</v>
      </c>
      <c r="E594">
        <v>11003</v>
      </c>
      <c r="F594">
        <v>26242</v>
      </c>
      <c r="G594">
        <v>19906</v>
      </c>
      <c r="H594">
        <v>58630</v>
      </c>
      <c r="I594">
        <v>8333</v>
      </c>
    </row>
    <row r="595" spans="1:9" x14ac:dyDescent="0.35">
      <c r="A595" s="51">
        <v>38034</v>
      </c>
      <c r="B595">
        <v>29095</v>
      </c>
      <c r="D595">
        <v>-373</v>
      </c>
      <c r="E595">
        <v>11479</v>
      </c>
      <c r="F595">
        <v>28409</v>
      </c>
      <c r="G595">
        <v>20159</v>
      </c>
      <c r="H595">
        <v>55198</v>
      </c>
      <c r="I595">
        <v>14145</v>
      </c>
    </row>
    <row r="596" spans="1:9" x14ac:dyDescent="0.35">
      <c r="A596" s="51">
        <v>38041</v>
      </c>
      <c r="B596">
        <v>21347</v>
      </c>
      <c r="D596">
        <v>-6776</v>
      </c>
      <c r="E596">
        <v>5374</v>
      </c>
      <c r="F596">
        <v>26367</v>
      </c>
      <c r="G596">
        <v>21076</v>
      </c>
      <c r="H596">
        <v>-12181</v>
      </c>
      <c r="I596">
        <v>13615</v>
      </c>
    </row>
    <row r="597" spans="1:9" x14ac:dyDescent="0.35">
      <c r="A597" s="51">
        <v>38048</v>
      </c>
      <c r="B597">
        <v>16422</v>
      </c>
      <c r="D597">
        <v>-9415</v>
      </c>
      <c r="E597">
        <v>-10780</v>
      </c>
      <c r="F597">
        <v>17028</v>
      </c>
      <c r="G597">
        <v>13977</v>
      </c>
      <c r="H597">
        <v>-22312</v>
      </c>
      <c r="I597">
        <v>17177</v>
      </c>
    </row>
    <row r="598" spans="1:9" x14ac:dyDescent="0.35">
      <c r="A598" s="51">
        <v>38055</v>
      </c>
      <c r="B598">
        <v>10485</v>
      </c>
      <c r="D598">
        <v>2824</v>
      </c>
      <c r="E598">
        <v>-14773</v>
      </c>
      <c r="F598">
        <v>14065</v>
      </c>
      <c r="G598">
        <v>10630</v>
      </c>
      <c r="H598">
        <v>-34516</v>
      </c>
      <c r="I598">
        <v>19646</v>
      </c>
    </row>
    <row r="599" spans="1:9" x14ac:dyDescent="0.35">
      <c r="A599" s="51">
        <v>38062</v>
      </c>
      <c r="B599">
        <v>3836</v>
      </c>
      <c r="D599">
        <v>3742</v>
      </c>
      <c r="E599">
        <v>-9323</v>
      </c>
      <c r="F599">
        <v>8454</v>
      </c>
      <c r="G599">
        <v>4095</v>
      </c>
      <c r="H599">
        <v>-31439</v>
      </c>
      <c r="I599">
        <v>14457</v>
      </c>
    </row>
    <row r="600" spans="1:9" x14ac:dyDescent="0.35">
      <c r="A600" s="51">
        <v>38069</v>
      </c>
      <c r="B600">
        <v>2966</v>
      </c>
      <c r="D600">
        <v>7100</v>
      </c>
      <c r="E600">
        <v>-2862</v>
      </c>
      <c r="F600">
        <v>10293</v>
      </c>
      <c r="G600">
        <v>5872</v>
      </c>
      <c r="H600">
        <v>-14601</v>
      </c>
      <c r="I600">
        <v>18401</v>
      </c>
    </row>
    <row r="601" spans="1:9" x14ac:dyDescent="0.35">
      <c r="A601" s="51">
        <v>38076</v>
      </c>
      <c r="B601">
        <v>4172</v>
      </c>
      <c r="D601">
        <v>33015</v>
      </c>
      <c r="E601">
        <v>-4620</v>
      </c>
      <c r="F601">
        <v>6174</v>
      </c>
      <c r="G601">
        <v>5235</v>
      </c>
      <c r="H601">
        <v>4309</v>
      </c>
      <c r="I601">
        <v>3700</v>
      </c>
    </row>
    <row r="602" spans="1:9" x14ac:dyDescent="0.35">
      <c r="A602" s="51">
        <v>38083</v>
      </c>
      <c r="B602">
        <v>10367</v>
      </c>
      <c r="D602">
        <v>41865</v>
      </c>
      <c r="E602">
        <v>-12828</v>
      </c>
      <c r="F602">
        <v>6017</v>
      </c>
      <c r="G602">
        <v>11251</v>
      </c>
      <c r="H602">
        <v>20388</v>
      </c>
      <c r="I602">
        <v>-1837</v>
      </c>
    </row>
    <row r="603" spans="1:9" x14ac:dyDescent="0.35">
      <c r="A603" s="51">
        <v>38090</v>
      </c>
      <c r="B603">
        <v>11426</v>
      </c>
      <c r="D603">
        <v>17150</v>
      </c>
      <c r="E603">
        <v>-5941</v>
      </c>
      <c r="F603">
        <v>5743</v>
      </c>
      <c r="G603">
        <v>10648</v>
      </c>
      <c r="H603">
        <v>24760</v>
      </c>
      <c r="I603">
        <v>-6269</v>
      </c>
    </row>
    <row r="604" spans="1:9" x14ac:dyDescent="0.35">
      <c r="A604" s="51">
        <v>38097</v>
      </c>
      <c r="B604">
        <v>3246</v>
      </c>
      <c r="D604">
        <v>-552</v>
      </c>
      <c r="E604">
        <v>-8303</v>
      </c>
      <c r="F604">
        <v>9799</v>
      </c>
      <c r="G604">
        <v>5144</v>
      </c>
      <c r="H604">
        <v>-6044</v>
      </c>
      <c r="I604">
        <v>-15337</v>
      </c>
    </row>
    <row r="605" spans="1:9" x14ac:dyDescent="0.35">
      <c r="A605" s="51">
        <v>38104</v>
      </c>
      <c r="B605">
        <v>3133</v>
      </c>
      <c r="D605">
        <v>-9625</v>
      </c>
      <c r="E605">
        <v>-11092</v>
      </c>
      <c r="F605">
        <v>5570</v>
      </c>
      <c r="G605">
        <v>3732</v>
      </c>
      <c r="H605">
        <v>204</v>
      </c>
      <c r="I605">
        <v>-13294</v>
      </c>
    </row>
    <row r="606" spans="1:9" x14ac:dyDescent="0.35">
      <c r="A606" s="51">
        <v>38111</v>
      </c>
      <c r="B606">
        <v>2186</v>
      </c>
      <c r="D606">
        <v>-19391</v>
      </c>
      <c r="E606">
        <v>-7089</v>
      </c>
      <c r="F606">
        <v>6999</v>
      </c>
      <c r="G606">
        <v>4730</v>
      </c>
      <c r="H606">
        <v>2973</v>
      </c>
      <c r="I606">
        <v>-29427</v>
      </c>
    </row>
    <row r="607" spans="1:9" x14ac:dyDescent="0.35">
      <c r="A607" s="51">
        <v>38118</v>
      </c>
      <c r="B607">
        <v>-2842</v>
      </c>
      <c r="D607">
        <v>-25648</v>
      </c>
      <c r="E607">
        <v>-6895</v>
      </c>
      <c r="F607">
        <v>12478</v>
      </c>
      <c r="G607">
        <v>3219</v>
      </c>
      <c r="H607">
        <v>-10093</v>
      </c>
      <c r="I607">
        <v>-37871</v>
      </c>
    </row>
    <row r="608" spans="1:9" x14ac:dyDescent="0.35">
      <c r="A608" s="51">
        <v>38125</v>
      </c>
      <c r="B608">
        <v>-1775</v>
      </c>
      <c r="D608">
        <v>-28734</v>
      </c>
      <c r="E608">
        <v>-2598</v>
      </c>
      <c r="F608">
        <v>13422</v>
      </c>
      <c r="G608">
        <v>1613</v>
      </c>
      <c r="H608">
        <v>-12682</v>
      </c>
      <c r="I608">
        <v>-40503</v>
      </c>
    </row>
    <row r="609" spans="1:10" x14ac:dyDescent="0.35">
      <c r="A609" s="51">
        <v>38132</v>
      </c>
      <c r="B609">
        <v>-4280</v>
      </c>
      <c r="D609">
        <v>-19177</v>
      </c>
      <c r="E609">
        <v>-3540</v>
      </c>
      <c r="F609">
        <v>18714</v>
      </c>
      <c r="G609">
        <v>5902</v>
      </c>
      <c r="H609">
        <v>-12107</v>
      </c>
      <c r="I609">
        <v>-41893</v>
      </c>
    </row>
    <row r="610" spans="1:10" x14ac:dyDescent="0.35">
      <c r="A610" s="51">
        <v>38139</v>
      </c>
      <c r="B610">
        <v>-5063</v>
      </c>
      <c r="D610">
        <v>-14276</v>
      </c>
      <c r="E610">
        <v>5322</v>
      </c>
      <c r="F610">
        <v>22194</v>
      </c>
      <c r="G610">
        <v>10033</v>
      </c>
      <c r="H610">
        <v>-4839</v>
      </c>
      <c r="I610">
        <v>-38202</v>
      </c>
    </row>
    <row r="611" spans="1:10" x14ac:dyDescent="0.35">
      <c r="A611" s="51">
        <v>38146</v>
      </c>
      <c r="B611">
        <v>-4069</v>
      </c>
      <c r="D611">
        <v>-4892</v>
      </c>
      <c r="E611">
        <v>16262</v>
      </c>
      <c r="F611">
        <v>23474</v>
      </c>
      <c r="G611">
        <v>13477</v>
      </c>
      <c r="H611">
        <v>598</v>
      </c>
      <c r="I611">
        <v>-23774</v>
      </c>
    </row>
    <row r="612" spans="1:10" x14ac:dyDescent="0.35">
      <c r="A612" s="51">
        <v>38153</v>
      </c>
      <c r="B612">
        <v>-910</v>
      </c>
      <c r="D612">
        <v>-10990</v>
      </c>
      <c r="E612">
        <v>16745</v>
      </c>
      <c r="F612">
        <v>16588</v>
      </c>
      <c r="G612">
        <v>16208</v>
      </c>
      <c r="H612">
        <v>2493</v>
      </c>
      <c r="I612">
        <v>-23046</v>
      </c>
    </row>
    <row r="613" spans="1:10" x14ac:dyDescent="0.35">
      <c r="A613" s="51">
        <v>38160</v>
      </c>
      <c r="B613">
        <v>-1132</v>
      </c>
      <c r="D613">
        <v>-15205</v>
      </c>
      <c r="E613">
        <v>17438</v>
      </c>
      <c r="F613">
        <v>12079</v>
      </c>
      <c r="G613">
        <v>16182</v>
      </c>
      <c r="H613">
        <v>5495</v>
      </c>
      <c r="I613">
        <v>202</v>
      </c>
    </row>
    <row r="614" spans="1:10" x14ac:dyDescent="0.35">
      <c r="A614" s="51">
        <v>38167</v>
      </c>
      <c r="B614">
        <v>1704</v>
      </c>
      <c r="D614">
        <v>265</v>
      </c>
      <c r="E614">
        <v>12349</v>
      </c>
      <c r="F614">
        <v>13755</v>
      </c>
      <c r="G614">
        <v>13884</v>
      </c>
      <c r="H614">
        <v>8416</v>
      </c>
      <c r="I614">
        <v>-12752</v>
      </c>
    </row>
    <row r="615" spans="1:10" x14ac:dyDescent="0.35">
      <c r="A615" s="51">
        <v>38174</v>
      </c>
      <c r="B615">
        <v>2190</v>
      </c>
      <c r="D615">
        <v>11321</v>
      </c>
      <c r="E615">
        <v>22176</v>
      </c>
      <c r="F615">
        <v>19037</v>
      </c>
      <c r="G615">
        <v>21077</v>
      </c>
      <c r="H615">
        <v>2417</v>
      </c>
      <c r="I615">
        <v>-21130</v>
      </c>
    </row>
    <row r="616" spans="1:10" x14ac:dyDescent="0.35">
      <c r="A616" s="51">
        <v>38181</v>
      </c>
      <c r="B616">
        <v>7669</v>
      </c>
      <c r="D616">
        <v>23876</v>
      </c>
      <c r="E616">
        <v>26841</v>
      </c>
      <c r="F616">
        <v>31012</v>
      </c>
      <c r="G616">
        <v>30022</v>
      </c>
      <c r="H616">
        <v>2166</v>
      </c>
      <c r="I616">
        <v>-22115</v>
      </c>
    </row>
    <row r="617" spans="1:10" x14ac:dyDescent="0.35">
      <c r="A617" s="51">
        <v>38188</v>
      </c>
      <c r="B617">
        <v>10106</v>
      </c>
      <c r="D617">
        <v>30978</v>
      </c>
      <c r="E617">
        <v>21163</v>
      </c>
      <c r="F617">
        <v>36101</v>
      </c>
      <c r="G617">
        <v>31767</v>
      </c>
      <c r="H617">
        <v>1837</v>
      </c>
      <c r="I617">
        <v>-8007</v>
      </c>
    </row>
    <row r="618" spans="1:10" x14ac:dyDescent="0.35">
      <c r="A618" s="51">
        <v>38195</v>
      </c>
      <c r="B618">
        <v>2649</v>
      </c>
      <c r="D618">
        <v>25715</v>
      </c>
      <c r="E618">
        <v>-826</v>
      </c>
      <c r="F618">
        <v>16927</v>
      </c>
      <c r="G618">
        <v>24495</v>
      </c>
      <c r="H618">
        <v>-2401</v>
      </c>
      <c r="I618">
        <v>-6271</v>
      </c>
    </row>
    <row r="619" spans="1:10" x14ac:dyDescent="0.35">
      <c r="A619" s="51">
        <v>38202</v>
      </c>
      <c r="B619">
        <v>6460</v>
      </c>
      <c r="D619">
        <v>23601</v>
      </c>
      <c r="E619">
        <v>-12827</v>
      </c>
      <c r="F619">
        <v>12242</v>
      </c>
      <c r="G619">
        <v>21606</v>
      </c>
      <c r="H619">
        <v>-3268</v>
      </c>
      <c r="I619">
        <v>4880</v>
      </c>
    </row>
    <row r="620" spans="1:10" x14ac:dyDescent="0.35">
      <c r="A620" s="51">
        <v>38209</v>
      </c>
      <c r="B620">
        <v>7113</v>
      </c>
      <c r="D620">
        <v>26639</v>
      </c>
      <c r="E620">
        <v>-6429</v>
      </c>
      <c r="F620">
        <v>16857</v>
      </c>
      <c r="G620">
        <v>22716</v>
      </c>
      <c r="H620">
        <v>-8282</v>
      </c>
      <c r="I620">
        <v>15954</v>
      </c>
    </row>
    <row r="621" spans="1:10" x14ac:dyDescent="0.35">
      <c r="A621" s="51">
        <v>38216</v>
      </c>
      <c r="B621">
        <v>8179</v>
      </c>
      <c r="D621">
        <v>31094</v>
      </c>
      <c r="E621">
        <v>-2502</v>
      </c>
      <c r="F621">
        <v>25699</v>
      </c>
      <c r="G621">
        <v>19198</v>
      </c>
      <c r="H621">
        <v>-5205</v>
      </c>
      <c r="I621">
        <v>34690</v>
      </c>
      <c r="J621">
        <v>2890</v>
      </c>
    </row>
    <row r="622" spans="1:10" x14ac:dyDescent="0.35">
      <c r="A622" s="51">
        <v>38223</v>
      </c>
      <c r="B622">
        <v>7279</v>
      </c>
      <c r="D622">
        <v>33743</v>
      </c>
      <c r="E622">
        <v>-6536</v>
      </c>
      <c r="F622">
        <v>24616</v>
      </c>
      <c r="G622">
        <v>7259</v>
      </c>
      <c r="H622">
        <v>-969</v>
      </c>
      <c r="I622">
        <v>43097</v>
      </c>
    </row>
    <row r="623" spans="1:10" x14ac:dyDescent="0.35">
      <c r="A623" s="51">
        <v>38230</v>
      </c>
      <c r="B623">
        <v>4738</v>
      </c>
      <c r="D623">
        <v>29138</v>
      </c>
      <c r="E623">
        <v>-8183</v>
      </c>
      <c r="F623">
        <v>20827</v>
      </c>
      <c r="G623">
        <v>7089</v>
      </c>
      <c r="H623">
        <v>525</v>
      </c>
      <c r="I623">
        <v>38820</v>
      </c>
    </row>
    <row r="624" spans="1:10" x14ac:dyDescent="0.35">
      <c r="A624" s="51">
        <v>38237</v>
      </c>
      <c r="B624">
        <v>-663</v>
      </c>
      <c r="D624">
        <v>41303</v>
      </c>
      <c r="E624">
        <v>-7660</v>
      </c>
      <c r="F624">
        <v>18032</v>
      </c>
      <c r="G624">
        <v>1747</v>
      </c>
      <c r="H624">
        <v>-832</v>
      </c>
      <c r="I624">
        <v>9321</v>
      </c>
    </row>
    <row r="625" spans="1:10" x14ac:dyDescent="0.35">
      <c r="A625" s="51">
        <v>38244</v>
      </c>
      <c r="D625">
        <v>44652</v>
      </c>
      <c r="F625">
        <v>25858</v>
      </c>
      <c r="G625">
        <v>6009</v>
      </c>
      <c r="H625">
        <v>-4057</v>
      </c>
      <c r="I625">
        <v>-14791</v>
      </c>
    </row>
    <row r="626" spans="1:10" x14ac:dyDescent="0.35">
      <c r="A626" s="51">
        <v>38251</v>
      </c>
      <c r="B626">
        <v>813</v>
      </c>
      <c r="D626">
        <v>39399</v>
      </c>
      <c r="F626">
        <v>25447</v>
      </c>
      <c r="G626">
        <v>6002</v>
      </c>
      <c r="H626">
        <v>-9357</v>
      </c>
      <c r="I626">
        <v>10332</v>
      </c>
    </row>
    <row r="627" spans="1:10" x14ac:dyDescent="0.35">
      <c r="A627" s="51">
        <v>38258</v>
      </c>
      <c r="B627">
        <v>7085</v>
      </c>
      <c r="D627">
        <v>46756</v>
      </c>
      <c r="E627">
        <v>-5546</v>
      </c>
      <c r="F627">
        <v>32334</v>
      </c>
      <c r="G627">
        <v>7816</v>
      </c>
      <c r="H627">
        <v>-22203</v>
      </c>
      <c r="I627">
        <v>24253</v>
      </c>
    </row>
    <row r="628" spans="1:10" x14ac:dyDescent="0.35">
      <c r="A628" s="51">
        <v>38265</v>
      </c>
      <c r="B628">
        <v>16900</v>
      </c>
      <c r="D628">
        <v>45168</v>
      </c>
      <c r="E628">
        <v>-4760</v>
      </c>
      <c r="F628">
        <v>44811</v>
      </c>
      <c r="G628">
        <v>26</v>
      </c>
      <c r="H628">
        <v>-14496</v>
      </c>
      <c r="I628">
        <v>45313</v>
      </c>
    </row>
    <row r="629" spans="1:10" x14ac:dyDescent="0.35">
      <c r="A629" s="51">
        <v>38272</v>
      </c>
      <c r="B629">
        <v>24203</v>
      </c>
      <c r="D629">
        <v>49386</v>
      </c>
      <c r="E629">
        <v>-4638</v>
      </c>
      <c r="F629">
        <v>38095</v>
      </c>
      <c r="G629">
        <v>-4173</v>
      </c>
      <c r="H629">
        <v>-6387</v>
      </c>
      <c r="I629">
        <v>54931</v>
      </c>
    </row>
    <row r="630" spans="1:10" x14ac:dyDescent="0.35">
      <c r="A630" s="51">
        <v>38279</v>
      </c>
      <c r="B630">
        <v>22509</v>
      </c>
      <c r="D630">
        <v>40020</v>
      </c>
      <c r="E630">
        <v>11798</v>
      </c>
      <c r="F630">
        <v>36512</v>
      </c>
      <c r="G630">
        <v>-1701</v>
      </c>
      <c r="H630">
        <v>8565</v>
      </c>
      <c r="I630">
        <v>34703</v>
      </c>
      <c r="J630">
        <v>5649</v>
      </c>
    </row>
    <row r="631" spans="1:10" x14ac:dyDescent="0.35">
      <c r="A631" s="51">
        <v>38286</v>
      </c>
      <c r="B631">
        <v>28530</v>
      </c>
      <c r="D631">
        <v>36223</v>
      </c>
      <c r="E631">
        <v>27331</v>
      </c>
      <c r="F631">
        <v>45531</v>
      </c>
      <c r="G631">
        <v>9525</v>
      </c>
      <c r="H631">
        <v>27636</v>
      </c>
      <c r="I631">
        <v>22631</v>
      </c>
      <c r="J631">
        <v>7518</v>
      </c>
    </row>
    <row r="632" spans="1:10" x14ac:dyDescent="0.35">
      <c r="A632" s="51">
        <v>38293</v>
      </c>
      <c r="B632">
        <v>28990</v>
      </c>
      <c r="D632">
        <v>39692</v>
      </c>
      <c r="E632">
        <v>31792</v>
      </c>
      <c r="F632">
        <v>53465</v>
      </c>
      <c r="G632">
        <v>13342</v>
      </c>
      <c r="H632">
        <v>36814</v>
      </c>
      <c r="I632">
        <v>21464</v>
      </c>
      <c r="J632">
        <v>6978</v>
      </c>
    </row>
    <row r="633" spans="1:10" x14ac:dyDescent="0.35">
      <c r="A633" s="51">
        <v>38300</v>
      </c>
      <c r="B633">
        <v>32390</v>
      </c>
      <c r="D633">
        <v>34972</v>
      </c>
      <c r="E633">
        <v>40367</v>
      </c>
      <c r="F633">
        <v>57529</v>
      </c>
      <c r="G633">
        <v>23346</v>
      </c>
      <c r="H633">
        <v>39093</v>
      </c>
      <c r="I633">
        <v>28539</v>
      </c>
      <c r="J633">
        <v>7027</v>
      </c>
    </row>
    <row r="634" spans="1:10" x14ac:dyDescent="0.35">
      <c r="A634" s="51">
        <v>38307</v>
      </c>
      <c r="B634">
        <v>34603</v>
      </c>
      <c r="D634">
        <v>33335</v>
      </c>
      <c r="E634">
        <v>41005</v>
      </c>
      <c r="F634">
        <v>54028</v>
      </c>
      <c r="G634">
        <v>27649</v>
      </c>
      <c r="H634">
        <v>44596</v>
      </c>
      <c r="I634">
        <v>36338</v>
      </c>
      <c r="J634">
        <v>7785</v>
      </c>
    </row>
    <row r="635" spans="1:10" x14ac:dyDescent="0.35">
      <c r="A635" s="51">
        <v>38314</v>
      </c>
      <c r="B635">
        <v>30629</v>
      </c>
      <c r="D635">
        <v>29471</v>
      </c>
      <c r="E635">
        <v>38786</v>
      </c>
      <c r="F635">
        <v>32261</v>
      </c>
      <c r="G635">
        <v>33605</v>
      </c>
      <c r="H635">
        <v>33198</v>
      </c>
      <c r="I635">
        <v>42984</v>
      </c>
      <c r="J635">
        <v>7776</v>
      </c>
    </row>
    <row r="636" spans="1:10" x14ac:dyDescent="0.35">
      <c r="A636" s="51">
        <v>38321</v>
      </c>
      <c r="B636">
        <v>30974</v>
      </c>
      <c r="D636">
        <v>23631</v>
      </c>
      <c r="E636">
        <v>38938</v>
      </c>
      <c r="F636">
        <v>24485</v>
      </c>
      <c r="G636">
        <v>32775</v>
      </c>
      <c r="H636">
        <v>39360</v>
      </c>
      <c r="I636">
        <v>52715</v>
      </c>
      <c r="J636">
        <v>7198</v>
      </c>
    </row>
    <row r="637" spans="1:10" x14ac:dyDescent="0.35">
      <c r="A637" s="51">
        <v>38328</v>
      </c>
      <c r="B637">
        <v>34243</v>
      </c>
      <c r="D637">
        <v>18370</v>
      </c>
      <c r="E637">
        <v>36048</v>
      </c>
      <c r="F637">
        <v>24114</v>
      </c>
      <c r="G637">
        <v>33585</v>
      </c>
      <c r="H637">
        <v>37323</v>
      </c>
      <c r="I637">
        <v>55991</v>
      </c>
      <c r="J637">
        <v>3181</v>
      </c>
    </row>
    <row r="638" spans="1:10" x14ac:dyDescent="0.35">
      <c r="A638" s="51">
        <v>38335</v>
      </c>
      <c r="B638">
        <v>29561</v>
      </c>
      <c r="D638">
        <v>9077</v>
      </c>
      <c r="E638">
        <v>17560</v>
      </c>
      <c r="F638">
        <v>-14542</v>
      </c>
      <c r="G638">
        <v>38786</v>
      </c>
      <c r="H638">
        <v>21401</v>
      </c>
      <c r="I638">
        <v>50110</v>
      </c>
    </row>
    <row r="639" spans="1:10" x14ac:dyDescent="0.35">
      <c r="A639" s="51">
        <v>38342</v>
      </c>
      <c r="B639">
        <v>29004</v>
      </c>
      <c r="D639">
        <v>6276</v>
      </c>
      <c r="E639">
        <v>11552</v>
      </c>
      <c r="F639">
        <v>-12164</v>
      </c>
      <c r="G639">
        <v>34782</v>
      </c>
      <c r="H639">
        <v>20576</v>
      </c>
      <c r="I639">
        <v>51019</v>
      </c>
    </row>
    <row r="640" spans="1:10" x14ac:dyDescent="0.35">
      <c r="A640" s="51">
        <v>38349</v>
      </c>
      <c r="B640">
        <v>30257</v>
      </c>
      <c r="D640">
        <v>6134</v>
      </c>
      <c r="E640">
        <v>24989</v>
      </c>
      <c r="F640">
        <v>16814</v>
      </c>
      <c r="G640">
        <v>20151</v>
      </c>
      <c r="H640">
        <v>27753</v>
      </c>
      <c r="I640">
        <v>48067</v>
      </c>
    </row>
    <row r="641" spans="1:10" x14ac:dyDescent="0.35">
      <c r="A641" s="51">
        <v>38356</v>
      </c>
      <c r="B641">
        <v>30613</v>
      </c>
      <c r="D641">
        <v>9662</v>
      </c>
      <c r="E641">
        <v>11495</v>
      </c>
      <c r="F641">
        <v>11071</v>
      </c>
      <c r="G641">
        <v>12523</v>
      </c>
      <c r="H641">
        <v>22720</v>
      </c>
      <c r="I641">
        <v>32911</v>
      </c>
    </row>
    <row r="642" spans="1:10" x14ac:dyDescent="0.35">
      <c r="A642" s="51">
        <v>38363</v>
      </c>
      <c r="B642">
        <v>25977</v>
      </c>
      <c r="D642">
        <v>9893</v>
      </c>
      <c r="E642">
        <v>60</v>
      </c>
      <c r="F642">
        <v>16181</v>
      </c>
      <c r="G642">
        <v>21392</v>
      </c>
      <c r="H642">
        <v>23745</v>
      </c>
      <c r="I642">
        <v>32136</v>
      </c>
    </row>
    <row r="643" spans="1:10" x14ac:dyDescent="0.35">
      <c r="A643" s="51">
        <v>38370</v>
      </c>
      <c r="B643">
        <v>27215</v>
      </c>
      <c r="D643">
        <v>5500</v>
      </c>
      <c r="E643">
        <v>-1100</v>
      </c>
      <c r="F643">
        <v>9913</v>
      </c>
      <c r="G643">
        <v>18715</v>
      </c>
      <c r="H643">
        <v>7879</v>
      </c>
      <c r="I643">
        <v>42780</v>
      </c>
    </row>
    <row r="644" spans="1:10" x14ac:dyDescent="0.35">
      <c r="A644" s="51">
        <v>38377</v>
      </c>
      <c r="B644">
        <v>30903</v>
      </c>
      <c r="D644">
        <v>2653</v>
      </c>
      <c r="E644">
        <v>-5181</v>
      </c>
      <c r="F644">
        <v>768</v>
      </c>
      <c r="G644">
        <v>15990</v>
      </c>
      <c r="H644">
        <v>924</v>
      </c>
      <c r="I644">
        <v>34880</v>
      </c>
    </row>
    <row r="645" spans="1:10" x14ac:dyDescent="0.35">
      <c r="A645" s="51">
        <v>38384</v>
      </c>
      <c r="B645">
        <v>35784</v>
      </c>
      <c r="D645">
        <v>1269</v>
      </c>
      <c r="E645">
        <v>-7400</v>
      </c>
      <c r="F645">
        <v>1925</v>
      </c>
      <c r="G645">
        <v>16693</v>
      </c>
      <c r="H645">
        <v>399</v>
      </c>
      <c r="I645">
        <v>47234</v>
      </c>
    </row>
    <row r="646" spans="1:10" x14ac:dyDescent="0.35">
      <c r="A646" s="51">
        <v>38391</v>
      </c>
      <c r="B646">
        <v>27599</v>
      </c>
      <c r="D646">
        <v>-7365</v>
      </c>
      <c r="E646">
        <v>-17174</v>
      </c>
      <c r="F646">
        <v>-631</v>
      </c>
      <c r="G646">
        <v>10109</v>
      </c>
      <c r="H646">
        <v>-14290</v>
      </c>
      <c r="I646">
        <v>51948</v>
      </c>
    </row>
    <row r="647" spans="1:10" x14ac:dyDescent="0.35">
      <c r="A647" s="51">
        <v>38398</v>
      </c>
      <c r="B647">
        <v>36699</v>
      </c>
      <c r="D647">
        <v>-5307</v>
      </c>
      <c r="E647">
        <v>-11269</v>
      </c>
      <c r="F647">
        <v>-245</v>
      </c>
      <c r="G647">
        <v>22239</v>
      </c>
      <c r="H647">
        <v>-23693</v>
      </c>
      <c r="I647">
        <v>56164</v>
      </c>
    </row>
    <row r="648" spans="1:10" x14ac:dyDescent="0.35">
      <c r="A648" s="51">
        <v>38405</v>
      </c>
      <c r="B648">
        <v>45970</v>
      </c>
      <c r="D648">
        <v>-3141</v>
      </c>
      <c r="E648">
        <v>-3450</v>
      </c>
      <c r="F648">
        <v>4024</v>
      </c>
      <c r="G648">
        <v>25156</v>
      </c>
      <c r="H648">
        <v>-25935</v>
      </c>
      <c r="I648">
        <v>63018</v>
      </c>
    </row>
    <row r="649" spans="1:10" x14ac:dyDescent="0.35">
      <c r="A649" s="51">
        <v>38412</v>
      </c>
      <c r="B649">
        <v>55379</v>
      </c>
      <c r="D649">
        <v>-6829</v>
      </c>
      <c r="E649">
        <v>-1903</v>
      </c>
      <c r="F649">
        <v>33418</v>
      </c>
      <c r="G649">
        <v>33519</v>
      </c>
      <c r="H649">
        <v>-7123</v>
      </c>
      <c r="I649">
        <v>62313</v>
      </c>
    </row>
    <row r="650" spans="1:10" x14ac:dyDescent="0.35">
      <c r="A650" s="51">
        <v>38419</v>
      </c>
      <c r="B650">
        <v>51953</v>
      </c>
      <c r="D650">
        <v>3329</v>
      </c>
      <c r="E650">
        <v>-3027</v>
      </c>
      <c r="F650">
        <v>22590</v>
      </c>
      <c r="G650">
        <v>41127</v>
      </c>
      <c r="H650">
        <v>-9786</v>
      </c>
      <c r="I650">
        <v>64999</v>
      </c>
      <c r="J650">
        <v>5933</v>
      </c>
    </row>
    <row r="651" spans="1:10" x14ac:dyDescent="0.35">
      <c r="A651" s="51">
        <v>38426</v>
      </c>
      <c r="B651">
        <v>54141</v>
      </c>
      <c r="D651">
        <v>26150</v>
      </c>
      <c r="E651">
        <v>160</v>
      </c>
      <c r="F651">
        <v>29912</v>
      </c>
      <c r="G651">
        <v>37824</v>
      </c>
      <c r="H651">
        <v>-5346</v>
      </c>
      <c r="I651">
        <v>44595</v>
      </c>
    </row>
    <row r="652" spans="1:10" x14ac:dyDescent="0.35">
      <c r="A652" s="51">
        <v>38433</v>
      </c>
      <c r="B652">
        <v>54991</v>
      </c>
      <c r="D652">
        <v>31547</v>
      </c>
      <c r="E652">
        <v>-11356</v>
      </c>
      <c r="F652">
        <v>27199</v>
      </c>
      <c r="G652">
        <v>26655</v>
      </c>
      <c r="H652">
        <v>-11903</v>
      </c>
      <c r="I652">
        <v>33011</v>
      </c>
    </row>
    <row r="653" spans="1:10" x14ac:dyDescent="0.35">
      <c r="A653" s="51">
        <v>38440</v>
      </c>
      <c r="B653">
        <v>26624</v>
      </c>
      <c r="D653">
        <v>26690</v>
      </c>
      <c r="E653">
        <v>-14042</v>
      </c>
      <c r="F653">
        <v>17753</v>
      </c>
      <c r="G653">
        <v>11874</v>
      </c>
      <c r="H653">
        <v>-30189</v>
      </c>
      <c r="I653">
        <v>23832</v>
      </c>
      <c r="J653">
        <v>5392</v>
      </c>
    </row>
    <row r="654" spans="1:10" x14ac:dyDescent="0.35">
      <c r="A654" s="51">
        <v>38447</v>
      </c>
      <c r="B654">
        <v>21086</v>
      </c>
      <c r="D654">
        <v>25675</v>
      </c>
      <c r="E654">
        <v>-18779</v>
      </c>
      <c r="F654">
        <v>6898</v>
      </c>
      <c r="G654">
        <v>15484</v>
      </c>
      <c r="H654">
        <v>-36442</v>
      </c>
      <c r="I654">
        <v>21830</v>
      </c>
      <c r="J654">
        <v>5352</v>
      </c>
    </row>
    <row r="655" spans="1:10" x14ac:dyDescent="0.35">
      <c r="A655" s="51">
        <v>38454</v>
      </c>
      <c r="B655">
        <v>25423</v>
      </c>
      <c r="D655">
        <v>-7434</v>
      </c>
      <c r="E655">
        <v>-22764</v>
      </c>
      <c r="F655">
        <v>5760</v>
      </c>
      <c r="G655">
        <v>20371</v>
      </c>
      <c r="H655">
        <v>-44196</v>
      </c>
      <c r="I655">
        <v>47912</v>
      </c>
    </row>
    <row r="656" spans="1:10" x14ac:dyDescent="0.35">
      <c r="A656" s="51">
        <v>38461</v>
      </c>
      <c r="B656">
        <v>18323</v>
      </c>
      <c r="D656">
        <v>-16358</v>
      </c>
      <c r="E656">
        <v>-11721</v>
      </c>
      <c r="F656">
        <v>5021</v>
      </c>
      <c r="G656">
        <v>26798</v>
      </c>
      <c r="H656">
        <v>-54697</v>
      </c>
      <c r="I656">
        <v>60934</v>
      </c>
    </row>
    <row r="657" spans="1:9" x14ac:dyDescent="0.35">
      <c r="A657" s="51">
        <v>38468</v>
      </c>
      <c r="B657">
        <v>27294</v>
      </c>
      <c r="D657">
        <v>-24719</v>
      </c>
      <c r="E657">
        <v>-8625</v>
      </c>
      <c r="F657">
        <v>4219</v>
      </c>
      <c r="G657">
        <v>23711</v>
      </c>
      <c r="H657">
        <v>-32502</v>
      </c>
      <c r="I657">
        <v>66342</v>
      </c>
    </row>
    <row r="658" spans="1:9" x14ac:dyDescent="0.35">
      <c r="A658" s="51">
        <v>38475</v>
      </c>
      <c r="B658">
        <v>29365</v>
      </c>
      <c r="D658">
        <v>-33321</v>
      </c>
      <c r="E658">
        <v>-11330</v>
      </c>
      <c r="F658">
        <v>4875</v>
      </c>
      <c r="G658">
        <v>19878</v>
      </c>
      <c r="H658">
        <v>-14131</v>
      </c>
      <c r="I658">
        <v>76322</v>
      </c>
    </row>
    <row r="659" spans="1:9" x14ac:dyDescent="0.35">
      <c r="A659" s="51">
        <v>38482</v>
      </c>
      <c r="B659">
        <v>30826</v>
      </c>
      <c r="D659">
        <v>-27795</v>
      </c>
      <c r="E659">
        <v>-17424</v>
      </c>
      <c r="F659">
        <v>-1544</v>
      </c>
      <c r="G659">
        <v>20098</v>
      </c>
      <c r="H659">
        <v>-9563</v>
      </c>
      <c r="I659">
        <v>75436</v>
      </c>
    </row>
    <row r="660" spans="1:9" x14ac:dyDescent="0.35">
      <c r="A660" s="51">
        <v>38489</v>
      </c>
      <c r="B660">
        <v>15235</v>
      </c>
      <c r="D660">
        <v>-33492</v>
      </c>
      <c r="E660">
        <v>-28378</v>
      </c>
      <c r="F660">
        <v>-13488</v>
      </c>
      <c r="G660">
        <v>434</v>
      </c>
      <c r="H660">
        <v>-47883</v>
      </c>
      <c r="I660">
        <v>75561</v>
      </c>
    </row>
    <row r="661" spans="1:9" x14ac:dyDescent="0.35">
      <c r="A661" s="51">
        <v>38496</v>
      </c>
      <c r="B661">
        <v>13307</v>
      </c>
      <c r="D661">
        <v>-32884</v>
      </c>
      <c r="E661">
        <v>-37671</v>
      </c>
      <c r="F661">
        <v>-15321</v>
      </c>
      <c r="G661">
        <v>-7410</v>
      </c>
      <c r="H661">
        <v>-38831</v>
      </c>
      <c r="I661">
        <v>73445</v>
      </c>
    </row>
    <row r="662" spans="1:9" x14ac:dyDescent="0.35">
      <c r="A662" s="51">
        <v>38503</v>
      </c>
      <c r="B662">
        <v>5924</v>
      </c>
      <c r="D662">
        <v>-31240</v>
      </c>
      <c r="E662">
        <v>-39399</v>
      </c>
      <c r="F662">
        <v>-18310</v>
      </c>
      <c r="G662">
        <v>-11071</v>
      </c>
      <c r="H662">
        <v>-48435</v>
      </c>
      <c r="I662">
        <v>80430</v>
      </c>
    </row>
    <row r="663" spans="1:9" x14ac:dyDescent="0.35">
      <c r="A663" s="51">
        <v>38510</v>
      </c>
      <c r="B663">
        <v>12849</v>
      </c>
      <c r="D663">
        <v>-26561</v>
      </c>
      <c r="E663">
        <v>-45312</v>
      </c>
      <c r="F663">
        <v>-17771</v>
      </c>
      <c r="G663">
        <v>-8575</v>
      </c>
      <c r="H663">
        <v>-37111</v>
      </c>
      <c r="I663">
        <v>77258</v>
      </c>
    </row>
    <row r="664" spans="1:9" x14ac:dyDescent="0.35">
      <c r="A664" s="51">
        <v>38517</v>
      </c>
      <c r="B664">
        <v>15259</v>
      </c>
      <c r="D664">
        <v>-21011</v>
      </c>
      <c r="E664">
        <v>-43581</v>
      </c>
      <c r="F664">
        <v>-19665</v>
      </c>
      <c r="G664">
        <v>-16949</v>
      </c>
      <c r="H664">
        <v>-53164</v>
      </c>
      <c r="I664">
        <v>77948</v>
      </c>
    </row>
    <row r="665" spans="1:9" x14ac:dyDescent="0.35">
      <c r="A665" s="51">
        <v>38524</v>
      </c>
      <c r="B665">
        <v>33395</v>
      </c>
      <c r="D665">
        <v>284</v>
      </c>
      <c r="E665">
        <v>-42387</v>
      </c>
      <c r="F665">
        <v>-21282</v>
      </c>
      <c r="G665">
        <v>-12919</v>
      </c>
      <c r="H665">
        <v>-37974</v>
      </c>
      <c r="I665">
        <v>79090</v>
      </c>
    </row>
    <row r="666" spans="1:9" x14ac:dyDescent="0.35">
      <c r="A666" s="51">
        <v>38531</v>
      </c>
      <c r="B666">
        <v>22974</v>
      </c>
      <c r="D666">
        <v>2284</v>
      </c>
      <c r="E666">
        <v>-44421</v>
      </c>
      <c r="F666">
        <v>-14241</v>
      </c>
      <c r="G666">
        <v>-19805</v>
      </c>
      <c r="H666">
        <v>-51845</v>
      </c>
      <c r="I666">
        <v>73676</v>
      </c>
    </row>
    <row r="667" spans="1:9" x14ac:dyDescent="0.35">
      <c r="A667" s="51">
        <v>38538</v>
      </c>
      <c r="B667">
        <v>8570</v>
      </c>
      <c r="D667">
        <v>4088</v>
      </c>
      <c r="E667">
        <v>-45540</v>
      </c>
      <c r="F667">
        <v>-24872</v>
      </c>
      <c r="G667">
        <v>-20414</v>
      </c>
      <c r="H667">
        <v>-52186</v>
      </c>
      <c r="I667">
        <v>78152</v>
      </c>
    </row>
    <row r="668" spans="1:9" x14ac:dyDescent="0.35">
      <c r="A668" s="51">
        <v>38545</v>
      </c>
      <c r="B668">
        <v>8556</v>
      </c>
      <c r="D668">
        <v>23203</v>
      </c>
      <c r="E668">
        <v>-37948</v>
      </c>
      <c r="F668">
        <v>-7848</v>
      </c>
      <c r="G668">
        <v>-22581</v>
      </c>
      <c r="H668">
        <v>-63076</v>
      </c>
      <c r="I668">
        <v>74296</v>
      </c>
    </row>
    <row r="669" spans="1:9" x14ac:dyDescent="0.35">
      <c r="A669" s="51">
        <v>38552</v>
      </c>
      <c r="B669">
        <v>6756</v>
      </c>
      <c r="D669">
        <v>25825</v>
      </c>
      <c r="E669">
        <v>-36492</v>
      </c>
      <c r="F669">
        <v>-11870</v>
      </c>
      <c r="G669">
        <v>-25624</v>
      </c>
      <c r="H669">
        <v>-59056</v>
      </c>
      <c r="I669">
        <v>70224</v>
      </c>
    </row>
    <row r="670" spans="1:9" x14ac:dyDescent="0.35">
      <c r="A670" s="51">
        <v>38559</v>
      </c>
      <c r="B670">
        <v>17343</v>
      </c>
      <c r="D670">
        <v>17519</v>
      </c>
      <c r="E670">
        <v>-36429</v>
      </c>
      <c r="F670">
        <v>-8296</v>
      </c>
      <c r="G670">
        <v>-19865</v>
      </c>
      <c r="H670">
        <v>-47768</v>
      </c>
      <c r="I670">
        <v>73609</v>
      </c>
    </row>
    <row r="671" spans="1:9" x14ac:dyDescent="0.35">
      <c r="A671" s="51">
        <v>38566</v>
      </c>
      <c r="B671">
        <v>17317</v>
      </c>
      <c r="D671">
        <v>12164</v>
      </c>
      <c r="E671">
        <v>-31326</v>
      </c>
      <c r="F671">
        <v>-191</v>
      </c>
      <c r="G671">
        <v>-16979</v>
      </c>
      <c r="H671">
        <v>-43151</v>
      </c>
      <c r="I671">
        <v>73170</v>
      </c>
    </row>
    <row r="672" spans="1:9" x14ac:dyDescent="0.35">
      <c r="A672" s="51">
        <v>38573</v>
      </c>
      <c r="B672">
        <v>28018</v>
      </c>
      <c r="D672">
        <v>14214</v>
      </c>
      <c r="E672">
        <v>-32211</v>
      </c>
      <c r="F672">
        <v>4231</v>
      </c>
      <c r="G672">
        <v>-15509</v>
      </c>
      <c r="H672">
        <v>-48660</v>
      </c>
      <c r="I672">
        <v>74209</v>
      </c>
    </row>
    <row r="673" spans="1:10" x14ac:dyDescent="0.35">
      <c r="A673" s="51">
        <v>38580</v>
      </c>
      <c r="B673">
        <v>26304</v>
      </c>
      <c r="D673">
        <v>26047</v>
      </c>
      <c r="E673">
        <v>-27622</v>
      </c>
      <c r="F673">
        <v>584</v>
      </c>
      <c r="G673">
        <v>2358</v>
      </c>
      <c r="H673">
        <v>-26385</v>
      </c>
      <c r="I673">
        <v>74052</v>
      </c>
      <c r="J673">
        <v>4581</v>
      </c>
    </row>
    <row r="674" spans="1:10" x14ac:dyDescent="0.35">
      <c r="A674" s="51">
        <v>38587</v>
      </c>
      <c r="B674">
        <v>11870</v>
      </c>
      <c r="D674">
        <v>24543</v>
      </c>
      <c r="E674">
        <v>-37544</v>
      </c>
      <c r="F674">
        <v>-5766</v>
      </c>
      <c r="G674">
        <v>5498</v>
      </c>
      <c r="H674">
        <v>-31366</v>
      </c>
      <c r="I674">
        <v>45300</v>
      </c>
    </row>
    <row r="675" spans="1:10" x14ac:dyDescent="0.35">
      <c r="A675" s="51">
        <v>38594</v>
      </c>
      <c r="B675">
        <v>10865</v>
      </c>
      <c r="D675">
        <v>28914</v>
      </c>
      <c r="E675">
        <v>-31876</v>
      </c>
      <c r="F675">
        <v>-3619</v>
      </c>
      <c r="G675">
        <v>-2211</v>
      </c>
      <c r="H675">
        <v>-47665</v>
      </c>
      <c r="I675">
        <v>34764</v>
      </c>
      <c r="J675">
        <v>4877</v>
      </c>
    </row>
    <row r="676" spans="1:10" x14ac:dyDescent="0.35">
      <c r="A676" s="51">
        <v>38601</v>
      </c>
      <c r="B676">
        <v>19333</v>
      </c>
      <c r="D676">
        <v>29993</v>
      </c>
      <c r="E676">
        <v>-785</v>
      </c>
      <c r="F676">
        <v>23518</v>
      </c>
      <c r="G676">
        <v>10996</v>
      </c>
      <c r="H676">
        <v>-34372</v>
      </c>
      <c r="I676">
        <v>43078</v>
      </c>
      <c r="J676">
        <v>5251</v>
      </c>
    </row>
    <row r="677" spans="1:10" x14ac:dyDescent="0.35">
      <c r="A677" s="51">
        <v>38608</v>
      </c>
      <c r="B677">
        <v>33242</v>
      </c>
      <c r="D677">
        <v>29592</v>
      </c>
      <c r="E677">
        <v>-14966</v>
      </c>
      <c r="F677">
        <v>7585</v>
      </c>
      <c r="G677">
        <v>18475</v>
      </c>
      <c r="H677">
        <v>-34934</v>
      </c>
      <c r="I677">
        <v>39606</v>
      </c>
      <c r="J677">
        <v>5465</v>
      </c>
    </row>
    <row r="678" spans="1:10" x14ac:dyDescent="0.35">
      <c r="A678" s="51">
        <v>38615</v>
      </c>
      <c r="B678">
        <v>36201</v>
      </c>
      <c r="D678">
        <v>26503</v>
      </c>
      <c r="E678">
        <v>-30910</v>
      </c>
      <c r="F678">
        <v>-1428</v>
      </c>
      <c r="G678">
        <v>10578</v>
      </c>
      <c r="H678">
        <v>-47629</v>
      </c>
      <c r="I678">
        <v>35303</v>
      </c>
    </row>
    <row r="679" spans="1:10" x14ac:dyDescent="0.35">
      <c r="A679" s="51">
        <v>38622</v>
      </c>
      <c r="B679">
        <v>22945</v>
      </c>
      <c r="D679">
        <v>43096</v>
      </c>
      <c r="E679">
        <v>-43731</v>
      </c>
      <c r="F679">
        <v>-1603</v>
      </c>
      <c r="G679">
        <v>2563</v>
      </c>
      <c r="H679">
        <v>-59066</v>
      </c>
      <c r="I679">
        <v>32662</v>
      </c>
    </row>
    <row r="680" spans="1:10" x14ac:dyDescent="0.35">
      <c r="A680" s="51">
        <v>38629</v>
      </c>
      <c r="B680">
        <v>28870</v>
      </c>
      <c r="D680">
        <v>38031</v>
      </c>
      <c r="E680">
        <v>-47126</v>
      </c>
      <c r="F680">
        <v>-1898</v>
      </c>
      <c r="G680">
        <v>-16860</v>
      </c>
      <c r="H680">
        <v>-63299</v>
      </c>
      <c r="I680">
        <v>56274</v>
      </c>
    </row>
    <row r="681" spans="1:10" x14ac:dyDescent="0.35">
      <c r="A681" s="51">
        <v>38636</v>
      </c>
      <c r="B681">
        <v>16928</v>
      </c>
      <c r="D681">
        <v>43591</v>
      </c>
      <c r="E681">
        <v>-25287</v>
      </c>
      <c r="F681">
        <v>4792</v>
      </c>
      <c r="G681">
        <v>-23045</v>
      </c>
      <c r="H681">
        <v>-66035</v>
      </c>
      <c r="I681">
        <v>47934</v>
      </c>
      <c r="J681">
        <v>5084</v>
      </c>
    </row>
    <row r="682" spans="1:10" x14ac:dyDescent="0.35">
      <c r="A682" s="51">
        <v>38643</v>
      </c>
      <c r="B682">
        <v>11062</v>
      </c>
      <c r="D682">
        <v>42812</v>
      </c>
      <c r="E682">
        <v>-30982</v>
      </c>
      <c r="F682">
        <v>855</v>
      </c>
      <c r="G682">
        <v>-21050</v>
      </c>
      <c r="H682">
        <v>-66641</v>
      </c>
      <c r="I682">
        <v>20310</v>
      </c>
      <c r="J682">
        <v>5700</v>
      </c>
    </row>
    <row r="683" spans="1:10" x14ac:dyDescent="0.35">
      <c r="A683" s="51">
        <v>38650</v>
      </c>
      <c r="B683">
        <v>7914</v>
      </c>
      <c r="D683">
        <v>36945</v>
      </c>
      <c r="E683">
        <v>-20843</v>
      </c>
      <c r="F683">
        <v>-2558</v>
      </c>
      <c r="G683">
        <v>-14041</v>
      </c>
      <c r="H683">
        <v>-66682</v>
      </c>
      <c r="I683">
        <v>14671</v>
      </c>
    </row>
    <row r="684" spans="1:10" x14ac:dyDescent="0.35">
      <c r="A684" s="51">
        <v>38657</v>
      </c>
      <c r="B684">
        <v>4036</v>
      </c>
      <c r="D684">
        <v>37160</v>
      </c>
      <c r="E684">
        <v>-21779</v>
      </c>
      <c r="F684">
        <v>6998</v>
      </c>
      <c r="G684">
        <v>-14309</v>
      </c>
      <c r="H684">
        <v>-66302</v>
      </c>
      <c r="I684">
        <v>43921</v>
      </c>
    </row>
    <row r="685" spans="1:10" x14ac:dyDescent="0.35">
      <c r="A685" s="51">
        <v>38664</v>
      </c>
      <c r="B685">
        <v>4071</v>
      </c>
      <c r="D685">
        <v>26340</v>
      </c>
      <c r="E685">
        <v>-34670</v>
      </c>
      <c r="F685">
        <v>-6627</v>
      </c>
      <c r="G685">
        <v>-19370</v>
      </c>
      <c r="H685">
        <v>-64628</v>
      </c>
      <c r="I685">
        <v>62154</v>
      </c>
    </row>
    <row r="686" spans="1:10" x14ac:dyDescent="0.35">
      <c r="A686" s="51">
        <v>38671</v>
      </c>
      <c r="B686">
        <v>193</v>
      </c>
      <c r="D686">
        <v>20169</v>
      </c>
      <c r="E686">
        <v>-45034</v>
      </c>
      <c r="F686">
        <v>-13222</v>
      </c>
      <c r="G686">
        <v>-23817</v>
      </c>
      <c r="H686">
        <v>-67231</v>
      </c>
      <c r="I686">
        <v>79837</v>
      </c>
    </row>
    <row r="687" spans="1:10" x14ac:dyDescent="0.35">
      <c r="A687" s="51">
        <v>38678</v>
      </c>
      <c r="B687">
        <v>749</v>
      </c>
      <c r="D687">
        <v>15725</v>
      </c>
      <c r="E687">
        <v>-48207</v>
      </c>
      <c r="F687">
        <v>-11127</v>
      </c>
      <c r="G687">
        <v>-33020</v>
      </c>
      <c r="H687">
        <v>-65884</v>
      </c>
      <c r="I687">
        <v>86294</v>
      </c>
    </row>
    <row r="688" spans="1:10" x14ac:dyDescent="0.35">
      <c r="A688" s="51">
        <v>38685</v>
      </c>
      <c r="B688">
        <v>5742</v>
      </c>
      <c r="D688">
        <v>29010</v>
      </c>
      <c r="E688">
        <v>-48416</v>
      </c>
      <c r="F688">
        <v>-18132</v>
      </c>
      <c r="G688">
        <v>-33087</v>
      </c>
      <c r="H688">
        <v>-64000</v>
      </c>
      <c r="I688">
        <v>85720</v>
      </c>
    </row>
    <row r="689" spans="1:10" x14ac:dyDescent="0.35">
      <c r="A689" s="51">
        <v>38692</v>
      </c>
      <c r="B689">
        <v>15712</v>
      </c>
      <c r="D689">
        <v>37317</v>
      </c>
      <c r="E689">
        <v>-49359</v>
      </c>
      <c r="F689">
        <v>-22572</v>
      </c>
      <c r="G689">
        <v>-25779</v>
      </c>
      <c r="H689">
        <v>-71643</v>
      </c>
      <c r="I689">
        <v>82590</v>
      </c>
      <c r="J689">
        <v>6711</v>
      </c>
    </row>
    <row r="690" spans="1:10" x14ac:dyDescent="0.35">
      <c r="A690" s="51">
        <v>38699</v>
      </c>
      <c r="B690">
        <v>20282</v>
      </c>
      <c r="D690">
        <v>56183</v>
      </c>
      <c r="E690">
        <v>-39861</v>
      </c>
      <c r="F690">
        <v>-1063</v>
      </c>
      <c r="G690">
        <v>-7856</v>
      </c>
      <c r="H690">
        <v>-72063</v>
      </c>
      <c r="I690">
        <v>67590</v>
      </c>
      <c r="J690">
        <v>6007</v>
      </c>
    </row>
    <row r="691" spans="1:10" x14ac:dyDescent="0.35">
      <c r="A691" s="51">
        <v>38706</v>
      </c>
      <c r="B691">
        <v>7909</v>
      </c>
      <c r="D691">
        <v>48111</v>
      </c>
      <c r="E691">
        <v>-34067</v>
      </c>
      <c r="F691">
        <v>4504</v>
      </c>
      <c r="G691">
        <v>-8192</v>
      </c>
      <c r="H691">
        <v>-26105</v>
      </c>
      <c r="I691">
        <v>36289</v>
      </c>
    </row>
    <row r="692" spans="1:10" x14ac:dyDescent="0.35">
      <c r="A692" s="51">
        <v>38713</v>
      </c>
      <c r="B692">
        <v>904</v>
      </c>
      <c r="D692">
        <v>42292</v>
      </c>
      <c r="E692">
        <v>-38326</v>
      </c>
      <c r="F692">
        <v>4578</v>
      </c>
      <c r="G692">
        <v>-11593</v>
      </c>
      <c r="H692">
        <v>-22129</v>
      </c>
      <c r="I692">
        <v>30635</v>
      </c>
      <c r="J692">
        <v>4441</v>
      </c>
    </row>
    <row r="693" spans="1:10" x14ac:dyDescent="0.35">
      <c r="A693" s="51">
        <v>38720</v>
      </c>
      <c r="B693">
        <v>7110</v>
      </c>
      <c r="D693">
        <v>36687</v>
      </c>
      <c r="E693">
        <v>-16511</v>
      </c>
      <c r="F693">
        <v>11231</v>
      </c>
      <c r="G693">
        <v>-15021</v>
      </c>
      <c r="H693">
        <v>-24737</v>
      </c>
      <c r="I693">
        <v>35814</v>
      </c>
      <c r="J693">
        <v>4837</v>
      </c>
    </row>
    <row r="694" spans="1:10" x14ac:dyDescent="0.35">
      <c r="A694" s="51">
        <v>38727</v>
      </c>
      <c r="B694">
        <v>21734</v>
      </c>
      <c r="D694">
        <v>23317</v>
      </c>
      <c r="E694">
        <v>-240</v>
      </c>
      <c r="F694">
        <v>21961</v>
      </c>
      <c r="G694">
        <v>-4773</v>
      </c>
      <c r="H694">
        <v>-19529</v>
      </c>
      <c r="I694">
        <v>40139</v>
      </c>
      <c r="J694">
        <v>3744</v>
      </c>
    </row>
    <row r="695" spans="1:10" x14ac:dyDescent="0.35">
      <c r="A695" s="51">
        <v>38734</v>
      </c>
      <c r="B695">
        <v>22709</v>
      </c>
      <c r="D695">
        <v>26933</v>
      </c>
      <c r="E695">
        <v>1460</v>
      </c>
      <c r="F695">
        <v>21211</v>
      </c>
      <c r="G695">
        <v>-3303</v>
      </c>
      <c r="H695">
        <v>-18259</v>
      </c>
      <c r="I695">
        <v>44070</v>
      </c>
      <c r="J695">
        <v>4827</v>
      </c>
    </row>
    <row r="696" spans="1:10" x14ac:dyDescent="0.35">
      <c r="A696" s="51">
        <v>38741</v>
      </c>
      <c r="B696">
        <v>19376</v>
      </c>
      <c r="D696">
        <v>27133</v>
      </c>
      <c r="E696">
        <v>4363</v>
      </c>
      <c r="F696">
        <v>37464</v>
      </c>
      <c r="G696">
        <v>2848</v>
      </c>
      <c r="H696">
        <v>-19278</v>
      </c>
      <c r="I696">
        <v>44557</v>
      </c>
      <c r="J696">
        <v>3849</v>
      </c>
    </row>
    <row r="697" spans="1:10" x14ac:dyDescent="0.35">
      <c r="A697" s="51">
        <v>38748</v>
      </c>
      <c r="B697">
        <v>29258</v>
      </c>
      <c r="D697">
        <v>37484</v>
      </c>
      <c r="E697">
        <v>983</v>
      </c>
      <c r="F697">
        <v>36382</v>
      </c>
      <c r="G697">
        <v>-1910</v>
      </c>
      <c r="H697">
        <v>-41745</v>
      </c>
      <c r="I697">
        <v>66098</v>
      </c>
      <c r="J697">
        <v>3774</v>
      </c>
    </row>
    <row r="698" spans="1:10" x14ac:dyDescent="0.35">
      <c r="A698" s="51">
        <v>38755</v>
      </c>
      <c r="B698">
        <v>20781</v>
      </c>
      <c r="D698">
        <v>44845</v>
      </c>
      <c r="E698">
        <v>-14690</v>
      </c>
      <c r="F698">
        <v>18965</v>
      </c>
      <c r="G698">
        <v>-14062</v>
      </c>
      <c r="H698">
        <v>-56347</v>
      </c>
      <c r="I698">
        <v>60973</v>
      </c>
      <c r="J698">
        <v>4101</v>
      </c>
    </row>
    <row r="699" spans="1:10" x14ac:dyDescent="0.35">
      <c r="A699" s="51">
        <v>38762</v>
      </c>
      <c r="B699">
        <v>8051</v>
      </c>
      <c r="D699">
        <v>40464</v>
      </c>
      <c r="E699">
        <v>-31188</v>
      </c>
      <c r="F699">
        <v>11956</v>
      </c>
      <c r="G699">
        <v>-24644</v>
      </c>
      <c r="H699">
        <v>-55057</v>
      </c>
      <c r="I699">
        <v>66476</v>
      </c>
      <c r="J699">
        <v>4011</v>
      </c>
    </row>
    <row r="700" spans="1:10" x14ac:dyDescent="0.35">
      <c r="A700" s="51">
        <v>38769</v>
      </c>
      <c r="B700">
        <v>4001</v>
      </c>
      <c r="D700">
        <v>35197</v>
      </c>
      <c r="E700">
        <v>-36975</v>
      </c>
      <c r="F700">
        <v>10085</v>
      </c>
      <c r="G700">
        <v>-19881</v>
      </c>
      <c r="H700">
        <v>-71184</v>
      </c>
      <c r="I700">
        <v>64703</v>
      </c>
      <c r="J700">
        <v>3623</v>
      </c>
    </row>
    <row r="701" spans="1:10" x14ac:dyDescent="0.35">
      <c r="A701" s="51">
        <v>38776</v>
      </c>
      <c r="B701">
        <v>1375</v>
      </c>
      <c r="D701">
        <v>40634</v>
      </c>
      <c r="E701">
        <v>-68262</v>
      </c>
      <c r="F701">
        <v>18402</v>
      </c>
      <c r="G701">
        <v>-8189</v>
      </c>
      <c r="H701">
        <v>-22821</v>
      </c>
      <c r="I701">
        <v>62905</v>
      </c>
      <c r="J701">
        <v>2900</v>
      </c>
    </row>
    <row r="702" spans="1:10" x14ac:dyDescent="0.35">
      <c r="A702" s="51">
        <v>38783</v>
      </c>
      <c r="B702">
        <v>-2896</v>
      </c>
      <c r="D702">
        <v>41323</v>
      </c>
      <c r="E702">
        <v>-46223</v>
      </c>
      <c r="F702">
        <v>13878</v>
      </c>
      <c r="G702">
        <v>-12344</v>
      </c>
      <c r="H702">
        <v>-41831</v>
      </c>
      <c r="I702">
        <v>34560</v>
      </c>
      <c r="J702">
        <v>2846</v>
      </c>
    </row>
    <row r="703" spans="1:10" x14ac:dyDescent="0.35">
      <c r="A703" s="51">
        <v>38790</v>
      </c>
      <c r="B703">
        <v>1634</v>
      </c>
      <c r="D703">
        <v>14021</v>
      </c>
      <c r="E703">
        <v>-48378</v>
      </c>
      <c r="F703">
        <v>27984</v>
      </c>
      <c r="G703">
        <v>-14632</v>
      </c>
      <c r="H703">
        <v>-45289</v>
      </c>
      <c r="I703">
        <v>29930</v>
      </c>
      <c r="J703">
        <v>2603</v>
      </c>
    </row>
    <row r="704" spans="1:10" x14ac:dyDescent="0.35">
      <c r="A704" s="51">
        <v>38797</v>
      </c>
      <c r="B704">
        <v>-11327</v>
      </c>
      <c r="D704">
        <v>-3742</v>
      </c>
      <c r="E704">
        <v>-46865</v>
      </c>
      <c r="F704">
        <v>41452</v>
      </c>
      <c r="G704">
        <v>-5235</v>
      </c>
      <c r="H704">
        <v>-29356</v>
      </c>
      <c r="I704">
        <v>21010</v>
      </c>
      <c r="J704">
        <v>1737</v>
      </c>
    </row>
    <row r="705" spans="1:10" x14ac:dyDescent="0.35">
      <c r="A705" s="51">
        <v>38804</v>
      </c>
      <c r="B705">
        <v>-13332</v>
      </c>
      <c r="D705">
        <v>-7811</v>
      </c>
      <c r="E705">
        <v>-45335</v>
      </c>
      <c r="F705">
        <v>40811</v>
      </c>
      <c r="G705">
        <v>-6284</v>
      </c>
      <c r="H705">
        <v>-30412</v>
      </c>
      <c r="I705">
        <v>11222</v>
      </c>
      <c r="J705">
        <v>899</v>
      </c>
    </row>
    <row r="706" spans="1:10" x14ac:dyDescent="0.35">
      <c r="A706" s="51">
        <v>38811</v>
      </c>
      <c r="B706">
        <v>-5850</v>
      </c>
      <c r="D706">
        <v>-4146</v>
      </c>
      <c r="E706">
        <v>-38128</v>
      </c>
      <c r="F706">
        <v>52392</v>
      </c>
      <c r="G706">
        <v>-10684</v>
      </c>
      <c r="H706">
        <v>-32716</v>
      </c>
      <c r="I706">
        <v>-3206</v>
      </c>
      <c r="J706">
        <v>388</v>
      </c>
    </row>
    <row r="707" spans="1:10" x14ac:dyDescent="0.35">
      <c r="A707" s="51">
        <v>38818</v>
      </c>
      <c r="B707">
        <v>6937</v>
      </c>
      <c r="D707">
        <v>13942</v>
      </c>
      <c r="E707">
        <v>-28651</v>
      </c>
      <c r="F707">
        <v>41630</v>
      </c>
      <c r="G707">
        <v>-5624</v>
      </c>
      <c r="H707">
        <v>-54471</v>
      </c>
      <c r="I707">
        <v>-4624</v>
      </c>
      <c r="J707">
        <v>2336</v>
      </c>
    </row>
    <row r="708" spans="1:10" x14ac:dyDescent="0.35">
      <c r="A708" s="51">
        <v>38825</v>
      </c>
      <c r="B708">
        <v>11161</v>
      </c>
      <c r="D708">
        <v>6918</v>
      </c>
      <c r="E708">
        <v>-22168</v>
      </c>
      <c r="F708">
        <v>55342</v>
      </c>
      <c r="G708">
        <v>5094</v>
      </c>
      <c r="H708">
        <v>-41141</v>
      </c>
      <c r="I708">
        <v>-6967</v>
      </c>
      <c r="J708">
        <v>4472</v>
      </c>
    </row>
    <row r="709" spans="1:10" x14ac:dyDescent="0.35">
      <c r="A709" s="51">
        <v>38832</v>
      </c>
      <c r="B709">
        <v>7757</v>
      </c>
      <c r="D709">
        <v>15623</v>
      </c>
      <c r="E709">
        <v>-24429</v>
      </c>
      <c r="F709">
        <v>65525</v>
      </c>
      <c r="G709">
        <v>12290</v>
      </c>
      <c r="H709">
        <v>-6490</v>
      </c>
      <c r="I709">
        <v>-13050</v>
      </c>
      <c r="J709">
        <v>4808</v>
      </c>
    </row>
    <row r="710" spans="1:10" x14ac:dyDescent="0.35">
      <c r="A710" s="51">
        <v>38839</v>
      </c>
      <c r="B710">
        <v>21773</v>
      </c>
      <c r="D710">
        <v>32152</v>
      </c>
      <c r="E710">
        <v>-12629</v>
      </c>
      <c r="F710">
        <v>74474</v>
      </c>
      <c r="G710">
        <v>18624</v>
      </c>
      <c r="H710">
        <v>2689</v>
      </c>
      <c r="I710">
        <v>-6657</v>
      </c>
      <c r="J710">
        <v>6203</v>
      </c>
    </row>
    <row r="711" spans="1:10" x14ac:dyDescent="0.35">
      <c r="A711" s="51">
        <v>38846</v>
      </c>
      <c r="B711">
        <v>28854</v>
      </c>
      <c r="D711">
        <v>28873</v>
      </c>
      <c r="E711">
        <v>-11013</v>
      </c>
      <c r="F711">
        <v>72911</v>
      </c>
      <c r="G711">
        <v>25767</v>
      </c>
      <c r="H711">
        <v>18844</v>
      </c>
      <c r="I711">
        <v>-3305</v>
      </c>
      <c r="J711">
        <v>6886</v>
      </c>
    </row>
    <row r="712" spans="1:10" x14ac:dyDescent="0.35">
      <c r="A712" s="51">
        <v>38853</v>
      </c>
      <c r="B712">
        <v>30585</v>
      </c>
      <c r="D712">
        <v>19528</v>
      </c>
      <c r="E712">
        <v>-1581</v>
      </c>
      <c r="F712">
        <v>73376</v>
      </c>
      <c r="G712">
        <v>24272</v>
      </c>
      <c r="H712">
        <v>19121</v>
      </c>
      <c r="I712">
        <v>-11072</v>
      </c>
      <c r="J712">
        <v>7366</v>
      </c>
    </row>
    <row r="713" spans="1:10" x14ac:dyDescent="0.35">
      <c r="A713" s="51">
        <v>38860</v>
      </c>
      <c r="B713">
        <v>16310</v>
      </c>
      <c r="D713">
        <v>15702</v>
      </c>
      <c r="E713">
        <v>8382</v>
      </c>
      <c r="F713">
        <v>72076</v>
      </c>
      <c r="G713">
        <v>30558</v>
      </c>
      <c r="H713">
        <v>18329</v>
      </c>
      <c r="I713">
        <v>-18521</v>
      </c>
      <c r="J713">
        <v>7267</v>
      </c>
    </row>
    <row r="714" spans="1:10" x14ac:dyDescent="0.35">
      <c r="A714" s="51">
        <v>38867</v>
      </c>
      <c r="B714">
        <v>26788</v>
      </c>
      <c r="D714">
        <v>31707</v>
      </c>
      <c r="E714">
        <v>10531</v>
      </c>
      <c r="F714">
        <v>79884</v>
      </c>
      <c r="G714">
        <v>39697</v>
      </c>
      <c r="H714">
        <v>25741</v>
      </c>
      <c r="I714">
        <v>-28860</v>
      </c>
      <c r="J714">
        <v>2828</v>
      </c>
    </row>
    <row r="715" spans="1:10" x14ac:dyDescent="0.35">
      <c r="A715" s="51">
        <v>38874</v>
      </c>
      <c r="B715">
        <v>13918</v>
      </c>
      <c r="D715">
        <v>22862</v>
      </c>
      <c r="E715">
        <v>9320</v>
      </c>
      <c r="F715">
        <v>88196</v>
      </c>
      <c r="G715">
        <v>22286</v>
      </c>
      <c r="H715">
        <v>21003</v>
      </c>
      <c r="I715">
        <v>-27896</v>
      </c>
      <c r="J715">
        <v>2158</v>
      </c>
    </row>
    <row r="716" spans="1:10" x14ac:dyDescent="0.35">
      <c r="A716" s="51">
        <v>38881</v>
      </c>
      <c r="B716">
        <v>11952</v>
      </c>
      <c r="D716">
        <v>33351</v>
      </c>
      <c r="E716">
        <v>-2882</v>
      </c>
      <c r="F716">
        <v>61846</v>
      </c>
      <c r="G716">
        <v>22094</v>
      </c>
      <c r="H716">
        <v>-9597</v>
      </c>
      <c r="I716">
        <v>-26231</v>
      </c>
      <c r="J716">
        <v>2313</v>
      </c>
    </row>
    <row r="717" spans="1:10" x14ac:dyDescent="0.35">
      <c r="A717" s="51">
        <v>38888</v>
      </c>
      <c r="B717">
        <v>-2412</v>
      </c>
      <c r="D717">
        <v>23978</v>
      </c>
      <c r="E717">
        <v>-5472</v>
      </c>
      <c r="F717">
        <v>52490</v>
      </c>
      <c r="G717">
        <v>23402</v>
      </c>
      <c r="H717">
        <v>-23007</v>
      </c>
      <c r="I717">
        <v>-29043</v>
      </c>
    </row>
    <row r="718" spans="1:10" x14ac:dyDescent="0.35">
      <c r="A718" s="51">
        <v>38895</v>
      </c>
      <c r="B718">
        <v>2706</v>
      </c>
      <c r="D718">
        <v>30309</v>
      </c>
      <c r="E718">
        <v>-15889</v>
      </c>
      <c r="F718">
        <v>64670</v>
      </c>
      <c r="G718">
        <v>6571</v>
      </c>
      <c r="H718">
        <v>-35572</v>
      </c>
      <c r="I718">
        <v>-27818</v>
      </c>
    </row>
    <row r="719" spans="1:10" x14ac:dyDescent="0.35">
      <c r="A719" s="51">
        <v>38902</v>
      </c>
      <c r="B719">
        <v>5061</v>
      </c>
      <c r="D719">
        <v>36447</v>
      </c>
      <c r="E719">
        <v>-4314</v>
      </c>
      <c r="F719">
        <v>68545</v>
      </c>
      <c r="G719">
        <v>11863</v>
      </c>
      <c r="H719">
        <v>-23909</v>
      </c>
      <c r="I719">
        <v>-11636</v>
      </c>
    </row>
    <row r="720" spans="1:10" x14ac:dyDescent="0.35">
      <c r="A720" s="51">
        <v>38909</v>
      </c>
      <c r="B720">
        <v>16936</v>
      </c>
      <c r="D720">
        <v>11621</v>
      </c>
      <c r="E720">
        <v>-7259</v>
      </c>
      <c r="F720">
        <v>77895</v>
      </c>
      <c r="G720">
        <v>13749</v>
      </c>
      <c r="H720">
        <v>-20704</v>
      </c>
      <c r="I720">
        <v>-4357</v>
      </c>
      <c r="J720">
        <v>-943</v>
      </c>
    </row>
    <row r="721" spans="1:10" x14ac:dyDescent="0.35">
      <c r="A721" s="51">
        <v>38916</v>
      </c>
      <c r="B721">
        <v>28215</v>
      </c>
      <c r="D721">
        <v>9284</v>
      </c>
      <c r="E721">
        <v>-15417</v>
      </c>
      <c r="F721">
        <v>51694</v>
      </c>
      <c r="G721">
        <v>17077</v>
      </c>
      <c r="H721">
        <v>-69049</v>
      </c>
      <c r="I721">
        <v>6426</v>
      </c>
      <c r="J721">
        <v>3568</v>
      </c>
    </row>
    <row r="722" spans="1:10" x14ac:dyDescent="0.35">
      <c r="A722" s="51">
        <v>38923</v>
      </c>
      <c r="B722">
        <v>33392</v>
      </c>
      <c r="D722">
        <v>-5419</v>
      </c>
      <c r="E722">
        <v>-20960</v>
      </c>
      <c r="F722">
        <v>50301</v>
      </c>
      <c r="G722">
        <v>22659</v>
      </c>
      <c r="H722">
        <v>-76886</v>
      </c>
      <c r="I722">
        <v>8071</v>
      </c>
      <c r="J722">
        <v>5445</v>
      </c>
    </row>
    <row r="723" spans="1:10" x14ac:dyDescent="0.35">
      <c r="A723" s="51">
        <v>38930</v>
      </c>
      <c r="B723">
        <v>38113</v>
      </c>
      <c r="D723">
        <v>-7416</v>
      </c>
      <c r="E723">
        <v>-9394</v>
      </c>
      <c r="F723">
        <v>73429</v>
      </c>
      <c r="G723">
        <v>45003</v>
      </c>
      <c r="H723">
        <v>-42984</v>
      </c>
      <c r="I723">
        <v>17675</v>
      </c>
      <c r="J723">
        <v>8203</v>
      </c>
    </row>
    <row r="724" spans="1:10" x14ac:dyDescent="0.35">
      <c r="A724" s="51">
        <v>38937</v>
      </c>
      <c r="B724">
        <v>33057</v>
      </c>
      <c r="D724">
        <v>9830</v>
      </c>
      <c r="E724">
        <v>-14853</v>
      </c>
      <c r="F724">
        <v>92108</v>
      </c>
      <c r="G724">
        <v>55626</v>
      </c>
      <c r="H724">
        <v>-51791</v>
      </c>
      <c r="I724">
        <v>21909</v>
      </c>
      <c r="J724">
        <v>6945</v>
      </c>
    </row>
    <row r="725" spans="1:10" x14ac:dyDescent="0.35">
      <c r="A725" s="51">
        <v>38944</v>
      </c>
      <c r="B725">
        <v>39092</v>
      </c>
      <c r="D725">
        <v>8597</v>
      </c>
      <c r="E725">
        <v>-15247</v>
      </c>
      <c r="F725">
        <v>90204</v>
      </c>
      <c r="G725">
        <v>63196</v>
      </c>
      <c r="H725">
        <v>-62274</v>
      </c>
      <c r="I725">
        <v>35634</v>
      </c>
      <c r="J725">
        <v>13262</v>
      </c>
    </row>
    <row r="726" spans="1:10" x14ac:dyDescent="0.35">
      <c r="A726" s="51">
        <v>38951</v>
      </c>
      <c r="B726">
        <v>30075</v>
      </c>
      <c r="D726">
        <v>15493</v>
      </c>
      <c r="E726">
        <v>-10465</v>
      </c>
      <c r="F726">
        <v>81470</v>
      </c>
      <c r="G726">
        <v>56816</v>
      </c>
      <c r="H726">
        <v>-75077</v>
      </c>
      <c r="I726">
        <v>24841</v>
      </c>
      <c r="J726">
        <v>11491</v>
      </c>
    </row>
    <row r="727" spans="1:10" x14ac:dyDescent="0.35">
      <c r="A727" s="51">
        <v>38958</v>
      </c>
      <c r="B727">
        <v>33241</v>
      </c>
      <c r="D727">
        <v>30605</v>
      </c>
      <c r="E727">
        <v>-12635</v>
      </c>
      <c r="F727">
        <v>79637</v>
      </c>
      <c r="G727">
        <v>56125</v>
      </c>
      <c r="H727">
        <v>-88329</v>
      </c>
      <c r="I727">
        <v>22805</v>
      </c>
      <c r="J727">
        <v>10516</v>
      </c>
    </row>
    <row r="728" spans="1:10" x14ac:dyDescent="0.35">
      <c r="A728" s="51">
        <v>38965</v>
      </c>
      <c r="B728">
        <v>47946</v>
      </c>
      <c r="D728">
        <v>27466</v>
      </c>
      <c r="E728">
        <v>-19146</v>
      </c>
      <c r="F728">
        <v>75016</v>
      </c>
      <c r="G728">
        <v>53932</v>
      </c>
      <c r="H728">
        <v>-69498</v>
      </c>
      <c r="I728">
        <v>27671</v>
      </c>
      <c r="J728">
        <v>11043</v>
      </c>
    </row>
    <row r="729" spans="1:10" x14ac:dyDescent="0.35">
      <c r="A729" s="51">
        <v>38972</v>
      </c>
      <c r="B729">
        <v>24534</v>
      </c>
      <c r="D729">
        <v>14782</v>
      </c>
      <c r="E729">
        <v>-33241</v>
      </c>
      <c r="F729">
        <v>66717</v>
      </c>
      <c r="G729">
        <v>37581</v>
      </c>
      <c r="H729">
        <v>-99452</v>
      </c>
      <c r="I729">
        <v>8074</v>
      </c>
      <c r="J729">
        <v>9511</v>
      </c>
    </row>
    <row r="730" spans="1:10" x14ac:dyDescent="0.35">
      <c r="A730" s="51">
        <v>38979</v>
      </c>
      <c r="B730">
        <v>33632</v>
      </c>
      <c r="D730">
        <v>855</v>
      </c>
      <c r="E730">
        <v>-44034</v>
      </c>
      <c r="F730">
        <v>51114</v>
      </c>
      <c r="G730">
        <v>42953</v>
      </c>
      <c r="H730">
        <v>-90804</v>
      </c>
      <c r="I730">
        <v>2462</v>
      </c>
      <c r="J730">
        <v>12882</v>
      </c>
    </row>
    <row r="731" spans="1:10" x14ac:dyDescent="0.35">
      <c r="A731" s="51">
        <v>38986</v>
      </c>
      <c r="B731">
        <v>30089</v>
      </c>
      <c r="D731">
        <v>6510</v>
      </c>
      <c r="E731">
        <v>-29020</v>
      </c>
      <c r="F731">
        <v>49942</v>
      </c>
      <c r="G731">
        <v>56967</v>
      </c>
      <c r="H731">
        <v>-87358</v>
      </c>
      <c r="I731">
        <v>-4267</v>
      </c>
      <c r="J731">
        <v>12673</v>
      </c>
    </row>
    <row r="732" spans="1:10" x14ac:dyDescent="0.35">
      <c r="A732" s="51">
        <v>38993</v>
      </c>
      <c r="B732">
        <v>21581</v>
      </c>
      <c r="D732">
        <v>9279</v>
      </c>
      <c r="E732">
        <v>-30127</v>
      </c>
      <c r="F732">
        <v>56217</v>
      </c>
      <c r="G732">
        <v>44946</v>
      </c>
      <c r="H732">
        <v>-104151</v>
      </c>
      <c r="I732">
        <v>5664</v>
      </c>
      <c r="J732">
        <v>7775</v>
      </c>
    </row>
    <row r="733" spans="1:10" x14ac:dyDescent="0.35">
      <c r="A733" s="51">
        <v>39000</v>
      </c>
      <c r="B733">
        <v>35250</v>
      </c>
      <c r="D733">
        <v>1859</v>
      </c>
      <c r="E733">
        <v>-60420</v>
      </c>
      <c r="F733">
        <v>36528</v>
      </c>
      <c r="G733">
        <v>19835</v>
      </c>
      <c r="H733">
        <v>-123598</v>
      </c>
      <c r="I733">
        <v>9772</v>
      </c>
      <c r="J733">
        <v>10109</v>
      </c>
    </row>
    <row r="734" spans="1:10" x14ac:dyDescent="0.35">
      <c r="A734" s="51">
        <v>39007</v>
      </c>
      <c r="B734">
        <v>39689</v>
      </c>
      <c r="D734">
        <v>-24498</v>
      </c>
      <c r="E734">
        <v>-67208</v>
      </c>
      <c r="F734">
        <v>26592</v>
      </c>
      <c r="G734">
        <v>33305</v>
      </c>
      <c r="H734">
        <v>-112578</v>
      </c>
      <c r="I734">
        <v>52477</v>
      </c>
      <c r="J734">
        <v>13802</v>
      </c>
    </row>
    <row r="735" spans="1:10" x14ac:dyDescent="0.35">
      <c r="A735" s="51">
        <v>39014</v>
      </c>
      <c r="B735">
        <v>56424</v>
      </c>
      <c r="D735">
        <v>-14233</v>
      </c>
      <c r="E735">
        <v>-70223</v>
      </c>
      <c r="F735">
        <v>27151</v>
      </c>
      <c r="G735">
        <v>37165</v>
      </c>
      <c r="H735">
        <v>-137290</v>
      </c>
      <c r="I735">
        <v>67083</v>
      </c>
      <c r="J735">
        <v>15235</v>
      </c>
    </row>
    <row r="736" spans="1:10" x14ac:dyDescent="0.35">
      <c r="A736" s="51">
        <v>39021</v>
      </c>
      <c r="B736">
        <v>71353</v>
      </c>
      <c r="D736">
        <v>-23678</v>
      </c>
      <c r="E736">
        <v>-47069</v>
      </c>
      <c r="F736">
        <v>60048</v>
      </c>
      <c r="G736">
        <v>59864</v>
      </c>
      <c r="H736">
        <v>-59600</v>
      </c>
      <c r="I736">
        <v>82181</v>
      </c>
      <c r="J736">
        <v>12257</v>
      </c>
    </row>
    <row r="737" spans="1:10" x14ac:dyDescent="0.35">
      <c r="A737" s="51">
        <v>39028</v>
      </c>
      <c r="B737">
        <v>85615</v>
      </c>
      <c r="D737">
        <v>-20342</v>
      </c>
      <c r="E737">
        <v>-55701</v>
      </c>
      <c r="F737">
        <v>68925</v>
      </c>
      <c r="G737">
        <v>84280</v>
      </c>
      <c r="H737">
        <v>-63512</v>
      </c>
      <c r="I737">
        <v>58060</v>
      </c>
      <c r="J737">
        <v>13919</v>
      </c>
    </row>
    <row r="738" spans="1:10" x14ac:dyDescent="0.35">
      <c r="A738" s="51">
        <v>39035</v>
      </c>
      <c r="B738">
        <v>64950</v>
      </c>
      <c r="D738">
        <v>-47375</v>
      </c>
      <c r="E738">
        <v>-42545</v>
      </c>
      <c r="F738">
        <v>60475</v>
      </c>
      <c r="G738">
        <v>62252</v>
      </c>
      <c r="H738">
        <v>-55012</v>
      </c>
      <c r="I738">
        <v>34160</v>
      </c>
      <c r="J738">
        <v>10295</v>
      </c>
    </row>
    <row r="739" spans="1:10" x14ac:dyDescent="0.35">
      <c r="A739" s="51">
        <v>39042</v>
      </c>
      <c r="B739">
        <v>67461</v>
      </c>
      <c r="D739">
        <v>-58893</v>
      </c>
      <c r="E739">
        <v>-38797</v>
      </c>
      <c r="F739">
        <v>65306</v>
      </c>
      <c r="G739">
        <v>69089</v>
      </c>
      <c r="H739">
        <v>-80421</v>
      </c>
      <c r="I739">
        <v>12139</v>
      </c>
      <c r="J739">
        <v>12846</v>
      </c>
    </row>
    <row r="740" spans="1:10" x14ac:dyDescent="0.35">
      <c r="A740" s="51">
        <v>39049</v>
      </c>
      <c r="B740">
        <v>79758</v>
      </c>
      <c r="D740">
        <v>-40282</v>
      </c>
      <c r="E740">
        <v>-13903</v>
      </c>
      <c r="F740">
        <v>89594</v>
      </c>
      <c r="G740">
        <v>80626</v>
      </c>
      <c r="H740">
        <v>-41958</v>
      </c>
      <c r="I740">
        <v>3289</v>
      </c>
      <c r="J740">
        <v>12923</v>
      </c>
    </row>
    <row r="741" spans="1:10" x14ac:dyDescent="0.35">
      <c r="A741" s="51">
        <v>39056</v>
      </c>
      <c r="B741">
        <v>75311</v>
      </c>
      <c r="D741">
        <v>-46479</v>
      </c>
      <c r="E741">
        <v>-6468</v>
      </c>
      <c r="F741">
        <v>98265</v>
      </c>
      <c r="G741">
        <v>75832</v>
      </c>
      <c r="H741">
        <v>-23537</v>
      </c>
      <c r="I741">
        <v>25349</v>
      </c>
      <c r="J741">
        <v>14470</v>
      </c>
    </row>
    <row r="742" spans="1:10" x14ac:dyDescent="0.35">
      <c r="A742" s="51">
        <v>39063</v>
      </c>
      <c r="B742">
        <v>80914</v>
      </c>
      <c r="D742">
        <v>-52008</v>
      </c>
      <c r="E742">
        <v>-9772</v>
      </c>
      <c r="F742">
        <v>96683</v>
      </c>
      <c r="G742">
        <v>79169</v>
      </c>
      <c r="H742">
        <v>-55560</v>
      </c>
      <c r="I742">
        <v>47636</v>
      </c>
      <c r="J742">
        <v>16567</v>
      </c>
    </row>
    <row r="743" spans="1:10" x14ac:dyDescent="0.35">
      <c r="A743" s="51">
        <v>39070</v>
      </c>
      <c r="B743">
        <v>88900</v>
      </c>
      <c r="D743">
        <v>-57392</v>
      </c>
      <c r="E743">
        <v>-10838</v>
      </c>
      <c r="F743">
        <v>91970</v>
      </c>
      <c r="G743">
        <v>85598</v>
      </c>
      <c r="H743">
        <v>-92519</v>
      </c>
      <c r="I743">
        <v>60003</v>
      </c>
      <c r="J743">
        <v>17889</v>
      </c>
    </row>
    <row r="744" spans="1:10" x14ac:dyDescent="0.35">
      <c r="A744" s="51">
        <v>39077</v>
      </c>
      <c r="B744">
        <v>85035</v>
      </c>
      <c r="D744">
        <v>-66294</v>
      </c>
      <c r="E744">
        <v>-12285</v>
      </c>
      <c r="F744">
        <v>79970</v>
      </c>
      <c r="G744">
        <v>73844</v>
      </c>
      <c r="H744">
        <v>-104914</v>
      </c>
      <c r="I744">
        <v>54781</v>
      </c>
      <c r="J744">
        <v>17589</v>
      </c>
    </row>
    <row r="745" spans="1:10" x14ac:dyDescent="0.35">
      <c r="A745" s="51">
        <v>39084</v>
      </c>
      <c r="B745">
        <v>88823</v>
      </c>
      <c r="D745">
        <v>-74268</v>
      </c>
      <c r="E745">
        <v>-22798</v>
      </c>
      <c r="F745">
        <v>77456</v>
      </c>
      <c r="G745">
        <v>65157</v>
      </c>
      <c r="H745">
        <v>-118592</v>
      </c>
      <c r="I745">
        <v>67873</v>
      </c>
      <c r="J745">
        <v>18352</v>
      </c>
    </row>
    <row r="746" spans="1:10" x14ac:dyDescent="0.35">
      <c r="A746" s="51">
        <v>39091</v>
      </c>
      <c r="B746">
        <v>49878</v>
      </c>
      <c r="D746">
        <v>-84906</v>
      </c>
      <c r="E746">
        <v>-40371</v>
      </c>
      <c r="F746">
        <v>75172</v>
      </c>
      <c r="G746">
        <v>58653</v>
      </c>
      <c r="H746">
        <v>-123343</v>
      </c>
      <c r="I746">
        <v>27866</v>
      </c>
      <c r="J746">
        <v>14618</v>
      </c>
    </row>
    <row r="747" spans="1:10" x14ac:dyDescent="0.35">
      <c r="A747" s="51">
        <v>39098</v>
      </c>
      <c r="B747">
        <v>66756</v>
      </c>
      <c r="D747">
        <v>-78967</v>
      </c>
      <c r="E747">
        <v>-42248</v>
      </c>
      <c r="F747">
        <v>53542</v>
      </c>
      <c r="G747">
        <v>84318</v>
      </c>
      <c r="H747">
        <v>-138146</v>
      </c>
      <c r="I747">
        <v>26500</v>
      </c>
      <c r="J747">
        <v>13401</v>
      </c>
    </row>
    <row r="748" spans="1:10" x14ac:dyDescent="0.35">
      <c r="A748" s="51">
        <v>39105</v>
      </c>
      <c r="B748">
        <v>77248</v>
      </c>
      <c r="D748">
        <v>-77857</v>
      </c>
      <c r="E748">
        <v>-44081</v>
      </c>
      <c r="F748">
        <v>61010</v>
      </c>
      <c r="G748">
        <v>94728</v>
      </c>
      <c r="H748">
        <v>-164860</v>
      </c>
      <c r="I748">
        <v>18105</v>
      </c>
      <c r="J748">
        <v>10195</v>
      </c>
    </row>
    <row r="749" spans="1:10" x14ac:dyDescent="0.35">
      <c r="A749" s="51">
        <v>39112</v>
      </c>
      <c r="B749">
        <v>64205</v>
      </c>
      <c r="D749">
        <v>-70876</v>
      </c>
      <c r="E749">
        <v>-59580</v>
      </c>
      <c r="F749">
        <v>62579</v>
      </c>
      <c r="G749">
        <v>76927</v>
      </c>
      <c r="H749">
        <v>-173005</v>
      </c>
      <c r="I749">
        <v>10515</v>
      </c>
      <c r="J749">
        <v>8121</v>
      </c>
    </row>
    <row r="750" spans="1:10" x14ac:dyDescent="0.35">
      <c r="A750" s="51">
        <v>39119</v>
      </c>
      <c r="B750">
        <v>61245</v>
      </c>
      <c r="D750">
        <v>-80646</v>
      </c>
      <c r="E750">
        <v>-42925</v>
      </c>
      <c r="F750">
        <v>45330</v>
      </c>
      <c r="G750">
        <v>92728</v>
      </c>
      <c r="H750">
        <v>-128526</v>
      </c>
      <c r="I750">
        <v>16714</v>
      </c>
      <c r="J750">
        <v>10121</v>
      </c>
    </row>
    <row r="751" spans="1:10" x14ac:dyDescent="0.35">
      <c r="A751" s="51">
        <v>39126</v>
      </c>
      <c r="B751">
        <v>64868</v>
      </c>
      <c r="D751">
        <v>-56695</v>
      </c>
      <c r="E751">
        <v>-63406</v>
      </c>
      <c r="F751">
        <v>83795</v>
      </c>
      <c r="G751">
        <v>48598</v>
      </c>
      <c r="H751">
        <v>-167505</v>
      </c>
      <c r="I751">
        <v>21407</v>
      </c>
      <c r="J751">
        <v>12473</v>
      </c>
    </row>
    <row r="752" spans="1:10" x14ac:dyDescent="0.35">
      <c r="A752" s="51">
        <v>39133</v>
      </c>
      <c r="B752">
        <v>69617</v>
      </c>
      <c r="D752">
        <v>-65426</v>
      </c>
      <c r="E752">
        <v>-55553</v>
      </c>
      <c r="F752">
        <v>99326</v>
      </c>
      <c r="G752">
        <v>59153</v>
      </c>
      <c r="H752">
        <v>-116195</v>
      </c>
      <c r="I752">
        <v>17618</v>
      </c>
      <c r="J752">
        <v>15868</v>
      </c>
    </row>
    <row r="753" spans="1:10" x14ac:dyDescent="0.35">
      <c r="A753" s="51">
        <v>39140</v>
      </c>
      <c r="B753">
        <v>83075</v>
      </c>
      <c r="D753">
        <v>-56424</v>
      </c>
      <c r="E753">
        <v>-44685</v>
      </c>
      <c r="F753">
        <v>102598</v>
      </c>
      <c r="G753">
        <v>68028</v>
      </c>
      <c r="H753">
        <v>-114626</v>
      </c>
      <c r="I753">
        <v>182</v>
      </c>
      <c r="J753">
        <v>16506</v>
      </c>
    </row>
    <row r="754" spans="1:10" x14ac:dyDescent="0.35">
      <c r="A754" s="51">
        <v>39147</v>
      </c>
      <c r="B754">
        <v>27010</v>
      </c>
      <c r="D754">
        <v>-74925</v>
      </c>
      <c r="E754">
        <v>-21867</v>
      </c>
      <c r="F754">
        <v>88679</v>
      </c>
      <c r="G754">
        <v>27393</v>
      </c>
      <c r="H754">
        <v>-62886</v>
      </c>
      <c r="I754">
        <v>-15595</v>
      </c>
      <c r="J754">
        <v>14289</v>
      </c>
    </row>
    <row r="755" spans="1:10" x14ac:dyDescent="0.35">
      <c r="A755" s="51">
        <v>39154</v>
      </c>
      <c r="B755">
        <v>48107</v>
      </c>
      <c r="D755">
        <v>-74139</v>
      </c>
      <c r="E755">
        <v>-24891</v>
      </c>
      <c r="F755">
        <v>96155</v>
      </c>
      <c r="G755">
        <v>20403</v>
      </c>
      <c r="H755">
        <v>-52853</v>
      </c>
      <c r="I755">
        <v>-14528</v>
      </c>
      <c r="J755">
        <v>14762</v>
      </c>
    </row>
    <row r="756" spans="1:10" x14ac:dyDescent="0.35">
      <c r="A756" s="51">
        <v>39161</v>
      </c>
      <c r="B756">
        <v>63165</v>
      </c>
      <c r="D756">
        <v>-51153</v>
      </c>
      <c r="E756">
        <v>-15002</v>
      </c>
      <c r="F756">
        <v>87956</v>
      </c>
      <c r="G756">
        <v>46129</v>
      </c>
      <c r="H756">
        <v>-49953</v>
      </c>
      <c r="I756">
        <v>-19016</v>
      </c>
      <c r="J756">
        <v>18856</v>
      </c>
    </row>
    <row r="757" spans="1:10" x14ac:dyDescent="0.35">
      <c r="A757" s="51">
        <v>39168</v>
      </c>
      <c r="B757">
        <v>80597</v>
      </c>
      <c r="D757">
        <v>-31982</v>
      </c>
      <c r="E757">
        <v>-11559</v>
      </c>
      <c r="F757">
        <v>93741</v>
      </c>
      <c r="G757">
        <v>42578</v>
      </c>
      <c r="H757">
        <v>-47480</v>
      </c>
      <c r="I757">
        <v>3544</v>
      </c>
      <c r="J757">
        <v>22788</v>
      </c>
    </row>
    <row r="758" spans="1:10" x14ac:dyDescent="0.35">
      <c r="A758" s="51">
        <v>39175</v>
      </c>
      <c r="B758">
        <v>81831</v>
      </c>
      <c r="D758">
        <v>-35165</v>
      </c>
      <c r="E758">
        <v>-27265</v>
      </c>
      <c r="F758">
        <v>95078</v>
      </c>
      <c r="G758">
        <v>55843</v>
      </c>
      <c r="H758">
        <v>-63858</v>
      </c>
      <c r="I758">
        <v>1783</v>
      </c>
      <c r="J758">
        <v>22525</v>
      </c>
    </row>
    <row r="759" spans="1:10" x14ac:dyDescent="0.35">
      <c r="A759" s="51">
        <v>39182</v>
      </c>
      <c r="B759">
        <v>74355</v>
      </c>
      <c r="D759">
        <v>-15564</v>
      </c>
      <c r="E759">
        <v>-23206</v>
      </c>
      <c r="F759">
        <v>104394</v>
      </c>
      <c r="G759">
        <v>48417</v>
      </c>
      <c r="H759">
        <v>-64841</v>
      </c>
      <c r="I759">
        <v>13744</v>
      </c>
      <c r="J759">
        <v>20067</v>
      </c>
    </row>
    <row r="760" spans="1:10" x14ac:dyDescent="0.35">
      <c r="A760" s="51">
        <v>39189</v>
      </c>
      <c r="B760">
        <v>78317</v>
      </c>
      <c r="D760">
        <v>-15991</v>
      </c>
      <c r="E760">
        <v>-22372</v>
      </c>
      <c r="F760">
        <v>106770</v>
      </c>
      <c r="G760">
        <v>59667</v>
      </c>
      <c r="H760">
        <v>-70519</v>
      </c>
      <c r="I760">
        <v>9759</v>
      </c>
      <c r="J760">
        <v>23097</v>
      </c>
    </row>
    <row r="761" spans="1:10" x14ac:dyDescent="0.35">
      <c r="A761" s="51">
        <v>39196</v>
      </c>
      <c r="B761">
        <v>76477</v>
      </c>
      <c r="D761">
        <v>-1631</v>
      </c>
      <c r="E761">
        <v>-16851</v>
      </c>
      <c r="F761">
        <v>111282</v>
      </c>
      <c r="G761">
        <v>70066</v>
      </c>
      <c r="H761">
        <v>-81772</v>
      </c>
      <c r="I761">
        <v>5729</v>
      </c>
      <c r="J761">
        <v>21103</v>
      </c>
    </row>
    <row r="762" spans="1:10" x14ac:dyDescent="0.35">
      <c r="A762" s="51">
        <v>39203</v>
      </c>
      <c r="B762">
        <v>63845</v>
      </c>
      <c r="D762">
        <v>8851</v>
      </c>
      <c r="E762">
        <v>-31170</v>
      </c>
      <c r="F762">
        <v>106688</v>
      </c>
      <c r="G762">
        <v>63993</v>
      </c>
      <c r="H762">
        <v>-118782</v>
      </c>
      <c r="I762">
        <v>26567</v>
      </c>
      <c r="J762">
        <v>17523</v>
      </c>
    </row>
    <row r="763" spans="1:10" x14ac:dyDescent="0.35">
      <c r="A763" s="51">
        <v>39210</v>
      </c>
      <c r="B763">
        <v>73626</v>
      </c>
      <c r="D763">
        <v>17819</v>
      </c>
      <c r="E763">
        <v>-34352</v>
      </c>
      <c r="F763">
        <v>105270</v>
      </c>
      <c r="G763">
        <v>51997</v>
      </c>
      <c r="H763">
        <v>-112259</v>
      </c>
      <c r="I763">
        <v>48327</v>
      </c>
      <c r="J763">
        <v>15255</v>
      </c>
    </row>
    <row r="764" spans="1:10" x14ac:dyDescent="0.35">
      <c r="A764" s="51">
        <v>39217</v>
      </c>
      <c r="B764">
        <v>75138</v>
      </c>
      <c r="D764">
        <v>43097</v>
      </c>
      <c r="E764">
        <v>-34745</v>
      </c>
      <c r="F764">
        <v>119538</v>
      </c>
      <c r="G764">
        <v>41078</v>
      </c>
      <c r="H764">
        <v>-127896</v>
      </c>
      <c r="I764">
        <v>63062</v>
      </c>
      <c r="J764">
        <v>19239</v>
      </c>
    </row>
    <row r="765" spans="1:10" x14ac:dyDescent="0.35">
      <c r="A765" s="51">
        <v>39224</v>
      </c>
      <c r="B765">
        <v>47300</v>
      </c>
      <c r="D765">
        <v>38967</v>
      </c>
      <c r="E765">
        <v>-65869</v>
      </c>
      <c r="F765">
        <v>95287</v>
      </c>
      <c r="G765">
        <v>35338</v>
      </c>
      <c r="H765">
        <v>-151746</v>
      </c>
      <c r="I765">
        <v>69238</v>
      </c>
      <c r="J765">
        <v>15807</v>
      </c>
    </row>
    <row r="766" spans="1:10" x14ac:dyDescent="0.35">
      <c r="A766" s="51">
        <v>39231</v>
      </c>
      <c r="B766">
        <v>39338</v>
      </c>
      <c r="D766">
        <v>52020</v>
      </c>
      <c r="E766">
        <v>-59208</v>
      </c>
      <c r="F766">
        <v>94319</v>
      </c>
      <c r="G766">
        <v>47410</v>
      </c>
      <c r="H766">
        <v>-146243</v>
      </c>
      <c r="I766">
        <v>86137</v>
      </c>
      <c r="J766">
        <v>14911</v>
      </c>
    </row>
    <row r="767" spans="1:10" x14ac:dyDescent="0.35">
      <c r="A767" s="51">
        <v>39238</v>
      </c>
      <c r="B767">
        <v>77256</v>
      </c>
      <c r="D767">
        <v>43858</v>
      </c>
      <c r="E767">
        <v>-58252</v>
      </c>
      <c r="F767">
        <v>84965</v>
      </c>
      <c r="G767">
        <v>61860</v>
      </c>
      <c r="H767">
        <v>-124006</v>
      </c>
      <c r="I767">
        <v>91056</v>
      </c>
      <c r="J767">
        <v>19918</v>
      </c>
    </row>
    <row r="768" spans="1:10" x14ac:dyDescent="0.35">
      <c r="A768" s="51">
        <v>39245</v>
      </c>
      <c r="B768">
        <v>73374</v>
      </c>
      <c r="D768">
        <v>62005</v>
      </c>
      <c r="E768">
        <v>-79181</v>
      </c>
      <c r="F768">
        <v>50638</v>
      </c>
      <c r="G768">
        <v>39417</v>
      </c>
      <c r="H768">
        <v>-127562</v>
      </c>
      <c r="I768">
        <v>56330</v>
      </c>
      <c r="J768">
        <v>26396</v>
      </c>
    </row>
    <row r="769" spans="1:10" x14ac:dyDescent="0.35">
      <c r="A769" s="51">
        <v>39252</v>
      </c>
      <c r="B769">
        <v>65213</v>
      </c>
      <c r="D769">
        <v>58796</v>
      </c>
      <c r="E769">
        <v>-79331</v>
      </c>
      <c r="F769">
        <v>46341</v>
      </c>
      <c r="G769">
        <v>71693</v>
      </c>
      <c r="H769">
        <v>-161361</v>
      </c>
      <c r="I769">
        <v>64573</v>
      </c>
      <c r="J769">
        <v>24316</v>
      </c>
    </row>
    <row r="770" spans="1:10" x14ac:dyDescent="0.35">
      <c r="A770" s="51">
        <v>39259</v>
      </c>
      <c r="B770">
        <v>66975</v>
      </c>
      <c r="D770">
        <v>68863</v>
      </c>
      <c r="E770">
        <v>-58831</v>
      </c>
      <c r="F770">
        <v>67433</v>
      </c>
      <c r="G770">
        <v>96134</v>
      </c>
      <c r="H770">
        <v>-188077</v>
      </c>
      <c r="I770">
        <v>41980</v>
      </c>
      <c r="J770">
        <v>23874</v>
      </c>
    </row>
    <row r="771" spans="1:10" x14ac:dyDescent="0.35">
      <c r="A771" s="51">
        <v>39266</v>
      </c>
      <c r="B771">
        <v>58097</v>
      </c>
      <c r="D771">
        <v>65253</v>
      </c>
      <c r="E771">
        <v>-33575</v>
      </c>
      <c r="F771">
        <v>76524</v>
      </c>
      <c r="G771">
        <v>98173</v>
      </c>
      <c r="H771">
        <v>-155138</v>
      </c>
      <c r="I771">
        <v>48780</v>
      </c>
      <c r="J771">
        <v>22894</v>
      </c>
    </row>
    <row r="772" spans="1:10" x14ac:dyDescent="0.35">
      <c r="A772" s="51">
        <v>39273</v>
      </c>
      <c r="B772">
        <v>65158</v>
      </c>
      <c r="D772">
        <v>67378</v>
      </c>
      <c r="E772">
        <v>-38072</v>
      </c>
      <c r="F772">
        <v>102896</v>
      </c>
      <c r="G772">
        <v>88531</v>
      </c>
      <c r="H772">
        <v>-125890</v>
      </c>
      <c r="I772">
        <v>52212</v>
      </c>
      <c r="J772">
        <v>23250</v>
      </c>
    </row>
    <row r="773" spans="1:10" x14ac:dyDescent="0.35">
      <c r="A773" s="51">
        <v>39280</v>
      </c>
      <c r="B773">
        <v>68256</v>
      </c>
      <c r="D773">
        <v>67272</v>
      </c>
      <c r="E773">
        <v>-35554</v>
      </c>
      <c r="F773">
        <v>99185</v>
      </c>
      <c r="G773">
        <v>98366</v>
      </c>
      <c r="H773">
        <v>-126773</v>
      </c>
      <c r="I773">
        <v>58167</v>
      </c>
      <c r="J773">
        <v>24386</v>
      </c>
    </row>
    <row r="774" spans="1:10" x14ac:dyDescent="0.35">
      <c r="A774" s="51">
        <v>39287</v>
      </c>
      <c r="B774">
        <v>66843</v>
      </c>
      <c r="D774">
        <v>76964</v>
      </c>
      <c r="E774">
        <v>-42877</v>
      </c>
      <c r="F774">
        <v>96415</v>
      </c>
      <c r="G774">
        <v>83504</v>
      </c>
      <c r="H774">
        <v>-92415</v>
      </c>
      <c r="I774">
        <v>47728</v>
      </c>
      <c r="J774">
        <v>27844</v>
      </c>
    </row>
    <row r="775" spans="1:10" x14ac:dyDescent="0.35">
      <c r="A775" s="51">
        <v>39294</v>
      </c>
      <c r="B775">
        <v>35773</v>
      </c>
      <c r="D775">
        <v>49698</v>
      </c>
      <c r="E775">
        <v>-14633</v>
      </c>
      <c r="F775">
        <v>78453</v>
      </c>
      <c r="G775">
        <v>68713</v>
      </c>
      <c r="H775">
        <v>-51162</v>
      </c>
      <c r="I775">
        <v>22606</v>
      </c>
      <c r="J775">
        <v>14264</v>
      </c>
    </row>
    <row r="776" spans="1:10" x14ac:dyDescent="0.35">
      <c r="A776" s="51">
        <v>39301</v>
      </c>
      <c r="B776">
        <v>30719</v>
      </c>
      <c r="D776">
        <v>51938</v>
      </c>
      <c r="E776">
        <v>-2304</v>
      </c>
      <c r="F776">
        <v>79029</v>
      </c>
      <c r="G776">
        <v>54133</v>
      </c>
      <c r="H776">
        <v>-34493</v>
      </c>
      <c r="I776">
        <v>16370</v>
      </c>
      <c r="J776">
        <v>16660</v>
      </c>
    </row>
    <row r="777" spans="1:10" x14ac:dyDescent="0.35">
      <c r="A777" s="51">
        <v>39308</v>
      </c>
      <c r="B777">
        <v>23320</v>
      </c>
      <c r="D777">
        <v>47810</v>
      </c>
      <c r="E777">
        <v>-13990</v>
      </c>
      <c r="F777">
        <v>64674</v>
      </c>
      <c r="G777">
        <v>41358</v>
      </c>
      <c r="H777">
        <v>-21889</v>
      </c>
      <c r="I777">
        <v>11715</v>
      </c>
      <c r="J777">
        <v>14037</v>
      </c>
    </row>
    <row r="778" spans="1:10" x14ac:dyDescent="0.35">
      <c r="A778" s="51">
        <v>39315</v>
      </c>
      <c r="B778">
        <v>4976</v>
      </c>
      <c r="D778">
        <v>40033</v>
      </c>
      <c r="E778">
        <v>-17279</v>
      </c>
      <c r="F778">
        <v>38463</v>
      </c>
      <c r="G778">
        <v>29139</v>
      </c>
      <c r="H778">
        <v>1516</v>
      </c>
      <c r="I778">
        <v>-24134</v>
      </c>
      <c r="J778">
        <v>8885</v>
      </c>
    </row>
    <row r="779" spans="1:10" x14ac:dyDescent="0.35">
      <c r="A779" s="51">
        <v>39322</v>
      </c>
      <c r="B779">
        <v>11959</v>
      </c>
      <c r="D779">
        <v>45094</v>
      </c>
      <c r="E779">
        <v>-18123</v>
      </c>
      <c r="F779">
        <v>42826</v>
      </c>
      <c r="G779">
        <v>34571</v>
      </c>
      <c r="H779">
        <v>9846</v>
      </c>
      <c r="I779">
        <v>-20202</v>
      </c>
      <c r="J779">
        <v>3825</v>
      </c>
    </row>
    <row r="780" spans="1:10" x14ac:dyDescent="0.35">
      <c r="A780" s="51">
        <v>39329</v>
      </c>
      <c r="B780">
        <v>26520</v>
      </c>
      <c r="D780">
        <v>51345</v>
      </c>
      <c r="E780">
        <v>-34475</v>
      </c>
      <c r="F780">
        <v>46645</v>
      </c>
      <c r="G780">
        <v>32574</v>
      </c>
      <c r="H780">
        <v>-7053</v>
      </c>
      <c r="I780">
        <v>-15920</v>
      </c>
      <c r="J780">
        <v>6343</v>
      </c>
    </row>
    <row r="781" spans="1:10" x14ac:dyDescent="0.35">
      <c r="A781" s="51">
        <v>39336</v>
      </c>
      <c r="B781">
        <v>30447</v>
      </c>
      <c r="D781">
        <v>58754</v>
      </c>
      <c r="E781">
        <v>2661</v>
      </c>
      <c r="F781">
        <v>58214</v>
      </c>
      <c r="G781">
        <v>41591</v>
      </c>
      <c r="H781">
        <v>5585</v>
      </c>
      <c r="I781">
        <v>-13133</v>
      </c>
      <c r="J781">
        <v>9674</v>
      </c>
    </row>
    <row r="782" spans="1:10" x14ac:dyDescent="0.35">
      <c r="A782" s="51">
        <v>39343</v>
      </c>
      <c r="B782">
        <v>23116</v>
      </c>
      <c r="D782">
        <v>79828</v>
      </c>
      <c r="E782">
        <v>5489</v>
      </c>
      <c r="F782">
        <v>86049</v>
      </c>
      <c r="G782">
        <v>13393</v>
      </c>
      <c r="H782">
        <v>-21067</v>
      </c>
      <c r="I782">
        <v>-28072</v>
      </c>
      <c r="J782">
        <v>11172</v>
      </c>
    </row>
    <row r="783" spans="1:10" x14ac:dyDescent="0.35">
      <c r="A783" s="51">
        <v>39350</v>
      </c>
      <c r="B783">
        <v>39042</v>
      </c>
      <c r="D783">
        <v>59162</v>
      </c>
      <c r="E783">
        <v>6292</v>
      </c>
      <c r="F783">
        <v>83448</v>
      </c>
      <c r="G783">
        <v>24557</v>
      </c>
      <c r="H783">
        <v>-2449</v>
      </c>
      <c r="I783">
        <v>-12921</v>
      </c>
      <c r="J783">
        <v>12722</v>
      </c>
    </row>
    <row r="784" spans="1:10" x14ac:dyDescent="0.35">
      <c r="A784" s="51">
        <v>39357</v>
      </c>
      <c r="B784">
        <v>54632</v>
      </c>
      <c r="D784">
        <v>69179</v>
      </c>
      <c r="E784">
        <v>-3078</v>
      </c>
      <c r="F784">
        <v>94440</v>
      </c>
      <c r="G784">
        <v>26554</v>
      </c>
      <c r="H784">
        <v>-28069</v>
      </c>
      <c r="I784">
        <v>-2143</v>
      </c>
      <c r="J784">
        <v>18494</v>
      </c>
    </row>
    <row r="785" spans="1:10" x14ac:dyDescent="0.35">
      <c r="A785" s="51">
        <v>39364</v>
      </c>
      <c r="B785">
        <v>49051</v>
      </c>
      <c r="D785">
        <v>83001</v>
      </c>
      <c r="E785">
        <v>-4091</v>
      </c>
      <c r="F785">
        <v>87166</v>
      </c>
      <c r="G785">
        <v>30488</v>
      </c>
      <c r="H785">
        <v>-45757</v>
      </c>
      <c r="I785">
        <v>10720</v>
      </c>
      <c r="J785">
        <v>21085</v>
      </c>
    </row>
    <row r="786" spans="1:10" x14ac:dyDescent="0.35">
      <c r="A786" s="51">
        <v>39371</v>
      </c>
      <c r="B786">
        <v>55589</v>
      </c>
      <c r="D786">
        <v>76949</v>
      </c>
      <c r="E786">
        <v>-8189</v>
      </c>
      <c r="F786">
        <v>86604</v>
      </c>
      <c r="G786">
        <v>35704</v>
      </c>
      <c r="H786">
        <v>-38613</v>
      </c>
      <c r="I786">
        <v>30194</v>
      </c>
      <c r="J786">
        <v>22385</v>
      </c>
    </row>
    <row r="787" spans="1:10" x14ac:dyDescent="0.35">
      <c r="A787" s="51">
        <v>39378</v>
      </c>
      <c r="B787">
        <v>43653</v>
      </c>
      <c r="D787">
        <v>71323</v>
      </c>
      <c r="E787">
        <v>2510</v>
      </c>
      <c r="F787">
        <v>69016</v>
      </c>
      <c r="G787">
        <v>45421</v>
      </c>
      <c r="H787">
        <v>-21354</v>
      </c>
      <c r="I787">
        <v>45259</v>
      </c>
      <c r="J787">
        <v>19451</v>
      </c>
    </row>
    <row r="788" spans="1:10" x14ac:dyDescent="0.35">
      <c r="A788" s="51">
        <v>39385</v>
      </c>
      <c r="B788">
        <v>46022</v>
      </c>
      <c r="D788">
        <v>68831</v>
      </c>
      <c r="E788">
        <v>10790</v>
      </c>
      <c r="F788">
        <v>68848</v>
      </c>
      <c r="G788">
        <v>52928</v>
      </c>
      <c r="H788">
        <v>-9949</v>
      </c>
      <c r="I788">
        <v>69765</v>
      </c>
      <c r="J788">
        <v>14668</v>
      </c>
    </row>
    <row r="789" spans="1:10" x14ac:dyDescent="0.35">
      <c r="A789" s="51">
        <v>39392</v>
      </c>
      <c r="B789">
        <v>50637</v>
      </c>
      <c r="D789">
        <v>63588</v>
      </c>
      <c r="E789">
        <v>2419</v>
      </c>
      <c r="F789">
        <v>76048</v>
      </c>
      <c r="G789">
        <v>60326</v>
      </c>
      <c r="H789">
        <v>-8897</v>
      </c>
      <c r="I789">
        <v>53575</v>
      </c>
      <c r="J789">
        <v>13381</v>
      </c>
    </row>
    <row r="790" spans="1:10" x14ac:dyDescent="0.35">
      <c r="A790" s="51">
        <v>39399</v>
      </c>
      <c r="B790">
        <v>32828</v>
      </c>
      <c r="D790">
        <v>46723</v>
      </c>
      <c r="E790">
        <v>15503</v>
      </c>
      <c r="F790">
        <v>69429</v>
      </c>
      <c r="G790">
        <v>43625</v>
      </c>
      <c r="H790">
        <v>20796</v>
      </c>
      <c r="I790">
        <v>34239</v>
      </c>
      <c r="J790">
        <v>10423</v>
      </c>
    </row>
    <row r="791" spans="1:10" x14ac:dyDescent="0.35">
      <c r="A791" s="51">
        <v>39406</v>
      </c>
      <c r="B791">
        <v>30496</v>
      </c>
      <c r="D791">
        <v>32292</v>
      </c>
      <c r="E791">
        <v>13732</v>
      </c>
      <c r="F791">
        <v>70028</v>
      </c>
      <c r="G791">
        <v>34385</v>
      </c>
      <c r="H791">
        <v>30401</v>
      </c>
      <c r="I791">
        <v>16907</v>
      </c>
      <c r="J791">
        <v>7054</v>
      </c>
    </row>
    <row r="792" spans="1:10" x14ac:dyDescent="0.35">
      <c r="A792" s="51">
        <v>39413</v>
      </c>
      <c r="B792">
        <v>25654</v>
      </c>
      <c r="D792">
        <v>28999</v>
      </c>
      <c r="E792">
        <v>13202</v>
      </c>
      <c r="F792">
        <v>66556</v>
      </c>
      <c r="G792">
        <v>35062</v>
      </c>
      <c r="H792">
        <v>31332</v>
      </c>
      <c r="I792">
        <v>11769</v>
      </c>
      <c r="J792">
        <v>6859</v>
      </c>
    </row>
    <row r="793" spans="1:10" x14ac:dyDescent="0.35">
      <c r="A793" s="51">
        <v>39420</v>
      </c>
      <c r="B793">
        <v>23519</v>
      </c>
      <c r="D793">
        <v>15324</v>
      </c>
      <c r="E793">
        <v>7043</v>
      </c>
      <c r="F793">
        <v>69117</v>
      </c>
      <c r="G793">
        <v>31528</v>
      </c>
      <c r="H793">
        <v>34085</v>
      </c>
      <c r="I793">
        <v>10036</v>
      </c>
      <c r="J793">
        <v>10999</v>
      </c>
    </row>
    <row r="794" spans="1:10" x14ac:dyDescent="0.35">
      <c r="A794" s="51">
        <v>39427</v>
      </c>
      <c r="B794">
        <v>32965</v>
      </c>
      <c r="D794">
        <v>18664</v>
      </c>
      <c r="E794">
        <v>1933</v>
      </c>
      <c r="F794">
        <v>63374</v>
      </c>
      <c r="G794">
        <v>56998</v>
      </c>
      <c r="H794">
        <v>30903</v>
      </c>
      <c r="I794">
        <v>38903</v>
      </c>
      <c r="J794">
        <v>11341</v>
      </c>
    </row>
    <row r="795" spans="1:10" x14ac:dyDescent="0.35">
      <c r="A795" s="51">
        <v>39434</v>
      </c>
      <c r="B795">
        <v>11037</v>
      </c>
      <c r="D795">
        <v>23287</v>
      </c>
      <c r="E795">
        <v>-6984</v>
      </c>
      <c r="F795">
        <v>31149</v>
      </c>
      <c r="G795">
        <v>11537</v>
      </c>
      <c r="H795">
        <v>13357</v>
      </c>
      <c r="I795">
        <v>66889</v>
      </c>
      <c r="J795">
        <v>9626</v>
      </c>
    </row>
    <row r="796" spans="1:10" x14ac:dyDescent="0.35">
      <c r="A796" s="51">
        <v>39441</v>
      </c>
      <c r="B796">
        <v>13540</v>
      </c>
      <c r="D796">
        <v>14723</v>
      </c>
      <c r="E796">
        <v>-11497</v>
      </c>
      <c r="F796">
        <v>30641</v>
      </c>
      <c r="G796">
        <v>9126</v>
      </c>
      <c r="H796">
        <v>4013</v>
      </c>
      <c r="I796">
        <v>71808</v>
      </c>
      <c r="J796">
        <v>12247</v>
      </c>
    </row>
    <row r="797" spans="1:10" x14ac:dyDescent="0.35">
      <c r="A797" s="51">
        <v>39448</v>
      </c>
      <c r="B797">
        <v>18024</v>
      </c>
      <c r="D797">
        <v>22998</v>
      </c>
      <c r="E797">
        <v>-4619</v>
      </c>
      <c r="F797">
        <v>36655</v>
      </c>
      <c r="G797">
        <v>-2809</v>
      </c>
      <c r="H797">
        <v>920</v>
      </c>
      <c r="I797">
        <v>56290</v>
      </c>
      <c r="J797">
        <v>13965</v>
      </c>
    </row>
    <row r="798" spans="1:10" x14ac:dyDescent="0.35">
      <c r="A798" s="51">
        <v>39455</v>
      </c>
      <c r="B798">
        <v>23396</v>
      </c>
      <c r="D798">
        <v>16424</v>
      </c>
      <c r="E798">
        <v>-2171</v>
      </c>
      <c r="F798">
        <v>51902</v>
      </c>
      <c r="G798">
        <v>-3262</v>
      </c>
      <c r="H798">
        <v>37473</v>
      </c>
      <c r="I798">
        <v>55866</v>
      </c>
      <c r="J798">
        <v>13503</v>
      </c>
    </row>
    <row r="799" spans="1:10" x14ac:dyDescent="0.35">
      <c r="A799" s="51">
        <v>39462</v>
      </c>
      <c r="B799">
        <v>25460</v>
      </c>
      <c r="D799">
        <v>7765</v>
      </c>
      <c r="E799">
        <v>5162</v>
      </c>
      <c r="F799">
        <v>44982</v>
      </c>
      <c r="G799">
        <v>307</v>
      </c>
      <c r="H799">
        <v>37199</v>
      </c>
      <c r="I799">
        <v>29952</v>
      </c>
      <c r="J799">
        <v>15749</v>
      </c>
    </row>
    <row r="800" spans="1:10" x14ac:dyDescent="0.35">
      <c r="A800" s="51">
        <v>39469</v>
      </c>
      <c r="B800">
        <v>5607</v>
      </c>
      <c r="D800">
        <v>7677</v>
      </c>
      <c r="E800">
        <v>15376</v>
      </c>
      <c r="F800">
        <v>23745</v>
      </c>
      <c r="G800">
        <v>-729</v>
      </c>
      <c r="H800">
        <v>41842</v>
      </c>
      <c r="I800">
        <v>23963</v>
      </c>
      <c r="J800">
        <v>11455</v>
      </c>
    </row>
    <row r="801" spans="1:10" x14ac:dyDescent="0.35">
      <c r="A801" s="51">
        <v>39476</v>
      </c>
      <c r="B801">
        <v>16309</v>
      </c>
      <c r="D801">
        <v>4295</v>
      </c>
      <c r="E801">
        <v>9233</v>
      </c>
      <c r="F801">
        <v>22456</v>
      </c>
      <c r="G801">
        <v>5358</v>
      </c>
      <c r="H801">
        <v>52928</v>
      </c>
      <c r="I801">
        <v>41786</v>
      </c>
      <c r="J801">
        <v>10722</v>
      </c>
    </row>
    <row r="802" spans="1:10" x14ac:dyDescent="0.35">
      <c r="A802" s="51">
        <v>39483</v>
      </c>
      <c r="B802">
        <v>32897</v>
      </c>
      <c r="D802">
        <v>10240</v>
      </c>
      <c r="E802">
        <v>2786</v>
      </c>
      <c r="F802">
        <v>12564</v>
      </c>
      <c r="G802">
        <v>-7809</v>
      </c>
      <c r="H802">
        <v>54690</v>
      </c>
      <c r="I802">
        <v>72055</v>
      </c>
      <c r="J802">
        <v>14789</v>
      </c>
    </row>
    <row r="803" spans="1:10" x14ac:dyDescent="0.35">
      <c r="A803" s="51">
        <v>39490</v>
      </c>
      <c r="B803">
        <v>35868</v>
      </c>
      <c r="D803">
        <v>20435</v>
      </c>
      <c r="E803">
        <v>3180</v>
      </c>
      <c r="F803">
        <v>10295</v>
      </c>
      <c r="G803">
        <v>-13933</v>
      </c>
      <c r="H803">
        <v>43471</v>
      </c>
      <c r="I803">
        <v>106022</v>
      </c>
      <c r="J803">
        <v>15979</v>
      </c>
    </row>
    <row r="804" spans="1:10" x14ac:dyDescent="0.35">
      <c r="A804" s="51">
        <v>39497</v>
      </c>
      <c r="B804">
        <v>40420</v>
      </c>
      <c r="D804">
        <v>11947</v>
      </c>
      <c r="E804">
        <v>987</v>
      </c>
      <c r="F804">
        <v>14730</v>
      </c>
      <c r="G804">
        <v>-12157</v>
      </c>
      <c r="H804">
        <v>50444</v>
      </c>
      <c r="I804">
        <v>116507</v>
      </c>
      <c r="J804">
        <v>15127</v>
      </c>
    </row>
    <row r="805" spans="1:10" x14ac:dyDescent="0.35">
      <c r="A805" s="51">
        <v>39504</v>
      </c>
      <c r="B805">
        <v>36844</v>
      </c>
      <c r="D805">
        <v>26184</v>
      </c>
      <c r="E805">
        <v>8772</v>
      </c>
      <c r="F805">
        <v>31778</v>
      </c>
      <c r="G805">
        <v>3637</v>
      </c>
      <c r="H805">
        <v>34289</v>
      </c>
      <c r="I805">
        <v>125334</v>
      </c>
      <c r="J805">
        <v>15533</v>
      </c>
    </row>
    <row r="806" spans="1:10" x14ac:dyDescent="0.35">
      <c r="A806" s="51">
        <v>39511</v>
      </c>
      <c r="B806">
        <v>37386</v>
      </c>
      <c r="D806">
        <v>36406</v>
      </c>
      <c r="E806">
        <v>167</v>
      </c>
      <c r="F806">
        <v>32010</v>
      </c>
      <c r="G806">
        <v>15714</v>
      </c>
      <c r="H806">
        <v>56285</v>
      </c>
      <c r="I806">
        <v>112883</v>
      </c>
      <c r="J806">
        <v>13631</v>
      </c>
    </row>
    <row r="807" spans="1:10" x14ac:dyDescent="0.35">
      <c r="A807" s="51">
        <v>39518</v>
      </c>
      <c r="B807">
        <v>31692</v>
      </c>
      <c r="D807">
        <v>28931</v>
      </c>
      <c r="E807">
        <v>-4248</v>
      </c>
      <c r="F807">
        <v>29099</v>
      </c>
      <c r="G807">
        <v>21229</v>
      </c>
      <c r="H807">
        <v>50153</v>
      </c>
      <c r="I807">
        <v>73734</v>
      </c>
      <c r="J807">
        <v>12396</v>
      </c>
    </row>
    <row r="808" spans="1:10" x14ac:dyDescent="0.35">
      <c r="A808" s="51">
        <v>39525</v>
      </c>
      <c r="B808">
        <v>35565</v>
      </c>
      <c r="D808">
        <v>20899</v>
      </c>
      <c r="E808">
        <v>11224</v>
      </c>
      <c r="F808">
        <v>26521</v>
      </c>
      <c r="G808">
        <v>29140</v>
      </c>
      <c r="H808">
        <v>55759</v>
      </c>
      <c r="I808">
        <v>89304</v>
      </c>
      <c r="J808">
        <v>10378</v>
      </c>
    </row>
    <row r="809" spans="1:10" x14ac:dyDescent="0.35">
      <c r="A809" s="51">
        <v>39532</v>
      </c>
      <c r="B809">
        <v>35620</v>
      </c>
      <c r="D809">
        <v>2178</v>
      </c>
      <c r="E809">
        <v>10781</v>
      </c>
      <c r="F809">
        <v>42771</v>
      </c>
      <c r="G809">
        <v>19728</v>
      </c>
      <c r="H809">
        <v>65920</v>
      </c>
      <c r="I809">
        <v>103851</v>
      </c>
      <c r="J809">
        <v>9451</v>
      </c>
    </row>
    <row r="810" spans="1:10" x14ac:dyDescent="0.35">
      <c r="A810" s="51">
        <v>39539</v>
      </c>
      <c r="B810">
        <v>36968</v>
      </c>
      <c r="D810">
        <v>723</v>
      </c>
      <c r="E810">
        <v>8881</v>
      </c>
      <c r="F810">
        <v>29072</v>
      </c>
      <c r="G810">
        <v>-2760</v>
      </c>
      <c r="H810">
        <v>52298</v>
      </c>
      <c r="I810">
        <v>120903</v>
      </c>
      <c r="J810">
        <v>7454</v>
      </c>
    </row>
    <row r="811" spans="1:10" x14ac:dyDescent="0.35">
      <c r="A811" s="51">
        <v>39546</v>
      </c>
      <c r="B811">
        <v>51689</v>
      </c>
      <c r="D811">
        <v>6564</v>
      </c>
      <c r="E811">
        <v>917</v>
      </c>
      <c r="F811">
        <v>29435</v>
      </c>
      <c r="G811">
        <v>-12560</v>
      </c>
      <c r="H811">
        <v>43067</v>
      </c>
      <c r="I811">
        <v>115403</v>
      </c>
      <c r="J811">
        <v>8372</v>
      </c>
    </row>
    <row r="812" spans="1:10" x14ac:dyDescent="0.35">
      <c r="A812" s="51">
        <v>39553</v>
      </c>
      <c r="B812">
        <v>44645</v>
      </c>
      <c r="D812">
        <v>5503</v>
      </c>
      <c r="E812">
        <v>5234</v>
      </c>
      <c r="F812">
        <v>20093</v>
      </c>
      <c r="G812">
        <v>-16136</v>
      </c>
      <c r="H812">
        <v>47972</v>
      </c>
      <c r="I812">
        <v>114894</v>
      </c>
      <c r="J812">
        <v>6594</v>
      </c>
    </row>
    <row r="813" spans="1:10" x14ac:dyDescent="0.35">
      <c r="A813" s="51">
        <v>39560</v>
      </c>
      <c r="B813">
        <v>58498</v>
      </c>
      <c r="D813">
        <v>17370</v>
      </c>
      <c r="E813">
        <v>3009</v>
      </c>
      <c r="F813">
        <v>18907</v>
      </c>
      <c r="G813">
        <v>4663</v>
      </c>
      <c r="H813">
        <v>35087</v>
      </c>
      <c r="I813">
        <v>120857</v>
      </c>
      <c r="J813">
        <v>7894</v>
      </c>
    </row>
    <row r="814" spans="1:10" x14ac:dyDescent="0.35">
      <c r="A814" s="51">
        <v>39567</v>
      </c>
      <c r="B814">
        <v>50465</v>
      </c>
      <c r="D814">
        <v>7428</v>
      </c>
      <c r="E814">
        <v>7001</v>
      </c>
      <c r="F814">
        <v>-21315</v>
      </c>
      <c r="G814">
        <v>-24848</v>
      </c>
      <c r="H814">
        <v>55450</v>
      </c>
      <c r="I814">
        <v>90796</v>
      </c>
      <c r="J814">
        <v>5489</v>
      </c>
    </row>
    <row r="815" spans="1:10" x14ac:dyDescent="0.35">
      <c r="A815" s="51">
        <v>39574</v>
      </c>
      <c r="B815">
        <v>65421</v>
      </c>
      <c r="D815">
        <v>31712</v>
      </c>
      <c r="E815">
        <v>-4137</v>
      </c>
      <c r="F815">
        <v>-12512</v>
      </c>
      <c r="G815">
        <v>-30437</v>
      </c>
      <c r="H815">
        <v>48735</v>
      </c>
      <c r="I815">
        <v>101511</v>
      </c>
      <c r="J815">
        <v>6337</v>
      </c>
    </row>
    <row r="816" spans="1:10" x14ac:dyDescent="0.35">
      <c r="A816" s="51">
        <v>39581</v>
      </c>
      <c r="B816">
        <v>57454</v>
      </c>
      <c r="D816">
        <v>29409</v>
      </c>
      <c r="E816">
        <v>-17436</v>
      </c>
      <c r="F816">
        <v>-9499</v>
      </c>
      <c r="G816">
        <v>-24804</v>
      </c>
      <c r="H816">
        <v>33816</v>
      </c>
      <c r="I816">
        <v>99028</v>
      </c>
      <c r="J816">
        <v>3444</v>
      </c>
    </row>
    <row r="817" spans="1:10" x14ac:dyDescent="0.35">
      <c r="A817" s="51">
        <v>39588</v>
      </c>
      <c r="B817">
        <v>61301</v>
      </c>
      <c r="D817">
        <v>31418</v>
      </c>
      <c r="E817">
        <v>-4943</v>
      </c>
      <c r="F817">
        <v>6841</v>
      </c>
      <c r="G817">
        <v>-25340</v>
      </c>
      <c r="H817">
        <v>40048</v>
      </c>
      <c r="I817">
        <v>90599</v>
      </c>
      <c r="J817">
        <v>4541</v>
      </c>
    </row>
    <row r="818" spans="1:10" x14ac:dyDescent="0.35">
      <c r="A818" s="51">
        <v>39595</v>
      </c>
      <c r="B818">
        <v>57292</v>
      </c>
      <c r="D818">
        <v>50125</v>
      </c>
      <c r="E818">
        <v>-9849</v>
      </c>
      <c r="F818">
        <v>-3390</v>
      </c>
      <c r="G818">
        <v>-24888</v>
      </c>
      <c r="H818">
        <v>33304</v>
      </c>
      <c r="I818">
        <v>94756</v>
      </c>
      <c r="J818">
        <v>4964</v>
      </c>
    </row>
    <row r="819" spans="1:10" x14ac:dyDescent="0.35">
      <c r="A819" s="51">
        <v>39602</v>
      </c>
      <c r="B819">
        <v>53307</v>
      </c>
      <c r="D819">
        <v>45738</v>
      </c>
      <c r="E819">
        <v>-7271</v>
      </c>
      <c r="F819">
        <v>-14454</v>
      </c>
      <c r="G819">
        <v>-29028</v>
      </c>
      <c r="H819">
        <v>23365</v>
      </c>
      <c r="I819">
        <v>98835</v>
      </c>
      <c r="J819">
        <v>6328</v>
      </c>
    </row>
    <row r="820" spans="1:10" x14ac:dyDescent="0.35">
      <c r="A820" s="51">
        <v>39609</v>
      </c>
      <c r="B820">
        <v>47497</v>
      </c>
      <c r="D820">
        <v>17579</v>
      </c>
      <c r="E820">
        <v>-3732</v>
      </c>
      <c r="F820">
        <v>-7540</v>
      </c>
      <c r="G820">
        <v>-21051</v>
      </c>
      <c r="H820">
        <v>7716</v>
      </c>
      <c r="I820">
        <v>84162</v>
      </c>
      <c r="J820">
        <v>3200</v>
      </c>
    </row>
    <row r="821" spans="1:10" x14ac:dyDescent="0.35">
      <c r="A821" s="51">
        <v>39616</v>
      </c>
      <c r="B821">
        <v>36987</v>
      </c>
      <c r="D821">
        <v>-951</v>
      </c>
      <c r="E821">
        <v>-8914</v>
      </c>
      <c r="F821">
        <v>-9290</v>
      </c>
      <c r="G821">
        <v>-31248</v>
      </c>
      <c r="H821">
        <v>5857</v>
      </c>
      <c r="I821">
        <v>95847</v>
      </c>
      <c r="J821">
        <v>1566</v>
      </c>
    </row>
    <row r="822" spans="1:10" x14ac:dyDescent="0.35">
      <c r="A822" s="51">
        <v>39623</v>
      </c>
      <c r="B822">
        <v>49382</v>
      </c>
      <c r="D822">
        <v>-4489</v>
      </c>
      <c r="E822">
        <v>-2401</v>
      </c>
      <c r="F822">
        <v>1432</v>
      </c>
      <c r="G822">
        <v>-12843</v>
      </c>
      <c r="H822">
        <v>-12747</v>
      </c>
      <c r="I822">
        <v>98170</v>
      </c>
      <c r="J822">
        <v>2650</v>
      </c>
    </row>
    <row r="823" spans="1:10" x14ac:dyDescent="0.35">
      <c r="A823" s="51">
        <v>39630</v>
      </c>
      <c r="B823">
        <v>51409</v>
      </c>
      <c r="D823">
        <v>-9790</v>
      </c>
      <c r="E823">
        <v>6607</v>
      </c>
      <c r="F823">
        <v>27683</v>
      </c>
      <c r="G823">
        <v>-2631</v>
      </c>
      <c r="H823">
        <v>16005</v>
      </c>
      <c r="I823">
        <v>73935</v>
      </c>
      <c r="J823">
        <v>3166</v>
      </c>
    </row>
    <row r="824" spans="1:10" x14ac:dyDescent="0.35">
      <c r="A824" s="51">
        <v>39637</v>
      </c>
      <c r="B824">
        <v>49306</v>
      </c>
      <c r="D824">
        <v>-5952</v>
      </c>
      <c r="E824">
        <v>-4697</v>
      </c>
      <c r="F824">
        <v>24007</v>
      </c>
      <c r="G824">
        <v>-8298</v>
      </c>
      <c r="H824">
        <v>5325</v>
      </c>
      <c r="I824">
        <v>72190</v>
      </c>
      <c r="J824">
        <v>2141</v>
      </c>
    </row>
    <row r="825" spans="1:10" x14ac:dyDescent="0.35">
      <c r="A825" s="51">
        <v>39644</v>
      </c>
      <c r="B825">
        <v>56068</v>
      </c>
      <c r="D825">
        <v>12859</v>
      </c>
      <c r="E825">
        <v>15044</v>
      </c>
      <c r="F825">
        <v>23049</v>
      </c>
      <c r="G825">
        <v>6423</v>
      </c>
      <c r="H825">
        <v>50105</v>
      </c>
      <c r="I825">
        <v>72341</v>
      </c>
      <c r="J825">
        <v>5327</v>
      </c>
    </row>
    <row r="826" spans="1:10" x14ac:dyDescent="0.35">
      <c r="A826" s="51">
        <v>39651</v>
      </c>
      <c r="B826">
        <v>53588</v>
      </c>
      <c r="D826">
        <v>21889</v>
      </c>
      <c r="E826">
        <v>-1666</v>
      </c>
      <c r="F826">
        <v>4071</v>
      </c>
      <c r="G826">
        <v>3322</v>
      </c>
      <c r="H826">
        <v>10524</v>
      </c>
      <c r="I826">
        <v>90137</v>
      </c>
      <c r="J826">
        <v>4984</v>
      </c>
    </row>
    <row r="827" spans="1:10" x14ac:dyDescent="0.35">
      <c r="A827" s="51">
        <v>39658</v>
      </c>
      <c r="B827">
        <v>28919</v>
      </c>
      <c r="D827">
        <v>-2246</v>
      </c>
      <c r="E827">
        <v>-4655</v>
      </c>
      <c r="F827">
        <v>-16218</v>
      </c>
      <c r="G827">
        <v>1460</v>
      </c>
      <c r="H827">
        <v>-6280</v>
      </c>
      <c r="I827">
        <v>78768</v>
      </c>
      <c r="J827">
        <v>1584</v>
      </c>
    </row>
    <row r="828" spans="1:10" x14ac:dyDescent="0.35">
      <c r="A828" s="51">
        <v>39665</v>
      </c>
      <c r="B828">
        <v>14747</v>
      </c>
      <c r="D828">
        <v>-18772</v>
      </c>
      <c r="E828">
        <v>-8983</v>
      </c>
      <c r="F828">
        <v>-9447</v>
      </c>
      <c r="G828">
        <v>-25875</v>
      </c>
      <c r="H828">
        <v>-12081</v>
      </c>
      <c r="I828">
        <v>72293</v>
      </c>
      <c r="J828">
        <v>-1381</v>
      </c>
    </row>
    <row r="829" spans="1:10" x14ac:dyDescent="0.35">
      <c r="A829" s="51">
        <v>39672</v>
      </c>
      <c r="B829">
        <v>9053</v>
      </c>
      <c r="D829">
        <v>-25329</v>
      </c>
      <c r="E829">
        <v>-8383</v>
      </c>
      <c r="F829">
        <v>-19427</v>
      </c>
      <c r="G829">
        <v>-32946</v>
      </c>
      <c r="H829">
        <v>-13249</v>
      </c>
      <c r="I829">
        <v>50524</v>
      </c>
      <c r="J829">
        <v>-1451</v>
      </c>
    </row>
    <row r="830" spans="1:10" x14ac:dyDescent="0.35">
      <c r="A830" s="51">
        <v>39679</v>
      </c>
      <c r="B830">
        <v>5950</v>
      </c>
      <c r="D830">
        <v>-28085</v>
      </c>
      <c r="E830">
        <v>-13402</v>
      </c>
      <c r="F830">
        <v>-20364</v>
      </c>
      <c r="G830">
        <v>-43728</v>
      </c>
      <c r="H830">
        <v>-23138</v>
      </c>
      <c r="I830">
        <v>50315</v>
      </c>
      <c r="J830">
        <v>-597</v>
      </c>
    </row>
    <row r="831" spans="1:10" x14ac:dyDescent="0.35">
      <c r="A831" s="51">
        <v>39686</v>
      </c>
      <c r="B831">
        <v>1377</v>
      </c>
      <c r="D831">
        <v>-15764</v>
      </c>
      <c r="E831">
        <v>-13329</v>
      </c>
      <c r="F831">
        <v>-33778</v>
      </c>
      <c r="G831">
        <v>-45109</v>
      </c>
      <c r="H831">
        <v>-19970</v>
      </c>
      <c r="I831">
        <v>53868</v>
      </c>
      <c r="J831">
        <v>-463</v>
      </c>
    </row>
    <row r="832" spans="1:10" x14ac:dyDescent="0.35">
      <c r="A832" s="51">
        <v>39693</v>
      </c>
      <c r="B832">
        <v>1511</v>
      </c>
      <c r="D832">
        <v>-17574</v>
      </c>
      <c r="E832">
        <v>-13263</v>
      </c>
      <c r="F832">
        <v>-38623</v>
      </c>
      <c r="G832">
        <v>-47285</v>
      </c>
      <c r="H832">
        <v>-5020</v>
      </c>
      <c r="I832">
        <v>43577</v>
      </c>
      <c r="J832">
        <v>-1814</v>
      </c>
    </row>
    <row r="833" spans="1:10" x14ac:dyDescent="0.35">
      <c r="A833" s="51">
        <v>39700</v>
      </c>
      <c r="B833">
        <v>1586</v>
      </c>
      <c r="D833">
        <v>-9984</v>
      </c>
      <c r="E833">
        <v>-14915</v>
      </c>
      <c r="F833">
        <v>-36432</v>
      </c>
      <c r="G833">
        <v>-47520</v>
      </c>
      <c r="H833">
        <v>14821</v>
      </c>
      <c r="I833">
        <v>25479</v>
      </c>
      <c r="J833">
        <v>-2950</v>
      </c>
    </row>
    <row r="834" spans="1:10" x14ac:dyDescent="0.35">
      <c r="A834" s="51">
        <v>39707</v>
      </c>
      <c r="B834">
        <v>-17026</v>
      </c>
      <c r="D834">
        <v>-10222</v>
      </c>
      <c r="E834">
        <v>-13448</v>
      </c>
      <c r="F834">
        <v>-40654</v>
      </c>
      <c r="G834">
        <v>-49359</v>
      </c>
      <c r="H834">
        <v>26600</v>
      </c>
      <c r="I834">
        <v>17308</v>
      </c>
      <c r="J834">
        <v>-3900</v>
      </c>
    </row>
    <row r="835" spans="1:10" x14ac:dyDescent="0.35">
      <c r="A835" s="51">
        <v>39714</v>
      </c>
      <c r="B835">
        <v>-19462</v>
      </c>
      <c r="D835">
        <v>-18653</v>
      </c>
      <c r="E835">
        <v>-8107</v>
      </c>
      <c r="F835">
        <v>-31057</v>
      </c>
      <c r="G835">
        <v>-47771</v>
      </c>
      <c r="H835">
        <v>31939</v>
      </c>
      <c r="I835">
        <v>6429</v>
      </c>
      <c r="J835">
        <v>-4586</v>
      </c>
    </row>
    <row r="836" spans="1:10" x14ac:dyDescent="0.35">
      <c r="A836" s="51">
        <v>39721</v>
      </c>
      <c r="B836">
        <v>-14347</v>
      </c>
      <c r="D836">
        <v>-18021</v>
      </c>
      <c r="E836">
        <v>-11449</v>
      </c>
      <c r="F836">
        <v>-28932</v>
      </c>
      <c r="G836">
        <v>-33036</v>
      </c>
      <c r="H836">
        <v>43022</v>
      </c>
      <c r="I836">
        <v>12016</v>
      </c>
      <c r="J836">
        <v>-4781</v>
      </c>
    </row>
    <row r="837" spans="1:10" x14ac:dyDescent="0.35">
      <c r="A837" s="51">
        <v>39728</v>
      </c>
      <c r="B837">
        <v>-8347</v>
      </c>
      <c r="D837">
        <v>-17152</v>
      </c>
      <c r="E837">
        <v>-11529</v>
      </c>
      <c r="F837">
        <v>-18662</v>
      </c>
      <c r="G837">
        <v>-35224</v>
      </c>
      <c r="H837">
        <v>39813</v>
      </c>
      <c r="I837">
        <v>9935</v>
      </c>
      <c r="J837">
        <v>-4478</v>
      </c>
    </row>
    <row r="838" spans="1:10" x14ac:dyDescent="0.35">
      <c r="A838" s="51">
        <v>39735</v>
      </c>
      <c r="B838">
        <v>-6973</v>
      </c>
      <c r="D838">
        <v>-17884</v>
      </c>
      <c r="E838">
        <v>-13082</v>
      </c>
      <c r="F838">
        <v>-30100</v>
      </c>
      <c r="G838">
        <v>-31473</v>
      </c>
      <c r="H838">
        <v>29904</v>
      </c>
      <c r="I838">
        <v>3101</v>
      </c>
      <c r="J838">
        <v>-4560</v>
      </c>
    </row>
    <row r="839" spans="1:10" x14ac:dyDescent="0.35">
      <c r="A839" s="51">
        <v>39742</v>
      </c>
      <c r="B839">
        <v>-7234</v>
      </c>
      <c r="D839">
        <v>-12395</v>
      </c>
      <c r="E839">
        <v>-15922</v>
      </c>
      <c r="F839">
        <v>-30620</v>
      </c>
      <c r="G839">
        <v>-36701</v>
      </c>
      <c r="H839">
        <v>30121</v>
      </c>
      <c r="I839">
        <v>429</v>
      </c>
      <c r="J839">
        <v>-4171</v>
      </c>
    </row>
    <row r="840" spans="1:10" x14ac:dyDescent="0.35">
      <c r="A840" s="51">
        <v>39749</v>
      </c>
      <c r="B840">
        <v>-9819</v>
      </c>
      <c r="D840">
        <v>-9847</v>
      </c>
      <c r="E840">
        <v>-14316</v>
      </c>
      <c r="F840">
        <v>-29052</v>
      </c>
      <c r="G840">
        <v>-33090</v>
      </c>
      <c r="H840">
        <v>31826</v>
      </c>
      <c r="I840">
        <v>-2965</v>
      </c>
      <c r="J840">
        <v>-2447</v>
      </c>
    </row>
    <row r="841" spans="1:10" x14ac:dyDescent="0.35">
      <c r="A841" s="51">
        <v>39756</v>
      </c>
      <c r="B841">
        <v>-5513</v>
      </c>
      <c r="D841">
        <v>-7494</v>
      </c>
      <c r="E841">
        <v>-7201</v>
      </c>
      <c r="F841">
        <v>-21433</v>
      </c>
      <c r="G841">
        <v>-35265</v>
      </c>
      <c r="H841">
        <v>26494</v>
      </c>
      <c r="I841">
        <v>-4559</v>
      </c>
      <c r="J841">
        <v>-932</v>
      </c>
    </row>
    <row r="842" spans="1:10" x14ac:dyDescent="0.35">
      <c r="A842" s="51">
        <v>39763</v>
      </c>
      <c r="B842">
        <v>-8604</v>
      </c>
      <c r="D842">
        <v>-3245</v>
      </c>
      <c r="E842">
        <v>-10156</v>
      </c>
      <c r="F842">
        <v>-20621</v>
      </c>
      <c r="G842">
        <v>-39838</v>
      </c>
      <c r="H842">
        <v>24511</v>
      </c>
      <c r="I842">
        <v>-2335</v>
      </c>
      <c r="J842">
        <v>-1366</v>
      </c>
    </row>
    <row r="843" spans="1:10" x14ac:dyDescent="0.35">
      <c r="A843" s="51">
        <v>39770</v>
      </c>
      <c r="B843">
        <v>-5790</v>
      </c>
      <c r="D843">
        <v>-7177</v>
      </c>
      <c r="E843">
        <v>-13589</v>
      </c>
      <c r="F843">
        <v>-17358</v>
      </c>
      <c r="G843">
        <v>-42431</v>
      </c>
      <c r="H843">
        <v>24134</v>
      </c>
      <c r="I843">
        <v>-935</v>
      </c>
      <c r="J843">
        <v>-1641</v>
      </c>
    </row>
    <row r="844" spans="1:10" x14ac:dyDescent="0.35">
      <c r="A844" s="51">
        <v>39777</v>
      </c>
      <c r="B844">
        <v>-8624</v>
      </c>
      <c r="D844">
        <v>-6269</v>
      </c>
      <c r="E844">
        <v>-16413</v>
      </c>
      <c r="F844">
        <v>-21478</v>
      </c>
      <c r="G844">
        <v>-40244</v>
      </c>
      <c r="H844">
        <v>37166</v>
      </c>
      <c r="I844">
        <v>-2015</v>
      </c>
      <c r="J844">
        <v>-2378</v>
      </c>
    </row>
    <row r="845" spans="1:10" x14ac:dyDescent="0.35">
      <c r="A845" s="51">
        <v>39784</v>
      </c>
      <c r="B845">
        <v>-9878</v>
      </c>
      <c r="D845">
        <v>-9707</v>
      </c>
      <c r="E845">
        <v>-18240</v>
      </c>
      <c r="F845">
        <v>-20197</v>
      </c>
      <c r="G845">
        <v>-39225</v>
      </c>
      <c r="H845">
        <v>42903</v>
      </c>
      <c r="I845">
        <v>-1898</v>
      </c>
      <c r="J845">
        <v>-2562</v>
      </c>
    </row>
    <row r="846" spans="1:10" x14ac:dyDescent="0.35">
      <c r="A846" s="51">
        <v>39791</v>
      </c>
      <c r="B846">
        <v>-4452</v>
      </c>
      <c r="D846">
        <v>-8829</v>
      </c>
      <c r="E846">
        <v>-14074</v>
      </c>
      <c r="F846">
        <v>-16668</v>
      </c>
      <c r="G846">
        <v>-37426</v>
      </c>
      <c r="H846">
        <v>43259</v>
      </c>
      <c r="I846">
        <v>625</v>
      </c>
      <c r="J846">
        <v>-2293</v>
      </c>
    </row>
    <row r="847" spans="1:10" x14ac:dyDescent="0.35">
      <c r="A847" s="51">
        <v>39798</v>
      </c>
      <c r="B847">
        <v>-4199</v>
      </c>
      <c r="D847">
        <v>-6748</v>
      </c>
      <c r="E847">
        <v>-5311</v>
      </c>
      <c r="F847">
        <v>-6626</v>
      </c>
      <c r="G847">
        <v>-30400</v>
      </c>
      <c r="H847">
        <v>41381</v>
      </c>
      <c r="I847">
        <v>2286</v>
      </c>
      <c r="J847">
        <v>-1535</v>
      </c>
    </row>
    <row r="848" spans="1:10" x14ac:dyDescent="0.35">
      <c r="A848" s="51">
        <v>39805</v>
      </c>
      <c r="B848">
        <v>-1436</v>
      </c>
      <c r="D848">
        <v>-10030</v>
      </c>
      <c r="E848">
        <v>-4156</v>
      </c>
      <c r="F848">
        <v>-3645</v>
      </c>
      <c r="G848">
        <v>-31630</v>
      </c>
      <c r="H848">
        <v>40098</v>
      </c>
      <c r="I848">
        <v>1801</v>
      </c>
      <c r="J848">
        <v>-1200</v>
      </c>
    </row>
    <row r="849" spans="1:10" x14ac:dyDescent="0.35">
      <c r="A849" s="51">
        <v>39812</v>
      </c>
      <c r="B849">
        <v>-452</v>
      </c>
      <c r="D849">
        <v>-10355</v>
      </c>
      <c r="E849">
        <v>-3847</v>
      </c>
      <c r="F849">
        <v>-3204</v>
      </c>
      <c r="G849">
        <v>-35843</v>
      </c>
      <c r="H849">
        <v>43876</v>
      </c>
      <c r="I849">
        <v>-640</v>
      </c>
      <c r="J849">
        <v>-1009</v>
      </c>
    </row>
    <row r="850" spans="1:10" x14ac:dyDescent="0.35">
      <c r="A850" s="51">
        <v>39819</v>
      </c>
      <c r="B850">
        <v>595</v>
      </c>
      <c r="D850">
        <v>-13872</v>
      </c>
      <c r="E850">
        <v>-5867</v>
      </c>
      <c r="F850">
        <v>-2375</v>
      </c>
      <c r="G850">
        <v>-34684</v>
      </c>
      <c r="H850">
        <v>46394</v>
      </c>
      <c r="I850">
        <v>-414</v>
      </c>
      <c r="J850">
        <v>248</v>
      </c>
    </row>
    <row r="851" spans="1:10" x14ac:dyDescent="0.35">
      <c r="A851" s="51">
        <v>39826</v>
      </c>
      <c r="B851">
        <v>-4476</v>
      </c>
      <c r="D851">
        <v>-12204</v>
      </c>
      <c r="E851">
        <v>-6234</v>
      </c>
      <c r="F851">
        <v>-9348</v>
      </c>
      <c r="G851">
        <v>-34052</v>
      </c>
      <c r="H851">
        <v>44895</v>
      </c>
      <c r="I851">
        <v>-4258</v>
      </c>
      <c r="J851">
        <v>-193</v>
      </c>
    </row>
    <row r="852" spans="1:10" x14ac:dyDescent="0.35">
      <c r="A852" s="51">
        <v>39833</v>
      </c>
      <c r="B852">
        <v>-6115</v>
      </c>
      <c r="D852">
        <v>-14585</v>
      </c>
      <c r="E852">
        <v>-6374</v>
      </c>
      <c r="F852">
        <v>-7580</v>
      </c>
      <c r="G852">
        <v>-39037</v>
      </c>
      <c r="H852">
        <v>47090</v>
      </c>
      <c r="I852">
        <v>-8853</v>
      </c>
      <c r="J852">
        <v>-1937</v>
      </c>
    </row>
    <row r="853" spans="1:10" x14ac:dyDescent="0.35">
      <c r="A853" s="51">
        <v>39840</v>
      </c>
      <c r="B853">
        <v>-3415</v>
      </c>
      <c r="D853">
        <v>-14966</v>
      </c>
      <c r="E853">
        <v>-10188</v>
      </c>
      <c r="F853">
        <v>-7489</v>
      </c>
      <c r="G853">
        <v>-36994</v>
      </c>
      <c r="H853">
        <v>49007</v>
      </c>
      <c r="I853">
        <v>-10902</v>
      </c>
      <c r="J853">
        <v>-4297</v>
      </c>
    </row>
    <row r="854" spans="1:10" x14ac:dyDescent="0.35">
      <c r="A854" s="51">
        <v>39847</v>
      </c>
      <c r="B854">
        <v>-5119</v>
      </c>
      <c r="D854">
        <v>-12575</v>
      </c>
      <c r="E854">
        <v>-11140</v>
      </c>
      <c r="F854">
        <v>-9052</v>
      </c>
      <c r="G854">
        <v>-33423</v>
      </c>
      <c r="H854">
        <v>50518</v>
      </c>
      <c r="I854">
        <v>-9710</v>
      </c>
      <c r="J854">
        <v>-5978</v>
      </c>
    </row>
    <row r="855" spans="1:10" x14ac:dyDescent="0.35">
      <c r="A855" s="51">
        <v>39854</v>
      </c>
      <c r="B855">
        <v>-5848</v>
      </c>
      <c r="D855">
        <v>-11471</v>
      </c>
      <c r="E855">
        <v>-11521</v>
      </c>
      <c r="F855">
        <v>-9994</v>
      </c>
      <c r="G855">
        <v>-31930</v>
      </c>
      <c r="H855">
        <v>43597</v>
      </c>
      <c r="I855">
        <v>-11647</v>
      </c>
      <c r="J855">
        <v>-4339</v>
      </c>
    </row>
    <row r="856" spans="1:10" x14ac:dyDescent="0.35">
      <c r="A856" s="51">
        <v>39861</v>
      </c>
      <c r="B856">
        <v>-7290</v>
      </c>
      <c r="D856">
        <v>-12909</v>
      </c>
      <c r="E856">
        <v>-11138</v>
      </c>
      <c r="F856">
        <v>-15437</v>
      </c>
      <c r="G856">
        <v>-30570</v>
      </c>
      <c r="H856">
        <v>36188</v>
      </c>
      <c r="I856">
        <v>-11632</v>
      </c>
      <c r="J856">
        <v>-4582</v>
      </c>
    </row>
    <row r="857" spans="1:10" x14ac:dyDescent="0.35">
      <c r="A857" s="51">
        <v>39868</v>
      </c>
      <c r="B857">
        <v>-5583</v>
      </c>
      <c r="D857">
        <v>-12965</v>
      </c>
      <c r="E857">
        <v>-11188</v>
      </c>
      <c r="F857">
        <v>-10081</v>
      </c>
      <c r="G857">
        <v>-28282</v>
      </c>
      <c r="H857">
        <v>28635</v>
      </c>
      <c r="I857">
        <v>-14280</v>
      </c>
      <c r="J857">
        <v>-5930</v>
      </c>
    </row>
    <row r="858" spans="1:10" x14ac:dyDescent="0.35">
      <c r="A858" s="51">
        <v>39875</v>
      </c>
      <c r="B858">
        <v>-2786</v>
      </c>
      <c r="D858">
        <v>-19013</v>
      </c>
      <c r="E858">
        <v>-12910</v>
      </c>
      <c r="F858">
        <v>-19431</v>
      </c>
      <c r="G858">
        <v>-25449</v>
      </c>
      <c r="H858">
        <v>20070</v>
      </c>
      <c r="I858">
        <v>-17261</v>
      </c>
      <c r="J858">
        <v>-6768</v>
      </c>
    </row>
    <row r="859" spans="1:10" x14ac:dyDescent="0.35">
      <c r="A859" s="51">
        <v>39882</v>
      </c>
      <c r="B859">
        <v>-3945</v>
      </c>
      <c r="D859">
        <v>-20290</v>
      </c>
      <c r="E859">
        <v>-11453</v>
      </c>
      <c r="F859">
        <v>-10232</v>
      </c>
      <c r="G859">
        <v>-30680</v>
      </c>
      <c r="H859">
        <v>18906</v>
      </c>
      <c r="I859">
        <v>-16155</v>
      </c>
      <c r="J859">
        <v>-7979</v>
      </c>
    </row>
    <row r="860" spans="1:10" x14ac:dyDescent="0.35">
      <c r="A860" s="51">
        <v>39889</v>
      </c>
      <c r="B860">
        <v>-419</v>
      </c>
      <c r="D860">
        <v>-23950</v>
      </c>
      <c r="E860">
        <v>-8438</v>
      </c>
      <c r="F860">
        <v>-9039</v>
      </c>
      <c r="G860">
        <v>-32990</v>
      </c>
      <c r="H860">
        <v>-4696</v>
      </c>
      <c r="I860">
        <v>-7470</v>
      </c>
      <c r="J860">
        <v>-6080</v>
      </c>
    </row>
    <row r="861" spans="1:10" x14ac:dyDescent="0.35">
      <c r="A861" s="51">
        <v>39896</v>
      </c>
      <c r="B861">
        <v>8413</v>
      </c>
      <c r="D861">
        <v>-20672</v>
      </c>
      <c r="E861">
        <v>-3148</v>
      </c>
      <c r="F861">
        <v>-5458</v>
      </c>
      <c r="G861">
        <v>-30746</v>
      </c>
      <c r="H861">
        <v>-7662</v>
      </c>
      <c r="I861">
        <v>-1130</v>
      </c>
      <c r="J861">
        <v>-2885</v>
      </c>
    </row>
    <row r="862" spans="1:10" x14ac:dyDescent="0.35">
      <c r="A862" s="51">
        <v>39903</v>
      </c>
      <c r="B862">
        <v>11287</v>
      </c>
      <c r="D862">
        <v>-23346</v>
      </c>
      <c r="E862">
        <v>-4411</v>
      </c>
      <c r="F862">
        <v>2265</v>
      </c>
      <c r="G862">
        <v>-31136</v>
      </c>
      <c r="H862">
        <v>-9463</v>
      </c>
      <c r="I862">
        <v>-2966</v>
      </c>
      <c r="J862">
        <v>-939</v>
      </c>
    </row>
    <row r="863" spans="1:10" x14ac:dyDescent="0.35">
      <c r="A863" s="51">
        <v>39910</v>
      </c>
      <c r="B863">
        <v>18116</v>
      </c>
      <c r="D863">
        <v>-23311</v>
      </c>
      <c r="E863">
        <v>-3541</v>
      </c>
      <c r="F863">
        <v>3872</v>
      </c>
      <c r="G863">
        <v>-34462</v>
      </c>
      <c r="H863">
        <v>-6998</v>
      </c>
      <c r="I863">
        <v>5572</v>
      </c>
      <c r="J863">
        <v>2968</v>
      </c>
    </row>
    <row r="864" spans="1:10" x14ac:dyDescent="0.35">
      <c r="A864" s="51">
        <v>39917</v>
      </c>
      <c r="B864">
        <v>20789</v>
      </c>
      <c r="D864">
        <v>-17729</v>
      </c>
      <c r="E864">
        <v>-5055</v>
      </c>
      <c r="F864">
        <v>5575</v>
      </c>
      <c r="G864">
        <v>-26510</v>
      </c>
      <c r="H864">
        <v>-6095</v>
      </c>
      <c r="I864">
        <v>12698</v>
      </c>
      <c r="J864">
        <v>4360</v>
      </c>
    </row>
    <row r="865" spans="1:10" x14ac:dyDescent="0.35">
      <c r="A865" s="51">
        <v>39924</v>
      </c>
      <c r="B865">
        <v>17250</v>
      </c>
      <c r="D865">
        <v>-12707</v>
      </c>
      <c r="E865">
        <v>-12085</v>
      </c>
      <c r="F865">
        <v>1597</v>
      </c>
      <c r="G865">
        <v>-24160</v>
      </c>
      <c r="H865">
        <v>-13695</v>
      </c>
      <c r="I865">
        <v>30107</v>
      </c>
      <c r="J865">
        <v>3505</v>
      </c>
    </row>
    <row r="866" spans="1:10" x14ac:dyDescent="0.35">
      <c r="A866" s="51">
        <v>39931</v>
      </c>
      <c r="B866">
        <v>16692</v>
      </c>
      <c r="D866">
        <v>-7707</v>
      </c>
      <c r="E866">
        <v>-4922</v>
      </c>
      <c r="F866">
        <v>-2073</v>
      </c>
      <c r="G866">
        <v>-22913</v>
      </c>
      <c r="H866">
        <v>-4579</v>
      </c>
      <c r="I866">
        <v>29131</v>
      </c>
      <c r="J866">
        <v>3648</v>
      </c>
    </row>
    <row r="867" spans="1:10" x14ac:dyDescent="0.35">
      <c r="A867" s="51">
        <v>39938</v>
      </c>
      <c r="B867">
        <v>23064</v>
      </c>
      <c r="D867">
        <v>2014</v>
      </c>
      <c r="E867">
        <v>-743</v>
      </c>
      <c r="F867">
        <v>3368</v>
      </c>
      <c r="G867">
        <v>-22437</v>
      </c>
      <c r="H867">
        <v>-6518</v>
      </c>
      <c r="I867">
        <v>18905</v>
      </c>
      <c r="J867">
        <v>3809</v>
      </c>
    </row>
    <row r="868" spans="1:10" x14ac:dyDescent="0.35">
      <c r="A868" s="51">
        <v>39945</v>
      </c>
      <c r="B868">
        <v>28231</v>
      </c>
      <c r="D868">
        <v>5449</v>
      </c>
      <c r="E868">
        <v>1619</v>
      </c>
      <c r="F868">
        <v>10415</v>
      </c>
      <c r="G868">
        <v>-22506</v>
      </c>
      <c r="H868">
        <v>2388</v>
      </c>
      <c r="I868">
        <v>21468</v>
      </c>
      <c r="J868">
        <v>6258</v>
      </c>
    </row>
    <row r="869" spans="1:10" x14ac:dyDescent="0.35">
      <c r="A869" s="51">
        <v>39952</v>
      </c>
      <c r="B869">
        <v>29295</v>
      </c>
      <c r="D869">
        <v>5425</v>
      </c>
      <c r="E869">
        <v>4609</v>
      </c>
      <c r="F869">
        <v>12250</v>
      </c>
      <c r="G869">
        <v>-25928</v>
      </c>
      <c r="H869">
        <v>6000</v>
      </c>
      <c r="I869">
        <v>21129</v>
      </c>
      <c r="J869">
        <v>6819</v>
      </c>
    </row>
    <row r="870" spans="1:10" x14ac:dyDescent="0.35">
      <c r="A870" s="51">
        <v>39959</v>
      </c>
      <c r="B870">
        <v>32469</v>
      </c>
      <c r="D870">
        <v>11532</v>
      </c>
      <c r="E870">
        <v>6674</v>
      </c>
      <c r="F870">
        <v>15584</v>
      </c>
      <c r="G870">
        <v>-24805</v>
      </c>
      <c r="H870">
        <v>8009</v>
      </c>
      <c r="I870">
        <v>23804</v>
      </c>
      <c r="J870">
        <v>12532</v>
      </c>
    </row>
    <row r="871" spans="1:10" x14ac:dyDescent="0.35">
      <c r="A871" s="51">
        <v>39966</v>
      </c>
      <c r="B871">
        <v>30744</v>
      </c>
      <c r="D871">
        <v>6594</v>
      </c>
      <c r="E871">
        <v>8599</v>
      </c>
      <c r="F871">
        <v>6793</v>
      </c>
      <c r="G871">
        <v>-20160</v>
      </c>
      <c r="H871">
        <v>9621</v>
      </c>
      <c r="I871">
        <v>25388</v>
      </c>
      <c r="J871">
        <v>14132</v>
      </c>
    </row>
    <row r="872" spans="1:10" x14ac:dyDescent="0.35">
      <c r="A872" s="51">
        <v>39973</v>
      </c>
      <c r="B872">
        <v>31883</v>
      </c>
      <c r="D872">
        <v>12966</v>
      </c>
      <c r="E872">
        <v>8474</v>
      </c>
      <c r="F872">
        <v>15024</v>
      </c>
      <c r="G872">
        <v>-15333</v>
      </c>
      <c r="H872">
        <v>-2299</v>
      </c>
      <c r="I872">
        <v>13808</v>
      </c>
      <c r="J872">
        <v>14773</v>
      </c>
    </row>
    <row r="873" spans="1:10" x14ac:dyDescent="0.35">
      <c r="A873" s="51">
        <v>39980</v>
      </c>
      <c r="B873">
        <v>32203</v>
      </c>
      <c r="D873">
        <v>15460</v>
      </c>
      <c r="E873">
        <v>7902</v>
      </c>
      <c r="F873">
        <v>12485</v>
      </c>
      <c r="G873">
        <v>-8474</v>
      </c>
      <c r="H873">
        <v>-8563</v>
      </c>
      <c r="I873">
        <v>12741</v>
      </c>
      <c r="J873">
        <v>15460</v>
      </c>
    </row>
    <row r="874" spans="1:10" x14ac:dyDescent="0.35">
      <c r="A874" s="51">
        <v>39987</v>
      </c>
      <c r="B874">
        <v>29368</v>
      </c>
      <c r="D874">
        <v>11347</v>
      </c>
      <c r="E874">
        <v>14408</v>
      </c>
      <c r="F874">
        <v>17423</v>
      </c>
      <c r="G874">
        <v>-12158</v>
      </c>
      <c r="H874">
        <v>-4007</v>
      </c>
      <c r="I874">
        <v>15247</v>
      </c>
      <c r="J874">
        <v>16956</v>
      </c>
    </row>
    <row r="875" spans="1:10" x14ac:dyDescent="0.35">
      <c r="A875" s="51">
        <v>39994</v>
      </c>
      <c r="B875">
        <v>34990</v>
      </c>
      <c r="D875">
        <v>9272</v>
      </c>
      <c r="E875">
        <v>10690</v>
      </c>
      <c r="F875">
        <v>17219</v>
      </c>
      <c r="G875">
        <v>-4101</v>
      </c>
      <c r="H875">
        <v>-1047</v>
      </c>
      <c r="I875">
        <v>28951</v>
      </c>
      <c r="J875">
        <v>17683</v>
      </c>
    </row>
    <row r="876" spans="1:10" x14ac:dyDescent="0.35">
      <c r="A876" s="51">
        <v>40001</v>
      </c>
      <c r="B876">
        <v>31886</v>
      </c>
      <c r="D876">
        <v>6552</v>
      </c>
      <c r="E876">
        <v>11054</v>
      </c>
      <c r="F876">
        <v>10312</v>
      </c>
      <c r="G876">
        <v>-9150</v>
      </c>
      <c r="H876">
        <v>17117</v>
      </c>
      <c r="I876">
        <v>39020</v>
      </c>
      <c r="J876">
        <v>15357</v>
      </c>
    </row>
    <row r="877" spans="1:10" x14ac:dyDescent="0.35">
      <c r="A877" s="51">
        <v>40008</v>
      </c>
      <c r="B877">
        <v>25593</v>
      </c>
      <c r="D877">
        <v>5893</v>
      </c>
      <c r="E877">
        <v>10792</v>
      </c>
      <c r="F877">
        <v>13899</v>
      </c>
      <c r="G877">
        <v>-12654</v>
      </c>
      <c r="H877">
        <v>33567</v>
      </c>
      <c r="I877">
        <v>13614</v>
      </c>
      <c r="J877">
        <v>14969</v>
      </c>
    </row>
    <row r="878" spans="1:10" x14ac:dyDescent="0.35">
      <c r="A878" s="51">
        <v>40015</v>
      </c>
      <c r="B878">
        <v>38788</v>
      </c>
      <c r="D878">
        <v>16506</v>
      </c>
      <c r="E878">
        <v>13197</v>
      </c>
      <c r="F878">
        <v>34772</v>
      </c>
      <c r="G878">
        <v>-5691</v>
      </c>
      <c r="H878">
        <v>36188</v>
      </c>
      <c r="I878">
        <v>11215</v>
      </c>
      <c r="J878">
        <v>16183</v>
      </c>
    </row>
    <row r="879" spans="1:10" x14ac:dyDescent="0.35">
      <c r="A879" s="51">
        <v>40022</v>
      </c>
      <c r="B879">
        <v>43495</v>
      </c>
      <c r="D879">
        <v>29068</v>
      </c>
      <c r="E879">
        <v>14170</v>
      </c>
      <c r="F879">
        <v>20287</v>
      </c>
      <c r="G879">
        <v>-8043</v>
      </c>
      <c r="H879">
        <v>24302</v>
      </c>
      <c r="I879">
        <v>30207</v>
      </c>
      <c r="J879">
        <v>17567</v>
      </c>
    </row>
    <row r="880" spans="1:10" x14ac:dyDescent="0.35">
      <c r="A880" s="51">
        <v>40029</v>
      </c>
      <c r="B880">
        <v>46410</v>
      </c>
      <c r="D880">
        <v>36592</v>
      </c>
      <c r="E880">
        <v>14512</v>
      </c>
      <c r="F880">
        <v>27106</v>
      </c>
      <c r="G880">
        <v>-2228</v>
      </c>
      <c r="H880">
        <v>10615</v>
      </c>
      <c r="I880">
        <v>35931</v>
      </c>
      <c r="J880">
        <v>18200</v>
      </c>
    </row>
    <row r="881" spans="1:10" x14ac:dyDescent="0.35">
      <c r="A881" s="51">
        <v>40036</v>
      </c>
      <c r="B881">
        <v>48846</v>
      </c>
      <c r="D881">
        <v>33889</v>
      </c>
      <c r="E881">
        <v>-37</v>
      </c>
      <c r="F881">
        <v>16811</v>
      </c>
      <c r="G881">
        <v>-4256</v>
      </c>
      <c r="H881">
        <v>824</v>
      </c>
      <c r="I881">
        <v>48462</v>
      </c>
      <c r="J881">
        <v>18811</v>
      </c>
    </row>
    <row r="882" spans="1:10" x14ac:dyDescent="0.35">
      <c r="A882" s="51">
        <v>40043</v>
      </c>
      <c r="B882">
        <v>44120</v>
      </c>
      <c r="D882">
        <v>37458</v>
      </c>
      <c r="E882">
        <v>6755</v>
      </c>
      <c r="F882">
        <v>5732</v>
      </c>
      <c r="G882">
        <v>-1658</v>
      </c>
      <c r="H882">
        <v>2353</v>
      </c>
      <c r="I882">
        <v>64413</v>
      </c>
      <c r="J882">
        <v>17436</v>
      </c>
    </row>
    <row r="883" spans="1:10" x14ac:dyDescent="0.35">
      <c r="A883" s="51">
        <v>40050</v>
      </c>
      <c r="B883">
        <v>48287</v>
      </c>
      <c r="D883">
        <v>39989</v>
      </c>
      <c r="E883">
        <v>16798</v>
      </c>
      <c r="F883">
        <v>18171</v>
      </c>
      <c r="G883">
        <v>-7017</v>
      </c>
      <c r="H883">
        <v>11647</v>
      </c>
      <c r="I883">
        <v>70843</v>
      </c>
      <c r="J883">
        <v>18649</v>
      </c>
    </row>
    <row r="884" spans="1:10" x14ac:dyDescent="0.35">
      <c r="A884" s="51">
        <v>40057</v>
      </c>
      <c r="B884">
        <v>41936</v>
      </c>
      <c r="D884">
        <v>32889</v>
      </c>
      <c r="E884">
        <v>14252</v>
      </c>
      <c r="F884">
        <v>9017</v>
      </c>
      <c r="G884">
        <v>-17518</v>
      </c>
      <c r="H884">
        <v>32365</v>
      </c>
      <c r="I884">
        <v>30047</v>
      </c>
      <c r="J884">
        <v>17664</v>
      </c>
    </row>
    <row r="885" spans="1:10" x14ac:dyDescent="0.35">
      <c r="A885" s="51">
        <v>40064</v>
      </c>
      <c r="B885">
        <v>48384</v>
      </c>
      <c r="D885">
        <v>36818</v>
      </c>
      <c r="E885">
        <v>18137</v>
      </c>
      <c r="F885">
        <v>18033</v>
      </c>
      <c r="G885">
        <v>-5960</v>
      </c>
      <c r="H885">
        <v>40799</v>
      </c>
      <c r="I885">
        <v>4064</v>
      </c>
      <c r="J885">
        <v>18123</v>
      </c>
    </row>
    <row r="886" spans="1:10" x14ac:dyDescent="0.35">
      <c r="A886" s="51">
        <v>40071</v>
      </c>
      <c r="B886">
        <v>48601</v>
      </c>
      <c r="D886">
        <v>38032</v>
      </c>
      <c r="E886">
        <v>18191</v>
      </c>
      <c r="F886">
        <v>37772</v>
      </c>
      <c r="G886">
        <v>-12487</v>
      </c>
      <c r="H886">
        <v>37107</v>
      </c>
      <c r="I886">
        <v>-1292</v>
      </c>
      <c r="J886">
        <v>18995</v>
      </c>
    </row>
    <row r="887" spans="1:10" x14ac:dyDescent="0.35">
      <c r="A887" s="51">
        <v>40078</v>
      </c>
      <c r="B887">
        <v>51524</v>
      </c>
      <c r="D887">
        <v>34552</v>
      </c>
      <c r="E887">
        <v>23791</v>
      </c>
      <c r="F887">
        <v>38000</v>
      </c>
      <c r="G887">
        <v>-31595</v>
      </c>
      <c r="H887">
        <v>45615</v>
      </c>
      <c r="I887">
        <v>4301</v>
      </c>
      <c r="J887">
        <v>18645</v>
      </c>
    </row>
    <row r="888" spans="1:10" x14ac:dyDescent="0.35">
      <c r="A888" s="51">
        <v>40085</v>
      </c>
      <c r="B888">
        <v>47698</v>
      </c>
      <c r="D888">
        <v>18209</v>
      </c>
      <c r="E888">
        <v>17593</v>
      </c>
      <c r="F888">
        <v>39766</v>
      </c>
      <c r="G888">
        <v>-47826</v>
      </c>
      <c r="H888">
        <v>44856</v>
      </c>
      <c r="I888">
        <v>-10859</v>
      </c>
      <c r="J888">
        <v>17503</v>
      </c>
    </row>
    <row r="889" spans="1:10" x14ac:dyDescent="0.35">
      <c r="A889" s="51">
        <v>40092</v>
      </c>
      <c r="B889">
        <v>50165</v>
      </c>
      <c r="D889">
        <v>35775</v>
      </c>
      <c r="E889">
        <v>23470</v>
      </c>
      <c r="F889">
        <v>51045</v>
      </c>
      <c r="G889">
        <v>-62106</v>
      </c>
      <c r="H889">
        <v>44643</v>
      </c>
      <c r="I889">
        <v>-20553</v>
      </c>
      <c r="J889">
        <v>18093</v>
      </c>
    </row>
    <row r="890" spans="1:10" x14ac:dyDescent="0.35">
      <c r="A890" s="51">
        <v>40099</v>
      </c>
      <c r="B890">
        <v>52647</v>
      </c>
      <c r="D890">
        <v>44196</v>
      </c>
      <c r="E890">
        <v>22279</v>
      </c>
      <c r="F890">
        <v>43367</v>
      </c>
      <c r="G890">
        <v>-65346</v>
      </c>
      <c r="H890">
        <v>33339</v>
      </c>
      <c r="I890">
        <v>7949</v>
      </c>
      <c r="J890">
        <v>17630</v>
      </c>
    </row>
    <row r="891" spans="1:10" x14ac:dyDescent="0.35">
      <c r="A891" s="51">
        <v>40106</v>
      </c>
      <c r="B891">
        <v>53990</v>
      </c>
      <c r="D891">
        <v>43537</v>
      </c>
      <c r="E891">
        <v>23853</v>
      </c>
      <c r="F891">
        <v>36033</v>
      </c>
      <c r="G891">
        <v>-43318</v>
      </c>
      <c r="H891">
        <v>31185</v>
      </c>
      <c r="I891">
        <v>55184</v>
      </c>
      <c r="J891">
        <v>17158</v>
      </c>
    </row>
    <row r="892" spans="1:10" x14ac:dyDescent="0.35">
      <c r="A892" s="51">
        <v>40113</v>
      </c>
      <c r="B892">
        <v>52887</v>
      </c>
      <c r="D892">
        <v>35455</v>
      </c>
      <c r="E892">
        <v>17845</v>
      </c>
      <c r="F892">
        <v>32869</v>
      </c>
      <c r="G892">
        <v>-31431</v>
      </c>
      <c r="H892">
        <v>17530</v>
      </c>
      <c r="I892">
        <v>66795</v>
      </c>
      <c r="J892">
        <v>15028</v>
      </c>
    </row>
    <row r="893" spans="1:10" x14ac:dyDescent="0.35">
      <c r="A893" s="51">
        <v>40120</v>
      </c>
      <c r="B893">
        <v>50383</v>
      </c>
      <c r="D893">
        <v>23369</v>
      </c>
      <c r="E893">
        <v>18665</v>
      </c>
      <c r="F893">
        <v>22191</v>
      </c>
      <c r="G893">
        <v>-18905</v>
      </c>
      <c r="H893">
        <v>19832</v>
      </c>
      <c r="I893">
        <v>59927</v>
      </c>
      <c r="J893">
        <v>13316</v>
      </c>
    </row>
    <row r="894" spans="1:10" x14ac:dyDescent="0.35">
      <c r="A894" s="51">
        <v>40127</v>
      </c>
      <c r="B894">
        <v>47434</v>
      </c>
      <c r="D894">
        <v>21984</v>
      </c>
      <c r="E894">
        <v>23298</v>
      </c>
      <c r="F894">
        <v>25173</v>
      </c>
      <c r="G894">
        <v>-15857</v>
      </c>
      <c r="H894">
        <v>21878</v>
      </c>
      <c r="I894">
        <v>40450</v>
      </c>
      <c r="J894">
        <v>11255</v>
      </c>
    </row>
    <row r="895" spans="1:10" x14ac:dyDescent="0.35">
      <c r="A895" s="51">
        <v>40134</v>
      </c>
      <c r="B895">
        <v>46888</v>
      </c>
      <c r="D895">
        <v>23606</v>
      </c>
      <c r="E895">
        <v>22199</v>
      </c>
      <c r="F895">
        <v>11956</v>
      </c>
      <c r="G895">
        <v>-6585</v>
      </c>
      <c r="H895">
        <v>35552</v>
      </c>
      <c r="I895">
        <v>55308</v>
      </c>
      <c r="J895">
        <v>12674</v>
      </c>
    </row>
    <row r="896" spans="1:10" x14ac:dyDescent="0.35">
      <c r="A896" s="51">
        <v>40141</v>
      </c>
      <c r="B896">
        <v>43564</v>
      </c>
      <c r="D896">
        <v>24653</v>
      </c>
      <c r="E896">
        <v>22117</v>
      </c>
      <c r="F896">
        <v>18467</v>
      </c>
      <c r="G896">
        <v>-11355</v>
      </c>
      <c r="H896">
        <v>51710</v>
      </c>
      <c r="I896">
        <v>89266</v>
      </c>
      <c r="J896">
        <v>11584</v>
      </c>
    </row>
    <row r="897" spans="1:10" x14ac:dyDescent="0.35">
      <c r="A897" s="51">
        <v>40148</v>
      </c>
      <c r="B897">
        <v>48438</v>
      </c>
      <c r="D897">
        <v>30809</v>
      </c>
      <c r="E897">
        <v>24725</v>
      </c>
      <c r="F897">
        <v>22151</v>
      </c>
      <c r="G897">
        <v>-10663</v>
      </c>
      <c r="H897">
        <v>56907</v>
      </c>
      <c r="I897">
        <v>100385</v>
      </c>
      <c r="J897">
        <v>8103</v>
      </c>
    </row>
    <row r="898" spans="1:10" x14ac:dyDescent="0.35">
      <c r="A898" s="51">
        <v>40155</v>
      </c>
      <c r="B898">
        <v>46682</v>
      </c>
      <c r="D898">
        <v>29459</v>
      </c>
      <c r="E898">
        <v>13348</v>
      </c>
      <c r="F898">
        <v>-511</v>
      </c>
      <c r="G898">
        <v>-16876</v>
      </c>
      <c r="H898">
        <v>35182</v>
      </c>
      <c r="I898">
        <v>106183</v>
      </c>
      <c r="J898">
        <v>7795</v>
      </c>
    </row>
    <row r="899" spans="1:10" x14ac:dyDescent="0.35">
      <c r="A899" s="51">
        <v>40162</v>
      </c>
      <c r="B899">
        <v>40983</v>
      </c>
      <c r="D899">
        <v>25625</v>
      </c>
      <c r="E899">
        <v>461</v>
      </c>
      <c r="F899">
        <v>-16448</v>
      </c>
      <c r="G899">
        <v>-23444</v>
      </c>
      <c r="H899">
        <v>8372</v>
      </c>
      <c r="I899">
        <v>91562</v>
      </c>
      <c r="J899">
        <v>9452</v>
      </c>
    </row>
    <row r="900" spans="1:10" x14ac:dyDescent="0.35">
      <c r="A900" s="51">
        <v>40169</v>
      </c>
      <c r="B900">
        <v>32425</v>
      </c>
      <c r="D900">
        <v>22701</v>
      </c>
      <c r="E900">
        <v>-4568</v>
      </c>
      <c r="F900">
        <v>-14327</v>
      </c>
      <c r="G900">
        <v>-24577</v>
      </c>
      <c r="H900">
        <v>-1011</v>
      </c>
      <c r="I900">
        <v>72998</v>
      </c>
      <c r="J900">
        <v>9746</v>
      </c>
    </row>
    <row r="901" spans="1:10" x14ac:dyDescent="0.35">
      <c r="A901" s="51">
        <v>40176</v>
      </c>
      <c r="B901">
        <v>36531</v>
      </c>
      <c r="D901">
        <v>39989</v>
      </c>
      <c r="E901">
        <v>-7051</v>
      </c>
      <c r="F901">
        <v>-33797</v>
      </c>
      <c r="G901">
        <v>-29475</v>
      </c>
      <c r="H901">
        <v>-14903</v>
      </c>
      <c r="I901">
        <v>64633</v>
      </c>
      <c r="J901">
        <v>8805</v>
      </c>
    </row>
    <row r="902" spans="1:10" x14ac:dyDescent="0.35">
      <c r="A902" s="51">
        <v>40183</v>
      </c>
      <c r="B902">
        <v>47108</v>
      </c>
      <c r="D902">
        <v>40196</v>
      </c>
      <c r="E902">
        <v>-2780</v>
      </c>
      <c r="F902">
        <v>-35788</v>
      </c>
      <c r="G902">
        <v>-33564</v>
      </c>
      <c r="H902">
        <v>-16811</v>
      </c>
      <c r="I902">
        <v>61987</v>
      </c>
      <c r="J902">
        <v>12973</v>
      </c>
    </row>
    <row r="903" spans="1:10" x14ac:dyDescent="0.35">
      <c r="A903" s="51">
        <v>40190</v>
      </c>
      <c r="B903">
        <v>59352</v>
      </c>
      <c r="D903">
        <v>48695</v>
      </c>
      <c r="E903">
        <v>13926</v>
      </c>
      <c r="F903">
        <v>-17917</v>
      </c>
      <c r="G903">
        <v>-35467</v>
      </c>
      <c r="H903">
        <v>-16744</v>
      </c>
      <c r="I903">
        <v>75897</v>
      </c>
      <c r="J903">
        <v>15683</v>
      </c>
    </row>
    <row r="904" spans="1:10" x14ac:dyDescent="0.35">
      <c r="A904" s="51">
        <v>40197</v>
      </c>
      <c r="B904">
        <v>62851</v>
      </c>
      <c r="D904">
        <v>46803</v>
      </c>
      <c r="E904">
        <v>13971</v>
      </c>
      <c r="F904">
        <v>-25282</v>
      </c>
      <c r="G904">
        <v>-20171</v>
      </c>
      <c r="H904">
        <v>-17096</v>
      </c>
      <c r="I904">
        <v>79247</v>
      </c>
      <c r="J904">
        <v>16356</v>
      </c>
    </row>
    <row r="905" spans="1:10" x14ac:dyDescent="0.35">
      <c r="A905" s="51">
        <v>40204</v>
      </c>
      <c r="B905">
        <v>45318</v>
      </c>
      <c r="D905">
        <v>25809</v>
      </c>
      <c r="E905">
        <v>5705</v>
      </c>
      <c r="F905">
        <v>-39539</v>
      </c>
      <c r="G905">
        <v>-27153</v>
      </c>
      <c r="H905">
        <v>-4347</v>
      </c>
      <c r="I905">
        <v>58139</v>
      </c>
      <c r="J905">
        <v>8471</v>
      </c>
    </row>
    <row r="906" spans="1:10" x14ac:dyDescent="0.35">
      <c r="A906" s="51">
        <v>40211</v>
      </c>
      <c r="B906">
        <v>33271</v>
      </c>
      <c r="D906">
        <v>15355</v>
      </c>
      <c r="E906">
        <v>-1775</v>
      </c>
      <c r="F906">
        <v>-43741</v>
      </c>
      <c r="G906">
        <v>-33968</v>
      </c>
      <c r="H906">
        <v>7135</v>
      </c>
      <c r="I906">
        <v>42653</v>
      </c>
      <c r="J906">
        <v>5383</v>
      </c>
    </row>
    <row r="907" spans="1:10" x14ac:dyDescent="0.35">
      <c r="A907" s="51">
        <v>40218</v>
      </c>
      <c r="B907">
        <v>27606</v>
      </c>
      <c r="D907">
        <v>8863</v>
      </c>
      <c r="E907">
        <v>-6896</v>
      </c>
      <c r="F907">
        <v>-57152</v>
      </c>
      <c r="G907">
        <v>-52756</v>
      </c>
      <c r="H907">
        <v>22396</v>
      </c>
      <c r="I907">
        <v>32274</v>
      </c>
      <c r="J907">
        <v>4723</v>
      </c>
    </row>
    <row r="908" spans="1:10" x14ac:dyDescent="0.35">
      <c r="A908" s="51">
        <v>40225</v>
      </c>
      <c r="B908">
        <v>27003</v>
      </c>
      <c r="D908">
        <v>23455</v>
      </c>
      <c r="E908">
        <v>-4667</v>
      </c>
      <c r="F908">
        <v>-59422</v>
      </c>
      <c r="G908">
        <v>-56079</v>
      </c>
      <c r="H908">
        <v>13912</v>
      </c>
      <c r="I908">
        <v>34464</v>
      </c>
      <c r="J908">
        <v>7435</v>
      </c>
    </row>
    <row r="909" spans="1:10" x14ac:dyDescent="0.35">
      <c r="A909" s="51">
        <v>40232</v>
      </c>
      <c r="B909">
        <v>38992</v>
      </c>
      <c r="D909">
        <v>28421</v>
      </c>
      <c r="E909">
        <v>-8819</v>
      </c>
      <c r="F909">
        <v>-71623</v>
      </c>
      <c r="G909">
        <v>-62884</v>
      </c>
      <c r="H909">
        <v>1717</v>
      </c>
      <c r="I909">
        <v>57345</v>
      </c>
      <c r="J909">
        <v>6392</v>
      </c>
    </row>
    <row r="910" spans="1:10" x14ac:dyDescent="0.35">
      <c r="A910" s="51">
        <v>40239</v>
      </c>
      <c r="B910">
        <v>48761</v>
      </c>
      <c r="D910">
        <v>38289</v>
      </c>
      <c r="E910">
        <v>-6310</v>
      </c>
      <c r="F910">
        <v>-66770</v>
      </c>
      <c r="G910">
        <v>-67549</v>
      </c>
      <c r="H910">
        <v>32552</v>
      </c>
      <c r="I910">
        <v>79779</v>
      </c>
      <c r="J910">
        <v>5112</v>
      </c>
    </row>
    <row r="911" spans="1:10" x14ac:dyDescent="0.35">
      <c r="A911" s="51">
        <v>40246</v>
      </c>
      <c r="B911">
        <v>61285</v>
      </c>
      <c r="D911">
        <v>61399</v>
      </c>
      <c r="E911">
        <v>-5145</v>
      </c>
      <c r="F911">
        <v>-74551</v>
      </c>
      <c r="G911">
        <v>-63473</v>
      </c>
      <c r="H911">
        <v>26288</v>
      </c>
      <c r="I911">
        <v>93474</v>
      </c>
      <c r="J911">
        <v>3247</v>
      </c>
    </row>
    <row r="912" spans="1:10" x14ac:dyDescent="0.35">
      <c r="A912" s="51">
        <v>40253</v>
      </c>
      <c r="B912">
        <v>63494</v>
      </c>
      <c r="D912">
        <v>69640</v>
      </c>
      <c r="E912">
        <v>-5233</v>
      </c>
      <c r="F912">
        <v>-46341</v>
      </c>
      <c r="G912">
        <v>-63987</v>
      </c>
      <c r="H912">
        <v>15197</v>
      </c>
      <c r="I912">
        <v>103254</v>
      </c>
      <c r="J912">
        <v>2809</v>
      </c>
    </row>
    <row r="913" spans="1:10" x14ac:dyDescent="0.35">
      <c r="A913" s="51">
        <v>40260</v>
      </c>
      <c r="B913">
        <v>74339</v>
      </c>
      <c r="D913">
        <v>73027</v>
      </c>
      <c r="E913">
        <v>-1088</v>
      </c>
      <c r="F913">
        <v>-74917</v>
      </c>
      <c r="G913">
        <v>-71624</v>
      </c>
      <c r="H913">
        <v>10161</v>
      </c>
      <c r="I913">
        <v>109862</v>
      </c>
      <c r="J913">
        <v>5489</v>
      </c>
    </row>
    <row r="914" spans="1:10" x14ac:dyDescent="0.35">
      <c r="A914" s="51">
        <v>40267</v>
      </c>
      <c r="B914">
        <v>69340</v>
      </c>
      <c r="D914">
        <v>70296</v>
      </c>
      <c r="E914">
        <v>-6540</v>
      </c>
      <c r="F914">
        <v>-85326</v>
      </c>
      <c r="G914">
        <v>-67073</v>
      </c>
      <c r="H914">
        <v>-30866</v>
      </c>
      <c r="I914">
        <v>109598</v>
      </c>
      <c r="J914">
        <v>5806</v>
      </c>
    </row>
    <row r="915" spans="1:10" x14ac:dyDescent="0.35">
      <c r="A915" s="51">
        <v>40274</v>
      </c>
      <c r="B915">
        <v>73198</v>
      </c>
      <c r="D915">
        <v>69312</v>
      </c>
      <c r="E915">
        <v>-4152</v>
      </c>
      <c r="F915">
        <v>-67223</v>
      </c>
      <c r="G915">
        <v>-59474</v>
      </c>
      <c r="H915">
        <v>-42305</v>
      </c>
      <c r="I915">
        <v>111210</v>
      </c>
      <c r="J915">
        <v>5503</v>
      </c>
    </row>
    <row r="916" spans="1:10" x14ac:dyDescent="0.35">
      <c r="A916" s="51">
        <v>40281</v>
      </c>
      <c r="B916">
        <v>80674</v>
      </c>
      <c r="D916">
        <v>70475</v>
      </c>
      <c r="E916">
        <v>-4954</v>
      </c>
      <c r="F916">
        <v>-55464</v>
      </c>
      <c r="G916">
        <v>-57391</v>
      </c>
      <c r="H916">
        <v>-55746</v>
      </c>
      <c r="I916">
        <v>112226</v>
      </c>
      <c r="J916">
        <v>7151</v>
      </c>
    </row>
    <row r="917" spans="1:10" x14ac:dyDescent="0.35">
      <c r="A917" s="51">
        <v>40288</v>
      </c>
      <c r="B917">
        <v>78904</v>
      </c>
      <c r="D917">
        <v>69656</v>
      </c>
      <c r="E917">
        <v>-5382</v>
      </c>
      <c r="F917">
        <v>-71424</v>
      </c>
      <c r="G917">
        <v>-49298</v>
      </c>
      <c r="H917">
        <v>-50338</v>
      </c>
      <c r="I917">
        <v>110152</v>
      </c>
      <c r="J917">
        <v>8752</v>
      </c>
    </row>
    <row r="918" spans="1:10" x14ac:dyDescent="0.35">
      <c r="A918" s="51">
        <v>40295</v>
      </c>
      <c r="B918">
        <v>66068</v>
      </c>
      <c r="D918">
        <v>59198</v>
      </c>
      <c r="E918">
        <v>-13613</v>
      </c>
      <c r="F918">
        <v>-89013</v>
      </c>
      <c r="G918">
        <v>-54666</v>
      </c>
      <c r="H918">
        <v>-49777</v>
      </c>
      <c r="I918">
        <v>98041</v>
      </c>
      <c r="J918">
        <v>12909</v>
      </c>
    </row>
    <row r="919" spans="1:10" x14ac:dyDescent="0.35">
      <c r="A919" s="51">
        <v>40302</v>
      </c>
      <c r="B919">
        <v>56982</v>
      </c>
      <c r="D919">
        <v>52012</v>
      </c>
      <c r="E919">
        <v>-16592</v>
      </c>
      <c r="F919">
        <v>-103402</v>
      </c>
      <c r="G919">
        <v>-65616</v>
      </c>
      <c r="H919">
        <v>-65612</v>
      </c>
      <c r="I919">
        <v>83043</v>
      </c>
      <c r="J919">
        <v>14976</v>
      </c>
    </row>
    <row r="920" spans="1:10" x14ac:dyDescent="0.35">
      <c r="A920" s="51">
        <v>40309</v>
      </c>
      <c r="B920">
        <v>49198</v>
      </c>
      <c r="D920">
        <v>50454</v>
      </c>
      <c r="E920">
        <v>-17527</v>
      </c>
      <c r="F920">
        <v>-113890</v>
      </c>
      <c r="G920">
        <v>-72188</v>
      </c>
      <c r="H920">
        <v>-34669</v>
      </c>
      <c r="I920">
        <v>41958</v>
      </c>
      <c r="J920">
        <v>16892</v>
      </c>
    </row>
    <row r="921" spans="1:10" x14ac:dyDescent="0.35">
      <c r="A921" s="51">
        <v>40316</v>
      </c>
      <c r="B921">
        <v>38380</v>
      </c>
      <c r="D921">
        <v>44885</v>
      </c>
      <c r="E921">
        <v>-14558</v>
      </c>
      <c r="F921">
        <v>-107143</v>
      </c>
      <c r="G921">
        <v>-76745</v>
      </c>
      <c r="H921">
        <v>-34289</v>
      </c>
      <c r="I921">
        <v>35702</v>
      </c>
      <c r="J921">
        <v>12553</v>
      </c>
    </row>
    <row r="922" spans="1:10" x14ac:dyDescent="0.35">
      <c r="A922" s="51">
        <v>40323</v>
      </c>
      <c r="B922">
        <v>19523</v>
      </c>
      <c r="D922">
        <v>23872</v>
      </c>
      <c r="E922">
        <v>-12619</v>
      </c>
      <c r="F922">
        <v>-106736</v>
      </c>
      <c r="G922">
        <v>-75079</v>
      </c>
      <c r="H922">
        <v>-10238</v>
      </c>
      <c r="I922">
        <v>28857</v>
      </c>
      <c r="J922">
        <v>7662</v>
      </c>
    </row>
    <row r="923" spans="1:10" x14ac:dyDescent="0.35">
      <c r="A923" s="51">
        <v>40330</v>
      </c>
      <c r="B923">
        <v>15045</v>
      </c>
      <c r="D923">
        <v>22154</v>
      </c>
      <c r="E923">
        <v>-14724</v>
      </c>
      <c r="F923">
        <v>-93325</v>
      </c>
      <c r="G923">
        <v>-70454</v>
      </c>
      <c r="H923">
        <v>-6484</v>
      </c>
      <c r="I923">
        <v>19773</v>
      </c>
      <c r="J923">
        <v>2204</v>
      </c>
    </row>
    <row r="924" spans="1:10" x14ac:dyDescent="0.35">
      <c r="A924" s="51">
        <v>40337</v>
      </c>
      <c r="B924">
        <v>8435</v>
      </c>
      <c r="D924">
        <v>22510</v>
      </c>
      <c r="E924">
        <v>-11415</v>
      </c>
      <c r="F924">
        <v>-111945</v>
      </c>
      <c r="G924">
        <v>-74680</v>
      </c>
      <c r="H924">
        <v>-12547</v>
      </c>
      <c r="I924">
        <v>17426</v>
      </c>
      <c r="J924">
        <v>-869</v>
      </c>
    </row>
    <row r="925" spans="1:10" x14ac:dyDescent="0.35">
      <c r="A925" s="51">
        <v>40344</v>
      </c>
      <c r="B925">
        <v>12406</v>
      </c>
      <c r="D925">
        <v>27354</v>
      </c>
      <c r="E925">
        <v>-16476</v>
      </c>
      <c r="F925">
        <v>-62360</v>
      </c>
      <c r="G925">
        <v>-48134</v>
      </c>
      <c r="H925">
        <v>-3680</v>
      </c>
      <c r="I925">
        <v>28297</v>
      </c>
      <c r="J925">
        <v>-2129</v>
      </c>
    </row>
    <row r="926" spans="1:10" x14ac:dyDescent="0.35">
      <c r="A926" s="51">
        <v>40351</v>
      </c>
      <c r="B926">
        <v>11806</v>
      </c>
      <c r="D926">
        <v>26353</v>
      </c>
      <c r="E926">
        <v>-10265</v>
      </c>
      <c r="F926">
        <v>-70974</v>
      </c>
      <c r="G926">
        <v>-46346</v>
      </c>
      <c r="H926">
        <v>3630</v>
      </c>
      <c r="I926">
        <v>35639</v>
      </c>
      <c r="J926">
        <v>822</v>
      </c>
    </row>
    <row r="927" spans="1:10" x14ac:dyDescent="0.35">
      <c r="A927" s="51">
        <v>40358</v>
      </c>
      <c r="B927">
        <v>12854</v>
      </c>
      <c r="D927">
        <v>15894</v>
      </c>
      <c r="E927">
        <v>-12848</v>
      </c>
      <c r="F927">
        <v>-73670</v>
      </c>
      <c r="G927">
        <v>-34771</v>
      </c>
      <c r="H927">
        <v>27427</v>
      </c>
      <c r="I927">
        <v>42496</v>
      </c>
      <c r="J927">
        <v>2486</v>
      </c>
    </row>
    <row r="928" spans="1:10" x14ac:dyDescent="0.35">
      <c r="A928" s="51">
        <v>40365</v>
      </c>
      <c r="B928">
        <v>7246</v>
      </c>
      <c r="D928">
        <v>8094</v>
      </c>
      <c r="E928">
        <v>-7455</v>
      </c>
      <c r="F928">
        <v>-38909</v>
      </c>
      <c r="G928">
        <v>-38077</v>
      </c>
      <c r="H928">
        <v>37926</v>
      </c>
      <c r="I928">
        <v>22725</v>
      </c>
      <c r="J928">
        <v>2577</v>
      </c>
    </row>
    <row r="929" spans="1:10" x14ac:dyDescent="0.35">
      <c r="A929" s="51">
        <v>40372</v>
      </c>
      <c r="B929">
        <v>23480</v>
      </c>
      <c r="D929">
        <v>22038</v>
      </c>
      <c r="E929">
        <v>14590</v>
      </c>
      <c r="F929">
        <v>-27050</v>
      </c>
      <c r="G929">
        <v>-34671</v>
      </c>
      <c r="H929">
        <v>47359</v>
      </c>
      <c r="I929">
        <v>28135</v>
      </c>
      <c r="J929">
        <v>5452</v>
      </c>
    </row>
    <row r="930" spans="1:10" x14ac:dyDescent="0.35">
      <c r="A930" s="51">
        <v>40379</v>
      </c>
      <c r="B930">
        <v>32886</v>
      </c>
      <c r="D930">
        <v>16424</v>
      </c>
      <c r="E930">
        <v>15113</v>
      </c>
      <c r="F930">
        <v>-24251</v>
      </c>
      <c r="G930">
        <v>-26767</v>
      </c>
      <c r="H930">
        <v>40911</v>
      </c>
      <c r="I930">
        <v>35886</v>
      </c>
      <c r="J930">
        <v>8973</v>
      </c>
    </row>
    <row r="931" spans="1:10" x14ac:dyDescent="0.35">
      <c r="A931" s="51">
        <v>40386</v>
      </c>
      <c r="B931">
        <v>40533</v>
      </c>
      <c r="D931">
        <v>23868</v>
      </c>
      <c r="E931">
        <v>6216</v>
      </c>
      <c r="F931">
        <v>-21339</v>
      </c>
      <c r="G931">
        <v>-17940</v>
      </c>
      <c r="H931">
        <v>29921</v>
      </c>
      <c r="I931">
        <v>45318</v>
      </c>
      <c r="J931">
        <v>13674</v>
      </c>
    </row>
    <row r="932" spans="1:10" x14ac:dyDescent="0.35">
      <c r="A932" s="51">
        <v>40393</v>
      </c>
      <c r="B932">
        <v>48715</v>
      </c>
      <c r="D932">
        <v>34182</v>
      </c>
      <c r="E932">
        <v>16223</v>
      </c>
      <c r="F932">
        <v>-7297</v>
      </c>
      <c r="G932">
        <v>-250</v>
      </c>
      <c r="H932">
        <v>47998</v>
      </c>
      <c r="I932">
        <v>55141</v>
      </c>
      <c r="J932">
        <v>15059</v>
      </c>
    </row>
    <row r="933" spans="1:10" x14ac:dyDescent="0.35">
      <c r="A933" s="51">
        <v>40400</v>
      </c>
      <c r="B933">
        <v>54370</v>
      </c>
      <c r="D933">
        <v>41179</v>
      </c>
      <c r="E933">
        <v>10901</v>
      </c>
      <c r="F933">
        <v>-3731</v>
      </c>
      <c r="G933">
        <v>5021</v>
      </c>
      <c r="H933">
        <v>52478</v>
      </c>
      <c r="I933">
        <v>72369</v>
      </c>
      <c r="J933">
        <v>12544</v>
      </c>
    </row>
    <row r="934" spans="1:10" x14ac:dyDescent="0.35">
      <c r="A934" s="51">
        <v>40407</v>
      </c>
      <c r="B934">
        <v>57697</v>
      </c>
      <c r="D934">
        <v>29514</v>
      </c>
      <c r="E934">
        <v>11750</v>
      </c>
      <c r="F934">
        <v>-14627</v>
      </c>
      <c r="G934">
        <v>-4431</v>
      </c>
      <c r="H934">
        <v>49969</v>
      </c>
      <c r="I934">
        <v>70553</v>
      </c>
      <c r="J934">
        <v>12139</v>
      </c>
    </row>
    <row r="935" spans="1:10" x14ac:dyDescent="0.35">
      <c r="A935" s="51">
        <v>40414</v>
      </c>
      <c r="B935">
        <v>47017</v>
      </c>
      <c r="D935">
        <v>16147</v>
      </c>
      <c r="E935">
        <v>13868</v>
      </c>
      <c r="F935">
        <v>-21603</v>
      </c>
      <c r="G935">
        <v>-4365</v>
      </c>
      <c r="H935">
        <v>51069</v>
      </c>
      <c r="I935">
        <v>59370</v>
      </c>
      <c r="J935">
        <v>10683</v>
      </c>
    </row>
    <row r="936" spans="1:10" x14ac:dyDescent="0.35">
      <c r="A936" s="51">
        <v>40421</v>
      </c>
      <c r="B936">
        <v>43808</v>
      </c>
      <c r="D936">
        <v>-4764</v>
      </c>
      <c r="E936">
        <v>14281</v>
      </c>
      <c r="F936">
        <v>-25569</v>
      </c>
      <c r="G936">
        <v>-15266</v>
      </c>
      <c r="H936">
        <v>49904</v>
      </c>
      <c r="I936">
        <v>21004</v>
      </c>
      <c r="J936">
        <v>6957</v>
      </c>
    </row>
    <row r="937" spans="1:10" x14ac:dyDescent="0.35">
      <c r="A937" s="51">
        <v>40428</v>
      </c>
      <c r="B937">
        <v>56966</v>
      </c>
      <c r="D937">
        <v>452</v>
      </c>
      <c r="E937">
        <v>16627</v>
      </c>
      <c r="F937">
        <v>-23699</v>
      </c>
      <c r="G937">
        <v>-16068</v>
      </c>
      <c r="H937">
        <v>52183</v>
      </c>
      <c r="I937">
        <v>14064</v>
      </c>
      <c r="J937">
        <v>9377</v>
      </c>
    </row>
    <row r="938" spans="1:10" x14ac:dyDescent="0.35">
      <c r="A938" s="51">
        <v>40435</v>
      </c>
      <c r="B938">
        <v>56669</v>
      </c>
      <c r="D938">
        <v>17695</v>
      </c>
      <c r="E938">
        <v>14236</v>
      </c>
      <c r="F938">
        <v>-9644</v>
      </c>
      <c r="G938">
        <v>-9127</v>
      </c>
      <c r="H938">
        <v>47642</v>
      </c>
      <c r="I938">
        <v>14957</v>
      </c>
      <c r="J938">
        <v>16839</v>
      </c>
    </row>
    <row r="939" spans="1:10" x14ac:dyDescent="0.35">
      <c r="A939" s="51">
        <v>40442</v>
      </c>
      <c r="B939">
        <v>64324</v>
      </c>
      <c r="D939">
        <v>29815</v>
      </c>
      <c r="E939">
        <v>14462</v>
      </c>
      <c r="F939">
        <v>5097</v>
      </c>
      <c r="G939">
        <v>-8989</v>
      </c>
      <c r="H939">
        <v>23100</v>
      </c>
      <c r="I939">
        <v>26376</v>
      </c>
      <c r="J939">
        <v>18408</v>
      </c>
    </row>
    <row r="940" spans="1:10" x14ac:dyDescent="0.35">
      <c r="A940" s="51">
        <v>40449</v>
      </c>
      <c r="B940">
        <v>69533</v>
      </c>
      <c r="D940">
        <v>27870</v>
      </c>
      <c r="E940">
        <v>19993</v>
      </c>
      <c r="F940">
        <v>35330</v>
      </c>
      <c r="G940">
        <v>-2194</v>
      </c>
      <c r="H940">
        <v>28666</v>
      </c>
      <c r="I940">
        <v>66591</v>
      </c>
      <c r="J940">
        <v>17270</v>
      </c>
    </row>
    <row r="941" spans="1:10" x14ac:dyDescent="0.35">
      <c r="A941" s="51">
        <v>40456</v>
      </c>
      <c r="B941">
        <v>69036</v>
      </c>
      <c r="D941">
        <v>42678</v>
      </c>
      <c r="E941">
        <v>22599</v>
      </c>
      <c r="F941">
        <v>48243</v>
      </c>
      <c r="G941">
        <v>9403</v>
      </c>
      <c r="H941">
        <v>49206</v>
      </c>
      <c r="I941">
        <v>85764</v>
      </c>
      <c r="J941">
        <v>16334</v>
      </c>
    </row>
    <row r="942" spans="1:10" x14ac:dyDescent="0.35">
      <c r="A942" s="51">
        <v>40463</v>
      </c>
      <c r="B942">
        <v>67691</v>
      </c>
      <c r="D942">
        <v>43786</v>
      </c>
      <c r="E942">
        <v>19947</v>
      </c>
      <c r="F942">
        <v>41511</v>
      </c>
      <c r="G942">
        <v>8066</v>
      </c>
      <c r="H942">
        <v>48285</v>
      </c>
      <c r="I942">
        <v>86218</v>
      </c>
      <c r="J942">
        <v>16573</v>
      </c>
    </row>
    <row r="943" spans="1:10" x14ac:dyDescent="0.35">
      <c r="A943" s="51">
        <v>40470</v>
      </c>
      <c r="B943">
        <v>59181</v>
      </c>
      <c r="D943">
        <v>30740</v>
      </c>
      <c r="E943">
        <v>11235</v>
      </c>
      <c r="F943">
        <v>46748</v>
      </c>
      <c r="G943">
        <v>5796</v>
      </c>
      <c r="H943">
        <v>45856</v>
      </c>
      <c r="I943">
        <v>82125</v>
      </c>
      <c r="J943">
        <v>15331</v>
      </c>
    </row>
    <row r="944" spans="1:10" x14ac:dyDescent="0.35">
      <c r="A944" s="51">
        <v>40477</v>
      </c>
      <c r="B944">
        <v>55115</v>
      </c>
      <c r="D944">
        <v>19875</v>
      </c>
      <c r="E944">
        <v>12519</v>
      </c>
      <c r="F944">
        <v>40505</v>
      </c>
      <c r="G944">
        <v>5089</v>
      </c>
      <c r="H944">
        <v>43129</v>
      </c>
      <c r="I944">
        <v>80143</v>
      </c>
      <c r="J944">
        <v>15871</v>
      </c>
    </row>
    <row r="945" spans="1:10" x14ac:dyDescent="0.35">
      <c r="A945" s="51">
        <v>40484</v>
      </c>
      <c r="B945">
        <v>51180</v>
      </c>
      <c r="D945">
        <v>23365</v>
      </c>
      <c r="E945">
        <v>12465</v>
      </c>
      <c r="F945">
        <v>38610</v>
      </c>
      <c r="G945">
        <v>15182</v>
      </c>
      <c r="H945">
        <v>46455</v>
      </c>
      <c r="I945">
        <v>82272</v>
      </c>
      <c r="J945">
        <v>19148</v>
      </c>
    </row>
    <row r="946" spans="1:10" x14ac:dyDescent="0.35">
      <c r="A946" s="51">
        <v>40491</v>
      </c>
      <c r="B946">
        <v>47616</v>
      </c>
      <c r="D946">
        <v>37338</v>
      </c>
      <c r="E946">
        <v>12615</v>
      </c>
      <c r="F946">
        <v>23283</v>
      </c>
      <c r="G946">
        <v>21266</v>
      </c>
      <c r="H946">
        <v>36654</v>
      </c>
      <c r="I946">
        <v>88746</v>
      </c>
      <c r="J946">
        <v>22250</v>
      </c>
    </row>
    <row r="947" spans="1:10" x14ac:dyDescent="0.35">
      <c r="A947" s="51">
        <v>40498</v>
      </c>
      <c r="B947">
        <v>36202</v>
      </c>
      <c r="D947">
        <v>38441</v>
      </c>
      <c r="E947">
        <v>7803</v>
      </c>
      <c r="F947">
        <v>8606</v>
      </c>
      <c r="G947">
        <v>23771</v>
      </c>
      <c r="H947">
        <v>22858</v>
      </c>
      <c r="I947">
        <v>93217</v>
      </c>
      <c r="J947">
        <v>23445</v>
      </c>
    </row>
    <row r="948" spans="1:10" x14ac:dyDescent="0.35">
      <c r="A948" s="51">
        <v>40505</v>
      </c>
      <c r="B948">
        <v>28471</v>
      </c>
      <c r="D948">
        <v>22499</v>
      </c>
      <c r="E948">
        <v>8511</v>
      </c>
      <c r="F948">
        <v>-8293</v>
      </c>
      <c r="G948">
        <v>10197</v>
      </c>
      <c r="H948">
        <v>27192</v>
      </c>
      <c r="I948">
        <v>87246</v>
      </c>
      <c r="J948">
        <v>21069</v>
      </c>
    </row>
    <row r="949" spans="1:10" x14ac:dyDescent="0.35">
      <c r="A949" s="51">
        <v>40512</v>
      </c>
      <c r="B949">
        <v>26643</v>
      </c>
      <c r="D949">
        <v>19155</v>
      </c>
      <c r="E949">
        <v>7824</v>
      </c>
      <c r="F949">
        <v>-7248</v>
      </c>
      <c r="G949">
        <v>-4864</v>
      </c>
      <c r="H949">
        <v>30006</v>
      </c>
      <c r="I949">
        <v>78906</v>
      </c>
      <c r="J949">
        <v>18445</v>
      </c>
    </row>
    <row r="950" spans="1:10" x14ac:dyDescent="0.35">
      <c r="A950" s="51">
        <v>40519</v>
      </c>
      <c r="B950">
        <v>43352</v>
      </c>
      <c r="D950">
        <v>33722</v>
      </c>
      <c r="E950">
        <v>8987</v>
      </c>
      <c r="F950">
        <v>-15290</v>
      </c>
      <c r="G950">
        <v>-12920</v>
      </c>
      <c r="H950">
        <v>23288</v>
      </c>
      <c r="I950">
        <v>59482</v>
      </c>
      <c r="J950">
        <v>18261</v>
      </c>
    </row>
    <row r="951" spans="1:10" x14ac:dyDescent="0.35">
      <c r="A951" s="51">
        <v>40526</v>
      </c>
      <c r="B951">
        <v>53778</v>
      </c>
      <c r="D951">
        <v>33396</v>
      </c>
      <c r="E951">
        <v>10716</v>
      </c>
      <c r="F951">
        <v>-10304</v>
      </c>
      <c r="G951">
        <v>-8186</v>
      </c>
      <c r="H951">
        <v>12735</v>
      </c>
      <c r="I951">
        <v>77168</v>
      </c>
      <c r="J951">
        <v>12521</v>
      </c>
    </row>
    <row r="952" spans="1:10" x14ac:dyDescent="0.35">
      <c r="A952" s="51">
        <v>40533</v>
      </c>
      <c r="B952">
        <v>60550</v>
      </c>
      <c r="D952">
        <v>24948</v>
      </c>
      <c r="E952">
        <v>12527</v>
      </c>
      <c r="F952">
        <v>-14093</v>
      </c>
      <c r="G952">
        <v>-7432</v>
      </c>
      <c r="H952">
        <v>12529</v>
      </c>
      <c r="I952">
        <v>78002</v>
      </c>
      <c r="J952">
        <v>7366</v>
      </c>
    </row>
    <row r="953" spans="1:10" x14ac:dyDescent="0.35">
      <c r="A953" s="51">
        <v>40540</v>
      </c>
      <c r="B953">
        <v>64316</v>
      </c>
      <c r="D953">
        <v>34787</v>
      </c>
      <c r="E953">
        <v>14002</v>
      </c>
      <c r="F953">
        <v>-26479</v>
      </c>
      <c r="G953">
        <v>-13121</v>
      </c>
      <c r="H953">
        <v>29641</v>
      </c>
      <c r="I953">
        <v>82246</v>
      </c>
      <c r="J953">
        <v>8115</v>
      </c>
    </row>
    <row r="954" spans="1:10" x14ac:dyDescent="0.35">
      <c r="A954" s="51">
        <v>40547</v>
      </c>
      <c r="B954">
        <v>62513</v>
      </c>
      <c r="D954">
        <v>38348</v>
      </c>
      <c r="E954">
        <v>13032</v>
      </c>
      <c r="F954">
        <v>-24201</v>
      </c>
      <c r="G954">
        <v>-14133</v>
      </c>
      <c r="H954">
        <v>39065</v>
      </c>
      <c r="I954">
        <v>74310</v>
      </c>
      <c r="J954">
        <v>10731</v>
      </c>
    </row>
    <row r="955" spans="1:10" x14ac:dyDescent="0.35">
      <c r="A955" s="51">
        <v>40554</v>
      </c>
      <c r="B955">
        <v>53497</v>
      </c>
      <c r="D955">
        <v>47757</v>
      </c>
      <c r="E955">
        <v>10818</v>
      </c>
      <c r="F955">
        <v>-45182</v>
      </c>
      <c r="G955">
        <v>-5090</v>
      </c>
      <c r="H955">
        <v>24736</v>
      </c>
      <c r="I955">
        <v>83572</v>
      </c>
      <c r="J955">
        <v>9620</v>
      </c>
    </row>
    <row r="956" spans="1:10" x14ac:dyDescent="0.35">
      <c r="A956" s="51">
        <v>40561</v>
      </c>
      <c r="B956">
        <v>53508</v>
      </c>
      <c r="D956">
        <v>44055</v>
      </c>
      <c r="E956">
        <v>6992</v>
      </c>
      <c r="F956">
        <v>4109</v>
      </c>
      <c r="G956">
        <v>5794</v>
      </c>
      <c r="H956">
        <v>20529</v>
      </c>
      <c r="I956">
        <v>90202</v>
      </c>
      <c r="J956">
        <v>11247</v>
      </c>
    </row>
    <row r="957" spans="1:10" x14ac:dyDescent="0.35">
      <c r="A957" s="51">
        <v>40568</v>
      </c>
      <c r="B957">
        <v>45458</v>
      </c>
      <c r="D957">
        <v>31719</v>
      </c>
      <c r="E957">
        <v>6594</v>
      </c>
      <c r="F957">
        <v>22901</v>
      </c>
      <c r="G957">
        <v>7888</v>
      </c>
      <c r="H957">
        <v>32218</v>
      </c>
      <c r="I957">
        <v>95245</v>
      </c>
      <c r="J957">
        <v>8627</v>
      </c>
    </row>
    <row r="958" spans="1:10" x14ac:dyDescent="0.35">
      <c r="A958" s="51">
        <v>40575</v>
      </c>
      <c r="B958">
        <v>60077</v>
      </c>
      <c r="D958">
        <v>33814</v>
      </c>
      <c r="E958">
        <v>10441</v>
      </c>
      <c r="F958">
        <v>39934</v>
      </c>
      <c r="G958">
        <v>22659</v>
      </c>
      <c r="H958">
        <v>31481</v>
      </c>
      <c r="I958">
        <v>103117</v>
      </c>
      <c r="J958">
        <v>10270</v>
      </c>
    </row>
    <row r="959" spans="1:10" x14ac:dyDescent="0.35">
      <c r="A959" s="51">
        <v>40582</v>
      </c>
      <c r="B959">
        <v>71979</v>
      </c>
      <c r="D959">
        <v>39790</v>
      </c>
      <c r="E959">
        <v>8181</v>
      </c>
      <c r="F959">
        <v>34734</v>
      </c>
      <c r="G959">
        <v>24475</v>
      </c>
      <c r="H959">
        <v>36731</v>
      </c>
      <c r="I959">
        <v>103812</v>
      </c>
      <c r="J959">
        <v>10857</v>
      </c>
    </row>
    <row r="960" spans="1:10" x14ac:dyDescent="0.35">
      <c r="A960" s="51">
        <v>40589</v>
      </c>
      <c r="B960">
        <v>65514</v>
      </c>
      <c r="D960">
        <v>72090</v>
      </c>
      <c r="E960">
        <v>10518</v>
      </c>
      <c r="F960">
        <v>32464</v>
      </c>
      <c r="G960">
        <v>52572</v>
      </c>
      <c r="H960">
        <v>-18548</v>
      </c>
      <c r="I960">
        <v>109096</v>
      </c>
      <c r="J960">
        <v>9810</v>
      </c>
    </row>
    <row r="961" spans="1:10" x14ac:dyDescent="0.35">
      <c r="A961" s="51">
        <v>40596</v>
      </c>
      <c r="B961">
        <v>66064</v>
      </c>
      <c r="D961">
        <v>68348</v>
      </c>
      <c r="E961">
        <v>12291</v>
      </c>
      <c r="F961">
        <v>45598</v>
      </c>
      <c r="G961">
        <v>36009</v>
      </c>
      <c r="H961">
        <v>-27746</v>
      </c>
      <c r="I961">
        <v>114276</v>
      </c>
      <c r="J961">
        <v>8101</v>
      </c>
    </row>
    <row r="962" spans="1:10" x14ac:dyDescent="0.35">
      <c r="A962" s="51">
        <v>40603</v>
      </c>
      <c r="B962">
        <v>71853</v>
      </c>
      <c r="D962">
        <v>72827</v>
      </c>
      <c r="E962">
        <v>18017</v>
      </c>
      <c r="F962">
        <v>51308</v>
      </c>
      <c r="G962">
        <v>25809</v>
      </c>
      <c r="H962">
        <v>41274</v>
      </c>
      <c r="I962">
        <v>97202</v>
      </c>
      <c r="J962">
        <v>7411</v>
      </c>
    </row>
    <row r="963" spans="1:10" x14ac:dyDescent="0.35">
      <c r="A963" s="51">
        <v>40610</v>
      </c>
      <c r="B963">
        <v>73695</v>
      </c>
      <c r="D963">
        <v>77544</v>
      </c>
      <c r="E963">
        <v>23661</v>
      </c>
      <c r="F963">
        <v>62294</v>
      </c>
      <c r="G963">
        <v>33906</v>
      </c>
      <c r="H963">
        <v>16656</v>
      </c>
      <c r="I963">
        <v>113165</v>
      </c>
      <c r="J963">
        <v>4346</v>
      </c>
    </row>
    <row r="964" spans="1:10" x14ac:dyDescent="0.35">
      <c r="A964" s="51">
        <v>40617</v>
      </c>
      <c r="B964">
        <v>47951</v>
      </c>
      <c r="D964">
        <v>56991</v>
      </c>
      <c r="E964">
        <v>27640</v>
      </c>
      <c r="F964">
        <v>46316</v>
      </c>
      <c r="G964">
        <v>-225</v>
      </c>
      <c r="H964">
        <v>30230</v>
      </c>
      <c r="I964">
        <v>121575</v>
      </c>
      <c r="J964">
        <v>-2809</v>
      </c>
    </row>
    <row r="965" spans="1:10" x14ac:dyDescent="0.35">
      <c r="A965" s="51">
        <v>40624</v>
      </c>
      <c r="B965">
        <v>51734</v>
      </c>
      <c r="D965">
        <v>45977</v>
      </c>
      <c r="E965">
        <v>21301</v>
      </c>
      <c r="F965">
        <v>48353</v>
      </c>
      <c r="G965">
        <v>29724</v>
      </c>
      <c r="H965">
        <v>34525</v>
      </c>
      <c r="I965">
        <v>87548</v>
      </c>
      <c r="J965">
        <v>-1482</v>
      </c>
    </row>
    <row r="966" spans="1:10" x14ac:dyDescent="0.35">
      <c r="A966" s="51">
        <v>40631</v>
      </c>
      <c r="B966">
        <v>85565</v>
      </c>
      <c r="D966">
        <v>51245</v>
      </c>
      <c r="E966">
        <v>18957</v>
      </c>
      <c r="F966">
        <v>56630</v>
      </c>
      <c r="G966">
        <v>743</v>
      </c>
      <c r="H966">
        <v>7052</v>
      </c>
      <c r="I966">
        <v>88075</v>
      </c>
      <c r="J966">
        <v>239</v>
      </c>
    </row>
    <row r="967" spans="1:10" x14ac:dyDescent="0.35">
      <c r="A967" s="51">
        <v>40638</v>
      </c>
      <c r="B967">
        <v>90938</v>
      </c>
      <c r="D967">
        <v>65030</v>
      </c>
      <c r="E967">
        <v>10843</v>
      </c>
      <c r="F967">
        <v>59857</v>
      </c>
      <c r="G967">
        <v>32414</v>
      </c>
      <c r="H967">
        <v>-43231</v>
      </c>
      <c r="I967">
        <v>119062</v>
      </c>
      <c r="J967">
        <v>2695</v>
      </c>
    </row>
    <row r="968" spans="1:10" x14ac:dyDescent="0.35">
      <c r="A968" s="51">
        <v>40645</v>
      </c>
      <c r="B968">
        <v>90651</v>
      </c>
      <c r="D968">
        <v>63741</v>
      </c>
      <c r="E968">
        <v>14657</v>
      </c>
      <c r="F968">
        <v>64985</v>
      </c>
      <c r="G968">
        <v>26671</v>
      </c>
      <c r="H968">
        <v>-52877</v>
      </c>
      <c r="I968">
        <v>124846</v>
      </c>
      <c r="J968">
        <v>6336</v>
      </c>
    </row>
    <row r="969" spans="1:10" x14ac:dyDescent="0.35">
      <c r="A969" s="51">
        <v>40652</v>
      </c>
      <c r="B969">
        <v>84961</v>
      </c>
      <c r="D969">
        <v>65035</v>
      </c>
      <c r="E969">
        <v>17374</v>
      </c>
      <c r="F969">
        <v>62195</v>
      </c>
      <c r="G969">
        <v>30175</v>
      </c>
      <c r="H969">
        <v>-52983</v>
      </c>
      <c r="I969">
        <v>134129</v>
      </c>
      <c r="J969">
        <v>9339</v>
      </c>
    </row>
    <row r="970" spans="1:10" x14ac:dyDescent="0.35">
      <c r="A970" s="51">
        <v>40659</v>
      </c>
      <c r="B970">
        <v>80867</v>
      </c>
      <c r="D970">
        <v>59063</v>
      </c>
      <c r="E970">
        <v>17841</v>
      </c>
      <c r="F970">
        <v>68279</v>
      </c>
      <c r="G970">
        <v>33583</v>
      </c>
      <c r="H970">
        <v>-36997</v>
      </c>
      <c r="I970">
        <v>131806</v>
      </c>
      <c r="J970">
        <v>11457</v>
      </c>
    </row>
    <row r="971" spans="1:10" x14ac:dyDescent="0.35">
      <c r="A971" s="51">
        <v>40666</v>
      </c>
      <c r="B971">
        <v>73421</v>
      </c>
      <c r="D971">
        <v>54041</v>
      </c>
      <c r="E971">
        <v>18381</v>
      </c>
      <c r="F971">
        <v>99516</v>
      </c>
      <c r="G971">
        <v>30807</v>
      </c>
      <c r="H971">
        <v>-18819</v>
      </c>
      <c r="I971">
        <v>124260</v>
      </c>
      <c r="J971">
        <v>12800</v>
      </c>
    </row>
    <row r="972" spans="1:10" x14ac:dyDescent="0.35">
      <c r="A972" s="51">
        <v>40673</v>
      </c>
      <c r="B972">
        <v>60321</v>
      </c>
      <c r="D972">
        <v>37203</v>
      </c>
      <c r="E972">
        <v>16336</v>
      </c>
      <c r="F972">
        <v>61447</v>
      </c>
      <c r="G972">
        <v>18118</v>
      </c>
      <c r="H972">
        <v>13054</v>
      </c>
      <c r="I972">
        <v>118065</v>
      </c>
      <c r="J972">
        <v>13714</v>
      </c>
    </row>
    <row r="973" spans="1:10" x14ac:dyDescent="0.35">
      <c r="A973" s="51">
        <v>40680</v>
      </c>
      <c r="B973">
        <v>50919</v>
      </c>
      <c r="D973">
        <v>26291</v>
      </c>
      <c r="E973">
        <v>15661</v>
      </c>
      <c r="F973">
        <v>41645</v>
      </c>
      <c r="G973">
        <v>-928</v>
      </c>
      <c r="H973">
        <v>15373</v>
      </c>
      <c r="I973">
        <v>104912</v>
      </c>
      <c r="J973">
        <v>12624</v>
      </c>
    </row>
    <row r="974" spans="1:10" x14ac:dyDescent="0.35">
      <c r="A974" s="51">
        <v>40687</v>
      </c>
      <c r="B974">
        <v>53043</v>
      </c>
      <c r="D974">
        <v>21277</v>
      </c>
      <c r="E974">
        <v>14725</v>
      </c>
      <c r="F974">
        <v>19129</v>
      </c>
      <c r="G974">
        <v>-14143</v>
      </c>
      <c r="H974">
        <v>8006</v>
      </c>
      <c r="I974">
        <v>108681</v>
      </c>
      <c r="J974">
        <v>13876</v>
      </c>
    </row>
    <row r="975" spans="1:10" x14ac:dyDescent="0.35">
      <c r="A975" s="51">
        <v>40694</v>
      </c>
      <c r="B975">
        <v>60015</v>
      </c>
      <c r="D975">
        <v>26402</v>
      </c>
      <c r="E975">
        <v>21119</v>
      </c>
      <c r="F975">
        <v>21970</v>
      </c>
      <c r="G975">
        <v>-1829</v>
      </c>
      <c r="H975">
        <v>-1648</v>
      </c>
      <c r="I975">
        <v>108268</v>
      </c>
      <c r="J975">
        <v>15724</v>
      </c>
    </row>
    <row r="976" spans="1:10" x14ac:dyDescent="0.35">
      <c r="A976" s="51">
        <v>40701</v>
      </c>
      <c r="B976">
        <v>65205</v>
      </c>
      <c r="D976">
        <v>13522</v>
      </c>
      <c r="E976">
        <v>16865</v>
      </c>
      <c r="F976">
        <v>51836</v>
      </c>
      <c r="G976">
        <v>-1750</v>
      </c>
      <c r="H976">
        <v>17631</v>
      </c>
      <c r="I976">
        <v>90198</v>
      </c>
      <c r="J976">
        <v>16004</v>
      </c>
    </row>
    <row r="977" spans="1:10" x14ac:dyDescent="0.35">
      <c r="A977" s="51">
        <v>40708</v>
      </c>
      <c r="B977">
        <v>67670</v>
      </c>
      <c r="D977">
        <v>18855</v>
      </c>
      <c r="E977">
        <v>13287</v>
      </c>
      <c r="F977">
        <v>49894</v>
      </c>
      <c r="G977">
        <v>11226</v>
      </c>
      <c r="H977">
        <v>24768</v>
      </c>
      <c r="I977">
        <v>48163</v>
      </c>
      <c r="J977">
        <v>19218</v>
      </c>
    </row>
    <row r="978" spans="1:10" x14ac:dyDescent="0.35">
      <c r="A978" s="51">
        <v>40715</v>
      </c>
      <c r="B978">
        <v>54571</v>
      </c>
      <c r="D978">
        <v>2204</v>
      </c>
      <c r="E978">
        <v>11813</v>
      </c>
      <c r="F978">
        <v>29771</v>
      </c>
      <c r="G978">
        <v>-11360</v>
      </c>
      <c r="H978">
        <v>32594</v>
      </c>
      <c r="I978">
        <v>41423</v>
      </c>
      <c r="J978">
        <v>18849</v>
      </c>
    </row>
    <row r="979" spans="1:10" x14ac:dyDescent="0.35">
      <c r="A979" s="51">
        <v>40722</v>
      </c>
      <c r="B979">
        <v>46897</v>
      </c>
      <c r="D979">
        <v>-1863</v>
      </c>
      <c r="E979">
        <v>9948</v>
      </c>
      <c r="F979">
        <v>32987</v>
      </c>
      <c r="G979">
        <v>-18349</v>
      </c>
      <c r="H979">
        <v>13623</v>
      </c>
      <c r="I979">
        <v>46077</v>
      </c>
      <c r="J979">
        <v>18364</v>
      </c>
    </row>
    <row r="980" spans="1:10" x14ac:dyDescent="0.35">
      <c r="A980" s="51">
        <v>40729</v>
      </c>
      <c r="B980">
        <v>63336</v>
      </c>
      <c r="D980">
        <v>6821</v>
      </c>
      <c r="E980">
        <v>5291</v>
      </c>
      <c r="F980">
        <v>43194</v>
      </c>
      <c r="G980">
        <v>-31669</v>
      </c>
      <c r="H980">
        <v>14327</v>
      </c>
      <c r="I980">
        <v>82944</v>
      </c>
      <c r="J980">
        <v>18986</v>
      </c>
    </row>
    <row r="981" spans="1:10" x14ac:dyDescent="0.35">
      <c r="A981" s="51">
        <v>40736</v>
      </c>
      <c r="B981">
        <v>67623</v>
      </c>
      <c r="D981">
        <v>15334</v>
      </c>
      <c r="E981">
        <v>8081</v>
      </c>
      <c r="F981">
        <v>12416</v>
      </c>
      <c r="G981">
        <v>-24801</v>
      </c>
      <c r="H981">
        <v>28288</v>
      </c>
      <c r="I981">
        <v>98447</v>
      </c>
      <c r="J981">
        <v>19584</v>
      </c>
    </row>
    <row r="982" spans="1:10" x14ac:dyDescent="0.35">
      <c r="A982" s="51">
        <v>40743</v>
      </c>
      <c r="B982">
        <v>77795</v>
      </c>
      <c r="D982">
        <v>27764</v>
      </c>
      <c r="E982">
        <v>11494</v>
      </c>
      <c r="F982">
        <v>9246</v>
      </c>
      <c r="G982">
        <v>-6714</v>
      </c>
      <c r="H982">
        <v>42155</v>
      </c>
      <c r="I982">
        <v>89266</v>
      </c>
      <c r="J982">
        <v>21438</v>
      </c>
    </row>
    <row r="983" spans="1:10" x14ac:dyDescent="0.35">
      <c r="A983" s="51">
        <v>40750</v>
      </c>
      <c r="B983">
        <v>81438</v>
      </c>
      <c r="D983">
        <v>36141</v>
      </c>
      <c r="E983">
        <v>7877</v>
      </c>
      <c r="F983">
        <v>17038</v>
      </c>
      <c r="G983">
        <v>1222</v>
      </c>
      <c r="H983">
        <v>51302</v>
      </c>
      <c r="I983">
        <v>91913</v>
      </c>
      <c r="J983">
        <v>23291</v>
      </c>
    </row>
    <row r="984" spans="1:10" x14ac:dyDescent="0.35">
      <c r="A984" s="51">
        <v>40757</v>
      </c>
      <c r="B984">
        <v>75598</v>
      </c>
      <c r="D984">
        <v>41037</v>
      </c>
      <c r="E984">
        <v>12341</v>
      </c>
      <c r="F984">
        <v>1763</v>
      </c>
      <c r="G984">
        <v>5139</v>
      </c>
      <c r="H984">
        <v>58833</v>
      </c>
      <c r="I984">
        <v>88484</v>
      </c>
      <c r="J984">
        <v>24126</v>
      </c>
    </row>
    <row r="985" spans="1:10" x14ac:dyDescent="0.35">
      <c r="A985" s="51">
        <v>40764</v>
      </c>
      <c r="B985">
        <v>29016</v>
      </c>
      <c r="D985">
        <v>23704</v>
      </c>
      <c r="E985">
        <v>4655</v>
      </c>
      <c r="F985">
        <v>-8273</v>
      </c>
      <c r="G985">
        <v>245</v>
      </c>
      <c r="H985">
        <v>42149</v>
      </c>
      <c r="I985">
        <v>41293</v>
      </c>
      <c r="J985">
        <v>20427</v>
      </c>
    </row>
    <row r="986" spans="1:10" x14ac:dyDescent="0.35">
      <c r="A986" s="51">
        <v>40771</v>
      </c>
      <c r="B986">
        <v>29723</v>
      </c>
      <c r="D986">
        <v>4121</v>
      </c>
      <c r="E986">
        <v>9008</v>
      </c>
      <c r="F986">
        <v>6726</v>
      </c>
      <c r="G986">
        <v>-3096</v>
      </c>
      <c r="H986">
        <v>47348</v>
      </c>
      <c r="I986">
        <v>22634</v>
      </c>
      <c r="J986">
        <v>18417</v>
      </c>
    </row>
    <row r="987" spans="1:10" x14ac:dyDescent="0.35">
      <c r="A987" s="51">
        <v>40778</v>
      </c>
      <c r="B987">
        <v>43574</v>
      </c>
      <c r="D987">
        <v>8804</v>
      </c>
      <c r="E987">
        <v>9637</v>
      </c>
      <c r="F987">
        <v>2539</v>
      </c>
      <c r="G987">
        <v>10961</v>
      </c>
      <c r="H987">
        <v>47139</v>
      </c>
      <c r="I987">
        <v>21835</v>
      </c>
      <c r="J987">
        <v>16876</v>
      </c>
    </row>
    <row r="988" spans="1:10" x14ac:dyDescent="0.35">
      <c r="A988" s="51">
        <v>40785</v>
      </c>
      <c r="B988">
        <v>47569</v>
      </c>
      <c r="D988">
        <v>13939</v>
      </c>
      <c r="E988">
        <v>9342</v>
      </c>
      <c r="F988">
        <v>-384</v>
      </c>
      <c r="G988">
        <v>444</v>
      </c>
      <c r="H988">
        <v>41185</v>
      </c>
      <c r="I988">
        <v>20880</v>
      </c>
      <c r="J988">
        <v>16565</v>
      </c>
    </row>
    <row r="989" spans="1:10" x14ac:dyDescent="0.35">
      <c r="A989" s="51">
        <v>40792</v>
      </c>
      <c r="B989">
        <v>48041</v>
      </c>
      <c r="D989">
        <v>2081</v>
      </c>
      <c r="E989">
        <v>7549</v>
      </c>
      <c r="F989">
        <v>-36443</v>
      </c>
      <c r="G989">
        <v>-13220</v>
      </c>
      <c r="H989">
        <v>32787</v>
      </c>
      <c r="I989">
        <v>13246</v>
      </c>
      <c r="J989">
        <v>17670</v>
      </c>
    </row>
    <row r="990" spans="1:10" x14ac:dyDescent="0.35">
      <c r="A990" s="51">
        <v>40799</v>
      </c>
      <c r="B990">
        <v>36934</v>
      </c>
      <c r="D990">
        <v>-6303</v>
      </c>
      <c r="E990">
        <v>5493</v>
      </c>
      <c r="F990">
        <v>-54459</v>
      </c>
      <c r="G990">
        <v>-26193</v>
      </c>
      <c r="H990">
        <v>34955</v>
      </c>
      <c r="I990">
        <v>-1209</v>
      </c>
      <c r="J990">
        <v>17664</v>
      </c>
    </row>
    <row r="991" spans="1:10" x14ac:dyDescent="0.35">
      <c r="A991" s="51">
        <v>40806</v>
      </c>
      <c r="B991">
        <v>23095</v>
      </c>
      <c r="D991">
        <v>-5458</v>
      </c>
      <c r="E991">
        <v>4221</v>
      </c>
      <c r="F991">
        <v>-79460</v>
      </c>
      <c r="G991">
        <v>-59755</v>
      </c>
      <c r="H991">
        <v>45617</v>
      </c>
      <c r="I991">
        <v>-16890</v>
      </c>
      <c r="J991">
        <v>13565</v>
      </c>
    </row>
    <row r="992" spans="1:10" x14ac:dyDescent="0.35">
      <c r="A992" s="51">
        <v>40813</v>
      </c>
      <c r="B992">
        <v>5167</v>
      </c>
      <c r="D992">
        <v>-20550</v>
      </c>
      <c r="E992">
        <v>2424</v>
      </c>
      <c r="F992">
        <v>-82473</v>
      </c>
      <c r="G992">
        <v>-64010</v>
      </c>
      <c r="H992">
        <v>42322</v>
      </c>
      <c r="I992">
        <v>-20626</v>
      </c>
      <c r="J992">
        <v>9591</v>
      </c>
    </row>
    <row r="993" spans="1:10" x14ac:dyDescent="0.35">
      <c r="A993" s="51">
        <v>40820</v>
      </c>
      <c r="B993">
        <v>12911</v>
      </c>
      <c r="D993">
        <v>-15682</v>
      </c>
      <c r="E993">
        <v>-1109</v>
      </c>
      <c r="F993">
        <v>-82697</v>
      </c>
      <c r="G993">
        <v>-68724</v>
      </c>
      <c r="H993">
        <v>43462</v>
      </c>
      <c r="I993">
        <v>-25431</v>
      </c>
      <c r="J993">
        <v>5566</v>
      </c>
    </row>
    <row r="994" spans="1:10" x14ac:dyDescent="0.35">
      <c r="A994" s="51">
        <v>40827</v>
      </c>
      <c r="B994">
        <v>10753</v>
      </c>
      <c r="D994">
        <v>-24913</v>
      </c>
      <c r="E994">
        <v>13</v>
      </c>
      <c r="F994">
        <v>-73795</v>
      </c>
      <c r="G994">
        <v>-61972</v>
      </c>
      <c r="H994">
        <v>35119</v>
      </c>
      <c r="I994">
        <v>-24878</v>
      </c>
      <c r="J994">
        <v>6838</v>
      </c>
    </row>
    <row r="995" spans="1:10" x14ac:dyDescent="0.35">
      <c r="A995" s="51">
        <v>40834</v>
      </c>
      <c r="B995">
        <v>20353</v>
      </c>
      <c r="D995">
        <v>-24795</v>
      </c>
      <c r="E995">
        <v>-2243</v>
      </c>
      <c r="F995">
        <v>-77720</v>
      </c>
      <c r="G995">
        <v>-53226</v>
      </c>
      <c r="H995">
        <v>26907</v>
      </c>
      <c r="I995">
        <v>-24129</v>
      </c>
      <c r="J995">
        <v>8225</v>
      </c>
    </row>
    <row r="996" spans="1:10" x14ac:dyDescent="0.35">
      <c r="A996" s="51">
        <v>40841</v>
      </c>
      <c r="B996">
        <v>23071</v>
      </c>
      <c r="D996">
        <v>-17923</v>
      </c>
      <c r="E996">
        <v>-1203</v>
      </c>
      <c r="F996">
        <v>-76512</v>
      </c>
      <c r="G996">
        <v>-50147</v>
      </c>
      <c r="H996">
        <v>54279</v>
      </c>
      <c r="I996">
        <v>-27055</v>
      </c>
      <c r="J996">
        <v>9219</v>
      </c>
    </row>
    <row r="997" spans="1:10" x14ac:dyDescent="0.35">
      <c r="A997" s="51">
        <v>40848</v>
      </c>
      <c r="B997">
        <v>25866</v>
      </c>
      <c r="D997">
        <v>-14820</v>
      </c>
      <c r="E997">
        <v>-1746</v>
      </c>
      <c r="F997">
        <v>-60060</v>
      </c>
      <c r="G997">
        <v>-47092</v>
      </c>
      <c r="H997">
        <v>25904</v>
      </c>
      <c r="I997">
        <v>-26588</v>
      </c>
      <c r="J997">
        <v>10655</v>
      </c>
    </row>
    <row r="998" spans="1:10" x14ac:dyDescent="0.35">
      <c r="A998" s="51">
        <v>40855</v>
      </c>
      <c r="B998">
        <v>27016</v>
      </c>
      <c r="D998">
        <v>-15568</v>
      </c>
      <c r="E998">
        <v>2162</v>
      </c>
      <c r="F998">
        <v>-54257</v>
      </c>
      <c r="G998">
        <v>-29122</v>
      </c>
      <c r="H998">
        <v>28077</v>
      </c>
      <c r="I998">
        <v>-18067</v>
      </c>
      <c r="J998">
        <v>11550</v>
      </c>
    </row>
    <row r="999" spans="1:10" x14ac:dyDescent="0.35">
      <c r="A999" s="51">
        <v>40862</v>
      </c>
      <c r="B999">
        <v>24330</v>
      </c>
      <c r="D999">
        <v>-17215</v>
      </c>
      <c r="E999">
        <v>-1904</v>
      </c>
      <c r="F999">
        <v>-76147</v>
      </c>
      <c r="G999">
        <v>-32864</v>
      </c>
      <c r="H999">
        <v>33680</v>
      </c>
      <c r="I999">
        <v>-15021</v>
      </c>
      <c r="J999">
        <v>10614</v>
      </c>
    </row>
    <row r="1000" spans="1:10" x14ac:dyDescent="0.35">
      <c r="A1000" s="51">
        <v>40869</v>
      </c>
      <c r="B1000">
        <v>17960</v>
      </c>
      <c r="D1000">
        <v>-22144</v>
      </c>
      <c r="E1000">
        <v>-5870</v>
      </c>
      <c r="F1000">
        <v>-85068</v>
      </c>
      <c r="G1000">
        <v>-36634</v>
      </c>
      <c r="H1000">
        <v>43180</v>
      </c>
      <c r="I1000">
        <v>-31582</v>
      </c>
      <c r="J1000">
        <v>7916</v>
      </c>
    </row>
    <row r="1001" spans="1:10" x14ac:dyDescent="0.35">
      <c r="A1001" s="51">
        <v>40876</v>
      </c>
      <c r="B1001">
        <v>12542</v>
      </c>
      <c r="D1001">
        <v>-26869</v>
      </c>
      <c r="E1001">
        <v>-9327</v>
      </c>
      <c r="F1001">
        <v>-104302</v>
      </c>
      <c r="G1001">
        <v>-46660</v>
      </c>
      <c r="H1001">
        <v>40547</v>
      </c>
      <c r="I1001">
        <v>-36240</v>
      </c>
      <c r="J1001">
        <v>3718</v>
      </c>
    </row>
    <row r="1002" spans="1:10" x14ac:dyDescent="0.35">
      <c r="A1002" s="51">
        <v>40883</v>
      </c>
      <c r="B1002">
        <v>29824</v>
      </c>
      <c r="D1002">
        <v>-20171</v>
      </c>
      <c r="E1002">
        <v>-11158</v>
      </c>
      <c r="F1002">
        <v>-95814</v>
      </c>
      <c r="G1002">
        <v>-43560</v>
      </c>
      <c r="H1002">
        <v>38271</v>
      </c>
      <c r="I1002">
        <v>-20862</v>
      </c>
      <c r="J1002">
        <v>3857</v>
      </c>
    </row>
    <row r="1003" spans="1:10" x14ac:dyDescent="0.35">
      <c r="A1003" s="51">
        <v>40890</v>
      </c>
      <c r="B1003">
        <v>34429</v>
      </c>
      <c r="D1003">
        <v>-13385</v>
      </c>
      <c r="E1003">
        <v>-10481</v>
      </c>
      <c r="F1003">
        <v>-116457</v>
      </c>
      <c r="G1003">
        <v>-39509</v>
      </c>
      <c r="H1003">
        <v>35600</v>
      </c>
      <c r="I1003">
        <v>-22894</v>
      </c>
      <c r="J1003">
        <v>5383</v>
      </c>
    </row>
    <row r="1004" spans="1:10" x14ac:dyDescent="0.35">
      <c r="A1004" s="51">
        <v>40897</v>
      </c>
      <c r="B1004">
        <v>25742</v>
      </c>
      <c r="D1004">
        <v>-26868</v>
      </c>
      <c r="E1004">
        <v>-3136</v>
      </c>
      <c r="F1004">
        <v>-113697</v>
      </c>
      <c r="G1004">
        <v>-25939</v>
      </c>
      <c r="H1004">
        <v>24476</v>
      </c>
      <c r="I1004">
        <v>-18802</v>
      </c>
      <c r="J1004">
        <v>612</v>
      </c>
    </row>
    <row r="1005" spans="1:10" x14ac:dyDescent="0.35">
      <c r="A1005" s="51">
        <v>40904</v>
      </c>
      <c r="B1005">
        <v>32637</v>
      </c>
      <c r="D1005">
        <v>-21812</v>
      </c>
      <c r="E1005">
        <v>-10798</v>
      </c>
      <c r="F1005">
        <v>-127879</v>
      </c>
      <c r="G1005">
        <v>-29172</v>
      </c>
      <c r="H1005">
        <v>22585</v>
      </c>
      <c r="I1005">
        <v>-25685</v>
      </c>
      <c r="J1005">
        <v>1405</v>
      </c>
    </row>
    <row r="1006" spans="1:10" x14ac:dyDescent="0.35">
      <c r="A1006" s="51">
        <v>40911</v>
      </c>
      <c r="B1006">
        <v>46537</v>
      </c>
      <c r="D1006">
        <v>-23371</v>
      </c>
      <c r="E1006">
        <v>-12355</v>
      </c>
      <c r="F1006">
        <v>-138909</v>
      </c>
      <c r="G1006">
        <v>-31899</v>
      </c>
      <c r="H1006">
        <v>56481</v>
      </c>
      <c r="I1006">
        <v>-25829</v>
      </c>
      <c r="J1006">
        <v>2436</v>
      </c>
    </row>
    <row r="1007" spans="1:10" x14ac:dyDescent="0.35">
      <c r="A1007" s="51">
        <v>40918</v>
      </c>
      <c r="B1007">
        <v>53526</v>
      </c>
      <c r="D1007">
        <v>-28649</v>
      </c>
      <c r="E1007">
        <v>-12097</v>
      </c>
      <c r="F1007">
        <v>-155195</v>
      </c>
      <c r="G1007">
        <v>-35853</v>
      </c>
      <c r="H1007">
        <v>59657</v>
      </c>
      <c r="I1007">
        <v>-22332</v>
      </c>
      <c r="J1007">
        <v>5029</v>
      </c>
    </row>
    <row r="1008" spans="1:10" x14ac:dyDescent="0.35">
      <c r="A1008" s="51">
        <v>40925</v>
      </c>
      <c r="B1008">
        <v>54306</v>
      </c>
      <c r="D1008">
        <v>-28730</v>
      </c>
      <c r="E1008">
        <v>-12822</v>
      </c>
      <c r="F1008">
        <v>-160030</v>
      </c>
      <c r="G1008">
        <v>-41634</v>
      </c>
      <c r="H1008">
        <v>58862</v>
      </c>
      <c r="I1008">
        <v>-17328</v>
      </c>
      <c r="J1008">
        <v>9455</v>
      </c>
    </row>
    <row r="1009" spans="1:10" x14ac:dyDescent="0.35">
      <c r="A1009" s="51">
        <v>40932</v>
      </c>
      <c r="B1009">
        <v>69486</v>
      </c>
      <c r="D1009">
        <v>-18909</v>
      </c>
      <c r="E1009">
        <v>-12514</v>
      </c>
      <c r="F1009">
        <v>-171347</v>
      </c>
      <c r="G1009">
        <v>-31361</v>
      </c>
      <c r="H1009">
        <v>44367</v>
      </c>
      <c r="I1009">
        <v>7418</v>
      </c>
      <c r="J1009">
        <v>12932</v>
      </c>
    </row>
    <row r="1010" spans="1:10" x14ac:dyDescent="0.35">
      <c r="A1010" s="51">
        <v>40939</v>
      </c>
      <c r="B1010">
        <v>78044</v>
      </c>
      <c r="D1010">
        <v>-19409</v>
      </c>
      <c r="E1010">
        <v>-11222</v>
      </c>
      <c r="F1010">
        <v>-157546</v>
      </c>
      <c r="G1010">
        <v>-26214</v>
      </c>
      <c r="H1010">
        <v>56669</v>
      </c>
      <c r="I1010">
        <v>21481</v>
      </c>
      <c r="J1010">
        <v>14797</v>
      </c>
    </row>
    <row r="1011" spans="1:10" x14ac:dyDescent="0.35">
      <c r="A1011" s="51">
        <v>40946</v>
      </c>
      <c r="B1011">
        <v>75095</v>
      </c>
      <c r="D1011">
        <v>2184</v>
      </c>
      <c r="E1011">
        <v>-9795</v>
      </c>
      <c r="F1011">
        <v>-140593</v>
      </c>
      <c r="G1011">
        <v>-33122</v>
      </c>
      <c r="H1011">
        <v>55171</v>
      </c>
      <c r="I1011">
        <v>34107</v>
      </c>
      <c r="J1011">
        <v>23335</v>
      </c>
    </row>
    <row r="1012" spans="1:10" x14ac:dyDescent="0.35">
      <c r="A1012" s="51">
        <v>40953</v>
      </c>
      <c r="B1012">
        <v>73741</v>
      </c>
      <c r="D1012">
        <v>9566</v>
      </c>
      <c r="E1012">
        <v>-15863</v>
      </c>
      <c r="F1012">
        <v>-148641</v>
      </c>
      <c r="G1012">
        <v>-40599</v>
      </c>
      <c r="H1012">
        <v>29459</v>
      </c>
      <c r="I1012">
        <v>41239</v>
      </c>
      <c r="J1012">
        <v>23870</v>
      </c>
    </row>
    <row r="1013" spans="1:10" x14ac:dyDescent="0.35">
      <c r="A1013" s="51">
        <v>40960</v>
      </c>
      <c r="B1013">
        <v>74700</v>
      </c>
      <c r="D1013">
        <v>14112</v>
      </c>
      <c r="E1013">
        <v>-19846</v>
      </c>
      <c r="F1013">
        <v>-142159</v>
      </c>
      <c r="G1013">
        <v>-31350</v>
      </c>
      <c r="H1013">
        <v>17257</v>
      </c>
      <c r="I1013">
        <v>49425</v>
      </c>
      <c r="J1013">
        <v>24211</v>
      </c>
    </row>
    <row r="1014" spans="1:10" x14ac:dyDescent="0.35">
      <c r="A1014" s="51">
        <v>40967</v>
      </c>
      <c r="B1014">
        <v>78201</v>
      </c>
      <c r="D1014">
        <v>22480</v>
      </c>
      <c r="E1014">
        <v>-19391</v>
      </c>
      <c r="F1014">
        <v>-109674</v>
      </c>
      <c r="G1014">
        <v>-23235</v>
      </c>
      <c r="H1014">
        <v>-1203</v>
      </c>
      <c r="I1014">
        <v>60750</v>
      </c>
      <c r="J1014">
        <v>22114</v>
      </c>
    </row>
    <row r="1015" spans="1:10" x14ac:dyDescent="0.35">
      <c r="A1015" s="51">
        <v>40974</v>
      </c>
      <c r="B1015">
        <v>61720</v>
      </c>
      <c r="D1015">
        <v>26032</v>
      </c>
      <c r="E1015">
        <v>-19478</v>
      </c>
      <c r="F1015">
        <v>-116473</v>
      </c>
      <c r="G1015">
        <v>-37099</v>
      </c>
      <c r="H1015">
        <v>-19358</v>
      </c>
      <c r="I1015">
        <v>66347</v>
      </c>
      <c r="J1015">
        <v>16788</v>
      </c>
    </row>
    <row r="1016" spans="1:10" x14ac:dyDescent="0.35">
      <c r="A1016" s="51">
        <v>40981</v>
      </c>
      <c r="B1016">
        <v>66756</v>
      </c>
      <c r="D1016">
        <v>26721</v>
      </c>
      <c r="E1016">
        <v>-14798</v>
      </c>
      <c r="F1016">
        <v>-99336</v>
      </c>
      <c r="G1016">
        <v>-41848</v>
      </c>
      <c r="H1016">
        <v>-42380</v>
      </c>
      <c r="I1016">
        <v>78892</v>
      </c>
      <c r="J1016">
        <v>13223</v>
      </c>
    </row>
    <row r="1017" spans="1:10" x14ac:dyDescent="0.35">
      <c r="A1017" s="51">
        <v>40988</v>
      </c>
      <c r="B1017">
        <v>45191</v>
      </c>
      <c r="D1017">
        <v>42315</v>
      </c>
      <c r="E1017">
        <v>-11191</v>
      </c>
      <c r="F1017">
        <v>-82954</v>
      </c>
      <c r="G1017">
        <v>-15852</v>
      </c>
      <c r="H1017">
        <v>-25821</v>
      </c>
      <c r="I1017">
        <v>24329</v>
      </c>
      <c r="J1017">
        <v>4210</v>
      </c>
    </row>
    <row r="1018" spans="1:10" x14ac:dyDescent="0.35">
      <c r="A1018" s="51">
        <v>40995</v>
      </c>
      <c r="B1018">
        <v>59574</v>
      </c>
      <c r="D1018">
        <v>23737</v>
      </c>
      <c r="E1018">
        <v>-15096</v>
      </c>
      <c r="F1018">
        <v>-89129</v>
      </c>
      <c r="G1018">
        <v>-11110</v>
      </c>
      <c r="H1018">
        <v>-67622</v>
      </c>
      <c r="I1018">
        <v>82833</v>
      </c>
      <c r="J1018">
        <v>3984</v>
      </c>
    </row>
    <row r="1019" spans="1:10" x14ac:dyDescent="0.35">
      <c r="A1019" s="51">
        <v>41002</v>
      </c>
      <c r="B1019">
        <v>49319</v>
      </c>
      <c r="D1019">
        <v>29487</v>
      </c>
      <c r="E1019">
        <v>-14676</v>
      </c>
      <c r="F1019">
        <v>-79480</v>
      </c>
      <c r="G1019">
        <v>-8807</v>
      </c>
      <c r="H1019">
        <v>-65108</v>
      </c>
      <c r="I1019">
        <v>84503</v>
      </c>
      <c r="J1019">
        <v>5846</v>
      </c>
    </row>
    <row r="1020" spans="1:10" x14ac:dyDescent="0.35">
      <c r="A1020" s="51">
        <v>41009</v>
      </c>
      <c r="B1020">
        <v>39429</v>
      </c>
      <c r="D1020">
        <v>27967</v>
      </c>
      <c r="E1020">
        <v>-9919</v>
      </c>
      <c r="F1020">
        <v>-101364</v>
      </c>
      <c r="G1020">
        <v>-18784</v>
      </c>
      <c r="H1020">
        <v>-66084</v>
      </c>
      <c r="I1020">
        <v>68600</v>
      </c>
      <c r="J1020">
        <v>7170</v>
      </c>
    </row>
    <row r="1021" spans="1:10" x14ac:dyDescent="0.35">
      <c r="A1021" s="51">
        <v>41016</v>
      </c>
      <c r="B1021">
        <v>48421</v>
      </c>
      <c r="D1021">
        <v>38028</v>
      </c>
      <c r="E1021">
        <v>-13762</v>
      </c>
      <c r="F1021">
        <v>-118125</v>
      </c>
      <c r="G1021">
        <v>-13051</v>
      </c>
      <c r="H1021">
        <v>-57803</v>
      </c>
      <c r="I1021">
        <v>46101</v>
      </c>
      <c r="J1021">
        <v>11939</v>
      </c>
    </row>
    <row r="1022" spans="1:10" x14ac:dyDescent="0.35">
      <c r="A1022" s="51">
        <v>41023</v>
      </c>
      <c r="B1022">
        <v>46041</v>
      </c>
      <c r="D1022">
        <v>44224</v>
      </c>
      <c r="E1022">
        <v>-16641</v>
      </c>
      <c r="F1022">
        <v>-113367</v>
      </c>
      <c r="G1022">
        <v>7536</v>
      </c>
      <c r="H1022">
        <v>-55903</v>
      </c>
      <c r="I1022">
        <v>40208</v>
      </c>
      <c r="J1022">
        <v>9486</v>
      </c>
    </row>
    <row r="1023" spans="1:10" x14ac:dyDescent="0.35">
      <c r="A1023" s="51">
        <v>41030</v>
      </c>
      <c r="B1023">
        <v>52280</v>
      </c>
      <c r="D1023">
        <v>70223</v>
      </c>
      <c r="E1023">
        <v>-14311</v>
      </c>
      <c r="F1023">
        <v>-106990</v>
      </c>
      <c r="G1023">
        <v>16493</v>
      </c>
      <c r="H1023">
        <v>-50173</v>
      </c>
      <c r="I1023">
        <v>42045</v>
      </c>
      <c r="J1023">
        <v>8025</v>
      </c>
    </row>
    <row r="1024" spans="1:10" x14ac:dyDescent="0.35">
      <c r="A1024" s="51">
        <v>41037</v>
      </c>
      <c r="B1024">
        <v>25104</v>
      </c>
      <c r="D1024">
        <v>60095</v>
      </c>
      <c r="E1024">
        <v>-16494</v>
      </c>
      <c r="F1024">
        <v>-143984</v>
      </c>
      <c r="G1024">
        <v>25339</v>
      </c>
      <c r="H1024">
        <v>-41093</v>
      </c>
      <c r="I1024">
        <v>36928</v>
      </c>
      <c r="J1024">
        <v>6224</v>
      </c>
    </row>
    <row r="1025" spans="1:10" x14ac:dyDescent="0.35">
      <c r="A1025" s="51">
        <v>41044</v>
      </c>
      <c r="B1025">
        <v>4734</v>
      </c>
      <c r="D1025">
        <v>51005</v>
      </c>
      <c r="E1025">
        <v>-26694</v>
      </c>
      <c r="F1025">
        <v>-173869</v>
      </c>
      <c r="G1025">
        <v>25021</v>
      </c>
      <c r="H1025">
        <v>-34315</v>
      </c>
      <c r="I1025">
        <v>14445</v>
      </c>
      <c r="J1025">
        <v>2597</v>
      </c>
    </row>
    <row r="1026" spans="1:10" x14ac:dyDescent="0.35">
      <c r="A1026" s="51">
        <v>41051</v>
      </c>
      <c r="B1026">
        <v>-16898</v>
      </c>
      <c r="D1026">
        <v>38555</v>
      </c>
      <c r="E1026">
        <v>-34851</v>
      </c>
      <c r="F1026">
        <v>-195361</v>
      </c>
      <c r="G1026">
        <v>11340</v>
      </c>
      <c r="H1026">
        <v>-18015</v>
      </c>
      <c r="I1026">
        <v>-16116</v>
      </c>
      <c r="J1026">
        <v>-1509</v>
      </c>
    </row>
    <row r="1027" spans="1:10" x14ac:dyDescent="0.35">
      <c r="A1027" s="51">
        <v>41058</v>
      </c>
      <c r="B1027">
        <v>-35527</v>
      </c>
      <c r="D1027">
        <v>34085</v>
      </c>
      <c r="E1027">
        <v>-30596</v>
      </c>
      <c r="F1027">
        <v>-203415</v>
      </c>
      <c r="G1027">
        <v>1475</v>
      </c>
      <c r="H1027">
        <v>-11330</v>
      </c>
      <c r="I1027">
        <v>-12995</v>
      </c>
      <c r="J1027">
        <v>-5208</v>
      </c>
    </row>
    <row r="1028" spans="1:10" x14ac:dyDescent="0.35">
      <c r="A1028" s="51">
        <v>41065</v>
      </c>
      <c r="B1028">
        <v>-51172</v>
      </c>
      <c r="D1028">
        <v>14906</v>
      </c>
      <c r="E1028">
        <v>-33648</v>
      </c>
      <c r="F1028">
        <v>-214418</v>
      </c>
      <c r="G1028">
        <v>-2867</v>
      </c>
      <c r="H1028">
        <v>12073</v>
      </c>
      <c r="I1028">
        <v>-30396</v>
      </c>
      <c r="J1028">
        <v>-5530</v>
      </c>
    </row>
    <row r="1029" spans="1:10" x14ac:dyDescent="0.35">
      <c r="A1029" s="51">
        <v>41072</v>
      </c>
      <c r="B1029">
        <v>-45459</v>
      </c>
      <c r="D1029">
        <v>9620</v>
      </c>
      <c r="E1029">
        <v>-33301</v>
      </c>
      <c r="F1029">
        <v>-195187</v>
      </c>
      <c r="G1029">
        <v>-23112</v>
      </c>
      <c r="H1029">
        <v>12307</v>
      </c>
      <c r="I1029">
        <v>-22004</v>
      </c>
      <c r="J1029">
        <v>-3885</v>
      </c>
    </row>
    <row r="1030" spans="1:10" x14ac:dyDescent="0.35">
      <c r="A1030" s="51">
        <v>41079</v>
      </c>
      <c r="B1030">
        <v>-3458</v>
      </c>
      <c r="D1030">
        <v>8201</v>
      </c>
      <c r="E1030">
        <v>-7007</v>
      </c>
      <c r="F1030">
        <v>-141066</v>
      </c>
      <c r="G1030">
        <v>-17153</v>
      </c>
      <c r="H1030">
        <v>15137</v>
      </c>
      <c r="I1030">
        <v>-14674</v>
      </c>
      <c r="J1030">
        <v>-2213</v>
      </c>
    </row>
    <row r="1031" spans="1:10" x14ac:dyDescent="0.35">
      <c r="A1031" s="51">
        <v>41086</v>
      </c>
      <c r="B1031">
        <v>-2159</v>
      </c>
      <c r="D1031">
        <v>9277</v>
      </c>
      <c r="E1031">
        <v>-23836</v>
      </c>
      <c r="F1031">
        <v>-159880</v>
      </c>
      <c r="G1031">
        <v>-758</v>
      </c>
      <c r="H1031">
        <v>4542</v>
      </c>
      <c r="I1031">
        <v>-7647</v>
      </c>
      <c r="J1031">
        <v>576</v>
      </c>
    </row>
    <row r="1032" spans="1:10" x14ac:dyDescent="0.35">
      <c r="A1032" s="51">
        <v>41093</v>
      </c>
      <c r="B1032">
        <v>9348</v>
      </c>
      <c r="D1032">
        <v>8698</v>
      </c>
      <c r="E1032">
        <v>-19060</v>
      </c>
      <c r="F1032">
        <v>-146177</v>
      </c>
      <c r="G1032">
        <v>-5353</v>
      </c>
      <c r="H1032">
        <v>4175</v>
      </c>
      <c r="I1032">
        <v>17475</v>
      </c>
      <c r="J1032">
        <v>4320</v>
      </c>
    </row>
    <row r="1033" spans="1:10" x14ac:dyDescent="0.35">
      <c r="A1033" s="51">
        <v>41100</v>
      </c>
      <c r="B1033">
        <v>19065</v>
      </c>
      <c r="D1033">
        <v>4338</v>
      </c>
      <c r="E1033">
        <v>-17584</v>
      </c>
      <c r="F1033">
        <v>-165705</v>
      </c>
      <c r="G1033">
        <v>-7622</v>
      </c>
      <c r="H1033">
        <v>8952</v>
      </c>
      <c r="I1033">
        <v>25222</v>
      </c>
      <c r="J1033">
        <v>5591</v>
      </c>
    </row>
    <row r="1034" spans="1:10" x14ac:dyDescent="0.35">
      <c r="A1034" s="51">
        <v>41107</v>
      </c>
      <c r="B1034">
        <v>13931</v>
      </c>
      <c r="D1034">
        <v>-1208</v>
      </c>
      <c r="E1034">
        <v>-23090</v>
      </c>
      <c r="F1034">
        <v>-167249</v>
      </c>
      <c r="G1034">
        <v>-7453</v>
      </c>
      <c r="H1034">
        <v>11121</v>
      </c>
      <c r="I1034">
        <v>34989</v>
      </c>
      <c r="J1034">
        <v>6939</v>
      </c>
    </row>
    <row r="1035" spans="1:10" x14ac:dyDescent="0.35">
      <c r="A1035" s="51">
        <v>41114</v>
      </c>
      <c r="B1035">
        <v>26443</v>
      </c>
      <c r="D1035">
        <v>-2432</v>
      </c>
      <c r="E1035">
        <v>-25945</v>
      </c>
      <c r="F1035">
        <v>-155066</v>
      </c>
      <c r="G1035">
        <v>-2934</v>
      </c>
      <c r="H1035">
        <v>25061</v>
      </c>
      <c r="I1035">
        <v>49662</v>
      </c>
      <c r="J1035">
        <v>7779</v>
      </c>
    </row>
    <row r="1036" spans="1:10" x14ac:dyDescent="0.35">
      <c r="A1036" s="51">
        <v>41121</v>
      </c>
      <c r="B1036">
        <v>37235</v>
      </c>
      <c r="D1036">
        <v>12449</v>
      </c>
      <c r="E1036">
        <v>-18808</v>
      </c>
      <c r="F1036">
        <v>-138994</v>
      </c>
      <c r="G1036">
        <v>-1810</v>
      </c>
      <c r="H1036">
        <v>32254</v>
      </c>
      <c r="I1036">
        <v>47556</v>
      </c>
      <c r="J1036">
        <v>10347</v>
      </c>
    </row>
    <row r="1037" spans="1:10" x14ac:dyDescent="0.35">
      <c r="A1037" s="51">
        <v>41128</v>
      </c>
      <c r="B1037">
        <v>52894</v>
      </c>
      <c r="D1037">
        <v>19122</v>
      </c>
      <c r="E1037">
        <v>-17915</v>
      </c>
      <c r="F1037">
        <v>-131711</v>
      </c>
      <c r="G1037">
        <v>-8275</v>
      </c>
      <c r="H1037">
        <v>27539</v>
      </c>
      <c r="I1037">
        <v>69378</v>
      </c>
      <c r="J1037">
        <v>14588</v>
      </c>
    </row>
    <row r="1038" spans="1:10" x14ac:dyDescent="0.35">
      <c r="A1038" s="51">
        <v>41135</v>
      </c>
      <c r="B1038">
        <v>66679</v>
      </c>
      <c r="D1038">
        <v>28593</v>
      </c>
      <c r="E1038">
        <v>-18854</v>
      </c>
      <c r="F1038">
        <v>-137810</v>
      </c>
      <c r="G1038">
        <v>-288</v>
      </c>
      <c r="H1038">
        <v>30704</v>
      </c>
      <c r="I1038">
        <v>83511</v>
      </c>
      <c r="J1038">
        <v>15247</v>
      </c>
    </row>
    <row r="1039" spans="1:10" x14ac:dyDescent="0.35">
      <c r="A1039" s="51">
        <v>41142</v>
      </c>
      <c r="B1039">
        <v>86882</v>
      </c>
      <c r="D1039">
        <v>50867</v>
      </c>
      <c r="E1039">
        <v>-15662</v>
      </c>
      <c r="F1039">
        <v>-123932</v>
      </c>
      <c r="G1039">
        <v>7833</v>
      </c>
      <c r="H1039">
        <v>11171</v>
      </c>
      <c r="I1039">
        <v>97981</v>
      </c>
      <c r="J1039">
        <v>16372</v>
      </c>
    </row>
    <row r="1040" spans="1:10" x14ac:dyDescent="0.35">
      <c r="A1040" s="51">
        <v>41149</v>
      </c>
      <c r="B1040">
        <v>78072</v>
      </c>
      <c r="D1040">
        <v>60936</v>
      </c>
      <c r="E1040">
        <v>-11461</v>
      </c>
      <c r="F1040">
        <v>-101561</v>
      </c>
      <c r="G1040">
        <v>1968</v>
      </c>
      <c r="H1040">
        <v>21556</v>
      </c>
      <c r="I1040">
        <v>94626</v>
      </c>
      <c r="J1040">
        <v>14229</v>
      </c>
    </row>
    <row r="1041" spans="1:10" x14ac:dyDescent="0.35">
      <c r="A1041" s="51">
        <v>41156</v>
      </c>
      <c r="B1041">
        <v>62439</v>
      </c>
      <c r="D1041">
        <v>66555</v>
      </c>
      <c r="E1041">
        <v>-13112</v>
      </c>
      <c r="F1041">
        <v>-102306</v>
      </c>
      <c r="G1041">
        <v>-6868</v>
      </c>
      <c r="H1041">
        <v>24007</v>
      </c>
      <c r="I1041">
        <v>90881</v>
      </c>
      <c r="J1041">
        <v>11401</v>
      </c>
    </row>
    <row r="1042" spans="1:10" x14ac:dyDescent="0.35">
      <c r="A1042" s="51">
        <v>41163</v>
      </c>
      <c r="B1042">
        <v>68259</v>
      </c>
      <c r="D1042">
        <v>101860</v>
      </c>
      <c r="E1042">
        <v>-8967</v>
      </c>
      <c r="F1042">
        <v>-93658</v>
      </c>
      <c r="G1042">
        <v>-4366</v>
      </c>
      <c r="H1042">
        <v>32773</v>
      </c>
      <c r="I1042">
        <v>122243</v>
      </c>
      <c r="J1042">
        <v>10032</v>
      </c>
    </row>
    <row r="1043" spans="1:10" x14ac:dyDescent="0.35">
      <c r="A1043" s="51">
        <v>41170</v>
      </c>
      <c r="B1043">
        <v>69246</v>
      </c>
      <c r="D1043">
        <v>111881</v>
      </c>
      <c r="E1043">
        <v>-4527</v>
      </c>
      <c r="F1043">
        <v>-73482</v>
      </c>
      <c r="G1043">
        <v>14412</v>
      </c>
      <c r="H1043">
        <v>15476</v>
      </c>
      <c r="I1043">
        <v>118147</v>
      </c>
      <c r="J1043">
        <v>16605</v>
      </c>
    </row>
    <row r="1044" spans="1:10" x14ac:dyDescent="0.35">
      <c r="A1044" s="51">
        <v>41177</v>
      </c>
      <c r="B1044">
        <v>89562</v>
      </c>
      <c r="D1044">
        <v>105346</v>
      </c>
      <c r="E1044">
        <v>-904</v>
      </c>
      <c r="F1044">
        <v>-50238</v>
      </c>
      <c r="G1044">
        <v>27137</v>
      </c>
      <c r="H1044">
        <v>21111</v>
      </c>
      <c r="I1044">
        <v>141256</v>
      </c>
      <c r="J1044">
        <v>19965</v>
      </c>
    </row>
    <row r="1045" spans="1:10" x14ac:dyDescent="0.35">
      <c r="A1045" s="51">
        <v>41184</v>
      </c>
      <c r="B1045">
        <v>63743</v>
      </c>
      <c r="D1045">
        <v>101176</v>
      </c>
      <c r="E1045">
        <v>-984</v>
      </c>
      <c r="F1045">
        <v>-50265</v>
      </c>
      <c r="G1045">
        <v>30094</v>
      </c>
      <c r="H1045">
        <v>29335</v>
      </c>
      <c r="I1045">
        <v>135865</v>
      </c>
      <c r="J1045">
        <v>21381</v>
      </c>
    </row>
    <row r="1046" spans="1:10" x14ac:dyDescent="0.35">
      <c r="A1046" s="51">
        <v>41191</v>
      </c>
      <c r="B1046">
        <v>39814</v>
      </c>
      <c r="D1046">
        <v>95628</v>
      </c>
      <c r="E1046">
        <v>-306</v>
      </c>
      <c r="F1046">
        <v>-72570</v>
      </c>
      <c r="G1046">
        <v>22572</v>
      </c>
      <c r="H1046">
        <v>12914</v>
      </c>
      <c r="I1046">
        <v>136392</v>
      </c>
      <c r="J1046">
        <v>16710</v>
      </c>
    </row>
    <row r="1047" spans="1:10" x14ac:dyDescent="0.35">
      <c r="A1047" s="51">
        <v>41198</v>
      </c>
      <c r="B1047">
        <v>38444</v>
      </c>
      <c r="D1047">
        <v>93750</v>
      </c>
      <c r="E1047">
        <v>-1192</v>
      </c>
      <c r="F1047">
        <v>-53495</v>
      </c>
      <c r="G1047">
        <v>19599</v>
      </c>
      <c r="H1047">
        <v>10086</v>
      </c>
      <c r="I1047">
        <v>135456</v>
      </c>
      <c r="J1047">
        <v>16284</v>
      </c>
    </row>
    <row r="1048" spans="1:10" x14ac:dyDescent="0.35">
      <c r="A1048" s="51">
        <v>41205</v>
      </c>
      <c r="B1048">
        <v>45651</v>
      </c>
      <c r="D1048">
        <v>89088</v>
      </c>
      <c r="E1048">
        <v>2361</v>
      </c>
      <c r="F1048">
        <v>-55219</v>
      </c>
      <c r="G1048">
        <v>18397</v>
      </c>
      <c r="H1048">
        <v>-18196</v>
      </c>
      <c r="I1048">
        <v>132402</v>
      </c>
      <c r="J1048">
        <v>16349</v>
      </c>
    </row>
    <row r="1049" spans="1:10" x14ac:dyDescent="0.35">
      <c r="A1049" s="51">
        <v>41212</v>
      </c>
      <c r="B1049">
        <v>52090</v>
      </c>
      <c r="D1049">
        <v>78771</v>
      </c>
      <c r="E1049">
        <v>2366</v>
      </c>
      <c r="F1049">
        <v>-58204</v>
      </c>
      <c r="G1049">
        <v>23403</v>
      </c>
      <c r="H1049">
        <v>-37020</v>
      </c>
      <c r="I1049">
        <v>126009</v>
      </c>
      <c r="J1049">
        <v>16745</v>
      </c>
    </row>
    <row r="1050" spans="1:10" x14ac:dyDescent="0.35">
      <c r="A1050" s="51">
        <v>41219</v>
      </c>
      <c r="B1050">
        <v>60317</v>
      </c>
      <c r="D1050">
        <v>74762</v>
      </c>
      <c r="E1050">
        <v>-303</v>
      </c>
      <c r="F1050">
        <v>-67141</v>
      </c>
      <c r="G1050">
        <v>19279</v>
      </c>
      <c r="H1050">
        <v>-40104</v>
      </c>
      <c r="I1050">
        <v>114422</v>
      </c>
      <c r="J1050">
        <v>19388</v>
      </c>
    </row>
    <row r="1051" spans="1:10" x14ac:dyDescent="0.35">
      <c r="A1051" s="51">
        <v>41226</v>
      </c>
      <c r="B1051">
        <v>68146</v>
      </c>
      <c r="D1051">
        <v>66119</v>
      </c>
      <c r="E1051">
        <v>-8888</v>
      </c>
      <c r="F1051">
        <v>-83646</v>
      </c>
      <c r="G1051">
        <v>8228</v>
      </c>
      <c r="H1051">
        <v>-30447</v>
      </c>
      <c r="I1051">
        <v>96994</v>
      </c>
      <c r="J1051">
        <v>19194</v>
      </c>
    </row>
    <row r="1052" spans="1:10" x14ac:dyDescent="0.35">
      <c r="A1052" s="51">
        <v>41233</v>
      </c>
      <c r="B1052">
        <v>64711</v>
      </c>
      <c r="D1052">
        <v>61446</v>
      </c>
      <c r="E1052">
        <v>-12488</v>
      </c>
      <c r="F1052">
        <v>-91400</v>
      </c>
      <c r="G1052">
        <v>730</v>
      </c>
      <c r="H1052">
        <v>-51389</v>
      </c>
      <c r="I1052">
        <v>86787</v>
      </c>
      <c r="J1052">
        <v>17858</v>
      </c>
    </row>
    <row r="1053" spans="1:10" x14ac:dyDescent="0.35">
      <c r="A1053" s="51">
        <v>41240</v>
      </c>
      <c r="B1053">
        <v>76806</v>
      </c>
      <c r="D1053">
        <v>62379</v>
      </c>
      <c r="E1053">
        <v>-3367</v>
      </c>
      <c r="F1053">
        <v>-66693</v>
      </c>
      <c r="G1053">
        <v>10278</v>
      </c>
      <c r="H1053">
        <v>-79466</v>
      </c>
      <c r="I1053">
        <v>93858</v>
      </c>
      <c r="J1053">
        <v>18710</v>
      </c>
    </row>
    <row r="1054" spans="1:10" x14ac:dyDescent="0.35">
      <c r="A1054" s="51">
        <v>41247</v>
      </c>
      <c r="B1054">
        <v>92229</v>
      </c>
      <c r="D1054">
        <v>57071</v>
      </c>
      <c r="E1054">
        <v>636</v>
      </c>
      <c r="F1054">
        <v>-32795</v>
      </c>
      <c r="G1054">
        <v>27270</v>
      </c>
      <c r="H1054">
        <v>-90326</v>
      </c>
      <c r="I1054">
        <v>118962</v>
      </c>
      <c r="J1054">
        <v>21088</v>
      </c>
    </row>
    <row r="1055" spans="1:10" x14ac:dyDescent="0.35">
      <c r="A1055" s="51">
        <v>41254</v>
      </c>
      <c r="B1055">
        <v>103376</v>
      </c>
      <c r="D1055">
        <v>62533</v>
      </c>
      <c r="E1055">
        <v>3209</v>
      </c>
      <c r="F1055">
        <v>-31623</v>
      </c>
      <c r="G1055">
        <v>27954</v>
      </c>
      <c r="H1055">
        <v>-94401</v>
      </c>
      <c r="I1055">
        <v>149271</v>
      </c>
      <c r="J1055">
        <v>24600</v>
      </c>
    </row>
    <row r="1056" spans="1:10" x14ac:dyDescent="0.35">
      <c r="A1056" s="51">
        <v>41261</v>
      </c>
      <c r="B1056">
        <v>97496</v>
      </c>
      <c r="D1056">
        <v>74278</v>
      </c>
      <c r="E1056">
        <v>4280</v>
      </c>
      <c r="F1056">
        <v>-9736</v>
      </c>
      <c r="G1056">
        <v>28036</v>
      </c>
      <c r="H1056">
        <v>-89163</v>
      </c>
      <c r="I1056">
        <v>147749</v>
      </c>
      <c r="J1056">
        <v>14230</v>
      </c>
    </row>
    <row r="1057" spans="1:10" x14ac:dyDescent="0.35">
      <c r="A1057" s="51">
        <v>41268</v>
      </c>
      <c r="B1057">
        <v>75433</v>
      </c>
      <c r="D1057">
        <v>63352</v>
      </c>
      <c r="E1057">
        <v>11435</v>
      </c>
      <c r="F1057">
        <v>-2549</v>
      </c>
      <c r="G1057">
        <v>37321</v>
      </c>
      <c r="H1057">
        <v>-85608</v>
      </c>
      <c r="I1057">
        <v>149355</v>
      </c>
      <c r="J1057">
        <v>14739</v>
      </c>
    </row>
    <row r="1058" spans="1:10" x14ac:dyDescent="0.35">
      <c r="A1058" s="51">
        <v>41275</v>
      </c>
      <c r="B1058">
        <v>79522</v>
      </c>
      <c r="D1058">
        <v>65926</v>
      </c>
      <c r="E1058">
        <v>11631</v>
      </c>
      <c r="F1058">
        <v>5126</v>
      </c>
      <c r="G1058">
        <v>36308</v>
      </c>
      <c r="H1058">
        <v>-80517</v>
      </c>
      <c r="I1058">
        <v>141752</v>
      </c>
      <c r="J1058">
        <v>17082</v>
      </c>
    </row>
    <row r="1059" spans="1:10" x14ac:dyDescent="0.35">
      <c r="A1059" s="51">
        <v>41282</v>
      </c>
      <c r="B1059">
        <v>80315</v>
      </c>
      <c r="D1059">
        <v>64005</v>
      </c>
      <c r="E1059">
        <v>10261</v>
      </c>
      <c r="F1059">
        <v>-8035</v>
      </c>
      <c r="G1059">
        <v>25949</v>
      </c>
      <c r="H1059">
        <v>-74096</v>
      </c>
      <c r="I1059">
        <v>139523</v>
      </c>
      <c r="J1059">
        <v>19220</v>
      </c>
    </row>
    <row r="1060" spans="1:10" x14ac:dyDescent="0.35">
      <c r="A1060" s="51">
        <v>41289</v>
      </c>
      <c r="B1060">
        <v>89057</v>
      </c>
      <c r="D1060">
        <v>68668</v>
      </c>
      <c r="E1060">
        <v>12770</v>
      </c>
      <c r="F1060">
        <v>7315</v>
      </c>
      <c r="G1060">
        <v>28338</v>
      </c>
      <c r="H1060">
        <v>-65727</v>
      </c>
      <c r="I1060">
        <v>151665</v>
      </c>
      <c r="J1060">
        <v>22262</v>
      </c>
    </row>
    <row r="1061" spans="1:10" x14ac:dyDescent="0.35">
      <c r="A1061" s="51">
        <v>41296</v>
      </c>
      <c r="B1061">
        <v>97011</v>
      </c>
      <c r="D1061">
        <v>57952</v>
      </c>
      <c r="E1061">
        <v>6384</v>
      </c>
      <c r="F1061">
        <v>21381</v>
      </c>
      <c r="G1061">
        <v>17938</v>
      </c>
      <c r="H1061">
        <v>-64068</v>
      </c>
      <c r="I1061">
        <v>150037</v>
      </c>
      <c r="J1061">
        <v>23532</v>
      </c>
    </row>
    <row r="1062" spans="1:10" x14ac:dyDescent="0.35">
      <c r="A1062" s="51">
        <v>41303</v>
      </c>
      <c r="B1062">
        <v>85296</v>
      </c>
      <c r="D1062">
        <v>35057</v>
      </c>
      <c r="E1062">
        <v>4148</v>
      </c>
      <c r="F1062">
        <v>27472</v>
      </c>
      <c r="G1062">
        <v>10622</v>
      </c>
      <c r="H1062">
        <v>-71246</v>
      </c>
      <c r="I1062">
        <v>148871</v>
      </c>
      <c r="J1062">
        <v>21816</v>
      </c>
    </row>
    <row r="1063" spans="1:10" x14ac:dyDescent="0.35">
      <c r="A1063" s="51">
        <v>41310</v>
      </c>
      <c r="B1063">
        <v>80940</v>
      </c>
      <c r="D1063">
        <v>27761</v>
      </c>
      <c r="E1063">
        <v>3876</v>
      </c>
      <c r="F1063">
        <v>37952</v>
      </c>
      <c r="G1063">
        <v>1174</v>
      </c>
      <c r="H1063">
        <v>-68413</v>
      </c>
      <c r="I1063">
        <v>141502</v>
      </c>
      <c r="J1063">
        <v>22700</v>
      </c>
    </row>
    <row r="1064" spans="1:10" x14ac:dyDescent="0.35">
      <c r="A1064" s="51">
        <v>41317</v>
      </c>
      <c r="B1064">
        <v>54114</v>
      </c>
      <c r="D1064">
        <v>26565</v>
      </c>
      <c r="E1064">
        <v>4552</v>
      </c>
      <c r="F1064">
        <v>24181</v>
      </c>
      <c r="G1064">
        <v>-16776</v>
      </c>
      <c r="H1064">
        <v>-61306</v>
      </c>
      <c r="I1064">
        <v>124579</v>
      </c>
      <c r="J1064">
        <v>21338</v>
      </c>
    </row>
    <row r="1065" spans="1:10" x14ac:dyDescent="0.35">
      <c r="A1065" s="51">
        <v>41324</v>
      </c>
      <c r="B1065">
        <v>43981</v>
      </c>
      <c r="D1065">
        <v>19379</v>
      </c>
      <c r="E1065">
        <v>-675</v>
      </c>
      <c r="F1065">
        <v>19103</v>
      </c>
      <c r="G1065">
        <v>-23365</v>
      </c>
      <c r="H1065">
        <v>-65891</v>
      </c>
      <c r="I1065">
        <v>116165</v>
      </c>
      <c r="J1065">
        <v>24693</v>
      </c>
    </row>
    <row r="1066" spans="1:10" x14ac:dyDescent="0.35">
      <c r="A1066" s="51">
        <v>41331</v>
      </c>
      <c r="B1066">
        <v>25695</v>
      </c>
      <c r="D1066">
        <v>-21433</v>
      </c>
      <c r="E1066">
        <v>-8191</v>
      </c>
      <c r="F1066">
        <v>-9394</v>
      </c>
      <c r="G1066">
        <v>-36130</v>
      </c>
      <c r="H1066">
        <v>-65344</v>
      </c>
      <c r="I1066">
        <v>104804</v>
      </c>
      <c r="J1066">
        <v>20297</v>
      </c>
    </row>
    <row r="1067" spans="1:10" x14ac:dyDescent="0.35">
      <c r="A1067" s="51">
        <v>41338</v>
      </c>
      <c r="B1067">
        <v>7149</v>
      </c>
      <c r="D1067">
        <v>-46663</v>
      </c>
      <c r="E1067">
        <v>-11450</v>
      </c>
      <c r="F1067">
        <v>-26116</v>
      </c>
      <c r="G1067">
        <v>-43849</v>
      </c>
      <c r="H1067">
        <v>-73351</v>
      </c>
      <c r="I1067">
        <v>93521</v>
      </c>
      <c r="J1067">
        <v>19044</v>
      </c>
    </row>
    <row r="1068" spans="1:10" x14ac:dyDescent="0.35">
      <c r="A1068" s="51">
        <v>41345</v>
      </c>
      <c r="B1068">
        <v>23266</v>
      </c>
      <c r="D1068">
        <v>-53397</v>
      </c>
      <c r="E1068">
        <v>-13488</v>
      </c>
      <c r="F1068">
        <v>-24787</v>
      </c>
      <c r="G1068">
        <v>-49800</v>
      </c>
      <c r="H1068">
        <v>-93763</v>
      </c>
      <c r="I1068">
        <v>113770</v>
      </c>
      <c r="J1068">
        <v>19350</v>
      </c>
    </row>
    <row r="1069" spans="1:10" x14ac:dyDescent="0.35">
      <c r="A1069" s="51">
        <v>41352</v>
      </c>
      <c r="B1069">
        <v>54055</v>
      </c>
      <c r="D1069">
        <v>-65331</v>
      </c>
      <c r="E1069">
        <v>-10996</v>
      </c>
      <c r="F1069">
        <v>-44884</v>
      </c>
      <c r="G1069">
        <v>-61480</v>
      </c>
      <c r="H1069">
        <v>-79993</v>
      </c>
      <c r="I1069">
        <v>109376</v>
      </c>
      <c r="J1069">
        <v>12477</v>
      </c>
    </row>
    <row r="1070" spans="1:10" x14ac:dyDescent="0.35">
      <c r="A1070" s="51">
        <v>41359</v>
      </c>
      <c r="B1070">
        <v>85515</v>
      </c>
      <c r="D1070">
        <v>-62645</v>
      </c>
      <c r="E1070">
        <v>-12198</v>
      </c>
      <c r="F1070">
        <v>-49095</v>
      </c>
      <c r="G1070">
        <v>-66555</v>
      </c>
      <c r="H1070">
        <v>-89149</v>
      </c>
      <c r="I1070">
        <v>128162</v>
      </c>
      <c r="J1070">
        <v>16916</v>
      </c>
    </row>
    <row r="1071" spans="1:10" x14ac:dyDescent="0.35">
      <c r="A1071" s="51">
        <v>41366</v>
      </c>
      <c r="B1071">
        <v>83971</v>
      </c>
      <c r="D1071">
        <v>-64544</v>
      </c>
      <c r="E1071">
        <v>-12015</v>
      </c>
      <c r="F1071">
        <v>-65701</v>
      </c>
      <c r="G1071">
        <v>-65020</v>
      </c>
      <c r="H1071">
        <v>-78171</v>
      </c>
      <c r="I1071">
        <v>142755</v>
      </c>
      <c r="J1071">
        <v>18387</v>
      </c>
    </row>
    <row r="1072" spans="1:10" x14ac:dyDescent="0.35">
      <c r="A1072" s="51">
        <v>41373</v>
      </c>
      <c r="B1072">
        <v>77879</v>
      </c>
      <c r="D1072">
        <v>-71133</v>
      </c>
      <c r="E1072">
        <v>-10014</v>
      </c>
      <c r="F1072">
        <v>-50858</v>
      </c>
      <c r="G1072">
        <v>-69969</v>
      </c>
      <c r="H1072">
        <v>-77697</v>
      </c>
      <c r="I1072">
        <v>142542</v>
      </c>
      <c r="J1072">
        <v>25150</v>
      </c>
    </row>
    <row r="1073" spans="1:10" x14ac:dyDescent="0.35">
      <c r="A1073" s="51">
        <v>41380</v>
      </c>
      <c r="B1073">
        <v>53175</v>
      </c>
      <c r="D1073">
        <v>-75913</v>
      </c>
      <c r="E1073">
        <v>-3253</v>
      </c>
      <c r="F1073">
        <v>-29764</v>
      </c>
      <c r="G1073">
        <v>-61975</v>
      </c>
      <c r="H1073">
        <v>-93411</v>
      </c>
      <c r="I1073">
        <v>151288</v>
      </c>
      <c r="J1073">
        <v>30808</v>
      </c>
    </row>
    <row r="1074" spans="1:10" x14ac:dyDescent="0.35">
      <c r="A1074" s="51">
        <v>41387</v>
      </c>
      <c r="B1074">
        <v>31257</v>
      </c>
      <c r="D1074">
        <v>-71679</v>
      </c>
      <c r="E1074">
        <v>1179</v>
      </c>
      <c r="F1074">
        <v>-34275</v>
      </c>
      <c r="G1074">
        <v>-60112</v>
      </c>
      <c r="H1074">
        <v>-79730</v>
      </c>
      <c r="I1074">
        <v>146911</v>
      </c>
      <c r="J1074">
        <v>27705</v>
      </c>
    </row>
    <row r="1075" spans="1:10" x14ac:dyDescent="0.35">
      <c r="A1075" s="51">
        <v>41394</v>
      </c>
      <c r="B1075">
        <v>30234</v>
      </c>
      <c r="D1075">
        <v>-67848</v>
      </c>
      <c r="E1075">
        <v>-8264</v>
      </c>
      <c r="F1075">
        <v>-30149</v>
      </c>
      <c r="G1075">
        <v>-58607</v>
      </c>
      <c r="H1075">
        <v>-71127</v>
      </c>
      <c r="I1075">
        <v>138551</v>
      </c>
      <c r="J1075">
        <v>29050</v>
      </c>
    </row>
    <row r="1076" spans="1:10" x14ac:dyDescent="0.35">
      <c r="A1076" s="51">
        <v>41401</v>
      </c>
      <c r="B1076">
        <v>6630</v>
      </c>
      <c r="D1076">
        <v>-51916</v>
      </c>
      <c r="E1076">
        <v>-6235</v>
      </c>
      <c r="F1076">
        <v>-33533</v>
      </c>
      <c r="G1076">
        <v>-63086</v>
      </c>
      <c r="H1076">
        <v>-78560</v>
      </c>
      <c r="I1076">
        <v>138444</v>
      </c>
      <c r="J1076">
        <v>28536</v>
      </c>
    </row>
    <row r="1077" spans="1:10" x14ac:dyDescent="0.35">
      <c r="A1077" s="51">
        <v>41408</v>
      </c>
      <c r="B1077">
        <v>-13450</v>
      </c>
      <c r="D1077">
        <v>-44417</v>
      </c>
      <c r="E1077">
        <v>-15410</v>
      </c>
      <c r="F1077">
        <v>-46921</v>
      </c>
      <c r="G1077">
        <v>-65355</v>
      </c>
      <c r="H1077">
        <v>-88407</v>
      </c>
      <c r="I1077">
        <v>140319</v>
      </c>
      <c r="J1077">
        <v>23216</v>
      </c>
    </row>
    <row r="1078" spans="1:10" x14ac:dyDescent="0.35">
      <c r="A1078" s="51">
        <v>41415</v>
      </c>
      <c r="B1078">
        <v>-32409</v>
      </c>
      <c r="D1078">
        <v>-33852</v>
      </c>
      <c r="E1078">
        <v>-19930</v>
      </c>
      <c r="F1078">
        <v>-80949</v>
      </c>
      <c r="G1078">
        <v>-76976</v>
      </c>
      <c r="H1078">
        <v>-95186</v>
      </c>
      <c r="I1078">
        <v>136863</v>
      </c>
      <c r="J1078">
        <v>17782</v>
      </c>
    </row>
    <row r="1079" spans="1:10" x14ac:dyDescent="0.35">
      <c r="A1079" s="51">
        <v>41422</v>
      </c>
      <c r="B1079">
        <v>-42307</v>
      </c>
      <c r="D1079">
        <v>-33359</v>
      </c>
      <c r="E1079">
        <v>-28972</v>
      </c>
      <c r="F1079">
        <v>-84644</v>
      </c>
      <c r="G1079">
        <v>-74525</v>
      </c>
      <c r="H1079">
        <v>-99769</v>
      </c>
      <c r="I1079">
        <v>120864</v>
      </c>
      <c r="J1079">
        <v>14011</v>
      </c>
    </row>
    <row r="1080" spans="1:10" x14ac:dyDescent="0.35">
      <c r="A1080" s="51">
        <v>41429</v>
      </c>
      <c r="B1080">
        <v>-58550</v>
      </c>
      <c r="D1080">
        <v>-39776</v>
      </c>
      <c r="E1080">
        <v>-25803</v>
      </c>
      <c r="F1080">
        <v>-51621</v>
      </c>
      <c r="G1080">
        <v>-77738</v>
      </c>
      <c r="H1080">
        <v>-82744</v>
      </c>
      <c r="I1080">
        <v>82871</v>
      </c>
      <c r="J1080">
        <v>6013</v>
      </c>
    </row>
    <row r="1081" spans="1:10" x14ac:dyDescent="0.35">
      <c r="A1081" s="51">
        <v>41436</v>
      </c>
      <c r="B1081">
        <v>-63277</v>
      </c>
      <c r="D1081">
        <v>-35907</v>
      </c>
      <c r="E1081">
        <v>-20738</v>
      </c>
      <c r="F1081">
        <v>-7533</v>
      </c>
      <c r="G1081">
        <v>-53687</v>
      </c>
      <c r="H1081">
        <v>-72906</v>
      </c>
      <c r="I1081">
        <v>63774</v>
      </c>
      <c r="J1081">
        <v>2653</v>
      </c>
    </row>
    <row r="1082" spans="1:10" x14ac:dyDescent="0.35">
      <c r="A1082" s="51">
        <v>41443</v>
      </c>
      <c r="B1082">
        <v>-63521</v>
      </c>
      <c r="D1082">
        <v>-26087</v>
      </c>
      <c r="E1082">
        <v>5791</v>
      </c>
      <c r="F1082">
        <v>20030</v>
      </c>
      <c r="G1082">
        <v>-20406</v>
      </c>
      <c r="H1082">
        <v>-61890</v>
      </c>
      <c r="I1082">
        <v>20949</v>
      </c>
      <c r="J1082">
        <v>2126</v>
      </c>
    </row>
    <row r="1083" spans="1:10" x14ac:dyDescent="0.35">
      <c r="A1083" s="51">
        <v>41450</v>
      </c>
      <c r="B1083">
        <v>-61644</v>
      </c>
      <c r="D1083">
        <v>-10638</v>
      </c>
      <c r="E1083">
        <v>2464</v>
      </c>
      <c r="F1083">
        <v>17357</v>
      </c>
      <c r="G1083">
        <v>-19429</v>
      </c>
      <c r="H1083">
        <v>-61462</v>
      </c>
      <c r="I1083">
        <v>4981</v>
      </c>
      <c r="J1083">
        <v>-711</v>
      </c>
    </row>
    <row r="1084" spans="1:10" x14ac:dyDescent="0.35">
      <c r="A1084" s="51">
        <v>41457</v>
      </c>
      <c r="B1084">
        <v>-70515</v>
      </c>
      <c r="D1084">
        <v>-16250</v>
      </c>
      <c r="E1084">
        <v>-116</v>
      </c>
      <c r="F1084">
        <v>-16090</v>
      </c>
      <c r="G1084">
        <v>-31324</v>
      </c>
      <c r="H1084">
        <v>-70736</v>
      </c>
      <c r="I1084">
        <v>2847</v>
      </c>
      <c r="J1084">
        <v>-1174</v>
      </c>
    </row>
    <row r="1085" spans="1:10" x14ac:dyDescent="0.35">
      <c r="A1085" s="51">
        <v>41464</v>
      </c>
      <c r="B1085">
        <v>-63255</v>
      </c>
      <c r="D1085">
        <v>-23829</v>
      </c>
      <c r="E1085">
        <v>-1776</v>
      </c>
      <c r="F1085">
        <v>-40900</v>
      </c>
      <c r="G1085">
        <v>-34259</v>
      </c>
      <c r="H1085">
        <v>-80305</v>
      </c>
      <c r="I1085">
        <v>8035</v>
      </c>
      <c r="J1085">
        <v>-1008</v>
      </c>
    </row>
    <row r="1086" spans="1:10" x14ac:dyDescent="0.35">
      <c r="A1086" s="51">
        <v>41471</v>
      </c>
      <c r="B1086">
        <v>-70686</v>
      </c>
      <c r="D1086">
        <v>-20043</v>
      </c>
      <c r="E1086">
        <v>-4969</v>
      </c>
      <c r="F1086">
        <v>-37165</v>
      </c>
      <c r="G1086">
        <v>-37446</v>
      </c>
      <c r="H1086">
        <v>-85762</v>
      </c>
      <c r="I1086">
        <v>11366</v>
      </c>
      <c r="J1086">
        <v>-2744</v>
      </c>
    </row>
    <row r="1087" spans="1:10" x14ac:dyDescent="0.35">
      <c r="A1087" s="51">
        <v>41478</v>
      </c>
      <c r="B1087">
        <v>-63982</v>
      </c>
      <c r="D1087">
        <v>-16758</v>
      </c>
      <c r="E1087">
        <v>-5433</v>
      </c>
      <c r="F1087">
        <v>-27900</v>
      </c>
      <c r="G1087">
        <v>-49653</v>
      </c>
      <c r="H1087">
        <v>-87496</v>
      </c>
      <c r="I1087">
        <v>19799</v>
      </c>
      <c r="J1087">
        <v>-1846</v>
      </c>
    </row>
    <row r="1088" spans="1:10" x14ac:dyDescent="0.35">
      <c r="A1088" s="51">
        <v>41485</v>
      </c>
      <c r="B1088">
        <v>-72573</v>
      </c>
      <c r="D1088">
        <v>-11434</v>
      </c>
      <c r="E1088">
        <v>-1261</v>
      </c>
      <c r="F1088">
        <v>-8504</v>
      </c>
      <c r="G1088">
        <v>-49463</v>
      </c>
      <c r="H1088">
        <v>-82135</v>
      </c>
      <c r="I1088">
        <v>24888</v>
      </c>
      <c r="J1088">
        <v>-520</v>
      </c>
    </row>
    <row r="1089" spans="1:10" x14ac:dyDescent="0.35">
      <c r="A1089" s="51">
        <v>41492</v>
      </c>
      <c r="B1089">
        <v>-76779</v>
      </c>
      <c r="D1089">
        <v>-10436</v>
      </c>
      <c r="E1089">
        <v>-325</v>
      </c>
      <c r="F1089">
        <v>6061</v>
      </c>
      <c r="G1089">
        <v>-46033</v>
      </c>
      <c r="H1089">
        <v>-80213</v>
      </c>
      <c r="I1089">
        <v>32125</v>
      </c>
      <c r="J1089">
        <v>-1539</v>
      </c>
    </row>
    <row r="1090" spans="1:10" x14ac:dyDescent="0.35">
      <c r="A1090" s="51">
        <v>41499</v>
      </c>
      <c r="B1090">
        <v>-62721</v>
      </c>
      <c r="D1090">
        <v>-9081</v>
      </c>
      <c r="E1090">
        <v>2136</v>
      </c>
      <c r="F1090">
        <v>16057</v>
      </c>
      <c r="G1090">
        <v>-46521</v>
      </c>
      <c r="H1090">
        <v>-74462</v>
      </c>
      <c r="I1090">
        <v>36320</v>
      </c>
      <c r="J1090">
        <v>197</v>
      </c>
    </row>
    <row r="1091" spans="1:10" x14ac:dyDescent="0.35">
      <c r="A1091" s="51">
        <v>41506</v>
      </c>
      <c r="B1091">
        <v>-63183</v>
      </c>
      <c r="D1091">
        <v>-9544</v>
      </c>
      <c r="E1091">
        <v>291</v>
      </c>
      <c r="F1091">
        <v>36746</v>
      </c>
      <c r="G1091">
        <v>-39522</v>
      </c>
      <c r="H1091">
        <v>-71721</v>
      </c>
      <c r="I1091">
        <v>36131</v>
      </c>
      <c r="J1091">
        <v>2390</v>
      </c>
    </row>
    <row r="1092" spans="1:10" x14ac:dyDescent="0.35">
      <c r="A1092" s="51">
        <v>41513</v>
      </c>
      <c r="B1092">
        <v>-71117</v>
      </c>
      <c r="D1092">
        <v>-24959</v>
      </c>
      <c r="E1092">
        <v>402</v>
      </c>
      <c r="F1092">
        <v>40081</v>
      </c>
      <c r="G1092">
        <v>-38226</v>
      </c>
      <c r="H1092">
        <v>-78353</v>
      </c>
      <c r="I1092">
        <v>7198</v>
      </c>
      <c r="J1092">
        <v>252</v>
      </c>
    </row>
    <row r="1093" spans="1:10" x14ac:dyDescent="0.35">
      <c r="A1093" s="51">
        <v>41520</v>
      </c>
      <c r="B1093">
        <v>-71506</v>
      </c>
      <c r="D1093">
        <v>-34639</v>
      </c>
      <c r="E1093">
        <v>1059</v>
      </c>
      <c r="F1093">
        <v>22738</v>
      </c>
      <c r="G1093">
        <v>-43046</v>
      </c>
      <c r="H1093">
        <v>-79761</v>
      </c>
      <c r="I1093">
        <v>688</v>
      </c>
      <c r="J1093">
        <v>-797</v>
      </c>
    </row>
    <row r="1094" spans="1:10" x14ac:dyDescent="0.35">
      <c r="A1094" s="51">
        <v>41527</v>
      </c>
      <c r="B1094">
        <v>-60032</v>
      </c>
      <c r="D1094">
        <v>-30942</v>
      </c>
      <c r="E1094">
        <v>420</v>
      </c>
      <c r="F1094">
        <v>12696</v>
      </c>
      <c r="G1094">
        <v>-38166</v>
      </c>
      <c r="H1094">
        <v>-95066</v>
      </c>
      <c r="I1094">
        <v>8279</v>
      </c>
      <c r="J1094">
        <v>-601</v>
      </c>
    </row>
    <row r="1095" spans="1:10" x14ac:dyDescent="0.35">
      <c r="A1095" s="51">
        <v>41534</v>
      </c>
      <c r="B1095">
        <v>-27360</v>
      </c>
      <c r="D1095">
        <v>-18764</v>
      </c>
      <c r="E1095">
        <v>616</v>
      </c>
      <c r="F1095">
        <v>31907</v>
      </c>
      <c r="G1095">
        <v>-6310</v>
      </c>
      <c r="H1095">
        <v>-88794</v>
      </c>
      <c r="I1095">
        <v>-10201</v>
      </c>
      <c r="J1095">
        <v>5657</v>
      </c>
    </row>
    <row r="1096" spans="1:10" x14ac:dyDescent="0.35">
      <c r="A1096" s="51">
        <v>41541</v>
      </c>
      <c r="B1096">
        <v>-34819</v>
      </c>
      <c r="D1096">
        <v>-5675</v>
      </c>
      <c r="E1096">
        <v>5745</v>
      </c>
      <c r="F1096">
        <v>65844</v>
      </c>
      <c r="G1096">
        <v>1174</v>
      </c>
      <c r="H1096">
        <v>-92818</v>
      </c>
      <c r="I1096">
        <v>14023</v>
      </c>
      <c r="J1096">
        <v>8055</v>
      </c>
    </row>
    <row r="1097" spans="1:10" x14ac:dyDescent="0.35">
      <c r="A1097" s="51">
        <v>41548</v>
      </c>
      <c r="B1097">
        <v>-28804</v>
      </c>
      <c r="D1097">
        <v>-955</v>
      </c>
      <c r="E1097">
        <v>6636</v>
      </c>
      <c r="F1097">
        <v>68276</v>
      </c>
      <c r="G1097">
        <v>1496</v>
      </c>
      <c r="H1097">
        <v>-82324</v>
      </c>
      <c r="I1097">
        <v>14601</v>
      </c>
      <c r="J1097">
        <v>10891</v>
      </c>
    </row>
    <row r="1098" spans="1:10" x14ac:dyDescent="0.35">
      <c r="A1098" s="51">
        <v>41555</v>
      </c>
      <c r="B1098">
        <v>-26404</v>
      </c>
      <c r="D1098">
        <v>-8663</v>
      </c>
      <c r="E1098">
        <v>10415</v>
      </c>
      <c r="F1098">
        <v>68683</v>
      </c>
      <c r="G1098">
        <v>8771</v>
      </c>
      <c r="H1098">
        <v>-57097</v>
      </c>
      <c r="I1098">
        <v>10933</v>
      </c>
      <c r="J1098">
        <v>10766</v>
      </c>
    </row>
    <row r="1099" spans="1:10" x14ac:dyDescent="0.35">
      <c r="A1099" s="51">
        <v>41562</v>
      </c>
      <c r="B1099">
        <v>-32237</v>
      </c>
      <c r="D1099">
        <v>-10814</v>
      </c>
      <c r="E1099">
        <v>10767</v>
      </c>
      <c r="F1099">
        <v>60374</v>
      </c>
      <c r="G1099">
        <v>12231</v>
      </c>
      <c r="H1099">
        <v>-59266</v>
      </c>
      <c r="I1099">
        <v>7761</v>
      </c>
      <c r="J1099">
        <v>12668</v>
      </c>
    </row>
    <row r="1100" spans="1:10" x14ac:dyDescent="0.35">
      <c r="A1100" s="51">
        <v>41569</v>
      </c>
      <c r="B1100">
        <v>-22111</v>
      </c>
      <c r="D1100">
        <v>-5364</v>
      </c>
      <c r="E1100">
        <v>10931</v>
      </c>
      <c r="F1100">
        <v>72434</v>
      </c>
      <c r="G1100">
        <v>14262</v>
      </c>
      <c r="H1100">
        <v>-71802</v>
      </c>
      <c r="I1100">
        <v>7214</v>
      </c>
      <c r="J1100">
        <v>13114</v>
      </c>
    </row>
    <row r="1101" spans="1:10" x14ac:dyDescent="0.35">
      <c r="A1101" s="51">
        <v>41576</v>
      </c>
      <c r="B1101">
        <v>-23198</v>
      </c>
      <c r="D1101">
        <v>-15237</v>
      </c>
      <c r="E1101">
        <v>11451</v>
      </c>
      <c r="F1101">
        <v>70617</v>
      </c>
      <c r="G1101">
        <v>10162</v>
      </c>
      <c r="H1101">
        <v>-62395</v>
      </c>
      <c r="I1101">
        <v>4896</v>
      </c>
      <c r="J1101">
        <v>10625</v>
      </c>
    </row>
    <row r="1102" spans="1:10" x14ac:dyDescent="0.35">
      <c r="A1102" s="51">
        <v>41583</v>
      </c>
      <c r="B1102">
        <v>-25067</v>
      </c>
      <c r="D1102">
        <v>-18002</v>
      </c>
      <c r="E1102">
        <v>8095</v>
      </c>
      <c r="F1102">
        <v>33143</v>
      </c>
      <c r="G1102">
        <v>-2392</v>
      </c>
      <c r="H1102">
        <v>-73792</v>
      </c>
      <c r="I1102">
        <v>5180</v>
      </c>
      <c r="J1102">
        <v>9708</v>
      </c>
    </row>
    <row r="1103" spans="1:10" x14ac:dyDescent="0.35">
      <c r="A1103" s="51">
        <v>41590</v>
      </c>
      <c r="B1103">
        <v>-35809</v>
      </c>
      <c r="D1103">
        <v>-16092</v>
      </c>
      <c r="E1103">
        <v>3189</v>
      </c>
      <c r="F1103">
        <v>16826</v>
      </c>
      <c r="G1103">
        <v>-9303</v>
      </c>
      <c r="H1103">
        <v>-95107</v>
      </c>
      <c r="I1103">
        <v>7017</v>
      </c>
      <c r="J1103">
        <v>10366</v>
      </c>
    </row>
    <row r="1104" spans="1:10" x14ac:dyDescent="0.35">
      <c r="A1104" s="51">
        <v>41597</v>
      </c>
      <c r="B1104">
        <v>-35762</v>
      </c>
      <c r="D1104">
        <v>-16335</v>
      </c>
      <c r="E1104">
        <v>3669</v>
      </c>
      <c r="F1104">
        <v>8911</v>
      </c>
      <c r="G1104">
        <v>-1665</v>
      </c>
      <c r="H1104">
        <v>-112216</v>
      </c>
      <c r="I1104">
        <v>9539</v>
      </c>
      <c r="J1104">
        <v>12476</v>
      </c>
    </row>
    <row r="1105" spans="1:10" x14ac:dyDescent="0.35">
      <c r="A1105" s="51">
        <v>41604</v>
      </c>
      <c r="B1105">
        <v>-33511</v>
      </c>
      <c r="D1105">
        <v>-28780</v>
      </c>
      <c r="E1105">
        <v>4652</v>
      </c>
      <c r="F1105">
        <v>-431</v>
      </c>
      <c r="G1105">
        <v>391</v>
      </c>
      <c r="H1105">
        <v>-123202</v>
      </c>
      <c r="I1105">
        <v>12463</v>
      </c>
      <c r="J1105">
        <v>10249</v>
      </c>
    </row>
    <row r="1106" spans="1:10" x14ac:dyDescent="0.35">
      <c r="A1106" s="51">
        <v>41611</v>
      </c>
      <c r="B1106">
        <v>-44311</v>
      </c>
      <c r="D1106">
        <v>-41583</v>
      </c>
      <c r="E1106">
        <v>6547</v>
      </c>
      <c r="F1106">
        <v>9312</v>
      </c>
      <c r="G1106">
        <v>18369</v>
      </c>
      <c r="H1106">
        <v>-133383</v>
      </c>
      <c r="I1106">
        <v>8933</v>
      </c>
      <c r="J1106">
        <v>7639</v>
      </c>
    </row>
    <row r="1107" spans="1:10" x14ac:dyDescent="0.35">
      <c r="A1107" s="51">
        <v>41618</v>
      </c>
      <c r="B1107">
        <v>-45850</v>
      </c>
      <c r="D1107">
        <v>-57514</v>
      </c>
      <c r="E1107">
        <v>11998</v>
      </c>
      <c r="F1107">
        <v>15930</v>
      </c>
      <c r="G1107">
        <v>18429</v>
      </c>
      <c r="H1107">
        <v>-129711</v>
      </c>
      <c r="I1107">
        <v>22530</v>
      </c>
      <c r="J1107">
        <v>8553</v>
      </c>
    </row>
    <row r="1108" spans="1:10" x14ac:dyDescent="0.35">
      <c r="A1108" s="51">
        <v>41625</v>
      </c>
      <c r="B1108">
        <v>-51653</v>
      </c>
      <c r="D1108">
        <v>-65500</v>
      </c>
      <c r="E1108">
        <v>11955</v>
      </c>
      <c r="F1108">
        <v>27923</v>
      </c>
      <c r="G1108">
        <v>17825</v>
      </c>
      <c r="H1108">
        <v>-130223</v>
      </c>
      <c r="I1108">
        <v>15650</v>
      </c>
      <c r="J1108">
        <v>5673</v>
      </c>
    </row>
    <row r="1109" spans="1:10" x14ac:dyDescent="0.35">
      <c r="A1109" s="51">
        <v>41632</v>
      </c>
      <c r="B1109">
        <v>-54239</v>
      </c>
      <c r="D1109">
        <v>-58432</v>
      </c>
      <c r="E1109">
        <v>11920</v>
      </c>
      <c r="F1109">
        <v>32172</v>
      </c>
      <c r="G1109">
        <v>14420</v>
      </c>
      <c r="H1109">
        <v>-143822</v>
      </c>
      <c r="I1109">
        <v>20178</v>
      </c>
      <c r="J1109">
        <v>6456</v>
      </c>
    </row>
    <row r="1110" spans="1:10" x14ac:dyDescent="0.35">
      <c r="A1110" s="51">
        <v>41639</v>
      </c>
      <c r="B1110">
        <v>-57414</v>
      </c>
      <c r="D1110">
        <v>-57956</v>
      </c>
      <c r="E1110">
        <v>10889</v>
      </c>
      <c r="F1110">
        <v>30589</v>
      </c>
      <c r="G1110">
        <v>22781</v>
      </c>
      <c r="H1110">
        <v>-135228</v>
      </c>
      <c r="I1110">
        <v>15605</v>
      </c>
      <c r="J1110">
        <v>6707</v>
      </c>
    </row>
    <row r="1111" spans="1:10" x14ac:dyDescent="0.35">
      <c r="A1111" s="51">
        <v>41646</v>
      </c>
      <c r="B1111">
        <v>-56852</v>
      </c>
      <c r="D1111">
        <v>-60542</v>
      </c>
      <c r="E1111">
        <v>4727</v>
      </c>
      <c r="F1111">
        <v>14498</v>
      </c>
      <c r="G1111">
        <v>18178</v>
      </c>
      <c r="H1111">
        <v>-128868</v>
      </c>
      <c r="I1111">
        <v>17607</v>
      </c>
      <c r="J1111">
        <v>7866</v>
      </c>
    </row>
    <row r="1112" spans="1:10" x14ac:dyDescent="0.35">
      <c r="A1112" s="51">
        <v>41653</v>
      </c>
      <c r="B1112">
        <v>-51988</v>
      </c>
      <c r="D1112">
        <v>-67345</v>
      </c>
      <c r="E1112">
        <v>-2941</v>
      </c>
      <c r="F1112">
        <v>9246</v>
      </c>
      <c r="G1112">
        <v>11160</v>
      </c>
      <c r="H1112">
        <v>-118066</v>
      </c>
      <c r="I1112">
        <v>13717</v>
      </c>
      <c r="J1112">
        <v>9614</v>
      </c>
    </row>
    <row r="1113" spans="1:10" x14ac:dyDescent="0.35">
      <c r="A1113" s="51">
        <v>41660</v>
      </c>
      <c r="B1113">
        <v>-64654</v>
      </c>
      <c r="D1113">
        <v>-70327</v>
      </c>
      <c r="E1113">
        <v>-1921</v>
      </c>
      <c r="F1113">
        <v>-3772</v>
      </c>
      <c r="G1113">
        <v>8720</v>
      </c>
      <c r="H1113">
        <v>-114961</v>
      </c>
      <c r="I1113">
        <v>-3628</v>
      </c>
      <c r="J1113">
        <v>8556</v>
      </c>
    </row>
    <row r="1114" spans="1:10" x14ac:dyDescent="0.35">
      <c r="A1114" s="51">
        <v>41667</v>
      </c>
      <c r="B1114">
        <v>-65723</v>
      </c>
      <c r="D1114">
        <v>-62789</v>
      </c>
      <c r="E1114">
        <v>-441</v>
      </c>
      <c r="F1114">
        <v>14347</v>
      </c>
      <c r="G1114">
        <v>22172</v>
      </c>
      <c r="H1114">
        <v>-86192</v>
      </c>
      <c r="I1114">
        <v>-35316</v>
      </c>
      <c r="J1114">
        <v>9685</v>
      </c>
    </row>
    <row r="1115" spans="1:10" x14ac:dyDescent="0.35">
      <c r="A1115" s="51">
        <v>41674</v>
      </c>
      <c r="B1115">
        <v>-55523</v>
      </c>
      <c r="D1115">
        <v>-60300</v>
      </c>
      <c r="E1115">
        <v>2220</v>
      </c>
      <c r="F1115">
        <v>-13610</v>
      </c>
      <c r="G1115">
        <v>10951</v>
      </c>
      <c r="H1115">
        <v>-76829</v>
      </c>
      <c r="I1115">
        <v>-34515</v>
      </c>
      <c r="J1115">
        <v>8032</v>
      </c>
    </row>
    <row r="1116" spans="1:10" x14ac:dyDescent="0.35">
      <c r="A1116" s="51">
        <v>41681</v>
      </c>
      <c r="B1116">
        <v>-47403</v>
      </c>
      <c r="D1116">
        <v>-58928</v>
      </c>
      <c r="E1116">
        <v>555</v>
      </c>
      <c r="F1116">
        <v>-6929</v>
      </c>
      <c r="G1116">
        <v>10672</v>
      </c>
      <c r="H1116">
        <v>-78786</v>
      </c>
      <c r="I1116">
        <v>-33940</v>
      </c>
      <c r="J1116">
        <v>7641</v>
      </c>
    </row>
    <row r="1117" spans="1:10" x14ac:dyDescent="0.35">
      <c r="A1117" s="51">
        <v>41688</v>
      </c>
      <c r="B1117">
        <v>-44398</v>
      </c>
      <c r="D1117">
        <v>-65000</v>
      </c>
      <c r="E1117">
        <v>-2828</v>
      </c>
      <c r="F1117">
        <v>8599</v>
      </c>
      <c r="G1117">
        <v>22323</v>
      </c>
      <c r="H1117">
        <v>-79784</v>
      </c>
      <c r="I1117">
        <v>-23312</v>
      </c>
      <c r="J1117">
        <v>8906</v>
      </c>
    </row>
    <row r="1118" spans="1:10" x14ac:dyDescent="0.35">
      <c r="A1118" s="51">
        <v>41695</v>
      </c>
      <c r="B1118">
        <v>-38991</v>
      </c>
      <c r="D1118">
        <v>-58591</v>
      </c>
      <c r="E1118">
        <v>358</v>
      </c>
      <c r="F1118">
        <v>13900</v>
      </c>
      <c r="G1118">
        <v>28802</v>
      </c>
      <c r="H1118">
        <v>-85090</v>
      </c>
      <c r="I1118">
        <v>-21569</v>
      </c>
      <c r="J1118">
        <v>10982</v>
      </c>
    </row>
    <row r="1119" spans="1:10" x14ac:dyDescent="0.35">
      <c r="A1119" s="51">
        <v>41702</v>
      </c>
      <c r="B1119">
        <v>-41108</v>
      </c>
      <c r="D1119">
        <v>-61096</v>
      </c>
      <c r="E1119">
        <v>2168</v>
      </c>
      <c r="F1119">
        <v>23452</v>
      </c>
      <c r="G1119">
        <v>29605</v>
      </c>
      <c r="H1119">
        <v>-79709</v>
      </c>
      <c r="I1119">
        <v>-20750</v>
      </c>
      <c r="J1119">
        <v>13432</v>
      </c>
    </row>
    <row r="1120" spans="1:10" x14ac:dyDescent="0.35">
      <c r="A1120" s="51">
        <v>41709</v>
      </c>
      <c r="B1120">
        <v>-40850</v>
      </c>
      <c r="D1120">
        <v>-52191</v>
      </c>
      <c r="E1120">
        <v>8957</v>
      </c>
      <c r="F1120">
        <v>36385</v>
      </c>
      <c r="G1120">
        <v>21999</v>
      </c>
      <c r="H1120">
        <v>-99356</v>
      </c>
      <c r="I1120">
        <v>-8247</v>
      </c>
      <c r="J1120">
        <v>14449</v>
      </c>
    </row>
    <row r="1121" spans="1:10" x14ac:dyDescent="0.35">
      <c r="A1121" s="51">
        <v>41716</v>
      </c>
      <c r="B1121">
        <v>-24463</v>
      </c>
      <c r="D1121">
        <v>-69805</v>
      </c>
      <c r="E1121">
        <v>15116</v>
      </c>
      <c r="F1121">
        <v>52991</v>
      </c>
      <c r="G1121">
        <v>25536</v>
      </c>
      <c r="H1121">
        <v>-61099</v>
      </c>
      <c r="I1121">
        <v>-1270</v>
      </c>
      <c r="J1121">
        <v>15751</v>
      </c>
    </row>
    <row r="1122" spans="1:10" x14ac:dyDescent="0.35">
      <c r="A1122" s="51">
        <v>41723</v>
      </c>
      <c r="B1122">
        <v>-20527</v>
      </c>
      <c r="D1122">
        <v>-33215</v>
      </c>
      <c r="E1122">
        <v>14819</v>
      </c>
      <c r="F1122">
        <v>39634</v>
      </c>
      <c r="G1122">
        <v>29724</v>
      </c>
      <c r="H1122">
        <v>-68887</v>
      </c>
      <c r="I1122">
        <v>-1654</v>
      </c>
      <c r="J1122">
        <v>18213</v>
      </c>
    </row>
    <row r="1123" spans="1:10" x14ac:dyDescent="0.35">
      <c r="A1123" s="51">
        <v>41730</v>
      </c>
      <c r="B1123">
        <v>-4880</v>
      </c>
      <c r="D1123">
        <v>-36994</v>
      </c>
      <c r="E1123">
        <v>14231</v>
      </c>
      <c r="F1123">
        <v>33238</v>
      </c>
      <c r="G1123">
        <v>33572</v>
      </c>
      <c r="H1123">
        <v>-88638</v>
      </c>
      <c r="I1123">
        <v>21784</v>
      </c>
      <c r="J1123">
        <v>18480</v>
      </c>
    </row>
    <row r="1124" spans="1:10" x14ac:dyDescent="0.35">
      <c r="A1124" s="51">
        <v>41737</v>
      </c>
      <c r="B1124">
        <v>3310</v>
      </c>
      <c r="D1124">
        <v>-34307</v>
      </c>
      <c r="E1124">
        <v>11335</v>
      </c>
      <c r="F1124">
        <v>23300</v>
      </c>
      <c r="G1124">
        <v>46477</v>
      </c>
      <c r="H1124">
        <v>-87462</v>
      </c>
      <c r="I1124">
        <v>56501</v>
      </c>
      <c r="J1124">
        <v>19766</v>
      </c>
    </row>
    <row r="1125" spans="1:10" x14ac:dyDescent="0.35">
      <c r="A1125" s="51">
        <v>41744</v>
      </c>
      <c r="B1125">
        <v>8097</v>
      </c>
      <c r="D1125">
        <v>-35426</v>
      </c>
      <c r="E1125">
        <v>14066</v>
      </c>
      <c r="F1125">
        <v>27688</v>
      </c>
      <c r="G1125">
        <v>50598</v>
      </c>
      <c r="H1125">
        <v>-68716</v>
      </c>
      <c r="I1125">
        <v>54237</v>
      </c>
      <c r="J1125">
        <v>19847</v>
      </c>
    </row>
    <row r="1126" spans="1:10" x14ac:dyDescent="0.35">
      <c r="A1126" s="51">
        <v>41751</v>
      </c>
      <c r="B1126">
        <v>16370</v>
      </c>
      <c r="D1126">
        <v>-35455</v>
      </c>
      <c r="E1126">
        <v>14023</v>
      </c>
      <c r="F1126">
        <v>25774</v>
      </c>
      <c r="G1126">
        <v>47800</v>
      </c>
      <c r="H1126">
        <v>-67243</v>
      </c>
      <c r="I1126">
        <v>53511</v>
      </c>
      <c r="J1126">
        <v>20175</v>
      </c>
    </row>
    <row r="1127" spans="1:10" x14ac:dyDescent="0.35">
      <c r="A1127" s="51">
        <v>41758</v>
      </c>
      <c r="B1127">
        <v>10706</v>
      </c>
      <c r="D1127">
        <v>-30295</v>
      </c>
      <c r="E1127">
        <v>13703</v>
      </c>
      <c r="F1127">
        <v>25734</v>
      </c>
      <c r="G1127">
        <v>44234</v>
      </c>
      <c r="H1127">
        <v>-70352</v>
      </c>
      <c r="I1127">
        <v>49618</v>
      </c>
      <c r="J1127">
        <v>18480</v>
      </c>
    </row>
    <row r="1128" spans="1:10" x14ac:dyDescent="0.35">
      <c r="A1128" s="51">
        <v>41765</v>
      </c>
      <c r="B1128">
        <v>8637</v>
      </c>
      <c r="D1128">
        <v>-31600</v>
      </c>
      <c r="E1128">
        <v>13184</v>
      </c>
      <c r="F1128">
        <v>32551</v>
      </c>
      <c r="G1128">
        <v>40646</v>
      </c>
      <c r="H1128">
        <v>-60728</v>
      </c>
      <c r="I1128">
        <v>47884</v>
      </c>
      <c r="J1128">
        <v>20693</v>
      </c>
    </row>
    <row r="1129" spans="1:10" x14ac:dyDescent="0.35">
      <c r="A1129" s="51">
        <v>41772</v>
      </c>
      <c r="B1129">
        <v>17127</v>
      </c>
      <c r="D1129">
        <v>-26037</v>
      </c>
      <c r="E1129">
        <v>6806</v>
      </c>
      <c r="F1129">
        <v>-2175</v>
      </c>
      <c r="G1129">
        <v>31755</v>
      </c>
      <c r="H1129">
        <v>-64707</v>
      </c>
      <c r="I1129">
        <v>68622</v>
      </c>
      <c r="J1129">
        <v>19340</v>
      </c>
    </row>
    <row r="1130" spans="1:10" x14ac:dyDescent="0.35">
      <c r="A1130" s="51">
        <v>41779</v>
      </c>
      <c r="B1130">
        <v>19462</v>
      </c>
      <c r="D1130">
        <v>-26534</v>
      </c>
      <c r="E1130">
        <v>5019</v>
      </c>
      <c r="F1130">
        <v>-9220</v>
      </c>
      <c r="G1130">
        <v>33090</v>
      </c>
      <c r="H1130">
        <v>-53787</v>
      </c>
      <c r="I1130">
        <v>77266</v>
      </c>
      <c r="J1130">
        <v>17594</v>
      </c>
    </row>
    <row r="1131" spans="1:10" x14ac:dyDescent="0.35">
      <c r="A1131" s="51">
        <v>41786</v>
      </c>
      <c r="B1131">
        <v>15848</v>
      </c>
      <c r="D1131">
        <v>-21810</v>
      </c>
      <c r="E1131">
        <v>-3872</v>
      </c>
      <c r="F1131">
        <v>-16633</v>
      </c>
      <c r="G1131">
        <v>35304</v>
      </c>
      <c r="H1131">
        <v>-59036</v>
      </c>
      <c r="I1131">
        <v>83301</v>
      </c>
      <c r="J1131">
        <v>17944</v>
      </c>
    </row>
    <row r="1132" spans="1:10" x14ac:dyDescent="0.35">
      <c r="A1132" s="51">
        <v>41793</v>
      </c>
      <c r="B1132">
        <v>21527</v>
      </c>
      <c r="D1132">
        <v>-22731</v>
      </c>
      <c r="E1132">
        <v>-2012</v>
      </c>
      <c r="F1132">
        <v>-33025</v>
      </c>
      <c r="G1132">
        <v>34974</v>
      </c>
      <c r="H1132">
        <v>-74218</v>
      </c>
      <c r="I1132">
        <v>86016</v>
      </c>
      <c r="J1132">
        <v>17531</v>
      </c>
    </row>
    <row r="1133" spans="1:10" x14ac:dyDescent="0.35">
      <c r="A1133" s="51">
        <v>41800</v>
      </c>
      <c r="B1133">
        <v>28247</v>
      </c>
      <c r="D1133">
        <v>-24108</v>
      </c>
      <c r="E1133">
        <v>-3030</v>
      </c>
      <c r="F1133">
        <v>-57185</v>
      </c>
      <c r="G1133">
        <v>35842</v>
      </c>
      <c r="H1133">
        <v>-82162</v>
      </c>
      <c r="I1133">
        <v>90203</v>
      </c>
      <c r="J1133">
        <v>16855</v>
      </c>
    </row>
    <row r="1134" spans="1:10" x14ac:dyDescent="0.35">
      <c r="A1134" s="51">
        <v>41807</v>
      </c>
      <c r="B1134">
        <v>27029</v>
      </c>
      <c r="D1134">
        <v>-21533</v>
      </c>
      <c r="E1134">
        <v>3520</v>
      </c>
      <c r="F1134">
        <v>-61835</v>
      </c>
      <c r="G1134">
        <v>52596</v>
      </c>
      <c r="H1134">
        <v>-68038</v>
      </c>
      <c r="I1134">
        <v>69075</v>
      </c>
      <c r="J1134">
        <v>3733</v>
      </c>
    </row>
    <row r="1135" spans="1:10" x14ac:dyDescent="0.35">
      <c r="A1135" s="51">
        <v>41814</v>
      </c>
      <c r="B1135">
        <v>33463</v>
      </c>
      <c r="D1135">
        <v>-5320</v>
      </c>
      <c r="E1135">
        <v>-5372</v>
      </c>
      <c r="F1135">
        <v>-57503</v>
      </c>
      <c r="G1135">
        <v>49751</v>
      </c>
      <c r="H1135">
        <v>-71223</v>
      </c>
      <c r="I1135">
        <v>68969</v>
      </c>
      <c r="J1135">
        <v>6152</v>
      </c>
    </row>
    <row r="1136" spans="1:10" x14ac:dyDescent="0.35">
      <c r="A1136" s="51">
        <v>41821</v>
      </c>
      <c r="B1136">
        <v>38879</v>
      </c>
      <c r="D1136">
        <v>2695</v>
      </c>
      <c r="E1136">
        <v>-7260</v>
      </c>
      <c r="F1136">
        <v>-60776</v>
      </c>
      <c r="G1136">
        <v>56412</v>
      </c>
      <c r="H1136">
        <v>-58686</v>
      </c>
      <c r="I1136">
        <v>69562</v>
      </c>
      <c r="J1136">
        <v>8985</v>
      </c>
    </row>
    <row r="1137" spans="1:10" x14ac:dyDescent="0.35">
      <c r="A1137" s="51">
        <v>41828</v>
      </c>
      <c r="B1137">
        <v>36603</v>
      </c>
      <c r="D1137">
        <v>10295</v>
      </c>
      <c r="E1137">
        <v>-6813</v>
      </c>
      <c r="F1137">
        <v>-59265</v>
      </c>
      <c r="G1137">
        <v>41639</v>
      </c>
      <c r="H1137">
        <v>-66375</v>
      </c>
      <c r="I1137">
        <v>68811</v>
      </c>
      <c r="J1137">
        <v>14416</v>
      </c>
    </row>
    <row r="1138" spans="1:10" x14ac:dyDescent="0.35">
      <c r="A1138" s="51">
        <v>41835</v>
      </c>
      <c r="B1138">
        <v>39743</v>
      </c>
      <c r="D1138">
        <v>15621</v>
      </c>
      <c r="E1138">
        <v>-6262</v>
      </c>
      <c r="F1138">
        <v>-62846</v>
      </c>
      <c r="G1138">
        <v>38770</v>
      </c>
      <c r="H1138">
        <v>-62948</v>
      </c>
      <c r="I1138">
        <v>69637</v>
      </c>
      <c r="J1138">
        <v>15453</v>
      </c>
    </row>
    <row r="1139" spans="1:10" x14ac:dyDescent="0.35">
      <c r="A1139" s="51">
        <v>41842</v>
      </c>
      <c r="B1139">
        <v>38793</v>
      </c>
      <c r="D1139">
        <v>20581</v>
      </c>
      <c r="E1139">
        <v>-7380</v>
      </c>
      <c r="F1139">
        <v>-88823</v>
      </c>
      <c r="G1139">
        <v>27497</v>
      </c>
      <c r="H1139">
        <v>-53916</v>
      </c>
      <c r="I1139">
        <v>79134</v>
      </c>
      <c r="J1139">
        <v>15132</v>
      </c>
    </row>
    <row r="1140" spans="1:10" x14ac:dyDescent="0.35">
      <c r="A1140" s="51">
        <v>41849</v>
      </c>
      <c r="B1140">
        <v>39606</v>
      </c>
      <c r="D1140">
        <v>22691</v>
      </c>
      <c r="E1140">
        <v>-11764</v>
      </c>
      <c r="F1140">
        <v>-108075</v>
      </c>
      <c r="G1140">
        <v>24910</v>
      </c>
      <c r="H1140">
        <v>-73069</v>
      </c>
      <c r="I1140">
        <v>77115</v>
      </c>
      <c r="J1140">
        <v>15289</v>
      </c>
    </row>
    <row r="1141" spans="1:10" x14ac:dyDescent="0.35">
      <c r="A1141" s="51">
        <v>41856</v>
      </c>
      <c r="B1141">
        <v>33300</v>
      </c>
      <c r="D1141">
        <v>21455</v>
      </c>
      <c r="E1141">
        <v>-18853</v>
      </c>
      <c r="F1141">
        <v>-128747</v>
      </c>
      <c r="G1141">
        <v>12121</v>
      </c>
      <c r="H1141">
        <v>-95399</v>
      </c>
      <c r="I1141">
        <v>32433</v>
      </c>
      <c r="J1141">
        <v>14500</v>
      </c>
    </row>
    <row r="1142" spans="1:10" x14ac:dyDescent="0.35">
      <c r="A1142" s="51">
        <v>41863</v>
      </c>
      <c r="B1142">
        <v>29546</v>
      </c>
      <c r="D1142">
        <v>17998</v>
      </c>
      <c r="E1142">
        <v>-17359</v>
      </c>
      <c r="F1142">
        <v>-126017</v>
      </c>
      <c r="G1142">
        <v>18799</v>
      </c>
      <c r="H1142">
        <v>-81097</v>
      </c>
      <c r="I1142">
        <v>-41</v>
      </c>
      <c r="J1142">
        <v>13429</v>
      </c>
    </row>
    <row r="1143" spans="1:10" x14ac:dyDescent="0.35">
      <c r="A1143" s="51">
        <v>41870</v>
      </c>
      <c r="B1143">
        <v>36574</v>
      </c>
      <c r="D1143">
        <v>7281</v>
      </c>
      <c r="E1143">
        <v>-15492</v>
      </c>
      <c r="F1143">
        <v>-138825</v>
      </c>
      <c r="G1143">
        <v>13287</v>
      </c>
      <c r="H1143">
        <v>-87271</v>
      </c>
      <c r="I1143">
        <v>12407</v>
      </c>
      <c r="J1143">
        <v>12032</v>
      </c>
    </row>
    <row r="1144" spans="1:10" x14ac:dyDescent="0.35">
      <c r="A1144" s="51">
        <v>41877</v>
      </c>
      <c r="B1144">
        <v>41938</v>
      </c>
      <c r="D1144">
        <v>5663</v>
      </c>
      <c r="E1144">
        <v>-13039</v>
      </c>
      <c r="F1144">
        <v>-150657</v>
      </c>
      <c r="G1144">
        <v>15467</v>
      </c>
      <c r="H1144">
        <v>-102891</v>
      </c>
      <c r="I1144">
        <v>36670</v>
      </c>
      <c r="J1144">
        <v>11841</v>
      </c>
    </row>
    <row r="1145" spans="1:10" x14ac:dyDescent="0.35">
      <c r="A1145" s="51">
        <v>41884</v>
      </c>
      <c r="B1145">
        <v>49047</v>
      </c>
      <c r="D1145">
        <v>9191</v>
      </c>
      <c r="E1145">
        <v>-13167</v>
      </c>
      <c r="F1145">
        <v>-161423</v>
      </c>
      <c r="G1145">
        <v>9448</v>
      </c>
      <c r="H1145">
        <v>-117308</v>
      </c>
      <c r="I1145">
        <v>39164</v>
      </c>
      <c r="J1145">
        <v>10172</v>
      </c>
    </row>
    <row r="1146" spans="1:10" x14ac:dyDescent="0.35">
      <c r="A1146" s="51">
        <v>41891</v>
      </c>
      <c r="B1146">
        <v>41229</v>
      </c>
      <c r="D1146">
        <v>11630</v>
      </c>
      <c r="E1146">
        <v>-13825</v>
      </c>
      <c r="F1146">
        <v>-157505</v>
      </c>
      <c r="G1146">
        <v>26727</v>
      </c>
      <c r="H1146">
        <v>-100673</v>
      </c>
      <c r="I1146">
        <v>38518</v>
      </c>
      <c r="J1146">
        <v>9522</v>
      </c>
    </row>
    <row r="1147" spans="1:10" x14ac:dyDescent="0.35">
      <c r="A1147" s="51">
        <v>41898</v>
      </c>
      <c r="B1147">
        <v>22140</v>
      </c>
      <c r="D1147">
        <v>7544</v>
      </c>
      <c r="E1147">
        <v>-11396</v>
      </c>
      <c r="F1147">
        <v>-137149</v>
      </c>
      <c r="G1147">
        <v>-6581</v>
      </c>
      <c r="H1147">
        <v>-83182</v>
      </c>
      <c r="I1147">
        <v>22046</v>
      </c>
      <c r="J1147">
        <v>1120</v>
      </c>
    </row>
    <row r="1148" spans="1:10" x14ac:dyDescent="0.35">
      <c r="A1148" s="51">
        <v>41905</v>
      </c>
      <c r="B1148">
        <v>8347</v>
      </c>
      <c r="D1148">
        <v>3064</v>
      </c>
      <c r="E1148">
        <v>-13375</v>
      </c>
      <c r="F1148">
        <v>-141965</v>
      </c>
      <c r="G1148">
        <v>-1050</v>
      </c>
      <c r="H1148">
        <v>-105422</v>
      </c>
      <c r="I1148">
        <v>10504</v>
      </c>
      <c r="J1148">
        <v>1841</v>
      </c>
    </row>
    <row r="1149" spans="1:10" x14ac:dyDescent="0.35">
      <c r="A1149" s="51">
        <v>41912</v>
      </c>
      <c r="B1149">
        <v>-2017</v>
      </c>
      <c r="D1149">
        <v>-4566</v>
      </c>
      <c r="E1149">
        <v>-12557</v>
      </c>
      <c r="F1149">
        <v>-137525</v>
      </c>
      <c r="G1149">
        <v>3589</v>
      </c>
      <c r="H1149">
        <v>-120878</v>
      </c>
      <c r="I1149">
        <v>-7314</v>
      </c>
      <c r="J1149">
        <v>64</v>
      </c>
    </row>
    <row r="1150" spans="1:10" x14ac:dyDescent="0.35">
      <c r="A1150" s="51">
        <v>41919</v>
      </c>
      <c r="B1150">
        <v>-26486</v>
      </c>
      <c r="D1150">
        <v>-7452</v>
      </c>
      <c r="E1150">
        <v>-12419</v>
      </c>
      <c r="F1150">
        <v>-146212</v>
      </c>
      <c r="G1150">
        <v>-1075</v>
      </c>
      <c r="H1150">
        <v>-112551</v>
      </c>
      <c r="I1150">
        <v>-7583</v>
      </c>
      <c r="J1150">
        <v>-100</v>
      </c>
    </row>
    <row r="1151" spans="1:10" x14ac:dyDescent="0.35">
      <c r="A1151" s="51">
        <v>41926</v>
      </c>
      <c r="B1151">
        <v>-30271</v>
      </c>
      <c r="D1151">
        <v>-16167</v>
      </c>
      <c r="E1151">
        <v>-17553</v>
      </c>
      <c r="F1151">
        <v>-155342</v>
      </c>
      <c r="G1151">
        <v>-2837</v>
      </c>
      <c r="H1151">
        <v>-101147</v>
      </c>
      <c r="I1151">
        <v>-5763</v>
      </c>
      <c r="J1151">
        <v>-2384</v>
      </c>
    </row>
    <row r="1152" spans="1:10" x14ac:dyDescent="0.35">
      <c r="A1152" s="51">
        <v>41933</v>
      </c>
      <c r="B1152">
        <v>-31509</v>
      </c>
      <c r="D1152">
        <v>-21534</v>
      </c>
      <c r="E1152">
        <v>-17862</v>
      </c>
      <c r="F1152">
        <v>-159371</v>
      </c>
      <c r="G1152">
        <v>-4485</v>
      </c>
      <c r="H1152">
        <v>-71738</v>
      </c>
      <c r="I1152">
        <v>-21124</v>
      </c>
      <c r="J1152">
        <v>-2332</v>
      </c>
    </row>
    <row r="1153" spans="1:10" x14ac:dyDescent="0.35">
      <c r="A1153" s="51">
        <v>41940</v>
      </c>
      <c r="B1153">
        <v>-33851</v>
      </c>
      <c r="D1153">
        <v>-21405</v>
      </c>
      <c r="E1153">
        <v>-20283</v>
      </c>
      <c r="F1153">
        <v>-165707</v>
      </c>
      <c r="G1153">
        <v>-6247</v>
      </c>
      <c r="H1153">
        <v>-67399</v>
      </c>
      <c r="I1153">
        <v>-26843</v>
      </c>
      <c r="J1153">
        <v>-3898</v>
      </c>
    </row>
    <row r="1154" spans="1:10" x14ac:dyDescent="0.35">
      <c r="A1154" s="51">
        <v>41947</v>
      </c>
      <c r="B1154">
        <v>-38268</v>
      </c>
      <c r="D1154">
        <v>-19415</v>
      </c>
      <c r="E1154">
        <v>-20221</v>
      </c>
      <c r="F1154">
        <v>-179021</v>
      </c>
      <c r="G1154">
        <v>-7462</v>
      </c>
      <c r="H1154">
        <v>-71651</v>
      </c>
      <c r="I1154">
        <v>-26590</v>
      </c>
      <c r="J1154">
        <v>-4109</v>
      </c>
    </row>
    <row r="1155" spans="1:10" x14ac:dyDescent="0.35">
      <c r="A1155" s="51">
        <v>41954</v>
      </c>
      <c r="B1155">
        <v>-38027</v>
      </c>
      <c r="D1155">
        <v>-21846</v>
      </c>
      <c r="E1155">
        <v>-22675</v>
      </c>
      <c r="F1155">
        <v>-163893</v>
      </c>
      <c r="G1155">
        <v>-12891</v>
      </c>
      <c r="H1155">
        <v>-82563</v>
      </c>
      <c r="I1155">
        <v>-29674</v>
      </c>
      <c r="J1155">
        <v>-989</v>
      </c>
    </row>
    <row r="1156" spans="1:10" x14ac:dyDescent="0.35">
      <c r="A1156" s="51">
        <v>41961</v>
      </c>
      <c r="B1156">
        <v>-37602</v>
      </c>
      <c r="D1156">
        <v>-19517</v>
      </c>
      <c r="E1156">
        <v>-22116</v>
      </c>
      <c r="F1156">
        <v>-168730</v>
      </c>
      <c r="G1156">
        <v>-22829</v>
      </c>
      <c r="H1156">
        <v>-92454</v>
      </c>
      <c r="I1156">
        <v>-29034</v>
      </c>
      <c r="J1156">
        <v>-1247</v>
      </c>
    </row>
    <row r="1157" spans="1:10" x14ac:dyDescent="0.35">
      <c r="A1157" s="51">
        <v>41968</v>
      </c>
      <c r="B1157">
        <v>-44088</v>
      </c>
      <c r="D1157">
        <v>-16341</v>
      </c>
      <c r="E1157">
        <v>-23424</v>
      </c>
      <c r="F1157">
        <v>-165080</v>
      </c>
      <c r="G1157">
        <v>-30666</v>
      </c>
      <c r="H1157">
        <v>-104380</v>
      </c>
      <c r="I1157">
        <v>-32552</v>
      </c>
      <c r="J1157">
        <v>-2294</v>
      </c>
    </row>
    <row r="1158" spans="1:10" x14ac:dyDescent="0.35">
      <c r="A1158" s="51">
        <v>41975</v>
      </c>
      <c r="B1158">
        <v>-41110</v>
      </c>
      <c r="D1158">
        <v>-18389</v>
      </c>
      <c r="E1158">
        <v>-22922</v>
      </c>
      <c r="F1158">
        <v>-159279</v>
      </c>
      <c r="G1158">
        <v>-31014</v>
      </c>
      <c r="H1158">
        <v>-111160</v>
      </c>
      <c r="I1158">
        <v>-43004</v>
      </c>
      <c r="J1158">
        <v>-1680</v>
      </c>
    </row>
    <row r="1159" spans="1:10" x14ac:dyDescent="0.35">
      <c r="A1159" s="51">
        <v>41982</v>
      </c>
      <c r="B1159">
        <v>-45013</v>
      </c>
      <c r="D1159">
        <v>-14362</v>
      </c>
      <c r="E1159">
        <v>-22097</v>
      </c>
      <c r="F1159">
        <v>-136912</v>
      </c>
      <c r="G1159">
        <v>-23602</v>
      </c>
      <c r="H1159">
        <v>-104136</v>
      </c>
      <c r="I1159">
        <v>-48594</v>
      </c>
      <c r="J1159">
        <v>-2295</v>
      </c>
    </row>
    <row r="1160" spans="1:10" x14ac:dyDescent="0.35">
      <c r="A1160" s="51">
        <v>41989</v>
      </c>
      <c r="B1160">
        <v>-34253</v>
      </c>
      <c r="D1160">
        <v>-15694</v>
      </c>
      <c r="E1160">
        <v>-3655</v>
      </c>
      <c r="F1160">
        <v>-126655</v>
      </c>
      <c r="G1160">
        <v>-14552</v>
      </c>
      <c r="H1160">
        <v>-86927</v>
      </c>
      <c r="I1160">
        <v>-52756</v>
      </c>
      <c r="J1160">
        <v>-639</v>
      </c>
    </row>
    <row r="1161" spans="1:10" x14ac:dyDescent="0.35">
      <c r="A1161" s="51">
        <v>41996</v>
      </c>
      <c r="B1161">
        <v>-39236</v>
      </c>
      <c r="D1161">
        <v>-12187</v>
      </c>
      <c r="E1161">
        <v>-16846</v>
      </c>
      <c r="F1161">
        <v>-146604</v>
      </c>
      <c r="G1161">
        <v>-15233</v>
      </c>
      <c r="H1161">
        <v>-93742</v>
      </c>
      <c r="I1161">
        <v>-63370</v>
      </c>
      <c r="J1161">
        <v>-1408</v>
      </c>
    </row>
    <row r="1162" spans="1:10" x14ac:dyDescent="0.35">
      <c r="A1162" s="51">
        <v>42003</v>
      </c>
      <c r="B1162">
        <v>-40697</v>
      </c>
      <c r="D1162">
        <v>-14033</v>
      </c>
      <c r="E1162">
        <v>-16545</v>
      </c>
      <c r="F1162">
        <v>-152219</v>
      </c>
      <c r="G1162">
        <v>-19302</v>
      </c>
      <c r="H1162">
        <v>-96319</v>
      </c>
      <c r="I1162">
        <v>-63805</v>
      </c>
      <c r="J1162">
        <v>-1846</v>
      </c>
    </row>
    <row r="1163" spans="1:10" x14ac:dyDescent="0.35">
      <c r="A1163" s="51">
        <v>42010</v>
      </c>
      <c r="B1163">
        <v>-48652</v>
      </c>
      <c r="D1163">
        <v>-17087</v>
      </c>
      <c r="E1163">
        <v>-24171</v>
      </c>
      <c r="F1163">
        <v>-161040</v>
      </c>
      <c r="G1163">
        <v>-25570</v>
      </c>
      <c r="H1163">
        <v>-90083</v>
      </c>
      <c r="I1163">
        <v>-64451</v>
      </c>
      <c r="J1163">
        <v>-907</v>
      </c>
    </row>
    <row r="1164" spans="1:10" x14ac:dyDescent="0.35">
      <c r="A1164" s="51">
        <v>42017</v>
      </c>
      <c r="B1164">
        <v>-45365</v>
      </c>
      <c r="D1164">
        <v>-21179</v>
      </c>
      <c r="E1164">
        <v>-26444</v>
      </c>
      <c r="F1164">
        <v>-167851</v>
      </c>
      <c r="G1164">
        <v>-37140</v>
      </c>
      <c r="H1164">
        <v>-94625</v>
      </c>
      <c r="I1164">
        <v>-54295</v>
      </c>
      <c r="J1164">
        <v>-1776</v>
      </c>
    </row>
    <row r="1165" spans="1:10" x14ac:dyDescent="0.35">
      <c r="A1165" s="51">
        <v>42024</v>
      </c>
      <c r="B1165">
        <v>-46580</v>
      </c>
      <c r="D1165">
        <v>-29080</v>
      </c>
      <c r="E1165">
        <v>-9809</v>
      </c>
      <c r="F1165">
        <v>-180730</v>
      </c>
      <c r="G1165">
        <v>-45708</v>
      </c>
      <c r="H1165">
        <v>-77886</v>
      </c>
      <c r="I1165">
        <v>-46263</v>
      </c>
      <c r="J1165">
        <v>-1817</v>
      </c>
    </row>
    <row r="1166" spans="1:10" x14ac:dyDescent="0.35">
      <c r="A1166" s="51">
        <v>42031</v>
      </c>
      <c r="B1166">
        <v>-48943</v>
      </c>
      <c r="D1166">
        <v>-23963</v>
      </c>
      <c r="E1166">
        <v>-7373</v>
      </c>
      <c r="F1166">
        <v>-184745</v>
      </c>
      <c r="G1166">
        <v>-45340</v>
      </c>
      <c r="H1166">
        <v>-64658</v>
      </c>
      <c r="I1166">
        <v>-44573</v>
      </c>
      <c r="J1166">
        <v>-3659</v>
      </c>
    </row>
    <row r="1167" spans="1:10" x14ac:dyDescent="0.35">
      <c r="A1167" s="51">
        <v>42038</v>
      </c>
      <c r="B1167">
        <v>-56159</v>
      </c>
      <c r="D1167">
        <v>-27321</v>
      </c>
      <c r="E1167">
        <v>-5350</v>
      </c>
      <c r="F1167">
        <v>-196309</v>
      </c>
      <c r="G1167">
        <v>-42398</v>
      </c>
      <c r="H1167">
        <v>-59571</v>
      </c>
      <c r="I1167">
        <v>-48237</v>
      </c>
      <c r="J1167">
        <v>-4497</v>
      </c>
    </row>
    <row r="1168" spans="1:10" x14ac:dyDescent="0.35">
      <c r="A1168" s="51">
        <v>42045</v>
      </c>
      <c r="B1168">
        <v>-53182</v>
      </c>
      <c r="D1168">
        <v>-33333</v>
      </c>
      <c r="E1168">
        <v>-5486</v>
      </c>
      <c r="F1168">
        <v>-194641</v>
      </c>
      <c r="G1168">
        <v>-38603</v>
      </c>
      <c r="H1168">
        <v>-55124</v>
      </c>
      <c r="I1168">
        <v>-49235</v>
      </c>
      <c r="J1168">
        <v>-6200</v>
      </c>
    </row>
    <row r="1169" spans="1:12" x14ac:dyDescent="0.35">
      <c r="A1169" s="51">
        <v>42052</v>
      </c>
      <c r="B1169">
        <v>-53831</v>
      </c>
      <c r="D1169">
        <v>-32842</v>
      </c>
      <c r="E1169">
        <v>-6044</v>
      </c>
      <c r="F1169">
        <v>-185582</v>
      </c>
      <c r="G1169">
        <v>-28798</v>
      </c>
      <c r="H1169">
        <v>-49091</v>
      </c>
      <c r="I1169">
        <v>-45445</v>
      </c>
      <c r="J1169">
        <v>-5753</v>
      </c>
    </row>
    <row r="1170" spans="1:12" x14ac:dyDescent="0.35">
      <c r="A1170" s="51">
        <v>42059</v>
      </c>
      <c r="B1170">
        <v>-63154</v>
      </c>
      <c r="D1170">
        <v>-36245</v>
      </c>
      <c r="E1170">
        <v>-5085</v>
      </c>
      <c r="F1170">
        <v>-177736</v>
      </c>
      <c r="G1170">
        <v>-21870</v>
      </c>
      <c r="H1170">
        <v>-47512</v>
      </c>
      <c r="I1170">
        <v>-48344</v>
      </c>
      <c r="J1170">
        <v>-4330</v>
      </c>
    </row>
    <row r="1171" spans="1:12" x14ac:dyDescent="0.35">
      <c r="A1171" s="51">
        <v>42066</v>
      </c>
      <c r="B1171">
        <v>-61545</v>
      </c>
      <c r="D1171">
        <v>-38863</v>
      </c>
      <c r="E1171">
        <v>-6062</v>
      </c>
      <c r="F1171">
        <v>-172389</v>
      </c>
      <c r="G1171">
        <v>-26908</v>
      </c>
      <c r="H1171">
        <v>-52521</v>
      </c>
      <c r="I1171">
        <v>-43407</v>
      </c>
      <c r="J1171">
        <v>-1367</v>
      </c>
    </row>
    <row r="1172" spans="1:12" x14ac:dyDescent="0.35">
      <c r="A1172" s="51">
        <v>42073</v>
      </c>
      <c r="B1172">
        <v>-76851</v>
      </c>
      <c r="D1172">
        <v>-39030</v>
      </c>
      <c r="E1172">
        <v>-8380</v>
      </c>
      <c r="F1172">
        <v>-181073</v>
      </c>
      <c r="G1172">
        <v>-32591</v>
      </c>
      <c r="H1172">
        <v>-59387</v>
      </c>
      <c r="I1172">
        <v>-35647</v>
      </c>
      <c r="J1172">
        <v>-2480</v>
      </c>
    </row>
    <row r="1173" spans="1:12" x14ac:dyDescent="0.35">
      <c r="A1173" s="51">
        <v>42080</v>
      </c>
      <c r="B1173">
        <v>-28807</v>
      </c>
      <c r="D1173">
        <v>-32822</v>
      </c>
      <c r="E1173">
        <v>2235</v>
      </c>
      <c r="F1173">
        <v>-193774</v>
      </c>
      <c r="G1173">
        <v>-37851</v>
      </c>
      <c r="H1173">
        <v>-48054</v>
      </c>
      <c r="I1173">
        <v>-55939</v>
      </c>
      <c r="J1173">
        <v>-1141</v>
      </c>
    </row>
    <row r="1174" spans="1:12" x14ac:dyDescent="0.35">
      <c r="A1174" s="51">
        <v>42087</v>
      </c>
      <c r="B1174">
        <v>-28368</v>
      </c>
      <c r="D1174">
        <v>-32656</v>
      </c>
      <c r="E1174">
        <v>-3955</v>
      </c>
      <c r="F1174">
        <v>-220963</v>
      </c>
      <c r="G1174">
        <v>-38557</v>
      </c>
      <c r="H1174">
        <v>-45905</v>
      </c>
      <c r="I1174">
        <v>-41100</v>
      </c>
      <c r="J1174">
        <v>-866</v>
      </c>
    </row>
    <row r="1175" spans="1:12" x14ac:dyDescent="0.35">
      <c r="A1175" s="51">
        <v>42094</v>
      </c>
      <c r="B1175">
        <v>-24356</v>
      </c>
      <c r="D1175">
        <v>-29618</v>
      </c>
      <c r="E1175">
        <v>706</v>
      </c>
      <c r="F1175">
        <v>-226560</v>
      </c>
      <c r="G1175">
        <v>-36630</v>
      </c>
      <c r="H1175">
        <v>-23924</v>
      </c>
      <c r="I1175">
        <v>-30289</v>
      </c>
      <c r="J1175">
        <v>4031</v>
      </c>
    </row>
    <row r="1176" spans="1:12" x14ac:dyDescent="0.35">
      <c r="A1176" s="51">
        <v>42101</v>
      </c>
      <c r="B1176">
        <v>-40281</v>
      </c>
      <c r="D1176">
        <v>-30019</v>
      </c>
      <c r="E1176">
        <v>120</v>
      </c>
      <c r="F1176">
        <v>-215258</v>
      </c>
      <c r="G1176">
        <v>-34301</v>
      </c>
      <c r="H1176">
        <v>-24449</v>
      </c>
      <c r="I1176">
        <v>-22925</v>
      </c>
      <c r="J1176">
        <v>5778</v>
      </c>
    </row>
    <row r="1177" spans="1:12" x14ac:dyDescent="0.35">
      <c r="A1177" s="51">
        <v>42108</v>
      </c>
      <c r="B1177">
        <v>-42433</v>
      </c>
      <c r="D1177">
        <v>-30578</v>
      </c>
      <c r="E1177">
        <v>170</v>
      </c>
      <c r="F1177">
        <v>-212347</v>
      </c>
      <c r="G1177">
        <v>-36045</v>
      </c>
      <c r="H1177">
        <v>-23070</v>
      </c>
      <c r="I1177">
        <v>8361</v>
      </c>
      <c r="J1177">
        <v>6003</v>
      </c>
    </row>
    <row r="1178" spans="1:12" x14ac:dyDescent="0.35">
      <c r="A1178" s="51">
        <v>42115</v>
      </c>
      <c r="B1178">
        <v>-34663</v>
      </c>
      <c r="D1178">
        <v>-27051</v>
      </c>
      <c r="E1178">
        <v>335</v>
      </c>
      <c r="F1178">
        <v>-214645</v>
      </c>
      <c r="G1178">
        <v>-29281</v>
      </c>
      <c r="H1178">
        <v>-14448</v>
      </c>
      <c r="I1178">
        <v>-13675</v>
      </c>
      <c r="J1178">
        <v>8488</v>
      </c>
    </row>
    <row r="1179" spans="1:12" x14ac:dyDescent="0.35">
      <c r="A1179" s="51">
        <v>42122</v>
      </c>
      <c r="B1179">
        <v>-27405</v>
      </c>
      <c r="D1179">
        <v>-20909</v>
      </c>
      <c r="E1179">
        <v>1335</v>
      </c>
      <c r="F1179">
        <v>-197766</v>
      </c>
      <c r="G1179">
        <v>-34128</v>
      </c>
      <c r="H1179">
        <v>-5493</v>
      </c>
      <c r="I1179">
        <v>-23391</v>
      </c>
      <c r="J1179">
        <v>10180</v>
      </c>
    </row>
    <row r="1180" spans="1:12" x14ac:dyDescent="0.35">
      <c r="A1180" s="51">
        <v>42129</v>
      </c>
      <c r="B1180">
        <v>626</v>
      </c>
      <c r="D1180">
        <v>-10080</v>
      </c>
      <c r="E1180">
        <v>5331</v>
      </c>
      <c r="F1180">
        <v>-190127</v>
      </c>
      <c r="G1180">
        <v>-24758</v>
      </c>
      <c r="H1180">
        <v>-31183</v>
      </c>
      <c r="I1180">
        <v>-50116</v>
      </c>
      <c r="J1180">
        <v>9064</v>
      </c>
    </row>
    <row r="1181" spans="1:12" x14ac:dyDescent="0.35">
      <c r="A1181" s="51">
        <v>42136</v>
      </c>
      <c r="B1181">
        <v>4487</v>
      </c>
      <c r="D1181">
        <v>-3982</v>
      </c>
      <c r="E1181">
        <v>10550</v>
      </c>
      <c r="F1181">
        <v>-178976</v>
      </c>
      <c r="G1181">
        <v>-30769</v>
      </c>
      <c r="H1181">
        <v>-23593</v>
      </c>
      <c r="I1181">
        <v>-27039</v>
      </c>
      <c r="J1181">
        <v>1770</v>
      </c>
    </row>
    <row r="1182" spans="1:12" x14ac:dyDescent="0.35">
      <c r="A1182" s="51">
        <v>42143</v>
      </c>
      <c r="B1182">
        <v>7323</v>
      </c>
      <c r="D1182">
        <v>4348</v>
      </c>
      <c r="E1182">
        <v>9405</v>
      </c>
      <c r="F1182">
        <v>-168339</v>
      </c>
      <c r="G1182">
        <v>-23362</v>
      </c>
      <c r="H1182">
        <v>-22005</v>
      </c>
      <c r="I1182">
        <v>-31331</v>
      </c>
      <c r="J1182">
        <v>-2231</v>
      </c>
    </row>
    <row r="1183" spans="1:12" x14ac:dyDescent="0.35">
      <c r="A1183" s="51">
        <v>42150</v>
      </c>
      <c r="B1183">
        <v>6422</v>
      </c>
      <c r="D1183">
        <v>7333</v>
      </c>
      <c r="E1183">
        <v>8330</v>
      </c>
      <c r="F1183">
        <v>-171740</v>
      </c>
      <c r="G1183">
        <v>-25539</v>
      </c>
      <c r="H1183">
        <v>-62224</v>
      </c>
      <c r="I1183">
        <v>-32516</v>
      </c>
      <c r="J1183">
        <v>-5087</v>
      </c>
      <c r="L1183">
        <v>-2468</v>
      </c>
    </row>
    <row r="1184" spans="1:12" x14ac:dyDescent="0.35">
      <c r="A1184" s="51">
        <v>42157</v>
      </c>
      <c r="B1184">
        <v>-13256</v>
      </c>
      <c r="D1184">
        <v>-1025</v>
      </c>
      <c r="E1184">
        <v>8359</v>
      </c>
      <c r="F1184">
        <v>-165512</v>
      </c>
      <c r="G1184">
        <v>-25658</v>
      </c>
      <c r="H1184">
        <v>-85693</v>
      </c>
      <c r="I1184">
        <v>-45127</v>
      </c>
      <c r="J1184">
        <v>-10539</v>
      </c>
    </row>
    <row r="1185" spans="1:12" x14ac:dyDescent="0.35">
      <c r="A1185" s="51">
        <v>42164</v>
      </c>
      <c r="B1185">
        <v>-14027</v>
      </c>
      <c r="D1185">
        <v>-13745</v>
      </c>
      <c r="E1185">
        <v>10129</v>
      </c>
      <c r="F1185">
        <v>-137974</v>
      </c>
      <c r="G1185">
        <v>-28277</v>
      </c>
      <c r="H1185">
        <v>-116286</v>
      </c>
      <c r="I1185">
        <v>-51132</v>
      </c>
      <c r="J1185">
        <v>-11795</v>
      </c>
      <c r="L1185">
        <v>-2449</v>
      </c>
    </row>
    <row r="1186" spans="1:12" x14ac:dyDescent="0.35">
      <c r="A1186" s="51">
        <v>42171</v>
      </c>
      <c r="B1186">
        <v>-4048</v>
      </c>
      <c r="D1186">
        <v>-12281</v>
      </c>
      <c r="E1186">
        <v>5358</v>
      </c>
      <c r="F1186">
        <v>-89357</v>
      </c>
      <c r="G1186">
        <v>-25434</v>
      </c>
      <c r="H1186">
        <v>-80664</v>
      </c>
      <c r="I1186">
        <v>-52490</v>
      </c>
      <c r="J1186">
        <v>-9168</v>
      </c>
    </row>
    <row r="1187" spans="1:12" x14ac:dyDescent="0.35">
      <c r="A1187" s="51">
        <v>42178</v>
      </c>
      <c r="B1187">
        <v>-9052</v>
      </c>
      <c r="D1187">
        <v>-17579</v>
      </c>
      <c r="E1187">
        <v>7072</v>
      </c>
      <c r="F1187">
        <v>-99306</v>
      </c>
      <c r="G1187">
        <v>-22194</v>
      </c>
      <c r="H1187">
        <v>-87717</v>
      </c>
      <c r="I1187">
        <v>-27867</v>
      </c>
      <c r="J1187">
        <v>-13563</v>
      </c>
    </row>
    <row r="1188" spans="1:12" x14ac:dyDescent="0.35">
      <c r="A1188" s="51">
        <v>42185</v>
      </c>
      <c r="B1188">
        <v>-12031</v>
      </c>
      <c r="D1188">
        <v>-23450</v>
      </c>
      <c r="E1188">
        <v>6855</v>
      </c>
      <c r="F1188">
        <v>-100035</v>
      </c>
      <c r="G1188">
        <v>-12759</v>
      </c>
      <c r="H1188">
        <v>-78822</v>
      </c>
      <c r="I1188">
        <v>-38759</v>
      </c>
      <c r="J1188">
        <v>-16066</v>
      </c>
    </row>
    <row r="1189" spans="1:12" x14ac:dyDescent="0.35">
      <c r="A1189" s="51">
        <v>42192</v>
      </c>
      <c r="B1189">
        <v>-22197</v>
      </c>
      <c r="D1189">
        <v>-32268</v>
      </c>
      <c r="E1189">
        <v>6121</v>
      </c>
      <c r="F1189">
        <v>-99266</v>
      </c>
      <c r="G1189">
        <v>-22973</v>
      </c>
      <c r="H1189">
        <v>-63629</v>
      </c>
      <c r="I1189">
        <v>-72415</v>
      </c>
      <c r="J1189">
        <v>-18348</v>
      </c>
    </row>
    <row r="1190" spans="1:12" x14ac:dyDescent="0.35">
      <c r="A1190" s="51">
        <v>42199</v>
      </c>
      <c r="B1190">
        <v>-33541</v>
      </c>
      <c r="D1190">
        <v>-40726</v>
      </c>
      <c r="E1190">
        <v>3081</v>
      </c>
      <c r="F1190">
        <v>-107781</v>
      </c>
      <c r="G1190">
        <v>-24199</v>
      </c>
      <c r="H1190">
        <v>-47371</v>
      </c>
      <c r="I1190">
        <v>-72718</v>
      </c>
      <c r="J1190">
        <v>-19654</v>
      </c>
    </row>
    <row r="1191" spans="1:12" x14ac:dyDescent="0.35">
      <c r="A1191" s="51">
        <v>42206</v>
      </c>
      <c r="B1191">
        <v>-40850</v>
      </c>
      <c r="D1191">
        <v>-43568</v>
      </c>
      <c r="E1191">
        <v>3417</v>
      </c>
      <c r="F1191">
        <v>-112976</v>
      </c>
      <c r="G1191">
        <v>-21468</v>
      </c>
      <c r="H1191">
        <v>-62314</v>
      </c>
      <c r="I1191">
        <v>-81424</v>
      </c>
      <c r="J1191">
        <v>-15954</v>
      </c>
    </row>
    <row r="1192" spans="1:12" x14ac:dyDescent="0.35">
      <c r="A1192" s="51">
        <v>42213</v>
      </c>
      <c r="B1192">
        <v>-50659</v>
      </c>
      <c r="D1192">
        <v>-56067</v>
      </c>
      <c r="E1192">
        <v>124</v>
      </c>
      <c r="F1192">
        <v>-104008</v>
      </c>
      <c r="G1192">
        <v>-9788</v>
      </c>
      <c r="H1192">
        <v>-63538</v>
      </c>
      <c r="I1192">
        <v>-88843</v>
      </c>
      <c r="J1192">
        <v>-12765</v>
      </c>
      <c r="L1192">
        <v>-3464</v>
      </c>
    </row>
    <row r="1193" spans="1:12" x14ac:dyDescent="0.35">
      <c r="A1193" s="51">
        <v>42220</v>
      </c>
      <c r="B1193">
        <v>-49412</v>
      </c>
      <c r="D1193">
        <v>-64180</v>
      </c>
      <c r="E1193">
        <v>-1466</v>
      </c>
      <c r="F1193">
        <v>-113394</v>
      </c>
      <c r="G1193">
        <v>-6557</v>
      </c>
      <c r="H1193">
        <v>-79716</v>
      </c>
      <c r="I1193">
        <v>-82048</v>
      </c>
      <c r="J1193">
        <v>-11899</v>
      </c>
      <c r="L1193">
        <v>-3636</v>
      </c>
    </row>
    <row r="1194" spans="1:12" x14ac:dyDescent="0.35">
      <c r="A1194" s="51">
        <v>42227</v>
      </c>
      <c r="B1194">
        <v>-51270</v>
      </c>
      <c r="D1194">
        <v>-67405</v>
      </c>
      <c r="E1194">
        <v>-7012</v>
      </c>
      <c r="F1194">
        <v>-115210</v>
      </c>
      <c r="G1194">
        <v>-10371</v>
      </c>
      <c r="H1194">
        <v>-105226</v>
      </c>
      <c r="I1194">
        <v>-70569</v>
      </c>
      <c r="J1194">
        <v>-10572</v>
      </c>
      <c r="L1194">
        <v>-3916</v>
      </c>
    </row>
    <row r="1195" spans="1:12" x14ac:dyDescent="0.35">
      <c r="A1195" s="51">
        <v>42234</v>
      </c>
      <c r="B1195">
        <v>-49883</v>
      </c>
      <c r="D1195">
        <v>-66794</v>
      </c>
      <c r="E1195">
        <v>-9868</v>
      </c>
      <c r="F1195">
        <v>-92732</v>
      </c>
      <c r="G1195">
        <v>-3971</v>
      </c>
      <c r="H1195">
        <v>-90130</v>
      </c>
      <c r="I1195">
        <v>-60427</v>
      </c>
      <c r="J1195">
        <v>-9957</v>
      </c>
      <c r="L1195">
        <v>-3831</v>
      </c>
    </row>
    <row r="1196" spans="1:12" x14ac:dyDescent="0.35">
      <c r="A1196" s="51">
        <v>42241</v>
      </c>
      <c r="B1196">
        <v>-63727</v>
      </c>
      <c r="D1196">
        <v>-59712</v>
      </c>
      <c r="E1196">
        <v>-12597</v>
      </c>
      <c r="F1196">
        <v>-66078</v>
      </c>
      <c r="G1196">
        <v>3299</v>
      </c>
      <c r="H1196">
        <v>-39059</v>
      </c>
      <c r="I1196">
        <v>-83053</v>
      </c>
      <c r="J1196">
        <v>-6063</v>
      </c>
      <c r="L1196">
        <v>-3831</v>
      </c>
    </row>
    <row r="1197" spans="1:12" x14ac:dyDescent="0.35">
      <c r="A1197" s="51">
        <v>42248</v>
      </c>
      <c r="B1197">
        <v>-55732</v>
      </c>
      <c r="D1197">
        <v>-55119</v>
      </c>
      <c r="E1197">
        <v>-8503</v>
      </c>
      <c r="F1197">
        <v>-67857</v>
      </c>
      <c r="G1197">
        <v>-11239</v>
      </c>
      <c r="H1197">
        <v>-15555</v>
      </c>
      <c r="I1197">
        <v>-76937</v>
      </c>
      <c r="J1197">
        <v>-8279</v>
      </c>
      <c r="L1197">
        <v>-4109</v>
      </c>
    </row>
    <row r="1198" spans="1:12" x14ac:dyDescent="0.35">
      <c r="A1198" s="51">
        <v>42255</v>
      </c>
      <c r="B1198">
        <v>-53316</v>
      </c>
      <c r="D1198">
        <v>-48640</v>
      </c>
      <c r="E1198">
        <v>-6896</v>
      </c>
      <c r="F1198">
        <v>-81241</v>
      </c>
      <c r="G1198">
        <v>-17638</v>
      </c>
      <c r="H1198">
        <v>-6662</v>
      </c>
      <c r="I1198">
        <v>-70951</v>
      </c>
      <c r="J1198">
        <v>-11820</v>
      </c>
    </row>
    <row r="1199" spans="1:12" x14ac:dyDescent="0.35">
      <c r="A1199" s="51">
        <v>42262</v>
      </c>
      <c r="B1199">
        <v>-40729</v>
      </c>
      <c r="D1199">
        <v>-47083</v>
      </c>
      <c r="E1199">
        <v>3782</v>
      </c>
      <c r="F1199">
        <v>-84202</v>
      </c>
      <c r="G1199">
        <v>-3619</v>
      </c>
      <c r="H1199">
        <v>-26814</v>
      </c>
      <c r="I1199">
        <v>-55285</v>
      </c>
      <c r="J1199">
        <v>-2094</v>
      </c>
      <c r="L1199">
        <v>-1025</v>
      </c>
    </row>
    <row r="1200" spans="1:12" x14ac:dyDescent="0.35">
      <c r="A1200" s="51">
        <v>42269</v>
      </c>
      <c r="B1200">
        <v>-52832</v>
      </c>
      <c r="D1200">
        <v>-38394</v>
      </c>
      <c r="E1200">
        <v>-1876</v>
      </c>
      <c r="F1200">
        <v>-81033</v>
      </c>
      <c r="G1200">
        <v>1267</v>
      </c>
      <c r="H1200">
        <v>-23678</v>
      </c>
      <c r="I1200">
        <v>-12356</v>
      </c>
      <c r="J1200">
        <v>-3529</v>
      </c>
    </row>
    <row r="1201" spans="1:12" x14ac:dyDescent="0.35">
      <c r="A1201" s="51">
        <v>42276</v>
      </c>
      <c r="B1201">
        <v>-48865</v>
      </c>
      <c r="D1201">
        <v>-42235</v>
      </c>
      <c r="E1201">
        <v>-2715</v>
      </c>
      <c r="F1201">
        <v>-87660</v>
      </c>
      <c r="G1201">
        <v>-2047</v>
      </c>
      <c r="H1201">
        <v>-22052</v>
      </c>
      <c r="I1201">
        <v>-44451</v>
      </c>
      <c r="J1201">
        <v>-3062</v>
      </c>
      <c r="L1201">
        <v>-2307</v>
      </c>
    </row>
    <row r="1202" spans="1:12" x14ac:dyDescent="0.35">
      <c r="A1202" s="51">
        <v>42283</v>
      </c>
      <c r="B1202">
        <v>-40839</v>
      </c>
      <c r="D1202">
        <v>-35010</v>
      </c>
      <c r="E1202">
        <v>-3970</v>
      </c>
      <c r="F1202">
        <v>-88810</v>
      </c>
      <c r="G1202">
        <v>-4533</v>
      </c>
      <c r="H1202">
        <v>-17599</v>
      </c>
      <c r="I1202">
        <v>-5243</v>
      </c>
      <c r="J1202">
        <v>-971</v>
      </c>
    </row>
    <row r="1203" spans="1:12" x14ac:dyDescent="0.35">
      <c r="A1203" s="51">
        <v>42290</v>
      </c>
      <c r="B1203">
        <v>-33705</v>
      </c>
      <c r="D1203">
        <v>-33949</v>
      </c>
      <c r="E1203">
        <v>-2352</v>
      </c>
      <c r="F1203">
        <v>-80576</v>
      </c>
      <c r="G1203">
        <v>-7527</v>
      </c>
      <c r="H1203">
        <v>-13832</v>
      </c>
      <c r="I1203">
        <v>-4143</v>
      </c>
      <c r="J1203">
        <v>692</v>
      </c>
      <c r="L1203">
        <v>-2816</v>
      </c>
    </row>
    <row r="1204" spans="1:12" x14ac:dyDescent="0.35">
      <c r="A1204" s="51">
        <v>42297</v>
      </c>
      <c r="B1204">
        <v>-38412</v>
      </c>
      <c r="D1204">
        <v>-27112</v>
      </c>
      <c r="E1204">
        <v>625</v>
      </c>
      <c r="F1204">
        <v>-62566</v>
      </c>
      <c r="G1204">
        <v>7537</v>
      </c>
      <c r="H1204">
        <v>-3639</v>
      </c>
      <c r="I1204">
        <v>-616</v>
      </c>
      <c r="J1204">
        <v>3759</v>
      </c>
    </row>
    <row r="1205" spans="1:12" x14ac:dyDescent="0.35">
      <c r="A1205" s="51">
        <v>42304</v>
      </c>
      <c r="B1205">
        <v>-36352</v>
      </c>
      <c r="D1205">
        <v>-18895</v>
      </c>
      <c r="E1205">
        <v>1499</v>
      </c>
      <c r="F1205">
        <v>-105934</v>
      </c>
      <c r="G1205">
        <v>4134</v>
      </c>
      <c r="H1205">
        <v>-33911</v>
      </c>
      <c r="I1205">
        <v>-83</v>
      </c>
      <c r="J1205">
        <v>5589</v>
      </c>
    </row>
    <row r="1206" spans="1:12" x14ac:dyDescent="0.35">
      <c r="A1206" s="51">
        <v>42311</v>
      </c>
      <c r="B1206">
        <v>-38625</v>
      </c>
      <c r="D1206">
        <v>-19491</v>
      </c>
      <c r="E1206">
        <v>-7035</v>
      </c>
      <c r="F1206">
        <v>-134334</v>
      </c>
      <c r="G1206">
        <v>188</v>
      </c>
      <c r="H1206">
        <v>-43787</v>
      </c>
      <c r="I1206">
        <v>-735</v>
      </c>
      <c r="J1206">
        <v>6618</v>
      </c>
      <c r="L1206">
        <v>-3155</v>
      </c>
    </row>
    <row r="1207" spans="1:12" x14ac:dyDescent="0.35">
      <c r="A1207" s="51">
        <v>42318</v>
      </c>
      <c r="B1207">
        <v>-52830</v>
      </c>
      <c r="D1207">
        <v>-17907</v>
      </c>
      <c r="E1207">
        <v>-9310</v>
      </c>
      <c r="F1207">
        <v>-142939</v>
      </c>
      <c r="G1207">
        <v>-15770</v>
      </c>
      <c r="H1207">
        <v>-66888</v>
      </c>
      <c r="I1207">
        <v>-18835</v>
      </c>
      <c r="J1207">
        <v>5564</v>
      </c>
      <c r="L1207">
        <v>-3188</v>
      </c>
    </row>
    <row r="1208" spans="1:12" x14ac:dyDescent="0.35">
      <c r="A1208" s="51">
        <v>42325</v>
      </c>
      <c r="B1208">
        <v>-66464</v>
      </c>
      <c r="D1208">
        <v>-28352</v>
      </c>
      <c r="E1208">
        <v>-15329</v>
      </c>
      <c r="F1208">
        <v>-164177</v>
      </c>
      <c r="G1208">
        <v>-25260</v>
      </c>
      <c r="H1208">
        <v>-78611</v>
      </c>
      <c r="I1208">
        <v>-38263</v>
      </c>
      <c r="J1208">
        <v>5248</v>
      </c>
      <c r="L1208">
        <v>-2935</v>
      </c>
    </row>
    <row r="1209" spans="1:12" x14ac:dyDescent="0.35">
      <c r="A1209" s="51">
        <v>42332</v>
      </c>
      <c r="B1209">
        <v>-57145</v>
      </c>
      <c r="D1209">
        <v>-38617</v>
      </c>
      <c r="E1209">
        <v>-22209</v>
      </c>
      <c r="F1209">
        <v>-175484</v>
      </c>
      <c r="G1209">
        <v>-32256</v>
      </c>
      <c r="H1209">
        <v>-77336</v>
      </c>
      <c r="I1209">
        <v>-29261</v>
      </c>
      <c r="J1209">
        <v>4010</v>
      </c>
      <c r="L1209">
        <v>-2965</v>
      </c>
    </row>
    <row r="1210" spans="1:12" x14ac:dyDescent="0.35">
      <c r="A1210" s="51">
        <v>42339</v>
      </c>
      <c r="B1210">
        <v>-46648</v>
      </c>
      <c r="D1210">
        <v>-38980</v>
      </c>
      <c r="E1210">
        <v>-24789</v>
      </c>
      <c r="F1210">
        <v>-182845</v>
      </c>
      <c r="G1210">
        <v>-28258</v>
      </c>
      <c r="H1210">
        <v>-74901</v>
      </c>
      <c r="I1210">
        <v>-25465</v>
      </c>
      <c r="J1210">
        <v>4757</v>
      </c>
      <c r="L1210">
        <v>-3632</v>
      </c>
    </row>
    <row r="1211" spans="1:12" x14ac:dyDescent="0.35">
      <c r="A1211" s="51">
        <v>42346</v>
      </c>
      <c r="B1211">
        <v>-33579</v>
      </c>
      <c r="D1211">
        <v>-40138</v>
      </c>
      <c r="E1211">
        <v>-25540</v>
      </c>
      <c r="F1211">
        <v>-172331</v>
      </c>
      <c r="G1211">
        <v>-23902</v>
      </c>
      <c r="H1211">
        <v>-68050</v>
      </c>
      <c r="I1211">
        <v>-24381</v>
      </c>
      <c r="J1211">
        <v>8881</v>
      </c>
      <c r="L1211">
        <v>-3310</v>
      </c>
    </row>
    <row r="1212" spans="1:12" x14ac:dyDescent="0.35">
      <c r="A1212" s="51">
        <v>42353</v>
      </c>
      <c r="B1212">
        <v>-10452</v>
      </c>
      <c r="D1212">
        <v>-51009</v>
      </c>
      <c r="E1212">
        <v>1951</v>
      </c>
      <c r="F1212">
        <v>-159961</v>
      </c>
      <c r="G1212">
        <v>-16920</v>
      </c>
      <c r="H1212">
        <v>-26580</v>
      </c>
      <c r="I1212">
        <v>-60372</v>
      </c>
      <c r="J1212">
        <v>1119</v>
      </c>
    </row>
    <row r="1213" spans="1:12" x14ac:dyDescent="0.35">
      <c r="A1213" s="51">
        <v>42360</v>
      </c>
      <c r="B1213">
        <v>-20854</v>
      </c>
      <c r="D1213">
        <v>-56027</v>
      </c>
      <c r="E1213">
        <v>2752</v>
      </c>
      <c r="F1213">
        <v>-161047</v>
      </c>
      <c r="G1213">
        <v>-26661</v>
      </c>
      <c r="H1213">
        <v>-30367</v>
      </c>
      <c r="I1213">
        <v>-56719</v>
      </c>
      <c r="J1213">
        <v>-221</v>
      </c>
    </row>
    <row r="1214" spans="1:12" x14ac:dyDescent="0.35">
      <c r="A1214" s="51">
        <v>42367</v>
      </c>
      <c r="B1214">
        <v>-17545</v>
      </c>
      <c r="D1214">
        <v>-60787</v>
      </c>
      <c r="E1214">
        <v>3564</v>
      </c>
      <c r="F1214">
        <v>-160550</v>
      </c>
      <c r="G1214">
        <v>-31022</v>
      </c>
      <c r="H1214">
        <v>-17226</v>
      </c>
      <c r="I1214">
        <v>-57387</v>
      </c>
      <c r="J1214">
        <v>-146</v>
      </c>
    </row>
    <row r="1215" spans="1:12" x14ac:dyDescent="0.35">
      <c r="A1215" s="51">
        <v>42374</v>
      </c>
      <c r="B1215">
        <v>-13761</v>
      </c>
      <c r="D1215">
        <v>-60130</v>
      </c>
      <c r="E1215">
        <v>3620</v>
      </c>
      <c r="F1215">
        <v>-160643</v>
      </c>
      <c r="G1215">
        <v>-30496</v>
      </c>
      <c r="H1215">
        <v>4103</v>
      </c>
      <c r="I1215">
        <v>-61988</v>
      </c>
      <c r="J1215">
        <v>1579</v>
      </c>
    </row>
    <row r="1216" spans="1:12" x14ac:dyDescent="0.35">
      <c r="A1216" s="51">
        <v>42381</v>
      </c>
      <c r="B1216">
        <v>-23043</v>
      </c>
      <c r="D1216">
        <v>-59214</v>
      </c>
      <c r="E1216">
        <v>3324</v>
      </c>
      <c r="F1216">
        <v>-146451</v>
      </c>
      <c r="G1216">
        <v>-30521</v>
      </c>
      <c r="H1216">
        <v>25266</v>
      </c>
      <c r="I1216">
        <v>-74015</v>
      </c>
      <c r="J1216">
        <v>1541</v>
      </c>
    </row>
    <row r="1217" spans="1:12" x14ac:dyDescent="0.35">
      <c r="A1217" s="51">
        <v>42388</v>
      </c>
      <c r="B1217">
        <v>-36267</v>
      </c>
      <c r="D1217">
        <v>-66386</v>
      </c>
      <c r="E1217">
        <v>906</v>
      </c>
      <c r="F1217">
        <v>-137015</v>
      </c>
      <c r="G1217">
        <v>-38579</v>
      </c>
      <c r="H1217">
        <v>37653</v>
      </c>
      <c r="I1217">
        <v>-76003</v>
      </c>
      <c r="J1217">
        <v>-2954</v>
      </c>
    </row>
    <row r="1218" spans="1:12" x14ac:dyDescent="0.35">
      <c r="A1218" s="51">
        <v>42395</v>
      </c>
      <c r="B1218">
        <v>-32798</v>
      </c>
      <c r="D1218">
        <v>-66819</v>
      </c>
      <c r="E1218">
        <v>-4503</v>
      </c>
      <c r="F1218">
        <v>-127215</v>
      </c>
      <c r="G1218">
        <v>-47537</v>
      </c>
      <c r="H1218">
        <v>50026</v>
      </c>
      <c r="I1218">
        <v>-76607</v>
      </c>
      <c r="J1218">
        <v>-5400</v>
      </c>
      <c r="L1218">
        <v>-428</v>
      </c>
    </row>
    <row r="1219" spans="1:12" x14ac:dyDescent="0.35">
      <c r="A1219" s="51">
        <v>42402</v>
      </c>
      <c r="B1219">
        <v>-26168</v>
      </c>
      <c r="D1219">
        <v>-52420</v>
      </c>
      <c r="E1219">
        <v>-4695</v>
      </c>
      <c r="F1219">
        <v>-87073</v>
      </c>
      <c r="G1219">
        <v>-45018</v>
      </c>
      <c r="H1219">
        <v>37245</v>
      </c>
      <c r="I1219">
        <v>-78594</v>
      </c>
      <c r="J1219">
        <v>-8436</v>
      </c>
    </row>
    <row r="1220" spans="1:12" x14ac:dyDescent="0.35">
      <c r="A1220" s="51">
        <v>42409</v>
      </c>
      <c r="B1220">
        <v>-5626</v>
      </c>
      <c r="D1220">
        <v>-51935</v>
      </c>
      <c r="E1220">
        <v>-7268</v>
      </c>
      <c r="F1220">
        <v>-63314</v>
      </c>
      <c r="G1220">
        <v>-36300</v>
      </c>
      <c r="H1220">
        <v>43232</v>
      </c>
      <c r="I1220">
        <v>-46522</v>
      </c>
      <c r="J1220">
        <v>-9139</v>
      </c>
    </row>
    <row r="1221" spans="1:12" x14ac:dyDescent="0.35">
      <c r="A1221" s="51">
        <v>42416</v>
      </c>
      <c r="B1221">
        <v>2807</v>
      </c>
      <c r="D1221">
        <v>-45085</v>
      </c>
      <c r="E1221">
        <v>-4366</v>
      </c>
      <c r="F1221">
        <v>-48205</v>
      </c>
      <c r="G1221">
        <v>-36255</v>
      </c>
      <c r="H1221">
        <v>47901</v>
      </c>
      <c r="I1221">
        <v>-77385</v>
      </c>
      <c r="J1221">
        <v>-8317</v>
      </c>
    </row>
    <row r="1222" spans="1:12" x14ac:dyDescent="0.35">
      <c r="A1222" s="51">
        <v>42423</v>
      </c>
      <c r="B1222">
        <v>9575</v>
      </c>
      <c r="D1222">
        <v>-36940</v>
      </c>
      <c r="E1222">
        <v>-2321</v>
      </c>
      <c r="F1222">
        <v>-46857</v>
      </c>
      <c r="G1222">
        <v>-33068</v>
      </c>
      <c r="H1222">
        <v>52734</v>
      </c>
      <c r="I1222">
        <v>-52859</v>
      </c>
      <c r="J1222">
        <v>-6615</v>
      </c>
    </row>
    <row r="1223" spans="1:12" x14ac:dyDescent="0.35">
      <c r="A1223" s="51">
        <v>42430</v>
      </c>
      <c r="B1223">
        <v>16861</v>
      </c>
      <c r="D1223">
        <v>-30478</v>
      </c>
      <c r="E1223">
        <v>-1507</v>
      </c>
      <c r="F1223">
        <v>-68541</v>
      </c>
      <c r="G1223">
        <v>-39378</v>
      </c>
      <c r="H1223">
        <v>59625</v>
      </c>
      <c r="I1223">
        <v>-56473</v>
      </c>
      <c r="J1223">
        <v>-4157</v>
      </c>
    </row>
    <row r="1224" spans="1:12" x14ac:dyDescent="0.35">
      <c r="A1224" s="51">
        <v>42437</v>
      </c>
      <c r="B1224">
        <v>29195</v>
      </c>
      <c r="D1224">
        <v>-25781</v>
      </c>
      <c r="E1224">
        <v>-129</v>
      </c>
      <c r="F1224">
        <v>-71907</v>
      </c>
      <c r="G1224">
        <v>-49005</v>
      </c>
      <c r="H1224">
        <v>64333</v>
      </c>
      <c r="I1224">
        <v>-57554</v>
      </c>
      <c r="J1224">
        <v>-2000</v>
      </c>
    </row>
    <row r="1225" spans="1:12" x14ac:dyDescent="0.35">
      <c r="A1225" s="51">
        <v>42444</v>
      </c>
      <c r="B1225">
        <v>12782</v>
      </c>
      <c r="D1225">
        <v>-16826</v>
      </c>
      <c r="E1225">
        <v>5262</v>
      </c>
      <c r="F1225">
        <v>-77555</v>
      </c>
      <c r="G1225">
        <v>-13619</v>
      </c>
      <c r="H1225">
        <v>45489</v>
      </c>
      <c r="I1225">
        <v>-45037</v>
      </c>
      <c r="J1225">
        <v>1290</v>
      </c>
    </row>
    <row r="1226" spans="1:12" x14ac:dyDescent="0.35">
      <c r="A1226" s="51">
        <v>42451</v>
      </c>
      <c r="B1226">
        <v>18030</v>
      </c>
      <c r="D1226">
        <v>-15009</v>
      </c>
      <c r="E1226">
        <v>4186</v>
      </c>
      <c r="F1226">
        <v>-66053</v>
      </c>
      <c r="G1226">
        <v>-37723</v>
      </c>
      <c r="H1226">
        <v>53346</v>
      </c>
      <c r="I1226">
        <v>-45696</v>
      </c>
      <c r="J1226">
        <v>1017</v>
      </c>
    </row>
    <row r="1227" spans="1:12" x14ac:dyDescent="0.35">
      <c r="A1227" s="51">
        <v>42458</v>
      </c>
      <c r="B1227">
        <v>23466</v>
      </c>
      <c r="D1227">
        <v>-6180</v>
      </c>
      <c r="E1227">
        <v>4647</v>
      </c>
      <c r="F1227">
        <v>-63811</v>
      </c>
      <c r="G1227">
        <v>-40028</v>
      </c>
      <c r="H1227">
        <v>54387</v>
      </c>
      <c r="I1227">
        <v>-40796</v>
      </c>
      <c r="J1227">
        <v>1874</v>
      </c>
    </row>
    <row r="1228" spans="1:12" x14ac:dyDescent="0.35">
      <c r="A1228" s="51">
        <v>42465</v>
      </c>
      <c r="B1228">
        <v>26845</v>
      </c>
      <c r="D1228">
        <v>97</v>
      </c>
      <c r="E1228">
        <v>5649</v>
      </c>
      <c r="F1228">
        <v>-53487</v>
      </c>
      <c r="G1228">
        <v>-46506</v>
      </c>
      <c r="H1228">
        <v>60073</v>
      </c>
      <c r="I1228">
        <v>-31878</v>
      </c>
      <c r="J1228">
        <v>2903</v>
      </c>
    </row>
    <row r="1229" spans="1:12" x14ac:dyDescent="0.35">
      <c r="A1229" s="51">
        <v>42472</v>
      </c>
      <c r="B1229">
        <v>35122</v>
      </c>
      <c r="D1229">
        <v>2385</v>
      </c>
      <c r="E1229">
        <v>8238</v>
      </c>
      <c r="F1229">
        <v>-52051</v>
      </c>
      <c r="G1229">
        <v>-51310</v>
      </c>
      <c r="H1229">
        <v>66190</v>
      </c>
      <c r="I1229">
        <v>-46591</v>
      </c>
      <c r="J1229">
        <v>4292</v>
      </c>
    </row>
    <row r="1230" spans="1:12" x14ac:dyDescent="0.35">
      <c r="A1230" s="51">
        <v>42479</v>
      </c>
      <c r="B1230">
        <v>44106</v>
      </c>
      <c r="D1230">
        <v>7308</v>
      </c>
      <c r="E1230">
        <v>9410</v>
      </c>
      <c r="F1230">
        <v>-46917</v>
      </c>
      <c r="G1230">
        <v>-55152</v>
      </c>
      <c r="H1230">
        <v>71870</v>
      </c>
      <c r="I1230">
        <v>-14409</v>
      </c>
      <c r="J1230">
        <v>5351</v>
      </c>
    </row>
    <row r="1231" spans="1:12" x14ac:dyDescent="0.35">
      <c r="A1231" s="51">
        <v>42486</v>
      </c>
      <c r="B1231">
        <v>59540</v>
      </c>
      <c r="D1231">
        <v>11999</v>
      </c>
      <c r="E1231">
        <v>9265</v>
      </c>
      <c r="F1231">
        <v>-39667</v>
      </c>
      <c r="G1231">
        <v>-48669</v>
      </c>
      <c r="H1231">
        <v>66498</v>
      </c>
      <c r="I1231">
        <v>-19315</v>
      </c>
      <c r="J1231">
        <v>7384</v>
      </c>
    </row>
    <row r="1232" spans="1:12" x14ac:dyDescent="0.35">
      <c r="A1232" s="51">
        <v>42493</v>
      </c>
      <c r="B1232">
        <v>52395</v>
      </c>
      <c r="D1232">
        <v>18943</v>
      </c>
      <c r="E1232">
        <v>6829</v>
      </c>
      <c r="F1232">
        <v>-23619</v>
      </c>
      <c r="G1232">
        <v>-40408</v>
      </c>
      <c r="H1232">
        <v>61521</v>
      </c>
      <c r="I1232">
        <v>-12420</v>
      </c>
      <c r="J1232">
        <v>9200</v>
      </c>
    </row>
    <row r="1233" spans="1:12" x14ac:dyDescent="0.35">
      <c r="A1233" s="51">
        <v>42500</v>
      </c>
      <c r="B1233">
        <v>38158</v>
      </c>
      <c r="D1233">
        <v>25874</v>
      </c>
      <c r="E1233">
        <v>6917</v>
      </c>
      <c r="F1233">
        <v>-21872</v>
      </c>
      <c r="G1233">
        <v>-34935</v>
      </c>
      <c r="H1233">
        <v>59047</v>
      </c>
      <c r="I1233">
        <v>-45220</v>
      </c>
      <c r="J1233">
        <v>9352</v>
      </c>
    </row>
    <row r="1234" spans="1:12" x14ac:dyDescent="0.35">
      <c r="A1234" s="51">
        <v>42507</v>
      </c>
      <c r="B1234">
        <v>24893</v>
      </c>
      <c r="D1234">
        <v>22706</v>
      </c>
      <c r="E1234">
        <v>4147</v>
      </c>
      <c r="F1234">
        <v>-22587</v>
      </c>
      <c r="G1234">
        <v>-38422</v>
      </c>
      <c r="H1234">
        <v>58919</v>
      </c>
      <c r="I1234">
        <v>-45691</v>
      </c>
      <c r="J1234">
        <v>6688</v>
      </c>
      <c r="L1234">
        <v>-1110</v>
      </c>
    </row>
    <row r="1235" spans="1:12" x14ac:dyDescent="0.35">
      <c r="A1235" s="51">
        <v>42514</v>
      </c>
      <c r="B1235">
        <v>124</v>
      </c>
      <c r="D1235">
        <v>20047</v>
      </c>
      <c r="E1235">
        <v>3954</v>
      </c>
      <c r="F1235">
        <v>-37895</v>
      </c>
      <c r="G1235">
        <v>-32835</v>
      </c>
      <c r="H1235">
        <v>22059</v>
      </c>
      <c r="I1235">
        <v>-47460</v>
      </c>
      <c r="J1235">
        <v>4576</v>
      </c>
    </row>
    <row r="1236" spans="1:12" x14ac:dyDescent="0.35">
      <c r="A1236" s="51">
        <v>42521</v>
      </c>
      <c r="B1236">
        <v>-4758</v>
      </c>
      <c r="D1236">
        <v>26259</v>
      </c>
      <c r="E1236">
        <v>129</v>
      </c>
      <c r="F1236">
        <v>-37654</v>
      </c>
      <c r="G1236">
        <v>-32851</v>
      </c>
      <c r="H1236">
        <v>14837</v>
      </c>
      <c r="I1236">
        <v>-55615</v>
      </c>
      <c r="J1236">
        <v>5504</v>
      </c>
    </row>
    <row r="1237" spans="1:12" x14ac:dyDescent="0.35">
      <c r="A1237" s="51">
        <v>42528</v>
      </c>
      <c r="B1237">
        <v>-15808</v>
      </c>
      <c r="D1237">
        <v>21537</v>
      </c>
      <c r="E1237">
        <v>-9645</v>
      </c>
      <c r="F1237">
        <v>-67112</v>
      </c>
      <c r="G1237">
        <v>-66299</v>
      </c>
      <c r="H1237">
        <v>42853</v>
      </c>
      <c r="I1237">
        <v>-59309</v>
      </c>
      <c r="J1237">
        <v>8536</v>
      </c>
    </row>
    <row r="1238" spans="1:12" x14ac:dyDescent="0.35">
      <c r="A1238" s="51">
        <v>42535</v>
      </c>
      <c r="B1238">
        <v>-6778</v>
      </c>
      <c r="D1238">
        <v>18440</v>
      </c>
      <c r="E1238">
        <v>7130</v>
      </c>
      <c r="F1238">
        <v>-56489</v>
      </c>
      <c r="G1238">
        <v>-36661</v>
      </c>
      <c r="H1238">
        <v>55690</v>
      </c>
      <c r="I1238">
        <v>-65619</v>
      </c>
      <c r="J1238">
        <v>-3818</v>
      </c>
    </row>
    <row r="1239" spans="1:12" x14ac:dyDescent="0.35">
      <c r="A1239" s="51">
        <v>42542</v>
      </c>
      <c r="B1239">
        <v>-7043</v>
      </c>
      <c r="D1239">
        <v>2595</v>
      </c>
      <c r="E1239">
        <v>6381</v>
      </c>
      <c r="F1239">
        <v>-61346</v>
      </c>
      <c r="G1239">
        <v>-51947</v>
      </c>
      <c r="H1239">
        <v>52296</v>
      </c>
      <c r="I1239">
        <v>-68880</v>
      </c>
      <c r="J1239">
        <v>-3045</v>
      </c>
    </row>
    <row r="1240" spans="1:12" x14ac:dyDescent="0.35">
      <c r="A1240" s="51">
        <v>42549</v>
      </c>
      <c r="B1240">
        <v>-1952</v>
      </c>
      <c r="D1240">
        <v>7949</v>
      </c>
      <c r="E1240">
        <v>10867</v>
      </c>
      <c r="F1240">
        <v>-61934</v>
      </c>
      <c r="G1240">
        <v>-42711</v>
      </c>
      <c r="H1240">
        <v>59750</v>
      </c>
      <c r="I1240">
        <v>-65327</v>
      </c>
      <c r="J1240">
        <v>-2826</v>
      </c>
    </row>
    <row r="1241" spans="1:12" x14ac:dyDescent="0.35">
      <c r="A1241" s="51">
        <v>42556</v>
      </c>
      <c r="B1241">
        <v>4903</v>
      </c>
      <c r="D1241">
        <v>11517</v>
      </c>
      <c r="E1241">
        <v>8678</v>
      </c>
      <c r="F1241">
        <v>-75327</v>
      </c>
      <c r="G1241">
        <v>-49031</v>
      </c>
      <c r="H1241">
        <v>63568</v>
      </c>
      <c r="I1241">
        <v>-44857</v>
      </c>
      <c r="J1241">
        <v>-1403</v>
      </c>
    </row>
    <row r="1242" spans="1:12" x14ac:dyDescent="0.35">
      <c r="A1242" s="51">
        <v>42563</v>
      </c>
      <c r="B1242">
        <v>16216</v>
      </c>
      <c r="D1242">
        <v>17175</v>
      </c>
      <c r="E1242">
        <v>6718</v>
      </c>
      <c r="F1242">
        <v>-87660</v>
      </c>
      <c r="G1242">
        <v>-60067</v>
      </c>
      <c r="H1242">
        <v>47545</v>
      </c>
      <c r="I1242">
        <v>-37172</v>
      </c>
      <c r="J1242">
        <v>1011</v>
      </c>
    </row>
    <row r="1243" spans="1:12" x14ac:dyDescent="0.35">
      <c r="A1243" s="51">
        <v>42570</v>
      </c>
      <c r="B1243">
        <v>33431</v>
      </c>
      <c r="D1243">
        <v>22068</v>
      </c>
      <c r="E1243">
        <v>4687</v>
      </c>
      <c r="F1243">
        <v>-99891</v>
      </c>
      <c r="G1243">
        <v>-74386</v>
      </c>
      <c r="H1243">
        <v>39353</v>
      </c>
      <c r="I1243">
        <v>-39366</v>
      </c>
      <c r="J1243">
        <v>2173</v>
      </c>
    </row>
    <row r="1244" spans="1:12" x14ac:dyDescent="0.35">
      <c r="A1244" s="51">
        <v>42577</v>
      </c>
      <c r="B1244">
        <v>31510</v>
      </c>
      <c r="D1244">
        <v>23180</v>
      </c>
      <c r="E1244">
        <v>946</v>
      </c>
      <c r="F1244">
        <v>-112600</v>
      </c>
      <c r="G1244">
        <v>-80572</v>
      </c>
      <c r="H1244">
        <v>34958</v>
      </c>
      <c r="I1244">
        <v>-46562</v>
      </c>
      <c r="J1244">
        <v>215</v>
      </c>
    </row>
    <row r="1245" spans="1:12" x14ac:dyDescent="0.35">
      <c r="A1245" s="51">
        <v>42584</v>
      </c>
      <c r="B1245">
        <v>31363</v>
      </c>
      <c r="D1245">
        <v>17758</v>
      </c>
      <c r="E1245">
        <v>-1715</v>
      </c>
      <c r="F1245">
        <v>-104103</v>
      </c>
      <c r="G1245">
        <v>-82515</v>
      </c>
      <c r="H1245">
        <v>41700</v>
      </c>
      <c r="I1245">
        <v>-52123</v>
      </c>
      <c r="J1245">
        <v>217</v>
      </c>
      <c r="L1245">
        <v>-1515</v>
      </c>
    </row>
    <row r="1246" spans="1:12" x14ac:dyDescent="0.35">
      <c r="A1246" s="51">
        <v>42591</v>
      </c>
      <c r="B1246">
        <v>34884</v>
      </c>
      <c r="D1246">
        <v>15366</v>
      </c>
      <c r="E1246">
        <v>107</v>
      </c>
      <c r="F1246">
        <v>-98399</v>
      </c>
      <c r="G1246">
        <v>-90082</v>
      </c>
      <c r="H1246">
        <v>48831</v>
      </c>
      <c r="I1246">
        <v>-54362</v>
      </c>
      <c r="J1246">
        <v>-613</v>
      </c>
      <c r="L1246">
        <v>-1181</v>
      </c>
    </row>
    <row r="1247" spans="1:12" x14ac:dyDescent="0.35">
      <c r="A1247" s="51">
        <v>42598</v>
      </c>
      <c r="B1247">
        <v>41113</v>
      </c>
      <c r="D1247">
        <v>12473</v>
      </c>
      <c r="E1247">
        <v>-1545</v>
      </c>
      <c r="F1247">
        <v>-92508</v>
      </c>
      <c r="G1247">
        <v>-94238</v>
      </c>
      <c r="H1247">
        <v>56006</v>
      </c>
      <c r="I1247">
        <v>-45723</v>
      </c>
      <c r="J1247">
        <v>-695</v>
      </c>
    </row>
    <row r="1248" spans="1:12" x14ac:dyDescent="0.35">
      <c r="A1248" s="51">
        <v>42605</v>
      </c>
      <c r="B1248">
        <v>42757</v>
      </c>
      <c r="D1248">
        <v>16734</v>
      </c>
      <c r="E1248">
        <v>1885</v>
      </c>
      <c r="F1248">
        <v>-76658</v>
      </c>
      <c r="G1248">
        <v>-94978</v>
      </c>
      <c r="H1248">
        <v>60316</v>
      </c>
      <c r="I1248">
        <v>-28541</v>
      </c>
      <c r="J1248">
        <v>-878</v>
      </c>
    </row>
    <row r="1249" spans="1:12" x14ac:dyDescent="0.35">
      <c r="A1249" s="51">
        <v>42612</v>
      </c>
      <c r="B1249">
        <v>42566</v>
      </c>
      <c r="D1249">
        <v>22400</v>
      </c>
      <c r="E1249">
        <v>8208</v>
      </c>
      <c r="F1249">
        <v>-81925</v>
      </c>
      <c r="G1249">
        <v>-92485</v>
      </c>
      <c r="H1249">
        <v>63661</v>
      </c>
      <c r="I1249">
        <v>-33234</v>
      </c>
      <c r="J1249">
        <v>1893</v>
      </c>
    </row>
    <row r="1250" spans="1:12" x14ac:dyDescent="0.35">
      <c r="A1250" s="51">
        <v>42619</v>
      </c>
      <c r="B1250">
        <v>38959</v>
      </c>
      <c r="D1250">
        <v>20905</v>
      </c>
      <c r="E1250">
        <v>1451</v>
      </c>
      <c r="F1250">
        <v>-92630</v>
      </c>
      <c r="G1250">
        <v>-89969</v>
      </c>
      <c r="H1250">
        <v>54489</v>
      </c>
      <c r="I1250">
        <v>-58399</v>
      </c>
      <c r="J1250">
        <v>6128</v>
      </c>
    </row>
    <row r="1251" spans="1:12" x14ac:dyDescent="0.35">
      <c r="A1251" s="51">
        <v>42626</v>
      </c>
      <c r="B1251">
        <v>36467</v>
      </c>
      <c r="D1251">
        <v>17058</v>
      </c>
      <c r="E1251">
        <v>1348</v>
      </c>
      <c r="F1251">
        <v>-81475</v>
      </c>
      <c r="G1251">
        <v>-82821</v>
      </c>
      <c r="H1251">
        <v>56846</v>
      </c>
      <c r="I1251">
        <v>-65747</v>
      </c>
      <c r="J1251">
        <v>5129</v>
      </c>
      <c r="L1251">
        <v>-1299</v>
      </c>
    </row>
    <row r="1252" spans="1:12" x14ac:dyDescent="0.35">
      <c r="A1252" s="51">
        <v>42633</v>
      </c>
      <c r="B1252">
        <v>6848</v>
      </c>
      <c r="D1252">
        <v>16303</v>
      </c>
      <c r="E1252">
        <v>8413</v>
      </c>
      <c r="F1252">
        <v>-85025</v>
      </c>
      <c r="G1252">
        <v>-58686</v>
      </c>
      <c r="H1252">
        <v>58785</v>
      </c>
      <c r="I1252">
        <v>-89342</v>
      </c>
      <c r="J1252">
        <v>-7916</v>
      </c>
    </row>
    <row r="1253" spans="1:12" x14ac:dyDescent="0.35">
      <c r="A1253" s="51">
        <v>42640</v>
      </c>
      <c r="B1253">
        <v>15008</v>
      </c>
      <c r="D1253">
        <v>-11615</v>
      </c>
      <c r="E1253">
        <v>-5956</v>
      </c>
      <c r="F1253">
        <v>-76030</v>
      </c>
      <c r="G1253">
        <v>-87714</v>
      </c>
      <c r="H1253">
        <v>68892</v>
      </c>
      <c r="I1253">
        <v>-85873</v>
      </c>
      <c r="J1253">
        <v>-6793</v>
      </c>
    </row>
    <row r="1254" spans="1:12" x14ac:dyDescent="0.35">
      <c r="A1254" s="51">
        <v>42647</v>
      </c>
      <c r="B1254">
        <v>23938</v>
      </c>
      <c r="D1254">
        <v>-14077</v>
      </c>
      <c r="E1254">
        <v>-2936</v>
      </c>
      <c r="F1254">
        <v>-82059</v>
      </c>
      <c r="G1254">
        <v>-97572</v>
      </c>
      <c r="H1254">
        <v>68695</v>
      </c>
      <c r="I1254">
        <v>-85892</v>
      </c>
      <c r="J1254">
        <v>-7830</v>
      </c>
    </row>
    <row r="1255" spans="1:12" x14ac:dyDescent="0.35">
      <c r="A1255" s="51">
        <v>42654</v>
      </c>
      <c r="B1255">
        <v>26104</v>
      </c>
      <c r="D1255">
        <v>-11704</v>
      </c>
      <c r="E1255">
        <v>-9408</v>
      </c>
      <c r="F1255">
        <v>-93472</v>
      </c>
      <c r="G1255">
        <v>-95470</v>
      </c>
      <c r="H1255">
        <v>45909</v>
      </c>
      <c r="I1255">
        <v>-51792</v>
      </c>
      <c r="J1255">
        <v>-7736</v>
      </c>
    </row>
    <row r="1256" spans="1:12" x14ac:dyDescent="0.35">
      <c r="A1256" s="51">
        <v>42661</v>
      </c>
      <c r="B1256">
        <v>29980</v>
      </c>
      <c r="D1256">
        <v>-14298</v>
      </c>
      <c r="E1256">
        <v>-16377</v>
      </c>
      <c r="F1256">
        <v>-109268</v>
      </c>
      <c r="G1256">
        <v>-91558</v>
      </c>
      <c r="H1256">
        <v>36991</v>
      </c>
      <c r="I1256">
        <v>-30719</v>
      </c>
      <c r="J1256">
        <v>-153</v>
      </c>
    </row>
    <row r="1257" spans="1:12" x14ac:dyDescent="0.35">
      <c r="A1257" s="51">
        <v>42668</v>
      </c>
      <c r="B1257">
        <v>31923</v>
      </c>
      <c r="D1257">
        <v>-13324</v>
      </c>
      <c r="E1257">
        <v>-18700</v>
      </c>
      <c r="F1257">
        <v>-123856</v>
      </c>
      <c r="G1257">
        <v>-83962</v>
      </c>
      <c r="H1257">
        <v>44595</v>
      </c>
      <c r="I1257">
        <v>-25343</v>
      </c>
      <c r="J1257">
        <v>-420</v>
      </c>
    </row>
    <row r="1258" spans="1:12" x14ac:dyDescent="0.35">
      <c r="A1258" s="51">
        <v>42675</v>
      </c>
      <c r="B1258">
        <v>40867</v>
      </c>
      <c r="D1258">
        <v>-15960</v>
      </c>
      <c r="E1258">
        <v>-19970</v>
      </c>
      <c r="F1258">
        <v>-137385</v>
      </c>
      <c r="G1258">
        <v>-82961</v>
      </c>
      <c r="H1258">
        <v>43160</v>
      </c>
      <c r="I1258">
        <v>-36472</v>
      </c>
      <c r="J1258">
        <v>-965</v>
      </c>
    </row>
    <row r="1259" spans="1:12" x14ac:dyDescent="0.35">
      <c r="A1259" s="51">
        <v>42682</v>
      </c>
      <c r="B1259">
        <v>41108</v>
      </c>
      <c r="D1259">
        <v>-21312</v>
      </c>
      <c r="E1259">
        <v>-23291</v>
      </c>
      <c r="F1259">
        <v>-129314</v>
      </c>
      <c r="G1259">
        <v>-89845</v>
      </c>
      <c r="H1259">
        <v>31956</v>
      </c>
      <c r="I1259">
        <v>-32996</v>
      </c>
      <c r="J1259">
        <v>2505</v>
      </c>
    </row>
    <row r="1260" spans="1:12" x14ac:dyDescent="0.35">
      <c r="A1260" s="51">
        <v>42689</v>
      </c>
      <c r="B1260">
        <v>41518</v>
      </c>
      <c r="D1260">
        <v>-18599</v>
      </c>
      <c r="E1260">
        <v>-22194</v>
      </c>
      <c r="F1260">
        <v>-119182</v>
      </c>
      <c r="G1260">
        <v>-80313</v>
      </c>
      <c r="H1260">
        <v>20676</v>
      </c>
      <c r="I1260">
        <v>-45153</v>
      </c>
      <c r="J1260">
        <v>2043</v>
      </c>
    </row>
    <row r="1261" spans="1:12" x14ac:dyDescent="0.35">
      <c r="A1261" s="51">
        <v>42696</v>
      </c>
      <c r="B1261">
        <v>30705</v>
      </c>
      <c r="D1261">
        <v>-17462</v>
      </c>
      <c r="E1261">
        <v>-22900</v>
      </c>
      <c r="F1261">
        <v>-119348</v>
      </c>
      <c r="G1261">
        <v>-74318</v>
      </c>
      <c r="H1261">
        <v>10900</v>
      </c>
      <c r="I1261">
        <v>-48314</v>
      </c>
      <c r="J1261">
        <v>-533</v>
      </c>
    </row>
    <row r="1262" spans="1:12" x14ac:dyDescent="0.35">
      <c r="A1262" s="51">
        <v>42703</v>
      </c>
      <c r="B1262">
        <v>20957</v>
      </c>
      <c r="D1262">
        <v>-18576</v>
      </c>
      <c r="E1262">
        <v>-24334</v>
      </c>
      <c r="F1262">
        <v>-119240</v>
      </c>
      <c r="G1262">
        <v>-78135</v>
      </c>
      <c r="H1262">
        <v>-269</v>
      </c>
      <c r="I1262">
        <v>-54500</v>
      </c>
      <c r="J1262">
        <v>-1872</v>
      </c>
    </row>
    <row r="1263" spans="1:12" x14ac:dyDescent="0.35">
      <c r="A1263" s="51">
        <v>42710</v>
      </c>
      <c r="B1263">
        <v>20871</v>
      </c>
      <c r="D1263">
        <v>-18158</v>
      </c>
      <c r="E1263">
        <v>-25397</v>
      </c>
      <c r="F1263">
        <v>-114556</v>
      </c>
      <c r="G1263">
        <v>-77238</v>
      </c>
      <c r="H1263">
        <v>-33937</v>
      </c>
      <c r="I1263">
        <v>-54066</v>
      </c>
      <c r="J1263">
        <v>-3952</v>
      </c>
      <c r="L1263">
        <v>-1598</v>
      </c>
    </row>
    <row r="1264" spans="1:12" x14ac:dyDescent="0.35">
      <c r="A1264" s="51">
        <v>42717</v>
      </c>
      <c r="B1264">
        <v>13473</v>
      </c>
      <c r="D1264">
        <v>-21869</v>
      </c>
      <c r="E1264">
        <v>-25288</v>
      </c>
      <c r="F1264">
        <v>-87513</v>
      </c>
      <c r="G1264">
        <v>-72343</v>
      </c>
      <c r="H1264">
        <v>-63429</v>
      </c>
      <c r="I1264">
        <v>-57659</v>
      </c>
      <c r="J1264">
        <v>-3702</v>
      </c>
      <c r="L1264">
        <v>-1545</v>
      </c>
    </row>
    <row r="1265" spans="1:12" x14ac:dyDescent="0.35">
      <c r="A1265" s="51">
        <v>42724</v>
      </c>
      <c r="B1265">
        <v>3941</v>
      </c>
      <c r="D1265">
        <v>-11754</v>
      </c>
      <c r="E1265">
        <v>7110</v>
      </c>
      <c r="F1265">
        <v>-78045</v>
      </c>
      <c r="G1265">
        <v>-59350</v>
      </c>
      <c r="H1265">
        <v>-75449</v>
      </c>
      <c r="I1265">
        <v>-66681</v>
      </c>
      <c r="J1265">
        <v>-6953</v>
      </c>
      <c r="L1265">
        <v>330</v>
      </c>
    </row>
    <row r="1266" spans="1:12" x14ac:dyDescent="0.35">
      <c r="A1266" s="51">
        <v>42731</v>
      </c>
      <c r="B1266">
        <v>-1510</v>
      </c>
      <c r="D1266">
        <v>-1598</v>
      </c>
      <c r="E1266">
        <v>-10091</v>
      </c>
      <c r="F1266">
        <v>-69408</v>
      </c>
      <c r="G1266">
        <v>-57099</v>
      </c>
      <c r="H1266">
        <v>-87009</v>
      </c>
      <c r="I1266">
        <v>-61657</v>
      </c>
      <c r="J1266">
        <v>-11001</v>
      </c>
      <c r="L1266">
        <v>392</v>
      </c>
    </row>
    <row r="1267" spans="1:12" x14ac:dyDescent="0.35">
      <c r="A1267" s="51">
        <v>42738</v>
      </c>
      <c r="B1267">
        <v>-3256</v>
      </c>
      <c r="D1267">
        <v>-3871</v>
      </c>
      <c r="E1267">
        <v>-13439</v>
      </c>
      <c r="F1267">
        <v>-70056</v>
      </c>
      <c r="G1267">
        <v>-64742</v>
      </c>
      <c r="H1267">
        <v>-86764</v>
      </c>
      <c r="I1267">
        <v>-65636</v>
      </c>
      <c r="J1267">
        <v>-11413</v>
      </c>
      <c r="L1267">
        <v>737</v>
      </c>
    </row>
    <row r="1268" spans="1:12" x14ac:dyDescent="0.35">
      <c r="A1268" s="51">
        <v>42745</v>
      </c>
      <c r="B1268">
        <v>-3848</v>
      </c>
      <c r="D1268">
        <v>-7935</v>
      </c>
      <c r="E1268">
        <v>-14246</v>
      </c>
      <c r="F1268">
        <v>-65823</v>
      </c>
      <c r="G1268">
        <v>-65831</v>
      </c>
      <c r="H1268">
        <v>-79839</v>
      </c>
      <c r="I1268">
        <v>-71776</v>
      </c>
      <c r="J1268">
        <v>-13960</v>
      </c>
      <c r="L1268">
        <v>1687</v>
      </c>
    </row>
    <row r="1269" spans="1:12" x14ac:dyDescent="0.35">
      <c r="A1269" s="51">
        <v>42752</v>
      </c>
      <c r="B1269">
        <v>4845</v>
      </c>
      <c r="D1269">
        <v>-5456</v>
      </c>
      <c r="E1269">
        <v>-13683</v>
      </c>
      <c r="F1269">
        <v>-66500</v>
      </c>
      <c r="G1269">
        <v>-66242</v>
      </c>
      <c r="H1269">
        <v>-77830</v>
      </c>
      <c r="I1269">
        <v>-73321</v>
      </c>
      <c r="J1269">
        <v>-12288</v>
      </c>
      <c r="L1269">
        <v>2057</v>
      </c>
    </row>
    <row r="1270" spans="1:12" x14ac:dyDescent="0.35">
      <c r="A1270" s="51">
        <v>42759</v>
      </c>
      <c r="B1270">
        <v>10294</v>
      </c>
      <c r="D1270">
        <v>2519</v>
      </c>
      <c r="E1270">
        <v>-13644</v>
      </c>
      <c r="F1270">
        <v>-52348</v>
      </c>
      <c r="G1270">
        <v>-63172</v>
      </c>
      <c r="H1270">
        <v>-66840</v>
      </c>
      <c r="I1270">
        <v>-64654</v>
      </c>
      <c r="J1270">
        <v>-9883</v>
      </c>
      <c r="L1270">
        <v>2785</v>
      </c>
    </row>
    <row r="1271" spans="1:12" x14ac:dyDescent="0.35">
      <c r="A1271" s="51">
        <v>42766</v>
      </c>
      <c r="B1271">
        <v>12056</v>
      </c>
      <c r="D1271">
        <v>3472</v>
      </c>
      <c r="E1271">
        <v>-17140</v>
      </c>
      <c r="F1271">
        <v>-45713</v>
      </c>
      <c r="G1271">
        <v>-61772</v>
      </c>
      <c r="H1271">
        <v>-58331</v>
      </c>
      <c r="I1271">
        <v>-63208</v>
      </c>
      <c r="J1271">
        <v>-1022</v>
      </c>
      <c r="L1271">
        <v>5918</v>
      </c>
    </row>
    <row r="1272" spans="1:12" x14ac:dyDescent="0.35">
      <c r="A1272" s="51">
        <v>42773</v>
      </c>
      <c r="B1272">
        <v>16748</v>
      </c>
      <c r="D1272">
        <v>8550</v>
      </c>
      <c r="E1272">
        <v>-14621</v>
      </c>
      <c r="F1272">
        <v>-44951</v>
      </c>
      <c r="G1272">
        <v>-64539</v>
      </c>
      <c r="H1272">
        <v>-55060</v>
      </c>
      <c r="I1272">
        <v>-58488</v>
      </c>
      <c r="J1272">
        <v>1845</v>
      </c>
      <c r="L1272">
        <v>5712</v>
      </c>
    </row>
    <row r="1273" spans="1:12" x14ac:dyDescent="0.35">
      <c r="A1273" s="51">
        <v>42780</v>
      </c>
      <c r="B1273">
        <v>24218</v>
      </c>
      <c r="D1273">
        <v>19340</v>
      </c>
      <c r="E1273">
        <v>-11484</v>
      </c>
      <c r="F1273">
        <v>-46764</v>
      </c>
      <c r="G1273">
        <v>-65528</v>
      </c>
      <c r="H1273">
        <v>-51284</v>
      </c>
      <c r="I1273">
        <v>-60213</v>
      </c>
      <c r="J1273">
        <v>2876</v>
      </c>
      <c r="L1273">
        <v>5838</v>
      </c>
    </row>
    <row r="1274" spans="1:12" x14ac:dyDescent="0.35">
      <c r="A1274" s="51">
        <v>42787</v>
      </c>
      <c r="B1274">
        <v>33522</v>
      </c>
      <c r="D1274">
        <v>24584</v>
      </c>
      <c r="E1274">
        <v>-8936</v>
      </c>
      <c r="F1274">
        <v>-58251</v>
      </c>
      <c r="G1274">
        <v>-66352</v>
      </c>
      <c r="H1274">
        <v>-50162</v>
      </c>
      <c r="I1274">
        <v>-56481</v>
      </c>
      <c r="J1274">
        <v>3158</v>
      </c>
      <c r="L1274">
        <v>6153</v>
      </c>
    </row>
    <row r="1275" spans="1:12" x14ac:dyDescent="0.35">
      <c r="A1275" s="51">
        <v>42794</v>
      </c>
      <c r="B1275">
        <v>51915</v>
      </c>
      <c r="D1275">
        <v>30090</v>
      </c>
      <c r="E1275">
        <v>-11814</v>
      </c>
      <c r="F1275">
        <v>-51164</v>
      </c>
      <c r="G1275">
        <v>-70671</v>
      </c>
      <c r="H1275">
        <v>-50017</v>
      </c>
      <c r="I1275">
        <v>-45783</v>
      </c>
      <c r="J1275">
        <v>2937</v>
      </c>
      <c r="L1275">
        <v>6365</v>
      </c>
    </row>
    <row r="1276" spans="1:12" x14ac:dyDescent="0.35">
      <c r="A1276" s="51">
        <v>42801</v>
      </c>
      <c r="B1276">
        <v>50978</v>
      </c>
      <c r="D1276">
        <v>29220</v>
      </c>
      <c r="E1276">
        <v>-10016</v>
      </c>
      <c r="F1276">
        <v>-59501</v>
      </c>
      <c r="G1276">
        <v>-81437</v>
      </c>
      <c r="H1276">
        <v>-54700</v>
      </c>
      <c r="I1276">
        <v>-42758</v>
      </c>
      <c r="J1276">
        <v>-4425</v>
      </c>
      <c r="L1276">
        <v>7192</v>
      </c>
    </row>
    <row r="1277" spans="1:12" x14ac:dyDescent="0.35">
      <c r="A1277" s="51">
        <v>42808</v>
      </c>
      <c r="B1277">
        <v>43265</v>
      </c>
      <c r="D1277">
        <v>21458</v>
      </c>
      <c r="E1277">
        <v>-8997</v>
      </c>
      <c r="F1277">
        <v>-41027</v>
      </c>
      <c r="G1277">
        <v>-107117</v>
      </c>
      <c r="H1277">
        <v>-71297</v>
      </c>
      <c r="I1277">
        <v>-5467</v>
      </c>
      <c r="J1277">
        <v>-5605</v>
      </c>
      <c r="L1277">
        <v>4169</v>
      </c>
    </row>
    <row r="1278" spans="1:12" x14ac:dyDescent="0.35">
      <c r="A1278" s="51">
        <v>42815</v>
      </c>
      <c r="B1278">
        <v>44955</v>
      </c>
      <c r="D1278">
        <v>-24403</v>
      </c>
      <c r="E1278">
        <v>-11979</v>
      </c>
      <c r="F1278">
        <v>-19662</v>
      </c>
      <c r="G1278">
        <v>-107844</v>
      </c>
      <c r="H1278">
        <v>-66987</v>
      </c>
      <c r="I1278">
        <v>-3281</v>
      </c>
      <c r="J1278">
        <v>-12610</v>
      </c>
      <c r="L1278">
        <v>4112</v>
      </c>
    </row>
    <row r="1279" spans="1:12" x14ac:dyDescent="0.35">
      <c r="A1279" s="51">
        <v>42822</v>
      </c>
      <c r="B1279">
        <v>53138</v>
      </c>
      <c r="D1279">
        <v>-28217</v>
      </c>
      <c r="E1279">
        <v>-16392</v>
      </c>
      <c r="F1279">
        <v>-7923</v>
      </c>
      <c r="G1279">
        <v>-104075</v>
      </c>
      <c r="H1279">
        <v>-53181</v>
      </c>
      <c r="I1279">
        <v>-4737</v>
      </c>
      <c r="J1279">
        <v>-12629</v>
      </c>
      <c r="L1279">
        <v>3716</v>
      </c>
    </row>
    <row r="1280" spans="1:12" x14ac:dyDescent="0.35">
      <c r="A1280" s="51">
        <v>42829</v>
      </c>
      <c r="B1280">
        <v>49593</v>
      </c>
      <c r="D1280">
        <v>-30225</v>
      </c>
      <c r="E1280">
        <v>-13825</v>
      </c>
      <c r="F1280">
        <v>-11405</v>
      </c>
      <c r="G1280">
        <v>-99673</v>
      </c>
      <c r="H1280">
        <v>-45800</v>
      </c>
      <c r="I1280">
        <v>-9688</v>
      </c>
      <c r="J1280">
        <v>-14724</v>
      </c>
      <c r="L1280">
        <v>3834</v>
      </c>
    </row>
    <row r="1281" spans="1:12" x14ac:dyDescent="0.35">
      <c r="A1281" s="51">
        <v>42836</v>
      </c>
      <c r="B1281">
        <v>45151</v>
      </c>
      <c r="D1281">
        <v>-32334</v>
      </c>
      <c r="E1281">
        <v>-10128</v>
      </c>
      <c r="F1281">
        <v>-18956</v>
      </c>
      <c r="G1281">
        <v>-105901</v>
      </c>
      <c r="H1281">
        <v>-34764</v>
      </c>
      <c r="I1281">
        <v>-12675</v>
      </c>
      <c r="J1281">
        <v>-15153</v>
      </c>
      <c r="L1281">
        <v>3456</v>
      </c>
    </row>
    <row r="1282" spans="1:12" x14ac:dyDescent="0.35">
      <c r="A1282" s="51">
        <v>42843</v>
      </c>
      <c r="B1282">
        <v>43262</v>
      </c>
      <c r="D1282">
        <v>-33252</v>
      </c>
      <c r="E1282">
        <v>-13802</v>
      </c>
      <c r="F1282">
        <v>-21649</v>
      </c>
      <c r="G1282">
        <v>-99490</v>
      </c>
      <c r="H1282">
        <v>-30463</v>
      </c>
      <c r="I1282">
        <v>14244</v>
      </c>
      <c r="J1282">
        <v>-15006</v>
      </c>
      <c r="L1282">
        <v>1318</v>
      </c>
    </row>
    <row r="1283" spans="1:12" x14ac:dyDescent="0.35">
      <c r="A1283" s="51">
        <v>42850</v>
      </c>
      <c r="B1283">
        <v>42702</v>
      </c>
      <c r="D1283">
        <v>-42642</v>
      </c>
      <c r="E1283">
        <v>-17317</v>
      </c>
      <c r="F1283">
        <v>-20895</v>
      </c>
      <c r="G1283">
        <v>-91182</v>
      </c>
      <c r="H1283">
        <v>-26869</v>
      </c>
      <c r="I1283">
        <v>16038</v>
      </c>
      <c r="J1283">
        <v>-15404</v>
      </c>
      <c r="L1283">
        <v>1878</v>
      </c>
    </row>
    <row r="1284" spans="1:12" x14ac:dyDescent="0.35">
      <c r="A1284" s="51">
        <v>42857</v>
      </c>
      <c r="B1284">
        <v>42675</v>
      </c>
      <c r="D1284">
        <v>-47704</v>
      </c>
      <c r="E1284">
        <v>-17708</v>
      </c>
      <c r="F1284">
        <v>-1653</v>
      </c>
      <c r="G1284">
        <v>-81364</v>
      </c>
      <c r="H1284">
        <v>-30483</v>
      </c>
      <c r="I1284">
        <v>15115</v>
      </c>
      <c r="J1284">
        <v>-11970</v>
      </c>
      <c r="L1284">
        <v>2033</v>
      </c>
    </row>
    <row r="1285" spans="1:12" x14ac:dyDescent="0.35">
      <c r="A1285" s="51">
        <v>42864</v>
      </c>
      <c r="B1285">
        <v>25784</v>
      </c>
      <c r="D1285">
        <v>-86215</v>
      </c>
      <c r="E1285">
        <v>-15196</v>
      </c>
      <c r="F1285">
        <v>22399</v>
      </c>
      <c r="G1285">
        <v>-46798</v>
      </c>
      <c r="H1285">
        <v>-36307</v>
      </c>
      <c r="I1285">
        <v>69903</v>
      </c>
      <c r="J1285">
        <v>-10786</v>
      </c>
      <c r="L1285">
        <v>1198</v>
      </c>
    </row>
    <row r="1286" spans="1:12" x14ac:dyDescent="0.35">
      <c r="A1286" s="51">
        <v>42871</v>
      </c>
      <c r="B1286">
        <v>6344</v>
      </c>
      <c r="D1286">
        <v>-98000</v>
      </c>
      <c r="E1286">
        <v>-21162</v>
      </c>
      <c r="F1286">
        <v>37604</v>
      </c>
      <c r="G1286">
        <v>-32995</v>
      </c>
      <c r="H1286">
        <v>-60008</v>
      </c>
      <c r="I1286">
        <v>70054</v>
      </c>
      <c r="J1286">
        <v>-11954</v>
      </c>
      <c r="L1286">
        <v>1626</v>
      </c>
    </row>
    <row r="1287" spans="1:12" x14ac:dyDescent="0.35">
      <c r="A1287" s="51">
        <v>42878</v>
      </c>
      <c r="B1287">
        <v>2635</v>
      </c>
      <c r="D1287">
        <v>-99109</v>
      </c>
      <c r="E1287">
        <v>-19785</v>
      </c>
      <c r="F1287">
        <v>64845</v>
      </c>
      <c r="G1287">
        <v>-23867</v>
      </c>
      <c r="H1287">
        <v>-51656</v>
      </c>
      <c r="I1287">
        <v>54298</v>
      </c>
      <c r="J1287">
        <v>-9217</v>
      </c>
      <c r="L1287">
        <v>1499</v>
      </c>
    </row>
    <row r="1288" spans="1:12" x14ac:dyDescent="0.35">
      <c r="A1288" s="51">
        <v>42885</v>
      </c>
      <c r="B1288">
        <v>3067</v>
      </c>
      <c r="D1288">
        <v>-98187</v>
      </c>
      <c r="E1288">
        <v>-18512</v>
      </c>
      <c r="F1288">
        <v>72869</v>
      </c>
      <c r="G1288">
        <v>-29651</v>
      </c>
      <c r="H1288">
        <v>-52275</v>
      </c>
      <c r="I1288">
        <v>75002</v>
      </c>
      <c r="J1288">
        <v>-5539</v>
      </c>
      <c r="L1288">
        <v>2072</v>
      </c>
    </row>
    <row r="1289" spans="1:12" x14ac:dyDescent="0.35">
      <c r="A1289" s="51">
        <v>42892</v>
      </c>
      <c r="B1289">
        <v>-114</v>
      </c>
      <c r="D1289">
        <v>-94501</v>
      </c>
      <c r="E1289">
        <v>-16555</v>
      </c>
      <c r="F1289">
        <v>74009</v>
      </c>
      <c r="G1289">
        <v>-36716</v>
      </c>
      <c r="H1289">
        <v>-55027</v>
      </c>
      <c r="I1289">
        <v>84821</v>
      </c>
      <c r="J1289">
        <v>-1785</v>
      </c>
      <c r="L1289">
        <v>10113</v>
      </c>
    </row>
    <row r="1290" spans="1:12" x14ac:dyDescent="0.35">
      <c r="A1290" s="51">
        <v>42899</v>
      </c>
      <c r="B1290">
        <v>-1511</v>
      </c>
      <c r="D1290">
        <v>-88595</v>
      </c>
      <c r="E1290">
        <v>-14460</v>
      </c>
      <c r="F1290">
        <v>79053</v>
      </c>
      <c r="G1290">
        <v>-39441</v>
      </c>
      <c r="H1290">
        <v>-50553</v>
      </c>
      <c r="I1290">
        <v>95814</v>
      </c>
      <c r="J1290">
        <v>1595</v>
      </c>
      <c r="L1290">
        <v>17200</v>
      </c>
    </row>
    <row r="1291" spans="1:12" x14ac:dyDescent="0.35">
      <c r="A1291" s="51">
        <v>42906</v>
      </c>
      <c r="B1291">
        <v>15033</v>
      </c>
      <c r="D1291">
        <v>-82881</v>
      </c>
      <c r="E1291">
        <v>-2982</v>
      </c>
      <c r="F1291">
        <v>44852</v>
      </c>
      <c r="G1291">
        <v>-37604</v>
      </c>
      <c r="H1291">
        <v>-49959</v>
      </c>
      <c r="I1291">
        <v>48985</v>
      </c>
      <c r="J1291">
        <v>21455</v>
      </c>
      <c r="L1291">
        <v>19329</v>
      </c>
    </row>
    <row r="1292" spans="1:12" x14ac:dyDescent="0.35">
      <c r="A1292" s="51">
        <v>42913</v>
      </c>
      <c r="B1292">
        <v>19749</v>
      </c>
      <c r="D1292">
        <v>-49495</v>
      </c>
      <c r="E1292">
        <v>-4669</v>
      </c>
      <c r="F1292">
        <v>58695</v>
      </c>
      <c r="G1292">
        <v>-39133</v>
      </c>
      <c r="H1292">
        <v>-61350</v>
      </c>
      <c r="I1292">
        <v>81007</v>
      </c>
      <c r="J1292">
        <v>25233</v>
      </c>
      <c r="L1292">
        <v>20013</v>
      </c>
    </row>
    <row r="1293" spans="1:12" x14ac:dyDescent="0.35">
      <c r="A1293" s="51">
        <v>42920</v>
      </c>
      <c r="B1293">
        <v>32414</v>
      </c>
      <c r="D1293">
        <v>-39372</v>
      </c>
      <c r="E1293">
        <v>-113</v>
      </c>
      <c r="F1293">
        <v>77464</v>
      </c>
      <c r="G1293">
        <v>-27767</v>
      </c>
      <c r="H1293">
        <v>-75036</v>
      </c>
      <c r="I1293">
        <v>84859</v>
      </c>
      <c r="J1293">
        <v>29133</v>
      </c>
      <c r="L1293">
        <v>19124</v>
      </c>
    </row>
    <row r="1294" spans="1:12" x14ac:dyDescent="0.35">
      <c r="A1294" s="51">
        <v>42927</v>
      </c>
      <c r="B1294">
        <v>36806</v>
      </c>
      <c r="D1294">
        <v>-8604</v>
      </c>
      <c r="E1294">
        <v>208</v>
      </c>
      <c r="F1294">
        <v>83788</v>
      </c>
      <c r="G1294">
        <v>-24138</v>
      </c>
      <c r="H1294">
        <v>-112125</v>
      </c>
      <c r="I1294">
        <v>97859</v>
      </c>
      <c r="J1294">
        <v>31905</v>
      </c>
      <c r="L1294">
        <v>10145</v>
      </c>
    </row>
    <row r="1295" spans="1:12" x14ac:dyDescent="0.35">
      <c r="A1295" s="51">
        <v>42934</v>
      </c>
      <c r="B1295">
        <v>51356</v>
      </c>
      <c r="D1295">
        <v>8043</v>
      </c>
      <c r="E1295">
        <v>-3667</v>
      </c>
      <c r="F1295">
        <v>91321</v>
      </c>
      <c r="G1295">
        <v>-16473</v>
      </c>
      <c r="H1295">
        <v>-126919</v>
      </c>
      <c r="I1295">
        <v>112539</v>
      </c>
      <c r="J1295">
        <v>35981</v>
      </c>
      <c r="L1295">
        <v>8332</v>
      </c>
    </row>
    <row r="1296" spans="1:12" x14ac:dyDescent="0.35">
      <c r="A1296" s="51">
        <v>42941</v>
      </c>
      <c r="B1296">
        <v>56374</v>
      </c>
      <c r="D1296">
        <v>26613</v>
      </c>
      <c r="E1296">
        <v>-1550</v>
      </c>
      <c r="F1296">
        <v>90842</v>
      </c>
      <c r="G1296">
        <v>-26197</v>
      </c>
      <c r="H1296">
        <v>-121489</v>
      </c>
      <c r="I1296">
        <v>112890</v>
      </c>
      <c r="J1296">
        <v>34805</v>
      </c>
      <c r="L1296">
        <v>8648</v>
      </c>
    </row>
    <row r="1297" spans="1:12" x14ac:dyDescent="0.35">
      <c r="A1297" s="51">
        <v>42948</v>
      </c>
      <c r="B1297">
        <v>60713</v>
      </c>
      <c r="D1297">
        <v>40638</v>
      </c>
      <c r="E1297">
        <v>1440</v>
      </c>
      <c r="F1297">
        <v>82637</v>
      </c>
      <c r="G1297">
        <v>-29452</v>
      </c>
      <c r="H1297">
        <v>-112196</v>
      </c>
      <c r="I1297">
        <v>113549</v>
      </c>
      <c r="J1297">
        <v>34938</v>
      </c>
      <c r="L1297">
        <v>8544</v>
      </c>
    </row>
    <row r="1298" spans="1:12" x14ac:dyDescent="0.35">
      <c r="A1298" s="51">
        <v>42955</v>
      </c>
      <c r="B1298">
        <v>58010</v>
      </c>
      <c r="D1298">
        <v>62821</v>
      </c>
      <c r="E1298">
        <v>-1402</v>
      </c>
      <c r="F1298">
        <v>93685</v>
      </c>
      <c r="G1298">
        <v>-25160</v>
      </c>
      <c r="H1298">
        <v>-95813</v>
      </c>
      <c r="I1298">
        <v>106437</v>
      </c>
      <c r="J1298">
        <v>33485</v>
      </c>
      <c r="L1298">
        <v>7906</v>
      </c>
    </row>
    <row r="1299" spans="1:12" x14ac:dyDescent="0.35">
      <c r="A1299" s="51">
        <v>42962</v>
      </c>
      <c r="B1299">
        <v>59612</v>
      </c>
      <c r="D1299">
        <v>51349</v>
      </c>
      <c r="E1299">
        <v>-1181</v>
      </c>
      <c r="F1299">
        <v>79267</v>
      </c>
      <c r="G1299">
        <v>-31860</v>
      </c>
      <c r="H1299">
        <v>-77492</v>
      </c>
      <c r="I1299">
        <v>94849</v>
      </c>
      <c r="J1299">
        <v>24839</v>
      </c>
      <c r="L1299">
        <v>9472</v>
      </c>
    </row>
    <row r="1300" spans="1:12" x14ac:dyDescent="0.35">
      <c r="A1300" s="51">
        <v>42969</v>
      </c>
      <c r="B1300">
        <v>60484</v>
      </c>
      <c r="D1300">
        <v>51099</v>
      </c>
      <c r="E1300">
        <v>-1987</v>
      </c>
      <c r="F1300">
        <v>87976</v>
      </c>
      <c r="G1300">
        <v>-45900</v>
      </c>
      <c r="H1300">
        <v>-74086</v>
      </c>
      <c r="I1300">
        <v>97618</v>
      </c>
      <c r="J1300">
        <v>21882</v>
      </c>
      <c r="L1300">
        <v>11203</v>
      </c>
    </row>
    <row r="1301" spans="1:12" x14ac:dyDescent="0.35">
      <c r="A1301" s="51">
        <v>42976</v>
      </c>
      <c r="B1301">
        <v>66527</v>
      </c>
      <c r="D1301">
        <v>53167</v>
      </c>
      <c r="E1301">
        <v>-1778</v>
      </c>
      <c r="F1301">
        <v>86519</v>
      </c>
      <c r="G1301">
        <v>-51555</v>
      </c>
      <c r="H1301">
        <v>-68524</v>
      </c>
      <c r="I1301">
        <v>97010</v>
      </c>
      <c r="J1301">
        <v>18804</v>
      </c>
      <c r="L1301">
        <v>11624</v>
      </c>
    </row>
    <row r="1302" spans="1:12" x14ac:dyDescent="0.35">
      <c r="A1302" s="51">
        <v>42983</v>
      </c>
      <c r="B1302">
        <v>64904</v>
      </c>
      <c r="D1302">
        <v>53644</v>
      </c>
      <c r="E1302">
        <v>-2171</v>
      </c>
      <c r="F1302">
        <v>96309</v>
      </c>
      <c r="G1302">
        <v>-52927</v>
      </c>
      <c r="H1302">
        <v>-72945</v>
      </c>
      <c r="I1302">
        <v>113612</v>
      </c>
      <c r="J1302">
        <v>14723</v>
      </c>
      <c r="L1302">
        <v>11558</v>
      </c>
    </row>
    <row r="1303" spans="1:12" x14ac:dyDescent="0.35">
      <c r="A1303" s="51">
        <v>42990</v>
      </c>
      <c r="B1303">
        <v>63033</v>
      </c>
      <c r="D1303">
        <v>50499</v>
      </c>
      <c r="E1303">
        <v>-1314</v>
      </c>
      <c r="F1303">
        <v>86058</v>
      </c>
      <c r="G1303">
        <v>-46085</v>
      </c>
      <c r="H1303">
        <v>-57297</v>
      </c>
      <c r="I1303">
        <v>116998</v>
      </c>
      <c r="J1303">
        <v>12350</v>
      </c>
      <c r="L1303">
        <v>12346</v>
      </c>
    </row>
    <row r="1304" spans="1:12" x14ac:dyDescent="0.35">
      <c r="A1304" s="51">
        <v>42997</v>
      </c>
      <c r="B1304">
        <v>72512</v>
      </c>
      <c r="D1304">
        <v>58846</v>
      </c>
      <c r="E1304">
        <v>-1569</v>
      </c>
      <c r="F1304">
        <v>62753</v>
      </c>
      <c r="G1304">
        <v>-10161</v>
      </c>
      <c r="H1304">
        <v>-51322</v>
      </c>
      <c r="I1304">
        <v>76952</v>
      </c>
      <c r="J1304">
        <v>6670</v>
      </c>
      <c r="L1304">
        <v>12869</v>
      </c>
    </row>
    <row r="1305" spans="1:12" x14ac:dyDescent="0.35">
      <c r="A1305" s="51">
        <v>43004</v>
      </c>
      <c r="B1305">
        <v>77194</v>
      </c>
      <c r="D1305">
        <v>74605</v>
      </c>
      <c r="E1305">
        <v>-1862</v>
      </c>
      <c r="F1305">
        <v>88167</v>
      </c>
      <c r="G1305">
        <v>5054</v>
      </c>
      <c r="H1305">
        <v>-71347</v>
      </c>
      <c r="I1305">
        <v>83727</v>
      </c>
      <c r="J1305">
        <v>8053</v>
      </c>
      <c r="L1305">
        <v>11356</v>
      </c>
    </row>
    <row r="1306" spans="1:12" x14ac:dyDescent="0.35">
      <c r="A1306" s="51">
        <v>43011</v>
      </c>
      <c r="B1306">
        <v>71812</v>
      </c>
      <c r="D1306">
        <v>75128</v>
      </c>
      <c r="E1306">
        <v>-3293</v>
      </c>
      <c r="F1306">
        <v>90833</v>
      </c>
      <c r="G1306">
        <v>19949</v>
      </c>
      <c r="H1306">
        <v>-84643</v>
      </c>
      <c r="I1306">
        <v>89116</v>
      </c>
      <c r="J1306">
        <v>8118</v>
      </c>
      <c r="L1306">
        <v>9209</v>
      </c>
    </row>
    <row r="1307" spans="1:12" x14ac:dyDescent="0.35">
      <c r="A1307" s="51">
        <v>43018</v>
      </c>
      <c r="B1307">
        <v>69182</v>
      </c>
      <c r="D1307">
        <v>76392</v>
      </c>
      <c r="E1307">
        <v>-4262</v>
      </c>
      <c r="F1307">
        <v>98079</v>
      </c>
      <c r="G1307">
        <v>15508</v>
      </c>
      <c r="H1307">
        <v>-101419</v>
      </c>
      <c r="I1307">
        <v>82749</v>
      </c>
      <c r="J1307">
        <v>5729</v>
      </c>
      <c r="L1307">
        <v>8525</v>
      </c>
    </row>
    <row r="1308" spans="1:12" x14ac:dyDescent="0.35">
      <c r="A1308" s="51">
        <v>43025</v>
      </c>
      <c r="B1308">
        <v>61800</v>
      </c>
      <c r="D1308">
        <v>75086</v>
      </c>
      <c r="E1308">
        <v>-4931</v>
      </c>
      <c r="F1308">
        <v>90452</v>
      </c>
      <c r="G1308">
        <v>5047</v>
      </c>
      <c r="H1308">
        <v>-101286</v>
      </c>
      <c r="I1308">
        <v>71067</v>
      </c>
      <c r="J1308">
        <v>6977</v>
      </c>
      <c r="L1308">
        <v>9052</v>
      </c>
    </row>
    <row r="1309" spans="1:12" x14ac:dyDescent="0.35">
      <c r="A1309" s="51">
        <v>43032</v>
      </c>
      <c r="B1309">
        <v>57250</v>
      </c>
      <c r="D1309">
        <v>72332</v>
      </c>
      <c r="E1309">
        <v>-11597</v>
      </c>
      <c r="F1309">
        <v>83504</v>
      </c>
      <c r="G1309">
        <v>-1485</v>
      </c>
      <c r="H1309">
        <v>-116857</v>
      </c>
      <c r="I1309">
        <v>55701</v>
      </c>
      <c r="J1309">
        <v>611</v>
      </c>
      <c r="L1309">
        <v>8598</v>
      </c>
    </row>
    <row r="1310" spans="1:12" x14ac:dyDescent="0.35">
      <c r="A1310" s="51">
        <v>43039</v>
      </c>
      <c r="B1310">
        <v>51608</v>
      </c>
      <c r="D1310">
        <v>57839</v>
      </c>
      <c r="E1310">
        <v>-20671</v>
      </c>
      <c r="F1310">
        <v>72097</v>
      </c>
      <c r="G1310">
        <v>1245</v>
      </c>
      <c r="H1310">
        <v>-118869</v>
      </c>
      <c r="I1310">
        <v>55246</v>
      </c>
      <c r="J1310">
        <v>-5707</v>
      </c>
      <c r="L1310">
        <v>8376</v>
      </c>
    </row>
    <row r="1311" spans="1:12" x14ac:dyDescent="0.35">
      <c r="A1311" s="51">
        <v>43046</v>
      </c>
      <c r="B1311">
        <v>45437</v>
      </c>
      <c r="D1311">
        <v>50889</v>
      </c>
      <c r="E1311">
        <v>-25110</v>
      </c>
      <c r="F1311">
        <v>85455</v>
      </c>
      <c r="G1311">
        <v>-9198</v>
      </c>
      <c r="H1311">
        <v>-127848</v>
      </c>
      <c r="I1311">
        <v>56975</v>
      </c>
      <c r="J1311">
        <v>-11187</v>
      </c>
      <c r="L1311">
        <v>9290</v>
      </c>
    </row>
    <row r="1312" spans="1:12" x14ac:dyDescent="0.35">
      <c r="A1312" s="51">
        <v>43053</v>
      </c>
      <c r="B1312">
        <v>44032</v>
      </c>
      <c r="D1312">
        <v>47335</v>
      </c>
      <c r="E1312">
        <v>-27983</v>
      </c>
      <c r="F1312">
        <v>84586</v>
      </c>
      <c r="G1312">
        <v>-4533</v>
      </c>
      <c r="H1312">
        <v>-135999</v>
      </c>
      <c r="I1312">
        <v>62533</v>
      </c>
      <c r="J1312">
        <v>-11891</v>
      </c>
      <c r="L1312">
        <v>9916</v>
      </c>
    </row>
    <row r="1313" spans="1:12" x14ac:dyDescent="0.35">
      <c r="A1313" s="51">
        <v>43060</v>
      </c>
      <c r="B1313">
        <v>39817</v>
      </c>
      <c r="D1313">
        <v>45125</v>
      </c>
      <c r="E1313">
        <v>-29740</v>
      </c>
      <c r="F1313">
        <v>95437</v>
      </c>
      <c r="G1313">
        <v>-300</v>
      </c>
      <c r="H1313">
        <v>-122602</v>
      </c>
      <c r="I1313">
        <v>80386</v>
      </c>
      <c r="J1313">
        <v>-13394</v>
      </c>
      <c r="L1313">
        <v>10212</v>
      </c>
    </row>
    <row r="1314" spans="1:12" x14ac:dyDescent="0.35">
      <c r="A1314" s="51">
        <v>43067</v>
      </c>
      <c r="B1314">
        <v>38882</v>
      </c>
      <c r="D1314">
        <v>45658</v>
      </c>
      <c r="E1314">
        <v>-30184</v>
      </c>
      <c r="F1314">
        <v>89681</v>
      </c>
      <c r="G1314">
        <v>4573</v>
      </c>
      <c r="H1314">
        <v>-110640</v>
      </c>
      <c r="I1314">
        <v>89566</v>
      </c>
      <c r="J1314">
        <v>-14022</v>
      </c>
      <c r="L1314">
        <v>9636</v>
      </c>
    </row>
    <row r="1315" spans="1:12" x14ac:dyDescent="0.35">
      <c r="A1315" s="51">
        <v>43074</v>
      </c>
      <c r="B1315">
        <v>40328</v>
      </c>
      <c r="D1315">
        <v>42466</v>
      </c>
      <c r="E1315">
        <v>-29567</v>
      </c>
      <c r="F1315">
        <v>93106</v>
      </c>
      <c r="G1315">
        <v>6406</v>
      </c>
      <c r="H1315">
        <v>-114267</v>
      </c>
      <c r="I1315">
        <v>96523</v>
      </c>
      <c r="J1315">
        <v>-12893</v>
      </c>
      <c r="L1315">
        <v>9927</v>
      </c>
    </row>
    <row r="1316" spans="1:12" x14ac:dyDescent="0.35">
      <c r="A1316" s="51">
        <v>43081</v>
      </c>
      <c r="B1316">
        <v>40720</v>
      </c>
      <c r="D1316">
        <v>41960</v>
      </c>
      <c r="E1316">
        <v>-28765</v>
      </c>
      <c r="F1316">
        <v>113889</v>
      </c>
      <c r="G1316">
        <v>11388</v>
      </c>
      <c r="H1316">
        <v>-114123</v>
      </c>
      <c r="I1316">
        <v>86176</v>
      </c>
      <c r="J1316">
        <v>-13428</v>
      </c>
      <c r="L1316">
        <v>9801</v>
      </c>
    </row>
    <row r="1317" spans="1:12" x14ac:dyDescent="0.35">
      <c r="A1317" s="51">
        <v>43088</v>
      </c>
      <c r="B1317">
        <v>-12660</v>
      </c>
      <c r="D1317">
        <v>45901</v>
      </c>
      <c r="E1317">
        <v>-17395</v>
      </c>
      <c r="F1317">
        <v>86224</v>
      </c>
      <c r="G1317">
        <v>20388</v>
      </c>
      <c r="H1317">
        <v>-114373</v>
      </c>
      <c r="I1317">
        <v>53894</v>
      </c>
      <c r="J1317">
        <v>-16619</v>
      </c>
      <c r="L1317">
        <v>7462</v>
      </c>
    </row>
    <row r="1318" spans="1:12" x14ac:dyDescent="0.35">
      <c r="A1318" s="51">
        <v>43095</v>
      </c>
      <c r="B1318">
        <v>-13639</v>
      </c>
      <c r="D1318">
        <v>17346</v>
      </c>
      <c r="E1318">
        <v>-13902</v>
      </c>
      <c r="F1318">
        <v>92148</v>
      </c>
      <c r="G1318">
        <v>12676</v>
      </c>
      <c r="H1318">
        <v>-116086</v>
      </c>
      <c r="I1318">
        <v>36384</v>
      </c>
      <c r="J1318">
        <v>-17586</v>
      </c>
      <c r="L1318">
        <v>8867</v>
      </c>
    </row>
    <row r="1319" spans="1:12" x14ac:dyDescent="0.35">
      <c r="A1319" s="51">
        <v>43102</v>
      </c>
      <c r="B1319">
        <v>-20026</v>
      </c>
      <c r="C1319">
        <v>0</v>
      </c>
      <c r="D1319">
        <v>14739</v>
      </c>
      <c r="E1319">
        <v>-16232</v>
      </c>
      <c r="F1319">
        <v>127868</v>
      </c>
      <c r="G1319">
        <v>16235</v>
      </c>
      <c r="H1319">
        <v>-121766</v>
      </c>
      <c r="I1319">
        <v>35058</v>
      </c>
      <c r="J1319">
        <v>-16985</v>
      </c>
      <c r="K1319">
        <v>0</v>
      </c>
      <c r="L1319">
        <v>8754</v>
      </c>
    </row>
    <row r="1320" spans="1:12" x14ac:dyDescent="0.35">
      <c r="A1320" s="51">
        <v>43109</v>
      </c>
      <c r="B1320">
        <v>5458</v>
      </c>
      <c r="C1320">
        <v>0</v>
      </c>
      <c r="D1320">
        <v>17461</v>
      </c>
      <c r="E1320">
        <v>-21922</v>
      </c>
      <c r="F1320">
        <v>144691</v>
      </c>
      <c r="G1320">
        <v>25492</v>
      </c>
      <c r="H1320">
        <v>-125536</v>
      </c>
      <c r="I1320">
        <v>29797</v>
      </c>
      <c r="J1320">
        <v>-11017</v>
      </c>
      <c r="K1320">
        <v>0</v>
      </c>
      <c r="L1320">
        <v>8895</v>
      </c>
    </row>
    <row r="1321" spans="1:12" x14ac:dyDescent="0.35">
      <c r="A1321" s="51">
        <v>43116</v>
      </c>
      <c r="B1321">
        <v>10074</v>
      </c>
      <c r="C1321">
        <v>0</v>
      </c>
      <c r="D1321">
        <v>17556</v>
      </c>
      <c r="E1321">
        <v>-21106</v>
      </c>
      <c r="F1321">
        <v>139490</v>
      </c>
      <c r="G1321">
        <v>26204</v>
      </c>
      <c r="H1321">
        <v>-119350</v>
      </c>
      <c r="I1321">
        <v>46795</v>
      </c>
      <c r="J1321">
        <v>-7991</v>
      </c>
      <c r="K1321">
        <v>0</v>
      </c>
      <c r="L1321">
        <v>8753</v>
      </c>
    </row>
    <row r="1322" spans="1:12" x14ac:dyDescent="0.35">
      <c r="A1322" s="51">
        <v>43123</v>
      </c>
      <c r="B1322">
        <v>16679</v>
      </c>
      <c r="C1322">
        <v>0</v>
      </c>
      <c r="D1322">
        <v>22557</v>
      </c>
      <c r="E1322">
        <v>-22115</v>
      </c>
      <c r="F1322">
        <v>144717</v>
      </c>
      <c r="G1322">
        <v>33045</v>
      </c>
      <c r="H1322">
        <v>-122870</v>
      </c>
      <c r="I1322">
        <v>61155</v>
      </c>
      <c r="J1322">
        <v>-1466</v>
      </c>
      <c r="K1322">
        <v>0</v>
      </c>
      <c r="L1322">
        <v>8594</v>
      </c>
    </row>
    <row r="1323" spans="1:12" x14ac:dyDescent="0.35">
      <c r="A1323" s="51">
        <v>43130</v>
      </c>
      <c r="B1323">
        <v>13151</v>
      </c>
      <c r="C1323">
        <v>0</v>
      </c>
      <c r="D1323">
        <v>33465</v>
      </c>
      <c r="E1323">
        <v>-20327</v>
      </c>
      <c r="F1323">
        <v>148742</v>
      </c>
      <c r="G1323">
        <v>31741</v>
      </c>
      <c r="H1323">
        <v>-114696</v>
      </c>
      <c r="I1323">
        <v>80045</v>
      </c>
      <c r="J1323">
        <v>3470</v>
      </c>
      <c r="K1323">
        <v>0</v>
      </c>
      <c r="L1323">
        <v>8746</v>
      </c>
    </row>
    <row r="1324" spans="1:12" x14ac:dyDescent="0.35">
      <c r="A1324" s="51">
        <v>43137</v>
      </c>
      <c r="B1324">
        <v>13748</v>
      </c>
      <c r="C1324">
        <v>0</v>
      </c>
      <c r="D1324">
        <v>40164</v>
      </c>
      <c r="E1324">
        <v>-20241</v>
      </c>
      <c r="F1324">
        <v>140823</v>
      </c>
      <c r="G1324">
        <v>27867</v>
      </c>
      <c r="H1324">
        <v>-112876</v>
      </c>
      <c r="I1324">
        <v>92855</v>
      </c>
      <c r="J1324">
        <v>3332</v>
      </c>
      <c r="K1324">
        <v>0</v>
      </c>
      <c r="L1324">
        <v>8439</v>
      </c>
    </row>
    <row r="1325" spans="1:12" x14ac:dyDescent="0.35">
      <c r="A1325" s="51">
        <v>43144</v>
      </c>
      <c r="B1325">
        <v>9081</v>
      </c>
      <c r="C1325">
        <v>0</v>
      </c>
      <c r="D1325">
        <v>32529</v>
      </c>
      <c r="E1325">
        <v>-19925</v>
      </c>
      <c r="F1325">
        <v>127289</v>
      </c>
      <c r="G1325">
        <v>14940</v>
      </c>
      <c r="H1325">
        <v>-115509</v>
      </c>
      <c r="I1325">
        <v>96778</v>
      </c>
      <c r="J1325">
        <v>2220</v>
      </c>
      <c r="K1325">
        <v>0</v>
      </c>
      <c r="L1325">
        <v>8113</v>
      </c>
    </row>
    <row r="1326" spans="1:12" x14ac:dyDescent="0.35">
      <c r="A1326" s="51">
        <v>43151</v>
      </c>
      <c r="B1326">
        <v>11875</v>
      </c>
      <c r="C1326">
        <v>0</v>
      </c>
      <c r="D1326">
        <v>23127</v>
      </c>
      <c r="E1326">
        <v>-15788</v>
      </c>
      <c r="F1326">
        <v>126126</v>
      </c>
      <c r="G1326">
        <v>7803</v>
      </c>
      <c r="H1326">
        <v>-108338</v>
      </c>
      <c r="I1326">
        <v>94821</v>
      </c>
      <c r="J1326">
        <v>944</v>
      </c>
      <c r="K1326">
        <v>0</v>
      </c>
      <c r="L1326">
        <v>8044</v>
      </c>
    </row>
    <row r="1327" spans="1:12" x14ac:dyDescent="0.35">
      <c r="A1327" s="51">
        <v>43158</v>
      </c>
      <c r="B1327">
        <v>9574</v>
      </c>
      <c r="C1327">
        <v>2533</v>
      </c>
      <c r="D1327">
        <v>22220</v>
      </c>
      <c r="E1327">
        <v>-15999</v>
      </c>
      <c r="F1327">
        <v>137977</v>
      </c>
      <c r="G1327">
        <v>12687</v>
      </c>
      <c r="H1327">
        <v>-96651</v>
      </c>
      <c r="I1327">
        <v>92507</v>
      </c>
      <c r="J1327">
        <v>-991</v>
      </c>
      <c r="K1327">
        <v>17080</v>
      </c>
      <c r="L1327">
        <v>7920</v>
      </c>
    </row>
    <row r="1328" spans="1:12" x14ac:dyDescent="0.35">
      <c r="A1328" s="51">
        <v>43165</v>
      </c>
      <c r="B1328">
        <v>3135</v>
      </c>
      <c r="C1328">
        <v>-12374</v>
      </c>
      <c r="D1328">
        <v>19565</v>
      </c>
      <c r="E1328">
        <v>-8477</v>
      </c>
      <c r="F1328">
        <v>132972</v>
      </c>
      <c r="G1328">
        <v>5264</v>
      </c>
      <c r="H1328">
        <v>-86845</v>
      </c>
      <c r="I1328">
        <v>83295</v>
      </c>
      <c r="J1328">
        <v>30</v>
      </c>
      <c r="K1328">
        <v>17913</v>
      </c>
      <c r="L1328">
        <v>7796</v>
      </c>
    </row>
    <row r="1329" spans="1:12" x14ac:dyDescent="0.35">
      <c r="A1329" s="51">
        <v>43172</v>
      </c>
      <c r="B1329">
        <v>-779</v>
      </c>
      <c r="C1329">
        <v>-13318</v>
      </c>
      <c r="D1329">
        <v>19420</v>
      </c>
      <c r="E1329">
        <v>-6572</v>
      </c>
      <c r="F1329">
        <v>146380</v>
      </c>
      <c r="G1329">
        <v>8027</v>
      </c>
      <c r="H1329">
        <v>-79539</v>
      </c>
      <c r="I1329">
        <v>86940</v>
      </c>
      <c r="J1329">
        <v>-2816</v>
      </c>
      <c r="K1329">
        <v>22037</v>
      </c>
      <c r="L1329">
        <v>7614</v>
      </c>
    </row>
    <row r="1330" spans="1:12" x14ac:dyDescent="0.35">
      <c r="A1330" s="51">
        <v>43179</v>
      </c>
      <c r="B1330">
        <v>17925</v>
      </c>
      <c r="C1330">
        <v>-12495</v>
      </c>
      <c r="D1330">
        <v>24560</v>
      </c>
      <c r="E1330">
        <v>-8246</v>
      </c>
      <c r="F1330">
        <v>132739</v>
      </c>
      <c r="G1330">
        <v>23807</v>
      </c>
      <c r="H1330">
        <v>-21999</v>
      </c>
      <c r="I1330">
        <v>66845</v>
      </c>
      <c r="J1330">
        <v>19626</v>
      </c>
      <c r="K1330">
        <v>18567</v>
      </c>
      <c r="L1330">
        <v>7348</v>
      </c>
    </row>
    <row r="1331" spans="1:12" x14ac:dyDescent="0.35">
      <c r="A1331" s="51">
        <v>43186</v>
      </c>
      <c r="B1331">
        <v>8074</v>
      </c>
      <c r="C1331">
        <v>-14013</v>
      </c>
      <c r="D1331">
        <v>-27050</v>
      </c>
      <c r="E1331">
        <v>-9445</v>
      </c>
      <c r="F1331">
        <v>141064</v>
      </c>
      <c r="G1331">
        <v>34176</v>
      </c>
      <c r="H1331">
        <v>-3668</v>
      </c>
      <c r="I1331">
        <v>89787</v>
      </c>
      <c r="J1331">
        <v>18239</v>
      </c>
      <c r="K1331">
        <v>18176</v>
      </c>
      <c r="L1331">
        <v>7840</v>
      </c>
    </row>
    <row r="1332" spans="1:12" x14ac:dyDescent="0.35">
      <c r="A1332" s="51">
        <v>43193</v>
      </c>
      <c r="B1332">
        <v>-75</v>
      </c>
      <c r="C1332">
        <v>-22788</v>
      </c>
      <c r="D1332">
        <v>-31872</v>
      </c>
      <c r="E1332">
        <v>-9911</v>
      </c>
      <c r="F1332">
        <v>134381</v>
      </c>
      <c r="G1332">
        <v>40338</v>
      </c>
      <c r="H1332">
        <v>3572</v>
      </c>
      <c r="I1332">
        <v>99080</v>
      </c>
      <c r="J1332">
        <v>18377</v>
      </c>
      <c r="K1332">
        <v>18666</v>
      </c>
      <c r="L1332">
        <v>7911</v>
      </c>
    </row>
    <row r="1333" spans="1:12" x14ac:dyDescent="0.35">
      <c r="A1333" s="51">
        <v>43200</v>
      </c>
      <c r="B1333">
        <v>-2796</v>
      </c>
      <c r="C1333">
        <v>-22192</v>
      </c>
      <c r="D1333">
        <v>-31672</v>
      </c>
      <c r="E1333">
        <v>-10744</v>
      </c>
      <c r="F1333">
        <v>147463</v>
      </c>
      <c r="G1333">
        <v>43016</v>
      </c>
      <c r="H1333">
        <v>2761</v>
      </c>
      <c r="I1333">
        <v>102218</v>
      </c>
      <c r="J1333">
        <v>22827</v>
      </c>
      <c r="K1333">
        <v>15383</v>
      </c>
      <c r="L1333">
        <v>7654</v>
      </c>
    </row>
    <row r="1334" spans="1:12" x14ac:dyDescent="0.35">
      <c r="A1334" s="51">
        <v>43207</v>
      </c>
      <c r="B1334">
        <v>-10155</v>
      </c>
      <c r="C1334">
        <v>-22313</v>
      </c>
      <c r="D1334">
        <v>-30324</v>
      </c>
      <c r="E1334">
        <v>-10521</v>
      </c>
      <c r="F1334">
        <v>151476</v>
      </c>
      <c r="G1334">
        <v>47702</v>
      </c>
      <c r="H1334">
        <v>2591</v>
      </c>
      <c r="I1334">
        <v>101841</v>
      </c>
      <c r="J1334">
        <v>27603</v>
      </c>
      <c r="K1334">
        <v>14062</v>
      </c>
      <c r="L1334">
        <v>7534</v>
      </c>
    </row>
    <row r="1335" spans="1:12" x14ac:dyDescent="0.35">
      <c r="A1335" s="51">
        <v>43214</v>
      </c>
      <c r="B1335">
        <v>-3396</v>
      </c>
      <c r="C1335">
        <v>-21471</v>
      </c>
      <c r="D1335">
        <v>-25144</v>
      </c>
      <c r="E1335">
        <v>-10225</v>
      </c>
      <c r="F1335">
        <v>130594</v>
      </c>
      <c r="G1335">
        <v>37365</v>
      </c>
      <c r="H1335">
        <v>583</v>
      </c>
      <c r="I1335">
        <v>88783</v>
      </c>
      <c r="J1335">
        <v>24434</v>
      </c>
      <c r="K1335">
        <v>13798</v>
      </c>
      <c r="L1335">
        <v>6663</v>
      </c>
    </row>
    <row r="1336" spans="1:12" x14ac:dyDescent="0.35">
      <c r="A1336" s="51">
        <v>43221</v>
      </c>
      <c r="B1336">
        <v>-5672</v>
      </c>
      <c r="C1336">
        <v>-22142</v>
      </c>
      <c r="D1336">
        <v>-27535</v>
      </c>
      <c r="E1336">
        <v>-19456</v>
      </c>
      <c r="F1336">
        <v>120568</v>
      </c>
      <c r="G1336">
        <v>26372</v>
      </c>
      <c r="H1336">
        <v>-1405</v>
      </c>
      <c r="I1336">
        <v>86041</v>
      </c>
      <c r="J1336">
        <v>16573</v>
      </c>
      <c r="K1336">
        <v>9480</v>
      </c>
      <c r="L1336">
        <v>6445</v>
      </c>
    </row>
    <row r="1337" spans="1:12" x14ac:dyDescent="0.35">
      <c r="A1337" s="51">
        <v>43228</v>
      </c>
      <c r="B1337">
        <v>-16766</v>
      </c>
      <c r="C1337">
        <v>-25742</v>
      </c>
      <c r="D1337">
        <v>-23861</v>
      </c>
      <c r="E1337">
        <v>-32602</v>
      </c>
      <c r="F1337">
        <v>120505</v>
      </c>
      <c r="G1337">
        <v>8988</v>
      </c>
      <c r="H1337">
        <v>-5462</v>
      </c>
      <c r="I1337">
        <v>76188</v>
      </c>
      <c r="J1337">
        <v>12546</v>
      </c>
      <c r="K1337">
        <v>9378</v>
      </c>
      <c r="L1337">
        <v>6431</v>
      </c>
    </row>
    <row r="1338" spans="1:12" x14ac:dyDescent="0.35">
      <c r="A1338" s="51">
        <v>43235</v>
      </c>
      <c r="B1338">
        <v>-23106</v>
      </c>
      <c r="C1338">
        <v>-25685</v>
      </c>
      <c r="D1338">
        <v>-23656</v>
      </c>
      <c r="E1338">
        <v>-36393</v>
      </c>
      <c r="F1338">
        <v>115114</v>
      </c>
      <c r="G1338">
        <v>5621</v>
      </c>
      <c r="H1338">
        <v>3680</v>
      </c>
      <c r="I1338">
        <v>52778</v>
      </c>
      <c r="J1338">
        <v>1953</v>
      </c>
      <c r="K1338">
        <v>10863</v>
      </c>
      <c r="L1338">
        <v>6510</v>
      </c>
    </row>
    <row r="1339" spans="1:12" x14ac:dyDescent="0.35">
      <c r="A1339" s="51">
        <v>43242</v>
      </c>
      <c r="B1339">
        <v>-21112</v>
      </c>
      <c r="C1339">
        <v>-25341</v>
      </c>
      <c r="D1339">
        <v>-26212</v>
      </c>
      <c r="E1339">
        <v>-37311</v>
      </c>
      <c r="F1339">
        <v>109744</v>
      </c>
      <c r="G1339">
        <v>5701</v>
      </c>
      <c r="H1339">
        <v>-2767</v>
      </c>
      <c r="I1339">
        <v>31540</v>
      </c>
      <c r="J1339">
        <v>-1363</v>
      </c>
      <c r="K1339">
        <v>11356</v>
      </c>
      <c r="L1339">
        <v>6281</v>
      </c>
    </row>
    <row r="1340" spans="1:12" x14ac:dyDescent="0.35">
      <c r="A1340" s="51">
        <v>43249</v>
      </c>
      <c r="B1340">
        <v>-23235</v>
      </c>
      <c r="C1340">
        <v>-25324</v>
      </c>
      <c r="D1340">
        <v>-15690</v>
      </c>
      <c r="E1340">
        <v>-43431</v>
      </c>
      <c r="F1340">
        <v>93037</v>
      </c>
      <c r="G1340">
        <v>9477</v>
      </c>
      <c r="H1340">
        <v>-8036</v>
      </c>
      <c r="I1340">
        <v>18336</v>
      </c>
      <c r="J1340">
        <v>1401</v>
      </c>
      <c r="K1340">
        <v>11637</v>
      </c>
      <c r="L1340">
        <v>6319</v>
      </c>
    </row>
    <row r="1341" spans="1:12" x14ac:dyDescent="0.35">
      <c r="A1341" s="51">
        <v>43256</v>
      </c>
      <c r="B1341">
        <v>-20208</v>
      </c>
      <c r="C1341">
        <v>-30262</v>
      </c>
      <c r="D1341">
        <v>-16039</v>
      </c>
      <c r="E1341">
        <v>-39216</v>
      </c>
      <c r="F1341">
        <v>89236</v>
      </c>
      <c r="G1341">
        <v>7345</v>
      </c>
      <c r="H1341">
        <v>-3437</v>
      </c>
      <c r="I1341">
        <v>-11110</v>
      </c>
      <c r="J1341">
        <v>4383</v>
      </c>
      <c r="K1341">
        <v>11646</v>
      </c>
      <c r="L1341">
        <v>7041</v>
      </c>
    </row>
    <row r="1342" spans="1:12" x14ac:dyDescent="0.35">
      <c r="A1342" s="51">
        <v>43263</v>
      </c>
      <c r="B1342">
        <v>-15235</v>
      </c>
      <c r="C1342">
        <v>-28526</v>
      </c>
      <c r="D1342">
        <v>-14988</v>
      </c>
      <c r="E1342">
        <v>-37245</v>
      </c>
      <c r="F1342">
        <v>88225</v>
      </c>
      <c r="G1342">
        <v>10969</v>
      </c>
      <c r="H1342">
        <v>5052</v>
      </c>
      <c r="I1342">
        <v>-21700</v>
      </c>
      <c r="J1342">
        <v>7006</v>
      </c>
      <c r="K1342">
        <v>12100</v>
      </c>
      <c r="L1342">
        <v>7785</v>
      </c>
    </row>
    <row r="1343" spans="1:12" x14ac:dyDescent="0.35">
      <c r="A1343" s="51">
        <v>43270</v>
      </c>
      <c r="B1343">
        <v>-43099</v>
      </c>
      <c r="C1343">
        <v>-28024</v>
      </c>
      <c r="D1343">
        <v>-14014</v>
      </c>
      <c r="E1343">
        <v>-31957</v>
      </c>
      <c r="F1343">
        <v>36118</v>
      </c>
      <c r="G1343">
        <v>-19206</v>
      </c>
      <c r="H1343">
        <v>-35562</v>
      </c>
      <c r="I1343">
        <v>-11265</v>
      </c>
      <c r="J1343">
        <v>-15940</v>
      </c>
      <c r="K1343">
        <v>9849</v>
      </c>
    </row>
    <row r="1344" spans="1:12" x14ac:dyDescent="0.35">
      <c r="A1344" s="51">
        <v>43277</v>
      </c>
      <c r="B1344">
        <v>-40978</v>
      </c>
      <c r="C1344">
        <v>-28797</v>
      </c>
      <c r="D1344">
        <v>-32799</v>
      </c>
      <c r="E1344">
        <v>-38031</v>
      </c>
      <c r="F1344">
        <v>33904</v>
      </c>
      <c r="G1344">
        <v>-21581</v>
      </c>
      <c r="H1344">
        <v>-34221</v>
      </c>
      <c r="I1344">
        <v>-12510</v>
      </c>
      <c r="J1344">
        <v>-17562</v>
      </c>
      <c r="K1344">
        <v>6706</v>
      </c>
    </row>
    <row r="1345" spans="1:12" x14ac:dyDescent="0.35">
      <c r="A1345" s="51">
        <v>43284</v>
      </c>
      <c r="B1345">
        <v>-39230</v>
      </c>
      <c r="C1345">
        <v>-28556</v>
      </c>
      <c r="D1345">
        <v>-49448</v>
      </c>
      <c r="E1345">
        <v>-40494</v>
      </c>
      <c r="F1345">
        <v>36747</v>
      </c>
      <c r="G1345">
        <v>-28781</v>
      </c>
      <c r="H1345">
        <v>-38730</v>
      </c>
      <c r="I1345">
        <v>5915</v>
      </c>
      <c r="J1345">
        <v>-26404</v>
      </c>
      <c r="K1345">
        <v>5572</v>
      </c>
    </row>
    <row r="1346" spans="1:12" x14ac:dyDescent="0.35">
      <c r="A1346" s="51">
        <v>43291</v>
      </c>
      <c r="B1346">
        <v>-40973</v>
      </c>
      <c r="C1346">
        <v>-27320</v>
      </c>
      <c r="D1346">
        <v>-52887</v>
      </c>
      <c r="E1346">
        <v>-40121</v>
      </c>
      <c r="F1346">
        <v>24357</v>
      </c>
      <c r="G1346">
        <v>-40403</v>
      </c>
      <c r="H1346">
        <v>-39832</v>
      </c>
      <c r="I1346">
        <v>28132</v>
      </c>
      <c r="J1346">
        <v>-26574</v>
      </c>
      <c r="K1346">
        <v>6366</v>
      </c>
    </row>
    <row r="1347" spans="1:12" x14ac:dyDescent="0.35">
      <c r="A1347" s="51">
        <v>43298</v>
      </c>
      <c r="B1347">
        <v>-40525</v>
      </c>
      <c r="C1347">
        <v>-27010</v>
      </c>
      <c r="D1347">
        <v>-47484</v>
      </c>
      <c r="E1347">
        <v>-42143</v>
      </c>
      <c r="F1347">
        <v>21407</v>
      </c>
      <c r="G1347">
        <v>-38752</v>
      </c>
      <c r="H1347">
        <v>-58650</v>
      </c>
      <c r="I1347">
        <v>29078</v>
      </c>
      <c r="J1347">
        <v>-25067</v>
      </c>
      <c r="K1347">
        <v>7604</v>
      </c>
      <c r="L1347">
        <v>-62</v>
      </c>
    </row>
    <row r="1348" spans="1:12" x14ac:dyDescent="0.35">
      <c r="A1348" s="51">
        <v>43305</v>
      </c>
      <c r="B1348">
        <v>-45486</v>
      </c>
      <c r="C1348">
        <v>-26432</v>
      </c>
      <c r="D1348">
        <v>-44511</v>
      </c>
      <c r="E1348">
        <v>-45808</v>
      </c>
      <c r="F1348">
        <v>29640</v>
      </c>
      <c r="G1348">
        <v>-46743</v>
      </c>
      <c r="H1348">
        <v>-73769</v>
      </c>
      <c r="I1348">
        <v>19584</v>
      </c>
      <c r="J1348">
        <v>-24370</v>
      </c>
      <c r="K1348">
        <v>8157</v>
      </c>
      <c r="L1348">
        <v>797</v>
      </c>
    </row>
    <row r="1349" spans="1:12" x14ac:dyDescent="0.35">
      <c r="A1349" s="51">
        <v>43312</v>
      </c>
      <c r="B1349">
        <v>-51476</v>
      </c>
      <c r="C1349">
        <v>-21376</v>
      </c>
      <c r="D1349">
        <v>-31569</v>
      </c>
      <c r="E1349">
        <v>-44422</v>
      </c>
      <c r="F1349">
        <v>22825</v>
      </c>
      <c r="G1349">
        <v>-47386</v>
      </c>
      <c r="H1349">
        <v>-68457</v>
      </c>
      <c r="I1349">
        <v>26515</v>
      </c>
      <c r="J1349">
        <v>-23680</v>
      </c>
      <c r="K1349">
        <v>7739</v>
      </c>
      <c r="L1349">
        <v>2399</v>
      </c>
    </row>
    <row r="1350" spans="1:12" x14ac:dyDescent="0.35">
      <c r="A1350" s="51">
        <v>43319</v>
      </c>
      <c r="B1350">
        <v>-54540</v>
      </c>
      <c r="C1350">
        <v>-17205</v>
      </c>
      <c r="D1350">
        <v>-24898</v>
      </c>
      <c r="E1350">
        <v>-46108</v>
      </c>
      <c r="F1350">
        <v>10565</v>
      </c>
      <c r="G1350">
        <v>-58852</v>
      </c>
      <c r="H1350">
        <v>-62807</v>
      </c>
      <c r="I1350">
        <v>33260</v>
      </c>
      <c r="J1350">
        <v>-24527</v>
      </c>
      <c r="K1350">
        <v>7661</v>
      </c>
      <c r="L1350">
        <v>2322</v>
      </c>
    </row>
    <row r="1351" spans="1:12" x14ac:dyDescent="0.35">
      <c r="A1351" s="51">
        <v>43326</v>
      </c>
      <c r="B1351">
        <v>-51783</v>
      </c>
      <c r="C1351">
        <v>-17126</v>
      </c>
      <c r="D1351">
        <v>-26198</v>
      </c>
      <c r="E1351">
        <v>-45849</v>
      </c>
      <c r="F1351">
        <v>-1789</v>
      </c>
      <c r="G1351">
        <v>-60741</v>
      </c>
      <c r="H1351">
        <v>-58368</v>
      </c>
      <c r="I1351">
        <v>31074</v>
      </c>
      <c r="J1351">
        <v>-26693</v>
      </c>
      <c r="K1351">
        <v>5255</v>
      </c>
      <c r="L1351">
        <v>3553</v>
      </c>
    </row>
    <row r="1352" spans="1:12" x14ac:dyDescent="0.35">
      <c r="A1352" s="51">
        <v>43333</v>
      </c>
      <c r="B1352">
        <v>-50207</v>
      </c>
      <c r="C1352">
        <v>-18484</v>
      </c>
      <c r="D1352">
        <v>-27021</v>
      </c>
      <c r="E1352">
        <v>-47218</v>
      </c>
      <c r="F1352">
        <v>-4841</v>
      </c>
      <c r="G1352">
        <v>-72338</v>
      </c>
      <c r="H1352">
        <v>-47406</v>
      </c>
      <c r="I1352">
        <v>25670</v>
      </c>
      <c r="J1352">
        <v>-25143</v>
      </c>
      <c r="K1352">
        <v>4979</v>
      </c>
      <c r="L1352">
        <v>1351</v>
      </c>
    </row>
    <row r="1353" spans="1:12" x14ac:dyDescent="0.35">
      <c r="A1353" s="51">
        <v>43340</v>
      </c>
      <c r="B1353">
        <v>-44633</v>
      </c>
      <c r="C1353">
        <v>-18029</v>
      </c>
      <c r="D1353">
        <v>-24789</v>
      </c>
      <c r="E1353">
        <v>-44744</v>
      </c>
      <c r="F1353">
        <v>-7219</v>
      </c>
      <c r="G1353">
        <v>-76928</v>
      </c>
      <c r="H1353">
        <v>-46041</v>
      </c>
      <c r="I1353">
        <v>19337</v>
      </c>
      <c r="J1353">
        <v>-23927</v>
      </c>
      <c r="K1353">
        <v>5049</v>
      </c>
      <c r="L1353">
        <v>1127</v>
      </c>
    </row>
    <row r="1354" spans="1:12" x14ac:dyDescent="0.35">
      <c r="A1354" s="51">
        <v>43347</v>
      </c>
      <c r="B1354">
        <v>-44031</v>
      </c>
      <c r="C1354">
        <v>-16771</v>
      </c>
      <c r="D1354">
        <v>-26307</v>
      </c>
      <c r="E1354">
        <v>-40394</v>
      </c>
      <c r="F1354">
        <v>7963</v>
      </c>
      <c r="G1354">
        <v>-69613</v>
      </c>
      <c r="H1354">
        <v>-51932</v>
      </c>
      <c r="I1354">
        <v>12519</v>
      </c>
      <c r="J1354">
        <v>-24894</v>
      </c>
      <c r="K1354">
        <v>4727</v>
      </c>
      <c r="L1354">
        <v>1374</v>
      </c>
    </row>
    <row r="1355" spans="1:12" x14ac:dyDescent="0.35">
      <c r="A1355" s="51">
        <v>43354</v>
      </c>
      <c r="B1355">
        <v>-44312</v>
      </c>
      <c r="C1355">
        <v>-26560</v>
      </c>
      <c r="D1355">
        <v>-26942</v>
      </c>
      <c r="E1355">
        <v>-35350</v>
      </c>
      <c r="F1355">
        <v>11170</v>
      </c>
      <c r="G1355">
        <v>-61179</v>
      </c>
      <c r="H1355">
        <v>-53886</v>
      </c>
      <c r="I1355">
        <v>14536</v>
      </c>
      <c r="J1355">
        <v>-22647</v>
      </c>
      <c r="K1355">
        <v>2894</v>
      </c>
      <c r="L1355">
        <v>1204</v>
      </c>
    </row>
    <row r="1356" spans="1:12" x14ac:dyDescent="0.35">
      <c r="A1356" s="51">
        <v>43361</v>
      </c>
      <c r="B1356">
        <v>-68003</v>
      </c>
      <c r="C1356">
        <v>-26000</v>
      </c>
      <c r="D1356">
        <v>-30111</v>
      </c>
      <c r="E1356">
        <v>-18438</v>
      </c>
      <c r="F1356">
        <v>1666</v>
      </c>
      <c r="G1356">
        <v>-79258</v>
      </c>
      <c r="H1356">
        <v>-63755</v>
      </c>
      <c r="I1356">
        <v>40513</v>
      </c>
      <c r="J1356">
        <v>-31989</v>
      </c>
      <c r="K1356">
        <v>-3830</v>
      </c>
      <c r="L1356">
        <v>-2393</v>
      </c>
    </row>
    <row r="1357" spans="1:12" x14ac:dyDescent="0.35">
      <c r="A1357" s="51">
        <v>43368</v>
      </c>
      <c r="B1357">
        <v>-72061</v>
      </c>
      <c r="C1357">
        <v>-28589</v>
      </c>
      <c r="D1357">
        <v>-19532</v>
      </c>
      <c r="E1357">
        <v>-16083</v>
      </c>
      <c r="F1357">
        <v>3696</v>
      </c>
      <c r="G1357">
        <v>-67078</v>
      </c>
      <c r="H1357">
        <v>-84719</v>
      </c>
      <c r="I1357">
        <v>51398</v>
      </c>
      <c r="J1357">
        <v>-31835</v>
      </c>
      <c r="K1357">
        <v>-4215</v>
      </c>
      <c r="L1357">
        <v>-4491</v>
      </c>
    </row>
    <row r="1358" spans="1:12" x14ac:dyDescent="0.35">
      <c r="A1358" s="51">
        <v>43375</v>
      </c>
      <c r="B1358">
        <v>-71718</v>
      </c>
      <c r="C1358">
        <v>-27239</v>
      </c>
      <c r="D1358">
        <v>-18484</v>
      </c>
      <c r="E1358">
        <v>-13402</v>
      </c>
      <c r="F1358">
        <v>-7101</v>
      </c>
      <c r="G1358">
        <v>-59340</v>
      </c>
      <c r="H1358">
        <v>-114046</v>
      </c>
      <c r="I1358">
        <v>73829</v>
      </c>
      <c r="J1358">
        <v>-30596</v>
      </c>
      <c r="K1358">
        <v>-118</v>
      </c>
    </row>
    <row r="1359" spans="1:12" x14ac:dyDescent="0.35">
      <c r="A1359" s="51">
        <v>43382</v>
      </c>
      <c r="B1359">
        <v>-73284</v>
      </c>
      <c r="C1359">
        <v>-18828</v>
      </c>
      <c r="D1359">
        <v>-12145</v>
      </c>
      <c r="E1359">
        <v>-12803</v>
      </c>
      <c r="F1359">
        <v>-16142</v>
      </c>
      <c r="G1359">
        <v>-60507</v>
      </c>
      <c r="H1359">
        <v>-115201</v>
      </c>
      <c r="I1359">
        <v>74449</v>
      </c>
      <c r="J1359">
        <v>-33820</v>
      </c>
      <c r="K1359">
        <v>2645</v>
      </c>
    </row>
    <row r="1360" spans="1:12" x14ac:dyDescent="0.35">
      <c r="A1360" s="51">
        <v>43389</v>
      </c>
      <c r="B1360">
        <v>-71491</v>
      </c>
      <c r="C1360">
        <v>-15693</v>
      </c>
      <c r="D1360">
        <v>-11019</v>
      </c>
      <c r="E1360">
        <v>-16524</v>
      </c>
      <c r="F1360">
        <v>-29344</v>
      </c>
      <c r="G1360">
        <v>-50353</v>
      </c>
      <c r="H1360">
        <v>-100621</v>
      </c>
      <c r="I1360">
        <v>68575</v>
      </c>
      <c r="J1360">
        <v>-35412</v>
      </c>
      <c r="K1360">
        <v>2831</v>
      </c>
      <c r="L1360">
        <v>-3295</v>
      </c>
    </row>
    <row r="1361" spans="1:12" x14ac:dyDescent="0.35">
      <c r="A1361" s="51">
        <v>43396</v>
      </c>
      <c r="B1361">
        <v>-70368</v>
      </c>
      <c r="C1361">
        <v>-15265</v>
      </c>
      <c r="D1361">
        <v>-7228</v>
      </c>
      <c r="E1361">
        <v>-17105</v>
      </c>
      <c r="F1361">
        <v>-30304</v>
      </c>
      <c r="G1361">
        <v>-46997</v>
      </c>
      <c r="H1361">
        <v>-92804</v>
      </c>
      <c r="I1361">
        <v>58027</v>
      </c>
      <c r="J1361">
        <v>-33048</v>
      </c>
      <c r="K1361">
        <v>2563</v>
      </c>
    </row>
    <row r="1362" spans="1:12" x14ac:dyDescent="0.35">
      <c r="A1362" s="51">
        <v>43403</v>
      </c>
      <c r="B1362">
        <v>-70412</v>
      </c>
      <c r="C1362">
        <v>-15657</v>
      </c>
      <c r="D1362">
        <v>-9655</v>
      </c>
      <c r="E1362">
        <v>-14522</v>
      </c>
      <c r="F1362">
        <v>-32662</v>
      </c>
      <c r="G1362">
        <v>-52482</v>
      </c>
      <c r="H1362">
        <v>-91620</v>
      </c>
      <c r="I1362">
        <v>33809</v>
      </c>
      <c r="J1362">
        <v>-35031</v>
      </c>
      <c r="K1362">
        <v>2572</v>
      </c>
      <c r="L1362">
        <v>-1945</v>
      </c>
    </row>
    <row r="1363" spans="1:12" x14ac:dyDescent="0.35">
      <c r="A1363" s="51">
        <v>43410</v>
      </c>
      <c r="B1363">
        <v>-66445</v>
      </c>
      <c r="C1363">
        <v>3600</v>
      </c>
      <c r="D1363">
        <v>-2632</v>
      </c>
      <c r="E1363">
        <v>-19948</v>
      </c>
      <c r="F1363">
        <v>-46843</v>
      </c>
      <c r="G1363">
        <v>-56799</v>
      </c>
      <c r="H1363">
        <v>-89122</v>
      </c>
      <c r="I1363">
        <v>7036</v>
      </c>
      <c r="J1363">
        <v>-25726</v>
      </c>
      <c r="K1363">
        <v>4558</v>
      </c>
    </row>
    <row r="1364" spans="1:12" x14ac:dyDescent="0.35">
      <c r="A1364" s="51">
        <v>43417</v>
      </c>
      <c r="B1364">
        <v>-59780</v>
      </c>
      <c r="C1364">
        <v>3214</v>
      </c>
      <c r="D1364">
        <v>-2791</v>
      </c>
      <c r="E1364">
        <v>-18602</v>
      </c>
      <c r="F1364">
        <v>-37019</v>
      </c>
      <c r="G1364">
        <v>-47107</v>
      </c>
      <c r="H1364">
        <v>-102294</v>
      </c>
      <c r="I1364">
        <v>7287</v>
      </c>
      <c r="J1364">
        <v>-20868</v>
      </c>
      <c r="K1364">
        <v>9996</v>
      </c>
    </row>
    <row r="1365" spans="1:12" x14ac:dyDescent="0.35">
      <c r="A1365" s="51">
        <v>43424</v>
      </c>
      <c r="B1365">
        <v>-59180</v>
      </c>
      <c r="C1365">
        <v>4043</v>
      </c>
      <c r="D1365">
        <v>-6289</v>
      </c>
      <c r="E1365">
        <v>-19625</v>
      </c>
      <c r="F1365">
        <v>-47229</v>
      </c>
      <c r="G1365">
        <v>-43478</v>
      </c>
      <c r="H1365">
        <v>-100065</v>
      </c>
      <c r="I1365">
        <v>14083</v>
      </c>
      <c r="J1365">
        <v>-19347</v>
      </c>
      <c r="K1365">
        <v>9716</v>
      </c>
    </row>
    <row r="1366" spans="1:12" x14ac:dyDescent="0.35">
      <c r="A1366" s="51">
        <v>43431</v>
      </c>
      <c r="B1366">
        <v>-53903</v>
      </c>
      <c r="C1366">
        <v>2455</v>
      </c>
      <c r="D1366">
        <v>-8630</v>
      </c>
      <c r="E1366">
        <v>-21068</v>
      </c>
      <c r="F1366">
        <v>-55071</v>
      </c>
      <c r="G1366">
        <v>-39150</v>
      </c>
      <c r="H1366">
        <v>-104324</v>
      </c>
      <c r="I1366">
        <v>15327</v>
      </c>
      <c r="J1366">
        <v>-20540</v>
      </c>
      <c r="K1366">
        <v>10212</v>
      </c>
    </row>
    <row r="1367" spans="1:12" x14ac:dyDescent="0.35">
      <c r="A1367" s="51">
        <v>43438</v>
      </c>
      <c r="B1367">
        <v>-50755</v>
      </c>
      <c r="C1367">
        <v>511</v>
      </c>
      <c r="D1367">
        <v>-12936</v>
      </c>
      <c r="E1367">
        <v>-19795</v>
      </c>
      <c r="F1367">
        <v>-60776</v>
      </c>
      <c r="G1367">
        <v>-39750</v>
      </c>
      <c r="H1367">
        <v>-109766</v>
      </c>
      <c r="I1367">
        <v>4523</v>
      </c>
      <c r="J1367">
        <v>-21297</v>
      </c>
      <c r="K1367">
        <v>10358</v>
      </c>
    </row>
    <row r="1368" spans="1:12" x14ac:dyDescent="0.35">
      <c r="A1368" s="51">
        <v>43445</v>
      </c>
      <c r="B1368">
        <v>-45531</v>
      </c>
      <c r="C1368">
        <v>-13</v>
      </c>
      <c r="D1368">
        <v>-11669</v>
      </c>
      <c r="E1368">
        <v>-18267</v>
      </c>
      <c r="F1368">
        <v>-56287</v>
      </c>
      <c r="G1368">
        <v>-42419</v>
      </c>
      <c r="H1368">
        <v>-97606</v>
      </c>
      <c r="I1368">
        <v>11442</v>
      </c>
      <c r="J1368">
        <v>-15241</v>
      </c>
      <c r="K1368">
        <v>10763</v>
      </c>
      <c r="L1368">
        <v>555</v>
      </c>
    </row>
    <row r="1369" spans="1:12" x14ac:dyDescent="0.35">
      <c r="A1369" s="51">
        <v>43452</v>
      </c>
      <c r="B1369">
        <v>-35069</v>
      </c>
      <c r="C1369">
        <v>219</v>
      </c>
      <c r="D1369">
        <v>-7457</v>
      </c>
      <c r="E1369">
        <v>-22926</v>
      </c>
      <c r="F1369">
        <v>-53124</v>
      </c>
      <c r="G1369">
        <v>-60723</v>
      </c>
      <c r="H1369">
        <v>-102771</v>
      </c>
      <c r="I1369">
        <v>-769</v>
      </c>
      <c r="J1369">
        <v>3411</v>
      </c>
      <c r="K1369">
        <v>19686</v>
      </c>
    </row>
    <row r="1370" spans="1:12" x14ac:dyDescent="0.35">
      <c r="A1370" s="51">
        <v>43458</v>
      </c>
      <c r="B1370">
        <v>-31261</v>
      </c>
      <c r="C1370">
        <v>-485</v>
      </c>
      <c r="D1370">
        <v>-44692</v>
      </c>
      <c r="E1370">
        <v>-23329</v>
      </c>
      <c r="F1370">
        <v>-58455</v>
      </c>
      <c r="G1370">
        <v>-56479</v>
      </c>
      <c r="H1370">
        <v>-99089</v>
      </c>
      <c r="I1370">
        <v>3429</v>
      </c>
      <c r="J1370">
        <v>1940</v>
      </c>
      <c r="K1370">
        <v>15569</v>
      </c>
    </row>
    <row r="1371" spans="1:12" x14ac:dyDescent="0.35">
      <c r="A1371" s="51">
        <v>43465</v>
      </c>
      <c r="B1371">
        <v>-26291</v>
      </c>
      <c r="C1371">
        <v>-3143</v>
      </c>
      <c r="D1371">
        <v>-50649</v>
      </c>
      <c r="E1371">
        <v>-25530</v>
      </c>
      <c r="F1371">
        <v>-46648</v>
      </c>
      <c r="G1371">
        <v>-56914</v>
      </c>
      <c r="H1371">
        <v>-88623</v>
      </c>
      <c r="I1371">
        <v>9772</v>
      </c>
      <c r="J1371">
        <v>1962</v>
      </c>
      <c r="K1371">
        <v>12949</v>
      </c>
      <c r="L1371">
        <v>-1178</v>
      </c>
    </row>
    <row r="1372" spans="1:12" x14ac:dyDescent="0.35">
      <c r="A1372" s="51">
        <v>43473</v>
      </c>
      <c r="B1372">
        <v>-37775</v>
      </c>
      <c r="C1372">
        <v>-2896</v>
      </c>
      <c r="D1372">
        <v>-66002</v>
      </c>
      <c r="E1372">
        <v>-23186</v>
      </c>
      <c r="F1372">
        <v>-40533</v>
      </c>
      <c r="G1372">
        <v>-60092</v>
      </c>
      <c r="H1372">
        <v>-61314</v>
      </c>
      <c r="I1372">
        <v>30982</v>
      </c>
      <c r="J1372">
        <v>-1538</v>
      </c>
      <c r="K1372">
        <v>2467</v>
      </c>
      <c r="L1372">
        <v>-1997</v>
      </c>
    </row>
    <row r="1373" spans="1:12" x14ac:dyDescent="0.35">
      <c r="A1373" s="51">
        <v>43480</v>
      </c>
      <c r="B1373">
        <v>-37969</v>
      </c>
      <c r="C1373">
        <v>-1455</v>
      </c>
      <c r="D1373">
        <v>-59524</v>
      </c>
      <c r="E1373">
        <v>-15294</v>
      </c>
      <c r="F1373">
        <v>-32661</v>
      </c>
      <c r="G1373">
        <v>-60476</v>
      </c>
      <c r="H1373">
        <v>-46421</v>
      </c>
      <c r="I1373">
        <v>57265</v>
      </c>
      <c r="J1373">
        <v>-2940</v>
      </c>
      <c r="K1373">
        <v>1415</v>
      </c>
      <c r="L1373">
        <v>-1662</v>
      </c>
    </row>
    <row r="1374" spans="1:12" x14ac:dyDescent="0.35">
      <c r="A1374" s="51">
        <v>43487</v>
      </c>
      <c r="B1374">
        <v>-36063</v>
      </c>
      <c r="C1374">
        <v>36</v>
      </c>
      <c r="D1374">
        <v>-56096</v>
      </c>
      <c r="E1374">
        <v>-16402</v>
      </c>
      <c r="F1374">
        <v>-41006</v>
      </c>
      <c r="G1374">
        <v>-52111</v>
      </c>
      <c r="H1374">
        <v>-39667</v>
      </c>
      <c r="I1374">
        <v>63519</v>
      </c>
      <c r="J1374">
        <v>-4589</v>
      </c>
      <c r="K1374">
        <v>5909</v>
      </c>
      <c r="L1374">
        <v>-1081</v>
      </c>
    </row>
    <row r="1375" spans="1:12" x14ac:dyDescent="0.35">
      <c r="A1375" s="51">
        <v>43494</v>
      </c>
      <c r="B1375">
        <v>-32112</v>
      </c>
      <c r="C1375">
        <v>-108</v>
      </c>
      <c r="D1375">
        <v>-56390</v>
      </c>
      <c r="E1375">
        <v>-18080</v>
      </c>
      <c r="F1375">
        <v>-46474</v>
      </c>
      <c r="G1375">
        <v>-35196</v>
      </c>
      <c r="H1375">
        <v>-33345</v>
      </c>
      <c r="I1375">
        <v>69443</v>
      </c>
      <c r="J1375">
        <v>-2816</v>
      </c>
      <c r="K1375">
        <v>11311</v>
      </c>
      <c r="L1375">
        <v>-1407</v>
      </c>
    </row>
    <row r="1376" spans="1:12" x14ac:dyDescent="0.35">
      <c r="A1376" s="51">
        <v>43501</v>
      </c>
      <c r="B1376">
        <v>-35617</v>
      </c>
      <c r="C1376">
        <v>2767</v>
      </c>
      <c r="D1376">
        <v>-42037</v>
      </c>
      <c r="E1376">
        <v>-18114</v>
      </c>
      <c r="F1376">
        <v>-51964</v>
      </c>
      <c r="G1376">
        <v>-33744</v>
      </c>
      <c r="H1376">
        <v>-31410</v>
      </c>
      <c r="I1376">
        <v>71467</v>
      </c>
      <c r="J1376">
        <v>547</v>
      </c>
      <c r="K1376">
        <v>15633</v>
      </c>
      <c r="L1376">
        <v>-255</v>
      </c>
    </row>
    <row r="1377" spans="1:12" x14ac:dyDescent="0.35">
      <c r="A1377" s="51">
        <v>43508</v>
      </c>
      <c r="B1377">
        <v>-34495</v>
      </c>
      <c r="C1377">
        <v>1476</v>
      </c>
      <c r="D1377">
        <v>-37537</v>
      </c>
      <c r="E1377">
        <v>-20680</v>
      </c>
      <c r="F1377">
        <v>-63900</v>
      </c>
      <c r="G1377">
        <v>-42944</v>
      </c>
      <c r="H1377">
        <v>-30742</v>
      </c>
      <c r="I1377">
        <v>76411</v>
      </c>
      <c r="J1377">
        <v>-1123</v>
      </c>
      <c r="K1377">
        <v>18338</v>
      </c>
      <c r="L1377">
        <v>444</v>
      </c>
    </row>
    <row r="1378" spans="1:12" x14ac:dyDescent="0.35">
      <c r="A1378" s="51">
        <v>43515</v>
      </c>
      <c r="B1378">
        <v>-37068</v>
      </c>
      <c r="C1378">
        <v>1025</v>
      </c>
      <c r="D1378">
        <v>-36437</v>
      </c>
      <c r="E1378">
        <v>-23350</v>
      </c>
      <c r="F1378">
        <v>-74934</v>
      </c>
      <c r="G1378">
        <v>-47528</v>
      </c>
      <c r="H1378">
        <v>-37461</v>
      </c>
      <c r="I1378">
        <v>95095</v>
      </c>
      <c r="J1378">
        <v>-740</v>
      </c>
      <c r="K1378">
        <v>19047</v>
      </c>
      <c r="L1378">
        <v>845</v>
      </c>
    </row>
    <row r="1379" spans="1:12" x14ac:dyDescent="0.35">
      <c r="A1379" s="51">
        <v>43522</v>
      </c>
      <c r="B1379">
        <v>-35743</v>
      </c>
      <c r="C1379">
        <v>1097</v>
      </c>
      <c r="D1379">
        <v>-39177</v>
      </c>
      <c r="E1379">
        <v>-25349</v>
      </c>
      <c r="F1379">
        <v>-72455</v>
      </c>
      <c r="G1379">
        <v>-39263</v>
      </c>
      <c r="H1379">
        <v>-39654</v>
      </c>
      <c r="I1379">
        <v>91947</v>
      </c>
      <c r="J1379">
        <v>914</v>
      </c>
      <c r="K1379">
        <v>19563</v>
      </c>
    </row>
    <row r="1380" spans="1:12" x14ac:dyDescent="0.35">
      <c r="A1380" s="51">
        <v>43529</v>
      </c>
      <c r="B1380">
        <v>-40741</v>
      </c>
      <c r="C1380">
        <v>3138</v>
      </c>
      <c r="D1380">
        <v>-40444</v>
      </c>
      <c r="E1380">
        <v>-24104</v>
      </c>
      <c r="F1380">
        <v>-78166</v>
      </c>
      <c r="G1380">
        <v>-34929</v>
      </c>
      <c r="H1380">
        <v>-51306</v>
      </c>
      <c r="I1380">
        <v>88418</v>
      </c>
      <c r="J1380">
        <v>1421</v>
      </c>
      <c r="K1380">
        <v>19536</v>
      </c>
      <c r="L1380">
        <v>-138</v>
      </c>
    </row>
    <row r="1381" spans="1:12" x14ac:dyDescent="0.35">
      <c r="A1381" s="51">
        <v>43536</v>
      </c>
      <c r="B1381">
        <v>-43699</v>
      </c>
      <c r="C1381">
        <v>-4458</v>
      </c>
      <c r="D1381">
        <v>-41053</v>
      </c>
      <c r="E1381">
        <v>-23305</v>
      </c>
      <c r="F1381">
        <v>-75745</v>
      </c>
      <c r="G1381">
        <v>-36696</v>
      </c>
      <c r="H1381">
        <v>-58781</v>
      </c>
      <c r="I1381">
        <v>75096</v>
      </c>
      <c r="J1381">
        <v>4597</v>
      </c>
      <c r="K1381">
        <v>22577</v>
      </c>
      <c r="L1381">
        <v>-376</v>
      </c>
    </row>
    <row r="1382" spans="1:12" x14ac:dyDescent="0.35">
      <c r="A1382" s="51">
        <v>43543</v>
      </c>
      <c r="B1382">
        <v>-51902</v>
      </c>
      <c r="C1382">
        <v>1258</v>
      </c>
      <c r="D1382">
        <v>-47774</v>
      </c>
      <c r="E1382">
        <v>-27189</v>
      </c>
      <c r="F1382">
        <v>-77704</v>
      </c>
      <c r="G1382">
        <v>-13774</v>
      </c>
      <c r="H1382">
        <v>-59221</v>
      </c>
      <c r="I1382">
        <v>122887</v>
      </c>
      <c r="J1382">
        <v>-1124</v>
      </c>
      <c r="K1382">
        <v>30134</v>
      </c>
      <c r="L1382">
        <v>-184</v>
      </c>
    </row>
    <row r="1383" spans="1:12" x14ac:dyDescent="0.35">
      <c r="A1383" s="51">
        <v>43550</v>
      </c>
      <c r="B1383">
        <v>-53670</v>
      </c>
      <c r="C1383">
        <v>-3159</v>
      </c>
      <c r="D1383">
        <v>-39571</v>
      </c>
      <c r="E1383">
        <v>-27295</v>
      </c>
      <c r="F1383">
        <v>-80278</v>
      </c>
      <c r="G1383">
        <v>-8582</v>
      </c>
      <c r="H1383">
        <v>-62121</v>
      </c>
      <c r="I1383">
        <v>146334</v>
      </c>
      <c r="J1383">
        <v>-202</v>
      </c>
      <c r="K1383">
        <v>33340</v>
      </c>
    </row>
    <row r="1384" spans="1:12" x14ac:dyDescent="0.35">
      <c r="A1384" s="51">
        <v>43557</v>
      </c>
      <c r="B1384">
        <v>-55743</v>
      </c>
      <c r="C1384">
        <v>-14059</v>
      </c>
      <c r="D1384">
        <v>-44323</v>
      </c>
      <c r="E1384">
        <v>-26266</v>
      </c>
      <c r="F1384">
        <v>-99184</v>
      </c>
      <c r="G1384">
        <v>-9931</v>
      </c>
      <c r="H1384">
        <v>-62741</v>
      </c>
      <c r="I1384">
        <v>142723</v>
      </c>
      <c r="J1384">
        <v>-405</v>
      </c>
      <c r="K1384">
        <v>34012</v>
      </c>
    </row>
    <row r="1385" spans="1:12" x14ac:dyDescent="0.35">
      <c r="A1385" s="51">
        <v>43564</v>
      </c>
      <c r="B1385">
        <v>-54416</v>
      </c>
      <c r="C1385">
        <v>-14769</v>
      </c>
      <c r="D1385">
        <v>-43202</v>
      </c>
      <c r="E1385">
        <v>-28146</v>
      </c>
      <c r="F1385">
        <v>-102198</v>
      </c>
      <c r="G1385">
        <v>-6516</v>
      </c>
      <c r="H1385">
        <v>-71520</v>
      </c>
      <c r="I1385">
        <v>155437</v>
      </c>
      <c r="J1385">
        <v>-1483</v>
      </c>
      <c r="K1385">
        <v>33198</v>
      </c>
    </row>
    <row r="1386" spans="1:12" x14ac:dyDescent="0.35">
      <c r="A1386" s="51">
        <v>43571</v>
      </c>
      <c r="B1386">
        <v>-46880</v>
      </c>
      <c r="C1386">
        <v>-14063</v>
      </c>
      <c r="D1386">
        <v>-49162</v>
      </c>
      <c r="E1386">
        <v>-32584</v>
      </c>
      <c r="F1386">
        <v>-98023</v>
      </c>
      <c r="G1386">
        <v>922</v>
      </c>
      <c r="H1386">
        <v>-87106</v>
      </c>
      <c r="I1386">
        <v>156030</v>
      </c>
      <c r="J1386">
        <v>-3221</v>
      </c>
      <c r="K1386">
        <v>34298</v>
      </c>
    </row>
    <row r="1387" spans="1:12" x14ac:dyDescent="0.35">
      <c r="A1387" s="51">
        <v>43578</v>
      </c>
      <c r="B1387">
        <v>-50449</v>
      </c>
      <c r="C1387">
        <v>-16357</v>
      </c>
      <c r="D1387">
        <v>-47493</v>
      </c>
      <c r="E1387">
        <v>-37536</v>
      </c>
      <c r="F1387">
        <v>-105418</v>
      </c>
      <c r="G1387">
        <v>-1835</v>
      </c>
      <c r="H1387">
        <v>-94414</v>
      </c>
      <c r="I1387">
        <v>150705</v>
      </c>
      <c r="J1387">
        <v>-5450</v>
      </c>
      <c r="K1387">
        <v>36073</v>
      </c>
    </row>
    <row r="1388" spans="1:12" x14ac:dyDescent="0.35">
      <c r="A1388" s="51">
        <v>43585</v>
      </c>
      <c r="B1388">
        <v>-59005</v>
      </c>
      <c r="C1388">
        <v>-15651</v>
      </c>
      <c r="D1388">
        <v>-46745</v>
      </c>
      <c r="E1388">
        <v>-39746</v>
      </c>
      <c r="F1388">
        <v>-105544</v>
      </c>
      <c r="G1388">
        <v>-4668</v>
      </c>
      <c r="H1388">
        <v>-99599</v>
      </c>
      <c r="I1388">
        <v>144739</v>
      </c>
      <c r="J1388">
        <v>-11460</v>
      </c>
      <c r="K1388">
        <v>33594</v>
      </c>
    </row>
    <row r="1389" spans="1:12" x14ac:dyDescent="0.35">
      <c r="A1389" s="51">
        <v>43592</v>
      </c>
      <c r="B1389">
        <v>-57049</v>
      </c>
      <c r="C1389">
        <v>-24481</v>
      </c>
      <c r="D1389">
        <v>-46115</v>
      </c>
      <c r="E1389">
        <v>-39579</v>
      </c>
      <c r="F1389">
        <v>-106105</v>
      </c>
      <c r="G1389">
        <v>-6879</v>
      </c>
      <c r="H1389">
        <v>-91717</v>
      </c>
      <c r="I1389">
        <v>144689</v>
      </c>
      <c r="J1389">
        <v>-12742</v>
      </c>
      <c r="K1389">
        <v>36589</v>
      </c>
    </row>
    <row r="1390" spans="1:12" x14ac:dyDescent="0.35">
      <c r="A1390" s="51">
        <v>43599</v>
      </c>
      <c r="B1390">
        <v>-64046</v>
      </c>
      <c r="C1390">
        <v>-25920</v>
      </c>
      <c r="D1390">
        <v>-47588</v>
      </c>
      <c r="E1390">
        <v>-40010</v>
      </c>
      <c r="F1390">
        <v>-95301</v>
      </c>
      <c r="G1390">
        <v>-3318</v>
      </c>
      <c r="H1390">
        <v>-61580</v>
      </c>
      <c r="I1390">
        <v>148207</v>
      </c>
      <c r="J1390">
        <v>-11438</v>
      </c>
      <c r="K1390">
        <v>35799</v>
      </c>
      <c r="L1390">
        <v>117</v>
      </c>
    </row>
    <row r="1391" spans="1:12" x14ac:dyDescent="0.35">
      <c r="A1391" s="51">
        <v>43606</v>
      </c>
      <c r="B1391">
        <v>-66111</v>
      </c>
      <c r="C1391">
        <v>-25900</v>
      </c>
      <c r="D1391">
        <v>-42236</v>
      </c>
      <c r="E1391">
        <v>-37495</v>
      </c>
      <c r="F1391">
        <v>-101102</v>
      </c>
      <c r="G1391">
        <v>-26152</v>
      </c>
      <c r="H1391">
        <v>-55192</v>
      </c>
      <c r="I1391">
        <v>146485</v>
      </c>
      <c r="J1391">
        <v>-10864</v>
      </c>
      <c r="K1391">
        <v>36163</v>
      </c>
    </row>
    <row r="1392" spans="1:12" x14ac:dyDescent="0.35">
      <c r="A1392" s="51">
        <v>43613</v>
      </c>
      <c r="B1392">
        <v>-66393</v>
      </c>
      <c r="C1392">
        <v>-26901</v>
      </c>
      <c r="D1392">
        <v>-39423</v>
      </c>
      <c r="E1392">
        <v>-34675</v>
      </c>
      <c r="F1392">
        <v>-99691</v>
      </c>
      <c r="G1392">
        <v>-31996</v>
      </c>
      <c r="H1392">
        <v>-55577</v>
      </c>
      <c r="I1392">
        <v>142467</v>
      </c>
      <c r="J1392">
        <v>-16148</v>
      </c>
      <c r="K1392">
        <v>33501</v>
      </c>
      <c r="L1392">
        <v>2475</v>
      </c>
    </row>
    <row r="1393" spans="1:12" x14ac:dyDescent="0.35">
      <c r="A1393" s="51">
        <v>43620</v>
      </c>
      <c r="B1393">
        <v>-63291</v>
      </c>
      <c r="C1393">
        <v>-30679</v>
      </c>
      <c r="D1393">
        <v>-41759</v>
      </c>
      <c r="E1393">
        <v>-36065</v>
      </c>
      <c r="F1393">
        <v>-87551</v>
      </c>
      <c r="G1393">
        <v>-47762</v>
      </c>
      <c r="H1393">
        <v>-44389</v>
      </c>
      <c r="I1393">
        <v>124229</v>
      </c>
      <c r="J1393">
        <v>-20396</v>
      </c>
      <c r="K1393">
        <v>34414</v>
      </c>
      <c r="L1393">
        <v>2816</v>
      </c>
    </row>
    <row r="1394" spans="1:12" x14ac:dyDescent="0.35">
      <c r="A1394" s="51">
        <v>43627</v>
      </c>
      <c r="B1394">
        <v>-63226</v>
      </c>
      <c r="C1394">
        <v>-25647</v>
      </c>
      <c r="D1394">
        <v>-32840</v>
      </c>
      <c r="E1394">
        <v>-24788</v>
      </c>
      <c r="F1394">
        <v>-86792</v>
      </c>
      <c r="G1394">
        <v>-44801</v>
      </c>
      <c r="H1394">
        <v>-45165</v>
      </c>
      <c r="I1394">
        <v>101315</v>
      </c>
      <c r="J1394">
        <v>-16122</v>
      </c>
      <c r="K1394">
        <v>33174</v>
      </c>
      <c r="L1394">
        <v>2519</v>
      </c>
    </row>
    <row r="1395" spans="1:12" x14ac:dyDescent="0.35">
      <c r="A1395" s="51">
        <v>43634</v>
      </c>
      <c r="B1395">
        <v>-64863</v>
      </c>
      <c r="C1395">
        <v>-22567</v>
      </c>
      <c r="D1395">
        <v>-38071</v>
      </c>
      <c r="E1395">
        <v>-15484</v>
      </c>
      <c r="F1395">
        <v>-52330</v>
      </c>
      <c r="G1395">
        <v>-52564</v>
      </c>
      <c r="H1395">
        <v>-16565</v>
      </c>
      <c r="I1395">
        <v>116806</v>
      </c>
      <c r="J1395">
        <v>-24468</v>
      </c>
      <c r="K1395">
        <v>27750</v>
      </c>
      <c r="L1395">
        <v>-72</v>
      </c>
    </row>
    <row r="1396" spans="1:12" x14ac:dyDescent="0.35">
      <c r="A1396" s="51">
        <v>43641</v>
      </c>
      <c r="B1396">
        <v>-66320</v>
      </c>
      <c r="C1396">
        <v>-22668</v>
      </c>
      <c r="D1396">
        <v>-14790</v>
      </c>
      <c r="E1396">
        <v>-16481</v>
      </c>
      <c r="F1396">
        <v>-56295</v>
      </c>
      <c r="G1396">
        <v>-58937</v>
      </c>
      <c r="H1396">
        <v>-10147</v>
      </c>
      <c r="I1396">
        <v>115035</v>
      </c>
      <c r="J1396">
        <v>-24053</v>
      </c>
      <c r="K1396">
        <v>28733</v>
      </c>
      <c r="L1396">
        <v>451</v>
      </c>
    </row>
    <row r="1397" spans="1:12" x14ac:dyDescent="0.35">
      <c r="A1397" s="51">
        <v>43648</v>
      </c>
      <c r="B1397">
        <v>-58735</v>
      </c>
      <c r="C1397">
        <v>-4262</v>
      </c>
      <c r="D1397">
        <v>6293</v>
      </c>
      <c r="E1397">
        <v>-10742</v>
      </c>
      <c r="F1397">
        <v>-31733</v>
      </c>
      <c r="G1397">
        <v>-64244</v>
      </c>
      <c r="H1397">
        <v>-1227</v>
      </c>
      <c r="I1397">
        <v>108267</v>
      </c>
      <c r="J1397">
        <v>-24032</v>
      </c>
      <c r="K1397">
        <v>32046</v>
      </c>
      <c r="L1397">
        <v>1429</v>
      </c>
    </row>
    <row r="1398" spans="1:12" x14ac:dyDescent="0.35">
      <c r="A1398" s="51">
        <v>43655</v>
      </c>
      <c r="B1398">
        <v>-54007</v>
      </c>
      <c r="C1398">
        <v>-94</v>
      </c>
      <c r="D1398">
        <v>9226</v>
      </c>
      <c r="E1398">
        <v>-10428</v>
      </c>
      <c r="F1398">
        <v>-35865</v>
      </c>
      <c r="G1398">
        <v>-72982</v>
      </c>
      <c r="H1398">
        <v>-3651</v>
      </c>
      <c r="I1398">
        <v>126382</v>
      </c>
      <c r="J1398">
        <v>-22205</v>
      </c>
      <c r="K1398">
        <v>32455</v>
      </c>
      <c r="L1398">
        <v>3095</v>
      </c>
    </row>
    <row r="1399" spans="1:12" x14ac:dyDescent="0.35">
      <c r="A1399" s="51">
        <v>43662</v>
      </c>
      <c r="B1399">
        <v>-52576</v>
      </c>
      <c r="C1399">
        <v>2365</v>
      </c>
      <c r="D1399">
        <v>20964</v>
      </c>
      <c r="E1399">
        <v>-11732</v>
      </c>
      <c r="F1399">
        <v>-31351</v>
      </c>
      <c r="G1399">
        <v>-76357</v>
      </c>
      <c r="H1399">
        <v>-11380</v>
      </c>
      <c r="I1399">
        <v>128121</v>
      </c>
      <c r="J1399">
        <v>-17319</v>
      </c>
      <c r="K1399">
        <v>32133</v>
      </c>
      <c r="L1399">
        <v>3678</v>
      </c>
    </row>
    <row r="1400" spans="1:12" x14ac:dyDescent="0.35">
      <c r="A1400" s="51">
        <v>43669</v>
      </c>
      <c r="B1400">
        <v>-47980</v>
      </c>
      <c r="C1400">
        <v>2996</v>
      </c>
      <c r="D1400">
        <v>30750</v>
      </c>
      <c r="E1400">
        <v>-13193</v>
      </c>
      <c r="F1400">
        <v>-39004</v>
      </c>
      <c r="G1400">
        <v>-78583</v>
      </c>
      <c r="H1400">
        <v>-9377</v>
      </c>
      <c r="I1400">
        <v>124755</v>
      </c>
      <c r="J1400">
        <v>-12225</v>
      </c>
      <c r="K1400">
        <v>32920</v>
      </c>
      <c r="L1400">
        <v>4137</v>
      </c>
    </row>
    <row r="1401" spans="1:12" x14ac:dyDescent="0.35">
      <c r="A1401" s="51">
        <v>43676</v>
      </c>
      <c r="B1401">
        <v>-53442</v>
      </c>
      <c r="C1401">
        <v>2224</v>
      </c>
      <c r="D1401">
        <v>21722</v>
      </c>
      <c r="E1401">
        <v>-14488</v>
      </c>
      <c r="F1401">
        <v>-53983</v>
      </c>
      <c r="G1401">
        <v>-90150</v>
      </c>
      <c r="H1401">
        <v>-4218</v>
      </c>
      <c r="I1401">
        <v>128268</v>
      </c>
      <c r="J1401">
        <v>-12319</v>
      </c>
      <c r="K1401">
        <v>33412</v>
      </c>
      <c r="L1401">
        <v>6125</v>
      </c>
    </row>
    <row r="1402" spans="1:12" x14ac:dyDescent="0.35">
      <c r="A1402" s="51">
        <v>43683</v>
      </c>
      <c r="B1402">
        <v>-55511</v>
      </c>
      <c r="C1402">
        <v>9269</v>
      </c>
      <c r="D1402">
        <v>24166</v>
      </c>
      <c r="E1402">
        <v>-16431</v>
      </c>
      <c r="F1402">
        <v>-44010</v>
      </c>
      <c r="G1402">
        <v>-102702</v>
      </c>
      <c r="H1402">
        <v>10561</v>
      </c>
      <c r="I1402">
        <v>122069</v>
      </c>
      <c r="J1402">
        <v>-11564</v>
      </c>
      <c r="K1402">
        <v>33276</v>
      </c>
      <c r="L1402">
        <v>8968</v>
      </c>
    </row>
    <row r="1403" spans="1:12" x14ac:dyDescent="0.35">
      <c r="A1403" s="51">
        <v>43690</v>
      </c>
      <c r="B1403">
        <v>-62912</v>
      </c>
      <c r="C1403">
        <v>676</v>
      </c>
      <c r="D1403">
        <v>14200</v>
      </c>
      <c r="E1403">
        <v>-12952</v>
      </c>
      <c r="F1403">
        <v>-46649</v>
      </c>
      <c r="G1403">
        <v>-95820</v>
      </c>
      <c r="H1403">
        <v>24742</v>
      </c>
      <c r="I1403">
        <v>117562</v>
      </c>
      <c r="J1403">
        <v>-13447</v>
      </c>
      <c r="K1403">
        <v>31259</v>
      </c>
      <c r="L1403">
        <v>8167</v>
      </c>
    </row>
    <row r="1404" spans="1:12" x14ac:dyDescent="0.35">
      <c r="A1404" s="51">
        <v>43697</v>
      </c>
      <c r="B1404">
        <v>-62781</v>
      </c>
      <c r="C1404">
        <v>-8661</v>
      </c>
      <c r="D1404">
        <v>13037</v>
      </c>
      <c r="E1404">
        <v>-11117</v>
      </c>
      <c r="F1404">
        <v>-37977</v>
      </c>
      <c r="G1404">
        <v>-92418</v>
      </c>
      <c r="H1404">
        <v>31154</v>
      </c>
      <c r="I1404">
        <v>110359</v>
      </c>
      <c r="J1404">
        <v>-18260</v>
      </c>
      <c r="K1404">
        <v>27108</v>
      </c>
      <c r="L1404">
        <v>7423</v>
      </c>
    </row>
    <row r="1405" spans="1:12" x14ac:dyDescent="0.35">
      <c r="A1405" s="51">
        <v>43704</v>
      </c>
      <c r="B1405">
        <v>-61032</v>
      </c>
      <c r="C1405">
        <v>-9752</v>
      </c>
      <c r="D1405">
        <v>10905</v>
      </c>
      <c r="E1405">
        <v>-3800</v>
      </c>
      <c r="F1405">
        <v>-38804</v>
      </c>
      <c r="G1405">
        <v>-89028</v>
      </c>
      <c r="H1405">
        <v>33607</v>
      </c>
      <c r="I1405">
        <v>93314</v>
      </c>
      <c r="J1405">
        <v>-26047</v>
      </c>
      <c r="K1405">
        <v>27249</v>
      </c>
      <c r="L1405">
        <v>7339</v>
      </c>
    </row>
    <row r="1406" spans="1:12" x14ac:dyDescent="0.35">
      <c r="A1406" s="51">
        <v>43711</v>
      </c>
      <c r="B1406">
        <v>-59318</v>
      </c>
      <c r="C1406">
        <v>-10928</v>
      </c>
      <c r="D1406">
        <v>5349</v>
      </c>
      <c r="E1406">
        <v>-5839</v>
      </c>
      <c r="F1406">
        <v>-49136</v>
      </c>
      <c r="G1406">
        <v>-84959</v>
      </c>
      <c r="H1406">
        <v>27682</v>
      </c>
      <c r="I1406">
        <v>91791</v>
      </c>
      <c r="J1406">
        <v>-30676</v>
      </c>
      <c r="K1406">
        <v>27465</v>
      </c>
      <c r="L1406">
        <v>7365</v>
      </c>
    </row>
    <row r="1407" spans="1:12" x14ac:dyDescent="0.35">
      <c r="A1407" s="51">
        <v>43718</v>
      </c>
      <c r="B1407">
        <v>-53014</v>
      </c>
      <c r="C1407">
        <v>-34732</v>
      </c>
      <c r="D1407">
        <v>11523</v>
      </c>
      <c r="E1407">
        <v>-2892</v>
      </c>
      <c r="F1407">
        <v>-49842</v>
      </c>
      <c r="G1407">
        <v>-92233</v>
      </c>
      <c r="H1407">
        <v>32591</v>
      </c>
      <c r="I1407">
        <v>95637</v>
      </c>
      <c r="J1407">
        <v>-29790</v>
      </c>
      <c r="K1407">
        <v>27903</v>
      </c>
      <c r="L1407">
        <v>6484</v>
      </c>
    </row>
    <row r="1408" spans="1:12" x14ac:dyDescent="0.35">
      <c r="A1408" s="51">
        <v>43725</v>
      </c>
      <c r="B1408">
        <v>-40082</v>
      </c>
      <c r="C1408">
        <v>-34303</v>
      </c>
      <c r="D1408">
        <v>19823</v>
      </c>
      <c r="E1408">
        <v>-4556</v>
      </c>
      <c r="F1408">
        <v>-68559</v>
      </c>
      <c r="G1408">
        <v>-86124</v>
      </c>
      <c r="H1408">
        <v>23862</v>
      </c>
      <c r="I1408">
        <v>81626</v>
      </c>
      <c r="J1408">
        <v>-36043</v>
      </c>
      <c r="K1408">
        <v>23551</v>
      </c>
      <c r="L1408">
        <v>5950</v>
      </c>
    </row>
    <row r="1409" spans="1:12" x14ac:dyDescent="0.35">
      <c r="A1409" s="51">
        <v>43732</v>
      </c>
      <c r="B1409">
        <v>-47155</v>
      </c>
      <c r="C1409">
        <v>-34451</v>
      </c>
      <c r="D1409">
        <v>4592</v>
      </c>
      <c r="E1409">
        <v>-10552</v>
      </c>
      <c r="F1409">
        <v>-60722</v>
      </c>
      <c r="G1409">
        <v>-80795</v>
      </c>
      <c r="H1409">
        <v>12783</v>
      </c>
      <c r="I1409">
        <v>92414</v>
      </c>
      <c r="J1409">
        <v>-39598</v>
      </c>
      <c r="K1409">
        <v>24612</v>
      </c>
      <c r="L1409">
        <v>6831</v>
      </c>
    </row>
    <row r="1410" spans="1:12" x14ac:dyDescent="0.35">
      <c r="A1410" s="51">
        <v>43739</v>
      </c>
      <c r="B1410">
        <v>-52302</v>
      </c>
      <c r="C1410">
        <v>-39880</v>
      </c>
      <c r="D1410">
        <v>6327</v>
      </c>
      <c r="E1410">
        <v>-11535</v>
      </c>
      <c r="F1410">
        <v>-65978</v>
      </c>
      <c r="G1410">
        <v>-77092</v>
      </c>
      <c r="H1410">
        <v>13917</v>
      </c>
      <c r="I1410">
        <v>115812</v>
      </c>
      <c r="J1410">
        <v>-42474</v>
      </c>
      <c r="K1410">
        <v>26262</v>
      </c>
      <c r="L1410">
        <v>7441</v>
      </c>
    </row>
    <row r="1411" spans="1:12" x14ac:dyDescent="0.35">
      <c r="A1411" s="51">
        <v>43746</v>
      </c>
      <c r="B1411">
        <v>-46944</v>
      </c>
      <c r="C1411">
        <v>-45833</v>
      </c>
      <c r="D1411">
        <v>5313</v>
      </c>
      <c r="E1411">
        <v>-11047</v>
      </c>
      <c r="F1411">
        <v>-75413</v>
      </c>
      <c r="G1411">
        <v>-73219</v>
      </c>
      <c r="H1411">
        <v>11012</v>
      </c>
      <c r="I1411">
        <v>115396</v>
      </c>
      <c r="J1411">
        <v>-38217</v>
      </c>
      <c r="K1411">
        <v>28378</v>
      </c>
      <c r="L1411">
        <v>5679</v>
      </c>
    </row>
    <row r="1412" spans="1:12" x14ac:dyDescent="0.35">
      <c r="A1412" s="51">
        <v>43753</v>
      </c>
      <c r="B1412">
        <v>-47605</v>
      </c>
      <c r="C1412">
        <v>-44435</v>
      </c>
      <c r="D1412">
        <v>12961</v>
      </c>
      <c r="E1412">
        <v>-12766</v>
      </c>
      <c r="F1412">
        <v>-76866</v>
      </c>
      <c r="G1412">
        <v>-72952</v>
      </c>
      <c r="H1412">
        <v>-6641</v>
      </c>
      <c r="I1412">
        <v>113042</v>
      </c>
      <c r="J1412">
        <v>-40016</v>
      </c>
      <c r="K1412">
        <v>25086</v>
      </c>
      <c r="L1412">
        <v>4635</v>
      </c>
    </row>
    <row r="1413" spans="1:12" x14ac:dyDescent="0.35">
      <c r="A1413" s="51">
        <v>43760</v>
      </c>
      <c r="B1413">
        <v>-43986</v>
      </c>
      <c r="C1413">
        <v>-47024</v>
      </c>
      <c r="D1413">
        <v>33393</v>
      </c>
      <c r="E1413">
        <v>-11335</v>
      </c>
      <c r="F1413">
        <v>-51050</v>
      </c>
      <c r="G1413">
        <v>-52440</v>
      </c>
      <c r="H1413">
        <v>-18165</v>
      </c>
      <c r="I1413">
        <v>112950</v>
      </c>
      <c r="J1413">
        <v>-40142</v>
      </c>
      <c r="K1413">
        <v>24981</v>
      </c>
      <c r="L1413">
        <v>4138</v>
      </c>
    </row>
    <row r="1414" spans="1:12" x14ac:dyDescent="0.35">
      <c r="A1414" s="51">
        <v>43767</v>
      </c>
      <c r="B1414">
        <v>-40287</v>
      </c>
      <c r="C1414">
        <v>-43719</v>
      </c>
      <c r="D1414">
        <v>43589</v>
      </c>
      <c r="E1414">
        <v>-12484</v>
      </c>
      <c r="F1414">
        <v>-53355</v>
      </c>
      <c r="G1414">
        <v>-32415</v>
      </c>
      <c r="H1414">
        <v>-19698</v>
      </c>
      <c r="I1414">
        <v>128907</v>
      </c>
      <c r="J1414">
        <v>-40403</v>
      </c>
      <c r="K1414">
        <v>25776</v>
      </c>
      <c r="L1414">
        <v>5754</v>
      </c>
    </row>
    <row r="1415" spans="1:12" x14ac:dyDescent="0.35">
      <c r="A1415" s="51">
        <v>43774</v>
      </c>
      <c r="B1415">
        <v>-26794</v>
      </c>
      <c r="C1415">
        <v>-43452</v>
      </c>
      <c r="D1415">
        <v>54002</v>
      </c>
      <c r="E1415">
        <v>-14153</v>
      </c>
      <c r="F1415">
        <v>-60746</v>
      </c>
      <c r="G1415">
        <v>-29035</v>
      </c>
      <c r="H1415">
        <v>-26605</v>
      </c>
      <c r="I1415">
        <v>140402</v>
      </c>
      <c r="J1415">
        <v>-38965</v>
      </c>
      <c r="K1415">
        <v>25705</v>
      </c>
      <c r="L1415">
        <v>6955</v>
      </c>
    </row>
    <row r="1416" spans="1:12" x14ac:dyDescent="0.35">
      <c r="A1416" s="51">
        <v>43781</v>
      </c>
      <c r="B1416">
        <v>-40809</v>
      </c>
      <c r="C1416">
        <v>-43098</v>
      </c>
      <c r="D1416">
        <v>42373</v>
      </c>
      <c r="E1416">
        <v>-15120</v>
      </c>
      <c r="F1416">
        <v>-57669</v>
      </c>
      <c r="G1416">
        <v>-28133</v>
      </c>
      <c r="H1416">
        <v>-34997</v>
      </c>
      <c r="I1416">
        <v>142037</v>
      </c>
      <c r="J1416">
        <v>-36235</v>
      </c>
      <c r="K1416">
        <v>26327</v>
      </c>
      <c r="L1416">
        <v>7071</v>
      </c>
    </row>
    <row r="1417" spans="1:12" x14ac:dyDescent="0.35">
      <c r="A1417" s="51">
        <v>43788</v>
      </c>
      <c r="B1417">
        <v>-47240</v>
      </c>
      <c r="C1417">
        <v>-42863</v>
      </c>
      <c r="D1417">
        <v>28865</v>
      </c>
      <c r="E1417">
        <v>-16192</v>
      </c>
      <c r="F1417">
        <v>-62503</v>
      </c>
      <c r="G1417">
        <v>-31903</v>
      </c>
      <c r="H1417">
        <v>-35031</v>
      </c>
      <c r="I1417">
        <v>139821</v>
      </c>
      <c r="J1417">
        <v>-35099</v>
      </c>
      <c r="K1417">
        <v>25753</v>
      </c>
      <c r="L1417">
        <v>6701</v>
      </c>
    </row>
    <row r="1418" spans="1:12" x14ac:dyDescent="0.35">
      <c r="A1418" s="51">
        <v>43795</v>
      </c>
      <c r="B1418">
        <v>-45355</v>
      </c>
      <c r="C1418">
        <v>-44614</v>
      </c>
      <c r="D1418">
        <v>20344</v>
      </c>
      <c r="E1418">
        <v>-20975</v>
      </c>
      <c r="F1418">
        <v>-61416</v>
      </c>
      <c r="G1418">
        <v>-36576</v>
      </c>
      <c r="H1418">
        <v>-39591</v>
      </c>
      <c r="I1418">
        <v>135649</v>
      </c>
      <c r="J1418">
        <v>-35826</v>
      </c>
      <c r="K1418">
        <v>27334</v>
      </c>
      <c r="L1418">
        <v>6828</v>
      </c>
    </row>
    <row r="1419" spans="1:12" x14ac:dyDescent="0.35">
      <c r="A1419" s="51">
        <v>43802</v>
      </c>
      <c r="B1419">
        <v>-36433</v>
      </c>
      <c r="C1419">
        <v>-51274</v>
      </c>
      <c r="D1419">
        <v>21471</v>
      </c>
      <c r="E1419">
        <v>-22287</v>
      </c>
      <c r="F1419">
        <v>-69049</v>
      </c>
      <c r="G1419">
        <v>-30050</v>
      </c>
      <c r="H1419">
        <v>-47823</v>
      </c>
      <c r="I1419">
        <v>130127</v>
      </c>
      <c r="J1419">
        <v>-26992</v>
      </c>
      <c r="K1419">
        <v>27957</v>
      </c>
      <c r="L1419">
        <v>6268</v>
      </c>
    </row>
    <row r="1420" spans="1:12" x14ac:dyDescent="0.35">
      <c r="A1420" s="51">
        <v>43809</v>
      </c>
      <c r="B1420">
        <v>-36808</v>
      </c>
      <c r="C1420">
        <v>-46995</v>
      </c>
      <c r="D1420">
        <v>20741</v>
      </c>
      <c r="E1420">
        <v>-20865</v>
      </c>
      <c r="F1420">
        <v>-67643</v>
      </c>
      <c r="G1420">
        <v>-22639</v>
      </c>
      <c r="H1420">
        <v>-43682</v>
      </c>
      <c r="I1420">
        <v>130641</v>
      </c>
      <c r="J1420">
        <v>-25340</v>
      </c>
      <c r="K1420">
        <v>27190</v>
      </c>
      <c r="L1420">
        <v>5967</v>
      </c>
    </row>
    <row r="1421" spans="1:12" x14ac:dyDescent="0.35">
      <c r="A1421" s="51">
        <v>43816</v>
      </c>
      <c r="B1421">
        <v>-46578</v>
      </c>
      <c r="C1421">
        <v>-42690</v>
      </c>
      <c r="D1421">
        <v>11191</v>
      </c>
      <c r="E1421">
        <v>-11074</v>
      </c>
      <c r="F1421">
        <v>-65694</v>
      </c>
      <c r="G1421">
        <v>-5780</v>
      </c>
      <c r="H1421">
        <v>-42062</v>
      </c>
      <c r="I1421">
        <v>152260</v>
      </c>
      <c r="J1421">
        <v>-8217</v>
      </c>
      <c r="K1421">
        <v>30341</v>
      </c>
      <c r="L1421">
        <v>11286</v>
      </c>
    </row>
    <row r="1422" spans="1:12" x14ac:dyDescent="0.35">
      <c r="A1422" s="51">
        <v>43823</v>
      </c>
      <c r="B1422">
        <v>-46164</v>
      </c>
      <c r="C1422">
        <v>-39978</v>
      </c>
      <c r="D1422">
        <v>8497</v>
      </c>
      <c r="E1422">
        <v>-9679</v>
      </c>
      <c r="F1422">
        <v>-72943</v>
      </c>
      <c r="G1422">
        <v>8697</v>
      </c>
      <c r="H1422">
        <v>-33542</v>
      </c>
      <c r="I1422">
        <v>158216</v>
      </c>
      <c r="J1422">
        <v>-7796</v>
      </c>
      <c r="K1422">
        <v>29211</v>
      </c>
      <c r="L1422">
        <v>10561</v>
      </c>
    </row>
    <row r="1423" spans="1:12" x14ac:dyDescent="0.35">
      <c r="A1423" s="51">
        <v>43830</v>
      </c>
      <c r="B1423">
        <v>-38339</v>
      </c>
      <c r="C1423">
        <v>-38730</v>
      </c>
      <c r="D1423">
        <v>11913</v>
      </c>
      <c r="E1423">
        <v>-5725</v>
      </c>
      <c r="F1423">
        <v>-74345</v>
      </c>
      <c r="G1423">
        <v>12393</v>
      </c>
      <c r="H1423">
        <v>-25302</v>
      </c>
      <c r="I1423">
        <v>150266</v>
      </c>
      <c r="J1423">
        <v>-5058</v>
      </c>
      <c r="K1423">
        <v>29007</v>
      </c>
      <c r="L1423">
        <v>11375</v>
      </c>
    </row>
    <row r="1424" spans="1:12" x14ac:dyDescent="0.35">
      <c r="A1424" s="51">
        <v>43837</v>
      </c>
      <c r="B1424">
        <v>-27249</v>
      </c>
      <c r="C1424">
        <v>-19623</v>
      </c>
      <c r="D1424">
        <v>26367</v>
      </c>
      <c r="E1424">
        <v>-4469</v>
      </c>
      <c r="F1424">
        <v>-61664</v>
      </c>
      <c r="G1424">
        <v>16510</v>
      </c>
      <c r="H1424">
        <v>-12248</v>
      </c>
      <c r="I1424">
        <v>157318</v>
      </c>
      <c r="J1424">
        <v>-1488</v>
      </c>
      <c r="K1424">
        <v>28790</v>
      </c>
      <c r="L1424">
        <v>11374</v>
      </c>
    </row>
    <row r="1425" spans="1:12" x14ac:dyDescent="0.35">
      <c r="A1425" s="51">
        <v>43844</v>
      </c>
      <c r="B1425">
        <v>-20549</v>
      </c>
      <c r="C1425">
        <v>-19455</v>
      </c>
      <c r="D1425">
        <v>32852</v>
      </c>
      <c r="E1425">
        <v>-192</v>
      </c>
      <c r="F1425">
        <v>-48182</v>
      </c>
      <c r="G1425">
        <v>31532</v>
      </c>
      <c r="H1425">
        <v>-31430</v>
      </c>
      <c r="I1425">
        <v>165640</v>
      </c>
      <c r="J1425">
        <v>-361</v>
      </c>
      <c r="K1425">
        <v>28882</v>
      </c>
      <c r="L1425">
        <v>12015</v>
      </c>
    </row>
    <row r="1426" spans="1:12" x14ac:dyDescent="0.35">
      <c r="A1426" s="51">
        <v>43851</v>
      </c>
      <c r="B1426">
        <v>-19301</v>
      </c>
      <c r="C1426">
        <v>-21335</v>
      </c>
      <c r="D1426">
        <v>38294</v>
      </c>
      <c r="E1426">
        <v>1536</v>
      </c>
      <c r="F1426">
        <v>-47019</v>
      </c>
      <c r="G1426">
        <v>24922</v>
      </c>
      <c r="H1426">
        <v>-44701</v>
      </c>
      <c r="I1426">
        <v>169971</v>
      </c>
      <c r="J1426">
        <v>1833</v>
      </c>
      <c r="K1426">
        <v>29690</v>
      </c>
      <c r="L1426">
        <v>12156</v>
      </c>
    </row>
    <row r="1427" spans="1:12" x14ac:dyDescent="0.35">
      <c r="A1427" s="51">
        <v>43858</v>
      </c>
      <c r="B1427">
        <v>-27520</v>
      </c>
      <c r="C1427">
        <v>-23624</v>
      </c>
      <c r="D1427">
        <v>34590</v>
      </c>
      <c r="E1427">
        <v>3497</v>
      </c>
      <c r="F1427">
        <v>-58862</v>
      </c>
      <c r="G1427">
        <v>17689</v>
      </c>
      <c r="H1427">
        <v>-36025</v>
      </c>
      <c r="I1427">
        <v>170366</v>
      </c>
      <c r="J1427">
        <v>2060</v>
      </c>
      <c r="K1427">
        <v>29147</v>
      </c>
      <c r="L1427">
        <v>12886</v>
      </c>
    </row>
    <row r="1428" spans="1:12" x14ac:dyDescent="0.35">
      <c r="A1428" s="51">
        <v>43865</v>
      </c>
      <c r="B1428">
        <v>-43297</v>
      </c>
      <c r="C1428">
        <v>-30336</v>
      </c>
      <c r="D1428">
        <v>18563</v>
      </c>
      <c r="E1428">
        <v>4919</v>
      </c>
      <c r="F1428">
        <v>-75080</v>
      </c>
      <c r="G1428">
        <v>12987</v>
      </c>
      <c r="H1428">
        <v>-21898</v>
      </c>
      <c r="I1428">
        <v>165172</v>
      </c>
      <c r="J1428">
        <v>-2192</v>
      </c>
      <c r="K1428">
        <v>26415</v>
      </c>
      <c r="L1428">
        <v>11001</v>
      </c>
    </row>
    <row r="1429" spans="1:12" x14ac:dyDescent="0.35">
      <c r="A1429" s="51">
        <v>43872</v>
      </c>
      <c r="B1429">
        <v>-32668</v>
      </c>
      <c r="C1429">
        <v>-32205</v>
      </c>
      <c r="D1429">
        <v>9705</v>
      </c>
      <c r="E1429">
        <v>3767</v>
      </c>
      <c r="F1429">
        <v>-85669</v>
      </c>
      <c r="G1429">
        <v>21084</v>
      </c>
      <c r="H1429">
        <v>-26188</v>
      </c>
      <c r="I1429">
        <v>156326</v>
      </c>
      <c r="J1429">
        <v>-4076</v>
      </c>
      <c r="K1429">
        <v>26936</v>
      </c>
      <c r="L1429">
        <v>11186</v>
      </c>
    </row>
    <row r="1430" spans="1:12" x14ac:dyDescent="0.35">
      <c r="A1430" s="51">
        <v>43879</v>
      </c>
      <c r="B1430">
        <v>-37477</v>
      </c>
      <c r="C1430">
        <v>-34980</v>
      </c>
      <c r="D1430">
        <v>7817</v>
      </c>
      <c r="E1430">
        <v>1541</v>
      </c>
      <c r="F1430">
        <v>-91507</v>
      </c>
      <c r="G1430">
        <v>29258</v>
      </c>
      <c r="H1430">
        <v>-27221</v>
      </c>
      <c r="I1430">
        <v>153282</v>
      </c>
      <c r="J1430">
        <v>-12187</v>
      </c>
      <c r="K1430">
        <v>27022</v>
      </c>
      <c r="L1430">
        <v>11505</v>
      </c>
    </row>
    <row r="1431" spans="1:12" x14ac:dyDescent="0.35">
      <c r="A1431" s="51">
        <v>43886</v>
      </c>
      <c r="B1431">
        <v>-43852</v>
      </c>
      <c r="C1431">
        <v>-36987</v>
      </c>
      <c r="D1431">
        <v>14624</v>
      </c>
      <c r="E1431">
        <v>616</v>
      </c>
      <c r="F1431">
        <v>-114021</v>
      </c>
      <c r="G1431">
        <v>29598</v>
      </c>
      <c r="H1431">
        <v>-56389</v>
      </c>
      <c r="I1431">
        <v>150601</v>
      </c>
      <c r="J1431">
        <v>-15311</v>
      </c>
      <c r="K1431">
        <v>25959</v>
      </c>
      <c r="L1431">
        <v>12871</v>
      </c>
    </row>
    <row r="1432" spans="1:12" x14ac:dyDescent="0.35">
      <c r="A1432" s="51">
        <v>43893</v>
      </c>
      <c r="B1432">
        <v>-51953</v>
      </c>
      <c r="C1432">
        <v>-42858</v>
      </c>
      <c r="D1432">
        <v>10579</v>
      </c>
      <c r="E1432">
        <v>-3242</v>
      </c>
      <c r="F1432">
        <v>-86703</v>
      </c>
      <c r="G1432">
        <v>35162</v>
      </c>
      <c r="H1432">
        <v>-42324</v>
      </c>
      <c r="I1432">
        <v>131181</v>
      </c>
      <c r="J1432">
        <v>-16957</v>
      </c>
      <c r="K1432">
        <v>27699</v>
      </c>
      <c r="L1432">
        <v>11321</v>
      </c>
    </row>
    <row r="1433" spans="1:12" x14ac:dyDescent="0.35">
      <c r="A1433" s="51">
        <v>43900</v>
      </c>
      <c r="B1433">
        <v>-54013</v>
      </c>
      <c r="C1433">
        <v>-39826</v>
      </c>
      <c r="D1433">
        <v>-1990</v>
      </c>
      <c r="E1433">
        <v>595</v>
      </c>
      <c r="F1433">
        <v>-12667</v>
      </c>
      <c r="G1433">
        <v>26328</v>
      </c>
      <c r="H1433">
        <v>8157</v>
      </c>
      <c r="I1433">
        <v>112547</v>
      </c>
      <c r="J1433">
        <v>-15376</v>
      </c>
      <c r="K1433">
        <v>26473</v>
      </c>
      <c r="L1433">
        <v>10956</v>
      </c>
    </row>
    <row r="1434" spans="1:12" x14ac:dyDescent="0.35">
      <c r="A1434" s="51">
        <v>43907</v>
      </c>
      <c r="B1434">
        <v>-28733</v>
      </c>
      <c r="C1434">
        <v>-33983</v>
      </c>
      <c r="D1434">
        <v>-9623</v>
      </c>
      <c r="E1434">
        <v>7374</v>
      </c>
      <c r="F1434">
        <v>32495</v>
      </c>
      <c r="G1434">
        <v>18640</v>
      </c>
      <c r="H1434">
        <v>32935</v>
      </c>
      <c r="I1434">
        <v>33845</v>
      </c>
      <c r="J1434">
        <v>-20275</v>
      </c>
      <c r="K1434">
        <v>4126</v>
      </c>
      <c r="L1434">
        <v>1153</v>
      </c>
    </row>
    <row r="1435" spans="1:12" x14ac:dyDescent="0.35">
      <c r="A1435" s="51">
        <v>43914</v>
      </c>
      <c r="B1435">
        <v>-25207</v>
      </c>
      <c r="C1435">
        <v>-33269</v>
      </c>
      <c r="D1435">
        <v>-29245</v>
      </c>
      <c r="E1435">
        <v>4891</v>
      </c>
      <c r="F1435">
        <v>61290</v>
      </c>
      <c r="G1435">
        <v>10884</v>
      </c>
      <c r="H1435">
        <v>23863</v>
      </c>
      <c r="I1435">
        <v>21979</v>
      </c>
      <c r="J1435">
        <v>-16016</v>
      </c>
      <c r="K1435">
        <v>4966</v>
      </c>
      <c r="L1435">
        <v>-1536</v>
      </c>
    </row>
    <row r="1436" spans="1:12" x14ac:dyDescent="0.35">
      <c r="A1436" s="51">
        <v>43921</v>
      </c>
      <c r="B1436">
        <v>-31664</v>
      </c>
      <c r="C1436">
        <v>-27804</v>
      </c>
      <c r="D1436">
        <v>-21929</v>
      </c>
      <c r="E1436">
        <v>4947</v>
      </c>
      <c r="F1436">
        <v>74247</v>
      </c>
      <c r="G1436">
        <v>4993</v>
      </c>
      <c r="H1436">
        <v>18282</v>
      </c>
      <c r="I1436">
        <v>7665</v>
      </c>
      <c r="J1436">
        <v>-16106</v>
      </c>
      <c r="K1436">
        <v>4154</v>
      </c>
      <c r="L1436">
        <v>-1968</v>
      </c>
    </row>
    <row r="1437" spans="1:12" x14ac:dyDescent="0.35">
      <c r="A1437" s="51">
        <v>43928</v>
      </c>
      <c r="B1437">
        <v>-35398</v>
      </c>
      <c r="C1437">
        <v>-9328</v>
      </c>
      <c r="D1437">
        <v>-24433</v>
      </c>
      <c r="E1437">
        <v>5604</v>
      </c>
      <c r="F1437">
        <v>79624</v>
      </c>
      <c r="G1437">
        <v>3693</v>
      </c>
      <c r="H1437">
        <v>22410</v>
      </c>
      <c r="I1437">
        <v>5756</v>
      </c>
      <c r="J1437">
        <v>-14653</v>
      </c>
      <c r="K1437">
        <v>5287</v>
      </c>
      <c r="L1437">
        <v>-529</v>
      </c>
    </row>
    <row r="1438" spans="1:12" x14ac:dyDescent="0.35">
      <c r="A1438" s="51">
        <v>43935</v>
      </c>
      <c r="B1438">
        <v>-35554</v>
      </c>
      <c r="C1438">
        <v>-9444</v>
      </c>
      <c r="D1438">
        <v>-23760</v>
      </c>
      <c r="E1438">
        <v>4657</v>
      </c>
      <c r="F1438">
        <v>86617</v>
      </c>
      <c r="G1438">
        <v>3232</v>
      </c>
      <c r="H1438">
        <v>22643</v>
      </c>
      <c r="I1438">
        <v>3333</v>
      </c>
      <c r="J1438">
        <v>-14578</v>
      </c>
      <c r="K1438">
        <v>3812</v>
      </c>
      <c r="L1438">
        <v>-219</v>
      </c>
    </row>
    <row r="1439" spans="1:12" x14ac:dyDescent="0.35">
      <c r="A1439" s="51">
        <v>43942</v>
      </c>
      <c r="B1439">
        <v>-34820</v>
      </c>
      <c r="C1439">
        <v>-9394</v>
      </c>
      <c r="D1439">
        <v>-23891</v>
      </c>
      <c r="E1439">
        <v>4924</v>
      </c>
      <c r="F1439">
        <v>87218</v>
      </c>
      <c r="G1439">
        <v>-1380</v>
      </c>
      <c r="H1439">
        <v>26026</v>
      </c>
      <c r="I1439">
        <v>1240</v>
      </c>
      <c r="J1439">
        <v>-14259</v>
      </c>
      <c r="K1439">
        <v>4220</v>
      </c>
      <c r="L1439">
        <v>146</v>
      </c>
    </row>
    <row r="1440" spans="1:12" x14ac:dyDescent="0.35">
      <c r="A1440" s="51">
        <v>43949</v>
      </c>
      <c r="B1440">
        <v>-37741</v>
      </c>
      <c r="C1440">
        <v>-9256</v>
      </c>
      <c r="D1440">
        <v>-29044</v>
      </c>
      <c r="E1440">
        <v>5576</v>
      </c>
      <c r="F1440">
        <v>79681</v>
      </c>
      <c r="G1440">
        <v>-6681</v>
      </c>
      <c r="H1440">
        <v>32326</v>
      </c>
      <c r="I1440">
        <v>8481</v>
      </c>
      <c r="J1440">
        <v>-13779</v>
      </c>
      <c r="K1440">
        <v>5567</v>
      </c>
      <c r="L1440">
        <v>281</v>
      </c>
    </row>
    <row r="1441" spans="1:12" x14ac:dyDescent="0.35">
      <c r="A1441" s="51">
        <v>43956</v>
      </c>
      <c r="B1441">
        <v>-33455</v>
      </c>
      <c r="C1441">
        <v>-11089</v>
      </c>
      <c r="D1441">
        <v>-32052</v>
      </c>
      <c r="E1441">
        <v>7791</v>
      </c>
      <c r="F1441">
        <v>76299</v>
      </c>
      <c r="G1441">
        <v>-12005</v>
      </c>
      <c r="H1441">
        <v>27214</v>
      </c>
      <c r="I1441">
        <v>7109</v>
      </c>
      <c r="J1441">
        <v>-14953</v>
      </c>
      <c r="K1441">
        <v>4061</v>
      </c>
      <c r="L1441">
        <v>1130</v>
      </c>
    </row>
    <row r="1442" spans="1:12" x14ac:dyDescent="0.35">
      <c r="A1442" s="51">
        <v>43963</v>
      </c>
      <c r="B1442">
        <v>-35425</v>
      </c>
      <c r="C1442">
        <v>-9753</v>
      </c>
      <c r="D1442">
        <v>-32246</v>
      </c>
      <c r="E1442">
        <v>6648</v>
      </c>
      <c r="F1442">
        <v>78140</v>
      </c>
      <c r="G1442">
        <v>-13688</v>
      </c>
      <c r="H1442">
        <v>27937</v>
      </c>
      <c r="I1442">
        <v>-5120</v>
      </c>
      <c r="J1442">
        <v>-15878</v>
      </c>
      <c r="K1442">
        <v>6458</v>
      </c>
      <c r="L1442">
        <v>1998</v>
      </c>
    </row>
    <row r="1443" spans="1:12" x14ac:dyDescent="0.35">
      <c r="A1443" s="51">
        <v>43970</v>
      </c>
      <c r="B1443">
        <v>-39558</v>
      </c>
      <c r="C1443">
        <v>-10416</v>
      </c>
      <c r="D1443">
        <v>-35056</v>
      </c>
      <c r="E1443">
        <v>8728</v>
      </c>
      <c r="F1443">
        <v>72562</v>
      </c>
      <c r="G1443">
        <v>-18989</v>
      </c>
      <c r="H1443">
        <v>27470</v>
      </c>
      <c r="I1443">
        <v>-5984</v>
      </c>
      <c r="J1443">
        <v>-15867</v>
      </c>
      <c r="K1443">
        <v>5510</v>
      </c>
      <c r="L1443">
        <v>1349</v>
      </c>
    </row>
    <row r="1444" spans="1:12" x14ac:dyDescent="0.35">
      <c r="A1444" s="51">
        <v>43977</v>
      </c>
      <c r="B1444">
        <v>-40538</v>
      </c>
      <c r="C1444">
        <v>-11158</v>
      </c>
      <c r="D1444">
        <v>-33954</v>
      </c>
      <c r="E1444">
        <v>8739</v>
      </c>
      <c r="F1444">
        <v>75222</v>
      </c>
      <c r="G1444">
        <v>-22257</v>
      </c>
      <c r="H1444">
        <v>34607</v>
      </c>
      <c r="I1444">
        <v>4691</v>
      </c>
      <c r="J1444">
        <v>-15043</v>
      </c>
      <c r="K1444">
        <v>7201</v>
      </c>
      <c r="L1444">
        <v>1237</v>
      </c>
    </row>
    <row r="1445" spans="1:12" x14ac:dyDescent="0.35">
      <c r="A1445" s="51">
        <v>43984</v>
      </c>
      <c r="B1445">
        <v>-40791</v>
      </c>
      <c r="C1445">
        <v>-12003</v>
      </c>
      <c r="D1445">
        <v>-33138</v>
      </c>
      <c r="E1445">
        <v>8989</v>
      </c>
      <c r="F1445">
        <v>81240</v>
      </c>
      <c r="G1445">
        <v>-36044</v>
      </c>
      <c r="H1445">
        <v>32579</v>
      </c>
      <c r="I1445">
        <v>8317</v>
      </c>
      <c r="J1445">
        <v>-12923</v>
      </c>
      <c r="K1445">
        <v>11262</v>
      </c>
      <c r="L1445">
        <v>3293</v>
      </c>
    </row>
    <row r="1446" spans="1:12" x14ac:dyDescent="0.35">
      <c r="A1446" s="51">
        <v>43991</v>
      </c>
      <c r="B1446">
        <v>-36575</v>
      </c>
      <c r="C1446">
        <v>-13014</v>
      </c>
      <c r="D1446">
        <v>-24829</v>
      </c>
      <c r="E1446">
        <v>1766</v>
      </c>
      <c r="F1446">
        <v>95649</v>
      </c>
      <c r="G1446">
        <v>-24048</v>
      </c>
      <c r="H1446">
        <v>17462</v>
      </c>
      <c r="I1446">
        <v>-846</v>
      </c>
      <c r="J1446">
        <v>-11241</v>
      </c>
      <c r="K1446">
        <v>10782</v>
      </c>
      <c r="L1446">
        <v>3688</v>
      </c>
    </row>
    <row r="1447" spans="1:12" x14ac:dyDescent="0.35">
      <c r="A1447" s="51">
        <v>43998</v>
      </c>
      <c r="B1447">
        <v>-6532</v>
      </c>
      <c r="C1447">
        <v>-12470</v>
      </c>
      <c r="D1447">
        <v>-25486</v>
      </c>
      <c r="E1447">
        <v>1606</v>
      </c>
      <c r="F1447">
        <v>117132</v>
      </c>
      <c r="G1447">
        <v>-15998</v>
      </c>
      <c r="H1447">
        <v>22110</v>
      </c>
      <c r="I1447">
        <v>22106</v>
      </c>
      <c r="J1447">
        <v>-1932</v>
      </c>
      <c r="K1447">
        <v>12510</v>
      </c>
      <c r="L1447">
        <v>5972</v>
      </c>
    </row>
    <row r="1448" spans="1:12" x14ac:dyDescent="0.35">
      <c r="A1448" s="51">
        <v>44005</v>
      </c>
      <c r="B1448">
        <v>-4810</v>
      </c>
      <c r="C1448">
        <v>-11309</v>
      </c>
      <c r="D1448">
        <v>-20834</v>
      </c>
      <c r="E1448">
        <v>1448</v>
      </c>
      <c r="F1448">
        <v>118448</v>
      </c>
      <c r="G1448">
        <v>-18516</v>
      </c>
      <c r="H1448">
        <v>27458</v>
      </c>
      <c r="I1448">
        <v>23178</v>
      </c>
      <c r="J1448">
        <v>-15</v>
      </c>
      <c r="K1448">
        <v>12068</v>
      </c>
      <c r="L1448">
        <v>5988</v>
      </c>
    </row>
    <row r="1449" spans="1:12" x14ac:dyDescent="0.35">
      <c r="A1449" s="51">
        <v>44012</v>
      </c>
      <c r="B1449">
        <v>-2908</v>
      </c>
      <c r="C1449">
        <v>-10709</v>
      </c>
      <c r="D1449">
        <v>-20519</v>
      </c>
      <c r="E1449">
        <v>4338</v>
      </c>
      <c r="F1449">
        <v>98955</v>
      </c>
      <c r="G1449">
        <v>-20990</v>
      </c>
      <c r="H1449">
        <v>23861</v>
      </c>
      <c r="I1449">
        <v>20956</v>
      </c>
      <c r="J1449">
        <v>356</v>
      </c>
      <c r="K1449">
        <v>11935</v>
      </c>
      <c r="L1449">
        <v>6687</v>
      </c>
    </row>
    <row r="1450" spans="1:12" x14ac:dyDescent="0.35">
      <c r="A1450" s="51">
        <v>44019</v>
      </c>
      <c r="B1450">
        <v>-694</v>
      </c>
      <c r="C1450">
        <v>-9615</v>
      </c>
      <c r="D1450">
        <v>-16818</v>
      </c>
      <c r="E1450">
        <v>3778</v>
      </c>
      <c r="F1450">
        <v>103597</v>
      </c>
      <c r="G1450">
        <v>-16408</v>
      </c>
      <c r="H1450">
        <v>16812</v>
      </c>
      <c r="I1450">
        <v>14980</v>
      </c>
      <c r="J1450">
        <v>-317</v>
      </c>
      <c r="K1450">
        <v>11106</v>
      </c>
      <c r="L1450">
        <v>5617</v>
      </c>
    </row>
    <row r="1451" spans="1:12" x14ac:dyDescent="0.35">
      <c r="A1451" s="51">
        <v>44026</v>
      </c>
      <c r="B1451">
        <v>4250</v>
      </c>
      <c r="C1451">
        <v>-9406</v>
      </c>
      <c r="D1451">
        <v>-19775</v>
      </c>
      <c r="E1451">
        <v>7057</v>
      </c>
      <c r="F1451">
        <v>110912</v>
      </c>
      <c r="G1451">
        <v>-13586</v>
      </c>
      <c r="H1451">
        <v>18326</v>
      </c>
      <c r="I1451">
        <v>11871</v>
      </c>
      <c r="J1451">
        <v>1117</v>
      </c>
      <c r="K1451">
        <v>11101</v>
      </c>
      <c r="L1451">
        <v>6070</v>
      </c>
    </row>
    <row r="1452" spans="1:12" x14ac:dyDescent="0.35">
      <c r="A1452" s="51">
        <v>44033</v>
      </c>
      <c r="B1452">
        <v>-205</v>
      </c>
      <c r="C1452">
        <v>-10821</v>
      </c>
      <c r="D1452">
        <v>-16698</v>
      </c>
      <c r="E1452">
        <v>7379</v>
      </c>
      <c r="F1452">
        <v>125047</v>
      </c>
      <c r="G1452">
        <v>-15080</v>
      </c>
      <c r="H1452">
        <v>19307</v>
      </c>
      <c r="I1452">
        <v>9848</v>
      </c>
      <c r="J1452">
        <v>2475</v>
      </c>
      <c r="K1452">
        <v>10946</v>
      </c>
      <c r="L1452">
        <v>5173</v>
      </c>
    </row>
    <row r="1453" spans="1:12" x14ac:dyDescent="0.35">
      <c r="A1453" s="51">
        <v>44040</v>
      </c>
      <c r="B1453">
        <v>-5012</v>
      </c>
      <c r="C1453">
        <v>-10734</v>
      </c>
      <c r="D1453">
        <v>-12496</v>
      </c>
      <c r="E1453">
        <v>8442</v>
      </c>
      <c r="F1453">
        <v>157559</v>
      </c>
      <c r="G1453">
        <v>-25409</v>
      </c>
      <c r="H1453">
        <v>28507</v>
      </c>
      <c r="I1453">
        <v>10864</v>
      </c>
      <c r="J1453">
        <v>-845</v>
      </c>
      <c r="K1453">
        <v>8216</v>
      </c>
      <c r="L1453">
        <v>4071</v>
      </c>
    </row>
    <row r="1454" spans="1:12" x14ac:dyDescent="0.35">
      <c r="A1454" s="51">
        <v>44047</v>
      </c>
      <c r="B1454">
        <v>-1048</v>
      </c>
      <c r="C1454">
        <v>-12702</v>
      </c>
      <c r="D1454">
        <v>-23195</v>
      </c>
      <c r="E1454">
        <v>11660</v>
      </c>
      <c r="F1454">
        <v>180648</v>
      </c>
      <c r="G1454">
        <v>-14727</v>
      </c>
      <c r="H1454">
        <v>31429</v>
      </c>
      <c r="I1454">
        <v>2999</v>
      </c>
      <c r="J1454">
        <v>-1448</v>
      </c>
      <c r="K1454">
        <v>5860</v>
      </c>
      <c r="L1454">
        <v>3529</v>
      </c>
    </row>
    <row r="1455" spans="1:12" x14ac:dyDescent="0.35">
      <c r="A1455" s="51">
        <v>44054</v>
      </c>
      <c r="B1455">
        <v>-3488</v>
      </c>
      <c r="C1455">
        <v>-13546</v>
      </c>
      <c r="D1455">
        <v>-29547</v>
      </c>
      <c r="E1455">
        <v>17165</v>
      </c>
      <c r="F1455">
        <v>199751</v>
      </c>
      <c r="G1455">
        <v>-2821</v>
      </c>
      <c r="H1455">
        <v>27016</v>
      </c>
      <c r="I1455">
        <v>6507</v>
      </c>
      <c r="J1455">
        <v>-179</v>
      </c>
      <c r="K1455">
        <v>6532</v>
      </c>
      <c r="L1455">
        <v>2646</v>
      </c>
    </row>
    <row r="1456" spans="1:12" x14ac:dyDescent="0.35">
      <c r="A1456" s="51">
        <v>44061</v>
      </c>
      <c r="B1456">
        <v>-3300</v>
      </c>
      <c r="C1456">
        <v>-16159</v>
      </c>
      <c r="D1456">
        <v>-33587</v>
      </c>
      <c r="E1456">
        <v>14507</v>
      </c>
      <c r="F1456">
        <v>196943</v>
      </c>
      <c r="G1456">
        <v>6504</v>
      </c>
      <c r="H1456">
        <v>20584</v>
      </c>
      <c r="I1456">
        <v>4338</v>
      </c>
      <c r="J1456">
        <v>3762</v>
      </c>
      <c r="K1456">
        <v>6446</v>
      </c>
      <c r="L1456">
        <v>2654</v>
      </c>
    </row>
    <row r="1457" spans="1:12" x14ac:dyDescent="0.35">
      <c r="A1457" s="51">
        <v>44068</v>
      </c>
      <c r="B1457">
        <v>-3899</v>
      </c>
      <c r="C1457">
        <v>-12814</v>
      </c>
      <c r="D1457">
        <v>-29318</v>
      </c>
      <c r="E1457">
        <v>11866</v>
      </c>
      <c r="F1457">
        <v>211752</v>
      </c>
      <c r="G1457">
        <v>5600</v>
      </c>
      <c r="H1457">
        <v>23616</v>
      </c>
      <c r="I1457">
        <v>3862</v>
      </c>
      <c r="J1457">
        <v>4188</v>
      </c>
      <c r="K1457">
        <v>7630</v>
      </c>
      <c r="L1457">
        <v>1793</v>
      </c>
    </row>
    <row r="1458" spans="1:12" x14ac:dyDescent="0.35">
      <c r="A1458" s="51">
        <v>44075</v>
      </c>
      <c r="B1458">
        <v>-165</v>
      </c>
      <c r="C1458">
        <v>-19274</v>
      </c>
      <c r="D1458">
        <v>-27006</v>
      </c>
      <c r="E1458">
        <v>11597</v>
      </c>
      <c r="F1458">
        <v>196747</v>
      </c>
      <c r="G1458">
        <v>6312</v>
      </c>
      <c r="H1458">
        <v>29604</v>
      </c>
      <c r="I1458">
        <v>5969</v>
      </c>
      <c r="J1458">
        <v>6966</v>
      </c>
      <c r="K1458">
        <v>8686</v>
      </c>
      <c r="L1458">
        <v>2986</v>
      </c>
    </row>
    <row r="1459" spans="1:12" x14ac:dyDescent="0.35">
      <c r="A1459" s="51">
        <v>44082</v>
      </c>
      <c r="B1459">
        <v>-2044</v>
      </c>
      <c r="C1459">
        <v>-26136</v>
      </c>
      <c r="D1459">
        <v>-17355</v>
      </c>
      <c r="E1459">
        <v>11527</v>
      </c>
      <c r="F1459">
        <v>196814</v>
      </c>
      <c r="G1459">
        <v>12730</v>
      </c>
      <c r="H1459">
        <v>21742</v>
      </c>
      <c r="I1459">
        <v>8373</v>
      </c>
      <c r="J1459">
        <v>4900</v>
      </c>
      <c r="K1459">
        <v>8282</v>
      </c>
      <c r="L1459">
        <v>3854</v>
      </c>
    </row>
    <row r="1460" spans="1:12" x14ac:dyDescent="0.35">
      <c r="A1460" s="51">
        <v>44089</v>
      </c>
      <c r="B1460">
        <v>16219</v>
      </c>
      <c r="C1460">
        <v>-25013</v>
      </c>
      <c r="D1460">
        <v>-16943</v>
      </c>
      <c r="E1460">
        <v>12066</v>
      </c>
      <c r="F1460">
        <v>178576</v>
      </c>
      <c r="G1460">
        <v>2293</v>
      </c>
      <c r="H1460">
        <v>22889</v>
      </c>
      <c r="I1460">
        <v>26471</v>
      </c>
      <c r="J1460">
        <v>3242</v>
      </c>
      <c r="K1460">
        <v>7652</v>
      </c>
      <c r="L1460">
        <v>3459</v>
      </c>
    </row>
    <row r="1461" spans="1:12" x14ac:dyDescent="0.35">
      <c r="A1461" s="51">
        <v>44096</v>
      </c>
      <c r="B1461">
        <v>16339</v>
      </c>
      <c r="C1461">
        <v>-23794</v>
      </c>
      <c r="D1461">
        <v>-18882</v>
      </c>
      <c r="E1461">
        <v>15916</v>
      </c>
      <c r="F1461">
        <v>190822</v>
      </c>
      <c r="G1461">
        <v>2964</v>
      </c>
      <c r="H1461">
        <v>29581</v>
      </c>
      <c r="I1461">
        <v>26650</v>
      </c>
      <c r="J1461">
        <v>4860</v>
      </c>
      <c r="K1461">
        <v>-3382</v>
      </c>
      <c r="L1461">
        <v>4835</v>
      </c>
    </row>
    <row r="1462" spans="1:12" x14ac:dyDescent="0.35">
      <c r="A1462" s="51">
        <v>44103</v>
      </c>
      <c r="B1462">
        <v>8937</v>
      </c>
      <c r="C1462">
        <v>-23214</v>
      </c>
      <c r="D1462">
        <v>-18948</v>
      </c>
      <c r="E1462">
        <v>12741</v>
      </c>
      <c r="F1462">
        <v>188116</v>
      </c>
      <c r="G1462">
        <v>-12745</v>
      </c>
      <c r="H1462">
        <v>24789</v>
      </c>
      <c r="I1462">
        <v>12636</v>
      </c>
      <c r="J1462">
        <v>3329</v>
      </c>
      <c r="K1462">
        <v>-4923</v>
      </c>
      <c r="L1462">
        <v>5330</v>
      </c>
    </row>
    <row r="1463" spans="1:12" x14ac:dyDescent="0.35">
      <c r="A1463" s="51">
        <v>44110</v>
      </c>
      <c r="B1463">
        <v>10847</v>
      </c>
      <c r="C1463">
        <v>-26298</v>
      </c>
      <c r="D1463">
        <v>-18047</v>
      </c>
      <c r="E1463">
        <v>13096</v>
      </c>
      <c r="F1463">
        <v>174308</v>
      </c>
      <c r="G1463">
        <v>-11298</v>
      </c>
      <c r="H1463">
        <v>21102</v>
      </c>
      <c r="I1463">
        <v>21342</v>
      </c>
      <c r="J1463">
        <v>5090</v>
      </c>
      <c r="K1463">
        <v>-4547</v>
      </c>
      <c r="L1463">
        <v>5221</v>
      </c>
    </row>
    <row r="1464" spans="1:12" x14ac:dyDescent="0.35">
      <c r="A1464" s="51">
        <v>44117</v>
      </c>
      <c r="B1464">
        <v>3854</v>
      </c>
      <c r="C1464">
        <v>-26591</v>
      </c>
      <c r="D1464">
        <v>-13564</v>
      </c>
      <c r="E1464">
        <v>12172</v>
      </c>
      <c r="F1464">
        <v>168637</v>
      </c>
      <c r="G1464">
        <v>-9802</v>
      </c>
      <c r="H1464">
        <v>19976</v>
      </c>
      <c r="I1464">
        <v>22478</v>
      </c>
      <c r="J1464">
        <v>6490</v>
      </c>
      <c r="K1464">
        <v>-4567</v>
      </c>
      <c r="L1464">
        <v>5227</v>
      </c>
    </row>
    <row r="1465" spans="1:12" x14ac:dyDescent="0.35">
      <c r="A1465" s="51">
        <v>44124</v>
      </c>
      <c r="B1465">
        <v>6755</v>
      </c>
      <c r="C1465">
        <v>-27570</v>
      </c>
      <c r="D1465">
        <v>-19075</v>
      </c>
      <c r="E1465">
        <v>14399</v>
      </c>
      <c r="F1465">
        <v>165943</v>
      </c>
      <c r="G1465">
        <v>-2000</v>
      </c>
      <c r="H1465">
        <v>14183</v>
      </c>
      <c r="I1465">
        <v>19842</v>
      </c>
      <c r="J1465">
        <v>6602</v>
      </c>
      <c r="K1465">
        <v>-4176</v>
      </c>
      <c r="L1465">
        <v>5016</v>
      </c>
    </row>
    <row r="1466" spans="1:12" x14ac:dyDescent="0.35">
      <c r="A1466" s="51">
        <v>44131</v>
      </c>
      <c r="B1466">
        <v>8890</v>
      </c>
      <c r="C1466">
        <v>-26894</v>
      </c>
      <c r="D1466">
        <v>-18069</v>
      </c>
      <c r="E1466">
        <v>15503</v>
      </c>
      <c r="F1466">
        <v>155555</v>
      </c>
      <c r="G1466">
        <v>-6660</v>
      </c>
      <c r="H1466">
        <v>17893</v>
      </c>
      <c r="I1466">
        <v>27946</v>
      </c>
      <c r="J1466">
        <v>6995</v>
      </c>
      <c r="K1466">
        <v>-4124</v>
      </c>
      <c r="L1466">
        <v>4652</v>
      </c>
    </row>
    <row r="1467" spans="1:12" x14ac:dyDescent="0.35">
      <c r="A1467" s="51">
        <v>44138</v>
      </c>
      <c r="B1467">
        <v>-1314</v>
      </c>
      <c r="C1467">
        <v>-28162</v>
      </c>
      <c r="D1467">
        <v>-20686</v>
      </c>
      <c r="E1467">
        <v>14895</v>
      </c>
      <c r="F1467">
        <v>140349</v>
      </c>
      <c r="G1467">
        <v>-11227</v>
      </c>
      <c r="H1467">
        <v>28098</v>
      </c>
      <c r="I1467">
        <v>24097</v>
      </c>
      <c r="J1467">
        <v>7051</v>
      </c>
      <c r="K1467">
        <v>-5655</v>
      </c>
      <c r="L1467">
        <v>6090</v>
      </c>
    </row>
    <row r="1468" spans="1:12" x14ac:dyDescent="0.35">
      <c r="A1468" s="51">
        <v>44145</v>
      </c>
      <c r="B1468">
        <v>-8720</v>
      </c>
      <c r="C1468">
        <v>-25938</v>
      </c>
      <c r="D1468">
        <v>-21349</v>
      </c>
      <c r="E1468">
        <v>15864</v>
      </c>
      <c r="F1468">
        <v>135287</v>
      </c>
      <c r="G1468">
        <v>-17695</v>
      </c>
      <c r="H1468">
        <v>41894</v>
      </c>
      <c r="I1468">
        <v>18322</v>
      </c>
      <c r="J1468">
        <v>7717</v>
      </c>
      <c r="K1468">
        <v>-5190</v>
      </c>
      <c r="L1468">
        <v>6948</v>
      </c>
    </row>
    <row r="1469" spans="1:12" x14ac:dyDescent="0.35">
      <c r="A1469" s="51">
        <v>44152</v>
      </c>
      <c r="B1469">
        <v>-6123</v>
      </c>
      <c r="C1469">
        <v>-21089</v>
      </c>
      <c r="D1469">
        <v>-20359</v>
      </c>
      <c r="E1469">
        <v>14924</v>
      </c>
      <c r="F1469">
        <v>133960</v>
      </c>
      <c r="G1469">
        <v>-19746</v>
      </c>
      <c r="H1469">
        <v>29667</v>
      </c>
      <c r="I1469">
        <v>20409</v>
      </c>
      <c r="J1469">
        <v>8868</v>
      </c>
      <c r="K1469">
        <v>-5227</v>
      </c>
      <c r="L1469">
        <v>7667</v>
      </c>
    </row>
    <row r="1470" spans="1:12" x14ac:dyDescent="0.35">
      <c r="A1470" s="51">
        <v>44159</v>
      </c>
      <c r="B1470">
        <v>-5277</v>
      </c>
      <c r="C1470">
        <v>-18145</v>
      </c>
      <c r="D1470">
        <v>-16846</v>
      </c>
      <c r="E1470">
        <v>14986</v>
      </c>
      <c r="F1470">
        <v>138250</v>
      </c>
      <c r="G1470">
        <v>-17130</v>
      </c>
      <c r="H1470">
        <v>40242</v>
      </c>
      <c r="I1470">
        <v>23795</v>
      </c>
      <c r="J1470">
        <v>8312</v>
      </c>
      <c r="K1470">
        <v>-3884</v>
      </c>
      <c r="L1470">
        <v>7733</v>
      </c>
    </row>
    <row r="1471" spans="1:12" x14ac:dyDescent="0.35">
      <c r="A1471" s="51">
        <v>44166</v>
      </c>
      <c r="B1471">
        <v>-10800</v>
      </c>
      <c r="C1471">
        <v>-17773</v>
      </c>
      <c r="D1471">
        <v>-21243</v>
      </c>
      <c r="E1471">
        <v>14651</v>
      </c>
      <c r="F1471">
        <v>139894</v>
      </c>
      <c r="G1471">
        <v>-7899</v>
      </c>
      <c r="H1471">
        <v>47503</v>
      </c>
      <c r="I1471">
        <v>29041</v>
      </c>
      <c r="J1471">
        <v>9058</v>
      </c>
      <c r="K1471">
        <v>-3182</v>
      </c>
      <c r="L1471">
        <v>8112</v>
      </c>
    </row>
    <row r="1472" spans="1:12" x14ac:dyDescent="0.35">
      <c r="A1472" s="51">
        <v>44173</v>
      </c>
      <c r="B1472">
        <v>-10107</v>
      </c>
      <c r="C1472">
        <v>-12718</v>
      </c>
      <c r="D1472">
        <v>-20738</v>
      </c>
      <c r="E1472">
        <v>10423</v>
      </c>
      <c r="F1472">
        <v>156429</v>
      </c>
      <c r="G1472">
        <v>5710</v>
      </c>
      <c r="H1472">
        <v>48166</v>
      </c>
      <c r="I1472">
        <v>26522</v>
      </c>
      <c r="J1472">
        <v>10550</v>
      </c>
      <c r="K1472">
        <v>-4668</v>
      </c>
      <c r="L1472">
        <v>7303</v>
      </c>
    </row>
    <row r="1473" spans="1:12" x14ac:dyDescent="0.35">
      <c r="A1473" s="51">
        <v>44180</v>
      </c>
      <c r="B1473">
        <v>-9325</v>
      </c>
      <c r="C1473">
        <v>-9213</v>
      </c>
      <c r="D1473">
        <v>-15716</v>
      </c>
      <c r="E1473">
        <v>9291</v>
      </c>
      <c r="F1473">
        <v>141833</v>
      </c>
      <c r="G1473">
        <v>4068</v>
      </c>
      <c r="H1473">
        <v>43963</v>
      </c>
      <c r="I1473">
        <v>-3227</v>
      </c>
      <c r="J1473">
        <v>14193</v>
      </c>
      <c r="K1473">
        <v>-2627</v>
      </c>
      <c r="L1473">
        <v>7957</v>
      </c>
    </row>
    <row r="1474" spans="1:12" x14ac:dyDescent="0.35">
      <c r="A1474" s="51">
        <v>44186</v>
      </c>
      <c r="B1474">
        <v>-4419</v>
      </c>
      <c r="C1474">
        <v>-9503</v>
      </c>
      <c r="D1474">
        <v>10085</v>
      </c>
      <c r="E1474">
        <v>11244</v>
      </c>
      <c r="F1474">
        <v>143902</v>
      </c>
      <c r="G1474">
        <v>6032</v>
      </c>
      <c r="H1474">
        <v>46093</v>
      </c>
      <c r="I1474">
        <v>-8249</v>
      </c>
      <c r="J1474">
        <v>13654</v>
      </c>
      <c r="K1474">
        <v>1835</v>
      </c>
      <c r="L1474">
        <v>7477</v>
      </c>
    </row>
    <row r="1475" spans="1:12" x14ac:dyDescent="0.35">
      <c r="A1475" s="51">
        <v>44194</v>
      </c>
      <c r="B1475">
        <v>-6506</v>
      </c>
      <c r="C1475">
        <v>-9677</v>
      </c>
      <c r="D1475">
        <v>15368</v>
      </c>
      <c r="E1475">
        <v>11787</v>
      </c>
      <c r="F1475">
        <v>143076</v>
      </c>
      <c r="G1475">
        <v>4832</v>
      </c>
      <c r="H1475">
        <v>47350</v>
      </c>
      <c r="I1475">
        <v>-5258</v>
      </c>
      <c r="J1475">
        <v>12534</v>
      </c>
      <c r="K1475">
        <v>2051</v>
      </c>
      <c r="L1475">
        <v>7377</v>
      </c>
    </row>
    <row r="1476" spans="1:12" x14ac:dyDescent="0.35">
      <c r="A1476" s="51">
        <v>44201</v>
      </c>
      <c r="B1476">
        <v>-3907</v>
      </c>
      <c r="C1476">
        <v>-3194</v>
      </c>
      <c r="D1476">
        <v>14524</v>
      </c>
      <c r="E1476">
        <v>9372</v>
      </c>
      <c r="F1476">
        <v>142991</v>
      </c>
      <c r="G1476">
        <v>3665</v>
      </c>
      <c r="H1476">
        <v>50190</v>
      </c>
      <c r="I1476">
        <v>-7723</v>
      </c>
      <c r="J1476">
        <v>11996</v>
      </c>
      <c r="K1476">
        <v>825</v>
      </c>
      <c r="L1476">
        <v>7620</v>
      </c>
    </row>
    <row r="1477" spans="1:12" x14ac:dyDescent="0.35">
      <c r="A1477" s="51">
        <v>44208</v>
      </c>
      <c r="B1477">
        <v>5456</v>
      </c>
      <c r="C1477">
        <v>-5732</v>
      </c>
      <c r="D1477">
        <v>12073</v>
      </c>
      <c r="E1477">
        <v>11975</v>
      </c>
      <c r="F1477">
        <v>155890</v>
      </c>
      <c r="G1477">
        <v>12942</v>
      </c>
      <c r="H1477">
        <v>50520</v>
      </c>
      <c r="I1477">
        <v>-5452</v>
      </c>
      <c r="J1477">
        <v>14707</v>
      </c>
      <c r="K1477">
        <v>1636</v>
      </c>
      <c r="L1477">
        <v>6453</v>
      </c>
    </row>
    <row r="1478" spans="1:12" x14ac:dyDescent="0.35">
      <c r="A1478" s="51">
        <v>44215</v>
      </c>
      <c r="B1478">
        <v>4860</v>
      </c>
      <c r="C1478">
        <v>-7145</v>
      </c>
      <c r="D1478">
        <v>10326</v>
      </c>
      <c r="E1478">
        <v>9420</v>
      </c>
      <c r="F1478">
        <v>163466</v>
      </c>
      <c r="G1478">
        <v>13705</v>
      </c>
      <c r="H1478">
        <v>50014</v>
      </c>
      <c r="I1478">
        <v>-7687</v>
      </c>
      <c r="J1478">
        <v>15983</v>
      </c>
      <c r="K1478">
        <v>885</v>
      </c>
      <c r="L1478">
        <v>5283</v>
      </c>
    </row>
    <row r="1479" spans="1:12" x14ac:dyDescent="0.35">
      <c r="A1479" s="51">
        <v>44222</v>
      </c>
      <c r="B1479">
        <v>771</v>
      </c>
      <c r="C1479">
        <v>-8330</v>
      </c>
      <c r="D1479">
        <v>13770</v>
      </c>
      <c r="E1479">
        <v>10092</v>
      </c>
      <c r="F1479">
        <v>165344</v>
      </c>
      <c r="G1479">
        <v>7965</v>
      </c>
      <c r="H1479">
        <v>44992</v>
      </c>
      <c r="I1479">
        <v>-950</v>
      </c>
      <c r="J1479">
        <v>14758</v>
      </c>
      <c r="K1479">
        <v>-484</v>
      </c>
      <c r="L1479">
        <v>5050</v>
      </c>
    </row>
    <row r="1480" spans="1:12" x14ac:dyDescent="0.35">
      <c r="A1480" s="51">
        <v>44229</v>
      </c>
      <c r="B1480">
        <v>-1467</v>
      </c>
      <c r="C1480">
        <v>-14449</v>
      </c>
      <c r="D1480">
        <v>16096</v>
      </c>
      <c r="E1480">
        <v>14641</v>
      </c>
      <c r="F1480">
        <v>137003</v>
      </c>
      <c r="G1480">
        <v>9616</v>
      </c>
      <c r="H1480">
        <v>44629</v>
      </c>
      <c r="I1480">
        <v>2868</v>
      </c>
      <c r="J1480">
        <v>11647</v>
      </c>
      <c r="K1480">
        <v>-618</v>
      </c>
      <c r="L1480">
        <v>4259</v>
      </c>
    </row>
    <row r="1481" spans="1:12" x14ac:dyDescent="0.35">
      <c r="A1481" s="51">
        <v>44236</v>
      </c>
      <c r="B1481">
        <v>-216</v>
      </c>
      <c r="C1481">
        <v>-17366</v>
      </c>
      <c r="D1481">
        <v>9528</v>
      </c>
      <c r="E1481">
        <v>11408</v>
      </c>
      <c r="F1481">
        <v>140222</v>
      </c>
      <c r="G1481">
        <v>21118</v>
      </c>
      <c r="H1481">
        <v>34618</v>
      </c>
      <c r="I1481">
        <v>1483</v>
      </c>
      <c r="J1481">
        <v>11544</v>
      </c>
      <c r="K1481">
        <v>-190</v>
      </c>
      <c r="L1481">
        <v>3845</v>
      </c>
    </row>
    <row r="1482" spans="1:12" x14ac:dyDescent="0.35">
      <c r="A1482" s="51">
        <v>44243</v>
      </c>
      <c r="B1482">
        <v>-2821</v>
      </c>
      <c r="C1482">
        <v>-18206</v>
      </c>
      <c r="D1482">
        <v>8164</v>
      </c>
      <c r="E1482">
        <v>8371</v>
      </c>
      <c r="F1482">
        <v>140006</v>
      </c>
      <c r="G1482">
        <v>22167</v>
      </c>
      <c r="H1482">
        <v>37182</v>
      </c>
      <c r="I1482">
        <v>1412</v>
      </c>
      <c r="J1482">
        <v>13711</v>
      </c>
      <c r="K1482">
        <v>-531</v>
      </c>
      <c r="L1482">
        <v>4579</v>
      </c>
    </row>
    <row r="1483" spans="1:12" x14ac:dyDescent="0.35">
      <c r="A1483" s="51">
        <v>44250</v>
      </c>
      <c r="B1483">
        <v>-1636</v>
      </c>
      <c r="C1483">
        <v>-15937</v>
      </c>
      <c r="D1483">
        <v>9132</v>
      </c>
      <c r="E1483">
        <v>11523</v>
      </c>
      <c r="F1483">
        <v>138365</v>
      </c>
      <c r="G1483">
        <v>30978</v>
      </c>
      <c r="H1483">
        <v>28622</v>
      </c>
      <c r="I1483">
        <v>3025</v>
      </c>
      <c r="J1483">
        <v>14649</v>
      </c>
      <c r="K1483">
        <v>-259</v>
      </c>
      <c r="L1483">
        <v>5780</v>
      </c>
    </row>
    <row r="1484" spans="1:12" x14ac:dyDescent="0.35">
      <c r="A1484" s="51">
        <v>44257</v>
      </c>
      <c r="B1484">
        <v>6041</v>
      </c>
      <c r="C1484">
        <v>-21051</v>
      </c>
      <c r="D1484">
        <v>15327</v>
      </c>
      <c r="E1484">
        <v>12261</v>
      </c>
      <c r="F1484">
        <v>125988</v>
      </c>
      <c r="G1484">
        <v>36082</v>
      </c>
      <c r="H1484">
        <v>19270</v>
      </c>
      <c r="I1484">
        <v>4431</v>
      </c>
      <c r="J1484">
        <v>16408</v>
      </c>
      <c r="K1484">
        <v>-928</v>
      </c>
      <c r="L1484">
        <v>6361</v>
      </c>
    </row>
    <row r="1485" spans="1:12" x14ac:dyDescent="0.35">
      <c r="A1485" s="51">
        <v>44264</v>
      </c>
      <c r="B1485">
        <v>8075</v>
      </c>
      <c r="C1485">
        <v>-23314</v>
      </c>
      <c r="D1485">
        <v>10981</v>
      </c>
      <c r="E1485">
        <v>14393</v>
      </c>
      <c r="F1485">
        <v>101964</v>
      </c>
      <c r="G1485">
        <v>33911</v>
      </c>
      <c r="H1485">
        <v>6514</v>
      </c>
      <c r="I1485">
        <v>1852</v>
      </c>
      <c r="J1485">
        <v>17126</v>
      </c>
      <c r="K1485">
        <v>-1609</v>
      </c>
      <c r="L1485">
        <v>5606</v>
      </c>
    </row>
    <row r="1486" spans="1:12" x14ac:dyDescent="0.35">
      <c r="A1486" s="51">
        <v>44271</v>
      </c>
      <c r="B1486">
        <v>7620</v>
      </c>
      <c r="C1486">
        <v>-23767</v>
      </c>
      <c r="D1486">
        <v>10263</v>
      </c>
      <c r="E1486">
        <v>4671</v>
      </c>
      <c r="F1486">
        <v>89976</v>
      </c>
      <c r="G1486">
        <v>28600</v>
      </c>
      <c r="H1486">
        <v>-39368</v>
      </c>
      <c r="I1486">
        <v>-29457</v>
      </c>
      <c r="J1486">
        <v>6029</v>
      </c>
      <c r="K1486">
        <v>3973</v>
      </c>
      <c r="L1486">
        <v>2185</v>
      </c>
    </row>
    <row r="1487" spans="1:12" x14ac:dyDescent="0.35">
      <c r="A1487" s="51">
        <v>44278</v>
      </c>
      <c r="B1487">
        <v>5942</v>
      </c>
      <c r="C1487">
        <v>-25249</v>
      </c>
      <c r="D1487">
        <v>5103</v>
      </c>
      <c r="E1487">
        <v>2872</v>
      </c>
      <c r="F1487">
        <v>93322</v>
      </c>
      <c r="G1487">
        <v>21819</v>
      </c>
      <c r="H1487">
        <v>-53525</v>
      </c>
      <c r="I1487">
        <v>-20894</v>
      </c>
      <c r="J1487">
        <v>4724</v>
      </c>
      <c r="K1487">
        <v>5625</v>
      </c>
      <c r="L1487">
        <v>2050</v>
      </c>
    </row>
    <row r="1488" spans="1:12" x14ac:dyDescent="0.35">
      <c r="A1488" s="51">
        <v>44285</v>
      </c>
      <c r="B1488">
        <v>12263</v>
      </c>
      <c r="C1488">
        <v>-25309</v>
      </c>
      <c r="D1488">
        <v>6518</v>
      </c>
      <c r="E1488">
        <v>4269</v>
      </c>
      <c r="F1488">
        <v>73739</v>
      </c>
      <c r="G1488">
        <v>24959</v>
      </c>
      <c r="H1488">
        <v>-59481</v>
      </c>
      <c r="I1488">
        <v>-15113</v>
      </c>
      <c r="J1488">
        <v>4046</v>
      </c>
      <c r="K1488">
        <v>6784</v>
      </c>
      <c r="L1488">
        <v>2116</v>
      </c>
    </row>
    <row r="1489" spans="1:12" x14ac:dyDescent="0.35">
      <c r="A1489" s="51">
        <v>44292</v>
      </c>
      <c r="B1489">
        <v>4066</v>
      </c>
      <c r="C1489">
        <v>-26506</v>
      </c>
      <c r="D1489">
        <v>2690</v>
      </c>
      <c r="E1489">
        <v>3245</v>
      </c>
      <c r="F1489">
        <v>67522</v>
      </c>
      <c r="G1489">
        <v>19951</v>
      </c>
      <c r="H1489">
        <v>-57989</v>
      </c>
      <c r="I1489">
        <v>-13142</v>
      </c>
      <c r="J1489">
        <v>3138</v>
      </c>
      <c r="K1489">
        <v>6875</v>
      </c>
      <c r="L1489">
        <v>1900</v>
      </c>
    </row>
    <row r="1490" spans="1:12" x14ac:dyDescent="0.35">
      <c r="A1490" s="51">
        <v>44299</v>
      </c>
      <c r="B1490">
        <v>3759</v>
      </c>
      <c r="C1490">
        <v>-26591</v>
      </c>
      <c r="D1490">
        <v>2406</v>
      </c>
      <c r="E1490">
        <v>824</v>
      </c>
      <c r="F1490">
        <v>66851</v>
      </c>
      <c r="G1490">
        <v>25590</v>
      </c>
      <c r="H1490">
        <v>-58312</v>
      </c>
      <c r="I1490">
        <v>-11978</v>
      </c>
      <c r="J1490">
        <v>2520</v>
      </c>
      <c r="K1490">
        <v>6313</v>
      </c>
      <c r="L1490">
        <v>2523</v>
      </c>
    </row>
    <row r="1491" spans="1:12" x14ac:dyDescent="0.35">
      <c r="A1491" s="51">
        <v>44306</v>
      </c>
      <c r="B1491">
        <v>-1806</v>
      </c>
      <c r="C1491">
        <v>-25995</v>
      </c>
      <c r="D1491">
        <v>13246</v>
      </c>
      <c r="E1491">
        <v>-1642</v>
      </c>
      <c r="F1491">
        <v>80808</v>
      </c>
      <c r="G1491">
        <v>25178</v>
      </c>
      <c r="H1491">
        <v>-59819</v>
      </c>
      <c r="I1491">
        <v>-3554</v>
      </c>
      <c r="J1491">
        <v>4322</v>
      </c>
      <c r="K1491">
        <v>6852</v>
      </c>
      <c r="L1491">
        <v>3828</v>
      </c>
    </row>
    <row r="1492" spans="1:12" x14ac:dyDescent="0.35">
      <c r="A1492" s="51">
        <v>44313</v>
      </c>
      <c r="B1492">
        <v>-1410</v>
      </c>
      <c r="C1492">
        <v>-26286</v>
      </c>
      <c r="D1492">
        <v>15722</v>
      </c>
      <c r="E1492">
        <v>-686</v>
      </c>
      <c r="F1492">
        <v>80967</v>
      </c>
      <c r="G1492">
        <v>29218</v>
      </c>
      <c r="H1492">
        <v>-48509</v>
      </c>
      <c r="I1492">
        <v>960</v>
      </c>
      <c r="J1492">
        <v>6979</v>
      </c>
      <c r="K1492">
        <v>6378</v>
      </c>
      <c r="L1492">
        <v>5443</v>
      </c>
    </row>
    <row r="1493" spans="1:12" x14ac:dyDescent="0.35">
      <c r="A1493" s="51">
        <v>44320</v>
      </c>
      <c r="B1493">
        <v>1476</v>
      </c>
      <c r="C1493">
        <v>-9898</v>
      </c>
      <c r="D1493">
        <v>25947</v>
      </c>
      <c r="E1493">
        <v>56</v>
      </c>
      <c r="F1493">
        <v>84829</v>
      </c>
      <c r="G1493">
        <v>19848</v>
      </c>
      <c r="H1493">
        <v>-41492</v>
      </c>
      <c r="I1493">
        <v>-4446</v>
      </c>
      <c r="J1493">
        <v>8588</v>
      </c>
      <c r="K1493">
        <v>5509</v>
      </c>
      <c r="L1493">
        <v>4535</v>
      </c>
    </row>
    <row r="1494" spans="1:12" x14ac:dyDescent="0.35">
      <c r="A1494" s="51">
        <v>44327</v>
      </c>
      <c r="B1494">
        <v>2416</v>
      </c>
      <c r="C1494">
        <v>2513</v>
      </c>
      <c r="D1494">
        <v>38629</v>
      </c>
      <c r="E1494">
        <v>-2851</v>
      </c>
      <c r="F1494">
        <v>93907</v>
      </c>
      <c r="G1494">
        <v>28176</v>
      </c>
      <c r="H1494">
        <v>-41728</v>
      </c>
      <c r="I1494">
        <v>-8480</v>
      </c>
      <c r="J1494">
        <v>9344</v>
      </c>
      <c r="K1494">
        <v>5483</v>
      </c>
      <c r="L1494">
        <v>5622</v>
      </c>
    </row>
    <row r="1495" spans="1:12" x14ac:dyDescent="0.35">
      <c r="A1495" s="51">
        <v>44334</v>
      </c>
      <c r="B1495">
        <v>3002</v>
      </c>
      <c r="C1495">
        <v>4831</v>
      </c>
      <c r="D1495">
        <v>46112</v>
      </c>
      <c r="E1495">
        <v>-4265</v>
      </c>
      <c r="F1495">
        <v>99858</v>
      </c>
      <c r="G1495">
        <v>24900</v>
      </c>
      <c r="H1495">
        <v>-50948</v>
      </c>
      <c r="I1495">
        <v>-10118</v>
      </c>
      <c r="J1495">
        <v>8450</v>
      </c>
      <c r="K1495">
        <v>4680</v>
      </c>
      <c r="L1495">
        <v>5779</v>
      </c>
    </row>
    <row r="1496" spans="1:12" x14ac:dyDescent="0.35">
      <c r="A1496" s="51">
        <v>44341</v>
      </c>
      <c r="B1496">
        <v>-809</v>
      </c>
      <c r="C1496">
        <v>5607</v>
      </c>
      <c r="D1496">
        <v>44811</v>
      </c>
      <c r="E1496">
        <v>-1203</v>
      </c>
      <c r="F1496">
        <v>104000</v>
      </c>
      <c r="G1496">
        <v>30659</v>
      </c>
      <c r="H1496">
        <v>-50156</v>
      </c>
      <c r="I1496">
        <v>-8498</v>
      </c>
      <c r="J1496">
        <v>8585</v>
      </c>
      <c r="K1496">
        <v>5372</v>
      </c>
      <c r="L1496">
        <v>4883</v>
      </c>
    </row>
    <row r="1497" spans="1:12" x14ac:dyDescent="0.35">
      <c r="A1497" s="51">
        <v>44348</v>
      </c>
      <c r="B1497">
        <v>-1925</v>
      </c>
      <c r="C1497">
        <v>4088</v>
      </c>
      <c r="D1497">
        <v>48772</v>
      </c>
      <c r="E1497">
        <v>324</v>
      </c>
      <c r="F1497">
        <v>109322</v>
      </c>
      <c r="G1497">
        <v>24125</v>
      </c>
      <c r="H1497">
        <v>-47115</v>
      </c>
      <c r="I1497">
        <v>-3646</v>
      </c>
      <c r="J1497">
        <v>5927</v>
      </c>
      <c r="K1497">
        <v>4586</v>
      </c>
      <c r="L1497">
        <v>5037</v>
      </c>
    </row>
    <row r="1498" spans="1:12" x14ac:dyDescent="0.35">
      <c r="A1498" s="51">
        <v>44355</v>
      </c>
      <c r="B1498">
        <v>-9437</v>
      </c>
      <c r="C1498">
        <v>20048</v>
      </c>
      <c r="D1498">
        <v>45281</v>
      </c>
      <c r="E1498">
        <v>1076</v>
      </c>
      <c r="F1498">
        <v>107213</v>
      </c>
      <c r="G1498">
        <v>27714</v>
      </c>
      <c r="H1498">
        <v>-37314</v>
      </c>
      <c r="I1498">
        <v>-6561</v>
      </c>
      <c r="J1498">
        <v>5506</v>
      </c>
      <c r="K1498">
        <v>1740</v>
      </c>
      <c r="L1498">
        <v>5254</v>
      </c>
    </row>
    <row r="1499" spans="1:12" x14ac:dyDescent="0.35">
      <c r="A1499" s="51">
        <v>44362</v>
      </c>
      <c r="B1499">
        <v>-17880</v>
      </c>
      <c r="C1499">
        <v>18659</v>
      </c>
      <c r="D1499">
        <v>44254</v>
      </c>
      <c r="E1499">
        <v>9387</v>
      </c>
      <c r="F1499">
        <v>118186</v>
      </c>
      <c r="G1499">
        <v>32170</v>
      </c>
      <c r="H1499">
        <v>-46850</v>
      </c>
      <c r="I1499">
        <v>-23930</v>
      </c>
      <c r="J1499">
        <v>3265</v>
      </c>
      <c r="K1499">
        <v>1904</v>
      </c>
      <c r="L1499">
        <v>7030</v>
      </c>
    </row>
    <row r="1500" spans="1:12" x14ac:dyDescent="0.35">
      <c r="A1500" s="51">
        <v>44369</v>
      </c>
      <c r="B1500">
        <v>-17575</v>
      </c>
      <c r="C1500">
        <v>18265</v>
      </c>
      <c r="D1500">
        <v>43225</v>
      </c>
      <c r="E1500">
        <v>13552</v>
      </c>
      <c r="F1500">
        <v>89057</v>
      </c>
      <c r="G1500">
        <v>17927</v>
      </c>
      <c r="H1500">
        <v>-53862</v>
      </c>
      <c r="I1500">
        <v>-28591</v>
      </c>
      <c r="J1500">
        <v>3286</v>
      </c>
      <c r="K1500">
        <v>10096</v>
      </c>
      <c r="L1500">
        <v>7301</v>
      </c>
    </row>
    <row r="1501" spans="1:12" x14ac:dyDescent="0.35">
      <c r="A1501" s="51">
        <v>44376</v>
      </c>
      <c r="B1501">
        <v>-17800</v>
      </c>
      <c r="C1501">
        <v>20486</v>
      </c>
      <c r="D1501">
        <v>45801</v>
      </c>
      <c r="E1501">
        <v>11065</v>
      </c>
      <c r="F1501">
        <v>87146</v>
      </c>
      <c r="G1501">
        <v>17723</v>
      </c>
      <c r="H1501">
        <v>-69895</v>
      </c>
      <c r="I1501">
        <v>-19454</v>
      </c>
      <c r="J1501">
        <v>3124</v>
      </c>
      <c r="K1501">
        <v>10338</v>
      </c>
      <c r="L1501">
        <v>6440</v>
      </c>
    </row>
    <row r="1502" spans="1:12" x14ac:dyDescent="0.35">
      <c r="A1502" s="51">
        <v>44383</v>
      </c>
      <c r="B1502">
        <v>-24870</v>
      </c>
      <c r="C1502">
        <v>21305</v>
      </c>
      <c r="D1502">
        <v>41178</v>
      </c>
      <c r="E1502">
        <v>10162</v>
      </c>
      <c r="F1502">
        <v>77190</v>
      </c>
      <c r="G1502">
        <v>21903</v>
      </c>
      <c r="H1502">
        <v>-69136</v>
      </c>
      <c r="I1502">
        <v>-22333</v>
      </c>
      <c r="J1502">
        <v>1761</v>
      </c>
      <c r="K1502">
        <v>8897</v>
      </c>
      <c r="L1502">
        <v>6046</v>
      </c>
    </row>
    <row r="1503" spans="1:12" x14ac:dyDescent="0.35">
      <c r="A1503" s="51">
        <v>44390</v>
      </c>
      <c r="B1503">
        <v>-28788</v>
      </c>
      <c r="C1503">
        <v>22220</v>
      </c>
      <c r="D1503">
        <v>26376</v>
      </c>
      <c r="E1503">
        <v>7137</v>
      </c>
      <c r="F1503">
        <v>59713</v>
      </c>
      <c r="G1503">
        <v>7969</v>
      </c>
      <c r="H1503">
        <v>-56250</v>
      </c>
      <c r="I1503">
        <v>-27432</v>
      </c>
      <c r="J1503">
        <v>3230</v>
      </c>
      <c r="K1503">
        <v>5791</v>
      </c>
      <c r="L1503">
        <v>6626</v>
      </c>
    </row>
    <row r="1504" spans="1:12" x14ac:dyDescent="0.35">
      <c r="A1504" s="51">
        <v>44397</v>
      </c>
      <c r="B1504">
        <v>-35690</v>
      </c>
      <c r="C1504">
        <v>21413</v>
      </c>
      <c r="D1504">
        <v>12915</v>
      </c>
      <c r="E1504">
        <v>8042</v>
      </c>
      <c r="F1504">
        <v>45822</v>
      </c>
      <c r="G1504">
        <v>-3497</v>
      </c>
      <c r="H1504">
        <v>-55731</v>
      </c>
      <c r="I1504">
        <v>-28421</v>
      </c>
      <c r="J1504">
        <v>3046</v>
      </c>
      <c r="K1504">
        <v>7801</v>
      </c>
      <c r="L1504">
        <v>5643</v>
      </c>
    </row>
    <row r="1505" spans="1:12" x14ac:dyDescent="0.35">
      <c r="A1505" s="51">
        <v>44404</v>
      </c>
      <c r="B1505">
        <v>-39347</v>
      </c>
      <c r="C1505">
        <v>21761</v>
      </c>
      <c r="D1505">
        <v>5374</v>
      </c>
      <c r="E1505">
        <v>8489</v>
      </c>
      <c r="F1505">
        <v>38126</v>
      </c>
      <c r="G1505">
        <v>-5684</v>
      </c>
      <c r="H1505">
        <v>-59934</v>
      </c>
      <c r="I1505">
        <v>-26407</v>
      </c>
      <c r="J1505">
        <v>1421</v>
      </c>
      <c r="K1505">
        <v>7593</v>
      </c>
      <c r="L1505">
        <v>5005</v>
      </c>
    </row>
    <row r="1506" spans="1:12" x14ac:dyDescent="0.35">
      <c r="A1506" s="51">
        <v>44411</v>
      </c>
      <c r="B1506">
        <v>-41283</v>
      </c>
      <c r="C1506">
        <v>23444</v>
      </c>
      <c r="D1506">
        <v>7460</v>
      </c>
      <c r="E1506">
        <v>7543</v>
      </c>
      <c r="F1506">
        <v>38007</v>
      </c>
      <c r="G1506">
        <v>-86</v>
      </c>
      <c r="H1506">
        <v>-55190</v>
      </c>
      <c r="I1506">
        <v>-21297</v>
      </c>
      <c r="J1506">
        <v>-325</v>
      </c>
      <c r="K1506">
        <v>8923</v>
      </c>
      <c r="L1506">
        <v>3949</v>
      </c>
    </row>
    <row r="1507" spans="1:12" x14ac:dyDescent="0.35">
      <c r="A1507" s="51">
        <v>44418</v>
      </c>
      <c r="B1507">
        <v>-49313</v>
      </c>
      <c r="C1507">
        <v>20538</v>
      </c>
      <c r="D1507">
        <v>6465</v>
      </c>
      <c r="E1507">
        <v>9678</v>
      </c>
      <c r="F1507">
        <v>33857</v>
      </c>
      <c r="G1507">
        <v>7070</v>
      </c>
      <c r="H1507">
        <v>-60657</v>
      </c>
      <c r="I1507">
        <v>-23887</v>
      </c>
      <c r="J1507">
        <v>-1032</v>
      </c>
      <c r="K1507">
        <v>10702</v>
      </c>
      <c r="L1507">
        <v>4509</v>
      </c>
    </row>
    <row r="1508" spans="1:12" x14ac:dyDescent="0.35">
      <c r="A1508" s="51">
        <v>44425</v>
      </c>
      <c r="B1508">
        <v>-50367</v>
      </c>
      <c r="C1508">
        <v>18989</v>
      </c>
      <c r="D1508">
        <v>2660</v>
      </c>
      <c r="E1508">
        <v>5547</v>
      </c>
      <c r="F1508">
        <v>57640</v>
      </c>
      <c r="G1508">
        <v>4651</v>
      </c>
      <c r="H1508">
        <v>-63208</v>
      </c>
      <c r="I1508">
        <v>-19117</v>
      </c>
      <c r="J1508">
        <v>-235</v>
      </c>
      <c r="K1508">
        <v>11701</v>
      </c>
      <c r="L1508">
        <v>5117</v>
      </c>
    </row>
    <row r="1509" spans="1:12" x14ac:dyDescent="0.35">
      <c r="A1509" s="51">
        <v>44432</v>
      </c>
      <c r="B1509">
        <v>-56600</v>
      </c>
      <c r="C1509">
        <v>13346</v>
      </c>
      <c r="D1509">
        <v>5877</v>
      </c>
      <c r="E1509">
        <v>4094</v>
      </c>
      <c r="F1509">
        <v>24630</v>
      </c>
      <c r="G1509">
        <v>-16745</v>
      </c>
      <c r="H1509">
        <v>-66671</v>
      </c>
      <c r="I1509">
        <v>-23830</v>
      </c>
      <c r="J1509">
        <v>-362</v>
      </c>
      <c r="K1509">
        <v>12965</v>
      </c>
      <c r="L1509">
        <v>5483</v>
      </c>
    </row>
    <row r="1510" spans="1:12" x14ac:dyDescent="0.35">
      <c r="A1510" s="51">
        <v>44439</v>
      </c>
      <c r="B1510">
        <v>-60078</v>
      </c>
      <c r="C1510">
        <v>12258</v>
      </c>
      <c r="D1510">
        <v>-2848</v>
      </c>
      <c r="E1510">
        <v>3975</v>
      </c>
      <c r="F1510">
        <v>10476</v>
      </c>
      <c r="G1510">
        <v>-14900</v>
      </c>
      <c r="H1510">
        <v>-63130</v>
      </c>
      <c r="I1510">
        <v>-21043</v>
      </c>
      <c r="J1510">
        <v>-2141</v>
      </c>
      <c r="K1510">
        <v>21471</v>
      </c>
      <c r="L1510">
        <v>5400</v>
      </c>
    </row>
    <row r="1511" spans="1:12" x14ac:dyDescent="0.35">
      <c r="A1511" s="51">
        <v>44446</v>
      </c>
      <c r="B1511">
        <v>-70488</v>
      </c>
      <c r="C1511">
        <v>6334</v>
      </c>
      <c r="D1511">
        <v>-6010</v>
      </c>
      <c r="E1511">
        <v>220</v>
      </c>
      <c r="F1511">
        <v>26308</v>
      </c>
      <c r="G1511">
        <v>-24524</v>
      </c>
      <c r="H1511">
        <v>-62325</v>
      </c>
      <c r="I1511">
        <v>-17517</v>
      </c>
      <c r="J1511">
        <v>3863</v>
      </c>
      <c r="K1511">
        <v>20945</v>
      </c>
      <c r="L1511">
        <v>5407</v>
      </c>
    </row>
    <row r="1512" spans="1:12" x14ac:dyDescent="0.35">
      <c r="A1512" s="51">
        <v>44453</v>
      </c>
      <c r="B1512">
        <v>-83383</v>
      </c>
      <c r="C1512">
        <v>6994</v>
      </c>
      <c r="D1512">
        <v>-9283</v>
      </c>
      <c r="E1512">
        <v>-5878</v>
      </c>
      <c r="F1512">
        <v>27805</v>
      </c>
      <c r="G1512">
        <v>4790</v>
      </c>
      <c r="H1512">
        <v>-60295</v>
      </c>
      <c r="I1512">
        <v>-15852</v>
      </c>
      <c r="J1512">
        <v>6206</v>
      </c>
      <c r="K1512">
        <v>20223</v>
      </c>
      <c r="L1512">
        <v>4374</v>
      </c>
    </row>
    <row r="1513" spans="1:12" x14ac:dyDescent="0.35">
      <c r="A1513" s="51">
        <v>44460</v>
      </c>
      <c r="B1513">
        <v>-85584</v>
      </c>
      <c r="C1513">
        <v>5772</v>
      </c>
      <c r="D1513">
        <v>-27877</v>
      </c>
      <c r="E1513">
        <v>-9217</v>
      </c>
      <c r="F1513">
        <v>12095</v>
      </c>
      <c r="G1513">
        <v>-218</v>
      </c>
      <c r="H1513">
        <v>-56071</v>
      </c>
      <c r="I1513">
        <v>-19015</v>
      </c>
      <c r="J1513">
        <v>8102</v>
      </c>
      <c r="K1513">
        <v>18233</v>
      </c>
      <c r="L1513">
        <v>4305</v>
      </c>
    </row>
    <row r="1514" spans="1:12" x14ac:dyDescent="0.35">
      <c r="A1514" s="51">
        <v>44467</v>
      </c>
      <c r="B1514">
        <v>-86383</v>
      </c>
      <c r="C1514">
        <v>5086</v>
      </c>
      <c r="D1514">
        <v>-20235</v>
      </c>
      <c r="E1514">
        <v>-11587</v>
      </c>
      <c r="F1514">
        <v>872</v>
      </c>
      <c r="G1514">
        <v>1964</v>
      </c>
      <c r="H1514">
        <v>-64760</v>
      </c>
      <c r="I1514">
        <v>-19595</v>
      </c>
      <c r="J1514">
        <v>10246</v>
      </c>
      <c r="K1514">
        <v>20828</v>
      </c>
      <c r="L1514">
        <v>2519</v>
      </c>
    </row>
    <row r="1515" spans="1:12" x14ac:dyDescent="0.35">
      <c r="A1515" s="51">
        <v>44474</v>
      </c>
      <c r="B1515">
        <v>-89979</v>
      </c>
      <c r="C1515">
        <v>-2290</v>
      </c>
      <c r="D1515">
        <v>-26866</v>
      </c>
      <c r="E1515">
        <v>-15679</v>
      </c>
      <c r="F1515">
        <v>-22334</v>
      </c>
      <c r="G1515">
        <v>-20018</v>
      </c>
      <c r="H1515">
        <v>-63694</v>
      </c>
      <c r="I1515">
        <v>-35579</v>
      </c>
      <c r="J1515">
        <v>8056</v>
      </c>
      <c r="K1515">
        <v>20409</v>
      </c>
      <c r="L1515">
        <v>2536</v>
      </c>
    </row>
    <row r="1516" spans="1:12" x14ac:dyDescent="0.35">
      <c r="A1516" s="51">
        <v>44481</v>
      </c>
      <c r="B1516">
        <v>-87608</v>
      </c>
      <c r="C1516">
        <v>-373</v>
      </c>
      <c r="D1516">
        <v>-27860</v>
      </c>
      <c r="E1516">
        <v>-12972</v>
      </c>
      <c r="F1516">
        <v>-18398</v>
      </c>
      <c r="G1516">
        <v>-11979</v>
      </c>
      <c r="H1516">
        <v>-76634</v>
      </c>
      <c r="I1516">
        <v>-39634</v>
      </c>
      <c r="J1516">
        <v>8748</v>
      </c>
      <c r="K1516">
        <v>19308</v>
      </c>
      <c r="L1516">
        <v>2156</v>
      </c>
    </row>
    <row r="1517" spans="1:12" x14ac:dyDescent="0.35">
      <c r="A1517" s="51">
        <v>44488</v>
      </c>
      <c r="B1517">
        <v>-76058</v>
      </c>
      <c r="C1517">
        <v>-658</v>
      </c>
      <c r="D1517">
        <v>-10924</v>
      </c>
      <c r="E1517">
        <v>-17584</v>
      </c>
      <c r="F1517">
        <v>-12107</v>
      </c>
      <c r="G1517">
        <v>1615</v>
      </c>
      <c r="H1517">
        <v>-102734</v>
      </c>
      <c r="I1517">
        <v>-38571</v>
      </c>
      <c r="J1517">
        <v>6440</v>
      </c>
      <c r="K1517">
        <v>22171</v>
      </c>
      <c r="L1517">
        <v>3713</v>
      </c>
    </row>
    <row r="1518" spans="1:12" x14ac:dyDescent="0.35">
      <c r="A1518" s="51">
        <v>44495</v>
      </c>
      <c r="B1518">
        <v>-75246</v>
      </c>
      <c r="C1518">
        <v>-942</v>
      </c>
      <c r="D1518">
        <v>3320</v>
      </c>
      <c r="E1518">
        <v>-19379</v>
      </c>
      <c r="F1518">
        <v>-11256</v>
      </c>
      <c r="G1518">
        <v>14953</v>
      </c>
      <c r="H1518">
        <v>-107036</v>
      </c>
      <c r="I1518">
        <v>-43289</v>
      </c>
      <c r="J1518">
        <v>8906</v>
      </c>
      <c r="K1518">
        <v>21462</v>
      </c>
      <c r="L1518">
        <v>3951</v>
      </c>
    </row>
    <row r="1519" spans="1:12" x14ac:dyDescent="0.35">
      <c r="A1519" s="51">
        <v>44502</v>
      </c>
      <c r="B1519">
        <v>-75496</v>
      </c>
      <c r="C1519">
        <v>-14272</v>
      </c>
      <c r="D1519">
        <v>4162</v>
      </c>
      <c r="E1519">
        <v>-20648</v>
      </c>
      <c r="F1519">
        <v>-6138</v>
      </c>
      <c r="G1519">
        <v>15047</v>
      </c>
      <c r="H1519">
        <v>-107624</v>
      </c>
      <c r="I1519">
        <v>-51018</v>
      </c>
      <c r="J1519">
        <v>13861</v>
      </c>
      <c r="K1519">
        <v>19982</v>
      </c>
      <c r="L1519">
        <v>2427</v>
      </c>
    </row>
    <row r="1520" spans="1:12" x14ac:dyDescent="0.35">
      <c r="A1520" s="51">
        <v>44509</v>
      </c>
      <c r="B1520">
        <v>-63424</v>
      </c>
      <c r="C1520">
        <v>-15458</v>
      </c>
      <c r="D1520">
        <v>5104</v>
      </c>
      <c r="E1520">
        <v>-17043</v>
      </c>
      <c r="F1520">
        <v>3773</v>
      </c>
      <c r="G1520">
        <v>-12093</v>
      </c>
      <c r="H1520">
        <v>-105351</v>
      </c>
      <c r="I1520">
        <v>-48407</v>
      </c>
      <c r="J1520">
        <v>12882</v>
      </c>
      <c r="K1520">
        <v>20703</v>
      </c>
      <c r="L1520">
        <v>1638</v>
      </c>
    </row>
    <row r="1521" spans="1:12" x14ac:dyDescent="0.35">
      <c r="A1521" s="51">
        <v>44516</v>
      </c>
      <c r="B1521">
        <v>-61153</v>
      </c>
      <c r="C1521">
        <v>-15698</v>
      </c>
      <c r="D1521">
        <v>8709</v>
      </c>
      <c r="E1521">
        <v>-8889</v>
      </c>
      <c r="F1521">
        <v>-3826</v>
      </c>
      <c r="G1521">
        <v>-31599</v>
      </c>
      <c r="H1521">
        <v>-93126</v>
      </c>
      <c r="I1521">
        <v>-47655</v>
      </c>
      <c r="J1521">
        <v>13965</v>
      </c>
      <c r="K1521">
        <v>22625</v>
      </c>
      <c r="L1521">
        <v>3277</v>
      </c>
    </row>
    <row r="1522" spans="1:12" x14ac:dyDescent="0.35">
      <c r="A1522" s="51">
        <v>44523</v>
      </c>
      <c r="B1522">
        <v>-63265</v>
      </c>
      <c r="C1522">
        <v>-14804</v>
      </c>
      <c r="D1522">
        <v>-3135</v>
      </c>
      <c r="E1522">
        <v>-11376</v>
      </c>
      <c r="F1522">
        <v>-16452</v>
      </c>
      <c r="G1522">
        <v>-34579</v>
      </c>
      <c r="H1522">
        <v>-97253</v>
      </c>
      <c r="I1522">
        <v>-49461</v>
      </c>
      <c r="J1522">
        <v>13939</v>
      </c>
      <c r="K1522">
        <v>18064</v>
      </c>
      <c r="L1522">
        <v>3230</v>
      </c>
    </row>
    <row r="1523" spans="1:12" x14ac:dyDescent="0.35">
      <c r="A1523" s="51">
        <v>44530</v>
      </c>
      <c r="B1523">
        <v>-80185</v>
      </c>
      <c r="C1523">
        <v>-13842</v>
      </c>
      <c r="D1523">
        <v>-14075</v>
      </c>
      <c r="E1523">
        <v>-14182</v>
      </c>
      <c r="F1523">
        <v>-23240</v>
      </c>
      <c r="G1523">
        <v>-38899</v>
      </c>
      <c r="H1523">
        <v>-78866</v>
      </c>
      <c r="I1523">
        <v>-59747</v>
      </c>
      <c r="J1523">
        <v>10630</v>
      </c>
      <c r="K1523">
        <v>13637</v>
      </c>
      <c r="L1523">
        <v>4239</v>
      </c>
    </row>
    <row r="1524" spans="1:12" x14ac:dyDescent="0.35">
      <c r="A1524" s="51">
        <v>44537</v>
      </c>
      <c r="B1524">
        <v>-81792</v>
      </c>
      <c r="C1524">
        <v>-5624</v>
      </c>
      <c r="D1524">
        <v>-9358</v>
      </c>
      <c r="E1524">
        <v>-12053</v>
      </c>
      <c r="F1524">
        <v>-8299</v>
      </c>
      <c r="G1524">
        <v>-38277</v>
      </c>
      <c r="H1524">
        <v>-63081</v>
      </c>
      <c r="I1524">
        <v>-64126</v>
      </c>
      <c r="J1524">
        <v>10708</v>
      </c>
      <c r="K1524">
        <v>13799</v>
      </c>
      <c r="L1524">
        <v>3818</v>
      </c>
    </row>
    <row r="1525" spans="1:12" x14ac:dyDescent="0.35">
      <c r="A1525" s="51">
        <v>44544</v>
      </c>
      <c r="B1525">
        <v>-78903</v>
      </c>
      <c r="C1525">
        <v>-4617</v>
      </c>
      <c r="D1525">
        <v>-13128</v>
      </c>
      <c r="E1525">
        <v>-8336</v>
      </c>
      <c r="F1525">
        <v>-11879</v>
      </c>
      <c r="G1525">
        <v>-50748</v>
      </c>
      <c r="H1525">
        <v>-53523</v>
      </c>
      <c r="I1525">
        <v>-10673</v>
      </c>
      <c r="J1525">
        <v>-5861</v>
      </c>
      <c r="K1525">
        <v>16524</v>
      </c>
      <c r="L1525">
        <v>-187</v>
      </c>
    </row>
    <row r="1526" spans="1:12" x14ac:dyDescent="0.35">
      <c r="A1526" s="51">
        <v>44551</v>
      </c>
      <c r="B1526">
        <v>-80354</v>
      </c>
      <c r="C1526">
        <v>-6547</v>
      </c>
      <c r="D1526">
        <v>-9877</v>
      </c>
      <c r="E1526">
        <v>-9227</v>
      </c>
      <c r="F1526">
        <v>-10162</v>
      </c>
      <c r="G1526">
        <v>-57686</v>
      </c>
      <c r="H1526">
        <v>-52286</v>
      </c>
      <c r="I1526">
        <v>-4792</v>
      </c>
      <c r="J1526">
        <v>-6136</v>
      </c>
      <c r="K1526">
        <v>8621</v>
      </c>
      <c r="L1526">
        <v>-440</v>
      </c>
    </row>
    <row r="1527" spans="1:12" x14ac:dyDescent="0.35">
      <c r="A1527" s="51">
        <v>44558</v>
      </c>
      <c r="B1527">
        <v>-81741</v>
      </c>
      <c r="C1527">
        <v>-5286</v>
      </c>
      <c r="D1527">
        <v>-10334</v>
      </c>
      <c r="E1527">
        <v>-10718</v>
      </c>
      <c r="F1527">
        <v>-6634</v>
      </c>
      <c r="G1527">
        <v>-50719</v>
      </c>
      <c r="H1527">
        <v>-53102</v>
      </c>
      <c r="I1527">
        <v>-9008</v>
      </c>
      <c r="J1527">
        <v>-8421</v>
      </c>
      <c r="K1527">
        <v>8464</v>
      </c>
      <c r="L1527">
        <v>8</v>
      </c>
    </row>
    <row r="1528" spans="1:12" x14ac:dyDescent="0.35">
      <c r="A1528" s="51">
        <v>44565</v>
      </c>
      <c r="B1528">
        <v>-89366</v>
      </c>
      <c r="C1528">
        <v>-1076</v>
      </c>
      <c r="D1528">
        <v>-11025</v>
      </c>
      <c r="E1528">
        <v>-9529</v>
      </c>
      <c r="F1528">
        <v>-11458</v>
      </c>
      <c r="G1528">
        <v>-39171</v>
      </c>
      <c r="H1528">
        <v>-62262</v>
      </c>
      <c r="I1528">
        <v>-9490</v>
      </c>
      <c r="J1528">
        <v>-8845</v>
      </c>
      <c r="K1528">
        <v>7329</v>
      </c>
      <c r="L1528">
        <v>193</v>
      </c>
    </row>
    <row r="1529" spans="1:12" x14ac:dyDescent="0.35">
      <c r="A1529" s="51">
        <v>44572</v>
      </c>
      <c r="B1529">
        <v>-91486</v>
      </c>
      <c r="C1529">
        <v>-10812</v>
      </c>
      <c r="D1529">
        <v>-7376</v>
      </c>
      <c r="E1529">
        <v>-7660</v>
      </c>
      <c r="F1529">
        <v>-4805</v>
      </c>
      <c r="G1529">
        <v>-29166</v>
      </c>
      <c r="H1529">
        <v>-87525</v>
      </c>
      <c r="I1529">
        <v>-4451</v>
      </c>
      <c r="J1529">
        <v>-8604</v>
      </c>
      <c r="K1529">
        <v>9617</v>
      </c>
      <c r="L1529">
        <v>1761</v>
      </c>
    </row>
    <row r="1530" spans="1:12" x14ac:dyDescent="0.35">
      <c r="A1530" s="51">
        <v>44579</v>
      </c>
      <c r="B1530">
        <v>-88454</v>
      </c>
      <c r="C1530">
        <v>-11369</v>
      </c>
      <c r="D1530">
        <v>7492</v>
      </c>
      <c r="E1530">
        <v>-10810</v>
      </c>
      <c r="F1530">
        <v>15640</v>
      </c>
      <c r="G1530">
        <v>-247</v>
      </c>
      <c r="H1530">
        <v>-80879</v>
      </c>
      <c r="I1530">
        <v>4920</v>
      </c>
      <c r="J1530">
        <v>-8331</v>
      </c>
      <c r="K1530">
        <v>6422</v>
      </c>
      <c r="L1530">
        <v>1853</v>
      </c>
    </row>
    <row r="1531" spans="1:12" x14ac:dyDescent="0.35">
      <c r="A1531" s="51">
        <v>44586</v>
      </c>
      <c r="B1531">
        <v>-83273</v>
      </c>
      <c r="C1531">
        <v>-12616</v>
      </c>
      <c r="D1531">
        <v>12317</v>
      </c>
      <c r="E1531">
        <v>-8796</v>
      </c>
      <c r="F1531">
        <v>32140</v>
      </c>
      <c r="G1531">
        <v>-7763</v>
      </c>
      <c r="H1531">
        <v>-68273</v>
      </c>
      <c r="I1531">
        <v>-790</v>
      </c>
      <c r="J1531">
        <v>-10773</v>
      </c>
      <c r="K1531">
        <v>3944</v>
      </c>
      <c r="L1531">
        <v>2183</v>
      </c>
    </row>
    <row r="1532" spans="1:12" x14ac:dyDescent="0.35">
      <c r="A1532" s="51">
        <v>44593</v>
      </c>
      <c r="B1532">
        <v>-79829</v>
      </c>
      <c r="C1532">
        <v>-13353</v>
      </c>
      <c r="D1532">
        <v>18264</v>
      </c>
      <c r="E1532">
        <v>-8239</v>
      </c>
      <c r="F1532">
        <v>22937</v>
      </c>
      <c r="G1532">
        <v>-23605</v>
      </c>
      <c r="H1532">
        <v>-60640</v>
      </c>
      <c r="I1532">
        <v>730</v>
      </c>
      <c r="J1532">
        <v>-11698</v>
      </c>
      <c r="K1532">
        <v>14151</v>
      </c>
      <c r="L1532">
        <v>2820</v>
      </c>
    </row>
    <row r="1533" spans="1:12" x14ac:dyDescent="0.35">
      <c r="A1533" s="51">
        <v>44600</v>
      </c>
      <c r="B1533">
        <v>-85741</v>
      </c>
      <c r="C1533">
        <v>20246</v>
      </c>
      <c r="D1533">
        <v>14886</v>
      </c>
      <c r="E1533">
        <v>-9399</v>
      </c>
      <c r="F1533">
        <v>29133</v>
      </c>
      <c r="G1533">
        <v>-8545</v>
      </c>
      <c r="H1533">
        <v>-59148</v>
      </c>
      <c r="I1533">
        <v>1244</v>
      </c>
      <c r="J1533">
        <v>-10366</v>
      </c>
      <c r="K1533">
        <v>15443</v>
      </c>
      <c r="L1533">
        <v>3299</v>
      </c>
    </row>
    <row r="1534" spans="1:12" x14ac:dyDescent="0.35">
      <c r="A1534" s="51">
        <v>44607</v>
      </c>
      <c r="B1534">
        <v>-86694</v>
      </c>
      <c r="C1534">
        <v>23760</v>
      </c>
      <c r="D1534">
        <v>12170</v>
      </c>
      <c r="E1534">
        <v>-9715</v>
      </c>
      <c r="F1534">
        <v>37831</v>
      </c>
      <c r="G1534">
        <v>2237</v>
      </c>
      <c r="H1534">
        <v>-66162</v>
      </c>
      <c r="I1534">
        <v>8974</v>
      </c>
      <c r="J1534">
        <v>-9333</v>
      </c>
      <c r="K1534">
        <v>16164</v>
      </c>
      <c r="L1534">
        <v>2798</v>
      </c>
    </row>
    <row r="1535" spans="1:12" x14ac:dyDescent="0.35">
      <c r="A1535" s="51">
        <v>44614</v>
      </c>
      <c r="B1535">
        <v>-84080</v>
      </c>
      <c r="C1535">
        <v>24445</v>
      </c>
      <c r="D1535">
        <v>9253</v>
      </c>
      <c r="E1535">
        <v>-10987</v>
      </c>
      <c r="F1535">
        <v>49291</v>
      </c>
      <c r="G1535">
        <v>-5809</v>
      </c>
      <c r="H1535">
        <v>-63187</v>
      </c>
      <c r="I1535">
        <v>16825</v>
      </c>
      <c r="J1535">
        <v>-11551</v>
      </c>
      <c r="K1535">
        <v>19517</v>
      </c>
      <c r="L1535">
        <v>1742</v>
      </c>
    </row>
    <row r="1536" spans="1:12" x14ac:dyDescent="0.35">
      <c r="A1536" s="51">
        <v>44621</v>
      </c>
      <c r="B1536">
        <v>-78336</v>
      </c>
      <c r="C1536">
        <v>50448</v>
      </c>
      <c r="D1536">
        <v>14140</v>
      </c>
      <c r="E1536">
        <v>-15248</v>
      </c>
      <c r="F1536">
        <v>57286</v>
      </c>
      <c r="G1536">
        <v>-337</v>
      </c>
      <c r="H1536">
        <v>-68732</v>
      </c>
      <c r="I1536">
        <v>42378</v>
      </c>
      <c r="J1536">
        <v>-14172</v>
      </c>
      <c r="K1536">
        <v>9674</v>
      </c>
      <c r="L1536">
        <v>2376</v>
      </c>
    </row>
    <row r="1537" spans="1:12" x14ac:dyDescent="0.35">
      <c r="A1537" s="51">
        <v>44628</v>
      </c>
      <c r="B1537">
        <v>-78195</v>
      </c>
      <c r="C1537">
        <v>50496</v>
      </c>
      <c r="D1537">
        <v>7646</v>
      </c>
      <c r="E1537">
        <v>-9710</v>
      </c>
      <c r="F1537">
        <v>51725</v>
      </c>
      <c r="G1537">
        <v>-12526</v>
      </c>
      <c r="H1537">
        <v>-55856</v>
      </c>
      <c r="I1537">
        <v>53017</v>
      </c>
      <c r="J1537">
        <v>-12379</v>
      </c>
      <c r="K1537">
        <v>7806</v>
      </c>
      <c r="L1537">
        <v>-239</v>
      </c>
    </row>
    <row r="1538" spans="1:12" x14ac:dyDescent="0.35">
      <c r="A1538" s="51">
        <v>44635</v>
      </c>
      <c r="B1538">
        <v>-44856</v>
      </c>
      <c r="C1538">
        <v>44163</v>
      </c>
      <c r="D1538">
        <v>17740</v>
      </c>
      <c r="E1538">
        <v>-5229</v>
      </c>
      <c r="F1538">
        <v>8555</v>
      </c>
      <c r="G1538">
        <v>-29061</v>
      </c>
      <c r="H1538">
        <v>-62340</v>
      </c>
      <c r="I1538">
        <v>-10576</v>
      </c>
      <c r="J1538">
        <v>3653</v>
      </c>
      <c r="K1538">
        <v>7543</v>
      </c>
      <c r="L1538">
        <v>13402</v>
      </c>
    </row>
    <row r="1539" spans="1:12" x14ac:dyDescent="0.35">
      <c r="A1539" s="51">
        <v>44642</v>
      </c>
      <c r="B1539">
        <v>-51189</v>
      </c>
      <c r="C1539">
        <v>41564</v>
      </c>
      <c r="D1539">
        <v>-4940</v>
      </c>
      <c r="E1539">
        <v>-8424</v>
      </c>
      <c r="F1539">
        <v>21349</v>
      </c>
      <c r="G1539">
        <v>-37244</v>
      </c>
      <c r="H1539">
        <v>-78482</v>
      </c>
      <c r="I1539">
        <v>-18051</v>
      </c>
      <c r="J1539">
        <v>2520</v>
      </c>
      <c r="L1539">
        <v>13113</v>
      </c>
    </row>
    <row r="1540" spans="1:12" x14ac:dyDescent="0.35">
      <c r="A1540" s="51">
        <v>44649</v>
      </c>
      <c r="B1540">
        <v>-49606</v>
      </c>
      <c r="C1540">
        <v>42616</v>
      </c>
      <c r="D1540">
        <v>-1535</v>
      </c>
      <c r="E1540">
        <v>-11579</v>
      </c>
      <c r="F1540">
        <v>19060</v>
      </c>
      <c r="G1540">
        <v>-40070</v>
      </c>
      <c r="H1540">
        <v>-102131</v>
      </c>
      <c r="I1540">
        <v>-8247</v>
      </c>
      <c r="J1540">
        <v>-867</v>
      </c>
      <c r="L1540">
        <v>13682</v>
      </c>
    </row>
    <row r="1541" spans="1:12" x14ac:dyDescent="0.35">
      <c r="A1541" s="51">
        <v>44656</v>
      </c>
      <c r="B1541">
        <v>-37513</v>
      </c>
      <c r="C1541">
        <v>45526</v>
      </c>
      <c r="D1541">
        <v>6923</v>
      </c>
      <c r="E1541">
        <v>-12393</v>
      </c>
      <c r="F1541">
        <v>18056</v>
      </c>
      <c r="G1541">
        <v>-41758</v>
      </c>
      <c r="H1541">
        <v>-103829</v>
      </c>
      <c r="I1541">
        <v>910</v>
      </c>
      <c r="J1541">
        <v>-1569</v>
      </c>
      <c r="L1541">
        <v>13737</v>
      </c>
    </row>
    <row r="1542" spans="1:12" x14ac:dyDescent="0.35">
      <c r="A1542" s="51">
        <v>44663</v>
      </c>
      <c r="B1542">
        <v>-28715</v>
      </c>
      <c r="C1542">
        <v>46129</v>
      </c>
      <c r="D1542">
        <v>12158</v>
      </c>
      <c r="E1542">
        <v>-13942</v>
      </c>
      <c r="F1542">
        <v>29821</v>
      </c>
      <c r="G1542">
        <v>-53054</v>
      </c>
      <c r="H1542">
        <v>-111827</v>
      </c>
      <c r="I1542">
        <v>14960</v>
      </c>
      <c r="J1542">
        <v>-289</v>
      </c>
      <c r="L1542">
        <v>14344</v>
      </c>
    </row>
    <row r="1543" spans="1:12" x14ac:dyDescent="0.35">
      <c r="A1543" s="51">
        <v>44670</v>
      </c>
      <c r="B1543">
        <v>-28837</v>
      </c>
      <c r="C1543">
        <v>44572</v>
      </c>
      <c r="D1543">
        <v>21226</v>
      </c>
      <c r="E1543">
        <v>-11450</v>
      </c>
      <c r="F1543">
        <v>22216</v>
      </c>
      <c r="G1543">
        <v>-58914</v>
      </c>
      <c r="H1543">
        <v>-107187</v>
      </c>
      <c r="I1543">
        <v>21664</v>
      </c>
      <c r="J1543">
        <v>365</v>
      </c>
      <c r="L1543">
        <v>15526</v>
      </c>
    </row>
    <row r="1544" spans="1:12" x14ac:dyDescent="0.35">
      <c r="A1544" s="51">
        <v>44677</v>
      </c>
      <c r="B1544">
        <v>-27651</v>
      </c>
      <c r="C1544">
        <v>46884</v>
      </c>
      <c r="D1544">
        <v>20881</v>
      </c>
      <c r="E1544">
        <v>-12869</v>
      </c>
      <c r="F1544">
        <v>12403</v>
      </c>
      <c r="G1544">
        <v>-69621</v>
      </c>
      <c r="H1544">
        <v>-95535</v>
      </c>
      <c r="I1544">
        <v>20126</v>
      </c>
      <c r="J1544">
        <v>66</v>
      </c>
      <c r="L1544">
        <v>15493</v>
      </c>
    </row>
    <row r="1545" spans="1:12" x14ac:dyDescent="0.35">
      <c r="A1545" s="51">
        <v>44684</v>
      </c>
      <c r="B1545">
        <v>-28516</v>
      </c>
      <c r="C1545">
        <v>41788</v>
      </c>
      <c r="D1545">
        <v>9029</v>
      </c>
      <c r="E1545">
        <v>-13907</v>
      </c>
      <c r="F1545">
        <v>-14637</v>
      </c>
      <c r="G1545">
        <v>-73813</v>
      </c>
      <c r="H1545">
        <v>-100794</v>
      </c>
      <c r="I1545">
        <v>14623</v>
      </c>
      <c r="J1545">
        <v>-6610</v>
      </c>
      <c r="L1545">
        <v>15338</v>
      </c>
    </row>
    <row r="1546" spans="1:12" x14ac:dyDescent="0.35">
      <c r="A1546" s="51">
        <v>44691</v>
      </c>
      <c r="B1546">
        <v>-41714</v>
      </c>
      <c r="C1546">
        <v>40778</v>
      </c>
      <c r="D1546">
        <v>-5407</v>
      </c>
      <c r="E1546">
        <v>-15763</v>
      </c>
      <c r="F1546">
        <v>8687</v>
      </c>
      <c r="G1546">
        <v>-79598</v>
      </c>
      <c r="H1546">
        <v>-110454</v>
      </c>
      <c r="I1546">
        <v>16725</v>
      </c>
      <c r="J1546">
        <v>-12996</v>
      </c>
      <c r="L1546">
        <v>13542</v>
      </c>
    </row>
    <row r="1547" spans="1:12" x14ac:dyDescent="0.35">
      <c r="A1547" s="51">
        <v>44698</v>
      </c>
      <c r="B1547">
        <v>-44642</v>
      </c>
      <c r="C1547">
        <v>38095</v>
      </c>
      <c r="D1547">
        <v>-14496</v>
      </c>
      <c r="E1547">
        <v>-16592</v>
      </c>
      <c r="F1547">
        <v>12181</v>
      </c>
      <c r="G1547">
        <v>-79241</v>
      </c>
      <c r="H1547">
        <v>-102309</v>
      </c>
      <c r="I1547">
        <v>28215</v>
      </c>
      <c r="J1547">
        <v>-17767</v>
      </c>
      <c r="L1547">
        <v>13373</v>
      </c>
    </row>
    <row r="1548" spans="1:12" x14ac:dyDescent="0.35">
      <c r="A1548" s="51">
        <v>44705</v>
      </c>
      <c r="B1548">
        <v>-45446</v>
      </c>
      <c r="C1548">
        <v>38714</v>
      </c>
      <c r="D1548">
        <v>-12687</v>
      </c>
      <c r="E1548">
        <v>-19673</v>
      </c>
      <c r="F1548">
        <v>37827</v>
      </c>
      <c r="G1548">
        <v>-80372</v>
      </c>
      <c r="H1548">
        <v>-99444</v>
      </c>
      <c r="I1548">
        <v>29792</v>
      </c>
      <c r="J1548">
        <v>-19321</v>
      </c>
      <c r="L1548">
        <v>13712</v>
      </c>
    </row>
    <row r="1549" spans="1:12" x14ac:dyDescent="0.35">
      <c r="A1549" s="51">
        <v>44712</v>
      </c>
      <c r="B1549">
        <v>-48682</v>
      </c>
      <c r="C1549">
        <v>45316</v>
      </c>
      <c r="D1549">
        <v>-7007</v>
      </c>
      <c r="E1549">
        <v>-20458</v>
      </c>
      <c r="F1549">
        <v>46523</v>
      </c>
      <c r="G1549">
        <v>-74105</v>
      </c>
      <c r="H1549">
        <v>-94439</v>
      </c>
      <c r="I1549">
        <v>35449</v>
      </c>
      <c r="J1549">
        <v>-18724</v>
      </c>
      <c r="L1549">
        <v>13665</v>
      </c>
    </row>
    <row r="1550" spans="1:12" x14ac:dyDescent="0.35">
      <c r="A1550" s="51">
        <v>44719</v>
      </c>
      <c r="B1550">
        <v>-47896</v>
      </c>
      <c r="C1550">
        <v>46705</v>
      </c>
      <c r="D1550">
        <v>-1062</v>
      </c>
      <c r="E1550">
        <v>-16132</v>
      </c>
      <c r="F1550">
        <v>43597</v>
      </c>
      <c r="G1550">
        <v>-70810</v>
      </c>
      <c r="H1550">
        <v>-91646</v>
      </c>
      <c r="I1550">
        <v>32726</v>
      </c>
      <c r="J1550">
        <v>-19771</v>
      </c>
      <c r="L1550">
        <v>14207</v>
      </c>
    </row>
    <row r="1551" spans="1:12" x14ac:dyDescent="0.35">
      <c r="A1551" s="51">
        <v>44726</v>
      </c>
      <c r="B1551">
        <v>-43254</v>
      </c>
      <c r="C1551">
        <v>47213</v>
      </c>
      <c r="D1551">
        <v>23202</v>
      </c>
      <c r="E1551">
        <v>-6808</v>
      </c>
      <c r="F1551">
        <v>-11147</v>
      </c>
      <c r="G1551">
        <v>-65596</v>
      </c>
      <c r="H1551">
        <v>-69755</v>
      </c>
      <c r="I1551">
        <v>-26381</v>
      </c>
      <c r="J1551">
        <v>-6838</v>
      </c>
      <c r="L1551">
        <v>21795</v>
      </c>
    </row>
    <row r="1552" spans="1:12" x14ac:dyDescent="0.35">
      <c r="A1552" s="51">
        <v>44733</v>
      </c>
      <c r="B1552">
        <v>-40606</v>
      </c>
      <c r="C1552">
        <v>44345</v>
      </c>
      <c r="D1552">
        <v>4105</v>
      </c>
      <c r="E1552">
        <v>-7157</v>
      </c>
      <c r="F1552">
        <v>-15893</v>
      </c>
      <c r="G1552">
        <v>-63247</v>
      </c>
      <c r="H1552">
        <v>-58454</v>
      </c>
      <c r="I1552">
        <v>-26870</v>
      </c>
      <c r="J1552">
        <v>-5423</v>
      </c>
      <c r="L1552">
        <v>22383</v>
      </c>
    </row>
    <row r="1553" spans="1:12" x14ac:dyDescent="0.35">
      <c r="A1553" s="51">
        <v>44740</v>
      </c>
      <c r="B1553">
        <v>-42980</v>
      </c>
      <c r="C1553">
        <v>37028</v>
      </c>
      <c r="D1553">
        <v>9097</v>
      </c>
      <c r="E1553">
        <v>-8591</v>
      </c>
      <c r="F1553">
        <v>-7786</v>
      </c>
      <c r="G1553">
        <v>-53118</v>
      </c>
      <c r="H1553">
        <v>-52570</v>
      </c>
      <c r="I1553">
        <v>-13980</v>
      </c>
      <c r="J1553">
        <v>-5311</v>
      </c>
      <c r="L1553">
        <v>22579</v>
      </c>
    </row>
    <row r="1554" spans="1:12" x14ac:dyDescent="0.35">
      <c r="A1554" s="51">
        <v>44747</v>
      </c>
      <c r="B1554">
        <v>-47621</v>
      </c>
      <c r="C1554">
        <v>16333</v>
      </c>
      <c r="D1554">
        <v>4293</v>
      </c>
      <c r="E1554">
        <v>-10135</v>
      </c>
      <c r="F1554">
        <v>-13810</v>
      </c>
      <c r="G1554">
        <v>-56208</v>
      </c>
      <c r="H1554">
        <v>-54445</v>
      </c>
      <c r="I1554">
        <v>-14418</v>
      </c>
      <c r="J1554">
        <v>-7056</v>
      </c>
      <c r="L1554">
        <v>22713</v>
      </c>
    </row>
    <row r="1555" spans="1:12" x14ac:dyDescent="0.35">
      <c r="A1555" s="51">
        <v>44754</v>
      </c>
      <c r="B1555">
        <v>-41600</v>
      </c>
      <c r="C1555">
        <v>10205</v>
      </c>
      <c r="D1555">
        <v>3505</v>
      </c>
      <c r="E1555">
        <v>-8724</v>
      </c>
      <c r="F1555">
        <v>-21698</v>
      </c>
      <c r="G1555">
        <v>-59089</v>
      </c>
      <c r="H1555">
        <v>-59998</v>
      </c>
      <c r="I1555">
        <v>-23238</v>
      </c>
      <c r="J1555">
        <v>-5283</v>
      </c>
      <c r="L1555">
        <v>13529</v>
      </c>
    </row>
    <row r="1556" spans="1:12" x14ac:dyDescent="0.35">
      <c r="A1556" s="51">
        <v>44761</v>
      </c>
      <c r="B1556">
        <v>-43148</v>
      </c>
      <c r="C1556">
        <v>10475</v>
      </c>
      <c r="D1556">
        <v>6667</v>
      </c>
      <c r="E1556">
        <v>-10912</v>
      </c>
      <c r="F1556">
        <v>-39294</v>
      </c>
      <c r="G1556">
        <v>-57250</v>
      </c>
      <c r="H1556">
        <v>-59225</v>
      </c>
      <c r="I1556">
        <v>-30760</v>
      </c>
      <c r="J1556">
        <v>-3671</v>
      </c>
      <c r="L1556">
        <v>9539</v>
      </c>
    </row>
    <row r="1557" spans="1:12" x14ac:dyDescent="0.35">
      <c r="A1557" s="51">
        <v>44768</v>
      </c>
      <c r="B1557">
        <v>-47385</v>
      </c>
      <c r="C1557">
        <v>11712</v>
      </c>
      <c r="D1557">
        <v>15769</v>
      </c>
      <c r="E1557">
        <v>-11299</v>
      </c>
      <c r="F1557">
        <v>-38092</v>
      </c>
      <c r="G1557">
        <v>-53990</v>
      </c>
      <c r="H1557">
        <v>-61481</v>
      </c>
      <c r="I1557">
        <v>-29898</v>
      </c>
      <c r="J1557">
        <v>-4186</v>
      </c>
      <c r="L1557">
        <v>6649</v>
      </c>
    </row>
    <row r="1558" spans="1:12" x14ac:dyDescent="0.35">
      <c r="A1558" s="51">
        <v>44775</v>
      </c>
      <c r="B1558">
        <v>-55950</v>
      </c>
      <c r="C1558">
        <v>-1130</v>
      </c>
      <c r="D1558">
        <v>20277</v>
      </c>
      <c r="E1558">
        <v>-13308</v>
      </c>
      <c r="F1558">
        <v>-34265</v>
      </c>
      <c r="G1558">
        <v>-56409</v>
      </c>
      <c r="H1558">
        <v>-42753</v>
      </c>
      <c r="I1558">
        <v>-23053</v>
      </c>
      <c r="J1558">
        <v>-1573</v>
      </c>
      <c r="L1558">
        <v>6388</v>
      </c>
    </row>
    <row r="1559" spans="1:12" x14ac:dyDescent="0.35">
      <c r="A1559" s="51">
        <v>44782</v>
      </c>
      <c r="B1559">
        <v>-57588</v>
      </c>
      <c r="C1559">
        <v>1733</v>
      </c>
      <c r="D1559">
        <v>21223</v>
      </c>
      <c r="E1559">
        <v>-9782</v>
      </c>
      <c r="F1559">
        <v>-29628</v>
      </c>
      <c r="G1559">
        <v>-34468</v>
      </c>
      <c r="H1559">
        <v>-25032</v>
      </c>
      <c r="I1559">
        <v>-27621</v>
      </c>
      <c r="J1559">
        <v>-276</v>
      </c>
      <c r="L1559">
        <v>5938</v>
      </c>
    </row>
    <row r="1560" spans="1:12" x14ac:dyDescent="0.35">
      <c r="A1560" s="51">
        <v>44789</v>
      </c>
      <c r="B1560">
        <v>-59248</v>
      </c>
      <c r="C1560">
        <v>6523</v>
      </c>
      <c r="D1560">
        <v>26867</v>
      </c>
      <c r="E1560">
        <v>-5096</v>
      </c>
      <c r="F1560">
        <v>-37541</v>
      </c>
      <c r="G1560">
        <v>-33109</v>
      </c>
      <c r="H1560">
        <v>-28891</v>
      </c>
      <c r="I1560">
        <v>-21371</v>
      </c>
      <c r="J1560">
        <v>1769</v>
      </c>
      <c r="L1560">
        <v>5925</v>
      </c>
    </row>
    <row r="1561" spans="1:12" x14ac:dyDescent="0.35">
      <c r="A1561" s="51">
        <v>44796</v>
      </c>
      <c r="B1561">
        <v>-60028</v>
      </c>
      <c r="C1561">
        <v>6365</v>
      </c>
      <c r="D1561">
        <v>23227</v>
      </c>
      <c r="E1561">
        <v>-2405</v>
      </c>
      <c r="F1561">
        <v>-39086</v>
      </c>
      <c r="G1561">
        <v>-27966</v>
      </c>
      <c r="H1561">
        <v>-38807</v>
      </c>
      <c r="I1561">
        <v>-31316</v>
      </c>
      <c r="J1561">
        <v>-1474</v>
      </c>
      <c r="L1561">
        <v>6885</v>
      </c>
    </row>
    <row r="1562" spans="1:12" x14ac:dyDescent="0.35">
      <c r="A1562" s="51">
        <v>44803</v>
      </c>
      <c r="B1562">
        <v>-57393</v>
      </c>
      <c r="C1562">
        <v>8859</v>
      </c>
      <c r="D1562">
        <v>24179</v>
      </c>
      <c r="E1562">
        <v>-2262</v>
      </c>
      <c r="F1562">
        <v>-45078</v>
      </c>
      <c r="G1562">
        <v>-29170</v>
      </c>
      <c r="H1562">
        <v>-41531</v>
      </c>
      <c r="I1562">
        <v>-29030</v>
      </c>
      <c r="J1562">
        <v>-3124</v>
      </c>
      <c r="L1562">
        <v>6841</v>
      </c>
    </row>
    <row r="1563" spans="1:12" x14ac:dyDescent="0.35">
      <c r="A1563" s="51">
        <v>44810</v>
      </c>
      <c r="B1563">
        <v>-56500</v>
      </c>
      <c r="C1563">
        <v>30860</v>
      </c>
      <c r="D1563">
        <v>17910</v>
      </c>
      <c r="E1563">
        <v>-4037</v>
      </c>
      <c r="F1563">
        <v>-33996</v>
      </c>
      <c r="G1563">
        <v>-50432</v>
      </c>
      <c r="H1563">
        <v>-58189</v>
      </c>
      <c r="I1563">
        <v>-29460</v>
      </c>
      <c r="J1563">
        <v>-2746</v>
      </c>
      <c r="L1563">
        <v>7115</v>
      </c>
    </row>
    <row r="1564" spans="1:12" x14ac:dyDescent="0.35">
      <c r="A1564" s="51">
        <v>44817</v>
      </c>
      <c r="B1564">
        <v>-57850</v>
      </c>
      <c r="C1564">
        <v>32953</v>
      </c>
      <c r="D1564">
        <v>12425</v>
      </c>
      <c r="E1564">
        <v>-7305</v>
      </c>
      <c r="F1564">
        <v>-9811</v>
      </c>
      <c r="G1564">
        <v>-68086</v>
      </c>
      <c r="H1564">
        <v>-80692</v>
      </c>
      <c r="I1564">
        <v>-25381</v>
      </c>
      <c r="J1564">
        <v>-5301</v>
      </c>
      <c r="L1564">
        <v>6634</v>
      </c>
    </row>
    <row r="1565" spans="1:12" x14ac:dyDescent="0.35">
      <c r="A1565" s="51">
        <v>44824</v>
      </c>
      <c r="B1565">
        <v>-40556</v>
      </c>
      <c r="C1565">
        <v>32369</v>
      </c>
      <c r="D1565">
        <v>2056</v>
      </c>
      <c r="E1565">
        <v>-6740</v>
      </c>
      <c r="F1565">
        <v>37552</v>
      </c>
      <c r="G1565">
        <v>-54843</v>
      </c>
      <c r="H1565">
        <v>-81280</v>
      </c>
      <c r="I1565">
        <v>-28033</v>
      </c>
      <c r="J1565">
        <v>-12589</v>
      </c>
      <c r="L1565">
        <v>5220</v>
      </c>
    </row>
    <row r="1566" spans="1:12" x14ac:dyDescent="0.35">
      <c r="A1566" s="51">
        <v>44831</v>
      </c>
      <c r="B1566">
        <v>-34653</v>
      </c>
      <c r="C1566">
        <v>33764</v>
      </c>
      <c r="D1566">
        <v>-17666</v>
      </c>
      <c r="E1566">
        <v>-5730</v>
      </c>
      <c r="F1566">
        <v>38004</v>
      </c>
      <c r="G1566">
        <v>-46424</v>
      </c>
      <c r="H1566">
        <v>-82556</v>
      </c>
      <c r="I1566">
        <v>-41322</v>
      </c>
      <c r="J1566">
        <v>-11471</v>
      </c>
      <c r="L1566">
        <v>4096</v>
      </c>
    </row>
    <row r="1567" spans="1:12" x14ac:dyDescent="0.35">
      <c r="A1567" s="51">
        <v>44838</v>
      </c>
      <c r="B1567">
        <v>-27764</v>
      </c>
      <c r="C1567">
        <v>25779</v>
      </c>
      <c r="D1567">
        <v>-21407</v>
      </c>
      <c r="E1567">
        <v>-6852</v>
      </c>
      <c r="F1567">
        <v>48665</v>
      </c>
      <c r="G1567">
        <v>-49539</v>
      </c>
      <c r="H1567">
        <v>-81623</v>
      </c>
      <c r="I1567">
        <v>-37321</v>
      </c>
      <c r="J1567">
        <v>-13978</v>
      </c>
      <c r="L1567">
        <v>4286</v>
      </c>
    </row>
    <row r="1568" spans="1:12" x14ac:dyDescent="0.35">
      <c r="A1568" s="51">
        <v>44845</v>
      </c>
      <c r="B1568">
        <v>-31271</v>
      </c>
      <c r="C1568">
        <v>26075</v>
      </c>
      <c r="D1568">
        <v>-25672</v>
      </c>
      <c r="E1568">
        <v>-5890</v>
      </c>
      <c r="F1568">
        <v>41627</v>
      </c>
      <c r="G1568">
        <v>-39170</v>
      </c>
      <c r="H1568">
        <v>-77393</v>
      </c>
      <c r="I1568">
        <v>-33654</v>
      </c>
      <c r="J1568">
        <v>-19042</v>
      </c>
      <c r="L1568">
        <v>4366</v>
      </c>
    </row>
    <row r="1569" spans="1:12" x14ac:dyDescent="0.35">
      <c r="A1569" s="51">
        <v>44852</v>
      </c>
      <c r="B1569">
        <v>-35359</v>
      </c>
      <c r="C1569">
        <v>26498</v>
      </c>
      <c r="D1569">
        <v>-20573</v>
      </c>
      <c r="E1569">
        <v>-7086</v>
      </c>
      <c r="F1569">
        <v>52406</v>
      </c>
      <c r="G1569">
        <v>-51211</v>
      </c>
      <c r="H1569">
        <v>-94336</v>
      </c>
      <c r="I1569">
        <v>-22294</v>
      </c>
      <c r="J1569">
        <v>-18445</v>
      </c>
      <c r="L1569">
        <v>4210</v>
      </c>
    </row>
    <row r="1570" spans="1:12" x14ac:dyDescent="0.35">
      <c r="A1570" s="51">
        <v>44859</v>
      </c>
      <c r="B1570">
        <v>-51446</v>
      </c>
      <c r="C1570">
        <v>29179</v>
      </c>
      <c r="D1570">
        <v>-18155</v>
      </c>
      <c r="E1570">
        <v>-11300</v>
      </c>
      <c r="F1570">
        <v>79653</v>
      </c>
      <c r="G1570">
        <v>-47805</v>
      </c>
      <c r="H1570">
        <v>-102618</v>
      </c>
      <c r="I1570">
        <v>12574</v>
      </c>
      <c r="J1570">
        <v>-12884</v>
      </c>
      <c r="L1570">
        <v>2677</v>
      </c>
    </row>
    <row r="1571" spans="1:12" x14ac:dyDescent="0.35">
      <c r="A1571" s="51">
        <v>44866</v>
      </c>
      <c r="B1571">
        <v>-50532</v>
      </c>
      <c r="C1571">
        <v>29157</v>
      </c>
      <c r="D1571">
        <v>-17649</v>
      </c>
      <c r="E1571">
        <v>-14784</v>
      </c>
      <c r="F1571">
        <v>110312</v>
      </c>
      <c r="G1571">
        <v>-44836</v>
      </c>
      <c r="H1571">
        <v>-77620</v>
      </c>
      <c r="I1571">
        <v>44045</v>
      </c>
      <c r="J1571">
        <v>-3847</v>
      </c>
      <c r="L1571">
        <v>-125</v>
      </c>
    </row>
    <row r="1572" spans="1:12" x14ac:dyDescent="0.35">
      <c r="A1572" s="51">
        <v>44873</v>
      </c>
      <c r="B1572">
        <v>-46683</v>
      </c>
      <c r="C1572">
        <v>4501</v>
      </c>
      <c r="D1572">
        <v>-18464</v>
      </c>
      <c r="E1572">
        <v>-17154</v>
      </c>
      <c r="F1572">
        <v>112207</v>
      </c>
      <c r="G1572">
        <v>-39735</v>
      </c>
      <c r="H1572">
        <v>-75258</v>
      </c>
      <c r="I1572">
        <v>59614</v>
      </c>
      <c r="J1572">
        <v>-6367</v>
      </c>
      <c r="L1572">
        <v>-1028</v>
      </c>
    </row>
    <row r="1573" spans="1:12" x14ac:dyDescent="0.35">
      <c r="A1573" s="51">
        <v>44880</v>
      </c>
      <c r="B1573">
        <v>-44749</v>
      </c>
      <c r="C1573">
        <v>9018</v>
      </c>
      <c r="D1573">
        <v>-12920</v>
      </c>
      <c r="E1573">
        <v>-16827</v>
      </c>
      <c r="F1573">
        <v>117154</v>
      </c>
      <c r="G1573">
        <v>-32834</v>
      </c>
      <c r="H1573">
        <v>-65842</v>
      </c>
      <c r="I1573">
        <v>67851</v>
      </c>
      <c r="J1573">
        <v>-6628</v>
      </c>
      <c r="L1573">
        <v>-938</v>
      </c>
    </row>
    <row r="1574" spans="1:12" x14ac:dyDescent="0.35">
      <c r="A1574" s="51">
        <v>44887</v>
      </c>
      <c r="B1574">
        <v>-42786</v>
      </c>
      <c r="C1574">
        <v>8736</v>
      </c>
      <c r="D1574">
        <v>-11672</v>
      </c>
      <c r="E1574">
        <v>-14476</v>
      </c>
      <c r="F1574">
        <v>127908</v>
      </c>
      <c r="G1574">
        <v>-35942</v>
      </c>
      <c r="H1574">
        <v>-64850</v>
      </c>
      <c r="I1574">
        <v>63319</v>
      </c>
      <c r="J1574">
        <v>-4284</v>
      </c>
      <c r="L1574">
        <v>-1122</v>
      </c>
    </row>
    <row r="1575" spans="1:12" x14ac:dyDescent="0.35">
      <c r="A1575" s="51">
        <v>44894</v>
      </c>
      <c r="B1575">
        <v>-44630</v>
      </c>
      <c r="C1575">
        <v>7637</v>
      </c>
      <c r="D1575">
        <v>-16116</v>
      </c>
      <c r="E1575">
        <v>-14247</v>
      </c>
      <c r="F1575">
        <v>126518</v>
      </c>
      <c r="G1575">
        <v>-36584</v>
      </c>
      <c r="H1575">
        <v>-67394</v>
      </c>
      <c r="I1575">
        <v>66086</v>
      </c>
      <c r="J1575">
        <v>-5054</v>
      </c>
      <c r="L1575">
        <v>-1015</v>
      </c>
    </row>
    <row r="1576" spans="1:12" x14ac:dyDescent="0.35">
      <c r="A1576" s="51">
        <v>44901</v>
      </c>
      <c r="B1576">
        <v>-40563</v>
      </c>
      <c r="C1576">
        <v>2198</v>
      </c>
      <c r="D1576">
        <v>-22090</v>
      </c>
      <c r="E1576">
        <v>-12230</v>
      </c>
      <c r="F1576">
        <v>130473</v>
      </c>
      <c r="G1576">
        <v>-28193</v>
      </c>
      <c r="H1576">
        <v>-65996</v>
      </c>
      <c r="I1576">
        <v>47952</v>
      </c>
      <c r="J1576">
        <v>-6498</v>
      </c>
      <c r="L1576">
        <v>-480</v>
      </c>
    </row>
    <row r="1577" spans="1:12" x14ac:dyDescent="0.35">
      <c r="A1577" s="51">
        <v>44908</v>
      </c>
      <c r="B1577">
        <v>-37837</v>
      </c>
      <c r="C1577">
        <v>3459</v>
      </c>
      <c r="D1577">
        <v>-27248</v>
      </c>
      <c r="E1577">
        <v>-11811</v>
      </c>
      <c r="F1577">
        <v>129786</v>
      </c>
      <c r="G1577">
        <v>-25739</v>
      </c>
      <c r="H1577">
        <v>-53188</v>
      </c>
      <c r="I1577">
        <v>44364</v>
      </c>
      <c r="J1577">
        <v>-7506</v>
      </c>
      <c r="L1577">
        <v>1105</v>
      </c>
    </row>
    <row r="1578" spans="1:12" x14ac:dyDescent="0.35">
      <c r="A1578" s="51">
        <v>44915</v>
      </c>
      <c r="B1578">
        <v>-34115</v>
      </c>
      <c r="C1578">
        <v>2236</v>
      </c>
      <c r="D1578">
        <v>-26961</v>
      </c>
      <c r="E1578">
        <v>-4064</v>
      </c>
      <c r="F1578">
        <v>138829</v>
      </c>
      <c r="G1578">
        <v>-5603</v>
      </c>
      <c r="H1578">
        <v>-40881</v>
      </c>
      <c r="I1578">
        <v>-55096</v>
      </c>
      <c r="J1578">
        <v>6334</v>
      </c>
      <c r="L1578">
        <v>1434</v>
      </c>
    </row>
    <row r="1579" spans="1:12" x14ac:dyDescent="0.35">
      <c r="A1579" s="51">
        <v>44922</v>
      </c>
      <c r="B1579">
        <v>-36791</v>
      </c>
      <c r="C1579">
        <v>7415</v>
      </c>
      <c r="D1579">
        <v>-30033</v>
      </c>
      <c r="E1579">
        <v>-4131</v>
      </c>
      <c r="F1579">
        <v>142405</v>
      </c>
      <c r="G1579">
        <v>-10887</v>
      </c>
      <c r="H1579">
        <v>-37730</v>
      </c>
      <c r="I1579">
        <v>-51726</v>
      </c>
      <c r="J1579">
        <v>6907</v>
      </c>
      <c r="L1579">
        <v>1061</v>
      </c>
    </row>
    <row r="1580" spans="1:12" x14ac:dyDescent="0.35">
      <c r="A1580" s="51">
        <v>44929</v>
      </c>
      <c r="B1580">
        <v>-36267</v>
      </c>
      <c r="C1580">
        <v>28211</v>
      </c>
      <c r="D1580">
        <v>-26766</v>
      </c>
      <c r="E1580">
        <v>-2854</v>
      </c>
      <c r="F1580">
        <v>126751</v>
      </c>
      <c r="G1580">
        <v>-20301</v>
      </c>
      <c r="H1580">
        <v>-46864</v>
      </c>
      <c r="I1580">
        <v>-56376</v>
      </c>
      <c r="J1580">
        <v>7480</v>
      </c>
      <c r="L1580">
        <v>762</v>
      </c>
    </row>
    <row r="1581" spans="1:12" x14ac:dyDescent="0.35">
      <c r="A1581" s="51">
        <v>44936</v>
      </c>
      <c r="B1581">
        <v>-33690</v>
      </c>
      <c r="C1581">
        <v>21701</v>
      </c>
      <c r="D1581">
        <v>-30955</v>
      </c>
      <c r="E1581">
        <v>-7370</v>
      </c>
      <c r="F1581">
        <v>131884</v>
      </c>
      <c r="G1581">
        <v>-29456</v>
      </c>
      <c r="H1581">
        <v>-35377</v>
      </c>
      <c r="I1581">
        <v>-53381</v>
      </c>
      <c r="J1581">
        <v>7350</v>
      </c>
      <c r="L1581">
        <v>2191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C1:I17"/>
  <sheetViews>
    <sheetView zoomScale="150" zoomScaleNormal="150" workbookViewId="0">
      <selection activeCell="M12" sqref="M12"/>
    </sheetView>
  </sheetViews>
  <sheetFormatPr defaultColWidth="9.1796875" defaultRowHeight="14.5" x14ac:dyDescent="0.35"/>
  <cols>
    <col min="1" max="2" width="9.1796875" style="49" customWidth="1"/>
    <col min="3" max="3" width="19.453125" style="49" customWidth="1"/>
    <col min="4" max="9" width="15.36328125" style="49" customWidth="1"/>
    <col min="10" max="21" width="9.1796875" style="49" customWidth="1"/>
    <col min="22" max="16384" width="9.1796875" style="49"/>
  </cols>
  <sheetData>
    <row r="1" spans="3:9" ht="16" customHeight="1" thickBot="1" x14ac:dyDescent="0.4">
      <c r="C1" s="24" t="s">
        <v>940</v>
      </c>
      <c r="D1" s="43">
        <v>44936</v>
      </c>
    </row>
    <row r="2" spans="3:9" x14ac:dyDescent="0.35">
      <c r="C2" s="46"/>
      <c r="D2" s="47"/>
    </row>
    <row r="4" spans="3:9" ht="16" customHeight="1" thickBot="1" x14ac:dyDescent="0.4"/>
    <row r="5" spans="3:9" ht="17" customHeight="1" thickBot="1" x14ac:dyDescent="0.4">
      <c r="C5" s="7"/>
      <c r="D5" s="10" t="s">
        <v>7</v>
      </c>
      <c r="E5" s="11" t="s">
        <v>8</v>
      </c>
      <c r="F5" s="12" t="s">
        <v>9</v>
      </c>
      <c r="G5" s="13" t="s">
        <v>10</v>
      </c>
      <c r="H5" s="14" t="s">
        <v>11</v>
      </c>
      <c r="I5" s="15" t="s">
        <v>12</v>
      </c>
    </row>
    <row r="6" spans="3:9" x14ac:dyDescent="0.35">
      <c r="C6" s="16" t="s">
        <v>15</v>
      </c>
      <c r="D6" s="36"/>
      <c r="E6" s="2"/>
      <c r="F6" s="37"/>
      <c r="G6" s="3"/>
      <c r="H6" s="2"/>
      <c r="I6" s="4"/>
    </row>
    <row r="7" spans="3:9" ht="28.5" customHeight="1" x14ac:dyDescent="0.35">
      <c r="C7" s="8" t="s">
        <v>17</v>
      </c>
      <c r="D7" s="38">
        <f>VLOOKUP($D$1,Database!$A:$V,MATCH(C7,Database!$A$1:$V$1,),)</f>
        <v>131884</v>
      </c>
      <c r="E7" s="48">
        <f ca="1">VLOOKUP(OFFSET(Database!$A$1,MATCH($D$1,Database!$A:$A)-2,0),Database!$A:$V,MATCH(C7,Database!$A$1:$V$1,),)</f>
        <v>126751</v>
      </c>
      <c r="F7" s="44">
        <f t="shared" ref="F7:F17" ca="1" si="0">D7-E7</f>
        <v>5133</v>
      </c>
      <c r="G7" s="38">
        <f ca="1">MIN(OFFSET(Database!$A$1,MATCH($D$1,Database!$A:$A)-1,MATCH(C7,Database!$A$1:$V$1)-1,-12))</f>
        <v>79653</v>
      </c>
      <c r="H7" s="48">
        <f ca="1">MAX(OFFSET(Database!$A$1,MATCH($D$1,Database!$A:$A)-1,MATCH(C7,Database!$A$1:$V$1)-1,-12))</f>
        <v>142405</v>
      </c>
      <c r="I7" s="5">
        <f t="shared" ref="I7:I17" ca="1" si="1">(ABS(D7-G7))/(H7-G7)</f>
        <v>0.83234000509943906</v>
      </c>
    </row>
    <row r="8" spans="3:9" ht="28.5" customHeight="1" x14ac:dyDescent="0.35">
      <c r="C8" s="8" t="s">
        <v>19</v>
      </c>
      <c r="D8" s="38">
        <f>VLOOKUP($D$1,Database!$A:$V,MATCH(C8,Database!$A$1:$V$1,),)</f>
        <v>-30955</v>
      </c>
      <c r="E8" s="48">
        <f ca="1">VLOOKUP(OFFSET(Database!$A$1,MATCH($D$1,Database!$A:$A)-2,0),Database!$A:$V,MATCH(C8,Database!$A$1:$V$1,),)</f>
        <v>-26766</v>
      </c>
      <c r="F8" s="44">
        <f t="shared" ca="1" si="0"/>
        <v>-4189</v>
      </c>
      <c r="G8" s="38">
        <f ca="1">MIN(OFFSET(Database!$A$1,MATCH($D$1,Database!$A:$A)-1,MATCH(C8,Database!$A$1:$V$1)-1,-12))</f>
        <v>-30955</v>
      </c>
      <c r="H8" s="48">
        <f ca="1">MAX(OFFSET(Database!$A$1,MATCH($D$1,Database!$A:$A)-1,MATCH(C8,Database!$A$1:$V$1)-1,-12))</f>
        <v>-11672</v>
      </c>
      <c r="I8" s="5">
        <f t="shared" ca="1" si="1"/>
        <v>0</v>
      </c>
    </row>
    <row r="9" spans="3:9" ht="28.5" customHeight="1" x14ac:dyDescent="0.35">
      <c r="C9" s="8" t="s">
        <v>21</v>
      </c>
      <c r="D9" s="38">
        <f>VLOOKUP($D$1,Database!$A:$V,MATCH(C9,Database!$A$1:$V$1,),)</f>
        <v>-53381</v>
      </c>
      <c r="E9" s="48">
        <f ca="1">VLOOKUP(OFFSET(Database!$A$1,MATCH($D$1,Database!$A:$A)-2,0),Database!$A:$V,MATCH(C9,Database!$A$1:$V$1,),)</f>
        <v>-56376</v>
      </c>
      <c r="F9" s="44">
        <f t="shared" ca="1" si="0"/>
        <v>2995</v>
      </c>
      <c r="G9" s="38">
        <f ca="1">MIN(OFFSET(Database!$A$1,MATCH($D$1,Database!$A:$A)-1,MATCH(C9,Database!$A$1:$V$1)-1,-12))</f>
        <v>-56376</v>
      </c>
      <c r="H9" s="48">
        <f ca="1">MAX(OFFSET(Database!$A$1,MATCH($D$1,Database!$A:$A)-1,MATCH(C9,Database!$A$1:$V$1)-1,-12))</f>
        <v>67851</v>
      </c>
      <c r="I9" s="5">
        <f t="shared" ca="1" si="1"/>
        <v>2.4109090616371641E-2</v>
      </c>
    </row>
    <row r="10" spans="3:9" ht="28.5" customHeight="1" x14ac:dyDescent="0.35">
      <c r="C10" s="8" t="s">
        <v>22</v>
      </c>
      <c r="D10" s="38">
        <f>VLOOKUP($D$1,Database!$A:$V,MATCH(C10,Database!$A$1:$V$1,),)</f>
        <v>-35377</v>
      </c>
      <c r="E10" s="48">
        <f ca="1">VLOOKUP(OFFSET(Database!$A$1,MATCH($D$1,Database!$A:$A)-2,0),Database!$A:$V,MATCH(C10,Database!$A$1:$V$1,),)</f>
        <v>-46864</v>
      </c>
      <c r="F10" s="44">
        <f t="shared" ca="1" si="0"/>
        <v>11487</v>
      </c>
      <c r="G10" s="38">
        <f ca="1">MIN(OFFSET(Database!$A$1,MATCH($D$1,Database!$A:$A)-1,MATCH(C10,Database!$A$1:$V$1)-1,-12))</f>
        <v>-102618</v>
      </c>
      <c r="H10" s="48">
        <f ca="1">MAX(OFFSET(Database!$A$1,MATCH($D$1,Database!$A:$A)-1,MATCH(C10,Database!$A$1:$V$1)-1,-12))</f>
        <v>-35377</v>
      </c>
      <c r="I10" s="5">
        <f t="shared" ca="1" si="1"/>
        <v>1</v>
      </c>
    </row>
    <row r="11" spans="3:9" ht="28.5" customHeight="1" x14ac:dyDescent="0.35">
      <c r="C11" s="8" t="s">
        <v>24</v>
      </c>
      <c r="D11" s="38">
        <f>VLOOKUP($D$1,Database!$A:$V,MATCH(C11,Database!$A$1:$V$1,),)</f>
        <v>7350</v>
      </c>
      <c r="E11" s="48">
        <f ca="1">VLOOKUP(OFFSET(Database!$A$1,MATCH($D$1,Database!$A:$A)-2,0),Database!$A:$V,MATCH(C11,Database!$A$1:$V$1,),)</f>
        <v>7480</v>
      </c>
      <c r="F11" s="44">
        <f t="shared" ca="1" si="0"/>
        <v>-130</v>
      </c>
      <c r="G11" s="38">
        <f ca="1">MIN(OFFSET(Database!$A$1,MATCH($D$1,Database!$A:$A)-1,MATCH(C11,Database!$A$1:$V$1)-1,-12))</f>
        <v>-12884</v>
      </c>
      <c r="H11" s="48">
        <f ca="1">MAX(OFFSET(Database!$A$1,MATCH($D$1,Database!$A:$A)-1,MATCH(C11,Database!$A$1:$V$1)-1,-12))</f>
        <v>7480</v>
      </c>
      <c r="I11" s="5">
        <f t="shared" ca="1" si="1"/>
        <v>0.99361618542526031</v>
      </c>
    </row>
    <row r="12" spans="3:9" ht="28.5" customHeight="1" x14ac:dyDescent="0.35">
      <c r="C12" s="8" t="s">
        <v>26</v>
      </c>
      <c r="D12" s="38">
        <f>VLOOKUP($D$1,Database!$A:$V,MATCH(C12,Database!$A$1:$V$1,),)</f>
        <v>2191</v>
      </c>
      <c r="E12" s="48">
        <f ca="1">VLOOKUP(OFFSET(Database!$A$1,MATCH($D$1,Database!$A:$A)-2,0),Database!$A:$V,MATCH(C12,Database!$A$1:$V$1,),)</f>
        <v>762</v>
      </c>
      <c r="F12" s="44">
        <f t="shared" ca="1" si="0"/>
        <v>1429</v>
      </c>
      <c r="G12" s="38">
        <f ca="1">MIN(OFFSET(Database!$A$1,MATCH($D$1,Database!$A:$A)-1,MATCH(C12,Database!$A$1:$V$1)-1,-12))</f>
        <v>-1122</v>
      </c>
      <c r="H12" s="48">
        <f ca="1">MAX(OFFSET(Database!$A$1,MATCH($D$1,Database!$A:$A)-1,MATCH(C12,Database!$A$1:$V$1)-1,-12))</f>
        <v>2677</v>
      </c>
      <c r="I12" s="5">
        <f t="shared" ca="1" si="1"/>
        <v>0.87207159778889176</v>
      </c>
    </row>
    <row r="13" spans="3:9" ht="28.5" customHeight="1" x14ac:dyDescent="0.35">
      <c r="C13" s="8" t="s">
        <v>28</v>
      </c>
      <c r="D13" s="38">
        <f>VLOOKUP($D$1,Database!$A:$V,MATCH(C13,Database!$A$1:$V$1,),)</f>
        <v>-33690</v>
      </c>
      <c r="E13" s="48">
        <f ca="1">VLOOKUP(OFFSET(Database!$A$1,MATCH($D$1,Database!$A:$A)-2,0),Database!$A:$V,MATCH(C13,Database!$A$1:$V$1,),)</f>
        <v>-36267</v>
      </c>
      <c r="F13" s="44">
        <f t="shared" ca="1" si="0"/>
        <v>2577</v>
      </c>
      <c r="G13" s="38">
        <f ca="1">MIN(OFFSET(Database!$A$1,MATCH($D$1,Database!$A:$A)-1,MATCH(C13,Database!$A$1:$V$1)-1,-12))</f>
        <v>-51446</v>
      </c>
      <c r="H13" s="48">
        <f ca="1">MAX(OFFSET(Database!$A$1,MATCH($D$1,Database!$A:$A)-1,MATCH(C13,Database!$A$1:$V$1)-1,-12))</f>
        <v>-33690</v>
      </c>
      <c r="I13" s="5">
        <f t="shared" ca="1" si="1"/>
        <v>1</v>
      </c>
    </row>
    <row r="14" spans="3:9" ht="28.5" customHeight="1" x14ac:dyDescent="0.35">
      <c r="C14" s="8" t="s">
        <v>29</v>
      </c>
      <c r="D14" s="38">
        <f>VLOOKUP($D$1,Database!$A:$V,MATCH(C14,Database!$A$1:$V$1,),)</f>
        <v>-7370</v>
      </c>
      <c r="E14" s="48">
        <f ca="1">VLOOKUP(OFFSET(Database!$A$1,MATCH($D$1,Database!$A:$A)-2,0),Database!$A:$V,MATCH(C14,Database!$A$1:$V$1,),)</f>
        <v>-2854</v>
      </c>
      <c r="F14" s="44">
        <f t="shared" ca="1" si="0"/>
        <v>-4516</v>
      </c>
      <c r="G14" s="38">
        <f ca="1">MIN(OFFSET(Database!$A$1,MATCH($D$1,Database!$A:$A)-1,MATCH(C14,Database!$A$1:$V$1)-1,-12))</f>
        <v>-17154</v>
      </c>
      <c r="H14" s="48">
        <f ca="1">MAX(OFFSET(Database!$A$1,MATCH($D$1,Database!$A:$A)-1,MATCH(C14,Database!$A$1:$V$1)-1,-12))</f>
        <v>-2854</v>
      </c>
      <c r="I14" s="5">
        <f t="shared" ca="1" si="1"/>
        <v>0.68419580419580417</v>
      </c>
    </row>
    <row r="15" spans="3:9" ht="28.5" customHeight="1" x14ac:dyDescent="0.35">
      <c r="C15" s="8" t="s">
        <v>31</v>
      </c>
      <c r="D15" s="38">
        <f>VLOOKUP($D$1,Database!$A:$V,MATCH(C15,Database!$A$1:$V$1,),)</f>
        <v>0</v>
      </c>
      <c r="E15" s="48">
        <f ca="1">VLOOKUP(OFFSET(Database!$A$1,MATCH($D$1,Database!$A:$A)-2,0),Database!$A:$V,MATCH(C15,Database!$A$1:$V$1,),)</f>
        <v>0</v>
      </c>
      <c r="F15" s="44">
        <f t="shared" ca="1" si="0"/>
        <v>0</v>
      </c>
      <c r="G15" s="38">
        <f ca="1">MIN(OFFSET(Database!$A$1,MATCH($D$1,Database!$A:$A)-1,MATCH(C15,Database!$A$1:$V$1)-1,-12))</f>
        <v>0</v>
      </c>
      <c r="H15" s="48">
        <f ca="1">MAX(OFFSET(Database!$A$1,MATCH($D$1,Database!$A:$A)-1,MATCH(C15,Database!$A$1:$V$1)-1,-12))</f>
        <v>0</v>
      </c>
      <c r="I15" s="5" t="e">
        <f t="shared" ca="1" si="1"/>
        <v>#DIV/0!</v>
      </c>
    </row>
    <row r="16" spans="3:9" ht="28.5" customHeight="1" x14ac:dyDescent="0.35">
      <c r="C16" s="8" t="s">
        <v>32</v>
      </c>
      <c r="D16" s="38">
        <f>VLOOKUP($D$1,Database!$A:$V,MATCH(C16,Database!$A$1:$V$1,),)</f>
        <v>21701</v>
      </c>
      <c r="E16" s="48">
        <f ca="1">VLOOKUP(OFFSET(Database!$A$1,MATCH($D$1,Database!$A:$A)-2,0),Database!$A:$V,MATCH(C16,Database!$A$1:$V$1,),)</f>
        <v>28211</v>
      </c>
      <c r="F16" s="44">
        <f t="shared" ca="1" si="0"/>
        <v>-6510</v>
      </c>
      <c r="G16" s="38">
        <f ca="1">MIN(OFFSET(Database!$A$1,MATCH($D$1,Database!$A:$A)-1,MATCH(C16,Database!$A$1:$V$1)-1,-12))</f>
        <v>2198</v>
      </c>
      <c r="H16" s="48">
        <f ca="1">MAX(OFFSET(Database!$A$1,MATCH($D$1,Database!$A:$A)-1,MATCH(C16,Database!$A$1:$V$1)-1,-12))</f>
        <v>29179</v>
      </c>
      <c r="I16" s="5">
        <f t="shared" ca="1" si="1"/>
        <v>0.72284199992587372</v>
      </c>
    </row>
    <row r="17" spans="3:9" ht="28.5" customHeight="1" thickBot="1" x14ac:dyDescent="0.4">
      <c r="C17" s="9" t="s">
        <v>34</v>
      </c>
      <c r="D17" s="39">
        <f>VLOOKUP($D$1,Database!$A:$V,MATCH(C17,Database!$A$1:$V$1,),)</f>
        <v>-29456</v>
      </c>
      <c r="E17" s="40">
        <f ca="1">VLOOKUP(OFFSET(Database!$A$1,MATCH($D$1,Database!$A:$A)-2,0),Database!$A:$V,MATCH(C17,Database!$A$1:$V$1,),)</f>
        <v>-20301</v>
      </c>
      <c r="F17" s="45">
        <f t="shared" ca="1" si="0"/>
        <v>-9155</v>
      </c>
      <c r="G17" s="39">
        <f ca="1">MIN(OFFSET(Database!$A$1,MATCH($D$1,Database!$A:$A)-1,MATCH(C17,Database!$A$1:$V$1)-1,-12))</f>
        <v>-47805</v>
      </c>
      <c r="H17" s="40">
        <f ca="1">MAX(OFFSET(Database!$A$1,MATCH($D$1,Database!$A:$A)-1,MATCH(C17,Database!$A$1:$V$1)-1,-12))</f>
        <v>-5603</v>
      </c>
      <c r="I17" s="6">
        <f t="shared" ca="1" si="1"/>
        <v>0.43478982038765934</v>
      </c>
    </row>
  </sheetData>
  <conditionalFormatting sqref="F7:F17">
    <cfRule type="colorScale" priority="2">
      <colorScale>
        <cfvo type="min"/>
        <cfvo type="percentile" val="50"/>
        <cfvo type="max"/>
        <color rgb="FFF8696B"/>
        <color rgb="FFFFEB84"/>
        <color rgb="FF63BE7B"/>
      </colorScale>
    </cfRule>
  </conditionalFormatting>
  <conditionalFormatting sqref="I7:I1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0000"/>
  </sheetPr>
  <dimension ref="A1:H1243"/>
  <sheetViews>
    <sheetView tabSelected="1" zoomScale="120" zoomScaleNormal="120" workbookViewId="0">
      <pane ySplit="6" topLeftCell="A1201" activePane="bottomLeft" state="frozen"/>
      <selection activeCell="L9" sqref="L9"/>
      <selection pane="bottomLeft" activeCell="Q1202" sqref="Q1202"/>
    </sheetView>
  </sheetViews>
  <sheetFormatPr defaultColWidth="9.1796875" defaultRowHeight="14.5" x14ac:dyDescent="0.35"/>
  <cols>
    <col min="1" max="1" width="13.36328125" style="7" customWidth="1"/>
    <col min="2" max="2" width="20.81640625" style="7" customWidth="1"/>
    <col min="3" max="14" width="9.1796875" style="49" customWidth="1"/>
    <col min="15" max="16384" width="9.1796875" style="49"/>
  </cols>
  <sheetData>
    <row r="1" spans="1:8" ht="16" customHeight="1" thickBot="1" x14ac:dyDescent="0.4">
      <c r="A1" s="24" t="s">
        <v>941</v>
      </c>
      <c r="B1" s="23" t="s">
        <v>17</v>
      </c>
      <c r="H1" s="22" t="s">
        <v>942</v>
      </c>
    </row>
    <row r="2" spans="1:8" x14ac:dyDescent="0.35">
      <c r="B2" s="46" t="str">
        <f>"COT Non-Commercial Net - "&amp;B1</f>
        <v>COT Non-Commercial Net - EUR</v>
      </c>
      <c r="H2" s="22" t="s">
        <v>943</v>
      </c>
    </row>
    <row r="5" spans="1:8" ht="16" customHeight="1" thickBot="1" x14ac:dyDescent="0.4"/>
    <row r="6" spans="1:8" ht="17" customHeight="1" thickBot="1" x14ac:dyDescent="0.4">
      <c r="A6" s="20" t="s">
        <v>940</v>
      </c>
      <c r="B6" s="21" t="s">
        <v>944</v>
      </c>
    </row>
    <row r="7" spans="1:8" x14ac:dyDescent="0.35">
      <c r="A7" s="19">
        <f>Database!A328</f>
        <v>36165</v>
      </c>
      <c r="B7" s="48">
        <f>VLOOKUP(A7,Database!$A:$V,MATCH(Currency!$B$1,Database!$A$1:$V$1,),)</f>
        <v>-240</v>
      </c>
    </row>
    <row r="8" spans="1:8" x14ac:dyDescent="0.35">
      <c r="A8" s="19">
        <f>Database!A329</f>
        <v>36172</v>
      </c>
      <c r="B8" s="48">
        <f>VLOOKUP(A8,Database!$A:$V,MATCH(Currency!$B$1,Database!$A$1:$V$1,),)</f>
        <v>440</v>
      </c>
    </row>
    <row r="9" spans="1:8" x14ac:dyDescent="0.35">
      <c r="A9" s="19">
        <f>Database!A330</f>
        <v>36179</v>
      </c>
      <c r="B9" s="48">
        <f>VLOOKUP(A9,Database!$A:$V,MATCH(Currency!$B$1,Database!$A$1:$V$1,),)</f>
        <v>973</v>
      </c>
    </row>
    <row r="10" spans="1:8" x14ac:dyDescent="0.35">
      <c r="A10" s="19">
        <f>Database!A331</f>
        <v>36186</v>
      </c>
      <c r="B10" s="48">
        <f>VLOOKUP(A10,Database!$A:$V,MATCH(Currency!$B$1,Database!$A$1:$V$1,),)</f>
        <v>986</v>
      </c>
    </row>
    <row r="11" spans="1:8" x14ac:dyDescent="0.35">
      <c r="A11" s="19">
        <f>Database!A332</f>
        <v>36193</v>
      </c>
      <c r="B11" s="48">
        <f>VLOOKUP(A11,Database!$A:$V,MATCH(Currency!$B$1,Database!$A$1:$V$1,),)</f>
        <v>-10354</v>
      </c>
    </row>
    <row r="12" spans="1:8" x14ac:dyDescent="0.35">
      <c r="A12" s="19">
        <f>Database!A333</f>
        <v>36200</v>
      </c>
      <c r="B12" s="48">
        <f>VLOOKUP(A12,Database!$A:$V,MATCH(Currency!$B$1,Database!$A$1:$V$1,),)</f>
        <v>-13123</v>
      </c>
    </row>
    <row r="13" spans="1:8" x14ac:dyDescent="0.35">
      <c r="A13" s="19">
        <f>Database!A334</f>
        <v>36207</v>
      </c>
      <c r="B13" s="48">
        <f>VLOOKUP(A13,Database!$A:$V,MATCH(Currency!$B$1,Database!$A$1:$V$1,),)</f>
        <v>-15031</v>
      </c>
    </row>
    <row r="14" spans="1:8" x14ac:dyDescent="0.35">
      <c r="A14" s="19">
        <f>Database!A335</f>
        <v>36214</v>
      </c>
      <c r="B14" s="48">
        <f>VLOOKUP(A14,Database!$A:$V,MATCH(Currency!$B$1,Database!$A$1:$V$1,),)</f>
        <v>-17145</v>
      </c>
    </row>
    <row r="15" spans="1:8" x14ac:dyDescent="0.35">
      <c r="A15" s="19">
        <f>Database!A336</f>
        <v>36221</v>
      </c>
      <c r="B15" s="48">
        <f>VLOOKUP(A15,Database!$A:$V,MATCH(Currency!$B$1,Database!$A$1:$V$1,),)</f>
        <v>-13574</v>
      </c>
    </row>
    <row r="16" spans="1:8" x14ac:dyDescent="0.35">
      <c r="A16" s="19">
        <f>Database!A337</f>
        <v>36228</v>
      </c>
      <c r="B16" s="48">
        <f>VLOOKUP(A16,Database!$A:$V,MATCH(Currency!$B$1,Database!$A$1:$V$1,),)</f>
        <v>-8944</v>
      </c>
    </row>
    <row r="17" spans="1:2" x14ac:dyDescent="0.35">
      <c r="A17" s="19">
        <f>Database!A338</f>
        <v>36235</v>
      </c>
      <c r="B17" s="48">
        <f>VLOOKUP(A17,Database!$A:$V,MATCH(Currency!$B$1,Database!$A$1:$V$1,),)</f>
        <v>-12004</v>
      </c>
    </row>
    <row r="18" spans="1:2" x14ac:dyDescent="0.35">
      <c r="A18" s="19">
        <f>Database!A339</f>
        <v>36242</v>
      </c>
      <c r="B18" s="48">
        <f>VLOOKUP(A18,Database!$A:$V,MATCH(Currency!$B$1,Database!$A$1:$V$1,),)</f>
        <v>-9129</v>
      </c>
    </row>
    <row r="19" spans="1:2" x14ac:dyDescent="0.35">
      <c r="A19" s="19">
        <f>Database!A340</f>
        <v>36249</v>
      </c>
      <c r="B19" s="48">
        <f>VLOOKUP(A19,Database!$A:$V,MATCH(Currency!$B$1,Database!$A$1:$V$1,),)</f>
        <v>-17277</v>
      </c>
    </row>
    <row r="20" spans="1:2" x14ac:dyDescent="0.35">
      <c r="A20" s="19">
        <f>Database!A341</f>
        <v>36256</v>
      </c>
      <c r="B20" s="48">
        <f>VLOOKUP(A20,Database!$A:$V,MATCH(Currency!$B$1,Database!$A$1:$V$1,),)</f>
        <v>-11042</v>
      </c>
    </row>
    <row r="21" spans="1:2" x14ac:dyDescent="0.35">
      <c r="A21" s="19">
        <f>Database!A342</f>
        <v>36263</v>
      </c>
      <c r="B21" s="48">
        <f>VLOOKUP(A21,Database!$A:$V,MATCH(Currency!$B$1,Database!$A$1:$V$1,),)</f>
        <v>-14160</v>
      </c>
    </row>
    <row r="22" spans="1:2" x14ac:dyDescent="0.35">
      <c r="A22" s="19">
        <f>Database!A343</f>
        <v>36270</v>
      </c>
      <c r="B22" s="48">
        <f>VLOOKUP(A22,Database!$A:$V,MATCH(Currency!$B$1,Database!$A$1:$V$1,),)</f>
        <v>-24502</v>
      </c>
    </row>
    <row r="23" spans="1:2" x14ac:dyDescent="0.35">
      <c r="A23" s="19">
        <f>Database!A344</f>
        <v>36277</v>
      </c>
      <c r="B23" s="48">
        <f>VLOOKUP(A23,Database!$A:$V,MATCH(Currency!$B$1,Database!$A$1:$V$1,),)</f>
        <v>-18858</v>
      </c>
    </row>
    <row r="24" spans="1:2" x14ac:dyDescent="0.35">
      <c r="A24" s="19">
        <f>Database!A345</f>
        <v>36284</v>
      </c>
      <c r="B24" s="48">
        <f>VLOOKUP(A24,Database!$A:$V,MATCH(Currency!$B$1,Database!$A$1:$V$1,),)</f>
        <v>-19180</v>
      </c>
    </row>
    <row r="25" spans="1:2" x14ac:dyDescent="0.35">
      <c r="A25" s="19">
        <f>Database!A346</f>
        <v>36291</v>
      </c>
      <c r="B25" s="48">
        <f>VLOOKUP(A25,Database!$A:$V,MATCH(Currency!$B$1,Database!$A$1:$V$1,),)</f>
        <v>-10700</v>
      </c>
    </row>
    <row r="26" spans="1:2" x14ac:dyDescent="0.35">
      <c r="A26" s="19">
        <f>Database!A347</f>
        <v>36298</v>
      </c>
      <c r="B26" s="48">
        <f>VLOOKUP(A26,Database!$A:$V,MATCH(Currency!$B$1,Database!$A$1:$V$1,),)</f>
        <v>-10563</v>
      </c>
    </row>
    <row r="27" spans="1:2" x14ac:dyDescent="0.35">
      <c r="A27" s="19">
        <f>Database!A348</f>
        <v>36305</v>
      </c>
      <c r="B27" s="48">
        <f>VLOOKUP(A27,Database!$A:$V,MATCH(Currency!$B$1,Database!$A$1:$V$1,),)</f>
        <v>-9512</v>
      </c>
    </row>
    <row r="28" spans="1:2" x14ac:dyDescent="0.35">
      <c r="A28" s="19">
        <f>Database!A349</f>
        <v>36312</v>
      </c>
      <c r="B28" s="48">
        <f>VLOOKUP(A28,Database!$A:$V,MATCH(Currency!$B$1,Database!$A$1:$V$1,),)</f>
        <v>-8008</v>
      </c>
    </row>
    <row r="29" spans="1:2" x14ac:dyDescent="0.35">
      <c r="A29" s="19">
        <f>Database!A350</f>
        <v>36319</v>
      </c>
      <c r="B29" s="48">
        <f>VLOOKUP(A29,Database!$A:$V,MATCH(Currency!$B$1,Database!$A$1:$V$1,),)</f>
        <v>-8974</v>
      </c>
    </row>
    <row r="30" spans="1:2" x14ac:dyDescent="0.35">
      <c r="A30" s="19">
        <f>Database!A351</f>
        <v>36326</v>
      </c>
      <c r="B30" s="48">
        <f>VLOOKUP(A30,Database!$A:$V,MATCH(Currency!$B$1,Database!$A$1:$V$1,),)</f>
        <v>-8523</v>
      </c>
    </row>
    <row r="31" spans="1:2" x14ac:dyDescent="0.35">
      <c r="A31" s="19">
        <f>Database!A352</f>
        <v>36333</v>
      </c>
      <c r="B31" s="48">
        <f>VLOOKUP(A31,Database!$A:$V,MATCH(Currency!$B$1,Database!$A$1:$V$1,),)</f>
        <v>-5322</v>
      </c>
    </row>
    <row r="32" spans="1:2" x14ac:dyDescent="0.35">
      <c r="A32" s="19">
        <f>Database!A353</f>
        <v>36340</v>
      </c>
      <c r="B32" s="48">
        <f>VLOOKUP(A32,Database!$A:$V,MATCH(Currency!$B$1,Database!$A$1:$V$1,),)</f>
        <v>-3868</v>
      </c>
    </row>
    <row r="33" spans="1:2" x14ac:dyDescent="0.35">
      <c r="A33" s="19">
        <f>Database!A354</f>
        <v>36347</v>
      </c>
      <c r="B33" s="48">
        <f>VLOOKUP(A33,Database!$A:$V,MATCH(Currency!$B$1,Database!$A$1:$V$1,),)</f>
        <v>-5711</v>
      </c>
    </row>
    <row r="34" spans="1:2" x14ac:dyDescent="0.35">
      <c r="A34" s="19">
        <f>Database!A355</f>
        <v>36354</v>
      </c>
      <c r="B34" s="48">
        <f>VLOOKUP(A34,Database!$A:$V,MATCH(Currency!$B$1,Database!$A$1:$V$1,),)</f>
        <v>-5312</v>
      </c>
    </row>
    <row r="35" spans="1:2" x14ac:dyDescent="0.35">
      <c r="A35" s="19">
        <f>Database!A356</f>
        <v>36361</v>
      </c>
      <c r="B35" s="48">
        <f>VLOOKUP(A35,Database!$A:$V,MATCH(Currency!$B$1,Database!$A$1:$V$1,),)</f>
        <v>-6007</v>
      </c>
    </row>
    <row r="36" spans="1:2" x14ac:dyDescent="0.35">
      <c r="A36" s="19">
        <f>Database!A357</f>
        <v>36368</v>
      </c>
      <c r="B36" s="48">
        <f>VLOOKUP(A36,Database!$A:$V,MATCH(Currency!$B$1,Database!$A$1:$V$1,),)</f>
        <v>1803</v>
      </c>
    </row>
    <row r="37" spans="1:2" x14ac:dyDescent="0.35">
      <c r="A37" s="19">
        <f>Database!A358</f>
        <v>36375</v>
      </c>
      <c r="B37" s="48">
        <f>VLOOKUP(A37,Database!$A:$V,MATCH(Currency!$B$1,Database!$A$1:$V$1,),)</f>
        <v>7453</v>
      </c>
    </row>
    <row r="38" spans="1:2" x14ac:dyDescent="0.35">
      <c r="A38" s="19">
        <f>Database!A359</f>
        <v>36382</v>
      </c>
      <c r="B38" s="48">
        <f>VLOOKUP(A38,Database!$A:$V,MATCH(Currency!$B$1,Database!$A$1:$V$1,),)</f>
        <v>11901</v>
      </c>
    </row>
    <row r="39" spans="1:2" x14ac:dyDescent="0.35">
      <c r="A39" s="19">
        <f>Database!A360</f>
        <v>36389</v>
      </c>
      <c r="B39" s="48">
        <f>VLOOKUP(A39,Database!$A:$V,MATCH(Currency!$B$1,Database!$A$1:$V$1,),)</f>
        <v>1243</v>
      </c>
    </row>
    <row r="40" spans="1:2" x14ac:dyDescent="0.35">
      <c r="A40" s="19">
        <f>Database!A361</f>
        <v>36396</v>
      </c>
      <c r="B40" s="48">
        <f>VLOOKUP(A40,Database!$A:$V,MATCH(Currency!$B$1,Database!$A$1:$V$1,),)</f>
        <v>605</v>
      </c>
    </row>
    <row r="41" spans="1:2" x14ac:dyDescent="0.35">
      <c r="A41" s="19">
        <f>Database!A362</f>
        <v>36403</v>
      </c>
      <c r="B41" s="48">
        <f>VLOOKUP(A41,Database!$A:$V,MATCH(Currency!$B$1,Database!$A$1:$V$1,),)</f>
        <v>3462</v>
      </c>
    </row>
    <row r="42" spans="1:2" x14ac:dyDescent="0.35">
      <c r="A42" s="19">
        <f>Database!A363</f>
        <v>36410</v>
      </c>
      <c r="B42" s="48">
        <f>VLOOKUP(A42,Database!$A:$V,MATCH(Currency!$B$1,Database!$A$1:$V$1,),)</f>
        <v>1844</v>
      </c>
    </row>
    <row r="43" spans="1:2" x14ac:dyDescent="0.35">
      <c r="A43" s="19">
        <f>Database!A364</f>
        <v>36417</v>
      </c>
      <c r="B43" s="48">
        <f>VLOOKUP(A43,Database!$A:$V,MATCH(Currency!$B$1,Database!$A$1:$V$1,),)</f>
        <v>-2563</v>
      </c>
    </row>
    <row r="44" spans="1:2" x14ac:dyDescent="0.35">
      <c r="A44" s="19">
        <f>Database!A365</f>
        <v>36424</v>
      </c>
      <c r="B44" s="48">
        <f>VLOOKUP(A44,Database!$A:$V,MATCH(Currency!$B$1,Database!$A$1:$V$1,),)</f>
        <v>-1560</v>
      </c>
    </row>
    <row r="45" spans="1:2" x14ac:dyDescent="0.35">
      <c r="A45" s="19">
        <f>Database!A366</f>
        <v>36431</v>
      </c>
      <c r="B45" s="48">
        <f>VLOOKUP(A45,Database!$A:$V,MATCH(Currency!$B$1,Database!$A$1:$V$1,),)</f>
        <v>2233</v>
      </c>
    </row>
    <row r="46" spans="1:2" x14ac:dyDescent="0.35">
      <c r="A46" s="19">
        <f>Database!A367</f>
        <v>36438</v>
      </c>
      <c r="B46" s="48">
        <f>VLOOKUP(A46,Database!$A:$V,MATCH(Currency!$B$1,Database!$A$1:$V$1,),)</f>
        <v>12979</v>
      </c>
    </row>
    <row r="47" spans="1:2" x14ac:dyDescent="0.35">
      <c r="A47" s="19">
        <f>Database!A368</f>
        <v>36445</v>
      </c>
      <c r="B47" s="48">
        <f>VLOOKUP(A47,Database!$A:$V,MATCH(Currency!$B$1,Database!$A$1:$V$1,),)</f>
        <v>13099</v>
      </c>
    </row>
    <row r="48" spans="1:2" x14ac:dyDescent="0.35">
      <c r="A48" s="19">
        <f>Database!A369</f>
        <v>36452</v>
      </c>
      <c r="B48" s="48">
        <f>VLOOKUP(A48,Database!$A:$V,MATCH(Currency!$B$1,Database!$A$1:$V$1,),)</f>
        <v>23385</v>
      </c>
    </row>
    <row r="49" spans="1:2" x14ac:dyDescent="0.35">
      <c r="A49" s="19">
        <f>Database!A370</f>
        <v>36459</v>
      </c>
      <c r="B49" s="48">
        <f>VLOOKUP(A49,Database!$A:$V,MATCH(Currency!$B$1,Database!$A$1:$V$1,),)</f>
        <v>10239</v>
      </c>
    </row>
    <row r="50" spans="1:2" x14ac:dyDescent="0.35">
      <c r="A50" s="19">
        <f>Database!A371</f>
        <v>36466</v>
      </c>
      <c r="B50" s="48">
        <f>VLOOKUP(A50,Database!$A:$V,MATCH(Currency!$B$1,Database!$A$1:$V$1,),)</f>
        <v>-4593</v>
      </c>
    </row>
    <row r="51" spans="1:2" x14ac:dyDescent="0.35">
      <c r="A51" s="19">
        <f>Database!A372</f>
        <v>36473</v>
      </c>
      <c r="B51" s="48">
        <f>VLOOKUP(A51,Database!$A:$V,MATCH(Currency!$B$1,Database!$A$1:$V$1,),)</f>
        <v>-4890</v>
      </c>
    </row>
    <row r="52" spans="1:2" x14ac:dyDescent="0.35">
      <c r="A52" s="19">
        <f>Database!A373</f>
        <v>36480</v>
      </c>
      <c r="B52" s="48">
        <f>VLOOKUP(A52,Database!$A:$V,MATCH(Currency!$B$1,Database!$A$1:$V$1,),)</f>
        <v>-9009</v>
      </c>
    </row>
    <row r="53" spans="1:2" x14ac:dyDescent="0.35">
      <c r="A53" s="19">
        <f>Database!A374</f>
        <v>36487</v>
      </c>
      <c r="B53" s="48">
        <f>VLOOKUP(A53,Database!$A:$V,MATCH(Currency!$B$1,Database!$A$1:$V$1,),)</f>
        <v>-14345</v>
      </c>
    </row>
    <row r="54" spans="1:2" x14ac:dyDescent="0.35">
      <c r="A54" s="19">
        <f>Database!A375</f>
        <v>36494</v>
      </c>
      <c r="B54" s="48">
        <f>VLOOKUP(A54,Database!$A:$V,MATCH(Currency!$B$1,Database!$A$1:$V$1,),)</f>
        <v>-25051</v>
      </c>
    </row>
    <row r="55" spans="1:2" x14ac:dyDescent="0.35">
      <c r="A55" s="19">
        <f>Database!A376</f>
        <v>36501</v>
      </c>
      <c r="B55" s="48">
        <f>VLOOKUP(A55,Database!$A:$V,MATCH(Currency!$B$1,Database!$A$1:$V$1,),)</f>
        <v>-20738</v>
      </c>
    </row>
    <row r="56" spans="1:2" x14ac:dyDescent="0.35">
      <c r="A56" s="19">
        <f>Database!A377</f>
        <v>36508</v>
      </c>
      <c r="B56" s="48">
        <f>VLOOKUP(A56,Database!$A:$V,MATCH(Currency!$B$1,Database!$A$1:$V$1,),)</f>
        <v>-16856</v>
      </c>
    </row>
    <row r="57" spans="1:2" x14ac:dyDescent="0.35">
      <c r="A57" s="19">
        <f>Database!A378</f>
        <v>36515</v>
      </c>
      <c r="B57" s="48">
        <f>VLOOKUP(A57,Database!$A:$V,MATCH(Currency!$B$1,Database!$A$1:$V$1,),)</f>
        <v>-6949</v>
      </c>
    </row>
    <row r="58" spans="1:2" x14ac:dyDescent="0.35">
      <c r="A58" s="19">
        <f>Database!A379</f>
        <v>36522</v>
      </c>
      <c r="B58" s="48">
        <f>VLOOKUP(A58,Database!$A:$V,MATCH(Currency!$B$1,Database!$A$1:$V$1,),)</f>
        <v>-12841</v>
      </c>
    </row>
    <row r="59" spans="1:2" x14ac:dyDescent="0.35">
      <c r="A59" s="19">
        <f>Database!A380</f>
        <v>36529</v>
      </c>
      <c r="B59" s="48">
        <f>VLOOKUP(A59,Database!$A:$V,MATCH(Currency!$B$1,Database!$A$1:$V$1,),)</f>
        <v>-5189</v>
      </c>
    </row>
    <row r="60" spans="1:2" x14ac:dyDescent="0.35">
      <c r="A60" s="19">
        <f>Database!A381</f>
        <v>36536</v>
      </c>
      <c r="B60" s="48">
        <f>VLOOKUP(A60,Database!$A:$V,MATCH(Currency!$B$1,Database!$A$1:$V$1,),)</f>
        <v>8714</v>
      </c>
    </row>
    <row r="61" spans="1:2" x14ac:dyDescent="0.35">
      <c r="A61" s="19">
        <f>Database!A382</f>
        <v>36543</v>
      </c>
      <c r="B61" s="48">
        <f>VLOOKUP(A61,Database!$A:$V,MATCH(Currency!$B$1,Database!$A$1:$V$1,),)</f>
        <v>-8018</v>
      </c>
    </row>
    <row r="62" spans="1:2" x14ac:dyDescent="0.35">
      <c r="A62" s="19">
        <f>Database!A383</f>
        <v>36550</v>
      </c>
      <c r="B62" s="48">
        <f>VLOOKUP(A62,Database!$A:$V,MATCH(Currency!$B$1,Database!$A$1:$V$1,),)</f>
        <v>-13303</v>
      </c>
    </row>
    <row r="63" spans="1:2" x14ac:dyDescent="0.35">
      <c r="A63" s="19">
        <f>Database!A384</f>
        <v>36557</v>
      </c>
      <c r="B63" s="48">
        <f>VLOOKUP(A63,Database!$A:$V,MATCH(Currency!$B$1,Database!$A$1:$V$1,),)</f>
        <v>-23010</v>
      </c>
    </row>
    <row r="64" spans="1:2" x14ac:dyDescent="0.35">
      <c r="A64" s="19">
        <f>Database!A385</f>
        <v>36564</v>
      </c>
      <c r="B64" s="48">
        <f>VLOOKUP(A64,Database!$A:$V,MATCH(Currency!$B$1,Database!$A$1:$V$1,),)</f>
        <v>-16692</v>
      </c>
    </row>
    <row r="65" spans="1:2" x14ac:dyDescent="0.35">
      <c r="A65" s="19">
        <f>Database!A386</f>
        <v>36571</v>
      </c>
      <c r="B65" s="48">
        <f>VLOOKUP(A65,Database!$A:$V,MATCH(Currency!$B$1,Database!$A$1:$V$1,),)</f>
        <v>-5414</v>
      </c>
    </row>
    <row r="66" spans="1:2" x14ac:dyDescent="0.35">
      <c r="A66" s="19">
        <f>Database!A387</f>
        <v>36578</v>
      </c>
      <c r="B66" s="48">
        <f>VLOOKUP(A66,Database!$A:$V,MATCH(Currency!$B$1,Database!$A$1:$V$1,),)</f>
        <v>2644</v>
      </c>
    </row>
    <row r="67" spans="1:2" x14ac:dyDescent="0.35">
      <c r="A67" s="19">
        <f>Database!A388</f>
        <v>36585</v>
      </c>
      <c r="B67" s="48">
        <f>VLOOKUP(A67,Database!$A:$V,MATCH(Currency!$B$1,Database!$A$1:$V$1,),)</f>
        <v>-7591</v>
      </c>
    </row>
    <row r="68" spans="1:2" x14ac:dyDescent="0.35">
      <c r="A68" s="19">
        <f>Database!A389</f>
        <v>36592</v>
      </c>
      <c r="B68" s="48">
        <f>VLOOKUP(A68,Database!$A:$V,MATCH(Currency!$B$1,Database!$A$1:$V$1,),)</f>
        <v>-17953</v>
      </c>
    </row>
    <row r="69" spans="1:2" x14ac:dyDescent="0.35">
      <c r="A69" s="19">
        <f>Database!A390</f>
        <v>36599</v>
      </c>
      <c r="B69" s="48">
        <f>VLOOKUP(A69,Database!$A:$V,MATCH(Currency!$B$1,Database!$A$1:$V$1,),)</f>
        <v>-13639</v>
      </c>
    </row>
    <row r="70" spans="1:2" x14ac:dyDescent="0.35">
      <c r="A70" s="19">
        <f>Database!A391</f>
        <v>36606</v>
      </c>
      <c r="B70" s="48">
        <f>VLOOKUP(A70,Database!$A:$V,MATCH(Currency!$B$1,Database!$A$1:$V$1,),)</f>
        <v>-12025</v>
      </c>
    </row>
    <row r="71" spans="1:2" x14ac:dyDescent="0.35">
      <c r="A71" s="19">
        <f>Database!A392</f>
        <v>36613</v>
      </c>
      <c r="B71" s="48">
        <f>VLOOKUP(A71,Database!$A:$V,MATCH(Currency!$B$1,Database!$A$1:$V$1,),)</f>
        <v>-11640</v>
      </c>
    </row>
    <row r="72" spans="1:2" x14ac:dyDescent="0.35">
      <c r="A72" s="19">
        <f>Database!A393</f>
        <v>36620</v>
      </c>
      <c r="B72" s="48">
        <f>VLOOKUP(A72,Database!$A:$V,MATCH(Currency!$B$1,Database!$A$1:$V$1,),)</f>
        <v>-8524</v>
      </c>
    </row>
    <row r="73" spans="1:2" x14ac:dyDescent="0.35">
      <c r="A73" s="19">
        <f>Database!A394</f>
        <v>36627</v>
      </c>
      <c r="B73" s="48">
        <f>VLOOKUP(A73,Database!$A:$V,MATCH(Currency!$B$1,Database!$A$1:$V$1,),)</f>
        <v>-4856</v>
      </c>
    </row>
    <row r="74" spans="1:2" x14ac:dyDescent="0.35">
      <c r="A74" s="19">
        <f>Database!A395</f>
        <v>36634</v>
      </c>
      <c r="B74" s="48">
        <f>VLOOKUP(A74,Database!$A:$V,MATCH(Currency!$B$1,Database!$A$1:$V$1,),)</f>
        <v>-1664</v>
      </c>
    </row>
    <row r="75" spans="1:2" x14ac:dyDescent="0.35">
      <c r="A75" s="19">
        <f>Database!A396</f>
        <v>36641</v>
      </c>
      <c r="B75" s="48">
        <f>VLOOKUP(A75,Database!$A:$V,MATCH(Currency!$B$1,Database!$A$1:$V$1,),)</f>
        <v>980</v>
      </c>
    </row>
    <row r="76" spans="1:2" x14ac:dyDescent="0.35">
      <c r="A76" s="19">
        <f>Database!A397</f>
        <v>36648</v>
      </c>
      <c r="B76" s="48">
        <f>VLOOKUP(A76,Database!$A:$V,MATCH(Currency!$B$1,Database!$A$1:$V$1,),)</f>
        <v>1649</v>
      </c>
    </row>
    <row r="77" spans="1:2" x14ac:dyDescent="0.35">
      <c r="A77" s="19">
        <f>Database!A398</f>
        <v>36655</v>
      </c>
      <c r="B77" s="48">
        <f>VLOOKUP(A77,Database!$A:$V,MATCH(Currency!$B$1,Database!$A$1:$V$1,),)</f>
        <v>-2179</v>
      </c>
    </row>
    <row r="78" spans="1:2" x14ac:dyDescent="0.35">
      <c r="A78" s="19">
        <f>Database!A399</f>
        <v>36662</v>
      </c>
      <c r="B78" s="48">
        <f>VLOOKUP(A78,Database!$A:$V,MATCH(Currency!$B$1,Database!$A$1:$V$1,),)</f>
        <v>536</v>
      </c>
    </row>
    <row r="79" spans="1:2" x14ac:dyDescent="0.35">
      <c r="A79" s="19">
        <f>Database!A400</f>
        <v>36669</v>
      </c>
      <c r="B79" s="48">
        <f>VLOOKUP(A79,Database!$A:$V,MATCH(Currency!$B$1,Database!$A$1:$V$1,),)</f>
        <v>519</v>
      </c>
    </row>
    <row r="80" spans="1:2" x14ac:dyDescent="0.35">
      <c r="A80" s="19">
        <f>Database!A401</f>
        <v>36676</v>
      </c>
      <c r="B80" s="48">
        <f>VLOOKUP(A80,Database!$A:$V,MATCH(Currency!$B$1,Database!$A$1:$V$1,),)</f>
        <v>6509</v>
      </c>
    </row>
    <row r="81" spans="1:2" x14ac:dyDescent="0.35">
      <c r="A81" s="19">
        <f>Database!A402</f>
        <v>36683</v>
      </c>
      <c r="B81" s="48">
        <f>VLOOKUP(A81,Database!$A:$V,MATCH(Currency!$B$1,Database!$A$1:$V$1,),)</f>
        <v>9951</v>
      </c>
    </row>
    <row r="82" spans="1:2" x14ac:dyDescent="0.35">
      <c r="A82" s="19">
        <f>Database!A403</f>
        <v>36690</v>
      </c>
      <c r="B82" s="48">
        <f>VLOOKUP(A82,Database!$A:$V,MATCH(Currency!$B$1,Database!$A$1:$V$1,),)</f>
        <v>10332</v>
      </c>
    </row>
    <row r="83" spans="1:2" x14ac:dyDescent="0.35">
      <c r="A83" s="19">
        <f>Database!A404</f>
        <v>36697</v>
      </c>
      <c r="B83" s="48">
        <f>VLOOKUP(A83,Database!$A:$V,MATCH(Currency!$B$1,Database!$A$1:$V$1,),)</f>
        <v>9625</v>
      </c>
    </row>
    <row r="84" spans="1:2" x14ac:dyDescent="0.35">
      <c r="A84" s="19">
        <f>Database!A405</f>
        <v>36704</v>
      </c>
      <c r="B84" s="48">
        <f>VLOOKUP(A84,Database!$A:$V,MATCH(Currency!$B$1,Database!$A$1:$V$1,),)</f>
        <v>9061</v>
      </c>
    </row>
    <row r="85" spans="1:2" x14ac:dyDescent="0.35">
      <c r="A85" s="19">
        <f>Database!A406</f>
        <v>36711</v>
      </c>
      <c r="B85" s="48">
        <f>VLOOKUP(A85,Database!$A:$V,MATCH(Currency!$B$1,Database!$A$1:$V$1,),)</f>
        <v>7450</v>
      </c>
    </row>
    <row r="86" spans="1:2" x14ac:dyDescent="0.35">
      <c r="A86" s="19">
        <f>Database!A407</f>
        <v>36718</v>
      </c>
      <c r="B86" s="48">
        <f>VLOOKUP(A86,Database!$A:$V,MATCH(Currency!$B$1,Database!$A$1:$V$1,),)</f>
        <v>10130</v>
      </c>
    </row>
    <row r="87" spans="1:2" x14ac:dyDescent="0.35">
      <c r="A87" s="19">
        <f>Database!A408</f>
        <v>36725</v>
      </c>
      <c r="B87" s="48">
        <f>VLOOKUP(A87,Database!$A:$V,MATCH(Currency!$B$1,Database!$A$1:$V$1,),)</f>
        <v>8045</v>
      </c>
    </row>
    <row r="88" spans="1:2" x14ac:dyDescent="0.35">
      <c r="A88" s="19">
        <f>Database!A409</f>
        <v>36732</v>
      </c>
      <c r="B88" s="48">
        <f>VLOOKUP(A88,Database!$A:$V,MATCH(Currency!$B$1,Database!$A$1:$V$1,),)</f>
        <v>12397</v>
      </c>
    </row>
    <row r="89" spans="1:2" x14ac:dyDescent="0.35">
      <c r="A89" s="19">
        <f>Database!A410</f>
        <v>36739</v>
      </c>
      <c r="B89" s="48">
        <f>VLOOKUP(A89,Database!$A:$V,MATCH(Currency!$B$1,Database!$A$1:$V$1,),)</f>
        <v>10272</v>
      </c>
    </row>
    <row r="90" spans="1:2" x14ac:dyDescent="0.35">
      <c r="A90" s="19">
        <f>Database!A411</f>
        <v>36746</v>
      </c>
      <c r="B90" s="48">
        <f>VLOOKUP(A90,Database!$A:$V,MATCH(Currency!$B$1,Database!$A$1:$V$1,),)</f>
        <v>8362</v>
      </c>
    </row>
    <row r="91" spans="1:2" x14ac:dyDescent="0.35">
      <c r="A91" s="19">
        <f>Database!A412</f>
        <v>36753</v>
      </c>
      <c r="B91" s="48">
        <f>VLOOKUP(A91,Database!$A:$V,MATCH(Currency!$B$1,Database!$A$1:$V$1,),)</f>
        <v>7634</v>
      </c>
    </row>
    <row r="92" spans="1:2" x14ac:dyDescent="0.35">
      <c r="A92" s="19">
        <f>Database!A413</f>
        <v>36760</v>
      </c>
      <c r="B92" s="48">
        <f>VLOOKUP(A92,Database!$A:$V,MATCH(Currency!$B$1,Database!$A$1:$V$1,),)</f>
        <v>3360</v>
      </c>
    </row>
    <row r="93" spans="1:2" x14ac:dyDescent="0.35">
      <c r="A93" s="19">
        <f>Database!A414</f>
        <v>36767</v>
      </c>
      <c r="B93" s="48">
        <f>VLOOKUP(A93,Database!$A:$V,MATCH(Currency!$B$1,Database!$A$1:$V$1,),)</f>
        <v>1206</v>
      </c>
    </row>
    <row r="94" spans="1:2" x14ac:dyDescent="0.35">
      <c r="A94" s="19">
        <f>Database!A415</f>
        <v>36774</v>
      </c>
      <c r="B94" s="48">
        <f>VLOOKUP(A94,Database!$A:$V,MATCH(Currency!$B$1,Database!$A$1:$V$1,),)</f>
        <v>382</v>
      </c>
    </row>
    <row r="95" spans="1:2" x14ac:dyDescent="0.35">
      <c r="A95" s="19">
        <f>Database!A416</f>
        <v>36781</v>
      </c>
      <c r="B95" s="48">
        <f>VLOOKUP(A95,Database!$A:$V,MATCH(Currency!$B$1,Database!$A$1:$V$1,),)</f>
        <v>1174</v>
      </c>
    </row>
    <row r="96" spans="1:2" x14ac:dyDescent="0.35">
      <c r="A96" s="19">
        <f>Database!A417</f>
        <v>36788</v>
      </c>
      <c r="B96" s="48">
        <f>VLOOKUP(A96,Database!$A:$V,MATCH(Currency!$B$1,Database!$A$1:$V$1,),)</f>
        <v>-4237</v>
      </c>
    </row>
    <row r="97" spans="1:2" x14ac:dyDescent="0.35">
      <c r="A97" s="19">
        <f>Database!A418</f>
        <v>36795</v>
      </c>
      <c r="B97" s="48">
        <f>VLOOKUP(A97,Database!$A:$V,MATCH(Currency!$B$1,Database!$A$1:$V$1,),)</f>
        <v>149</v>
      </c>
    </row>
    <row r="98" spans="1:2" x14ac:dyDescent="0.35">
      <c r="A98" s="19">
        <f>Database!A419</f>
        <v>36802</v>
      </c>
      <c r="B98" s="48">
        <f>VLOOKUP(A98,Database!$A:$V,MATCH(Currency!$B$1,Database!$A$1:$V$1,),)</f>
        <v>3393</v>
      </c>
    </row>
    <row r="99" spans="1:2" x14ac:dyDescent="0.35">
      <c r="A99" s="19">
        <f>Database!A420</f>
        <v>36809</v>
      </c>
      <c r="B99" s="48">
        <f>VLOOKUP(A99,Database!$A:$V,MATCH(Currency!$B$1,Database!$A$1:$V$1,),)</f>
        <v>5403</v>
      </c>
    </row>
    <row r="100" spans="1:2" x14ac:dyDescent="0.35">
      <c r="A100" s="19">
        <f>Database!A421</f>
        <v>36816</v>
      </c>
      <c r="B100" s="48">
        <f>VLOOKUP(A100,Database!$A:$V,MATCH(Currency!$B$1,Database!$A$1:$V$1,),)</f>
        <v>1720</v>
      </c>
    </row>
    <row r="101" spans="1:2" x14ac:dyDescent="0.35">
      <c r="A101" s="19">
        <f>Database!A422</f>
        <v>36823</v>
      </c>
      <c r="B101" s="48">
        <f>VLOOKUP(A101,Database!$A:$V,MATCH(Currency!$B$1,Database!$A$1:$V$1,),)</f>
        <v>1833</v>
      </c>
    </row>
    <row r="102" spans="1:2" x14ac:dyDescent="0.35">
      <c r="A102" s="19">
        <f>Database!A423</f>
        <v>36830</v>
      </c>
      <c r="B102" s="48">
        <f>VLOOKUP(A102,Database!$A:$V,MATCH(Currency!$B$1,Database!$A$1:$V$1,),)</f>
        <v>2173</v>
      </c>
    </row>
    <row r="103" spans="1:2" x14ac:dyDescent="0.35">
      <c r="A103" s="19">
        <f>Database!A424</f>
        <v>36837</v>
      </c>
      <c r="B103" s="48">
        <f>VLOOKUP(A103,Database!$A:$V,MATCH(Currency!$B$1,Database!$A$1:$V$1,),)</f>
        <v>3778</v>
      </c>
    </row>
    <row r="104" spans="1:2" x14ac:dyDescent="0.35">
      <c r="A104" s="19">
        <f>Database!A425</f>
        <v>36844</v>
      </c>
      <c r="B104" s="48">
        <f>VLOOKUP(A104,Database!$A:$V,MATCH(Currency!$B$1,Database!$A$1:$V$1,),)</f>
        <v>2735</v>
      </c>
    </row>
    <row r="105" spans="1:2" x14ac:dyDescent="0.35">
      <c r="A105" s="19">
        <f>Database!A426</f>
        <v>36851</v>
      </c>
      <c r="B105" s="48">
        <f>VLOOKUP(A105,Database!$A:$V,MATCH(Currency!$B$1,Database!$A$1:$V$1,),)</f>
        <v>5908</v>
      </c>
    </row>
    <row r="106" spans="1:2" x14ac:dyDescent="0.35">
      <c r="A106" s="19">
        <f>Database!A427</f>
        <v>36858</v>
      </c>
      <c r="B106" s="48">
        <f>VLOOKUP(A106,Database!$A:$V,MATCH(Currency!$B$1,Database!$A$1:$V$1,),)</f>
        <v>6941</v>
      </c>
    </row>
    <row r="107" spans="1:2" x14ac:dyDescent="0.35">
      <c r="A107" s="19">
        <f>Database!A428</f>
        <v>36865</v>
      </c>
      <c r="B107" s="48">
        <f>VLOOKUP(A107,Database!$A:$V,MATCH(Currency!$B$1,Database!$A$1:$V$1,),)</f>
        <v>16028</v>
      </c>
    </row>
    <row r="108" spans="1:2" x14ac:dyDescent="0.35">
      <c r="A108" s="19">
        <f>Database!A429</f>
        <v>36872</v>
      </c>
      <c r="B108" s="48">
        <f>VLOOKUP(A108,Database!$A:$V,MATCH(Currency!$B$1,Database!$A$1:$V$1,),)</f>
        <v>19532</v>
      </c>
    </row>
    <row r="109" spans="1:2" x14ac:dyDescent="0.35">
      <c r="A109" s="19">
        <f>Database!A430</f>
        <v>36879</v>
      </c>
      <c r="B109" s="48">
        <f>VLOOKUP(A109,Database!$A:$V,MATCH(Currency!$B$1,Database!$A$1:$V$1,),)</f>
        <v>21814</v>
      </c>
    </row>
    <row r="110" spans="1:2" x14ac:dyDescent="0.35">
      <c r="A110" s="19">
        <f>Database!A431</f>
        <v>36886</v>
      </c>
      <c r="B110" s="48">
        <f>VLOOKUP(A110,Database!$A:$V,MATCH(Currency!$B$1,Database!$A$1:$V$1,),)</f>
        <v>26380</v>
      </c>
    </row>
    <row r="111" spans="1:2" x14ac:dyDescent="0.35">
      <c r="A111" s="19">
        <f>Database!A432</f>
        <v>36893</v>
      </c>
      <c r="B111" s="48">
        <f>VLOOKUP(A111,Database!$A:$V,MATCH(Currency!$B$1,Database!$A$1:$V$1,),)</f>
        <v>27074</v>
      </c>
    </row>
    <row r="112" spans="1:2" x14ac:dyDescent="0.35">
      <c r="A112" s="19">
        <f>Database!A433</f>
        <v>36900</v>
      </c>
      <c r="B112" s="48">
        <f>VLOOKUP(A112,Database!$A:$V,MATCH(Currency!$B$1,Database!$A$1:$V$1,),)</f>
        <v>23832</v>
      </c>
    </row>
    <row r="113" spans="1:2" x14ac:dyDescent="0.35">
      <c r="A113" s="19">
        <f>Database!A434</f>
        <v>36907</v>
      </c>
      <c r="B113" s="48">
        <f>VLOOKUP(A113,Database!$A:$V,MATCH(Currency!$B$1,Database!$A$1:$V$1,),)</f>
        <v>20735</v>
      </c>
    </row>
    <row r="114" spans="1:2" x14ac:dyDescent="0.35">
      <c r="A114" s="19">
        <f>Database!A435</f>
        <v>36914</v>
      </c>
      <c r="B114" s="48">
        <f>VLOOKUP(A114,Database!$A:$V,MATCH(Currency!$B$1,Database!$A$1:$V$1,),)</f>
        <v>17242</v>
      </c>
    </row>
    <row r="115" spans="1:2" x14ac:dyDescent="0.35">
      <c r="A115" s="19">
        <f>Database!A436</f>
        <v>36921</v>
      </c>
      <c r="B115" s="48">
        <f>VLOOKUP(A115,Database!$A:$V,MATCH(Currency!$B$1,Database!$A$1:$V$1,),)</f>
        <v>16160</v>
      </c>
    </row>
    <row r="116" spans="1:2" x14ac:dyDescent="0.35">
      <c r="A116" s="19">
        <f>Database!A437</f>
        <v>36928</v>
      </c>
      <c r="B116" s="48">
        <f>VLOOKUP(A116,Database!$A:$V,MATCH(Currency!$B$1,Database!$A$1:$V$1,),)</f>
        <v>14335</v>
      </c>
    </row>
    <row r="117" spans="1:2" x14ac:dyDescent="0.35">
      <c r="A117" s="19">
        <f>Database!A438</f>
        <v>36935</v>
      </c>
      <c r="B117" s="48">
        <f>VLOOKUP(A117,Database!$A:$V,MATCH(Currency!$B$1,Database!$A$1:$V$1,),)</f>
        <v>14702</v>
      </c>
    </row>
    <row r="118" spans="1:2" x14ac:dyDescent="0.35">
      <c r="A118" s="19">
        <f>Database!A439</f>
        <v>36942</v>
      </c>
      <c r="B118" s="48">
        <f>VLOOKUP(A118,Database!$A:$V,MATCH(Currency!$B$1,Database!$A$1:$V$1,),)</f>
        <v>10002</v>
      </c>
    </row>
    <row r="119" spans="1:2" x14ac:dyDescent="0.35">
      <c r="A119" s="19">
        <f>Database!A440</f>
        <v>36949</v>
      </c>
      <c r="B119" s="48">
        <f>VLOOKUP(A119,Database!$A:$V,MATCH(Currency!$B$1,Database!$A$1:$V$1,),)</f>
        <v>9513</v>
      </c>
    </row>
    <row r="120" spans="1:2" x14ac:dyDescent="0.35">
      <c r="A120" s="19">
        <f>Database!A441</f>
        <v>36956</v>
      </c>
      <c r="B120" s="48">
        <f>VLOOKUP(A120,Database!$A:$V,MATCH(Currency!$B$1,Database!$A$1:$V$1,),)</f>
        <v>17064</v>
      </c>
    </row>
    <row r="121" spans="1:2" x14ac:dyDescent="0.35">
      <c r="A121" s="19">
        <f>Database!A442</f>
        <v>36963</v>
      </c>
      <c r="B121" s="48">
        <f>VLOOKUP(A121,Database!$A:$V,MATCH(Currency!$B$1,Database!$A$1:$V$1,),)</f>
        <v>7827</v>
      </c>
    </row>
    <row r="122" spans="1:2" x14ac:dyDescent="0.35">
      <c r="A122" s="19">
        <f>Database!A443</f>
        <v>36970</v>
      </c>
      <c r="B122" s="48">
        <f>VLOOKUP(A122,Database!$A:$V,MATCH(Currency!$B$1,Database!$A$1:$V$1,),)</f>
        <v>2613</v>
      </c>
    </row>
    <row r="123" spans="1:2" x14ac:dyDescent="0.35">
      <c r="A123" s="19">
        <f>Database!A444</f>
        <v>36977</v>
      </c>
      <c r="B123" s="48">
        <f>VLOOKUP(A123,Database!$A:$V,MATCH(Currency!$B$1,Database!$A$1:$V$1,),)</f>
        <v>3884</v>
      </c>
    </row>
    <row r="124" spans="1:2" x14ac:dyDescent="0.35">
      <c r="A124" s="19">
        <f>Database!A445</f>
        <v>36984</v>
      </c>
      <c r="B124" s="48">
        <f>VLOOKUP(A124,Database!$A:$V,MATCH(Currency!$B$1,Database!$A$1:$V$1,),)</f>
        <v>6775</v>
      </c>
    </row>
    <row r="125" spans="1:2" x14ac:dyDescent="0.35">
      <c r="A125" s="19">
        <f>Database!A446</f>
        <v>36991</v>
      </c>
      <c r="B125" s="48">
        <f>VLOOKUP(A125,Database!$A:$V,MATCH(Currency!$B$1,Database!$A$1:$V$1,),)</f>
        <v>5745</v>
      </c>
    </row>
    <row r="126" spans="1:2" x14ac:dyDescent="0.35">
      <c r="A126" s="19">
        <f>Database!A447</f>
        <v>36998</v>
      </c>
      <c r="B126" s="48">
        <f>VLOOKUP(A126,Database!$A:$V,MATCH(Currency!$B$1,Database!$A$1:$V$1,),)</f>
        <v>4993</v>
      </c>
    </row>
    <row r="127" spans="1:2" x14ac:dyDescent="0.35">
      <c r="A127" s="19">
        <f>Database!A448</f>
        <v>37005</v>
      </c>
      <c r="B127" s="48">
        <f>VLOOKUP(A127,Database!$A:$V,MATCH(Currency!$B$1,Database!$A$1:$V$1,),)</f>
        <v>7303</v>
      </c>
    </row>
    <row r="128" spans="1:2" x14ac:dyDescent="0.35">
      <c r="A128" s="19">
        <f>Database!A449</f>
        <v>37012</v>
      </c>
      <c r="B128" s="48">
        <f>VLOOKUP(A128,Database!$A:$V,MATCH(Currency!$B$1,Database!$A$1:$V$1,),)</f>
        <v>6044</v>
      </c>
    </row>
    <row r="129" spans="1:2" x14ac:dyDescent="0.35">
      <c r="A129" s="19">
        <f>Database!A450</f>
        <v>37019</v>
      </c>
      <c r="B129" s="48">
        <f>VLOOKUP(A129,Database!$A:$V,MATCH(Currency!$B$1,Database!$A$1:$V$1,),)</f>
        <v>4354</v>
      </c>
    </row>
    <row r="130" spans="1:2" x14ac:dyDescent="0.35">
      <c r="A130" s="19">
        <f>Database!A451</f>
        <v>37026</v>
      </c>
      <c r="B130" s="48">
        <f>VLOOKUP(A130,Database!$A:$V,MATCH(Currency!$B$1,Database!$A$1:$V$1,),)</f>
        <v>3408</v>
      </c>
    </row>
    <row r="131" spans="1:2" x14ac:dyDescent="0.35">
      <c r="A131" s="19">
        <f>Database!A452</f>
        <v>37033</v>
      </c>
      <c r="B131" s="48">
        <f>VLOOKUP(A131,Database!$A:$V,MATCH(Currency!$B$1,Database!$A$1:$V$1,),)</f>
        <v>-5453</v>
      </c>
    </row>
    <row r="132" spans="1:2" x14ac:dyDescent="0.35">
      <c r="A132" s="19">
        <f>Database!A453</f>
        <v>37040</v>
      </c>
      <c r="B132" s="48">
        <f>VLOOKUP(A132,Database!$A:$V,MATCH(Currency!$B$1,Database!$A$1:$V$1,),)</f>
        <v>-2931</v>
      </c>
    </row>
    <row r="133" spans="1:2" x14ac:dyDescent="0.35">
      <c r="A133" s="19">
        <f>Database!A454</f>
        <v>37047</v>
      </c>
      <c r="B133" s="48">
        <f>VLOOKUP(A133,Database!$A:$V,MATCH(Currency!$B$1,Database!$A$1:$V$1,),)</f>
        <v>-4813</v>
      </c>
    </row>
    <row r="134" spans="1:2" x14ac:dyDescent="0.35">
      <c r="A134" s="19">
        <f>Database!A455</f>
        <v>37054</v>
      </c>
      <c r="B134" s="48">
        <f>VLOOKUP(A134,Database!$A:$V,MATCH(Currency!$B$1,Database!$A$1:$V$1,),)</f>
        <v>-4588</v>
      </c>
    </row>
    <row r="135" spans="1:2" x14ac:dyDescent="0.35">
      <c r="A135" s="19">
        <f>Database!A456</f>
        <v>37061</v>
      </c>
      <c r="B135" s="48">
        <f>VLOOKUP(A135,Database!$A:$V,MATCH(Currency!$B$1,Database!$A$1:$V$1,),)</f>
        <v>3633</v>
      </c>
    </row>
    <row r="136" spans="1:2" x14ac:dyDescent="0.35">
      <c r="A136" s="19">
        <f>Database!A457</f>
        <v>37068</v>
      </c>
      <c r="B136" s="48">
        <f>VLOOKUP(A136,Database!$A:$V,MATCH(Currency!$B$1,Database!$A$1:$V$1,),)</f>
        <v>3175</v>
      </c>
    </row>
    <row r="137" spans="1:2" x14ac:dyDescent="0.35">
      <c r="A137" s="19">
        <f>Database!A458</f>
        <v>37075</v>
      </c>
      <c r="B137" s="48">
        <f>VLOOKUP(A137,Database!$A:$V,MATCH(Currency!$B$1,Database!$A$1:$V$1,),)</f>
        <v>3246</v>
      </c>
    </row>
    <row r="138" spans="1:2" x14ac:dyDescent="0.35">
      <c r="A138" s="19">
        <f>Database!A459</f>
        <v>37082</v>
      </c>
      <c r="B138" s="48">
        <f>VLOOKUP(A138,Database!$A:$V,MATCH(Currency!$B$1,Database!$A$1:$V$1,),)</f>
        <v>6651</v>
      </c>
    </row>
    <row r="139" spans="1:2" x14ac:dyDescent="0.35">
      <c r="A139" s="19">
        <f>Database!A460</f>
        <v>37089</v>
      </c>
      <c r="B139" s="48">
        <f>VLOOKUP(A139,Database!$A:$V,MATCH(Currency!$B$1,Database!$A$1:$V$1,),)</f>
        <v>9043</v>
      </c>
    </row>
    <row r="140" spans="1:2" x14ac:dyDescent="0.35">
      <c r="A140" s="19">
        <f>Database!A461</f>
        <v>37096</v>
      </c>
      <c r="B140" s="48">
        <f>VLOOKUP(A140,Database!$A:$V,MATCH(Currency!$B$1,Database!$A$1:$V$1,),)</f>
        <v>14291</v>
      </c>
    </row>
    <row r="141" spans="1:2" x14ac:dyDescent="0.35">
      <c r="A141" s="19">
        <f>Database!A462</f>
        <v>37103</v>
      </c>
      <c r="B141" s="48">
        <f>VLOOKUP(A141,Database!$A:$V,MATCH(Currency!$B$1,Database!$A$1:$V$1,),)</f>
        <v>16083</v>
      </c>
    </row>
    <row r="142" spans="1:2" x14ac:dyDescent="0.35">
      <c r="A142" s="19">
        <f>Database!A463</f>
        <v>37110</v>
      </c>
      <c r="B142" s="48">
        <f>VLOOKUP(A142,Database!$A:$V,MATCH(Currency!$B$1,Database!$A$1:$V$1,),)</f>
        <v>16640</v>
      </c>
    </row>
    <row r="143" spans="1:2" x14ac:dyDescent="0.35">
      <c r="A143" s="19">
        <f>Database!A464</f>
        <v>37117</v>
      </c>
      <c r="B143" s="48">
        <f>VLOOKUP(A143,Database!$A:$V,MATCH(Currency!$B$1,Database!$A$1:$V$1,),)</f>
        <v>24353</v>
      </c>
    </row>
    <row r="144" spans="1:2" x14ac:dyDescent="0.35">
      <c r="A144" s="19">
        <f>Database!A465</f>
        <v>37124</v>
      </c>
      <c r="B144" s="48">
        <f>VLOOKUP(A144,Database!$A:$V,MATCH(Currency!$B$1,Database!$A$1:$V$1,),)</f>
        <v>28970</v>
      </c>
    </row>
    <row r="145" spans="1:2" x14ac:dyDescent="0.35">
      <c r="A145" s="19">
        <f>Database!A466</f>
        <v>37131</v>
      </c>
      <c r="B145" s="48">
        <f>VLOOKUP(A145,Database!$A:$V,MATCH(Currency!$B$1,Database!$A$1:$V$1,),)</f>
        <v>29505</v>
      </c>
    </row>
    <row r="146" spans="1:2" x14ac:dyDescent="0.35">
      <c r="A146" s="19">
        <f>Database!A467</f>
        <v>37138</v>
      </c>
      <c r="B146" s="48">
        <f>VLOOKUP(A146,Database!$A:$V,MATCH(Currency!$B$1,Database!$A$1:$V$1,),)</f>
        <v>21821</v>
      </c>
    </row>
    <row r="147" spans="1:2" x14ac:dyDescent="0.35">
      <c r="A147" s="19">
        <f>Database!A468</f>
        <v>37145</v>
      </c>
      <c r="B147" s="48">
        <f>VLOOKUP(A147,Database!$A:$V,MATCH(Currency!$B$1,Database!$A$1:$V$1,),)</f>
        <v>17849</v>
      </c>
    </row>
    <row r="148" spans="1:2" x14ac:dyDescent="0.35">
      <c r="A148" s="19">
        <f>Database!A469</f>
        <v>37152</v>
      </c>
      <c r="B148" s="48">
        <f>VLOOKUP(A148,Database!$A:$V,MATCH(Currency!$B$1,Database!$A$1:$V$1,),)</f>
        <v>24437</v>
      </c>
    </row>
    <row r="149" spans="1:2" x14ac:dyDescent="0.35">
      <c r="A149" s="19">
        <f>Database!A470</f>
        <v>37159</v>
      </c>
      <c r="B149" s="48">
        <f>VLOOKUP(A149,Database!$A:$V,MATCH(Currency!$B$1,Database!$A$1:$V$1,),)</f>
        <v>27848</v>
      </c>
    </row>
    <row r="150" spans="1:2" x14ac:dyDescent="0.35">
      <c r="A150" s="19">
        <f>Database!A471</f>
        <v>37166</v>
      </c>
      <c r="B150" s="48">
        <f>VLOOKUP(A150,Database!$A:$V,MATCH(Currency!$B$1,Database!$A$1:$V$1,),)</f>
        <v>24952</v>
      </c>
    </row>
    <row r="151" spans="1:2" x14ac:dyDescent="0.35">
      <c r="A151" s="19">
        <f>Database!A472</f>
        <v>37173</v>
      </c>
      <c r="B151" s="48">
        <f>VLOOKUP(A151,Database!$A:$V,MATCH(Currency!$B$1,Database!$A$1:$V$1,),)</f>
        <v>22441</v>
      </c>
    </row>
    <row r="152" spans="1:2" x14ac:dyDescent="0.35">
      <c r="A152" s="19">
        <f>Database!A473</f>
        <v>37180</v>
      </c>
      <c r="B152" s="48">
        <f>VLOOKUP(A152,Database!$A:$V,MATCH(Currency!$B$1,Database!$A$1:$V$1,),)</f>
        <v>17616</v>
      </c>
    </row>
    <row r="153" spans="1:2" x14ac:dyDescent="0.35">
      <c r="A153" s="19">
        <f>Database!A474</f>
        <v>37187</v>
      </c>
      <c r="B153" s="48">
        <f>VLOOKUP(A153,Database!$A:$V,MATCH(Currency!$B$1,Database!$A$1:$V$1,),)</f>
        <v>9390</v>
      </c>
    </row>
    <row r="154" spans="1:2" x14ac:dyDescent="0.35">
      <c r="A154" s="19">
        <f>Database!A475</f>
        <v>37194</v>
      </c>
      <c r="B154" s="48">
        <f>VLOOKUP(A154,Database!$A:$V,MATCH(Currency!$B$1,Database!$A$1:$V$1,),)</f>
        <v>16686</v>
      </c>
    </row>
    <row r="155" spans="1:2" x14ac:dyDescent="0.35">
      <c r="A155" s="19">
        <f>Database!A476</f>
        <v>37201</v>
      </c>
      <c r="B155" s="48">
        <f>VLOOKUP(A155,Database!$A:$V,MATCH(Currency!$B$1,Database!$A$1:$V$1,),)</f>
        <v>15352</v>
      </c>
    </row>
    <row r="156" spans="1:2" x14ac:dyDescent="0.35">
      <c r="A156" s="19">
        <f>Database!A477</f>
        <v>37208</v>
      </c>
      <c r="B156" s="48">
        <f>VLOOKUP(A156,Database!$A:$V,MATCH(Currency!$B$1,Database!$A$1:$V$1,),)</f>
        <v>484</v>
      </c>
    </row>
    <row r="157" spans="1:2" x14ac:dyDescent="0.35">
      <c r="A157" s="19">
        <f>Database!A478</f>
        <v>37215</v>
      </c>
      <c r="B157" s="48">
        <f>VLOOKUP(A157,Database!$A:$V,MATCH(Currency!$B$1,Database!$A$1:$V$1,),)</f>
        <v>-286</v>
      </c>
    </row>
    <row r="158" spans="1:2" x14ac:dyDescent="0.35">
      <c r="A158" s="19">
        <f>Database!A479</f>
        <v>37222</v>
      </c>
      <c r="B158" s="48">
        <f>VLOOKUP(A158,Database!$A:$V,MATCH(Currency!$B$1,Database!$A$1:$V$1,),)</f>
        <v>915</v>
      </c>
    </row>
    <row r="159" spans="1:2" x14ac:dyDescent="0.35">
      <c r="A159" s="19">
        <f>Database!A480</f>
        <v>37229</v>
      </c>
      <c r="B159" s="48">
        <f>VLOOKUP(A159,Database!$A:$V,MATCH(Currency!$B$1,Database!$A$1:$V$1,),)</f>
        <v>13846</v>
      </c>
    </row>
    <row r="160" spans="1:2" x14ac:dyDescent="0.35">
      <c r="A160" s="19">
        <f>Database!A481</f>
        <v>37236</v>
      </c>
      <c r="B160" s="48">
        <f>VLOOKUP(A160,Database!$A:$V,MATCH(Currency!$B$1,Database!$A$1:$V$1,),)</f>
        <v>11906</v>
      </c>
    </row>
    <row r="161" spans="1:2" x14ac:dyDescent="0.35">
      <c r="A161" s="19">
        <f>Database!A482</f>
        <v>37243</v>
      </c>
      <c r="B161" s="48">
        <f>VLOOKUP(A161,Database!$A:$V,MATCH(Currency!$B$1,Database!$A$1:$V$1,),)</f>
        <v>11871</v>
      </c>
    </row>
    <row r="162" spans="1:2" x14ac:dyDescent="0.35">
      <c r="A162" s="19">
        <f>Database!A483</f>
        <v>37250</v>
      </c>
      <c r="B162" s="48">
        <f>VLOOKUP(A162,Database!$A:$V,MATCH(Currency!$B$1,Database!$A$1:$V$1,),)</f>
        <v>11422</v>
      </c>
    </row>
    <row r="163" spans="1:2" x14ac:dyDescent="0.35">
      <c r="A163" s="19">
        <f>Database!A484</f>
        <v>37257</v>
      </c>
      <c r="B163" s="48">
        <f>VLOOKUP(A163,Database!$A:$V,MATCH(Currency!$B$1,Database!$A$1:$V$1,),)</f>
        <v>11182</v>
      </c>
    </row>
    <row r="164" spans="1:2" x14ac:dyDescent="0.35">
      <c r="A164" s="19">
        <f>Database!A485</f>
        <v>37264</v>
      </c>
      <c r="B164" s="48">
        <f>VLOOKUP(A164,Database!$A:$V,MATCH(Currency!$B$1,Database!$A$1:$V$1,),)</f>
        <v>14773</v>
      </c>
    </row>
    <row r="165" spans="1:2" x14ac:dyDescent="0.35">
      <c r="A165" s="19">
        <f>Database!A486</f>
        <v>37271</v>
      </c>
      <c r="B165" s="48">
        <f>VLOOKUP(A165,Database!$A:$V,MATCH(Currency!$B$1,Database!$A$1:$V$1,),)</f>
        <v>12096</v>
      </c>
    </row>
    <row r="166" spans="1:2" x14ac:dyDescent="0.35">
      <c r="A166" s="19">
        <f>Database!A487</f>
        <v>37278</v>
      </c>
      <c r="B166" s="48">
        <f>VLOOKUP(A166,Database!$A:$V,MATCH(Currency!$B$1,Database!$A$1:$V$1,),)</f>
        <v>17289</v>
      </c>
    </row>
    <row r="167" spans="1:2" x14ac:dyDescent="0.35">
      <c r="A167" s="19">
        <f>Database!A488</f>
        <v>37285</v>
      </c>
      <c r="B167" s="48">
        <f>VLOOKUP(A167,Database!$A:$V,MATCH(Currency!$B$1,Database!$A$1:$V$1,),)</f>
        <v>855</v>
      </c>
    </row>
    <row r="168" spans="1:2" x14ac:dyDescent="0.35">
      <c r="A168" s="19">
        <f>Database!A489</f>
        <v>37292</v>
      </c>
      <c r="B168" s="48">
        <f>VLOOKUP(A168,Database!$A:$V,MATCH(Currency!$B$1,Database!$A$1:$V$1,),)</f>
        <v>2323</v>
      </c>
    </row>
    <row r="169" spans="1:2" x14ac:dyDescent="0.35">
      <c r="A169" s="19">
        <f>Database!A490</f>
        <v>37299</v>
      </c>
      <c r="B169" s="48">
        <f>VLOOKUP(A169,Database!$A:$V,MATCH(Currency!$B$1,Database!$A$1:$V$1,),)</f>
        <v>3254</v>
      </c>
    </row>
    <row r="170" spans="1:2" x14ac:dyDescent="0.35">
      <c r="A170" s="19">
        <f>Database!A491</f>
        <v>37306</v>
      </c>
      <c r="B170" s="48">
        <f>VLOOKUP(A170,Database!$A:$V,MATCH(Currency!$B$1,Database!$A$1:$V$1,),)</f>
        <v>8647</v>
      </c>
    </row>
    <row r="171" spans="1:2" x14ac:dyDescent="0.35">
      <c r="A171" s="19">
        <f>Database!A492</f>
        <v>37313</v>
      </c>
      <c r="B171" s="48">
        <f>VLOOKUP(A171,Database!$A:$V,MATCH(Currency!$B$1,Database!$A$1:$V$1,),)</f>
        <v>3133</v>
      </c>
    </row>
    <row r="172" spans="1:2" x14ac:dyDescent="0.35">
      <c r="A172" s="19">
        <f>Database!A493</f>
        <v>37320</v>
      </c>
      <c r="B172" s="48">
        <f>VLOOKUP(A172,Database!$A:$V,MATCH(Currency!$B$1,Database!$A$1:$V$1,),)</f>
        <v>6288</v>
      </c>
    </row>
    <row r="173" spans="1:2" x14ac:dyDescent="0.35">
      <c r="A173" s="19">
        <f>Database!A494</f>
        <v>37327</v>
      </c>
      <c r="B173" s="48">
        <f>VLOOKUP(A173,Database!$A:$V,MATCH(Currency!$B$1,Database!$A$1:$V$1,),)</f>
        <v>15461</v>
      </c>
    </row>
    <row r="174" spans="1:2" x14ac:dyDescent="0.35">
      <c r="A174" s="19">
        <f>Database!A495</f>
        <v>37334</v>
      </c>
      <c r="B174" s="48">
        <f>VLOOKUP(A174,Database!$A:$V,MATCH(Currency!$B$1,Database!$A$1:$V$1,),)</f>
        <v>21256</v>
      </c>
    </row>
    <row r="175" spans="1:2" x14ac:dyDescent="0.35">
      <c r="A175" s="19">
        <f>Database!A496</f>
        <v>37341</v>
      </c>
      <c r="B175" s="48">
        <f>VLOOKUP(A175,Database!$A:$V,MATCH(Currency!$B$1,Database!$A$1:$V$1,),)</f>
        <v>23293</v>
      </c>
    </row>
    <row r="176" spans="1:2" x14ac:dyDescent="0.35">
      <c r="A176" s="19">
        <f>Database!A497</f>
        <v>37348</v>
      </c>
      <c r="B176" s="48">
        <f>VLOOKUP(A176,Database!$A:$V,MATCH(Currency!$B$1,Database!$A$1:$V$1,),)</f>
        <v>26158</v>
      </c>
    </row>
    <row r="177" spans="1:2" x14ac:dyDescent="0.35">
      <c r="A177" s="19">
        <f>Database!A498</f>
        <v>37355</v>
      </c>
      <c r="B177" s="48">
        <f>VLOOKUP(A177,Database!$A:$V,MATCH(Currency!$B$1,Database!$A$1:$V$1,),)</f>
        <v>19441</v>
      </c>
    </row>
    <row r="178" spans="1:2" x14ac:dyDescent="0.35">
      <c r="A178" s="19">
        <f>Database!A499</f>
        <v>37362</v>
      </c>
      <c r="B178" s="48">
        <f>VLOOKUP(A178,Database!$A:$V,MATCH(Currency!$B$1,Database!$A$1:$V$1,),)</f>
        <v>27627</v>
      </c>
    </row>
    <row r="179" spans="1:2" x14ac:dyDescent="0.35">
      <c r="A179" s="19">
        <f>Database!A500</f>
        <v>37369</v>
      </c>
      <c r="B179" s="48">
        <f>VLOOKUP(A179,Database!$A:$V,MATCH(Currency!$B$1,Database!$A$1:$V$1,),)</f>
        <v>29623</v>
      </c>
    </row>
    <row r="180" spans="1:2" x14ac:dyDescent="0.35">
      <c r="A180" s="19">
        <f>Database!A501</f>
        <v>37376</v>
      </c>
      <c r="B180" s="48">
        <f>VLOOKUP(A180,Database!$A:$V,MATCH(Currency!$B$1,Database!$A$1:$V$1,),)</f>
        <v>31472</v>
      </c>
    </row>
    <row r="181" spans="1:2" x14ac:dyDescent="0.35">
      <c r="A181" s="19">
        <f>Database!A502</f>
        <v>37383</v>
      </c>
      <c r="B181" s="48">
        <f>VLOOKUP(A181,Database!$A:$V,MATCH(Currency!$B$1,Database!$A$1:$V$1,),)</f>
        <v>35433</v>
      </c>
    </row>
    <row r="182" spans="1:2" x14ac:dyDescent="0.35">
      <c r="A182" s="19">
        <f>Database!A503</f>
        <v>37390</v>
      </c>
      <c r="B182" s="48">
        <f>VLOOKUP(A182,Database!$A:$V,MATCH(Currency!$B$1,Database!$A$1:$V$1,),)</f>
        <v>34600</v>
      </c>
    </row>
    <row r="183" spans="1:2" x14ac:dyDescent="0.35">
      <c r="A183" s="19">
        <f>Database!A504</f>
        <v>37397</v>
      </c>
      <c r="B183" s="48">
        <f>VLOOKUP(A183,Database!$A:$V,MATCH(Currency!$B$1,Database!$A$1:$V$1,),)</f>
        <v>31173</v>
      </c>
    </row>
    <row r="184" spans="1:2" x14ac:dyDescent="0.35">
      <c r="A184" s="19">
        <f>Database!A505</f>
        <v>37404</v>
      </c>
      <c r="B184" s="48">
        <f>VLOOKUP(A184,Database!$A:$V,MATCH(Currency!$B$1,Database!$A$1:$V$1,),)</f>
        <v>31725</v>
      </c>
    </row>
    <row r="185" spans="1:2" x14ac:dyDescent="0.35">
      <c r="A185" s="19">
        <f>Database!A506</f>
        <v>37411</v>
      </c>
      <c r="B185" s="48">
        <f>VLOOKUP(A185,Database!$A:$V,MATCH(Currency!$B$1,Database!$A$1:$V$1,),)</f>
        <v>31616</v>
      </c>
    </row>
    <row r="186" spans="1:2" x14ac:dyDescent="0.35">
      <c r="A186" s="19">
        <f>Database!A507</f>
        <v>37418</v>
      </c>
      <c r="B186" s="48">
        <f>VLOOKUP(A186,Database!$A:$V,MATCH(Currency!$B$1,Database!$A$1:$V$1,),)</f>
        <v>28367</v>
      </c>
    </row>
    <row r="187" spans="1:2" x14ac:dyDescent="0.35">
      <c r="A187" s="19">
        <f>Database!A508</f>
        <v>37425</v>
      </c>
      <c r="B187" s="48">
        <f>VLOOKUP(A187,Database!$A:$V,MATCH(Currency!$B$1,Database!$A$1:$V$1,),)</f>
        <v>29457</v>
      </c>
    </row>
    <row r="188" spans="1:2" x14ac:dyDescent="0.35">
      <c r="A188" s="19">
        <f>Database!A509</f>
        <v>37432</v>
      </c>
      <c r="B188" s="48">
        <f>VLOOKUP(A188,Database!$A:$V,MATCH(Currency!$B$1,Database!$A$1:$V$1,),)</f>
        <v>22524</v>
      </c>
    </row>
    <row r="189" spans="1:2" x14ac:dyDescent="0.35">
      <c r="A189" s="19">
        <f>Database!A510</f>
        <v>37439</v>
      </c>
      <c r="B189" s="48">
        <f>VLOOKUP(A189,Database!$A:$V,MATCH(Currency!$B$1,Database!$A$1:$V$1,),)</f>
        <v>24395</v>
      </c>
    </row>
    <row r="190" spans="1:2" x14ac:dyDescent="0.35">
      <c r="A190" s="19">
        <f>Database!A511</f>
        <v>37446</v>
      </c>
      <c r="B190" s="48">
        <f>VLOOKUP(A190,Database!$A:$V,MATCH(Currency!$B$1,Database!$A$1:$V$1,),)</f>
        <v>24082</v>
      </c>
    </row>
    <row r="191" spans="1:2" x14ac:dyDescent="0.35">
      <c r="A191" s="19">
        <f>Database!A512</f>
        <v>37453</v>
      </c>
      <c r="B191" s="48">
        <f>VLOOKUP(A191,Database!$A:$V,MATCH(Currency!$B$1,Database!$A$1:$V$1,),)</f>
        <v>26654</v>
      </c>
    </row>
    <row r="192" spans="1:2" x14ac:dyDescent="0.35">
      <c r="A192" s="19">
        <f>Database!A513</f>
        <v>37460</v>
      </c>
      <c r="B192" s="48">
        <f>VLOOKUP(A192,Database!$A:$V,MATCH(Currency!$B$1,Database!$A$1:$V$1,),)</f>
        <v>25678</v>
      </c>
    </row>
    <row r="193" spans="1:2" x14ac:dyDescent="0.35">
      <c r="A193" s="19">
        <f>Database!A514</f>
        <v>37467</v>
      </c>
      <c r="B193" s="48">
        <f>VLOOKUP(A193,Database!$A:$V,MATCH(Currency!$B$1,Database!$A$1:$V$1,),)</f>
        <v>25483</v>
      </c>
    </row>
    <row r="194" spans="1:2" x14ac:dyDescent="0.35">
      <c r="A194" s="19">
        <f>Database!A515</f>
        <v>37474</v>
      </c>
      <c r="B194" s="48">
        <f>VLOOKUP(A194,Database!$A:$V,MATCH(Currency!$B$1,Database!$A$1:$V$1,),)</f>
        <v>20022</v>
      </c>
    </row>
    <row r="195" spans="1:2" x14ac:dyDescent="0.35">
      <c r="A195" s="19">
        <f>Database!A516</f>
        <v>37481</v>
      </c>
      <c r="B195" s="48">
        <f>VLOOKUP(A195,Database!$A:$V,MATCH(Currency!$B$1,Database!$A$1:$V$1,),)</f>
        <v>19782</v>
      </c>
    </row>
    <row r="196" spans="1:2" x14ac:dyDescent="0.35">
      <c r="A196" s="19">
        <f>Database!A517</f>
        <v>37488</v>
      </c>
      <c r="B196" s="48">
        <f>VLOOKUP(A196,Database!$A:$V,MATCH(Currency!$B$1,Database!$A$1:$V$1,),)</f>
        <v>17863</v>
      </c>
    </row>
    <row r="197" spans="1:2" x14ac:dyDescent="0.35">
      <c r="A197" s="19">
        <f>Database!A518</f>
        <v>37495</v>
      </c>
      <c r="B197" s="48">
        <f>VLOOKUP(A197,Database!$A:$V,MATCH(Currency!$B$1,Database!$A$1:$V$1,),)</f>
        <v>22088</v>
      </c>
    </row>
    <row r="198" spans="1:2" x14ac:dyDescent="0.35">
      <c r="A198" s="19">
        <f>Database!A519</f>
        <v>37502</v>
      </c>
      <c r="B198" s="48">
        <f>VLOOKUP(A198,Database!$A:$V,MATCH(Currency!$B$1,Database!$A$1:$V$1,),)</f>
        <v>25238</v>
      </c>
    </row>
    <row r="199" spans="1:2" x14ac:dyDescent="0.35">
      <c r="A199" s="19">
        <f>Database!A520</f>
        <v>37509</v>
      </c>
      <c r="B199" s="48">
        <f>VLOOKUP(A199,Database!$A:$V,MATCH(Currency!$B$1,Database!$A$1:$V$1,),)</f>
        <v>20351</v>
      </c>
    </row>
    <row r="200" spans="1:2" x14ac:dyDescent="0.35">
      <c r="A200" s="19">
        <f>Database!A521</f>
        <v>37516</v>
      </c>
      <c r="B200" s="48">
        <f>VLOOKUP(A200,Database!$A:$V,MATCH(Currency!$B$1,Database!$A$1:$V$1,),)</f>
        <v>12610</v>
      </c>
    </row>
    <row r="201" spans="1:2" x14ac:dyDescent="0.35">
      <c r="A201" s="19">
        <f>Database!A522</f>
        <v>37523</v>
      </c>
      <c r="B201" s="48">
        <f>VLOOKUP(A201,Database!$A:$V,MATCH(Currency!$B$1,Database!$A$1:$V$1,),)</f>
        <v>14602</v>
      </c>
    </row>
    <row r="202" spans="1:2" x14ac:dyDescent="0.35">
      <c r="A202" s="19">
        <f>Database!A523</f>
        <v>37530</v>
      </c>
      <c r="B202" s="48">
        <f>VLOOKUP(A202,Database!$A:$V,MATCH(Currency!$B$1,Database!$A$1:$V$1,),)</f>
        <v>16937</v>
      </c>
    </row>
    <row r="203" spans="1:2" x14ac:dyDescent="0.35">
      <c r="A203" s="19">
        <f>Database!A524</f>
        <v>37537</v>
      </c>
      <c r="B203" s="48">
        <f>VLOOKUP(A203,Database!$A:$V,MATCH(Currency!$B$1,Database!$A$1:$V$1,),)</f>
        <v>12652</v>
      </c>
    </row>
    <row r="204" spans="1:2" x14ac:dyDescent="0.35">
      <c r="A204" s="19">
        <f>Database!A525</f>
        <v>37544</v>
      </c>
      <c r="B204" s="48">
        <f>VLOOKUP(A204,Database!$A:$V,MATCH(Currency!$B$1,Database!$A$1:$V$1,),)</f>
        <v>21032</v>
      </c>
    </row>
    <row r="205" spans="1:2" x14ac:dyDescent="0.35">
      <c r="A205" s="19">
        <f>Database!A526</f>
        <v>37551</v>
      </c>
      <c r="B205" s="48">
        <f>VLOOKUP(A205,Database!$A:$V,MATCH(Currency!$B$1,Database!$A$1:$V$1,),)</f>
        <v>14068</v>
      </c>
    </row>
    <row r="206" spans="1:2" x14ac:dyDescent="0.35">
      <c r="A206" s="19">
        <f>Database!A527</f>
        <v>37558</v>
      </c>
      <c r="B206" s="48">
        <f>VLOOKUP(A206,Database!$A:$V,MATCH(Currency!$B$1,Database!$A$1:$V$1,),)</f>
        <v>19325</v>
      </c>
    </row>
    <row r="207" spans="1:2" x14ac:dyDescent="0.35">
      <c r="A207" s="19">
        <f>Database!A528</f>
        <v>37565</v>
      </c>
      <c r="B207" s="48">
        <f>VLOOKUP(A207,Database!$A:$V,MATCH(Currency!$B$1,Database!$A$1:$V$1,),)</f>
        <v>31037</v>
      </c>
    </row>
    <row r="208" spans="1:2" x14ac:dyDescent="0.35">
      <c r="A208" s="19">
        <f>Database!A529</f>
        <v>37572</v>
      </c>
      <c r="B208" s="48">
        <f>VLOOKUP(A208,Database!$A:$V,MATCH(Currency!$B$1,Database!$A$1:$V$1,),)</f>
        <v>33277</v>
      </c>
    </row>
    <row r="209" spans="1:2" x14ac:dyDescent="0.35">
      <c r="A209" s="19">
        <f>Database!A530</f>
        <v>37579</v>
      </c>
      <c r="B209" s="48">
        <f>VLOOKUP(A209,Database!$A:$V,MATCH(Currency!$B$1,Database!$A$1:$V$1,),)</f>
        <v>30205</v>
      </c>
    </row>
    <row r="210" spans="1:2" x14ac:dyDescent="0.35">
      <c r="A210" s="19">
        <f>Database!A531</f>
        <v>37586</v>
      </c>
      <c r="B210" s="48">
        <f>VLOOKUP(A210,Database!$A:$V,MATCH(Currency!$B$1,Database!$A$1:$V$1,),)</f>
        <v>28776</v>
      </c>
    </row>
    <row r="211" spans="1:2" x14ac:dyDescent="0.35">
      <c r="A211" s="19">
        <f>Database!A532</f>
        <v>37593</v>
      </c>
      <c r="B211" s="48">
        <f>VLOOKUP(A211,Database!$A:$V,MATCH(Currency!$B$1,Database!$A$1:$V$1,),)</f>
        <v>22876</v>
      </c>
    </row>
    <row r="212" spans="1:2" x14ac:dyDescent="0.35">
      <c r="A212" s="19">
        <f>Database!A533</f>
        <v>37600</v>
      </c>
      <c r="B212" s="48">
        <f>VLOOKUP(A212,Database!$A:$V,MATCH(Currency!$B$1,Database!$A$1:$V$1,),)</f>
        <v>28064</v>
      </c>
    </row>
    <row r="213" spans="1:2" x14ac:dyDescent="0.35">
      <c r="A213" s="19">
        <f>Database!A534</f>
        <v>37607</v>
      </c>
      <c r="B213" s="48">
        <f>VLOOKUP(A213,Database!$A:$V,MATCH(Currency!$B$1,Database!$A$1:$V$1,),)</f>
        <v>30601</v>
      </c>
    </row>
    <row r="214" spans="1:2" x14ac:dyDescent="0.35">
      <c r="A214" s="19">
        <f>Database!A535</f>
        <v>37614</v>
      </c>
      <c r="B214" s="48">
        <f>VLOOKUP(A214,Database!$A:$V,MATCH(Currency!$B$1,Database!$A$1:$V$1,),)</f>
        <v>28127</v>
      </c>
    </row>
    <row r="215" spans="1:2" x14ac:dyDescent="0.35">
      <c r="A215" s="19">
        <f>Database!A536</f>
        <v>37621</v>
      </c>
      <c r="B215" s="48">
        <f>VLOOKUP(A215,Database!$A:$V,MATCH(Currency!$B$1,Database!$A$1:$V$1,),)</f>
        <v>29010</v>
      </c>
    </row>
    <row r="216" spans="1:2" x14ac:dyDescent="0.35">
      <c r="A216" s="19">
        <f>Database!A537</f>
        <v>37628</v>
      </c>
      <c r="B216" s="48">
        <f>VLOOKUP(A216,Database!$A:$V,MATCH(Currency!$B$1,Database!$A$1:$V$1,),)</f>
        <v>28157</v>
      </c>
    </row>
    <row r="217" spans="1:2" x14ac:dyDescent="0.35">
      <c r="A217" s="19">
        <f>Database!A538</f>
        <v>37635</v>
      </c>
      <c r="B217" s="48">
        <f>VLOOKUP(A217,Database!$A:$V,MATCH(Currency!$B$1,Database!$A$1:$V$1,),)</f>
        <v>28773</v>
      </c>
    </row>
    <row r="218" spans="1:2" x14ac:dyDescent="0.35">
      <c r="A218" s="19">
        <f>Database!A539</f>
        <v>37642</v>
      </c>
      <c r="B218" s="48">
        <f>VLOOKUP(A218,Database!$A:$V,MATCH(Currency!$B$1,Database!$A$1:$V$1,),)</f>
        <v>28442</v>
      </c>
    </row>
    <row r="219" spans="1:2" x14ac:dyDescent="0.35">
      <c r="A219" s="19">
        <f>Database!A540</f>
        <v>37649</v>
      </c>
      <c r="B219" s="48">
        <f>VLOOKUP(A219,Database!$A:$V,MATCH(Currency!$B$1,Database!$A$1:$V$1,),)</f>
        <v>26336</v>
      </c>
    </row>
    <row r="220" spans="1:2" x14ac:dyDescent="0.35">
      <c r="A220" s="19">
        <f>Database!A541</f>
        <v>37656</v>
      </c>
      <c r="B220" s="48">
        <f>VLOOKUP(A220,Database!$A:$V,MATCH(Currency!$B$1,Database!$A$1:$V$1,),)</f>
        <v>30666</v>
      </c>
    </row>
    <row r="221" spans="1:2" x14ac:dyDescent="0.35">
      <c r="A221" s="19">
        <f>Database!A542</f>
        <v>37663</v>
      </c>
      <c r="B221" s="48">
        <f>VLOOKUP(A221,Database!$A:$V,MATCH(Currency!$B$1,Database!$A$1:$V$1,),)</f>
        <v>22298</v>
      </c>
    </row>
    <row r="222" spans="1:2" x14ac:dyDescent="0.35">
      <c r="A222" s="19">
        <f>Database!A543</f>
        <v>37670</v>
      </c>
      <c r="B222" s="48">
        <f>VLOOKUP(A222,Database!$A:$V,MATCH(Currency!$B$1,Database!$A$1:$V$1,),)</f>
        <v>25485</v>
      </c>
    </row>
    <row r="223" spans="1:2" x14ac:dyDescent="0.35">
      <c r="A223" s="19">
        <f>Database!A544</f>
        <v>37677</v>
      </c>
      <c r="B223" s="48">
        <f>VLOOKUP(A223,Database!$A:$V,MATCH(Currency!$B$1,Database!$A$1:$V$1,),)</f>
        <v>20063</v>
      </c>
    </row>
    <row r="224" spans="1:2" x14ac:dyDescent="0.35">
      <c r="A224" s="19">
        <f>Database!A545</f>
        <v>37684</v>
      </c>
      <c r="B224" s="48">
        <f>VLOOKUP(A224,Database!$A:$V,MATCH(Currency!$B$1,Database!$A$1:$V$1,),)</f>
        <v>29975</v>
      </c>
    </row>
    <row r="225" spans="1:2" x14ac:dyDescent="0.35">
      <c r="A225" s="19">
        <f>Database!A546</f>
        <v>37691</v>
      </c>
      <c r="B225" s="48">
        <f>VLOOKUP(A225,Database!$A:$V,MATCH(Currency!$B$1,Database!$A$1:$V$1,),)</f>
        <v>30266</v>
      </c>
    </row>
    <row r="226" spans="1:2" x14ac:dyDescent="0.35">
      <c r="A226" s="19">
        <f>Database!A547</f>
        <v>37698</v>
      </c>
      <c r="B226" s="48">
        <f>VLOOKUP(A226,Database!$A:$V,MATCH(Currency!$B$1,Database!$A$1:$V$1,),)</f>
        <v>13339</v>
      </c>
    </row>
    <row r="227" spans="1:2" x14ac:dyDescent="0.35">
      <c r="A227" s="19">
        <f>Database!A548</f>
        <v>37705</v>
      </c>
      <c r="B227" s="48">
        <f>VLOOKUP(A227,Database!$A:$V,MATCH(Currency!$B$1,Database!$A$1:$V$1,),)</f>
        <v>7594</v>
      </c>
    </row>
    <row r="228" spans="1:2" x14ac:dyDescent="0.35">
      <c r="A228" s="19">
        <f>Database!A549</f>
        <v>37712</v>
      </c>
      <c r="B228" s="48">
        <f>VLOOKUP(A228,Database!$A:$V,MATCH(Currency!$B$1,Database!$A$1:$V$1,),)</f>
        <v>10564</v>
      </c>
    </row>
    <row r="229" spans="1:2" x14ac:dyDescent="0.35">
      <c r="A229" s="19">
        <f>Database!A550</f>
        <v>37719</v>
      </c>
      <c r="B229" s="48">
        <f>VLOOKUP(A229,Database!$A:$V,MATCH(Currency!$B$1,Database!$A$1:$V$1,),)</f>
        <v>13145</v>
      </c>
    </row>
    <row r="230" spans="1:2" x14ac:dyDescent="0.35">
      <c r="A230" s="19">
        <f>Database!A551</f>
        <v>37726</v>
      </c>
      <c r="B230" s="48">
        <f>VLOOKUP(A230,Database!$A:$V,MATCH(Currency!$B$1,Database!$A$1:$V$1,),)</f>
        <v>14205</v>
      </c>
    </row>
    <row r="231" spans="1:2" x14ac:dyDescent="0.35">
      <c r="A231" s="19">
        <f>Database!A552</f>
        <v>37733</v>
      </c>
      <c r="B231" s="48">
        <f>VLOOKUP(A231,Database!$A:$V,MATCH(Currency!$B$1,Database!$A$1:$V$1,),)</f>
        <v>24387</v>
      </c>
    </row>
    <row r="232" spans="1:2" x14ac:dyDescent="0.35">
      <c r="A232" s="19">
        <f>Database!A553</f>
        <v>37740</v>
      </c>
      <c r="B232" s="48">
        <f>VLOOKUP(A232,Database!$A:$V,MATCH(Currency!$B$1,Database!$A$1:$V$1,),)</f>
        <v>28005</v>
      </c>
    </row>
    <row r="233" spans="1:2" x14ac:dyDescent="0.35">
      <c r="A233" s="19">
        <f>Database!A554</f>
        <v>37747</v>
      </c>
      <c r="B233" s="48">
        <f>VLOOKUP(A233,Database!$A:$V,MATCH(Currency!$B$1,Database!$A$1:$V$1,),)</f>
        <v>31970</v>
      </c>
    </row>
    <row r="234" spans="1:2" x14ac:dyDescent="0.35">
      <c r="A234" s="19">
        <f>Database!A555</f>
        <v>37754</v>
      </c>
      <c r="B234" s="48">
        <f>VLOOKUP(A234,Database!$A:$V,MATCH(Currency!$B$1,Database!$A$1:$V$1,),)</f>
        <v>24903</v>
      </c>
    </row>
    <row r="235" spans="1:2" x14ac:dyDescent="0.35">
      <c r="A235" s="19">
        <f>Database!A556</f>
        <v>37761</v>
      </c>
      <c r="B235" s="48">
        <f>VLOOKUP(A235,Database!$A:$V,MATCH(Currency!$B$1,Database!$A$1:$V$1,),)</f>
        <v>26898</v>
      </c>
    </row>
    <row r="236" spans="1:2" x14ac:dyDescent="0.35">
      <c r="A236" s="19">
        <f>Database!A557</f>
        <v>37768</v>
      </c>
      <c r="B236" s="48">
        <f>VLOOKUP(A236,Database!$A:$V,MATCH(Currency!$B$1,Database!$A$1:$V$1,),)</f>
        <v>24113</v>
      </c>
    </row>
    <row r="237" spans="1:2" x14ac:dyDescent="0.35">
      <c r="A237" s="19">
        <f>Database!A558</f>
        <v>37775</v>
      </c>
      <c r="B237" s="48">
        <f>VLOOKUP(A237,Database!$A:$V,MATCH(Currency!$B$1,Database!$A$1:$V$1,),)</f>
        <v>30033</v>
      </c>
    </row>
    <row r="238" spans="1:2" x14ac:dyDescent="0.35">
      <c r="A238" s="19">
        <f>Database!A559</f>
        <v>37782</v>
      </c>
      <c r="B238" s="48">
        <f>VLOOKUP(A238,Database!$A:$V,MATCH(Currency!$B$1,Database!$A$1:$V$1,),)</f>
        <v>26262</v>
      </c>
    </row>
    <row r="239" spans="1:2" x14ac:dyDescent="0.35">
      <c r="A239" s="19">
        <f>Database!A560</f>
        <v>37789</v>
      </c>
      <c r="B239" s="48">
        <f>VLOOKUP(A239,Database!$A:$V,MATCH(Currency!$B$1,Database!$A$1:$V$1,),)</f>
        <v>28123</v>
      </c>
    </row>
    <row r="240" spans="1:2" x14ac:dyDescent="0.35">
      <c r="A240" s="19">
        <f>Database!A561</f>
        <v>37796</v>
      </c>
      <c r="B240" s="48">
        <f>VLOOKUP(A240,Database!$A:$V,MATCH(Currency!$B$1,Database!$A$1:$V$1,),)</f>
        <v>23470</v>
      </c>
    </row>
    <row r="241" spans="1:2" x14ac:dyDescent="0.35">
      <c r="A241" s="19">
        <f>Database!A562</f>
        <v>37803</v>
      </c>
      <c r="B241" s="48">
        <f>VLOOKUP(A241,Database!$A:$V,MATCH(Currency!$B$1,Database!$A$1:$V$1,),)</f>
        <v>23630</v>
      </c>
    </row>
    <row r="242" spans="1:2" x14ac:dyDescent="0.35">
      <c r="A242" s="19">
        <f>Database!A563</f>
        <v>37810</v>
      </c>
      <c r="B242" s="48">
        <f>VLOOKUP(A242,Database!$A:$V,MATCH(Currency!$B$1,Database!$A$1:$V$1,),)</f>
        <v>19161</v>
      </c>
    </row>
    <row r="243" spans="1:2" x14ac:dyDescent="0.35">
      <c r="A243" s="19">
        <f>Database!A564</f>
        <v>37817</v>
      </c>
      <c r="B243" s="48">
        <f>VLOOKUP(A243,Database!$A:$V,MATCH(Currency!$B$1,Database!$A$1:$V$1,),)</f>
        <v>16195</v>
      </c>
    </row>
    <row r="244" spans="1:2" x14ac:dyDescent="0.35">
      <c r="A244" s="19">
        <f>Database!A565</f>
        <v>37824</v>
      </c>
      <c r="B244" s="48">
        <f>VLOOKUP(A244,Database!$A:$V,MATCH(Currency!$B$1,Database!$A$1:$V$1,),)</f>
        <v>13153</v>
      </c>
    </row>
    <row r="245" spans="1:2" x14ac:dyDescent="0.35">
      <c r="A245" s="19">
        <f>Database!A566</f>
        <v>37831</v>
      </c>
      <c r="B245" s="48">
        <f>VLOOKUP(A245,Database!$A:$V,MATCH(Currency!$B$1,Database!$A$1:$V$1,),)</f>
        <v>12420</v>
      </c>
    </row>
    <row r="246" spans="1:2" x14ac:dyDescent="0.35">
      <c r="A246" s="19">
        <f>Database!A567</f>
        <v>37838</v>
      </c>
      <c r="B246" s="48">
        <f>VLOOKUP(A246,Database!$A:$V,MATCH(Currency!$B$1,Database!$A$1:$V$1,),)</f>
        <v>13889</v>
      </c>
    </row>
    <row r="247" spans="1:2" x14ac:dyDescent="0.35">
      <c r="A247" s="19">
        <f>Database!A568</f>
        <v>37845</v>
      </c>
      <c r="B247" s="48">
        <f>VLOOKUP(A247,Database!$A:$V,MATCH(Currency!$B$1,Database!$A$1:$V$1,),)</f>
        <v>14702</v>
      </c>
    </row>
    <row r="248" spans="1:2" x14ac:dyDescent="0.35">
      <c r="A248" s="19">
        <f>Database!A569</f>
        <v>37852</v>
      </c>
      <c r="B248" s="48">
        <f>VLOOKUP(A248,Database!$A:$V,MATCH(Currency!$B$1,Database!$A$1:$V$1,),)</f>
        <v>9121</v>
      </c>
    </row>
    <row r="249" spans="1:2" x14ac:dyDescent="0.35">
      <c r="A249" s="19">
        <f>Database!A570</f>
        <v>37859</v>
      </c>
      <c r="B249" s="48">
        <f>VLOOKUP(A249,Database!$A:$V,MATCH(Currency!$B$1,Database!$A$1:$V$1,),)</f>
        <v>2673</v>
      </c>
    </row>
    <row r="250" spans="1:2" x14ac:dyDescent="0.35">
      <c r="A250" s="19">
        <f>Database!A571</f>
        <v>37866</v>
      </c>
      <c r="B250" s="48">
        <f>VLOOKUP(A250,Database!$A:$V,MATCH(Currency!$B$1,Database!$A$1:$V$1,),)</f>
        <v>2129</v>
      </c>
    </row>
    <row r="251" spans="1:2" x14ac:dyDescent="0.35">
      <c r="A251" s="19">
        <f>Database!A572</f>
        <v>37873</v>
      </c>
      <c r="B251" s="48">
        <f>VLOOKUP(A251,Database!$A:$V,MATCH(Currency!$B$1,Database!$A$1:$V$1,),)</f>
        <v>2505</v>
      </c>
    </row>
    <row r="252" spans="1:2" x14ac:dyDescent="0.35">
      <c r="A252" s="19">
        <f>Database!A573</f>
        <v>37880</v>
      </c>
      <c r="B252" s="48">
        <f>VLOOKUP(A252,Database!$A:$V,MATCH(Currency!$B$1,Database!$A$1:$V$1,),)</f>
        <v>4724</v>
      </c>
    </row>
    <row r="253" spans="1:2" x14ac:dyDescent="0.35">
      <c r="A253" s="19">
        <f>Database!A574</f>
        <v>37887</v>
      </c>
      <c r="B253" s="48">
        <f>VLOOKUP(A253,Database!$A:$V,MATCH(Currency!$B$1,Database!$A$1:$V$1,),)</f>
        <v>8777</v>
      </c>
    </row>
    <row r="254" spans="1:2" x14ac:dyDescent="0.35">
      <c r="A254" s="19">
        <f>Database!A575</f>
        <v>37894</v>
      </c>
      <c r="B254" s="48">
        <f>VLOOKUP(A254,Database!$A:$V,MATCH(Currency!$B$1,Database!$A$1:$V$1,),)</f>
        <v>13649</v>
      </c>
    </row>
    <row r="255" spans="1:2" x14ac:dyDescent="0.35">
      <c r="A255" s="19">
        <f>Database!A576</f>
        <v>37901</v>
      </c>
      <c r="B255" s="48">
        <f>VLOOKUP(A255,Database!$A:$V,MATCH(Currency!$B$1,Database!$A$1:$V$1,),)</f>
        <v>20025</v>
      </c>
    </row>
    <row r="256" spans="1:2" x14ac:dyDescent="0.35">
      <c r="A256" s="19">
        <f>Database!A577</f>
        <v>37908</v>
      </c>
      <c r="B256" s="48">
        <f>VLOOKUP(A256,Database!$A:$V,MATCH(Currency!$B$1,Database!$A$1:$V$1,),)</f>
        <v>24994</v>
      </c>
    </row>
    <row r="257" spans="1:2" x14ac:dyDescent="0.35">
      <c r="A257" s="19">
        <f>Database!A578</f>
        <v>37915</v>
      </c>
      <c r="B257" s="48">
        <f>VLOOKUP(A257,Database!$A:$V,MATCH(Currency!$B$1,Database!$A$1:$V$1,),)</f>
        <v>24113</v>
      </c>
    </row>
    <row r="258" spans="1:2" x14ac:dyDescent="0.35">
      <c r="A258" s="19">
        <f>Database!A579</f>
        <v>37922</v>
      </c>
      <c r="B258" s="48">
        <f>VLOOKUP(A258,Database!$A:$V,MATCH(Currency!$B$1,Database!$A$1:$V$1,),)</f>
        <v>24205</v>
      </c>
    </row>
    <row r="259" spans="1:2" x14ac:dyDescent="0.35">
      <c r="A259" s="19">
        <f>Database!A580</f>
        <v>37929</v>
      </c>
      <c r="B259" s="48">
        <f>VLOOKUP(A259,Database!$A:$V,MATCH(Currency!$B$1,Database!$A$1:$V$1,),)</f>
        <v>19573</v>
      </c>
    </row>
    <row r="260" spans="1:2" x14ac:dyDescent="0.35">
      <c r="A260" s="19">
        <f>Database!A581</f>
        <v>37936</v>
      </c>
      <c r="B260" s="48">
        <f>VLOOKUP(A260,Database!$A:$V,MATCH(Currency!$B$1,Database!$A$1:$V$1,),)</f>
        <v>17919</v>
      </c>
    </row>
    <row r="261" spans="1:2" x14ac:dyDescent="0.35">
      <c r="A261" s="19">
        <f>Database!A582</f>
        <v>37943</v>
      </c>
      <c r="B261" s="48">
        <f>VLOOKUP(A261,Database!$A:$V,MATCH(Currency!$B$1,Database!$A$1:$V$1,),)</f>
        <v>34546</v>
      </c>
    </row>
    <row r="262" spans="1:2" x14ac:dyDescent="0.35">
      <c r="A262" s="19">
        <f>Database!A583</f>
        <v>37950</v>
      </c>
      <c r="B262" s="48">
        <f>VLOOKUP(A262,Database!$A:$V,MATCH(Currency!$B$1,Database!$A$1:$V$1,),)</f>
        <v>30497</v>
      </c>
    </row>
    <row r="263" spans="1:2" x14ac:dyDescent="0.35">
      <c r="A263" s="19">
        <f>Database!A584</f>
        <v>37957</v>
      </c>
      <c r="B263" s="48">
        <f>VLOOKUP(A263,Database!$A:$V,MATCH(Currency!$B$1,Database!$A$1:$V$1,),)</f>
        <v>30680</v>
      </c>
    </row>
    <row r="264" spans="1:2" x14ac:dyDescent="0.35">
      <c r="A264" s="19">
        <f>Database!A585</f>
        <v>37964</v>
      </c>
      <c r="B264" s="48">
        <f>VLOOKUP(A264,Database!$A:$V,MATCH(Currency!$B$1,Database!$A$1:$V$1,),)</f>
        <v>27998</v>
      </c>
    </row>
    <row r="265" spans="1:2" x14ac:dyDescent="0.35">
      <c r="A265" s="19">
        <f>Database!A586</f>
        <v>37971</v>
      </c>
      <c r="B265" s="48">
        <f>VLOOKUP(A265,Database!$A:$V,MATCH(Currency!$B$1,Database!$A$1:$V$1,),)</f>
        <v>34783</v>
      </c>
    </row>
    <row r="266" spans="1:2" x14ac:dyDescent="0.35">
      <c r="A266" s="19">
        <f>Database!A587</f>
        <v>37978</v>
      </c>
      <c r="B266" s="48">
        <f>VLOOKUP(A266,Database!$A:$V,MATCH(Currency!$B$1,Database!$A$1:$V$1,),)</f>
        <v>33708</v>
      </c>
    </row>
    <row r="267" spans="1:2" x14ac:dyDescent="0.35">
      <c r="A267" s="19">
        <f>Database!A588</f>
        <v>37985</v>
      </c>
      <c r="B267" s="48">
        <f>VLOOKUP(A267,Database!$A:$V,MATCH(Currency!$B$1,Database!$A$1:$V$1,),)</f>
        <v>33556</v>
      </c>
    </row>
    <row r="268" spans="1:2" x14ac:dyDescent="0.35">
      <c r="A268" s="19">
        <f>Database!A589</f>
        <v>37992</v>
      </c>
      <c r="B268" s="48">
        <f>VLOOKUP(A268,Database!$A:$V,MATCH(Currency!$B$1,Database!$A$1:$V$1,),)</f>
        <v>29910</v>
      </c>
    </row>
    <row r="269" spans="1:2" x14ac:dyDescent="0.35">
      <c r="A269" s="19">
        <f>Database!A590</f>
        <v>37999</v>
      </c>
      <c r="B269" s="48">
        <f>VLOOKUP(A269,Database!$A:$V,MATCH(Currency!$B$1,Database!$A$1:$V$1,),)</f>
        <v>26937</v>
      </c>
    </row>
    <row r="270" spans="1:2" x14ac:dyDescent="0.35">
      <c r="A270" s="19">
        <f>Database!A591</f>
        <v>38006</v>
      </c>
      <c r="B270" s="48">
        <f>VLOOKUP(A270,Database!$A:$V,MATCH(Currency!$B$1,Database!$A$1:$V$1,),)</f>
        <v>28243</v>
      </c>
    </row>
    <row r="271" spans="1:2" x14ac:dyDescent="0.35">
      <c r="A271" s="19">
        <f>Database!A592</f>
        <v>38013</v>
      </c>
      <c r="B271" s="48">
        <f>VLOOKUP(A271,Database!$A:$V,MATCH(Currency!$B$1,Database!$A$1:$V$1,),)</f>
        <v>33298</v>
      </c>
    </row>
    <row r="272" spans="1:2" x14ac:dyDescent="0.35">
      <c r="A272" s="19">
        <f>Database!A593</f>
        <v>38020</v>
      </c>
      <c r="B272" s="48">
        <f>VLOOKUP(A272,Database!$A:$V,MATCH(Currency!$B$1,Database!$A$1:$V$1,),)</f>
        <v>20446</v>
      </c>
    </row>
    <row r="273" spans="1:2" x14ac:dyDescent="0.35">
      <c r="A273" s="19">
        <f>Database!A594</f>
        <v>38027</v>
      </c>
      <c r="B273" s="48">
        <f>VLOOKUP(A273,Database!$A:$V,MATCH(Currency!$B$1,Database!$A$1:$V$1,),)</f>
        <v>26242</v>
      </c>
    </row>
    <row r="274" spans="1:2" x14ac:dyDescent="0.35">
      <c r="A274" s="19">
        <f>Database!A595</f>
        <v>38034</v>
      </c>
      <c r="B274" s="48">
        <f>VLOOKUP(A274,Database!$A:$V,MATCH(Currency!$B$1,Database!$A$1:$V$1,),)</f>
        <v>28409</v>
      </c>
    </row>
    <row r="275" spans="1:2" x14ac:dyDescent="0.35">
      <c r="A275" s="19">
        <f>Database!A596</f>
        <v>38041</v>
      </c>
      <c r="B275" s="48">
        <f>VLOOKUP(A275,Database!$A:$V,MATCH(Currency!$B$1,Database!$A$1:$V$1,),)</f>
        <v>26367</v>
      </c>
    </row>
    <row r="276" spans="1:2" x14ac:dyDescent="0.35">
      <c r="A276" s="19">
        <f>Database!A597</f>
        <v>38048</v>
      </c>
      <c r="B276" s="48">
        <f>VLOOKUP(A276,Database!$A:$V,MATCH(Currency!$B$1,Database!$A$1:$V$1,),)</f>
        <v>17028</v>
      </c>
    </row>
    <row r="277" spans="1:2" x14ac:dyDescent="0.35">
      <c r="A277" s="19">
        <f>Database!A598</f>
        <v>38055</v>
      </c>
      <c r="B277" s="48">
        <f>VLOOKUP(A277,Database!$A:$V,MATCH(Currency!$B$1,Database!$A$1:$V$1,),)</f>
        <v>14065</v>
      </c>
    </row>
    <row r="278" spans="1:2" x14ac:dyDescent="0.35">
      <c r="A278" s="19">
        <f>Database!A599</f>
        <v>38062</v>
      </c>
      <c r="B278" s="48">
        <f>VLOOKUP(A278,Database!$A:$V,MATCH(Currency!$B$1,Database!$A$1:$V$1,),)</f>
        <v>8454</v>
      </c>
    </row>
    <row r="279" spans="1:2" x14ac:dyDescent="0.35">
      <c r="A279" s="19">
        <f>Database!A600</f>
        <v>38069</v>
      </c>
      <c r="B279" s="48">
        <f>VLOOKUP(A279,Database!$A:$V,MATCH(Currency!$B$1,Database!$A$1:$V$1,),)</f>
        <v>10293</v>
      </c>
    </row>
    <row r="280" spans="1:2" x14ac:dyDescent="0.35">
      <c r="A280" s="19">
        <f>Database!A601</f>
        <v>38076</v>
      </c>
      <c r="B280" s="48">
        <f>VLOOKUP(A280,Database!$A:$V,MATCH(Currency!$B$1,Database!$A$1:$V$1,),)</f>
        <v>6174</v>
      </c>
    </row>
    <row r="281" spans="1:2" x14ac:dyDescent="0.35">
      <c r="A281" s="19">
        <f>Database!A602</f>
        <v>38083</v>
      </c>
      <c r="B281" s="48">
        <f>VLOOKUP(A281,Database!$A:$V,MATCH(Currency!$B$1,Database!$A$1:$V$1,),)</f>
        <v>6017</v>
      </c>
    </row>
    <row r="282" spans="1:2" x14ac:dyDescent="0.35">
      <c r="A282" s="19">
        <f>Database!A603</f>
        <v>38090</v>
      </c>
      <c r="B282" s="48">
        <f>VLOOKUP(A282,Database!$A:$V,MATCH(Currency!$B$1,Database!$A$1:$V$1,),)</f>
        <v>5743</v>
      </c>
    </row>
    <row r="283" spans="1:2" x14ac:dyDescent="0.35">
      <c r="A283" s="19">
        <f>Database!A604</f>
        <v>38097</v>
      </c>
      <c r="B283" s="48">
        <f>VLOOKUP(A283,Database!$A:$V,MATCH(Currency!$B$1,Database!$A$1:$V$1,),)</f>
        <v>9799</v>
      </c>
    </row>
    <row r="284" spans="1:2" x14ac:dyDescent="0.35">
      <c r="A284" s="19">
        <f>Database!A605</f>
        <v>38104</v>
      </c>
      <c r="B284" s="48">
        <f>VLOOKUP(A284,Database!$A:$V,MATCH(Currency!$B$1,Database!$A$1:$V$1,),)</f>
        <v>5570</v>
      </c>
    </row>
    <row r="285" spans="1:2" x14ac:dyDescent="0.35">
      <c r="A285" s="19">
        <f>Database!A606</f>
        <v>38111</v>
      </c>
      <c r="B285" s="48">
        <f>VLOOKUP(A285,Database!$A:$V,MATCH(Currency!$B$1,Database!$A$1:$V$1,),)</f>
        <v>6999</v>
      </c>
    </row>
    <row r="286" spans="1:2" x14ac:dyDescent="0.35">
      <c r="A286" s="19">
        <f>Database!A607</f>
        <v>38118</v>
      </c>
      <c r="B286" s="48">
        <f>VLOOKUP(A286,Database!$A:$V,MATCH(Currency!$B$1,Database!$A$1:$V$1,),)</f>
        <v>12478</v>
      </c>
    </row>
    <row r="287" spans="1:2" x14ac:dyDescent="0.35">
      <c r="A287" s="19">
        <f>Database!A608</f>
        <v>38125</v>
      </c>
      <c r="B287" s="48">
        <f>VLOOKUP(A287,Database!$A:$V,MATCH(Currency!$B$1,Database!$A$1:$V$1,),)</f>
        <v>13422</v>
      </c>
    </row>
    <row r="288" spans="1:2" x14ac:dyDescent="0.35">
      <c r="A288" s="19">
        <f>Database!A609</f>
        <v>38132</v>
      </c>
      <c r="B288" s="48">
        <f>VLOOKUP(A288,Database!$A:$V,MATCH(Currency!$B$1,Database!$A$1:$V$1,),)</f>
        <v>18714</v>
      </c>
    </row>
    <row r="289" spans="1:2" x14ac:dyDescent="0.35">
      <c r="A289" s="19">
        <f>Database!A610</f>
        <v>38139</v>
      </c>
      <c r="B289" s="48">
        <f>VLOOKUP(A289,Database!$A:$V,MATCH(Currency!$B$1,Database!$A$1:$V$1,),)</f>
        <v>22194</v>
      </c>
    </row>
    <row r="290" spans="1:2" x14ac:dyDescent="0.35">
      <c r="A290" s="19">
        <f>Database!A611</f>
        <v>38146</v>
      </c>
      <c r="B290" s="48">
        <f>VLOOKUP(A290,Database!$A:$V,MATCH(Currency!$B$1,Database!$A$1:$V$1,),)</f>
        <v>23474</v>
      </c>
    </row>
    <row r="291" spans="1:2" x14ac:dyDescent="0.35">
      <c r="A291" s="19">
        <f>Database!A612</f>
        <v>38153</v>
      </c>
      <c r="B291" s="48">
        <f>VLOOKUP(A291,Database!$A:$V,MATCH(Currency!$B$1,Database!$A$1:$V$1,),)</f>
        <v>16588</v>
      </c>
    </row>
    <row r="292" spans="1:2" x14ac:dyDescent="0.35">
      <c r="A292" s="19">
        <f>Database!A613</f>
        <v>38160</v>
      </c>
      <c r="B292" s="48">
        <f>VLOOKUP(A292,Database!$A:$V,MATCH(Currency!$B$1,Database!$A$1:$V$1,),)</f>
        <v>12079</v>
      </c>
    </row>
    <row r="293" spans="1:2" x14ac:dyDescent="0.35">
      <c r="A293" s="19">
        <f>Database!A614</f>
        <v>38167</v>
      </c>
      <c r="B293" s="48">
        <f>VLOOKUP(A293,Database!$A:$V,MATCH(Currency!$B$1,Database!$A$1:$V$1,),)</f>
        <v>13755</v>
      </c>
    </row>
    <row r="294" spans="1:2" x14ac:dyDescent="0.35">
      <c r="A294" s="19">
        <f>Database!A615</f>
        <v>38174</v>
      </c>
      <c r="B294" s="48">
        <f>VLOOKUP(A294,Database!$A:$V,MATCH(Currency!$B$1,Database!$A$1:$V$1,),)</f>
        <v>19037</v>
      </c>
    </row>
    <row r="295" spans="1:2" x14ac:dyDescent="0.35">
      <c r="A295" s="19">
        <f>Database!A616</f>
        <v>38181</v>
      </c>
      <c r="B295" s="48">
        <f>VLOOKUP(A295,Database!$A:$V,MATCH(Currency!$B$1,Database!$A$1:$V$1,),)</f>
        <v>31012</v>
      </c>
    </row>
    <row r="296" spans="1:2" x14ac:dyDescent="0.35">
      <c r="A296" s="19">
        <f>Database!A617</f>
        <v>38188</v>
      </c>
      <c r="B296" s="48">
        <f>VLOOKUP(A296,Database!$A:$V,MATCH(Currency!$B$1,Database!$A$1:$V$1,),)</f>
        <v>36101</v>
      </c>
    </row>
    <row r="297" spans="1:2" x14ac:dyDescent="0.35">
      <c r="A297" s="19">
        <f>Database!A618</f>
        <v>38195</v>
      </c>
      <c r="B297" s="48">
        <f>VLOOKUP(A297,Database!$A:$V,MATCH(Currency!$B$1,Database!$A$1:$V$1,),)</f>
        <v>16927</v>
      </c>
    </row>
    <row r="298" spans="1:2" x14ac:dyDescent="0.35">
      <c r="A298" s="19">
        <f>Database!A619</f>
        <v>38202</v>
      </c>
      <c r="B298" s="48">
        <f>VLOOKUP(A298,Database!$A:$V,MATCH(Currency!$B$1,Database!$A$1:$V$1,),)</f>
        <v>12242</v>
      </c>
    </row>
    <row r="299" spans="1:2" x14ac:dyDescent="0.35">
      <c r="A299" s="19">
        <f>Database!A620</f>
        <v>38209</v>
      </c>
      <c r="B299" s="48">
        <f>VLOOKUP(A299,Database!$A:$V,MATCH(Currency!$B$1,Database!$A$1:$V$1,),)</f>
        <v>16857</v>
      </c>
    </row>
    <row r="300" spans="1:2" x14ac:dyDescent="0.35">
      <c r="A300" s="19">
        <f>Database!A621</f>
        <v>38216</v>
      </c>
      <c r="B300" s="48">
        <f>VLOOKUP(A300,Database!$A:$V,MATCH(Currency!$B$1,Database!$A$1:$V$1,),)</f>
        <v>25699</v>
      </c>
    </row>
    <row r="301" spans="1:2" x14ac:dyDescent="0.35">
      <c r="A301" s="19">
        <f>Database!A622</f>
        <v>38223</v>
      </c>
      <c r="B301" s="48">
        <f>VLOOKUP(A301,Database!$A:$V,MATCH(Currency!$B$1,Database!$A$1:$V$1,),)</f>
        <v>24616</v>
      </c>
    </row>
    <row r="302" spans="1:2" x14ac:dyDescent="0.35">
      <c r="A302" s="19">
        <f>Database!A623</f>
        <v>38230</v>
      </c>
      <c r="B302" s="48">
        <f>VLOOKUP(A302,Database!$A:$V,MATCH(Currency!$B$1,Database!$A$1:$V$1,),)</f>
        <v>20827</v>
      </c>
    </row>
    <row r="303" spans="1:2" x14ac:dyDescent="0.35">
      <c r="A303" s="19">
        <f>Database!A624</f>
        <v>38237</v>
      </c>
      <c r="B303" s="48">
        <f>VLOOKUP(A303,Database!$A:$V,MATCH(Currency!$B$1,Database!$A$1:$V$1,),)</f>
        <v>18032</v>
      </c>
    </row>
    <row r="304" spans="1:2" x14ac:dyDescent="0.35">
      <c r="A304" s="19">
        <f>Database!A625</f>
        <v>38244</v>
      </c>
      <c r="B304" s="48">
        <f>VLOOKUP(A304,Database!$A:$V,MATCH(Currency!$B$1,Database!$A$1:$V$1,),)</f>
        <v>25858</v>
      </c>
    </row>
    <row r="305" spans="1:2" x14ac:dyDescent="0.35">
      <c r="A305" s="19">
        <f>Database!A626</f>
        <v>38251</v>
      </c>
      <c r="B305" s="48">
        <f>VLOOKUP(A305,Database!$A:$V,MATCH(Currency!$B$1,Database!$A$1:$V$1,),)</f>
        <v>25447</v>
      </c>
    </row>
    <row r="306" spans="1:2" x14ac:dyDescent="0.35">
      <c r="A306" s="19">
        <f>Database!A627</f>
        <v>38258</v>
      </c>
      <c r="B306" s="48">
        <f>VLOOKUP(A306,Database!$A:$V,MATCH(Currency!$B$1,Database!$A$1:$V$1,),)</f>
        <v>32334</v>
      </c>
    </row>
    <row r="307" spans="1:2" x14ac:dyDescent="0.35">
      <c r="A307" s="19">
        <f>Database!A628</f>
        <v>38265</v>
      </c>
      <c r="B307" s="48">
        <f>VLOOKUP(A307,Database!$A:$V,MATCH(Currency!$B$1,Database!$A$1:$V$1,),)</f>
        <v>44811</v>
      </c>
    </row>
    <row r="308" spans="1:2" x14ac:dyDescent="0.35">
      <c r="A308" s="19">
        <f>Database!A629</f>
        <v>38272</v>
      </c>
      <c r="B308" s="48">
        <f>VLOOKUP(A308,Database!$A:$V,MATCH(Currency!$B$1,Database!$A$1:$V$1,),)</f>
        <v>38095</v>
      </c>
    </row>
    <row r="309" spans="1:2" x14ac:dyDescent="0.35">
      <c r="A309" s="19">
        <f>Database!A630</f>
        <v>38279</v>
      </c>
      <c r="B309" s="48">
        <f>VLOOKUP(A309,Database!$A:$V,MATCH(Currency!$B$1,Database!$A$1:$V$1,),)</f>
        <v>36512</v>
      </c>
    </row>
    <row r="310" spans="1:2" x14ac:dyDescent="0.35">
      <c r="A310" s="19">
        <f>Database!A631</f>
        <v>38286</v>
      </c>
      <c r="B310" s="48">
        <f>VLOOKUP(A310,Database!$A:$V,MATCH(Currency!$B$1,Database!$A$1:$V$1,),)</f>
        <v>45531</v>
      </c>
    </row>
    <row r="311" spans="1:2" x14ac:dyDescent="0.35">
      <c r="A311" s="19">
        <f>Database!A632</f>
        <v>38293</v>
      </c>
      <c r="B311" s="48">
        <f>VLOOKUP(A311,Database!$A:$V,MATCH(Currency!$B$1,Database!$A$1:$V$1,),)</f>
        <v>53465</v>
      </c>
    </row>
    <row r="312" spans="1:2" x14ac:dyDescent="0.35">
      <c r="A312" s="19">
        <f>Database!A633</f>
        <v>38300</v>
      </c>
      <c r="B312" s="48">
        <f>VLOOKUP(A312,Database!$A:$V,MATCH(Currency!$B$1,Database!$A$1:$V$1,),)</f>
        <v>57529</v>
      </c>
    </row>
    <row r="313" spans="1:2" x14ac:dyDescent="0.35">
      <c r="A313" s="19">
        <f>Database!A634</f>
        <v>38307</v>
      </c>
      <c r="B313" s="48">
        <f>VLOOKUP(A313,Database!$A:$V,MATCH(Currency!$B$1,Database!$A$1:$V$1,),)</f>
        <v>54028</v>
      </c>
    </row>
    <row r="314" spans="1:2" x14ac:dyDescent="0.35">
      <c r="A314" s="19">
        <f>Database!A635</f>
        <v>38314</v>
      </c>
      <c r="B314" s="48">
        <f>VLOOKUP(A314,Database!$A:$V,MATCH(Currency!$B$1,Database!$A$1:$V$1,),)</f>
        <v>32261</v>
      </c>
    </row>
    <row r="315" spans="1:2" x14ac:dyDescent="0.35">
      <c r="A315" s="19">
        <f>Database!A636</f>
        <v>38321</v>
      </c>
      <c r="B315" s="48">
        <f>VLOOKUP(A315,Database!$A:$V,MATCH(Currency!$B$1,Database!$A$1:$V$1,),)</f>
        <v>24485</v>
      </c>
    </row>
    <row r="316" spans="1:2" x14ac:dyDescent="0.35">
      <c r="A316" s="19">
        <f>Database!A637</f>
        <v>38328</v>
      </c>
      <c r="B316" s="48">
        <f>VLOOKUP(A316,Database!$A:$V,MATCH(Currency!$B$1,Database!$A$1:$V$1,),)</f>
        <v>24114</v>
      </c>
    </row>
    <row r="317" spans="1:2" x14ac:dyDescent="0.35">
      <c r="A317" s="19">
        <f>Database!A638</f>
        <v>38335</v>
      </c>
      <c r="B317" s="48">
        <f>VLOOKUP(A317,Database!$A:$V,MATCH(Currency!$B$1,Database!$A$1:$V$1,),)</f>
        <v>-14542</v>
      </c>
    </row>
    <row r="318" spans="1:2" x14ac:dyDescent="0.35">
      <c r="A318" s="19">
        <f>Database!A639</f>
        <v>38342</v>
      </c>
      <c r="B318" s="48">
        <f>VLOOKUP(A318,Database!$A:$V,MATCH(Currency!$B$1,Database!$A$1:$V$1,),)</f>
        <v>-12164</v>
      </c>
    </row>
    <row r="319" spans="1:2" x14ac:dyDescent="0.35">
      <c r="A319" s="19">
        <f>Database!A640</f>
        <v>38349</v>
      </c>
      <c r="B319" s="48">
        <f>VLOOKUP(A319,Database!$A:$V,MATCH(Currency!$B$1,Database!$A$1:$V$1,),)</f>
        <v>16814</v>
      </c>
    </row>
    <row r="320" spans="1:2" x14ac:dyDescent="0.35">
      <c r="A320" s="19">
        <f>Database!A641</f>
        <v>38356</v>
      </c>
      <c r="B320" s="48">
        <f>VLOOKUP(A320,Database!$A:$V,MATCH(Currency!$B$1,Database!$A$1:$V$1,),)</f>
        <v>11071</v>
      </c>
    </row>
    <row r="321" spans="1:2" x14ac:dyDescent="0.35">
      <c r="A321" s="19">
        <f>Database!A642</f>
        <v>38363</v>
      </c>
      <c r="B321" s="48">
        <f>VLOOKUP(A321,Database!$A:$V,MATCH(Currency!$B$1,Database!$A$1:$V$1,),)</f>
        <v>16181</v>
      </c>
    </row>
    <row r="322" spans="1:2" x14ac:dyDescent="0.35">
      <c r="A322" s="19">
        <f>Database!A643</f>
        <v>38370</v>
      </c>
      <c r="B322" s="48">
        <f>VLOOKUP(A322,Database!$A:$V,MATCH(Currency!$B$1,Database!$A$1:$V$1,),)</f>
        <v>9913</v>
      </c>
    </row>
    <row r="323" spans="1:2" x14ac:dyDescent="0.35">
      <c r="A323" s="19">
        <f>Database!A644</f>
        <v>38377</v>
      </c>
      <c r="B323" s="48">
        <f>VLOOKUP(A323,Database!$A:$V,MATCH(Currency!$B$1,Database!$A$1:$V$1,),)</f>
        <v>768</v>
      </c>
    </row>
    <row r="324" spans="1:2" x14ac:dyDescent="0.35">
      <c r="A324" s="19">
        <f>Database!A645</f>
        <v>38384</v>
      </c>
      <c r="B324" s="48">
        <f>VLOOKUP(A324,Database!$A:$V,MATCH(Currency!$B$1,Database!$A$1:$V$1,),)</f>
        <v>1925</v>
      </c>
    </row>
    <row r="325" spans="1:2" x14ac:dyDescent="0.35">
      <c r="A325" s="19">
        <f>Database!A646</f>
        <v>38391</v>
      </c>
      <c r="B325" s="48">
        <f>VLOOKUP(A325,Database!$A:$V,MATCH(Currency!$B$1,Database!$A$1:$V$1,),)</f>
        <v>-631</v>
      </c>
    </row>
    <row r="326" spans="1:2" x14ac:dyDescent="0.35">
      <c r="A326" s="19">
        <f>Database!A647</f>
        <v>38398</v>
      </c>
      <c r="B326" s="48">
        <f>VLOOKUP(A326,Database!$A:$V,MATCH(Currency!$B$1,Database!$A$1:$V$1,),)</f>
        <v>-245</v>
      </c>
    </row>
    <row r="327" spans="1:2" x14ac:dyDescent="0.35">
      <c r="A327" s="19">
        <f>Database!A648</f>
        <v>38405</v>
      </c>
      <c r="B327" s="48">
        <f>VLOOKUP(A327,Database!$A:$V,MATCH(Currency!$B$1,Database!$A$1:$V$1,),)</f>
        <v>4024</v>
      </c>
    </row>
    <row r="328" spans="1:2" x14ac:dyDescent="0.35">
      <c r="A328" s="19">
        <f>Database!A649</f>
        <v>38412</v>
      </c>
      <c r="B328" s="48">
        <f>VLOOKUP(A328,Database!$A:$V,MATCH(Currency!$B$1,Database!$A$1:$V$1,),)</f>
        <v>33418</v>
      </c>
    </row>
    <row r="329" spans="1:2" x14ac:dyDescent="0.35">
      <c r="A329" s="19">
        <f>Database!A650</f>
        <v>38419</v>
      </c>
      <c r="B329" s="48">
        <f>VLOOKUP(A329,Database!$A:$V,MATCH(Currency!$B$1,Database!$A$1:$V$1,),)</f>
        <v>22590</v>
      </c>
    </row>
    <row r="330" spans="1:2" x14ac:dyDescent="0.35">
      <c r="A330" s="19">
        <f>Database!A651</f>
        <v>38426</v>
      </c>
      <c r="B330" s="48">
        <f>VLOOKUP(A330,Database!$A:$V,MATCH(Currency!$B$1,Database!$A$1:$V$1,),)</f>
        <v>29912</v>
      </c>
    </row>
    <row r="331" spans="1:2" x14ac:dyDescent="0.35">
      <c r="A331" s="19">
        <f>Database!A652</f>
        <v>38433</v>
      </c>
      <c r="B331" s="48">
        <f>VLOOKUP(A331,Database!$A:$V,MATCH(Currency!$B$1,Database!$A$1:$V$1,),)</f>
        <v>27199</v>
      </c>
    </row>
    <row r="332" spans="1:2" x14ac:dyDescent="0.35">
      <c r="A332" s="19">
        <f>Database!A653</f>
        <v>38440</v>
      </c>
      <c r="B332" s="48">
        <f>VLOOKUP(A332,Database!$A:$V,MATCH(Currency!$B$1,Database!$A$1:$V$1,),)</f>
        <v>17753</v>
      </c>
    </row>
    <row r="333" spans="1:2" x14ac:dyDescent="0.35">
      <c r="A333" s="19">
        <f>Database!A654</f>
        <v>38447</v>
      </c>
      <c r="B333" s="48">
        <f>VLOOKUP(A333,Database!$A:$V,MATCH(Currency!$B$1,Database!$A$1:$V$1,),)</f>
        <v>6898</v>
      </c>
    </row>
    <row r="334" spans="1:2" x14ac:dyDescent="0.35">
      <c r="A334" s="19">
        <f>Database!A655</f>
        <v>38454</v>
      </c>
      <c r="B334" s="48">
        <f>VLOOKUP(A334,Database!$A:$V,MATCH(Currency!$B$1,Database!$A$1:$V$1,),)</f>
        <v>5760</v>
      </c>
    </row>
    <row r="335" spans="1:2" x14ac:dyDescent="0.35">
      <c r="A335" s="19">
        <f>Database!A656</f>
        <v>38461</v>
      </c>
      <c r="B335" s="48">
        <f>VLOOKUP(A335,Database!$A:$V,MATCH(Currency!$B$1,Database!$A$1:$V$1,),)</f>
        <v>5021</v>
      </c>
    </row>
    <row r="336" spans="1:2" x14ac:dyDescent="0.35">
      <c r="A336" s="19">
        <f>Database!A657</f>
        <v>38468</v>
      </c>
      <c r="B336" s="48">
        <f>VLOOKUP(A336,Database!$A:$V,MATCH(Currency!$B$1,Database!$A$1:$V$1,),)</f>
        <v>4219</v>
      </c>
    </row>
    <row r="337" spans="1:2" x14ac:dyDescent="0.35">
      <c r="A337" s="19">
        <f>Database!A658</f>
        <v>38475</v>
      </c>
      <c r="B337" s="48">
        <f>VLOOKUP(A337,Database!$A:$V,MATCH(Currency!$B$1,Database!$A$1:$V$1,),)</f>
        <v>4875</v>
      </c>
    </row>
    <row r="338" spans="1:2" x14ac:dyDescent="0.35">
      <c r="A338" s="19">
        <f>Database!A659</f>
        <v>38482</v>
      </c>
      <c r="B338" s="48">
        <f>VLOOKUP(A338,Database!$A:$V,MATCH(Currency!$B$1,Database!$A$1:$V$1,),)</f>
        <v>-1544</v>
      </c>
    </row>
    <row r="339" spans="1:2" x14ac:dyDescent="0.35">
      <c r="A339" s="19">
        <f>Database!A660</f>
        <v>38489</v>
      </c>
      <c r="B339" s="48">
        <f>VLOOKUP(A339,Database!$A:$V,MATCH(Currency!$B$1,Database!$A$1:$V$1,),)</f>
        <v>-13488</v>
      </c>
    </row>
    <row r="340" spans="1:2" x14ac:dyDescent="0.35">
      <c r="A340" s="19">
        <f>Database!A661</f>
        <v>38496</v>
      </c>
      <c r="B340" s="48">
        <f>VLOOKUP(A340,Database!$A:$V,MATCH(Currency!$B$1,Database!$A$1:$V$1,),)</f>
        <v>-15321</v>
      </c>
    </row>
    <row r="341" spans="1:2" x14ac:dyDescent="0.35">
      <c r="A341" s="19">
        <f>Database!A662</f>
        <v>38503</v>
      </c>
      <c r="B341" s="48">
        <f>VLOOKUP(A341,Database!$A:$V,MATCH(Currency!$B$1,Database!$A$1:$V$1,),)</f>
        <v>-18310</v>
      </c>
    </row>
    <row r="342" spans="1:2" x14ac:dyDescent="0.35">
      <c r="A342" s="19">
        <f>Database!A663</f>
        <v>38510</v>
      </c>
      <c r="B342" s="48">
        <f>VLOOKUP(A342,Database!$A:$V,MATCH(Currency!$B$1,Database!$A$1:$V$1,),)</f>
        <v>-17771</v>
      </c>
    </row>
    <row r="343" spans="1:2" x14ac:dyDescent="0.35">
      <c r="A343" s="19">
        <f>Database!A664</f>
        <v>38517</v>
      </c>
      <c r="B343" s="48">
        <f>VLOOKUP(A343,Database!$A:$V,MATCH(Currency!$B$1,Database!$A$1:$V$1,),)</f>
        <v>-19665</v>
      </c>
    </row>
    <row r="344" spans="1:2" x14ac:dyDescent="0.35">
      <c r="A344" s="19">
        <f>Database!A665</f>
        <v>38524</v>
      </c>
      <c r="B344" s="48">
        <f>VLOOKUP(A344,Database!$A:$V,MATCH(Currency!$B$1,Database!$A$1:$V$1,),)</f>
        <v>-21282</v>
      </c>
    </row>
    <row r="345" spans="1:2" x14ac:dyDescent="0.35">
      <c r="A345" s="19">
        <f>Database!A666</f>
        <v>38531</v>
      </c>
      <c r="B345" s="48">
        <f>VLOOKUP(A345,Database!$A:$V,MATCH(Currency!$B$1,Database!$A$1:$V$1,),)</f>
        <v>-14241</v>
      </c>
    </row>
    <row r="346" spans="1:2" x14ac:dyDescent="0.35">
      <c r="A346" s="19">
        <f>Database!A667</f>
        <v>38538</v>
      </c>
      <c r="B346" s="48">
        <f>VLOOKUP(A346,Database!$A:$V,MATCH(Currency!$B$1,Database!$A$1:$V$1,),)</f>
        <v>-24872</v>
      </c>
    </row>
    <row r="347" spans="1:2" x14ac:dyDescent="0.35">
      <c r="A347" s="19">
        <f>Database!A668</f>
        <v>38545</v>
      </c>
      <c r="B347" s="48">
        <f>VLOOKUP(A347,Database!$A:$V,MATCH(Currency!$B$1,Database!$A$1:$V$1,),)</f>
        <v>-7848</v>
      </c>
    </row>
    <row r="348" spans="1:2" x14ac:dyDescent="0.35">
      <c r="A348" s="19">
        <f>Database!A669</f>
        <v>38552</v>
      </c>
      <c r="B348" s="48">
        <f>VLOOKUP(A348,Database!$A:$V,MATCH(Currency!$B$1,Database!$A$1:$V$1,),)</f>
        <v>-11870</v>
      </c>
    </row>
    <row r="349" spans="1:2" x14ac:dyDescent="0.35">
      <c r="A349" s="19">
        <f>Database!A670</f>
        <v>38559</v>
      </c>
      <c r="B349" s="48">
        <f>VLOOKUP(A349,Database!$A:$V,MATCH(Currency!$B$1,Database!$A$1:$V$1,),)</f>
        <v>-8296</v>
      </c>
    </row>
    <row r="350" spans="1:2" x14ac:dyDescent="0.35">
      <c r="A350" s="19">
        <f>Database!A671</f>
        <v>38566</v>
      </c>
      <c r="B350" s="48">
        <f>VLOOKUP(A350,Database!$A:$V,MATCH(Currency!$B$1,Database!$A$1:$V$1,),)</f>
        <v>-191</v>
      </c>
    </row>
    <row r="351" spans="1:2" x14ac:dyDescent="0.35">
      <c r="A351" s="19">
        <f>Database!A672</f>
        <v>38573</v>
      </c>
      <c r="B351" s="48">
        <f>VLOOKUP(A351,Database!$A:$V,MATCH(Currency!$B$1,Database!$A$1:$V$1,),)</f>
        <v>4231</v>
      </c>
    </row>
    <row r="352" spans="1:2" x14ac:dyDescent="0.35">
      <c r="A352" s="19">
        <f>Database!A673</f>
        <v>38580</v>
      </c>
      <c r="B352" s="48">
        <f>VLOOKUP(A352,Database!$A:$V,MATCH(Currency!$B$1,Database!$A$1:$V$1,),)</f>
        <v>584</v>
      </c>
    </row>
    <row r="353" spans="1:2" x14ac:dyDescent="0.35">
      <c r="A353" s="19">
        <f>Database!A674</f>
        <v>38587</v>
      </c>
      <c r="B353" s="48">
        <f>VLOOKUP(A353,Database!$A:$V,MATCH(Currency!$B$1,Database!$A$1:$V$1,),)</f>
        <v>-5766</v>
      </c>
    </row>
    <row r="354" spans="1:2" x14ac:dyDescent="0.35">
      <c r="A354" s="19">
        <f>Database!A675</f>
        <v>38594</v>
      </c>
      <c r="B354" s="48">
        <f>VLOOKUP(A354,Database!$A:$V,MATCH(Currency!$B$1,Database!$A$1:$V$1,),)</f>
        <v>-3619</v>
      </c>
    </row>
    <row r="355" spans="1:2" x14ac:dyDescent="0.35">
      <c r="A355" s="19">
        <f>Database!A676</f>
        <v>38601</v>
      </c>
      <c r="B355" s="48">
        <f>VLOOKUP(A355,Database!$A:$V,MATCH(Currency!$B$1,Database!$A$1:$V$1,),)</f>
        <v>23518</v>
      </c>
    </row>
    <row r="356" spans="1:2" x14ac:dyDescent="0.35">
      <c r="A356" s="19">
        <f>Database!A677</f>
        <v>38608</v>
      </c>
      <c r="B356" s="48">
        <f>VLOOKUP(A356,Database!$A:$V,MATCH(Currency!$B$1,Database!$A$1:$V$1,),)</f>
        <v>7585</v>
      </c>
    </row>
    <row r="357" spans="1:2" x14ac:dyDescent="0.35">
      <c r="A357" s="19">
        <f>Database!A678</f>
        <v>38615</v>
      </c>
      <c r="B357" s="48">
        <f>VLOOKUP(A357,Database!$A:$V,MATCH(Currency!$B$1,Database!$A$1:$V$1,),)</f>
        <v>-1428</v>
      </c>
    </row>
    <row r="358" spans="1:2" x14ac:dyDescent="0.35">
      <c r="A358" s="19">
        <f>Database!A679</f>
        <v>38622</v>
      </c>
      <c r="B358" s="48">
        <f>VLOOKUP(A358,Database!$A:$V,MATCH(Currency!$B$1,Database!$A$1:$V$1,),)</f>
        <v>-1603</v>
      </c>
    </row>
    <row r="359" spans="1:2" x14ac:dyDescent="0.35">
      <c r="A359" s="19">
        <f>Database!A680</f>
        <v>38629</v>
      </c>
      <c r="B359" s="48">
        <f>VLOOKUP(A359,Database!$A:$V,MATCH(Currency!$B$1,Database!$A$1:$V$1,),)</f>
        <v>-1898</v>
      </c>
    </row>
    <row r="360" spans="1:2" x14ac:dyDescent="0.35">
      <c r="A360" s="19">
        <f>Database!A681</f>
        <v>38636</v>
      </c>
      <c r="B360" s="48">
        <f>VLOOKUP(A360,Database!$A:$V,MATCH(Currency!$B$1,Database!$A$1:$V$1,),)</f>
        <v>4792</v>
      </c>
    </row>
    <row r="361" spans="1:2" x14ac:dyDescent="0.35">
      <c r="A361" s="19">
        <f>Database!A682</f>
        <v>38643</v>
      </c>
      <c r="B361" s="48">
        <f>VLOOKUP(A361,Database!$A:$V,MATCH(Currency!$B$1,Database!$A$1:$V$1,),)</f>
        <v>855</v>
      </c>
    </row>
    <row r="362" spans="1:2" x14ac:dyDescent="0.35">
      <c r="A362" s="19">
        <f>Database!A683</f>
        <v>38650</v>
      </c>
      <c r="B362" s="48">
        <f>VLOOKUP(A362,Database!$A:$V,MATCH(Currency!$B$1,Database!$A$1:$V$1,),)</f>
        <v>-2558</v>
      </c>
    </row>
    <row r="363" spans="1:2" x14ac:dyDescent="0.35">
      <c r="A363" s="19">
        <f>Database!A684</f>
        <v>38657</v>
      </c>
      <c r="B363" s="48">
        <f>VLOOKUP(A363,Database!$A:$V,MATCH(Currency!$B$1,Database!$A$1:$V$1,),)</f>
        <v>6998</v>
      </c>
    </row>
    <row r="364" spans="1:2" x14ac:dyDescent="0.35">
      <c r="A364" s="19">
        <f>Database!A685</f>
        <v>38664</v>
      </c>
      <c r="B364" s="48">
        <f>VLOOKUP(A364,Database!$A:$V,MATCH(Currency!$B$1,Database!$A$1:$V$1,),)</f>
        <v>-6627</v>
      </c>
    </row>
    <row r="365" spans="1:2" x14ac:dyDescent="0.35">
      <c r="A365" s="19">
        <f>Database!A686</f>
        <v>38671</v>
      </c>
      <c r="B365" s="48">
        <f>VLOOKUP(A365,Database!$A:$V,MATCH(Currency!$B$1,Database!$A$1:$V$1,),)</f>
        <v>-13222</v>
      </c>
    </row>
    <row r="366" spans="1:2" x14ac:dyDescent="0.35">
      <c r="A366" s="19">
        <f>Database!A687</f>
        <v>38678</v>
      </c>
      <c r="B366" s="48">
        <f>VLOOKUP(A366,Database!$A:$V,MATCH(Currency!$B$1,Database!$A$1:$V$1,),)</f>
        <v>-11127</v>
      </c>
    </row>
    <row r="367" spans="1:2" x14ac:dyDescent="0.35">
      <c r="A367" s="19">
        <f>Database!A688</f>
        <v>38685</v>
      </c>
      <c r="B367" s="48">
        <f>VLOOKUP(A367,Database!$A:$V,MATCH(Currency!$B$1,Database!$A$1:$V$1,),)</f>
        <v>-18132</v>
      </c>
    </row>
    <row r="368" spans="1:2" x14ac:dyDescent="0.35">
      <c r="A368" s="19">
        <f>Database!A689</f>
        <v>38692</v>
      </c>
      <c r="B368" s="48">
        <f>VLOOKUP(A368,Database!$A:$V,MATCH(Currency!$B$1,Database!$A$1:$V$1,),)</f>
        <v>-22572</v>
      </c>
    </row>
    <row r="369" spans="1:2" x14ac:dyDescent="0.35">
      <c r="A369" s="19">
        <f>Database!A690</f>
        <v>38699</v>
      </c>
      <c r="B369" s="48">
        <f>VLOOKUP(A369,Database!$A:$V,MATCH(Currency!$B$1,Database!$A$1:$V$1,),)</f>
        <v>-1063</v>
      </c>
    </row>
    <row r="370" spans="1:2" x14ac:dyDescent="0.35">
      <c r="A370" s="19">
        <f>Database!A691</f>
        <v>38706</v>
      </c>
      <c r="B370" s="48">
        <f>VLOOKUP(A370,Database!$A:$V,MATCH(Currency!$B$1,Database!$A$1:$V$1,),)</f>
        <v>4504</v>
      </c>
    </row>
    <row r="371" spans="1:2" x14ac:dyDescent="0.35">
      <c r="A371" s="19">
        <f>Database!A692</f>
        <v>38713</v>
      </c>
      <c r="B371" s="48">
        <f>VLOOKUP(A371,Database!$A:$V,MATCH(Currency!$B$1,Database!$A$1:$V$1,),)</f>
        <v>4578</v>
      </c>
    </row>
    <row r="372" spans="1:2" x14ac:dyDescent="0.35">
      <c r="A372" s="19">
        <f>Database!A693</f>
        <v>38720</v>
      </c>
      <c r="B372" s="48">
        <f>VLOOKUP(A372,Database!$A:$V,MATCH(Currency!$B$1,Database!$A$1:$V$1,),)</f>
        <v>11231</v>
      </c>
    </row>
    <row r="373" spans="1:2" x14ac:dyDescent="0.35">
      <c r="A373" s="19">
        <f>Database!A694</f>
        <v>38727</v>
      </c>
      <c r="B373" s="48">
        <f>VLOOKUP(A373,Database!$A:$V,MATCH(Currency!$B$1,Database!$A$1:$V$1,),)</f>
        <v>21961</v>
      </c>
    </row>
    <row r="374" spans="1:2" x14ac:dyDescent="0.35">
      <c r="A374" s="19">
        <f>Database!A695</f>
        <v>38734</v>
      </c>
      <c r="B374" s="48">
        <f>VLOOKUP(A374,Database!$A:$V,MATCH(Currency!$B$1,Database!$A$1:$V$1,),)</f>
        <v>21211</v>
      </c>
    </row>
    <row r="375" spans="1:2" x14ac:dyDescent="0.35">
      <c r="A375" s="19">
        <f>Database!A696</f>
        <v>38741</v>
      </c>
      <c r="B375" s="48">
        <f>VLOOKUP(A375,Database!$A:$V,MATCH(Currency!$B$1,Database!$A$1:$V$1,),)</f>
        <v>37464</v>
      </c>
    </row>
    <row r="376" spans="1:2" x14ac:dyDescent="0.35">
      <c r="A376" s="19">
        <f>Database!A697</f>
        <v>38748</v>
      </c>
      <c r="B376" s="48">
        <f>VLOOKUP(A376,Database!$A:$V,MATCH(Currency!$B$1,Database!$A$1:$V$1,),)</f>
        <v>36382</v>
      </c>
    </row>
    <row r="377" spans="1:2" x14ac:dyDescent="0.35">
      <c r="A377" s="19">
        <f>Database!A698</f>
        <v>38755</v>
      </c>
      <c r="B377" s="48">
        <f>VLOOKUP(A377,Database!$A:$V,MATCH(Currency!$B$1,Database!$A$1:$V$1,),)</f>
        <v>18965</v>
      </c>
    </row>
    <row r="378" spans="1:2" x14ac:dyDescent="0.35">
      <c r="A378" s="19">
        <f>Database!A699</f>
        <v>38762</v>
      </c>
      <c r="B378" s="48">
        <f>VLOOKUP(A378,Database!$A:$V,MATCH(Currency!$B$1,Database!$A$1:$V$1,),)</f>
        <v>11956</v>
      </c>
    </row>
    <row r="379" spans="1:2" x14ac:dyDescent="0.35">
      <c r="A379" s="19">
        <f>Database!A700</f>
        <v>38769</v>
      </c>
      <c r="B379" s="48">
        <f>VLOOKUP(A379,Database!$A:$V,MATCH(Currency!$B$1,Database!$A$1:$V$1,),)</f>
        <v>10085</v>
      </c>
    </row>
    <row r="380" spans="1:2" x14ac:dyDescent="0.35">
      <c r="A380" s="19">
        <f>Database!A701</f>
        <v>38776</v>
      </c>
      <c r="B380" s="48">
        <f>VLOOKUP(A380,Database!$A:$V,MATCH(Currency!$B$1,Database!$A$1:$V$1,),)</f>
        <v>18402</v>
      </c>
    </row>
    <row r="381" spans="1:2" x14ac:dyDescent="0.35">
      <c r="A381" s="19">
        <f>Database!A702</f>
        <v>38783</v>
      </c>
      <c r="B381" s="48">
        <f>VLOOKUP(A381,Database!$A:$V,MATCH(Currency!$B$1,Database!$A$1:$V$1,),)</f>
        <v>13878</v>
      </c>
    </row>
    <row r="382" spans="1:2" x14ac:dyDescent="0.35">
      <c r="A382" s="19">
        <f>Database!A703</f>
        <v>38790</v>
      </c>
      <c r="B382" s="48">
        <f>VLOOKUP(A382,Database!$A:$V,MATCH(Currency!$B$1,Database!$A$1:$V$1,),)</f>
        <v>27984</v>
      </c>
    </row>
    <row r="383" spans="1:2" x14ac:dyDescent="0.35">
      <c r="A383" s="19">
        <f>Database!A704</f>
        <v>38797</v>
      </c>
      <c r="B383" s="48">
        <f>VLOOKUP(A383,Database!$A:$V,MATCH(Currency!$B$1,Database!$A$1:$V$1,),)</f>
        <v>41452</v>
      </c>
    </row>
    <row r="384" spans="1:2" x14ac:dyDescent="0.35">
      <c r="A384" s="19">
        <f>Database!A705</f>
        <v>38804</v>
      </c>
      <c r="B384" s="48">
        <f>VLOOKUP(A384,Database!$A:$V,MATCH(Currency!$B$1,Database!$A$1:$V$1,),)</f>
        <v>40811</v>
      </c>
    </row>
    <row r="385" spans="1:2" x14ac:dyDescent="0.35">
      <c r="A385" s="19">
        <f>Database!A706</f>
        <v>38811</v>
      </c>
      <c r="B385" s="48">
        <f>VLOOKUP(A385,Database!$A:$V,MATCH(Currency!$B$1,Database!$A$1:$V$1,),)</f>
        <v>52392</v>
      </c>
    </row>
    <row r="386" spans="1:2" x14ac:dyDescent="0.35">
      <c r="A386" s="19">
        <f>Database!A707</f>
        <v>38818</v>
      </c>
      <c r="B386" s="48">
        <f>VLOOKUP(A386,Database!$A:$V,MATCH(Currency!$B$1,Database!$A$1:$V$1,),)</f>
        <v>41630</v>
      </c>
    </row>
    <row r="387" spans="1:2" x14ac:dyDescent="0.35">
      <c r="A387" s="19">
        <f>Database!A708</f>
        <v>38825</v>
      </c>
      <c r="B387" s="48">
        <f>VLOOKUP(A387,Database!$A:$V,MATCH(Currency!$B$1,Database!$A$1:$V$1,),)</f>
        <v>55342</v>
      </c>
    </row>
    <row r="388" spans="1:2" x14ac:dyDescent="0.35">
      <c r="A388" s="19">
        <f>Database!A709</f>
        <v>38832</v>
      </c>
      <c r="B388" s="48">
        <f>VLOOKUP(A388,Database!$A:$V,MATCH(Currency!$B$1,Database!$A$1:$V$1,),)</f>
        <v>65525</v>
      </c>
    </row>
    <row r="389" spans="1:2" x14ac:dyDescent="0.35">
      <c r="A389" s="19">
        <f>Database!A710</f>
        <v>38839</v>
      </c>
      <c r="B389" s="48">
        <f>VLOOKUP(A389,Database!$A:$V,MATCH(Currency!$B$1,Database!$A$1:$V$1,),)</f>
        <v>74474</v>
      </c>
    </row>
    <row r="390" spans="1:2" x14ac:dyDescent="0.35">
      <c r="A390" s="19">
        <f>Database!A711</f>
        <v>38846</v>
      </c>
      <c r="B390" s="48">
        <f>VLOOKUP(A390,Database!$A:$V,MATCH(Currency!$B$1,Database!$A$1:$V$1,),)</f>
        <v>72911</v>
      </c>
    </row>
    <row r="391" spans="1:2" x14ac:dyDescent="0.35">
      <c r="A391" s="19">
        <f>Database!A712</f>
        <v>38853</v>
      </c>
      <c r="B391" s="48">
        <f>VLOOKUP(A391,Database!$A:$V,MATCH(Currency!$B$1,Database!$A$1:$V$1,),)</f>
        <v>73376</v>
      </c>
    </row>
    <row r="392" spans="1:2" x14ac:dyDescent="0.35">
      <c r="A392" s="19">
        <f>Database!A713</f>
        <v>38860</v>
      </c>
      <c r="B392" s="48">
        <f>VLOOKUP(A392,Database!$A:$V,MATCH(Currency!$B$1,Database!$A$1:$V$1,),)</f>
        <v>72076</v>
      </c>
    </row>
    <row r="393" spans="1:2" x14ac:dyDescent="0.35">
      <c r="A393" s="19">
        <f>Database!A714</f>
        <v>38867</v>
      </c>
      <c r="B393" s="48">
        <f>VLOOKUP(A393,Database!$A:$V,MATCH(Currency!$B$1,Database!$A$1:$V$1,),)</f>
        <v>79884</v>
      </c>
    </row>
    <row r="394" spans="1:2" x14ac:dyDescent="0.35">
      <c r="A394" s="19">
        <f>Database!A715</f>
        <v>38874</v>
      </c>
      <c r="B394" s="48">
        <f>VLOOKUP(A394,Database!$A:$V,MATCH(Currency!$B$1,Database!$A$1:$V$1,),)</f>
        <v>88196</v>
      </c>
    </row>
    <row r="395" spans="1:2" x14ac:dyDescent="0.35">
      <c r="A395" s="19">
        <f>Database!A716</f>
        <v>38881</v>
      </c>
      <c r="B395" s="48">
        <f>VLOOKUP(A395,Database!$A:$V,MATCH(Currency!$B$1,Database!$A$1:$V$1,),)</f>
        <v>61846</v>
      </c>
    </row>
    <row r="396" spans="1:2" x14ac:dyDescent="0.35">
      <c r="A396" s="19">
        <f>Database!A717</f>
        <v>38888</v>
      </c>
      <c r="B396" s="48">
        <f>VLOOKUP(A396,Database!$A:$V,MATCH(Currency!$B$1,Database!$A$1:$V$1,),)</f>
        <v>52490</v>
      </c>
    </row>
    <row r="397" spans="1:2" x14ac:dyDescent="0.35">
      <c r="A397" s="19">
        <f>Database!A718</f>
        <v>38895</v>
      </c>
      <c r="B397" s="48">
        <f>VLOOKUP(A397,Database!$A:$V,MATCH(Currency!$B$1,Database!$A$1:$V$1,),)</f>
        <v>64670</v>
      </c>
    </row>
    <row r="398" spans="1:2" x14ac:dyDescent="0.35">
      <c r="A398" s="19">
        <f>Database!A719</f>
        <v>38902</v>
      </c>
      <c r="B398" s="48">
        <f>VLOOKUP(A398,Database!$A:$V,MATCH(Currency!$B$1,Database!$A$1:$V$1,),)</f>
        <v>68545</v>
      </c>
    </row>
    <row r="399" spans="1:2" x14ac:dyDescent="0.35">
      <c r="A399" s="19">
        <f>Database!A720</f>
        <v>38909</v>
      </c>
      <c r="B399" s="48">
        <f>VLOOKUP(A399,Database!$A:$V,MATCH(Currency!$B$1,Database!$A$1:$V$1,),)</f>
        <v>77895</v>
      </c>
    </row>
    <row r="400" spans="1:2" x14ac:dyDescent="0.35">
      <c r="A400" s="19">
        <f>Database!A721</f>
        <v>38916</v>
      </c>
      <c r="B400" s="48">
        <f>VLOOKUP(A400,Database!$A:$V,MATCH(Currency!$B$1,Database!$A$1:$V$1,),)</f>
        <v>51694</v>
      </c>
    </row>
    <row r="401" spans="1:2" x14ac:dyDescent="0.35">
      <c r="A401" s="19">
        <f>Database!A722</f>
        <v>38923</v>
      </c>
      <c r="B401" s="48">
        <f>VLOOKUP(A401,Database!$A:$V,MATCH(Currency!$B$1,Database!$A$1:$V$1,),)</f>
        <v>50301</v>
      </c>
    </row>
    <row r="402" spans="1:2" x14ac:dyDescent="0.35">
      <c r="A402" s="19">
        <f>Database!A723</f>
        <v>38930</v>
      </c>
      <c r="B402" s="48">
        <f>VLOOKUP(A402,Database!$A:$V,MATCH(Currency!$B$1,Database!$A$1:$V$1,),)</f>
        <v>73429</v>
      </c>
    </row>
    <row r="403" spans="1:2" x14ac:dyDescent="0.35">
      <c r="A403" s="19">
        <f>Database!A724</f>
        <v>38937</v>
      </c>
      <c r="B403" s="48">
        <f>VLOOKUP(A403,Database!$A:$V,MATCH(Currency!$B$1,Database!$A$1:$V$1,),)</f>
        <v>92108</v>
      </c>
    </row>
    <row r="404" spans="1:2" x14ac:dyDescent="0.35">
      <c r="A404" s="19">
        <f>Database!A725</f>
        <v>38944</v>
      </c>
      <c r="B404" s="48">
        <f>VLOOKUP(A404,Database!$A:$V,MATCH(Currency!$B$1,Database!$A$1:$V$1,),)</f>
        <v>90204</v>
      </c>
    </row>
    <row r="405" spans="1:2" x14ac:dyDescent="0.35">
      <c r="A405" s="19">
        <f>Database!A726</f>
        <v>38951</v>
      </c>
      <c r="B405" s="48">
        <f>VLOOKUP(A405,Database!$A:$V,MATCH(Currency!$B$1,Database!$A$1:$V$1,),)</f>
        <v>81470</v>
      </c>
    </row>
    <row r="406" spans="1:2" x14ac:dyDescent="0.35">
      <c r="A406" s="19">
        <f>Database!A727</f>
        <v>38958</v>
      </c>
      <c r="B406" s="48">
        <f>VLOOKUP(A406,Database!$A:$V,MATCH(Currency!$B$1,Database!$A$1:$V$1,),)</f>
        <v>79637</v>
      </c>
    </row>
    <row r="407" spans="1:2" x14ac:dyDescent="0.35">
      <c r="A407" s="19">
        <f>Database!A728</f>
        <v>38965</v>
      </c>
      <c r="B407" s="48">
        <f>VLOOKUP(A407,Database!$A:$V,MATCH(Currency!$B$1,Database!$A$1:$V$1,),)</f>
        <v>75016</v>
      </c>
    </row>
    <row r="408" spans="1:2" x14ac:dyDescent="0.35">
      <c r="A408" s="19">
        <f>Database!A729</f>
        <v>38972</v>
      </c>
      <c r="B408" s="48">
        <f>VLOOKUP(A408,Database!$A:$V,MATCH(Currency!$B$1,Database!$A$1:$V$1,),)</f>
        <v>66717</v>
      </c>
    </row>
    <row r="409" spans="1:2" x14ac:dyDescent="0.35">
      <c r="A409" s="19">
        <f>Database!A730</f>
        <v>38979</v>
      </c>
      <c r="B409" s="48">
        <f>VLOOKUP(A409,Database!$A:$V,MATCH(Currency!$B$1,Database!$A$1:$V$1,),)</f>
        <v>51114</v>
      </c>
    </row>
    <row r="410" spans="1:2" x14ac:dyDescent="0.35">
      <c r="A410" s="19">
        <f>Database!A731</f>
        <v>38986</v>
      </c>
      <c r="B410" s="48">
        <f>VLOOKUP(A410,Database!$A:$V,MATCH(Currency!$B$1,Database!$A$1:$V$1,),)</f>
        <v>49942</v>
      </c>
    </row>
    <row r="411" spans="1:2" x14ac:dyDescent="0.35">
      <c r="A411" s="19">
        <f>Database!A732</f>
        <v>38993</v>
      </c>
      <c r="B411" s="48">
        <f>VLOOKUP(A411,Database!$A:$V,MATCH(Currency!$B$1,Database!$A$1:$V$1,),)</f>
        <v>56217</v>
      </c>
    </row>
    <row r="412" spans="1:2" x14ac:dyDescent="0.35">
      <c r="A412" s="19">
        <f>Database!A733</f>
        <v>39000</v>
      </c>
      <c r="B412" s="48">
        <f>VLOOKUP(A412,Database!$A:$V,MATCH(Currency!$B$1,Database!$A$1:$V$1,),)</f>
        <v>36528</v>
      </c>
    </row>
    <row r="413" spans="1:2" x14ac:dyDescent="0.35">
      <c r="A413" s="19">
        <f>Database!A734</f>
        <v>39007</v>
      </c>
      <c r="B413" s="48">
        <f>VLOOKUP(A413,Database!$A:$V,MATCH(Currency!$B$1,Database!$A$1:$V$1,),)</f>
        <v>26592</v>
      </c>
    </row>
    <row r="414" spans="1:2" x14ac:dyDescent="0.35">
      <c r="A414" s="19">
        <f>Database!A735</f>
        <v>39014</v>
      </c>
      <c r="B414" s="48">
        <f>VLOOKUP(A414,Database!$A:$V,MATCH(Currency!$B$1,Database!$A$1:$V$1,),)</f>
        <v>27151</v>
      </c>
    </row>
    <row r="415" spans="1:2" x14ac:dyDescent="0.35">
      <c r="A415" s="19">
        <f>Database!A736</f>
        <v>39021</v>
      </c>
      <c r="B415" s="48">
        <f>VLOOKUP(A415,Database!$A:$V,MATCH(Currency!$B$1,Database!$A$1:$V$1,),)</f>
        <v>60048</v>
      </c>
    </row>
    <row r="416" spans="1:2" x14ac:dyDescent="0.35">
      <c r="A416" s="19">
        <f>Database!A737</f>
        <v>39028</v>
      </c>
      <c r="B416" s="48">
        <f>VLOOKUP(A416,Database!$A:$V,MATCH(Currency!$B$1,Database!$A$1:$V$1,),)</f>
        <v>68925</v>
      </c>
    </row>
    <row r="417" spans="1:2" x14ac:dyDescent="0.35">
      <c r="A417" s="19">
        <f>Database!A738</f>
        <v>39035</v>
      </c>
      <c r="B417" s="48">
        <f>VLOOKUP(A417,Database!$A:$V,MATCH(Currency!$B$1,Database!$A$1:$V$1,),)</f>
        <v>60475</v>
      </c>
    </row>
    <row r="418" spans="1:2" x14ac:dyDescent="0.35">
      <c r="A418" s="19">
        <f>Database!A739</f>
        <v>39042</v>
      </c>
      <c r="B418" s="48">
        <f>VLOOKUP(A418,Database!$A:$V,MATCH(Currency!$B$1,Database!$A$1:$V$1,),)</f>
        <v>65306</v>
      </c>
    </row>
    <row r="419" spans="1:2" x14ac:dyDescent="0.35">
      <c r="A419" s="19">
        <f>Database!A740</f>
        <v>39049</v>
      </c>
      <c r="B419" s="48">
        <f>VLOOKUP(A419,Database!$A:$V,MATCH(Currency!$B$1,Database!$A$1:$V$1,),)</f>
        <v>89594</v>
      </c>
    </row>
    <row r="420" spans="1:2" x14ac:dyDescent="0.35">
      <c r="A420" s="19">
        <f>Database!A741</f>
        <v>39056</v>
      </c>
      <c r="B420" s="48">
        <f>VLOOKUP(A420,Database!$A:$V,MATCH(Currency!$B$1,Database!$A$1:$V$1,),)</f>
        <v>98265</v>
      </c>
    </row>
    <row r="421" spans="1:2" x14ac:dyDescent="0.35">
      <c r="A421" s="19">
        <f>Database!A742</f>
        <v>39063</v>
      </c>
      <c r="B421" s="48">
        <f>VLOOKUP(A421,Database!$A:$V,MATCH(Currency!$B$1,Database!$A$1:$V$1,),)</f>
        <v>96683</v>
      </c>
    </row>
    <row r="422" spans="1:2" x14ac:dyDescent="0.35">
      <c r="A422" s="19">
        <f>Database!A743</f>
        <v>39070</v>
      </c>
      <c r="B422" s="48">
        <f>VLOOKUP(A422,Database!$A:$V,MATCH(Currency!$B$1,Database!$A$1:$V$1,),)</f>
        <v>91970</v>
      </c>
    </row>
    <row r="423" spans="1:2" x14ac:dyDescent="0.35">
      <c r="A423" s="19">
        <f>Database!A744</f>
        <v>39077</v>
      </c>
      <c r="B423" s="48">
        <f>VLOOKUP(A423,Database!$A:$V,MATCH(Currency!$B$1,Database!$A$1:$V$1,),)</f>
        <v>79970</v>
      </c>
    </row>
    <row r="424" spans="1:2" x14ac:dyDescent="0.35">
      <c r="A424" s="19">
        <f>Database!A745</f>
        <v>39084</v>
      </c>
      <c r="B424" s="48">
        <f>VLOOKUP(A424,Database!$A:$V,MATCH(Currency!$B$1,Database!$A$1:$V$1,),)</f>
        <v>77456</v>
      </c>
    </row>
    <row r="425" spans="1:2" x14ac:dyDescent="0.35">
      <c r="A425" s="19">
        <f>Database!A746</f>
        <v>39091</v>
      </c>
      <c r="B425" s="48">
        <f>VLOOKUP(A425,Database!$A:$V,MATCH(Currency!$B$1,Database!$A$1:$V$1,),)</f>
        <v>75172</v>
      </c>
    </row>
    <row r="426" spans="1:2" x14ac:dyDescent="0.35">
      <c r="A426" s="19">
        <f>Database!A747</f>
        <v>39098</v>
      </c>
      <c r="B426" s="48">
        <f>VLOOKUP(A426,Database!$A:$V,MATCH(Currency!$B$1,Database!$A$1:$V$1,),)</f>
        <v>53542</v>
      </c>
    </row>
    <row r="427" spans="1:2" x14ac:dyDescent="0.35">
      <c r="A427" s="19">
        <f>Database!A748</f>
        <v>39105</v>
      </c>
      <c r="B427" s="48">
        <f>VLOOKUP(A427,Database!$A:$V,MATCH(Currency!$B$1,Database!$A$1:$V$1,),)</f>
        <v>61010</v>
      </c>
    </row>
    <row r="428" spans="1:2" x14ac:dyDescent="0.35">
      <c r="A428" s="19">
        <f>Database!A749</f>
        <v>39112</v>
      </c>
      <c r="B428" s="48">
        <f>VLOOKUP(A428,Database!$A:$V,MATCH(Currency!$B$1,Database!$A$1:$V$1,),)</f>
        <v>62579</v>
      </c>
    </row>
    <row r="429" spans="1:2" x14ac:dyDescent="0.35">
      <c r="A429" s="19">
        <f>Database!A750</f>
        <v>39119</v>
      </c>
      <c r="B429" s="48">
        <f>VLOOKUP(A429,Database!$A:$V,MATCH(Currency!$B$1,Database!$A$1:$V$1,),)</f>
        <v>45330</v>
      </c>
    </row>
    <row r="430" spans="1:2" x14ac:dyDescent="0.35">
      <c r="A430" s="19">
        <f>Database!A751</f>
        <v>39126</v>
      </c>
      <c r="B430" s="48">
        <f>VLOOKUP(A430,Database!$A:$V,MATCH(Currency!$B$1,Database!$A$1:$V$1,),)</f>
        <v>83795</v>
      </c>
    </row>
    <row r="431" spans="1:2" x14ac:dyDescent="0.35">
      <c r="A431" s="19">
        <f>Database!A752</f>
        <v>39133</v>
      </c>
      <c r="B431" s="48">
        <f>VLOOKUP(A431,Database!$A:$V,MATCH(Currency!$B$1,Database!$A$1:$V$1,),)</f>
        <v>99326</v>
      </c>
    </row>
    <row r="432" spans="1:2" x14ac:dyDescent="0.35">
      <c r="A432" s="19">
        <f>Database!A753</f>
        <v>39140</v>
      </c>
      <c r="B432" s="48">
        <f>VLOOKUP(A432,Database!$A:$V,MATCH(Currency!$B$1,Database!$A$1:$V$1,),)</f>
        <v>102598</v>
      </c>
    </row>
    <row r="433" spans="1:2" x14ac:dyDescent="0.35">
      <c r="A433" s="19">
        <f>Database!A754</f>
        <v>39147</v>
      </c>
      <c r="B433" s="48">
        <f>VLOOKUP(A433,Database!$A:$V,MATCH(Currency!$B$1,Database!$A$1:$V$1,),)</f>
        <v>88679</v>
      </c>
    </row>
    <row r="434" spans="1:2" x14ac:dyDescent="0.35">
      <c r="A434" s="19">
        <f>Database!A755</f>
        <v>39154</v>
      </c>
      <c r="B434" s="48">
        <f>VLOOKUP(A434,Database!$A:$V,MATCH(Currency!$B$1,Database!$A$1:$V$1,),)</f>
        <v>96155</v>
      </c>
    </row>
    <row r="435" spans="1:2" x14ac:dyDescent="0.35">
      <c r="A435" s="19">
        <f>Database!A756</f>
        <v>39161</v>
      </c>
      <c r="B435" s="48">
        <f>VLOOKUP(A435,Database!$A:$V,MATCH(Currency!$B$1,Database!$A$1:$V$1,),)</f>
        <v>87956</v>
      </c>
    </row>
    <row r="436" spans="1:2" x14ac:dyDescent="0.35">
      <c r="A436" s="19">
        <f>Database!A757</f>
        <v>39168</v>
      </c>
      <c r="B436" s="48">
        <f>VLOOKUP(A436,Database!$A:$V,MATCH(Currency!$B$1,Database!$A$1:$V$1,),)</f>
        <v>93741</v>
      </c>
    </row>
    <row r="437" spans="1:2" x14ac:dyDescent="0.35">
      <c r="A437" s="19">
        <f>Database!A758</f>
        <v>39175</v>
      </c>
      <c r="B437" s="48">
        <f>VLOOKUP(A437,Database!$A:$V,MATCH(Currency!$B$1,Database!$A$1:$V$1,),)</f>
        <v>95078</v>
      </c>
    </row>
    <row r="438" spans="1:2" x14ac:dyDescent="0.35">
      <c r="A438" s="19">
        <f>Database!A759</f>
        <v>39182</v>
      </c>
      <c r="B438" s="48">
        <f>VLOOKUP(A438,Database!$A:$V,MATCH(Currency!$B$1,Database!$A$1:$V$1,),)</f>
        <v>104394</v>
      </c>
    </row>
    <row r="439" spans="1:2" x14ac:dyDescent="0.35">
      <c r="A439" s="19">
        <f>Database!A760</f>
        <v>39189</v>
      </c>
      <c r="B439" s="48">
        <f>VLOOKUP(A439,Database!$A:$V,MATCH(Currency!$B$1,Database!$A$1:$V$1,),)</f>
        <v>106770</v>
      </c>
    </row>
    <row r="440" spans="1:2" x14ac:dyDescent="0.35">
      <c r="A440" s="19">
        <f>Database!A761</f>
        <v>39196</v>
      </c>
      <c r="B440" s="48">
        <f>VLOOKUP(A440,Database!$A:$V,MATCH(Currency!$B$1,Database!$A$1:$V$1,),)</f>
        <v>111282</v>
      </c>
    </row>
    <row r="441" spans="1:2" x14ac:dyDescent="0.35">
      <c r="A441" s="19">
        <f>Database!A762</f>
        <v>39203</v>
      </c>
      <c r="B441" s="48">
        <f>VLOOKUP(A441,Database!$A:$V,MATCH(Currency!$B$1,Database!$A$1:$V$1,),)</f>
        <v>106688</v>
      </c>
    </row>
    <row r="442" spans="1:2" x14ac:dyDescent="0.35">
      <c r="A442" s="19">
        <f>Database!A763</f>
        <v>39210</v>
      </c>
      <c r="B442" s="48">
        <f>VLOOKUP(A442,Database!$A:$V,MATCH(Currency!$B$1,Database!$A$1:$V$1,),)</f>
        <v>105270</v>
      </c>
    </row>
    <row r="443" spans="1:2" x14ac:dyDescent="0.35">
      <c r="A443" s="19">
        <f>Database!A764</f>
        <v>39217</v>
      </c>
      <c r="B443" s="48">
        <f>VLOOKUP(A443,Database!$A:$V,MATCH(Currency!$B$1,Database!$A$1:$V$1,),)</f>
        <v>119538</v>
      </c>
    </row>
    <row r="444" spans="1:2" x14ac:dyDescent="0.35">
      <c r="A444" s="19">
        <f>Database!A765</f>
        <v>39224</v>
      </c>
      <c r="B444" s="48">
        <f>VLOOKUP(A444,Database!$A:$V,MATCH(Currency!$B$1,Database!$A$1:$V$1,),)</f>
        <v>95287</v>
      </c>
    </row>
    <row r="445" spans="1:2" x14ac:dyDescent="0.35">
      <c r="A445" s="19">
        <f>Database!A766</f>
        <v>39231</v>
      </c>
      <c r="B445" s="48">
        <f>VLOOKUP(A445,Database!$A:$V,MATCH(Currency!$B$1,Database!$A$1:$V$1,),)</f>
        <v>94319</v>
      </c>
    </row>
    <row r="446" spans="1:2" x14ac:dyDescent="0.35">
      <c r="A446" s="19">
        <f>Database!A767</f>
        <v>39238</v>
      </c>
      <c r="B446" s="48">
        <f>VLOOKUP(A446,Database!$A:$V,MATCH(Currency!$B$1,Database!$A$1:$V$1,),)</f>
        <v>84965</v>
      </c>
    </row>
    <row r="447" spans="1:2" x14ac:dyDescent="0.35">
      <c r="A447" s="19">
        <f>Database!A768</f>
        <v>39245</v>
      </c>
      <c r="B447" s="48">
        <f>VLOOKUP(A447,Database!$A:$V,MATCH(Currency!$B$1,Database!$A$1:$V$1,),)</f>
        <v>50638</v>
      </c>
    </row>
    <row r="448" spans="1:2" x14ac:dyDescent="0.35">
      <c r="A448" s="19">
        <f>Database!A769</f>
        <v>39252</v>
      </c>
      <c r="B448" s="48">
        <f>VLOOKUP(A448,Database!$A:$V,MATCH(Currency!$B$1,Database!$A$1:$V$1,),)</f>
        <v>46341</v>
      </c>
    </row>
    <row r="449" spans="1:2" x14ac:dyDescent="0.35">
      <c r="A449" s="19">
        <f>Database!A770</f>
        <v>39259</v>
      </c>
      <c r="B449" s="48">
        <f>VLOOKUP(A449,Database!$A:$V,MATCH(Currency!$B$1,Database!$A$1:$V$1,),)</f>
        <v>67433</v>
      </c>
    </row>
    <row r="450" spans="1:2" x14ac:dyDescent="0.35">
      <c r="A450" s="19">
        <f>Database!A771</f>
        <v>39266</v>
      </c>
      <c r="B450" s="48">
        <f>VLOOKUP(A450,Database!$A:$V,MATCH(Currency!$B$1,Database!$A$1:$V$1,),)</f>
        <v>76524</v>
      </c>
    </row>
    <row r="451" spans="1:2" x14ac:dyDescent="0.35">
      <c r="A451" s="19">
        <f>Database!A772</f>
        <v>39273</v>
      </c>
      <c r="B451" s="48">
        <f>VLOOKUP(A451,Database!$A:$V,MATCH(Currency!$B$1,Database!$A$1:$V$1,),)</f>
        <v>102896</v>
      </c>
    </row>
    <row r="452" spans="1:2" x14ac:dyDescent="0.35">
      <c r="A452" s="19">
        <f>Database!A773</f>
        <v>39280</v>
      </c>
      <c r="B452" s="48">
        <f>VLOOKUP(A452,Database!$A:$V,MATCH(Currency!$B$1,Database!$A$1:$V$1,),)</f>
        <v>99185</v>
      </c>
    </row>
    <row r="453" spans="1:2" x14ac:dyDescent="0.35">
      <c r="A453" s="19">
        <f>Database!A774</f>
        <v>39287</v>
      </c>
      <c r="B453" s="48">
        <f>VLOOKUP(A453,Database!$A:$V,MATCH(Currency!$B$1,Database!$A$1:$V$1,),)</f>
        <v>96415</v>
      </c>
    </row>
    <row r="454" spans="1:2" x14ac:dyDescent="0.35">
      <c r="A454" s="19">
        <f>Database!A775</f>
        <v>39294</v>
      </c>
      <c r="B454" s="48">
        <f>VLOOKUP(A454,Database!$A:$V,MATCH(Currency!$B$1,Database!$A$1:$V$1,),)</f>
        <v>78453</v>
      </c>
    </row>
    <row r="455" spans="1:2" x14ac:dyDescent="0.35">
      <c r="A455" s="19">
        <f>Database!A776</f>
        <v>39301</v>
      </c>
      <c r="B455" s="48">
        <f>VLOOKUP(A455,Database!$A:$V,MATCH(Currency!$B$1,Database!$A$1:$V$1,),)</f>
        <v>79029</v>
      </c>
    </row>
    <row r="456" spans="1:2" x14ac:dyDescent="0.35">
      <c r="A456" s="19">
        <f>Database!A777</f>
        <v>39308</v>
      </c>
      <c r="B456" s="48">
        <f>VLOOKUP(A456,Database!$A:$V,MATCH(Currency!$B$1,Database!$A$1:$V$1,),)</f>
        <v>64674</v>
      </c>
    </row>
    <row r="457" spans="1:2" x14ac:dyDescent="0.35">
      <c r="A457" s="19">
        <f>Database!A778</f>
        <v>39315</v>
      </c>
      <c r="B457" s="48">
        <f>VLOOKUP(A457,Database!$A:$V,MATCH(Currency!$B$1,Database!$A$1:$V$1,),)</f>
        <v>38463</v>
      </c>
    </row>
    <row r="458" spans="1:2" x14ac:dyDescent="0.35">
      <c r="A458" s="19">
        <f>Database!A779</f>
        <v>39322</v>
      </c>
      <c r="B458" s="48">
        <f>VLOOKUP(A458,Database!$A:$V,MATCH(Currency!$B$1,Database!$A$1:$V$1,),)</f>
        <v>42826</v>
      </c>
    </row>
    <row r="459" spans="1:2" x14ac:dyDescent="0.35">
      <c r="A459" s="19">
        <f>Database!A780</f>
        <v>39329</v>
      </c>
      <c r="B459" s="48">
        <f>VLOOKUP(A459,Database!$A:$V,MATCH(Currency!$B$1,Database!$A$1:$V$1,),)</f>
        <v>46645</v>
      </c>
    </row>
    <row r="460" spans="1:2" x14ac:dyDescent="0.35">
      <c r="A460" s="19">
        <f>Database!A781</f>
        <v>39336</v>
      </c>
      <c r="B460" s="48">
        <f>VLOOKUP(A460,Database!$A:$V,MATCH(Currency!$B$1,Database!$A$1:$V$1,),)</f>
        <v>58214</v>
      </c>
    </row>
    <row r="461" spans="1:2" x14ac:dyDescent="0.35">
      <c r="A461" s="19">
        <f>Database!A782</f>
        <v>39343</v>
      </c>
      <c r="B461" s="48">
        <f>VLOOKUP(A461,Database!$A:$V,MATCH(Currency!$B$1,Database!$A$1:$V$1,),)</f>
        <v>86049</v>
      </c>
    </row>
    <row r="462" spans="1:2" x14ac:dyDescent="0.35">
      <c r="A462" s="19">
        <f>Database!A783</f>
        <v>39350</v>
      </c>
      <c r="B462" s="48">
        <f>VLOOKUP(A462,Database!$A:$V,MATCH(Currency!$B$1,Database!$A$1:$V$1,),)</f>
        <v>83448</v>
      </c>
    </row>
    <row r="463" spans="1:2" x14ac:dyDescent="0.35">
      <c r="A463" s="19">
        <f>Database!A784</f>
        <v>39357</v>
      </c>
      <c r="B463" s="48">
        <f>VLOOKUP(A463,Database!$A:$V,MATCH(Currency!$B$1,Database!$A$1:$V$1,),)</f>
        <v>94440</v>
      </c>
    </row>
    <row r="464" spans="1:2" x14ac:dyDescent="0.35">
      <c r="A464" s="19">
        <f>Database!A785</f>
        <v>39364</v>
      </c>
      <c r="B464" s="48">
        <f>VLOOKUP(A464,Database!$A:$V,MATCH(Currency!$B$1,Database!$A$1:$V$1,),)</f>
        <v>87166</v>
      </c>
    </row>
    <row r="465" spans="1:2" x14ac:dyDescent="0.35">
      <c r="A465" s="19">
        <f>Database!A786</f>
        <v>39371</v>
      </c>
      <c r="B465" s="48">
        <f>VLOOKUP(A465,Database!$A:$V,MATCH(Currency!$B$1,Database!$A$1:$V$1,),)</f>
        <v>86604</v>
      </c>
    </row>
    <row r="466" spans="1:2" x14ac:dyDescent="0.35">
      <c r="A466" s="19">
        <f>Database!A787</f>
        <v>39378</v>
      </c>
      <c r="B466" s="48">
        <f>VLOOKUP(A466,Database!$A:$V,MATCH(Currency!$B$1,Database!$A$1:$V$1,),)</f>
        <v>69016</v>
      </c>
    </row>
    <row r="467" spans="1:2" x14ac:dyDescent="0.35">
      <c r="A467" s="19">
        <f>Database!A788</f>
        <v>39385</v>
      </c>
      <c r="B467" s="48">
        <f>VLOOKUP(A467,Database!$A:$V,MATCH(Currency!$B$1,Database!$A$1:$V$1,),)</f>
        <v>68848</v>
      </c>
    </row>
    <row r="468" spans="1:2" x14ac:dyDescent="0.35">
      <c r="A468" s="19">
        <f>Database!A789</f>
        <v>39392</v>
      </c>
      <c r="B468" s="48">
        <f>VLOOKUP(A468,Database!$A:$V,MATCH(Currency!$B$1,Database!$A$1:$V$1,),)</f>
        <v>76048</v>
      </c>
    </row>
    <row r="469" spans="1:2" x14ac:dyDescent="0.35">
      <c r="A469" s="19">
        <f>Database!A790</f>
        <v>39399</v>
      </c>
      <c r="B469" s="48">
        <f>VLOOKUP(A469,Database!$A:$V,MATCH(Currency!$B$1,Database!$A$1:$V$1,),)</f>
        <v>69429</v>
      </c>
    </row>
    <row r="470" spans="1:2" x14ac:dyDescent="0.35">
      <c r="A470" s="19">
        <f>Database!A791</f>
        <v>39406</v>
      </c>
      <c r="B470" s="48">
        <f>VLOOKUP(A470,Database!$A:$V,MATCH(Currency!$B$1,Database!$A$1:$V$1,),)</f>
        <v>70028</v>
      </c>
    </row>
    <row r="471" spans="1:2" x14ac:dyDescent="0.35">
      <c r="A471" s="19">
        <f>Database!A792</f>
        <v>39413</v>
      </c>
      <c r="B471" s="48">
        <f>VLOOKUP(A471,Database!$A:$V,MATCH(Currency!$B$1,Database!$A$1:$V$1,),)</f>
        <v>66556</v>
      </c>
    </row>
    <row r="472" spans="1:2" x14ac:dyDescent="0.35">
      <c r="A472" s="19">
        <f>Database!A793</f>
        <v>39420</v>
      </c>
      <c r="B472" s="48">
        <f>VLOOKUP(A472,Database!$A:$V,MATCH(Currency!$B$1,Database!$A$1:$V$1,),)</f>
        <v>69117</v>
      </c>
    </row>
    <row r="473" spans="1:2" x14ac:dyDescent="0.35">
      <c r="A473" s="19">
        <f>Database!A794</f>
        <v>39427</v>
      </c>
      <c r="B473" s="48">
        <f>VLOOKUP(A473,Database!$A:$V,MATCH(Currency!$B$1,Database!$A$1:$V$1,),)</f>
        <v>63374</v>
      </c>
    </row>
    <row r="474" spans="1:2" x14ac:dyDescent="0.35">
      <c r="A474" s="19">
        <f>Database!A795</f>
        <v>39434</v>
      </c>
      <c r="B474" s="48">
        <f>VLOOKUP(A474,Database!$A:$V,MATCH(Currency!$B$1,Database!$A$1:$V$1,),)</f>
        <v>31149</v>
      </c>
    </row>
    <row r="475" spans="1:2" x14ac:dyDescent="0.35">
      <c r="A475" s="19">
        <f>Database!A796</f>
        <v>39441</v>
      </c>
      <c r="B475" s="48">
        <f>VLOOKUP(A475,Database!$A:$V,MATCH(Currency!$B$1,Database!$A$1:$V$1,),)</f>
        <v>30641</v>
      </c>
    </row>
    <row r="476" spans="1:2" x14ac:dyDescent="0.35">
      <c r="A476" s="19">
        <f>Database!A797</f>
        <v>39448</v>
      </c>
      <c r="B476" s="48">
        <f>VLOOKUP(A476,Database!$A:$V,MATCH(Currency!$B$1,Database!$A$1:$V$1,),)</f>
        <v>36655</v>
      </c>
    </row>
    <row r="477" spans="1:2" x14ac:dyDescent="0.35">
      <c r="A477" s="19">
        <f>Database!A798</f>
        <v>39455</v>
      </c>
      <c r="B477" s="48">
        <f>VLOOKUP(A477,Database!$A:$V,MATCH(Currency!$B$1,Database!$A$1:$V$1,),)</f>
        <v>51902</v>
      </c>
    </row>
    <row r="478" spans="1:2" x14ac:dyDescent="0.35">
      <c r="A478" s="19">
        <f>Database!A799</f>
        <v>39462</v>
      </c>
      <c r="B478" s="48">
        <f>VLOOKUP(A478,Database!$A:$V,MATCH(Currency!$B$1,Database!$A$1:$V$1,),)</f>
        <v>44982</v>
      </c>
    </row>
    <row r="479" spans="1:2" x14ac:dyDescent="0.35">
      <c r="A479" s="19">
        <f>Database!A800</f>
        <v>39469</v>
      </c>
      <c r="B479" s="48">
        <f>VLOOKUP(A479,Database!$A:$V,MATCH(Currency!$B$1,Database!$A$1:$V$1,),)</f>
        <v>23745</v>
      </c>
    </row>
    <row r="480" spans="1:2" x14ac:dyDescent="0.35">
      <c r="A480" s="19">
        <f>Database!A801</f>
        <v>39476</v>
      </c>
      <c r="B480" s="48">
        <f>VLOOKUP(A480,Database!$A:$V,MATCH(Currency!$B$1,Database!$A$1:$V$1,),)</f>
        <v>22456</v>
      </c>
    </row>
    <row r="481" spans="1:2" x14ac:dyDescent="0.35">
      <c r="A481" s="19">
        <f>Database!A802</f>
        <v>39483</v>
      </c>
      <c r="B481" s="48">
        <f>VLOOKUP(A481,Database!$A:$V,MATCH(Currency!$B$1,Database!$A$1:$V$1,),)</f>
        <v>12564</v>
      </c>
    </row>
    <row r="482" spans="1:2" x14ac:dyDescent="0.35">
      <c r="A482" s="19">
        <f>Database!A803</f>
        <v>39490</v>
      </c>
      <c r="B482" s="48">
        <f>VLOOKUP(A482,Database!$A:$V,MATCH(Currency!$B$1,Database!$A$1:$V$1,),)</f>
        <v>10295</v>
      </c>
    </row>
    <row r="483" spans="1:2" x14ac:dyDescent="0.35">
      <c r="A483" s="19">
        <f>Database!A804</f>
        <v>39497</v>
      </c>
      <c r="B483" s="48">
        <f>VLOOKUP(A483,Database!$A:$V,MATCH(Currency!$B$1,Database!$A$1:$V$1,),)</f>
        <v>14730</v>
      </c>
    </row>
    <row r="484" spans="1:2" x14ac:dyDescent="0.35">
      <c r="A484" s="19">
        <f>Database!A805</f>
        <v>39504</v>
      </c>
      <c r="B484" s="48">
        <f>VLOOKUP(A484,Database!$A:$V,MATCH(Currency!$B$1,Database!$A$1:$V$1,),)</f>
        <v>31778</v>
      </c>
    </row>
    <row r="485" spans="1:2" x14ac:dyDescent="0.35">
      <c r="A485" s="19">
        <f>Database!A806</f>
        <v>39511</v>
      </c>
      <c r="B485" s="48">
        <f>VLOOKUP(A485,Database!$A:$V,MATCH(Currency!$B$1,Database!$A$1:$V$1,),)</f>
        <v>32010</v>
      </c>
    </row>
    <row r="486" spans="1:2" x14ac:dyDescent="0.35">
      <c r="A486" s="19">
        <f>Database!A807</f>
        <v>39518</v>
      </c>
      <c r="B486" s="48">
        <f>VLOOKUP(A486,Database!$A:$V,MATCH(Currency!$B$1,Database!$A$1:$V$1,),)</f>
        <v>29099</v>
      </c>
    </row>
    <row r="487" spans="1:2" x14ac:dyDescent="0.35">
      <c r="A487" s="19">
        <f>Database!A808</f>
        <v>39525</v>
      </c>
      <c r="B487" s="48">
        <f>VLOOKUP(A487,Database!$A:$V,MATCH(Currency!$B$1,Database!$A$1:$V$1,),)</f>
        <v>26521</v>
      </c>
    </row>
    <row r="488" spans="1:2" x14ac:dyDescent="0.35">
      <c r="A488" s="19">
        <f>Database!A809</f>
        <v>39532</v>
      </c>
      <c r="B488" s="48">
        <f>VLOOKUP(A488,Database!$A:$V,MATCH(Currency!$B$1,Database!$A$1:$V$1,),)</f>
        <v>42771</v>
      </c>
    </row>
    <row r="489" spans="1:2" x14ac:dyDescent="0.35">
      <c r="A489" s="19">
        <f>Database!A810</f>
        <v>39539</v>
      </c>
      <c r="B489" s="48">
        <f>VLOOKUP(A489,Database!$A:$V,MATCH(Currency!$B$1,Database!$A$1:$V$1,),)</f>
        <v>29072</v>
      </c>
    </row>
    <row r="490" spans="1:2" x14ac:dyDescent="0.35">
      <c r="A490" s="19">
        <f>Database!A811</f>
        <v>39546</v>
      </c>
      <c r="B490" s="48">
        <f>VLOOKUP(A490,Database!$A:$V,MATCH(Currency!$B$1,Database!$A$1:$V$1,),)</f>
        <v>29435</v>
      </c>
    </row>
    <row r="491" spans="1:2" x14ac:dyDescent="0.35">
      <c r="A491" s="19">
        <f>Database!A812</f>
        <v>39553</v>
      </c>
      <c r="B491" s="48">
        <f>VLOOKUP(A491,Database!$A:$V,MATCH(Currency!$B$1,Database!$A$1:$V$1,),)</f>
        <v>20093</v>
      </c>
    </row>
    <row r="492" spans="1:2" x14ac:dyDescent="0.35">
      <c r="A492" s="19">
        <f>Database!A813</f>
        <v>39560</v>
      </c>
      <c r="B492" s="48">
        <f>VLOOKUP(A492,Database!$A:$V,MATCH(Currency!$B$1,Database!$A$1:$V$1,),)</f>
        <v>18907</v>
      </c>
    </row>
    <row r="493" spans="1:2" x14ac:dyDescent="0.35">
      <c r="A493" s="19">
        <f>Database!A814</f>
        <v>39567</v>
      </c>
      <c r="B493" s="48">
        <f>VLOOKUP(A493,Database!$A:$V,MATCH(Currency!$B$1,Database!$A$1:$V$1,),)</f>
        <v>-21315</v>
      </c>
    </row>
    <row r="494" spans="1:2" x14ac:dyDescent="0.35">
      <c r="A494" s="19">
        <f>Database!A815</f>
        <v>39574</v>
      </c>
      <c r="B494" s="48">
        <f>VLOOKUP(A494,Database!$A:$V,MATCH(Currency!$B$1,Database!$A$1:$V$1,),)</f>
        <v>-12512</v>
      </c>
    </row>
    <row r="495" spans="1:2" x14ac:dyDescent="0.35">
      <c r="A495" s="19">
        <f>Database!A816</f>
        <v>39581</v>
      </c>
      <c r="B495" s="48">
        <f>VLOOKUP(A495,Database!$A:$V,MATCH(Currency!$B$1,Database!$A$1:$V$1,),)</f>
        <v>-9499</v>
      </c>
    </row>
    <row r="496" spans="1:2" x14ac:dyDescent="0.35">
      <c r="A496" s="19">
        <f>Database!A817</f>
        <v>39588</v>
      </c>
      <c r="B496" s="48">
        <f>VLOOKUP(A496,Database!$A:$V,MATCH(Currency!$B$1,Database!$A$1:$V$1,),)</f>
        <v>6841</v>
      </c>
    </row>
    <row r="497" spans="1:2" x14ac:dyDescent="0.35">
      <c r="A497" s="19">
        <f>Database!A818</f>
        <v>39595</v>
      </c>
      <c r="B497" s="48">
        <f>VLOOKUP(A497,Database!$A:$V,MATCH(Currency!$B$1,Database!$A$1:$V$1,),)</f>
        <v>-3390</v>
      </c>
    </row>
    <row r="498" spans="1:2" x14ac:dyDescent="0.35">
      <c r="A498" s="19">
        <f>Database!A819</f>
        <v>39602</v>
      </c>
      <c r="B498" s="48">
        <f>VLOOKUP(A498,Database!$A:$V,MATCH(Currency!$B$1,Database!$A$1:$V$1,),)</f>
        <v>-14454</v>
      </c>
    </row>
    <row r="499" spans="1:2" x14ac:dyDescent="0.35">
      <c r="A499" s="19">
        <f>Database!A820</f>
        <v>39609</v>
      </c>
      <c r="B499" s="48">
        <f>VLOOKUP(A499,Database!$A:$V,MATCH(Currency!$B$1,Database!$A$1:$V$1,),)</f>
        <v>-7540</v>
      </c>
    </row>
    <row r="500" spans="1:2" x14ac:dyDescent="0.35">
      <c r="A500" s="19">
        <f>Database!A821</f>
        <v>39616</v>
      </c>
      <c r="B500" s="48">
        <f>VLOOKUP(A500,Database!$A:$V,MATCH(Currency!$B$1,Database!$A$1:$V$1,),)</f>
        <v>-9290</v>
      </c>
    </row>
    <row r="501" spans="1:2" x14ac:dyDescent="0.35">
      <c r="A501" s="19">
        <f>Database!A822</f>
        <v>39623</v>
      </c>
      <c r="B501" s="48">
        <f>VLOOKUP(A501,Database!$A:$V,MATCH(Currency!$B$1,Database!$A$1:$V$1,),)</f>
        <v>1432</v>
      </c>
    </row>
    <row r="502" spans="1:2" x14ac:dyDescent="0.35">
      <c r="A502" s="19">
        <f>Database!A823</f>
        <v>39630</v>
      </c>
      <c r="B502" s="48">
        <f>VLOOKUP(A502,Database!$A:$V,MATCH(Currency!$B$1,Database!$A$1:$V$1,),)</f>
        <v>27683</v>
      </c>
    </row>
    <row r="503" spans="1:2" x14ac:dyDescent="0.35">
      <c r="A503" s="19">
        <f>Database!A824</f>
        <v>39637</v>
      </c>
      <c r="B503" s="48">
        <f>VLOOKUP(A503,Database!$A:$V,MATCH(Currency!$B$1,Database!$A$1:$V$1,),)</f>
        <v>24007</v>
      </c>
    </row>
    <row r="504" spans="1:2" x14ac:dyDescent="0.35">
      <c r="A504" s="19">
        <f>Database!A825</f>
        <v>39644</v>
      </c>
      <c r="B504" s="48">
        <f>VLOOKUP(A504,Database!$A:$V,MATCH(Currency!$B$1,Database!$A$1:$V$1,),)</f>
        <v>23049</v>
      </c>
    </row>
    <row r="505" spans="1:2" x14ac:dyDescent="0.35">
      <c r="A505" s="19">
        <f>Database!A826</f>
        <v>39651</v>
      </c>
      <c r="B505" s="48">
        <f>VLOOKUP(A505,Database!$A:$V,MATCH(Currency!$B$1,Database!$A$1:$V$1,),)</f>
        <v>4071</v>
      </c>
    </row>
    <row r="506" spans="1:2" x14ac:dyDescent="0.35">
      <c r="A506" s="19">
        <f>Database!A827</f>
        <v>39658</v>
      </c>
      <c r="B506" s="48">
        <f>VLOOKUP(A506,Database!$A:$V,MATCH(Currency!$B$1,Database!$A$1:$V$1,),)</f>
        <v>-16218</v>
      </c>
    </row>
    <row r="507" spans="1:2" x14ac:dyDescent="0.35">
      <c r="A507" s="19">
        <f>Database!A828</f>
        <v>39665</v>
      </c>
      <c r="B507" s="48">
        <f>VLOOKUP(A507,Database!$A:$V,MATCH(Currency!$B$1,Database!$A$1:$V$1,),)</f>
        <v>-9447</v>
      </c>
    </row>
    <row r="508" spans="1:2" x14ac:dyDescent="0.35">
      <c r="A508" s="19">
        <f>Database!A829</f>
        <v>39672</v>
      </c>
      <c r="B508" s="48">
        <f>VLOOKUP(A508,Database!$A:$V,MATCH(Currency!$B$1,Database!$A$1:$V$1,),)</f>
        <v>-19427</v>
      </c>
    </row>
    <row r="509" spans="1:2" x14ac:dyDescent="0.35">
      <c r="A509" s="19">
        <f>Database!A830</f>
        <v>39679</v>
      </c>
      <c r="B509" s="48">
        <f>VLOOKUP(A509,Database!$A:$V,MATCH(Currency!$B$1,Database!$A$1:$V$1,),)</f>
        <v>-20364</v>
      </c>
    </row>
    <row r="510" spans="1:2" x14ac:dyDescent="0.35">
      <c r="A510" s="19">
        <f>Database!A831</f>
        <v>39686</v>
      </c>
      <c r="B510" s="48">
        <f>VLOOKUP(A510,Database!$A:$V,MATCH(Currency!$B$1,Database!$A$1:$V$1,),)</f>
        <v>-33778</v>
      </c>
    </row>
    <row r="511" spans="1:2" x14ac:dyDescent="0.35">
      <c r="A511" s="19">
        <f>Database!A832</f>
        <v>39693</v>
      </c>
      <c r="B511" s="48">
        <f>VLOOKUP(A511,Database!$A:$V,MATCH(Currency!$B$1,Database!$A$1:$V$1,),)</f>
        <v>-38623</v>
      </c>
    </row>
    <row r="512" spans="1:2" x14ac:dyDescent="0.35">
      <c r="A512" s="19">
        <f>Database!A833</f>
        <v>39700</v>
      </c>
      <c r="B512" s="48">
        <f>VLOOKUP(A512,Database!$A:$V,MATCH(Currency!$B$1,Database!$A$1:$V$1,),)</f>
        <v>-36432</v>
      </c>
    </row>
    <row r="513" spans="1:2" x14ac:dyDescent="0.35">
      <c r="A513" s="19">
        <f>Database!A834</f>
        <v>39707</v>
      </c>
      <c r="B513" s="48">
        <f>VLOOKUP(A513,Database!$A:$V,MATCH(Currency!$B$1,Database!$A$1:$V$1,),)</f>
        <v>-40654</v>
      </c>
    </row>
    <row r="514" spans="1:2" x14ac:dyDescent="0.35">
      <c r="A514" s="19">
        <f>Database!A835</f>
        <v>39714</v>
      </c>
      <c r="B514" s="48">
        <f>VLOOKUP(A514,Database!$A:$V,MATCH(Currency!$B$1,Database!$A$1:$V$1,),)</f>
        <v>-31057</v>
      </c>
    </row>
    <row r="515" spans="1:2" x14ac:dyDescent="0.35">
      <c r="A515" s="19">
        <f>Database!A836</f>
        <v>39721</v>
      </c>
      <c r="B515" s="48">
        <f>VLOOKUP(A515,Database!$A:$V,MATCH(Currency!$B$1,Database!$A$1:$V$1,),)</f>
        <v>-28932</v>
      </c>
    </row>
    <row r="516" spans="1:2" x14ac:dyDescent="0.35">
      <c r="A516" s="19">
        <f>Database!A837</f>
        <v>39728</v>
      </c>
      <c r="B516" s="48">
        <f>VLOOKUP(A516,Database!$A:$V,MATCH(Currency!$B$1,Database!$A$1:$V$1,),)</f>
        <v>-18662</v>
      </c>
    </row>
    <row r="517" spans="1:2" x14ac:dyDescent="0.35">
      <c r="A517" s="19">
        <f>Database!A838</f>
        <v>39735</v>
      </c>
      <c r="B517" s="48">
        <f>VLOOKUP(A517,Database!$A:$V,MATCH(Currency!$B$1,Database!$A$1:$V$1,),)</f>
        <v>-30100</v>
      </c>
    </row>
    <row r="518" spans="1:2" x14ac:dyDescent="0.35">
      <c r="A518" s="19">
        <f>Database!A839</f>
        <v>39742</v>
      </c>
      <c r="B518" s="48">
        <f>VLOOKUP(A518,Database!$A:$V,MATCH(Currency!$B$1,Database!$A$1:$V$1,),)</f>
        <v>-30620</v>
      </c>
    </row>
    <row r="519" spans="1:2" x14ac:dyDescent="0.35">
      <c r="A519" s="19">
        <f>Database!A840</f>
        <v>39749</v>
      </c>
      <c r="B519" s="48">
        <f>VLOOKUP(A519,Database!$A:$V,MATCH(Currency!$B$1,Database!$A$1:$V$1,),)</f>
        <v>-29052</v>
      </c>
    </row>
    <row r="520" spans="1:2" x14ac:dyDescent="0.35">
      <c r="A520" s="19">
        <f>Database!A841</f>
        <v>39756</v>
      </c>
      <c r="B520" s="48">
        <f>VLOOKUP(A520,Database!$A:$V,MATCH(Currency!$B$1,Database!$A$1:$V$1,),)</f>
        <v>-21433</v>
      </c>
    </row>
    <row r="521" spans="1:2" x14ac:dyDescent="0.35">
      <c r="A521" s="19">
        <f>Database!A842</f>
        <v>39763</v>
      </c>
      <c r="B521" s="48">
        <f>VLOOKUP(A521,Database!$A:$V,MATCH(Currency!$B$1,Database!$A$1:$V$1,),)</f>
        <v>-20621</v>
      </c>
    </row>
    <row r="522" spans="1:2" x14ac:dyDescent="0.35">
      <c r="A522" s="19">
        <f>Database!A843</f>
        <v>39770</v>
      </c>
      <c r="B522" s="48">
        <f>VLOOKUP(A522,Database!$A:$V,MATCH(Currency!$B$1,Database!$A$1:$V$1,),)</f>
        <v>-17358</v>
      </c>
    </row>
    <row r="523" spans="1:2" x14ac:dyDescent="0.35">
      <c r="A523" s="19">
        <f>Database!A844</f>
        <v>39777</v>
      </c>
      <c r="B523" s="48">
        <f>VLOOKUP(A523,Database!$A:$V,MATCH(Currency!$B$1,Database!$A$1:$V$1,),)</f>
        <v>-21478</v>
      </c>
    </row>
    <row r="524" spans="1:2" x14ac:dyDescent="0.35">
      <c r="A524" s="19">
        <f>Database!A845</f>
        <v>39784</v>
      </c>
      <c r="B524" s="48">
        <f>VLOOKUP(A524,Database!$A:$V,MATCH(Currency!$B$1,Database!$A$1:$V$1,),)</f>
        <v>-20197</v>
      </c>
    </row>
    <row r="525" spans="1:2" x14ac:dyDescent="0.35">
      <c r="A525" s="19">
        <f>Database!A846</f>
        <v>39791</v>
      </c>
      <c r="B525" s="48">
        <f>VLOOKUP(A525,Database!$A:$V,MATCH(Currency!$B$1,Database!$A$1:$V$1,),)</f>
        <v>-16668</v>
      </c>
    </row>
    <row r="526" spans="1:2" x14ac:dyDescent="0.35">
      <c r="A526" s="19">
        <f>Database!A847</f>
        <v>39798</v>
      </c>
      <c r="B526" s="48">
        <f>VLOOKUP(A526,Database!$A:$V,MATCH(Currency!$B$1,Database!$A$1:$V$1,),)</f>
        <v>-6626</v>
      </c>
    </row>
    <row r="527" spans="1:2" x14ac:dyDescent="0.35">
      <c r="A527" s="19">
        <f>Database!A848</f>
        <v>39805</v>
      </c>
      <c r="B527" s="48">
        <f>VLOOKUP(A527,Database!$A:$V,MATCH(Currency!$B$1,Database!$A$1:$V$1,),)</f>
        <v>-3645</v>
      </c>
    </row>
    <row r="528" spans="1:2" x14ac:dyDescent="0.35">
      <c r="A528" s="19">
        <f>Database!A849</f>
        <v>39812</v>
      </c>
      <c r="B528" s="48">
        <f>VLOOKUP(A528,Database!$A:$V,MATCH(Currency!$B$1,Database!$A$1:$V$1,),)</f>
        <v>-3204</v>
      </c>
    </row>
    <row r="529" spans="1:2" x14ac:dyDescent="0.35">
      <c r="A529" s="19">
        <f>Database!A850</f>
        <v>39819</v>
      </c>
      <c r="B529" s="48">
        <f>VLOOKUP(A529,Database!$A:$V,MATCH(Currency!$B$1,Database!$A$1:$V$1,),)</f>
        <v>-2375</v>
      </c>
    </row>
    <row r="530" spans="1:2" x14ac:dyDescent="0.35">
      <c r="A530" s="19">
        <f>Database!A851</f>
        <v>39826</v>
      </c>
      <c r="B530" s="48">
        <f>VLOOKUP(A530,Database!$A:$V,MATCH(Currency!$B$1,Database!$A$1:$V$1,),)</f>
        <v>-9348</v>
      </c>
    </row>
    <row r="531" spans="1:2" x14ac:dyDescent="0.35">
      <c r="A531" s="19">
        <f>Database!A852</f>
        <v>39833</v>
      </c>
      <c r="B531" s="48">
        <f>VLOOKUP(A531,Database!$A:$V,MATCH(Currency!$B$1,Database!$A$1:$V$1,),)</f>
        <v>-7580</v>
      </c>
    </row>
    <row r="532" spans="1:2" x14ac:dyDescent="0.35">
      <c r="A532" s="19">
        <f>Database!A853</f>
        <v>39840</v>
      </c>
      <c r="B532" s="48">
        <f>VLOOKUP(A532,Database!$A:$V,MATCH(Currency!$B$1,Database!$A$1:$V$1,),)</f>
        <v>-7489</v>
      </c>
    </row>
    <row r="533" spans="1:2" x14ac:dyDescent="0.35">
      <c r="A533" s="19">
        <f>Database!A854</f>
        <v>39847</v>
      </c>
      <c r="B533" s="48">
        <f>VLOOKUP(A533,Database!$A:$V,MATCH(Currency!$B$1,Database!$A$1:$V$1,),)</f>
        <v>-9052</v>
      </c>
    </row>
    <row r="534" spans="1:2" x14ac:dyDescent="0.35">
      <c r="A534" s="19">
        <f>Database!A855</f>
        <v>39854</v>
      </c>
      <c r="B534" s="48">
        <f>VLOOKUP(A534,Database!$A:$V,MATCH(Currency!$B$1,Database!$A$1:$V$1,),)</f>
        <v>-9994</v>
      </c>
    </row>
    <row r="535" spans="1:2" x14ac:dyDescent="0.35">
      <c r="A535" s="19">
        <f>Database!A856</f>
        <v>39861</v>
      </c>
      <c r="B535" s="48">
        <f>VLOOKUP(A535,Database!$A:$V,MATCH(Currency!$B$1,Database!$A$1:$V$1,),)</f>
        <v>-15437</v>
      </c>
    </row>
    <row r="536" spans="1:2" x14ac:dyDescent="0.35">
      <c r="A536" s="19">
        <f>Database!A857</f>
        <v>39868</v>
      </c>
      <c r="B536" s="48">
        <f>VLOOKUP(A536,Database!$A:$V,MATCH(Currency!$B$1,Database!$A$1:$V$1,),)</f>
        <v>-10081</v>
      </c>
    </row>
    <row r="537" spans="1:2" x14ac:dyDescent="0.35">
      <c r="A537" s="19">
        <f>Database!A858</f>
        <v>39875</v>
      </c>
      <c r="B537" s="48">
        <f>VLOOKUP(A537,Database!$A:$V,MATCH(Currency!$B$1,Database!$A$1:$V$1,),)</f>
        <v>-19431</v>
      </c>
    </row>
    <row r="538" spans="1:2" x14ac:dyDescent="0.35">
      <c r="A538" s="19">
        <f>Database!A859</f>
        <v>39882</v>
      </c>
      <c r="B538" s="48">
        <f>VLOOKUP(A538,Database!$A:$V,MATCH(Currency!$B$1,Database!$A$1:$V$1,),)</f>
        <v>-10232</v>
      </c>
    </row>
    <row r="539" spans="1:2" x14ac:dyDescent="0.35">
      <c r="A539" s="19">
        <f>Database!A860</f>
        <v>39889</v>
      </c>
      <c r="B539" s="48">
        <f>VLOOKUP(A539,Database!$A:$V,MATCH(Currency!$B$1,Database!$A$1:$V$1,),)</f>
        <v>-9039</v>
      </c>
    </row>
    <row r="540" spans="1:2" x14ac:dyDescent="0.35">
      <c r="A540" s="19">
        <f>Database!A861</f>
        <v>39896</v>
      </c>
      <c r="B540" s="48">
        <f>VLOOKUP(A540,Database!$A:$V,MATCH(Currency!$B$1,Database!$A$1:$V$1,),)</f>
        <v>-5458</v>
      </c>
    </row>
    <row r="541" spans="1:2" x14ac:dyDescent="0.35">
      <c r="A541" s="19">
        <f>Database!A862</f>
        <v>39903</v>
      </c>
      <c r="B541" s="48">
        <f>VLOOKUP(A541,Database!$A:$V,MATCH(Currency!$B$1,Database!$A$1:$V$1,),)</f>
        <v>2265</v>
      </c>
    </row>
    <row r="542" spans="1:2" x14ac:dyDescent="0.35">
      <c r="A542" s="19">
        <f>Database!A863</f>
        <v>39910</v>
      </c>
      <c r="B542" s="48">
        <f>VLOOKUP(A542,Database!$A:$V,MATCH(Currency!$B$1,Database!$A$1:$V$1,),)</f>
        <v>3872</v>
      </c>
    </row>
    <row r="543" spans="1:2" x14ac:dyDescent="0.35">
      <c r="A543" s="19">
        <f>Database!A864</f>
        <v>39917</v>
      </c>
      <c r="B543" s="48">
        <f>VLOOKUP(A543,Database!$A:$V,MATCH(Currency!$B$1,Database!$A$1:$V$1,),)</f>
        <v>5575</v>
      </c>
    </row>
    <row r="544" spans="1:2" x14ac:dyDescent="0.35">
      <c r="A544" s="19">
        <f>Database!A865</f>
        <v>39924</v>
      </c>
      <c r="B544" s="48">
        <f>VLOOKUP(A544,Database!$A:$V,MATCH(Currency!$B$1,Database!$A$1:$V$1,),)</f>
        <v>1597</v>
      </c>
    </row>
    <row r="545" spans="1:2" x14ac:dyDescent="0.35">
      <c r="A545" s="19">
        <f>Database!A866</f>
        <v>39931</v>
      </c>
      <c r="B545" s="48">
        <f>VLOOKUP(A545,Database!$A:$V,MATCH(Currency!$B$1,Database!$A$1:$V$1,),)</f>
        <v>-2073</v>
      </c>
    </row>
    <row r="546" spans="1:2" x14ac:dyDescent="0.35">
      <c r="A546" s="19">
        <f>Database!A867</f>
        <v>39938</v>
      </c>
      <c r="B546" s="48">
        <f>VLOOKUP(A546,Database!$A:$V,MATCH(Currency!$B$1,Database!$A$1:$V$1,),)</f>
        <v>3368</v>
      </c>
    </row>
    <row r="547" spans="1:2" x14ac:dyDescent="0.35">
      <c r="A547" s="19">
        <f>Database!A868</f>
        <v>39945</v>
      </c>
      <c r="B547" s="48">
        <f>VLOOKUP(A547,Database!$A:$V,MATCH(Currency!$B$1,Database!$A$1:$V$1,),)</f>
        <v>10415</v>
      </c>
    </row>
    <row r="548" spans="1:2" x14ac:dyDescent="0.35">
      <c r="A548" s="19">
        <f>Database!A869</f>
        <v>39952</v>
      </c>
      <c r="B548" s="48">
        <f>VLOOKUP(A548,Database!$A:$V,MATCH(Currency!$B$1,Database!$A$1:$V$1,),)</f>
        <v>12250</v>
      </c>
    </row>
    <row r="549" spans="1:2" x14ac:dyDescent="0.35">
      <c r="A549" s="19">
        <f>Database!A870</f>
        <v>39959</v>
      </c>
      <c r="B549" s="48">
        <f>VLOOKUP(A549,Database!$A:$V,MATCH(Currency!$B$1,Database!$A$1:$V$1,),)</f>
        <v>15584</v>
      </c>
    </row>
    <row r="550" spans="1:2" x14ac:dyDescent="0.35">
      <c r="A550" s="19">
        <f>Database!A871</f>
        <v>39966</v>
      </c>
      <c r="B550" s="48">
        <f>VLOOKUP(A550,Database!$A:$V,MATCH(Currency!$B$1,Database!$A$1:$V$1,),)</f>
        <v>6793</v>
      </c>
    </row>
    <row r="551" spans="1:2" x14ac:dyDescent="0.35">
      <c r="A551" s="19">
        <f>Database!A872</f>
        <v>39973</v>
      </c>
      <c r="B551" s="48">
        <f>VLOOKUP(A551,Database!$A:$V,MATCH(Currency!$B$1,Database!$A$1:$V$1,),)</f>
        <v>15024</v>
      </c>
    </row>
    <row r="552" spans="1:2" x14ac:dyDescent="0.35">
      <c r="A552" s="19">
        <f>Database!A873</f>
        <v>39980</v>
      </c>
      <c r="B552" s="48">
        <f>VLOOKUP(A552,Database!$A:$V,MATCH(Currency!$B$1,Database!$A$1:$V$1,),)</f>
        <v>12485</v>
      </c>
    </row>
    <row r="553" spans="1:2" x14ac:dyDescent="0.35">
      <c r="A553" s="19">
        <f>Database!A874</f>
        <v>39987</v>
      </c>
      <c r="B553" s="48">
        <f>VLOOKUP(A553,Database!$A:$V,MATCH(Currency!$B$1,Database!$A$1:$V$1,),)</f>
        <v>17423</v>
      </c>
    </row>
    <row r="554" spans="1:2" x14ac:dyDescent="0.35">
      <c r="A554" s="19">
        <f>Database!A875</f>
        <v>39994</v>
      </c>
      <c r="B554" s="48">
        <f>VLOOKUP(A554,Database!$A:$V,MATCH(Currency!$B$1,Database!$A$1:$V$1,),)</f>
        <v>17219</v>
      </c>
    </row>
    <row r="555" spans="1:2" x14ac:dyDescent="0.35">
      <c r="A555" s="19">
        <f>Database!A876</f>
        <v>40001</v>
      </c>
      <c r="B555" s="48">
        <f>VLOOKUP(A555,Database!$A:$V,MATCH(Currency!$B$1,Database!$A$1:$V$1,),)</f>
        <v>10312</v>
      </c>
    </row>
    <row r="556" spans="1:2" x14ac:dyDescent="0.35">
      <c r="A556" s="19">
        <f>Database!A877</f>
        <v>40008</v>
      </c>
      <c r="B556" s="48">
        <f>VLOOKUP(A556,Database!$A:$V,MATCH(Currency!$B$1,Database!$A$1:$V$1,),)</f>
        <v>13899</v>
      </c>
    </row>
    <row r="557" spans="1:2" x14ac:dyDescent="0.35">
      <c r="A557" s="19">
        <f>Database!A878</f>
        <v>40015</v>
      </c>
      <c r="B557" s="48">
        <f>VLOOKUP(A557,Database!$A:$V,MATCH(Currency!$B$1,Database!$A$1:$V$1,),)</f>
        <v>34772</v>
      </c>
    </row>
    <row r="558" spans="1:2" x14ac:dyDescent="0.35">
      <c r="A558" s="19">
        <f>Database!A879</f>
        <v>40022</v>
      </c>
      <c r="B558" s="48">
        <f>VLOOKUP(A558,Database!$A:$V,MATCH(Currency!$B$1,Database!$A$1:$V$1,),)</f>
        <v>20287</v>
      </c>
    </row>
    <row r="559" spans="1:2" x14ac:dyDescent="0.35">
      <c r="A559" s="19">
        <f>Database!A880</f>
        <v>40029</v>
      </c>
      <c r="B559" s="48">
        <f>VLOOKUP(A559,Database!$A:$V,MATCH(Currency!$B$1,Database!$A$1:$V$1,),)</f>
        <v>27106</v>
      </c>
    </row>
    <row r="560" spans="1:2" x14ac:dyDescent="0.35">
      <c r="A560" s="19">
        <f>Database!A881</f>
        <v>40036</v>
      </c>
      <c r="B560" s="48">
        <f>VLOOKUP(A560,Database!$A:$V,MATCH(Currency!$B$1,Database!$A$1:$V$1,),)</f>
        <v>16811</v>
      </c>
    </row>
    <row r="561" spans="1:2" x14ac:dyDescent="0.35">
      <c r="A561" s="19">
        <f>Database!A882</f>
        <v>40043</v>
      </c>
      <c r="B561" s="48">
        <f>VLOOKUP(A561,Database!$A:$V,MATCH(Currency!$B$1,Database!$A$1:$V$1,),)</f>
        <v>5732</v>
      </c>
    </row>
    <row r="562" spans="1:2" x14ac:dyDescent="0.35">
      <c r="A562" s="19">
        <f>Database!A883</f>
        <v>40050</v>
      </c>
      <c r="B562" s="48">
        <f>VLOOKUP(A562,Database!$A:$V,MATCH(Currency!$B$1,Database!$A$1:$V$1,),)</f>
        <v>18171</v>
      </c>
    </row>
    <row r="563" spans="1:2" x14ac:dyDescent="0.35">
      <c r="A563" s="19">
        <f>Database!A884</f>
        <v>40057</v>
      </c>
      <c r="B563" s="48">
        <f>VLOOKUP(A563,Database!$A:$V,MATCH(Currency!$B$1,Database!$A$1:$V$1,),)</f>
        <v>9017</v>
      </c>
    </row>
    <row r="564" spans="1:2" x14ac:dyDescent="0.35">
      <c r="A564" s="19">
        <f>Database!A885</f>
        <v>40064</v>
      </c>
      <c r="B564" s="48">
        <f>VLOOKUP(A564,Database!$A:$V,MATCH(Currency!$B$1,Database!$A$1:$V$1,),)</f>
        <v>18033</v>
      </c>
    </row>
    <row r="565" spans="1:2" x14ac:dyDescent="0.35">
      <c r="A565" s="19">
        <f>Database!A886</f>
        <v>40071</v>
      </c>
      <c r="B565" s="48">
        <f>VLOOKUP(A565,Database!$A:$V,MATCH(Currency!$B$1,Database!$A$1:$V$1,),)</f>
        <v>37772</v>
      </c>
    </row>
    <row r="566" spans="1:2" x14ac:dyDescent="0.35">
      <c r="A566" s="19">
        <f>Database!A887</f>
        <v>40078</v>
      </c>
      <c r="B566" s="48">
        <f>VLOOKUP(A566,Database!$A:$V,MATCH(Currency!$B$1,Database!$A$1:$V$1,),)</f>
        <v>38000</v>
      </c>
    </row>
    <row r="567" spans="1:2" x14ac:dyDescent="0.35">
      <c r="A567" s="19">
        <f>Database!A888</f>
        <v>40085</v>
      </c>
      <c r="B567" s="48">
        <f>VLOOKUP(A567,Database!$A:$V,MATCH(Currency!$B$1,Database!$A$1:$V$1,),)</f>
        <v>39766</v>
      </c>
    </row>
    <row r="568" spans="1:2" x14ac:dyDescent="0.35">
      <c r="A568" s="19">
        <f>Database!A889</f>
        <v>40092</v>
      </c>
      <c r="B568" s="48">
        <f>VLOOKUP(A568,Database!$A:$V,MATCH(Currency!$B$1,Database!$A$1:$V$1,),)</f>
        <v>51045</v>
      </c>
    </row>
    <row r="569" spans="1:2" x14ac:dyDescent="0.35">
      <c r="A569" s="19">
        <f>Database!A890</f>
        <v>40099</v>
      </c>
      <c r="B569" s="48">
        <f>VLOOKUP(A569,Database!$A:$V,MATCH(Currency!$B$1,Database!$A$1:$V$1,),)</f>
        <v>43367</v>
      </c>
    </row>
    <row r="570" spans="1:2" x14ac:dyDescent="0.35">
      <c r="A570" s="19">
        <f>Database!A891</f>
        <v>40106</v>
      </c>
      <c r="B570" s="48">
        <f>VLOOKUP(A570,Database!$A:$V,MATCH(Currency!$B$1,Database!$A$1:$V$1,),)</f>
        <v>36033</v>
      </c>
    </row>
    <row r="571" spans="1:2" x14ac:dyDescent="0.35">
      <c r="A571" s="19">
        <f>Database!A892</f>
        <v>40113</v>
      </c>
      <c r="B571" s="48">
        <f>VLOOKUP(A571,Database!$A:$V,MATCH(Currency!$B$1,Database!$A$1:$V$1,),)</f>
        <v>32869</v>
      </c>
    </row>
    <row r="572" spans="1:2" x14ac:dyDescent="0.35">
      <c r="A572" s="19">
        <f>Database!A893</f>
        <v>40120</v>
      </c>
      <c r="B572" s="48">
        <f>VLOOKUP(A572,Database!$A:$V,MATCH(Currency!$B$1,Database!$A$1:$V$1,),)</f>
        <v>22191</v>
      </c>
    </row>
    <row r="573" spans="1:2" x14ac:dyDescent="0.35">
      <c r="A573" s="19">
        <f>Database!A894</f>
        <v>40127</v>
      </c>
      <c r="B573" s="48">
        <f>VLOOKUP(A573,Database!$A:$V,MATCH(Currency!$B$1,Database!$A$1:$V$1,),)</f>
        <v>25173</v>
      </c>
    </row>
    <row r="574" spans="1:2" x14ac:dyDescent="0.35">
      <c r="A574" s="19">
        <f>Database!A895</f>
        <v>40134</v>
      </c>
      <c r="B574" s="48">
        <f>VLOOKUP(A574,Database!$A:$V,MATCH(Currency!$B$1,Database!$A$1:$V$1,),)</f>
        <v>11956</v>
      </c>
    </row>
    <row r="575" spans="1:2" x14ac:dyDescent="0.35">
      <c r="A575" s="19">
        <f>Database!A896</f>
        <v>40141</v>
      </c>
      <c r="B575" s="48">
        <f>VLOOKUP(A575,Database!$A:$V,MATCH(Currency!$B$1,Database!$A$1:$V$1,),)</f>
        <v>18467</v>
      </c>
    </row>
    <row r="576" spans="1:2" x14ac:dyDescent="0.35">
      <c r="A576" s="19">
        <f>Database!A897</f>
        <v>40148</v>
      </c>
      <c r="B576" s="48">
        <f>VLOOKUP(A576,Database!$A:$V,MATCH(Currency!$B$1,Database!$A$1:$V$1,),)</f>
        <v>22151</v>
      </c>
    </row>
    <row r="577" spans="1:2" x14ac:dyDescent="0.35">
      <c r="A577" s="19">
        <f>Database!A898</f>
        <v>40155</v>
      </c>
      <c r="B577" s="48">
        <f>VLOOKUP(A577,Database!$A:$V,MATCH(Currency!$B$1,Database!$A$1:$V$1,),)</f>
        <v>-511</v>
      </c>
    </row>
    <row r="578" spans="1:2" x14ac:dyDescent="0.35">
      <c r="A578" s="19">
        <f>Database!A899</f>
        <v>40162</v>
      </c>
      <c r="B578" s="48">
        <f>VLOOKUP(A578,Database!$A:$V,MATCH(Currency!$B$1,Database!$A$1:$V$1,),)</f>
        <v>-16448</v>
      </c>
    </row>
    <row r="579" spans="1:2" x14ac:dyDescent="0.35">
      <c r="A579" s="19">
        <f>Database!A900</f>
        <v>40169</v>
      </c>
      <c r="B579" s="48">
        <f>VLOOKUP(A579,Database!$A:$V,MATCH(Currency!$B$1,Database!$A$1:$V$1,),)</f>
        <v>-14327</v>
      </c>
    </row>
    <row r="580" spans="1:2" x14ac:dyDescent="0.35">
      <c r="A580" s="19">
        <f>Database!A901</f>
        <v>40176</v>
      </c>
      <c r="B580" s="48">
        <f>VLOOKUP(A580,Database!$A:$V,MATCH(Currency!$B$1,Database!$A$1:$V$1,),)</f>
        <v>-33797</v>
      </c>
    </row>
    <row r="581" spans="1:2" x14ac:dyDescent="0.35">
      <c r="A581" s="19">
        <f>Database!A902</f>
        <v>40183</v>
      </c>
      <c r="B581" s="48">
        <f>VLOOKUP(A581,Database!$A:$V,MATCH(Currency!$B$1,Database!$A$1:$V$1,),)</f>
        <v>-35788</v>
      </c>
    </row>
    <row r="582" spans="1:2" x14ac:dyDescent="0.35">
      <c r="A582" s="19">
        <f>Database!A903</f>
        <v>40190</v>
      </c>
      <c r="B582" s="48">
        <f>VLOOKUP(A582,Database!$A:$V,MATCH(Currency!$B$1,Database!$A$1:$V$1,),)</f>
        <v>-17917</v>
      </c>
    </row>
    <row r="583" spans="1:2" x14ac:dyDescent="0.35">
      <c r="A583" s="19">
        <f>Database!A904</f>
        <v>40197</v>
      </c>
      <c r="B583" s="48">
        <f>VLOOKUP(A583,Database!$A:$V,MATCH(Currency!$B$1,Database!$A$1:$V$1,),)</f>
        <v>-25282</v>
      </c>
    </row>
    <row r="584" spans="1:2" x14ac:dyDescent="0.35">
      <c r="A584" s="19">
        <f>Database!A905</f>
        <v>40204</v>
      </c>
      <c r="B584" s="48">
        <f>VLOOKUP(A584,Database!$A:$V,MATCH(Currency!$B$1,Database!$A$1:$V$1,),)</f>
        <v>-39539</v>
      </c>
    </row>
    <row r="585" spans="1:2" x14ac:dyDescent="0.35">
      <c r="A585" s="19">
        <f>Database!A906</f>
        <v>40211</v>
      </c>
      <c r="B585" s="48">
        <f>VLOOKUP(A585,Database!$A:$V,MATCH(Currency!$B$1,Database!$A$1:$V$1,),)</f>
        <v>-43741</v>
      </c>
    </row>
    <row r="586" spans="1:2" x14ac:dyDescent="0.35">
      <c r="A586" s="19">
        <f>Database!A907</f>
        <v>40218</v>
      </c>
      <c r="B586" s="48">
        <f>VLOOKUP(A586,Database!$A:$V,MATCH(Currency!$B$1,Database!$A$1:$V$1,),)</f>
        <v>-57152</v>
      </c>
    </row>
    <row r="587" spans="1:2" x14ac:dyDescent="0.35">
      <c r="A587" s="19">
        <f>Database!A908</f>
        <v>40225</v>
      </c>
      <c r="B587" s="48">
        <f>VLOOKUP(A587,Database!$A:$V,MATCH(Currency!$B$1,Database!$A$1:$V$1,),)</f>
        <v>-59422</v>
      </c>
    </row>
    <row r="588" spans="1:2" x14ac:dyDescent="0.35">
      <c r="A588" s="19">
        <f>Database!A909</f>
        <v>40232</v>
      </c>
      <c r="B588" s="48">
        <f>VLOOKUP(A588,Database!$A:$V,MATCH(Currency!$B$1,Database!$A$1:$V$1,),)</f>
        <v>-71623</v>
      </c>
    </row>
    <row r="589" spans="1:2" x14ac:dyDescent="0.35">
      <c r="A589" s="19">
        <f>Database!A910</f>
        <v>40239</v>
      </c>
      <c r="B589" s="48">
        <f>VLOOKUP(A589,Database!$A:$V,MATCH(Currency!$B$1,Database!$A$1:$V$1,),)</f>
        <v>-66770</v>
      </c>
    </row>
    <row r="590" spans="1:2" x14ac:dyDescent="0.35">
      <c r="A590" s="19">
        <f>Database!A911</f>
        <v>40246</v>
      </c>
      <c r="B590" s="48">
        <f>VLOOKUP(A590,Database!$A:$V,MATCH(Currency!$B$1,Database!$A$1:$V$1,),)</f>
        <v>-74551</v>
      </c>
    </row>
    <row r="591" spans="1:2" x14ac:dyDescent="0.35">
      <c r="A591" s="19">
        <f>Database!A912</f>
        <v>40253</v>
      </c>
      <c r="B591" s="48">
        <f>VLOOKUP(A591,Database!$A:$V,MATCH(Currency!$B$1,Database!$A$1:$V$1,),)</f>
        <v>-46341</v>
      </c>
    </row>
    <row r="592" spans="1:2" x14ac:dyDescent="0.35">
      <c r="A592" s="19">
        <f>Database!A913</f>
        <v>40260</v>
      </c>
      <c r="B592" s="48">
        <f>VLOOKUP(A592,Database!$A:$V,MATCH(Currency!$B$1,Database!$A$1:$V$1,),)</f>
        <v>-74917</v>
      </c>
    </row>
    <row r="593" spans="1:2" x14ac:dyDescent="0.35">
      <c r="A593" s="19">
        <f>Database!A914</f>
        <v>40267</v>
      </c>
      <c r="B593" s="48">
        <f>VLOOKUP(A593,Database!$A:$V,MATCH(Currency!$B$1,Database!$A$1:$V$1,),)</f>
        <v>-85326</v>
      </c>
    </row>
    <row r="594" spans="1:2" x14ac:dyDescent="0.35">
      <c r="A594" s="19">
        <f>Database!A915</f>
        <v>40274</v>
      </c>
      <c r="B594" s="48">
        <f>VLOOKUP(A594,Database!$A:$V,MATCH(Currency!$B$1,Database!$A$1:$V$1,),)</f>
        <v>-67223</v>
      </c>
    </row>
    <row r="595" spans="1:2" x14ac:dyDescent="0.35">
      <c r="A595" s="19">
        <f>Database!A916</f>
        <v>40281</v>
      </c>
      <c r="B595" s="48">
        <f>VLOOKUP(A595,Database!$A:$V,MATCH(Currency!$B$1,Database!$A$1:$V$1,),)</f>
        <v>-55464</v>
      </c>
    </row>
    <row r="596" spans="1:2" x14ac:dyDescent="0.35">
      <c r="A596" s="19">
        <f>Database!A917</f>
        <v>40288</v>
      </c>
      <c r="B596" s="48">
        <f>VLOOKUP(A596,Database!$A:$V,MATCH(Currency!$B$1,Database!$A$1:$V$1,),)</f>
        <v>-71424</v>
      </c>
    </row>
    <row r="597" spans="1:2" x14ac:dyDescent="0.35">
      <c r="A597" s="19">
        <f>Database!A918</f>
        <v>40295</v>
      </c>
      <c r="B597" s="48">
        <f>VLOOKUP(A597,Database!$A:$V,MATCH(Currency!$B$1,Database!$A$1:$V$1,),)</f>
        <v>-89013</v>
      </c>
    </row>
    <row r="598" spans="1:2" x14ac:dyDescent="0.35">
      <c r="A598" s="19">
        <f>Database!A919</f>
        <v>40302</v>
      </c>
      <c r="B598" s="48">
        <f>VLOOKUP(A598,Database!$A:$V,MATCH(Currency!$B$1,Database!$A$1:$V$1,),)</f>
        <v>-103402</v>
      </c>
    </row>
    <row r="599" spans="1:2" x14ac:dyDescent="0.35">
      <c r="A599" s="19">
        <f>Database!A920</f>
        <v>40309</v>
      </c>
      <c r="B599" s="48">
        <f>VLOOKUP(A599,Database!$A:$V,MATCH(Currency!$B$1,Database!$A$1:$V$1,),)</f>
        <v>-113890</v>
      </c>
    </row>
    <row r="600" spans="1:2" x14ac:dyDescent="0.35">
      <c r="A600" s="19">
        <f>Database!A921</f>
        <v>40316</v>
      </c>
      <c r="B600" s="48">
        <f>VLOOKUP(A600,Database!$A:$V,MATCH(Currency!$B$1,Database!$A$1:$V$1,),)</f>
        <v>-107143</v>
      </c>
    </row>
    <row r="601" spans="1:2" x14ac:dyDescent="0.35">
      <c r="A601" s="19">
        <f>Database!A922</f>
        <v>40323</v>
      </c>
      <c r="B601" s="48">
        <f>VLOOKUP(A601,Database!$A:$V,MATCH(Currency!$B$1,Database!$A$1:$V$1,),)</f>
        <v>-106736</v>
      </c>
    </row>
    <row r="602" spans="1:2" x14ac:dyDescent="0.35">
      <c r="A602" s="19">
        <f>Database!A923</f>
        <v>40330</v>
      </c>
      <c r="B602" s="48">
        <f>VLOOKUP(A602,Database!$A:$V,MATCH(Currency!$B$1,Database!$A$1:$V$1,),)</f>
        <v>-93325</v>
      </c>
    </row>
    <row r="603" spans="1:2" x14ac:dyDescent="0.35">
      <c r="A603" s="19">
        <f>Database!A924</f>
        <v>40337</v>
      </c>
      <c r="B603" s="48">
        <f>VLOOKUP(A603,Database!$A:$V,MATCH(Currency!$B$1,Database!$A$1:$V$1,),)</f>
        <v>-111945</v>
      </c>
    </row>
    <row r="604" spans="1:2" x14ac:dyDescent="0.35">
      <c r="A604" s="19">
        <f>Database!A925</f>
        <v>40344</v>
      </c>
      <c r="B604" s="48">
        <f>VLOOKUP(A604,Database!$A:$V,MATCH(Currency!$B$1,Database!$A$1:$V$1,),)</f>
        <v>-62360</v>
      </c>
    </row>
    <row r="605" spans="1:2" x14ac:dyDescent="0.35">
      <c r="A605" s="19">
        <f>Database!A926</f>
        <v>40351</v>
      </c>
      <c r="B605" s="48">
        <f>VLOOKUP(A605,Database!$A:$V,MATCH(Currency!$B$1,Database!$A$1:$V$1,),)</f>
        <v>-70974</v>
      </c>
    </row>
    <row r="606" spans="1:2" x14ac:dyDescent="0.35">
      <c r="A606" s="19">
        <f>Database!A927</f>
        <v>40358</v>
      </c>
      <c r="B606" s="48">
        <f>VLOOKUP(A606,Database!$A:$V,MATCH(Currency!$B$1,Database!$A$1:$V$1,),)</f>
        <v>-73670</v>
      </c>
    </row>
    <row r="607" spans="1:2" x14ac:dyDescent="0.35">
      <c r="A607" s="19">
        <f>Database!A928</f>
        <v>40365</v>
      </c>
      <c r="B607" s="48">
        <f>VLOOKUP(A607,Database!$A:$V,MATCH(Currency!$B$1,Database!$A$1:$V$1,),)</f>
        <v>-38909</v>
      </c>
    </row>
    <row r="608" spans="1:2" x14ac:dyDescent="0.35">
      <c r="A608" s="19">
        <f>Database!A929</f>
        <v>40372</v>
      </c>
      <c r="B608" s="48">
        <f>VLOOKUP(A608,Database!$A:$V,MATCH(Currency!$B$1,Database!$A$1:$V$1,),)</f>
        <v>-27050</v>
      </c>
    </row>
    <row r="609" spans="1:2" x14ac:dyDescent="0.35">
      <c r="A609" s="19">
        <f>Database!A930</f>
        <v>40379</v>
      </c>
      <c r="B609" s="48">
        <f>VLOOKUP(A609,Database!$A:$V,MATCH(Currency!$B$1,Database!$A$1:$V$1,),)</f>
        <v>-24251</v>
      </c>
    </row>
    <row r="610" spans="1:2" x14ac:dyDescent="0.35">
      <c r="A610" s="19">
        <f>Database!A931</f>
        <v>40386</v>
      </c>
      <c r="B610" s="48">
        <f>VLOOKUP(A610,Database!$A:$V,MATCH(Currency!$B$1,Database!$A$1:$V$1,),)</f>
        <v>-21339</v>
      </c>
    </row>
    <row r="611" spans="1:2" x14ac:dyDescent="0.35">
      <c r="A611" s="19">
        <f>Database!A932</f>
        <v>40393</v>
      </c>
      <c r="B611" s="48">
        <f>VLOOKUP(A611,Database!$A:$V,MATCH(Currency!$B$1,Database!$A$1:$V$1,),)</f>
        <v>-7297</v>
      </c>
    </row>
    <row r="612" spans="1:2" x14ac:dyDescent="0.35">
      <c r="A612" s="19">
        <f>Database!A933</f>
        <v>40400</v>
      </c>
      <c r="B612" s="48">
        <f>VLOOKUP(A612,Database!$A:$V,MATCH(Currency!$B$1,Database!$A$1:$V$1,),)</f>
        <v>-3731</v>
      </c>
    </row>
    <row r="613" spans="1:2" x14ac:dyDescent="0.35">
      <c r="A613" s="19">
        <f>Database!A934</f>
        <v>40407</v>
      </c>
      <c r="B613" s="48">
        <f>VLOOKUP(A613,Database!$A:$V,MATCH(Currency!$B$1,Database!$A$1:$V$1,),)</f>
        <v>-14627</v>
      </c>
    </row>
    <row r="614" spans="1:2" x14ac:dyDescent="0.35">
      <c r="A614" s="19">
        <f>Database!A935</f>
        <v>40414</v>
      </c>
      <c r="B614" s="48">
        <f>VLOOKUP(A614,Database!$A:$V,MATCH(Currency!$B$1,Database!$A$1:$V$1,),)</f>
        <v>-21603</v>
      </c>
    </row>
    <row r="615" spans="1:2" x14ac:dyDescent="0.35">
      <c r="A615" s="19">
        <f>Database!A936</f>
        <v>40421</v>
      </c>
      <c r="B615" s="48">
        <f>VLOOKUP(A615,Database!$A:$V,MATCH(Currency!$B$1,Database!$A$1:$V$1,),)</f>
        <v>-25569</v>
      </c>
    </row>
    <row r="616" spans="1:2" x14ac:dyDescent="0.35">
      <c r="A616" s="19">
        <f>Database!A937</f>
        <v>40428</v>
      </c>
      <c r="B616" s="48">
        <f>VLOOKUP(A616,Database!$A:$V,MATCH(Currency!$B$1,Database!$A$1:$V$1,),)</f>
        <v>-23699</v>
      </c>
    </row>
    <row r="617" spans="1:2" x14ac:dyDescent="0.35">
      <c r="A617" s="19">
        <f>Database!A938</f>
        <v>40435</v>
      </c>
      <c r="B617" s="48">
        <f>VLOOKUP(A617,Database!$A:$V,MATCH(Currency!$B$1,Database!$A$1:$V$1,),)</f>
        <v>-9644</v>
      </c>
    </row>
    <row r="618" spans="1:2" x14ac:dyDescent="0.35">
      <c r="A618" s="19">
        <f>Database!A939</f>
        <v>40442</v>
      </c>
      <c r="B618" s="48">
        <f>VLOOKUP(A618,Database!$A:$V,MATCH(Currency!$B$1,Database!$A$1:$V$1,),)</f>
        <v>5097</v>
      </c>
    </row>
    <row r="619" spans="1:2" x14ac:dyDescent="0.35">
      <c r="A619" s="19">
        <f>Database!A940</f>
        <v>40449</v>
      </c>
      <c r="B619" s="48">
        <f>VLOOKUP(A619,Database!$A:$V,MATCH(Currency!$B$1,Database!$A$1:$V$1,),)</f>
        <v>35330</v>
      </c>
    </row>
    <row r="620" spans="1:2" x14ac:dyDescent="0.35">
      <c r="A620" s="19">
        <f>Database!A941</f>
        <v>40456</v>
      </c>
      <c r="B620" s="48">
        <f>VLOOKUP(A620,Database!$A:$V,MATCH(Currency!$B$1,Database!$A$1:$V$1,),)</f>
        <v>48243</v>
      </c>
    </row>
    <row r="621" spans="1:2" x14ac:dyDescent="0.35">
      <c r="A621" s="19">
        <f>Database!A942</f>
        <v>40463</v>
      </c>
      <c r="B621" s="48">
        <f>VLOOKUP(A621,Database!$A:$V,MATCH(Currency!$B$1,Database!$A$1:$V$1,),)</f>
        <v>41511</v>
      </c>
    </row>
    <row r="622" spans="1:2" x14ac:dyDescent="0.35">
      <c r="A622" s="19">
        <f>Database!A943</f>
        <v>40470</v>
      </c>
      <c r="B622" s="48">
        <f>VLOOKUP(A622,Database!$A:$V,MATCH(Currency!$B$1,Database!$A$1:$V$1,),)</f>
        <v>46748</v>
      </c>
    </row>
    <row r="623" spans="1:2" x14ac:dyDescent="0.35">
      <c r="A623" s="19">
        <f>Database!A944</f>
        <v>40477</v>
      </c>
      <c r="B623" s="48">
        <f>VLOOKUP(A623,Database!$A:$V,MATCH(Currency!$B$1,Database!$A$1:$V$1,),)</f>
        <v>40505</v>
      </c>
    </row>
    <row r="624" spans="1:2" x14ac:dyDescent="0.35">
      <c r="A624" s="19">
        <f>Database!A945</f>
        <v>40484</v>
      </c>
      <c r="B624" s="48">
        <f>VLOOKUP(A624,Database!$A:$V,MATCH(Currency!$B$1,Database!$A$1:$V$1,),)</f>
        <v>38610</v>
      </c>
    </row>
    <row r="625" spans="1:2" x14ac:dyDescent="0.35">
      <c r="A625" s="19">
        <f>Database!A946</f>
        <v>40491</v>
      </c>
      <c r="B625" s="48">
        <f>VLOOKUP(A625,Database!$A:$V,MATCH(Currency!$B$1,Database!$A$1:$V$1,),)</f>
        <v>23283</v>
      </c>
    </row>
    <row r="626" spans="1:2" x14ac:dyDescent="0.35">
      <c r="A626" s="19">
        <f>Database!A947</f>
        <v>40498</v>
      </c>
      <c r="B626" s="48">
        <f>VLOOKUP(A626,Database!$A:$V,MATCH(Currency!$B$1,Database!$A$1:$V$1,),)</f>
        <v>8606</v>
      </c>
    </row>
    <row r="627" spans="1:2" x14ac:dyDescent="0.35">
      <c r="A627" s="19">
        <f>Database!A948</f>
        <v>40505</v>
      </c>
      <c r="B627" s="48">
        <f>VLOOKUP(A627,Database!$A:$V,MATCH(Currency!$B$1,Database!$A$1:$V$1,),)</f>
        <v>-8293</v>
      </c>
    </row>
    <row r="628" spans="1:2" x14ac:dyDescent="0.35">
      <c r="A628" s="19">
        <f>Database!A949</f>
        <v>40512</v>
      </c>
      <c r="B628" s="48">
        <f>VLOOKUP(A628,Database!$A:$V,MATCH(Currency!$B$1,Database!$A$1:$V$1,),)</f>
        <v>-7248</v>
      </c>
    </row>
    <row r="629" spans="1:2" x14ac:dyDescent="0.35">
      <c r="A629" s="19">
        <f>Database!A950</f>
        <v>40519</v>
      </c>
      <c r="B629" s="48">
        <f>VLOOKUP(A629,Database!$A:$V,MATCH(Currency!$B$1,Database!$A$1:$V$1,),)</f>
        <v>-15290</v>
      </c>
    </row>
    <row r="630" spans="1:2" x14ac:dyDescent="0.35">
      <c r="A630" s="19">
        <f>Database!A951</f>
        <v>40526</v>
      </c>
      <c r="B630" s="48">
        <f>VLOOKUP(A630,Database!$A:$V,MATCH(Currency!$B$1,Database!$A$1:$V$1,),)</f>
        <v>-10304</v>
      </c>
    </row>
    <row r="631" spans="1:2" x14ac:dyDescent="0.35">
      <c r="A631" s="19">
        <f>Database!A952</f>
        <v>40533</v>
      </c>
      <c r="B631" s="48">
        <f>VLOOKUP(A631,Database!$A:$V,MATCH(Currency!$B$1,Database!$A$1:$V$1,),)</f>
        <v>-14093</v>
      </c>
    </row>
    <row r="632" spans="1:2" x14ac:dyDescent="0.35">
      <c r="A632" s="19">
        <f>Database!A953</f>
        <v>40540</v>
      </c>
      <c r="B632" s="48">
        <f>VLOOKUP(A632,Database!$A:$V,MATCH(Currency!$B$1,Database!$A$1:$V$1,),)</f>
        <v>-26479</v>
      </c>
    </row>
    <row r="633" spans="1:2" x14ac:dyDescent="0.35">
      <c r="A633" s="19">
        <f>Database!A954</f>
        <v>40547</v>
      </c>
      <c r="B633" s="48">
        <f>VLOOKUP(A633,Database!$A:$V,MATCH(Currency!$B$1,Database!$A$1:$V$1,),)</f>
        <v>-24201</v>
      </c>
    </row>
    <row r="634" spans="1:2" x14ac:dyDescent="0.35">
      <c r="A634" s="19">
        <f>Database!A955</f>
        <v>40554</v>
      </c>
      <c r="B634" s="48">
        <f>VLOOKUP(A634,Database!$A:$V,MATCH(Currency!$B$1,Database!$A$1:$V$1,),)</f>
        <v>-45182</v>
      </c>
    </row>
    <row r="635" spans="1:2" x14ac:dyDescent="0.35">
      <c r="A635" s="19">
        <f>Database!A956</f>
        <v>40561</v>
      </c>
      <c r="B635" s="48">
        <f>VLOOKUP(A635,Database!$A:$V,MATCH(Currency!$B$1,Database!$A$1:$V$1,),)</f>
        <v>4109</v>
      </c>
    </row>
    <row r="636" spans="1:2" x14ac:dyDescent="0.35">
      <c r="A636" s="19">
        <f>Database!A957</f>
        <v>40568</v>
      </c>
      <c r="B636" s="48">
        <f>VLOOKUP(A636,Database!$A:$V,MATCH(Currency!$B$1,Database!$A$1:$V$1,),)</f>
        <v>22901</v>
      </c>
    </row>
    <row r="637" spans="1:2" x14ac:dyDescent="0.35">
      <c r="A637" s="19">
        <f>Database!A958</f>
        <v>40575</v>
      </c>
      <c r="B637" s="48">
        <f>VLOOKUP(A637,Database!$A:$V,MATCH(Currency!$B$1,Database!$A$1:$V$1,),)</f>
        <v>39934</v>
      </c>
    </row>
    <row r="638" spans="1:2" x14ac:dyDescent="0.35">
      <c r="A638" s="19">
        <f>Database!A959</f>
        <v>40582</v>
      </c>
      <c r="B638" s="48">
        <f>VLOOKUP(A638,Database!$A:$V,MATCH(Currency!$B$1,Database!$A$1:$V$1,),)</f>
        <v>34734</v>
      </c>
    </row>
    <row r="639" spans="1:2" x14ac:dyDescent="0.35">
      <c r="A639" s="19">
        <f>Database!A960</f>
        <v>40589</v>
      </c>
      <c r="B639" s="48">
        <f>VLOOKUP(A639,Database!$A:$V,MATCH(Currency!$B$1,Database!$A$1:$V$1,),)</f>
        <v>32464</v>
      </c>
    </row>
    <row r="640" spans="1:2" x14ac:dyDescent="0.35">
      <c r="A640" s="19">
        <f>Database!A961</f>
        <v>40596</v>
      </c>
      <c r="B640" s="48">
        <f>VLOOKUP(A640,Database!$A:$V,MATCH(Currency!$B$1,Database!$A$1:$V$1,),)</f>
        <v>45598</v>
      </c>
    </row>
    <row r="641" spans="1:2" x14ac:dyDescent="0.35">
      <c r="A641" s="19">
        <f>Database!A962</f>
        <v>40603</v>
      </c>
      <c r="B641" s="48">
        <f>VLOOKUP(A641,Database!$A:$V,MATCH(Currency!$B$1,Database!$A$1:$V$1,),)</f>
        <v>51308</v>
      </c>
    </row>
    <row r="642" spans="1:2" x14ac:dyDescent="0.35">
      <c r="A642" s="19">
        <f>Database!A963</f>
        <v>40610</v>
      </c>
      <c r="B642" s="48">
        <f>VLOOKUP(A642,Database!$A:$V,MATCH(Currency!$B$1,Database!$A$1:$V$1,),)</f>
        <v>62294</v>
      </c>
    </row>
    <row r="643" spans="1:2" x14ac:dyDescent="0.35">
      <c r="A643" s="19">
        <f>Database!A964</f>
        <v>40617</v>
      </c>
      <c r="B643" s="48">
        <f>VLOOKUP(A643,Database!$A:$V,MATCH(Currency!$B$1,Database!$A$1:$V$1,),)</f>
        <v>46316</v>
      </c>
    </row>
    <row r="644" spans="1:2" x14ac:dyDescent="0.35">
      <c r="A644" s="19">
        <f>Database!A965</f>
        <v>40624</v>
      </c>
      <c r="B644" s="48">
        <f>VLOOKUP(A644,Database!$A:$V,MATCH(Currency!$B$1,Database!$A$1:$V$1,),)</f>
        <v>48353</v>
      </c>
    </row>
    <row r="645" spans="1:2" x14ac:dyDescent="0.35">
      <c r="A645" s="19">
        <f>Database!A966</f>
        <v>40631</v>
      </c>
      <c r="B645" s="48">
        <f>VLOOKUP(A645,Database!$A:$V,MATCH(Currency!$B$1,Database!$A$1:$V$1,),)</f>
        <v>56630</v>
      </c>
    </row>
    <row r="646" spans="1:2" x14ac:dyDescent="0.35">
      <c r="A646" s="19">
        <f>Database!A967</f>
        <v>40638</v>
      </c>
      <c r="B646" s="48">
        <f>VLOOKUP(A646,Database!$A:$V,MATCH(Currency!$B$1,Database!$A$1:$V$1,),)</f>
        <v>59857</v>
      </c>
    </row>
    <row r="647" spans="1:2" x14ac:dyDescent="0.35">
      <c r="A647" s="19">
        <f>Database!A968</f>
        <v>40645</v>
      </c>
      <c r="B647" s="48">
        <f>VLOOKUP(A647,Database!$A:$V,MATCH(Currency!$B$1,Database!$A$1:$V$1,),)</f>
        <v>64985</v>
      </c>
    </row>
    <row r="648" spans="1:2" x14ac:dyDescent="0.35">
      <c r="A648" s="19">
        <f>Database!A969</f>
        <v>40652</v>
      </c>
      <c r="B648" s="48">
        <f>VLOOKUP(A648,Database!$A:$V,MATCH(Currency!$B$1,Database!$A$1:$V$1,),)</f>
        <v>62195</v>
      </c>
    </row>
    <row r="649" spans="1:2" x14ac:dyDescent="0.35">
      <c r="A649" s="19">
        <f>Database!A970</f>
        <v>40659</v>
      </c>
      <c r="B649" s="48">
        <f>VLOOKUP(A649,Database!$A:$V,MATCH(Currency!$B$1,Database!$A$1:$V$1,),)</f>
        <v>68279</v>
      </c>
    </row>
    <row r="650" spans="1:2" x14ac:dyDescent="0.35">
      <c r="A650" s="19">
        <f>Database!A971</f>
        <v>40666</v>
      </c>
      <c r="B650" s="48">
        <f>VLOOKUP(A650,Database!$A:$V,MATCH(Currency!$B$1,Database!$A$1:$V$1,),)</f>
        <v>99516</v>
      </c>
    </row>
    <row r="651" spans="1:2" x14ac:dyDescent="0.35">
      <c r="A651" s="19">
        <f>Database!A972</f>
        <v>40673</v>
      </c>
      <c r="B651" s="48">
        <f>VLOOKUP(A651,Database!$A:$V,MATCH(Currency!$B$1,Database!$A$1:$V$1,),)</f>
        <v>61447</v>
      </c>
    </row>
    <row r="652" spans="1:2" x14ac:dyDescent="0.35">
      <c r="A652" s="19">
        <f>Database!A973</f>
        <v>40680</v>
      </c>
      <c r="B652" s="48">
        <f>VLOOKUP(A652,Database!$A:$V,MATCH(Currency!$B$1,Database!$A$1:$V$1,),)</f>
        <v>41645</v>
      </c>
    </row>
    <row r="653" spans="1:2" x14ac:dyDescent="0.35">
      <c r="A653" s="19">
        <f>Database!A974</f>
        <v>40687</v>
      </c>
      <c r="B653" s="48">
        <f>VLOOKUP(A653,Database!$A:$V,MATCH(Currency!$B$1,Database!$A$1:$V$1,),)</f>
        <v>19129</v>
      </c>
    </row>
    <row r="654" spans="1:2" x14ac:dyDescent="0.35">
      <c r="A654" s="19">
        <f>Database!A975</f>
        <v>40694</v>
      </c>
      <c r="B654" s="48">
        <f>VLOOKUP(A654,Database!$A:$V,MATCH(Currency!$B$1,Database!$A$1:$V$1,),)</f>
        <v>21970</v>
      </c>
    </row>
    <row r="655" spans="1:2" x14ac:dyDescent="0.35">
      <c r="A655" s="19">
        <f>Database!A976</f>
        <v>40701</v>
      </c>
      <c r="B655" s="48">
        <f>VLOOKUP(A655,Database!$A:$V,MATCH(Currency!$B$1,Database!$A$1:$V$1,),)</f>
        <v>51836</v>
      </c>
    </row>
    <row r="656" spans="1:2" x14ac:dyDescent="0.35">
      <c r="A656" s="19">
        <f>Database!A977</f>
        <v>40708</v>
      </c>
      <c r="B656" s="48">
        <f>VLOOKUP(A656,Database!$A:$V,MATCH(Currency!$B$1,Database!$A$1:$V$1,),)</f>
        <v>49894</v>
      </c>
    </row>
    <row r="657" spans="1:2" x14ac:dyDescent="0.35">
      <c r="A657" s="19">
        <f>Database!A978</f>
        <v>40715</v>
      </c>
      <c r="B657" s="48">
        <f>VLOOKUP(A657,Database!$A:$V,MATCH(Currency!$B$1,Database!$A$1:$V$1,),)</f>
        <v>29771</v>
      </c>
    </row>
    <row r="658" spans="1:2" x14ac:dyDescent="0.35">
      <c r="A658" s="19">
        <f>Database!A979</f>
        <v>40722</v>
      </c>
      <c r="B658" s="48">
        <f>VLOOKUP(A658,Database!$A:$V,MATCH(Currency!$B$1,Database!$A$1:$V$1,),)</f>
        <v>32987</v>
      </c>
    </row>
    <row r="659" spans="1:2" x14ac:dyDescent="0.35">
      <c r="A659" s="19">
        <f>Database!A980</f>
        <v>40729</v>
      </c>
      <c r="B659" s="48">
        <f>VLOOKUP(A659,Database!$A:$V,MATCH(Currency!$B$1,Database!$A$1:$V$1,),)</f>
        <v>43194</v>
      </c>
    </row>
    <row r="660" spans="1:2" x14ac:dyDescent="0.35">
      <c r="A660" s="19">
        <f>Database!A981</f>
        <v>40736</v>
      </c>
      <c r="B660" s="48">
        <f>VLOOKUP(A660,Database!$A:$V,MATCH(Currency!$B$1,Database!$A$1:$V$1,),)</f>
        <v>12416</v>
      </c>
    </row>
    <row r="661" spans="1:2" x14ac:dyDescent="0.35">
      <c r="A661" s="19">
        <f>Database!A982</f>
        <v>40743</v>
      </c>
      <c r="B661" s="48">
        <f>VLOOKUP(A661,Database!$A:$V,MATCH(Currency!$B$1,Database!$A$1:$V$1,),)</f>
        <v>9246</v>
      </c>
    </row>
    <row r="662" spans="1:2" x14ac:dyDescent="0.35">
      <c r="A662" s="19">
        <f>Database!A983</f>
        <v>40750</v>
      </c>
      <c r="B662" s="48">
        <f>VLOOKUP(A662,Database!$A:$V,MATCH(Currency!$B$1,Database!$A$1:$V$1,),)</f>
        <v>17038</v>
      </c>
    </row>
    <row r="663" spans="1:2" x14ac:dyDescent="0.35">
      <c r="A663" s="19">
        <f>Database!A984</f>
        <v>40757</v>
      </c>
      <c r="B663" s="48">
        <f>VLOOKUP(A663,Database!$A:$V,MATCH(Currency!$B$1,Database!$A$1:$V$1,),)</f>
        <v>1763</v>
      </c>
    </row>
    <row r="664" spans="1:2" x14ac:dyDescent="0.35">
      <c r="A664" s="19">
        <f>Database!A985</f>
        <v>40764</v>
      </c>
      <c r="B664" s="48">
        <f>VLOOKUP(A664,Database!$A:$V,MATCH(Currency!$B$1,Database!$A$1:$V$1,),)</f>
        <v>-8273</v>
      </c>
    </row>
    <row r="665" spans="1:2" x14ac:dyDescent="0.35">
      <c r="A665" s="19">
        <f>Database!A986</f>
        <v>40771</v>
      </c>
      <c r="B665" s="48">
        <f>VLOOKUP(A665,Database!$A:$V,MATCH(Currency!$B$1,Database!$A$1:$V$1,),)</f>
        <v>6726</v>
      </c>
    </row>
    <row r="666" spans="1:2" x14ac:dyDescent="0.35">
      <c r="A666" s="19">
        <f>Database!A987</f>
        <v>40778</v>
      </c>
      <c r="B666" s="48">
        <f>VLOOKUP(A666,Database!$A:$V,MATCH(Currency!$B$1,Database!$A$1:$V$1,),)</f>
        <v>2539</v>
      </c>
    </row>
    <row r="667" spans="1:2" x14ac:dyDescent="0.35">
      <c r="A667" s="19">
        <f>Database!A988</f>
        <v>40785</v>
      </c>
      <c r="B667" s="48">
        <f>VLOOKUP(A667,Database!$A:$V,MATCH(Currency!$B$1,Database!$A$1:$V$1,),)</f>
        <v>-384</v>
      </c>
    </row>
    <row r="668" spans="1:2" x14ac:dyDescent="0.35">
      <c r="A668" s="19">
        <f>Database!A989</f>
        <v>40792</v>
      </c>
      <c r="B668" s="48">
        <f>VLOOKUP(A668,Database!$A:$V,MATCH(Currency!$B$1,Database!$A$1:$V$1,),)</f>
        <v>-36443</v>
      </c>
    </row>
    <row r="669" spans="1:2" x14ac:dyDescent="0.35">
      <c r="A669" s="19">
        <f>Database!A990</f>
        <v>40799</v>
      </c>
      <c r="B669" s="48">
        <f>VLOOKUP(A669,Database!$A:$V,MATCH(Currency!$B$1,Database!$A$1:$V$1,),)</f>
        <v>-54459</v>
      </c>
    </row>
    <row r="670" spans="1:2" x14ac:dyDescent="0.35">
      <c r="A670" s="19">
        <f>Database!A991</f>
        <v>40806</v>
      </c>
      <c r="B670" s="48">
        <f>VLOOKUP(A670,Database!$A:$V,MATCH(Currency!$B$1,Database!$A$1:$V$1,),)</f>
        <v>-79460</v>
      </c>
    </row>
    <row r="671" spans="1:2" x14ac:dyDescent="0.35">
      <c r="A671" s="19">
        <f>Database!A992</f>
        <v>40813</v>
      </c>
      <c r="B671" s="48">
        <f>VLOOKUP(A671,Database!$A:$V,MATCH(Currency!$B$1,Database!$A$1:$V$1,),)</f>
        <v>-82473</v>
      </c>
    </row>
    <row r="672" spans="1:2" x14ac:dyDescent="0.35">
      <c r="A672" s="19">
        <f>Database!A993</f>
        <v>40820</v>
      </c>
      <c r="B672" s="48">
        <f>VLOOKUP(A672,Database!$A:$V,MATCH(Currency!$B$1,Database!$A$1:$V$1,),)</f>
        <v>-82697</v>
      </c>
    </row>
    <row r="673" spans="1:2" x14ac:dyDescent="0.35">
      <c r="A673" s="19">
        <f>Database!A994</f>
        <v>40827</v>
      </c>
      <c r="B673" s="48">
        <f>VLOOKUP(A673,Database!$A:$V,MATCH(Currency!$B$1,Database!$A$1:$V$1,),)</f>
        <v>-73795</v>
      </c>
    </row>
    <row r="674" spans="1:2" x14ac:dyDescent="0.35">
      <c r="A674" s="19">
        <f>Database!A995</f>
        <v>40834</v>
      </c>
      <c r="B674" s="48">
        <f>VLOOKUP(A674,Database!$A:$V,MATCH(Currency!$B$1,Database!$A$1:$V$1,),)</f>
        <v>-77720</v>
      </c>
    </row>
    <row r="675" spans="1:2" x14ac:dyDescent="0.35">
      <c r="A675" s="19">
        <f>Database!A996</f>
        <v>40841</v>
      </c>
      <c r="B675" s="48">
        <f>VLOOKUP(A675,Database!$A:$V,MATCH(Currency!$B$1,Database!$A$1:$V$1,),)</f>
        <v>-76512</v>
      </c>
    </row>
    <row r="676" spans="1:2" x14ac:dyDescent="0.35">
      <c r="A676" s="19">
        <f>Database!A997</f>
        <v>40848</v>
      </c>
      <c r="B676" s="48">
        <f>VLOOKUP(A676,Database!$A:$V,MATCH(Currency!$B$1,Database!$A$1:$V$1,),)</f>
        <v>-60060</v>
      </c>
    </row>
    <row r="677" spans="1:2" x14ac:dyDescent="0.35">
      <c r="A677" s="19">
        <f>Database!A998</f>
        <v>40855</v>
      </c>
      <c r="B677" s="48">
        <f>VLOOKUP(A677,Database!$A:$V,MATCH(Currency!$B$1,Database!$A$1:$V$1,),)</f>
        <v>-54257</v>
      </c>
    </row>
    <row r="678" spans="1:2" x14ac:dyDescent="0.35">
      <c r="A678" s="19">
        <f>Database!A999</f>
        <v>40862</v>
      </c>
      <c r="B678" s="48">
        <f>VLOOKUP(A678,Database!$A:$V,MATCH(Currency!$B$1,Database!$A$1:$V$1,),)</f>
        <v>-76147</v>
      </c>
    </row>
    <row r="679" spans="1:2" x14ac:dyDescent="0.35">
      <c r="A679" s="19">
        <f>Database!A1000</f>
        <v>40869</v>
      </c>
      <c r="B679" s="48">
        <f>VLOOKUP(A679,Database!$A:$V,MATCH(Currency!$B$1,Database!$A$1:$V$1,),)</f>
        <v>-85068</v>
      </c>
    </row>
    <row r="680" spans="1:2" x14ac:dyDescent="0.35">
      <c r="A680" s="19">
        <f>Database!A1001</f>
        <v>40876</v>
      </c>
      <c r="B680" s="48">
        <f>VLOOKUP(A680,Database!$A:$V,MATCH(Currency!$B$1,Database!$A$1:$V$1,),)</f>
        <v>-104302</v>
      </c>
    </row>
    <row r="681" spans="1:2" x14ac:dyDescent="0.35">
      <c r="A681" s="19">
        <f>Database!A1002</f>
        <v>40883</v>
      </c>
      <c r="B681" s="48">
        <f>VLOOKUP(A681,Database!$A:$V,MATCH(Currency!$B$1,Database!$A$1:$V$1,),)</f>
        <v>-95814</v>
      </c>
    </row>
    <row r="682" spans="1:2" x14ac:dyDescent="0.35">
      <c r="A682" s="19">
        <f>Database!A1003</f>
        <v>40890</v>
      </c>
      <c r="B682" s="48">
        <f>VLOOKUP(A682,Database!$A:$V,MATCH(Currency!$B$1,Database!$A$1:$V$1,),)</f>
        <v>-116457</v>
      </c>
    </row>
    <row r="683" spans="1:2" x14ac:dyDescent="0.35">
      <c r="A683" s="19">
        <f>Database!A1004</f>
        <v>40897</v>
      </c>
      <c r="B683" s="48">
        <f>VLOOKUP(A683,Database!$A:$V,MATCH(Currency!$B$1,Database!$A$1:$V$1,),)</f>
        <v>-113697</v>
      </c>
    </row>
    <row r="684" spans="1:2" x14ac:dyDescent="0.35">
      <c r="A684" s="19">
        <f>Database!A1005</f>
        <v>40904</v>
      </c>
      <c r="B684" s="48">
        <f>VLOOKUP(A684,Database!$A:$V,MATCH(Currency!$B$1,Database!$A$1:$V$1,),)</f>
        <v>-127879</v>
      </c>
    </row>
    <row r="685" spans="1:2" x14ac:dyDescent="0.35">
      <c r="A685" s="19">
        <f>Database!A1006</f>
        <v>40911</v>
      </c>
      <c r="B685" s="48">
        <f>VLOOKUP(A685,Database!$A:$V,MATCH(Currency!$B$1,Database!$A$1:$V$1,),)</f>
        <v>-138909</v>
      </c>
    </row>
    <row r="686" spans="1:2" x14ac:dyDescent="0.35">
      <c r="A686" s="19">
        <f>Database!A1007</f>
        <v>40918</v>
      </c>
      <c r="B686" s="48">
        <f>VLOOKUP(A686,Database!$A:$V,MATCH(Currency!$B$1,Database!$A$1:$V$1,),)</f>
        <v>-155195</v>
      </c>
    </row>
    <row r="687" spans="1:2" x14ac:dyDescent="0.35">
      <c r="A687" s="19">
        <f>Database!A1008</f>
        <v>40925</v>
      </c>
      <c r="B687" s="48">
        <f>VLOOKUP(A687,Database!$A:$V,MATCH(Currency!$B$1,Database!$A$1:$V$1,),)</f>
        <v>-160030</v>
      </c>
    </row>
    <row r="688" spans="1:2" x14ac:dyDescent="0.35">
      <c r="A688" s="19">
        <f>Database!A1009</f>
        <v>40932</v>
      </c>
      <c r="B688" s="48">
        <f>VLOOKUP(A688,Database!$A:$V,MATCH(Currency!$B$1,Database!$A$1:$V$1,),)</f>
        <v>-171347</v>
      </c>
    </row>
    <row r="689" spans="1:2" x14ac:dyDescent="0.35">
      <c r="A689" s="19">
        <f>Database!A1010</f>
        <v>40939</v>
      </c>
      <c r="B689" s="48">
        <f>VLOOKUP(A689,Database!$A:$V,MATCH(Currency!$B$1,Database!$A$1:$V$1,),)</f>
        <v>-157546</v>
      </c>
    </row>
    <row r="690" spans="1:2" x14ac:dyDescent="0.35">
      <c r="A690" s="19">
        <f>Database!A1011</f>
        <v>40946</v>
      </c>
      <c r="B690" s="48">
        <f>VLOOKUP(A690,Database!$A:$V,MATCH(Currency!$B$1,Database!$A$1:$V$1,),)</f>
        <v>-140593</v>
      </c>
    </row>
    <row r="691" spans="1:2" x14ac:dyDescent="0.35">
      <c r="A691" s="19">
        <f>Database!A1012</f>
        <v>40953</v>
      </c>
      <c r="B691" s="48">
        <f>VLOOKUP(A691,Database!$A:$V,MATCH(Currency!$B$1,Database!$A$1:$V$1,),)</f>
        <v>-148641</v>
      </c>
    </row>
    <row r="692" spans="1:2" x14ac:dyDescent="0.35">
      <c r="A692" s="19">
        <f>Database!A1013</f>
        <v>40960</v>
      </c>
      <c r="B692" s="48">
        <f>VLOOKUP(A692,Database!$A:$V,MATCH(Currency!$B$1,Database!$A$1:$V$1,),)</f>
        <v>-142159</v>
      </c>
    </row>
    <row r="693" spans="1:2" x14ac:dyDescent="0.35">
      <c r="A693" s="19">
        <f>Database!A1014</f>
        <v>40967</v>
      </c>
      <c r="B693" s="48">
        <f>VLOOKUP(A693,Database!$A:$V,MATCH(Currency!$B$1,Database!$A$1:$V$1,),)</f>
        <v>-109674</v>
      </c>
    </row>
    <row r="694" spans="1:2" x14ac:dyDescent="0.35">
      <c r="A694" s="19">
        <f>Database!A1015</f>
        <v>40974</v>
      </c>
      <c r="B694" s="48">
        <f>VLOOKUP(A694,Database!$A:$V,MATCH(Currency!$B$1,Database!$A$1:$V$1,),)</f>
        <v>-116473</v>
      </c>
    </row>
    <row r="695" spans="1:2" x14ac:dyDescent="0.35">
      <c r="A695" s="19">
        <f>Database!A1016</f>
        <v>40981</v>
      </c>
      <c r="B695" s="48">
        <f>VLOOKUP(A695,Database!$A:$V,MATCH(Currency!$B$1,Database!$A$1:$V$1,),)</f>
        <v>-99336</v>
      </c>
    </row>
    <row r="696" spans="1:2" x14ac:dyDescent="0.35">
      <c r="A696" s="19">
        <f>Database!A1017</f>
        <v>40988</v>
      </c>
      <c r="B696" s="48">
        <f>VLOOKUP(A696,Database!$A:$V,MATCH(Currency!$B$1,Database!$A$1:$V$1,),)</f>
        <v>-82954</v>
      </c>
    </row>
    <row r="697" spans="1:2" x14ac:dyDescent="0.35">
      <c r="A697" s="19">
        <f>Database!A1018</f>
        <v>40995</v>
      </c>
      <c r="B697" s="48">
        <f>VLOOKUP(A697,Database!$A:$V,MATCH(Currency!$B$1,Database!$A$1:$V$1,),)</f>
        <v>-89129</v>
      </c>
    </row>
    <row r="698" spans="1:2" x14ac:dyDescent="0.35">
      <c r="A698" s="19">
        <f>Database!A1019</f>
        <v>41002</v>
      </c>
      <c r="B698" s="48">
        <f>VLOOKUP(A698,Database!$A:$V,MATCH(Currency!$B$1,Database!$A$1:$V$1,),)</f>
        <v>-79480</v>
      </c>
    </row>
    <row r="699" spans="1:2" x14ac:dyDescent="0.35">
      <c r="A699" s="19">
        <f>Database!A1020</f>
        <v>41009</v>
      </c>
      <c r="B699" s="48">
        <f>VLOOKUP(A699,Database!$A:$V,MATCH(Currency!$B$1,Database!$A$1:$V$1,),)</f>
        <v>-101364</v>
      </c>
    </row>
    <row r="700" spans="1:2" x14ac:dyDescent="0.35">
      <c r="A700" s="19">
        <f>Database!A1021</f>
        <v>41016</v>
      </c>
      <c r="B700" s="48">
        <f>VLOOKUP(A700,Database!$A:$V,MATCH(Currency!$B$1,Database!$A$1:$V$1,),)</f>
        <v>-118125</v>
      </c>
    </row>
    <row r="701" spans="1:2" x14ac:dyDescent="0.35">
      <c r="A701" s="19">
        <f>Database!A1022</f>
        <v>41023</v>
      </c>
      <c r="B701" s="48">
        <f>VLOOKUP(A701,Database!$A:$V,MATCH(Currency!$B$1,Database!$A$1:$V$1,),)</f>
        <v>-113367</v>
      </c>
    </row>
    <row r="702" spans="1:2" x14ac:dyDescent="0.35">
      <c r="A702" s="19">
        <f>Database!A1023</f>
        <v>41030</v>
      </c>
      <c r="B702" s="48">
        <f>VLOOKUP(A702,Database!$A:$V,MATCH(Currency!$B$1,Database!$A$1:$V$1,),)</f>
        <v>-106990</v>
      </c>
    </row>
    <row r="703" spans="1:2" x14ac:dyDescent="0.35">
      <c r="A703" s="19">
        <f>Database!A1024</f>
        <v>41037</v>
      </c>
      <c r="B703" s="48">
        <f>VLOOKUP(A703,Database!$A:$V,MATCH(Currency!$B$1,Database!$A$1:$V$1,),)</f>
        <v>-143984</v>
      </c>
    </row>
    <row r="704" spans="1:2" x14ac:dyDescent="0.35">
      <c r="A704" s="19">
        <f>Database!A1025</f>
        <v>41044</v>
      </c>
      <c r="B704" s="48">
        <f>VLOOKUP(A704,Database!$A:$V,MATCH(Currency!$B$1,Database!$A$1:$V$1,),)</f>
        <v>-173869</v>
      </c>
    </row>
    <row r="705" spans="1:2" x14ac:dyDescent="0.35">
      <c r="A705" s="19">
        <f>Database!A1026</f>
        <v>41051</v>
      </c>
      <c r="B705" s="48">
        <f>VLOOKUP(A705,Database!$A:$V,MATCH(Currency!$B$1,Database!$A$1:$V$1,),)</f>
        <v>-195361</v>
      </c>
    </row>
    <row r="706" spans="1:2" x14ac:dyDescent="0.35">
      <c r="A706" s="19">
        <f>Database!A1027</f>
        <v>41058</v>
      </c>
      <c r="B706" s="48">
        <f>VLOOKUP(A706,Database!$A:$V,MATCH(Currency!$B$1,Database!$A$1:$V$1,),)</f>
        <v>-203415</v>
      </c>
    </row>
    <row r="707" spans="1:2" x14ac:dyDescent="0.35">
      <c r="A707" s="19">
        <f>Database!A1028</f>
        <v>41065</v>
      </c>
      <c r="B707" s="48">
        <f>VLOOKUP(A707,Database!$A:$V,MATCH(Currency!$B$1,Database!$A$1:$V$1,),)</f>
        <v>-214418</v>
      </c>
    </row>
    <row r="708" spans="1:2" x14ac:dyDescent="0.35">
      <c r="A708" s="19">
        <f>Database!A1029</f>
        <v>41072</v>
      </c>
      <c r="B708" s="48">
        <f>VLOOKUP(A708,Database!$A:$V,MATCH(Currency!$B$1,Database!$A$1:$V$1,),)</f>
        <v>-195187</v>
      </c>
    </row>
    <row r="709" spans="1:2" x14ac:dyDescent="0.35">
      <c r="A709" s="19">
        <f>Database!A1030</f>
        <v>41079</v>
      </c>
      <c r="B709" s="48">
        <f>VLOOKUP(A709,Database!$A:$V,MATCH(Currency!$B$1,Database!$A$1:$V$1,),)</f>
        <v>-141066</v>
      </c>
    </row>
    <row r="710" spans="1:2" x14ac:dyDescent="0.35">
      <c r="A710" s="19">
        <f>Database!A1031</f>
        <v>41086</v>
      </c>
      <c r="B710" s="48">
        <f>VLOOKUP(A710,Database!$A:$V,MATCH(Currency!$B$1,Database!$A$1:$V$1,),)</f>
        <v>-159880</v>
      </c>
    </row>
    <row r="711" spans="1:2" x14ac:dyDescent="0.35">
      <c r="A711" s="19">
        <f>Database!A1032</f>
        <v>41093</v>
      </c>
      <c r="B711" s="48">
        <f>VLOOKUP(A711,Database!$A:$V,MATCH(Currency!$B$1,Database!$A$1:$V$1,),)</f>
        <v>-146177</v>
      </c>
    </row>
    <row r="712" spans="1:2" x14ac:dyDescent="0.35">
      <c r="A712" s="19">
        <f>Database!A1033</f>
        <v>41100</v>
      </c>
      <c r="B712" s="48">
        <f>VLOOKUP(A712,Database!$A:$V,MATCH(Currency!$B$1,Database!$A$1:$V$1,),)</f>
        <v>-165705</v>
      </c>
    </row>
    <row r="713" spans="1:2" x14ac:dyDescent="0.35">
      <c r="A713" s="19">
        <f>Database!A1034</f>
        <v>41107</v>
      </c>
      <c r="B713" s="48">
        <f>VLOOKUP(A713,Database!$A:$V,MATCH(Currency!$B$1,Database!$A$1:$V$1,),)</f>
        <v>-167249</v>
      </c>
    </row>
    <row r="714" spans="1:2" x14ac:dyDescent="0.35">
      <c r="A714" s="19">
        <f>Database!A1035</f>
        <v>41114</v>
      </c>
      <c r="B714" s="48">
        <f>VLOOKUP(A714,Database!$A:$V,MATCH(Currency!$B$1,Database!$A$1:$V$1,),)</f>
        <v>-155066</v>
      </c>
    </row>
    <row r="715" spans="1:2" x14ac:dyDescent="0.35">
      <c r="A715" s="19">
        <f>Database!A1036</f>
        <v>41121</v>
      </c>
      <c r="B715" s="48">
        <f>VLOOKUP(A715,Database!$A:$V,MATCH(Currency!$B$1,Database!$A$1:$V$1,),)</f>
        <v>-138994</v>
      </c>
    </row>
    <row r="716" spans="1:2" x14ac:dyDescent="0.35">
      <c r="A716" s="19">
        <f>Database!A1037</f>
        <v>41128</v>
      </c>
      <c r="B716" s="48">
        <f>VLOOKUP(A716,Database!$A:$V,MATCH(Currency!$B$1,Database!$A$1:$V$1,),)</f>
        <v>-131711</v>
      </c>
    </row>
    <row r="717" spans="1:2" x14ac:dyDescent="0.35">
      <c r="A717" s="19">
        <f>Database!A1038</f>
        <v>41135</v>
      </c>
      <c r="B717" s="48">
        <f>VLOOKUP(A717,Database!$A:$V,MATCH(Currency!$B$1,Database!$A$1:$V$1,),)</f>
        <v>-137810</v>
      </c>
    </row>
    <row r="718" spans="1:2" x14ac:dyDescent="0.35">
      <c r="A718" s="19">
        <f>Database!A1039</f>
        <v>41142</v>
      </c>
      <c r="B718" s="48">
        <f>VLOOKUP(A718,Database!$A:$V,MATCH(Currency!$B$1,Database!$A$1:$V$1,),)</f>
        <v>-123932</v>
      </c>
    </row>
    <row r="719" spans="1:2" x14ac:dyDescent="0.35">
      <c r="A719" s="19">
        <f>Database!A1040</f>
        <v>41149</v>
      </c>
      <c r="B719" s="48">
        <f>VLOOKUP(A719,Database!$A:$V,MATCH(Currency!$B$1,Database!$A$1:$V$1,),)</f>
        <v>-101561</v>
      </c>
    </row>
    <row r="720" spans="1:2" x14ac:dyDescent="0.35">
      <c r="A720" s="19">
        <f>Database!A1041</f>
        <v>41156</v>
      </c>
      <c r="B720" s="48">
        <f>VLOOKUP(A720,Database!$A:$V,MATCH(Currency!$B$1,Database!$A$1:$V$1,),)</f>
        <v>-102306</v>
      </c>
    </row>
    <row r="721" spans="1:2" x14ac:dyDescent="0.35">
      <c r="A721" s="19">
        <f>Database!A1042</f>
        <v>41163</v>
      </c>
      <c r="B721" s="48">
        <f>VLOOKUP(A721,Database!$A:$V,MATCH(Currency!$B$1,Database!$A$1:$V$1,),)</f>
        <v>-93658</v>
      </c>
    </row>
    <row r="722" spans="1:2" x14ac:dyDescent="0.35">
      <c r="A722" s="19">
        <f>Database!A1043</f>
        <v>41170</v>
      </c>
      <c r="B722" s="48">
        <f>VLOOKUP(A722,Database!$A:$V,MATCH(Currency!$B$1,Database!$A$1:$V$1,),)</f>
        <v>-73482</v>
      </c>
    </row>
    <row r="723" spans="1:2" x14ac:dyDescent="0.35">
      <c r="A723" s="19">
        <f>Database!A1044</f>
        <v>41177</v>
      </c>
      <c r="B723" s="48">
        <f>VLOOKUP(A723,Database!$A:$V,MATCH(Currency!$B$1,Database!$A$1:$V$1,),)</f>
        <v>-50238</v>
      </c>
    </row>
    <row r="724" spans="1:2" x14ac:dyDescent="0.35">
      <c r="A724" s="19">
        <f>Database!A1045</f>
        <v>41184</v>
      </c>
      <c r="B724" s="48">
        <f>VLOOKUP(A724,Database!$A:$V,MATCH(Currency!$B$1,Database!$A$1:$V$1,),)</f>
        <v>-50265</v>
      </c>
    </row>
    <row r="725" spans="1:2" x14ac:dyDescent="0.35">
      <c r="A725" s="19">
        <f>Database!A1046</f>
        <v>41191</v>
      </c>
      <c r="B725" s="48">
        <f>VLOOKUP(A725,Database!$A:$V,MATCH(Currency!$B$1,Database!$A$1:$V$1,),)</f>
        <v>-72570</v>
      </c>
    </row>
    <row r="726" spans="1:2" x14ac:dyDescent="0.35">
      <c r="A726" s="19">
        <f>Database!A1047</f>
        <v>41198</v>
      </c>
      <c r="B726" s="48">
        <f>VLOOKUP(A726,Database!$A:$V,MATCH(Currency!$B$1,Database!$A$1:$V$1,),)</f>
        <v>-53495</v>
      </c>
    </row>
    <row r="727" spans="1:2" x14ac:dyDescent="0.35">
      <c r="A727" s="19">
        <f>Database!A1048</f>
        <v>41205</v>
      </c>
      <c r="B727" s="48">
        <f>VLOOKUP(A727,Database!$A:$V,MATCH(Currency!$B$1,Database!$A$1:$V$1,),)</f>
        <v>-55219</v>
      </c>
    </row>
    <row r="728" spans="1:2" x14ac:dyDescent="0.35">
      <c r="A728" s="19">
        <f>Database!A1049</f>
        <v>41212</v>
      </c>
      <c r="B728" s="48">
        <f>VLOOKUP(A728,Database!$A:$V,MATCH(Currency!$B$1,Database!$A$1:$V$1,),)</f>
        <v>-58204</v>
      </c>
    </row>
    <row r="729" spans="1:2" x14ac:dyDescent="0.35">
      <c r="A729" s="19">
        <f>Database!A1050</f>
        <v>41219</v>
      </c>
      <c r="B729" s="48">
        <f>VLOOKUP(A729,Database!$A:$V,MATCH(Currency!$B$1,Database!$A$1:$V$1,),)</f>
        <v>-67141</v>
      </c>
    </row>
    <row r="730" spans="1:2" x14ac:dyDescent="0.35">
      <c r="A730" s="19">
        <f>Database!A1051</f>
        <v>41226</v>
      </c>
      <c r="B730" s="48">
        <f>VLOOKUP(A730,Database!$A:$V,MATCH(Currency!$B$1,Database!$A$1:$V$1,),)</f>
        <v>-83646</v>
      </c>
    </row>
    <row r="731" spans="1:2" x14ac:dyDescent="0.35">
      <c r="A731" s="19">
        <f>Database!A1052</f>
        <v>41233</v>
      </c>
      <c r="B731" s="48">
        <f>VLOOKUP(A731,Database!$A:$V,MATCH(Currency!$B$1,Database!$A$1:$V$1,),)</f>
        <v>-91400</v>
      </c>
    </row>
    <row r="732" spans="1:2" x14ac:dyDescent="0.35">
      <c r="A732" s="19">
        <f>Database!A1053</f>
        <v>41240</v>
      </c>
      <c r="B732" s="48">
        <f>VLOOKUP(A732,Database!$A:$V,MATCH(Currency!$B$1,Database!$A$1:$V$1,),)</f>
        <v>-66693</v>
      </c>
    </row>
    <row r="733" spans="1:2" x14ac:dyDescent="0.35">
      <c r="A733" s="19">
        <f>Database!A1054</f>
        <v>41247</v>
      </c>
      <c r="B733" s="48">
        <f>VLOOKUP(A733,Database!$A:$V,MATCH(Currency!$B$1,Database!$A$1:$V$1,),)</f>
        <v>-32795</v>
      </c>
    </row>
    <row r="734" spans="1:2" x14ac:dyDescent="0.35">
      <c r="A734" s="19">
        <f>Database!A1055</f>
        <v>41254</v>
      </c>
      <c r="B734" s="48">
        <f>VLOOKUP(A734,Database!$A:$V,MATCH(Currency!$B$1,Database!$A$1:$V$1,),)</f>
        <v>-31623</v>
      </c>
    </row>
    <row r="735" spans="1:2" x14ac:dyDescent="0.35">
      <c r="A735" s="19">
        <f>Database!A1056</f>
        <v>41261</v>
      </c>
      <c r="B735" s="48">
        <f>VLOOKUP(A735,Database!$A:$V,MATCH(Currency!$B$1,Database!$A$1:$V$1,),)</f>
        <v>-9736</v>
      </c>
    </row>
    <row r="736" spans="1:2" x14ac:dyDescent="0.35">
      <c r="A736" s="19">
        <f>Database!A1057</f>
        <v>41268</v>
      </c>
      <c r="B736" s="48">
        <f>VLOOKUP(A736,Database!$A:$V,MATCH(Currency!$B$1,Database!$A$1:$V$1,),)</f>
        <v>-2549</v>
      </c>
    </row>
    <row r="737" spans="1:2" x14ac:dyDescent="0.35">
      <c r="A737" s="19">
        <f>Database!A1058</f>
        <v>41275</v>
      </c>
      <c r="B737" s="48">
        <f>VLOOKUP(A737,Database!$A:$V,MATCH(Currency!$B$1,Database!$A$1:$V$1,),)</f>
        <v>5126</v>
      </c>
    </row>
    <row r="738" spans="1:2" x14ac:dyDescent="0.35">
      <c r="A738" s="19">
        <f>Database!A1059</f>
        <v>41282</v>
      </c>
      <c r="B738" s="48">
        <f>VLOOKUP(A738,Database!$A:$V,MATCH(Currency!$B$1,Database!$A$1:$V$1,),)</f>
        <v>-8035</v>
      </c>
    </row>
    <row r="739" spans="1:2" x14ac:dyDescent="0.35">
      <c r="A739" s="19">
        <f>Database!A1060</f>
        <v>41289</v>
      </c>
      <c r="B739" s="48">
        <f>VLOOKUP(A739,Database!$A:$V,MATCH(Currency!$B$1,Database!$A$1:$V$1,),)</f>
        <v>7315</v>
      </c>
    </row>
    <row r="740" spans="1:2" x14ac:dyDescent="0.35">
      <c r="A740" s="19">
        <f>Database!A1061</f>
        <v>41296</v>
      </c>
      <c r="B740" s="48">
        <f>VLOOKUP(A740,Database!$A:$V,MATCH(Currency!$B$1,Database!$A$1:$V$1,),)</f>
        <v>21381</v>
      </c>
    </row>
    <row r="741" spans="1:2" x14ac:dyDescent="0.35">
      <c r="A741" s="19">
        <f>Database!A1062</f>
        <v>41303</v>
      </c>
      <c r="B741" s="48">
        <f>VLOOKUP(A741,Database!$A:$V,MATCH(Currency!$B$1,Database!$A$1:$V$1,),)</f>
        <v>27472</v>
      </c>
    </row>
    <row r="742" spans="1:2" x14ac:dyDescent="0.35">
      <c r="A742" s="19">
        <f>Database!A1063</f>
        <v>41310</v>
      </c>
      <c r="B742" s="48">
        <f>VLOOKUP(A742,Database!$A:$V,MATCH(Currency!$B$1,Database!$A$1:$V$1,),)</f>
        <v>37952</v>
      </c>
    </row>
    <row r="743" spans="1:2" x14ac:dyDescent="0.35">
      <c r="A743" s="19">
        <f>Database!A1064</f>
        <v>41317</v>
      </c>
      <c r="B743" s="48">
        <f>VLOOKUP(A743,Database!$A:$V,MATCH(Currency!$B$1,Database!$A$1:$V$1,),)</f>
        <v>24181</v>
      </c>
    </row>
    <row r="744" spans="1:2" x14ac:dyDescent="0.35">
      <c r="A744" s="19">
        <f>Database!A1065</f>
        <v>41324</v>
      </c>
      <c r="B744" s="48">
        <f>VLOOKUP(A744,Database!$A:$V,MATCH(Currency!$B$1,Database!$A$1:$V$1,),)</f>
        <v>19103</v>
      </c>
    </row>
    <row r="745" spans="1:2" x14ac:dyDescent="0.35">
      <c r="A745" s="19">
        <f>Database!A1066</f>
        <v>41331</v>
      </c>
      <c r="B745" s="48">
        <f>VLOOKUP(A745,Database!$A:$V,MATCH(Currency!$B$1,Database!$A$1:$V$1,),)</f>
        <v>-9394</v>
      </c>
    </row>
    <row r="746" spans="1:2" x14ac:dyDescent="0.35">
      <c r="A746" s="19">
        <f>Database!A1067</f>
        <v>41338</v>
      </c>
      <c r="B746" s="48">
        <f>VLOOKUP(A746,Database!$A:$V,MATCH(Currency!$B$1,Database!$A$1:$V$1,),)</f>
        <v>-26116</v>
      </c>
    </row>
    <row r="747" spans="1:2" x14ac:dyDescent="0.35">
      <c r="A747" s="19">
        <f>Database!A1068</f>
        <v>41345</v>
      </c>
      <c r="B747" s="48">
        <f>VLOOKUP(A747,Database!$A:$V,MATCH(Currency!$B$1,Database!$A$1:$V$1,),)</f>
        <v>-24787</v>
      </c>
    </row>
    <row r="748" spans="1:2" x14ac:dyDescent="0.35">
      <c r="A748" s="19">
        <f>Database!A1069</f>
        <v>41352</v>
      </c>
      <c r="B748" s="48">
        <f>VLOOKUP(A748,Database!$A:$V,MATCH(Currency!$B$1,Database!$A$1:$V$1,),)</f>
        <v>-44884</v>
      </c>
    </row>
    <row r="749" spans="1:2" x14ac:dyDescent="0.35">
      <c r="A749" s="19">
        <f>Database!A1070</f>
        <v>41359</v>
      </c>
      <c r="B749" s="48">
        <f>VLOOKUP(A749,Database!$A:$V,MATCH(Currency!$B$1,Database!$A$1:$V$1,),)</f>
        <v>-49095</v>
      </c>
    </row>
    <row r="750" spans="1:2" x14ac:dyDescent="0.35">
      <c r="A750" s="19">
        <f>Database!A1071</f>
        <v>41366</v>
      </c>
      <c r="B750" s="48">
        <f>VLOOKUP(A750,Database!$A:$V,MATCH(Currency!$B$1,Database!$A$1:$V$1,),)</f>
        <v>-65701</v>
      </c>
    </row>
    <row r="751" spans="1:2" x14ac:dyDescent="0.35">
      <c r="A751" s="19">
        <f>Database!A1072</f>
        <v>41373</v>
      </c>
      <c r="B751" s="48">
        <f>VLOOKUP(A751,Database!$A:$V,MATCH(Currency!$B$1,Database!$A$1:$V$1,),)</f>
        <v>-50858</v>
      </c>
    </row>
    <row r="752" spans="1:2" x14ac:dyDescent="0.35">
      <c r="A752" s="19">
        <f>Database!A1073</f>
        <v>41380</v>
      </c>
      <c r="B752" s="48">
        <f>VLOOKUP(A752,Database!$A:$V,MATCH(Currency!$B$1,Database!$A$1:$V$1,),)</f>
        <v>-29764</v>
      </c>
    </row>
    <row r="753" spans="1:2" x14ac:dyDescent="0.35">
      <c r="A753" s="19">
        <f>Database!A1074</f>
        <v>41387</v>
      </c>
      <c r="B753" s="48">
        <f>VLOOKUP(A753,Database!$A:$V,MATCH(Currency!$B$1,Database!$A$1:$V$1,),)</f>
        <v>-34275</v>
      </c>
    </row>
    <row r="754" spans="1:2" x14ac:dyDescent="0.35">
      <c r="A754" s="19">
        <f>Database!A1075</f>
        <v>41394</v>
      </c>
      <c r="B754" s="48">
        <f>VLOOKUP(A754,Database!$A:$V,MATCH(Currency!$B$1,Database!$A$1:$V$1,),)</f>
        <v>-30149</v>
      </c>
    </row>
    <row r="755" spans="1:2" x14ac:dyDescent="0.35">
      <c r="A755" s="19">
        <f>Database!A1076</f>
        <v>41401</v>
      </c>
      <c r="B755" s="48">
        <f>VLOOKUP(A755,Database!$A:$V,MATCH(Currency!$B$1,Database!$A$1:$V$1,),)</f>
        <v>-33533</v>
      </c>
    </row>
    <row r="756" spans="1:2" x14ac:dyDescent="0.35">
      <c r="A756" s="19">
        <f>Database!A1077</f>
        <v>41408</v>
      </c>
      <c r="B756" s="48">
        <f>VLOOKUP(A756,Database!$A:$V,MATCH(Currency!$B$1,Database!$A$1:$V$1,),)</f>
        <v>-46921</v>
      </c>
    </row>
    <row r="757" spans="1:2" x14ac:dyDescent="0.35">
      <c r="A757" s="19">
        <f>Database!A1078</f>
        <v>41415</v>
      </c>
      <c r="B757" s="48">
        <f>VLOOKUP(A757,Database!$A:$V,MATCH(Currency!$B$1,Database!$A$1:$V$1,),)</f>
        <v>-80949</v>
      </c>
    </row>
    <row r="758" spans="1:2" x14ac:dyDescent="0.35">
      <c r="A758" s="19">
        <f>Database!A1079</f>
        <v>41422</v>
      </c>
      <c r="B758" s="48">
        <f>VLOOKUP(A758,Database!$A:$V,MATCH(Currency!$B$1,Database!$A$1:$V$1,),)</f>
        <v>-84644</v>
      </c>
    </row>
    <row r="759" spans="1:2" x14ac:dyDescent="0.35">
      <c r="A759" s="19">
        <f>Database!A1080</f>
        <v>41429</v>
      </c>
      <c r="B759" s="48">
        <f>VLOOKUP(A759,Database!$A:$V,MATCH(Currency!$B$1,Database!$A$1:$V$1,),)</f>
        <v>-51621</v>
      </c>
    </row>
    <row r="760" spans="1:2" x14ac:dyDescent="0.35">
      <c r="A760" s="19">
        <f>Database!A1081</f>
        <v>41436</v>
      </c>
      <c r="B760" s="48">
        <f>VLOOKUP(A760,Database!$A:$V,MATCH(Currency!$B$1,Database!$A$1:$V$1,),)</f>
        <v>-7533</v>
      </c>
    </row>
    <row r="761" spans="1:2" x14ac:dyDescent="0.35">
      <c r="A761" s="19">
        <f>Database!A1082</f>
        <v>41443</v>
      </c>
      <c r="B761" s="48">
        <f>VLOOKUP(A761,Database!$A:$V,MATCH(Currency!$B$1,Database!$A$1:$V$1,),)</f>
        <v>20030</v>
      </c>
    </row>
    <row r="762" spans="1:2" x14ac:dyDescent="0.35">
      <c r="A762" s="19">
        <f>Database!A1083</f>
        <v>41450</v>
      </c>
      <c r="B762" s="48">
        <f>VLOOKUP(A762,Database!$A:$V,MATCH(Currency!$B$1,Database!$A$1:$V$1,),)</f>
        <v>17357</v>
      </c>
    </row>
    <row r="763" spans="1:2" x14ac:dyDescent="0.35">
      <c r="A763" s="19">
        <f>Database!A1084</f>
        <v>41457</v>
      </c>
      <c r="B763" s="48">
        <f>VLOOKUP(A763,Database!$A:$V,MATCH(Currency!$B$1,Database!$A$1:$V$1,),)</f>
        <v>-16090</v>
      </c>
    </row>
    <row r="764" spans="1:2" x14ac:dyDescent="0.35">
      <c r="A764" s="19">
        <f>Database!A1085</f>
        <v>41464</v>
      </c>
      <c r="B764" s="48">
        <f>VLOOKUP(A764,Database!$A:$V,MATCH(Currency!$B$1,Database!$A$1:$V$1,),)</f>
        <v>-40900</v>
      </c>
    </row>
    <row r="765" spans="1:2" x14ac:dyDescent="0.35">
      <c r="A765" s="19">
        <f>Database!A1086</f>
        <v>41471</v>
      </c>
      <c r="B765" s="48">
        <f>VLOOKUP(A765,Database!$A:$V,MATCH(Currency!$B$1,Database!$A$1:$V$1,),)</f>
        <v>-37165</v>
      </c>
    </row>
    <row r="766" spans="1:2" x14ac:dyDescent="0.35">
      <c r="A766" s="19">
        <f>Database!A1087</f>
        <v>41478</v>
      </c>
      <c r="B766" s="48">
        <f>VLOOKUP(A766,Database!$A:$V,MATCH(Currency!$B$1,Database!$A$1:$V$1,),)</f>
        <v>-27900</v>
      </c>
    </row>
    <row r="767" spans="1:2" x14ac:dyDescent="0.35">
      <c r="A767" s="19">
        <f>Database!A1088</f>
        <v>41485</v>
      </c>
      <c r="B767" s="48">
        <f>VLOOKUP(A767,Database!$A:$V,MATCH(Currency!$B$1,Database!$A$1:$V$1,),)</f>
        <v>-8504</v>
      </c>
    </row>
    <row r="768" spans="1:2" x14ac:dyDescent="0.35">
      <c r="A768" s="19">
        <f>Database!A1089</f>
        <v>41492</v>
      </c>
      <c r="B768" s="48">
        <f>VLOOKUP(A768,Database!$A:$V,MATCH(Currency!$B$1,Database!$A$1:$V$1,),)</f>
        <v>6061</v>
      </c>
    </row>
    <row r="769" spans="1:2" x14ac:dyDescent="0.35">
      <c r="A769" s="19">
        <f>Database!A1090</f>
        <v>41499</v>
      </c>
      <c r="B769" s="48">
        <f>VLOOKUP(A769,Database!$A:$V,MATCH(Currency!$B$1,Database!$A$1:$V$1,),)</f>
        <v>16057</v>
      </c>
    </row>
    <row r="770" spans="1:2" x14ac:dyDescent="0.35">
      <c r="A770" s="19">
        <f>Database!A1091</f>
        <v>41506</v>
      </c>
      <c r="B770" s="48">
        <f>VLOOKUP(A770,Database!$A:$V,MATCH(Currency!$B$1,Database!$A$1:$V$1,),)</f>
        <v>36746</v>
      </c>
    </row>
    <row r="771" spans="1:2" x14ac:dyDescent="0.35">
      <c r="A771" s="19">
        <f>Database!A1092</f>
        <v>41513</v>
      </c>
      <c r="B771" s="48">
        <f>VLOOKUP(A771,Database!$A:$V,MATCH(Currency!$B$1,Database!$A$1:$V$1,),)</f>
        <v>40081</v>
      </c>
    </row>
    <row r="772" spans="1:2" x14ac:dyDescent="0.35">
      <c r="A772" s="19">
        <f>Database!A1093</f>
        <v>41520</v>
      </c>
      <c r="B772" s="48">
        <f>VLOOKUP(A772,Database!$A:$V,MATCH(Currency!$B$1,Database!$A$1:$V$1,),)</f>
        <v>22738</v>
      </c>
    </row>
    <row r="773" spans="1:2" x14ac:dyDescent="0.35">
      <c r="A773" s="19">
        <f>Database!A1094</f>
        <v>41527</v>
      </c>
      <c r="B773" s="48">
        <f>VLOOKUP(A773,Database!$A:$V,MATCH(Currency!$B$1,Database!$A$1:$V$1,),)</f>
        <v>12696</v>
      </c>
    </row>
    <row r="774" spans="1:2" x14ac:dyDescent="0.35">
      <c r="A774" s="19">
        <f>Database!A1095</f>
        <v>41534</v>
      </c>
      <c r="B774" s="48">
        <f>VLOOKUP(A774,Database!$A:$V,MATCH(Currency!$B$1,Database!$A$1:$V$1,),)</f>
        <v>31907</v>
      </c>
    </row>
    <row r="775" spans="1:2" x14ac:dyDescent="0.35">
      <c r="A775" s="19">
        <f>Database!A1096</f>
        <v>41541</v>
      </c>
      <c r="B775" s="48">
        <f>VLOOKUP(A775,Database!$A:$V,MATCH(Currency!$B$1,Database!$A$1:$V$1,),)</f>
        <v>65844</v>
      </c>
    </row>
    <row r="776" spans="1:2" x14ac:dyDescent="0.35">
      <c r="A776" s="19">
        <f>Database!A1097</f>
        <v>41548</v>
      </c>
      <c r="B776" s="48">
        <f>VLOOKUP(A776,Database!$A:$V,MATCH(Currency!$B$1,Database!$A$1:$V$1,),)</f>
        <v>68276</v>
      </c>
    </row>
    <row r="777" spans="1:2" x14ac:dyDescent="0.35">
      <c r="A777" s="19">
        <f>Database!A1098</f>
        <v>41555</v>
      </c>
      <c r="B777" s="48">
        <f>VLOOKUP(A777,Database!$A:$V,MATCH(Currency!$B$1,Database!$A$1:$V$1,),)</f>
        <v>68683</v>
      </c>
    </row>
    <row r="778" spans="1:2" x14ac:dyDescent="0.35">
      <c r="A778" s="19">
        <f>Database!A1099</f>
        <v>41562</v>
      </c>
      <c r="B778" s="48">
        <f>VLOOKUP(A778,Database!$A:$V,MATCH(Currency!$B$1,Database!$A$1:$V$1,),)</f>
        <v>60374</v>
      </c>
    </row>
    <row r="779" spans="1:2" x14ac:dyDescent="0.35">
      <c r="A779" s="19">
        <f>Database!A1100</f>
        <v>41569</v>
      </c>
      <c r="B779" s="48">
        <f>VLOOKUP(A779,Database!$A:$V,MATCH(Currency!$B$1,Database!$A$1:$V$1,),)</f>
        <v>72434</v>
      </c>
    </row>
    <row r="780" spans="1:2" x14ac:dyDescent="0.35">
      <c r="A780" s="19">
        <f>Database!A1101</f>
        <v>41576</v>
      </c>
      <c r="B780" s="48">
        <f>VLOOKUP(A780,Database!$A:$V,MATCH(Currency!$B$1,Database!$A$1:$V$1,),)</f>
        <v>70617</v>
      </c>
    </row>
    <row r="781" spans="1:2" x14ac:dyDescent="0.35">
      <c r="A781" s="19">
        <f>Database!A1102</f>
        <v>41583</v>
      </c>
      <c r="B781" s="48">
        <f>VLOOKUP(A781,Database!$A:$V,MATCH(Currency!$B$1,Database!$A$1:$V$1,),)</f>
        <v>33143</v>
      </c>
    </row>
    <row r="782" spans="1:2" x14ac:dyDescent="0.35">
      <c r="A782" s="19">
        <f>Database!A1103</f>
        <v>41590</v>
      </c>
      <c r="B782" s="48">
        <f>VLOOKUP(A782,Database!$A:$V,MATCH(Currency!$B$1,Database!$A$1:$V$1,),)</f>
        <v>16826</v>
      </c>
    </row>
    <row r="783" spans="1:2" x14ac:dyDescent="0.35">
      <c r="A783" s="19">
        <f>Database!A1104</f>
        <v>41597</v>
      </c>
      <c r="B783" s="48">
        <f>VLOOKUP(A783,Database!$A:$V,MATCH(Currency!$B$1,Database!$A$1:$V$1,),)</f>
        <v>8911</v>
      </c>
    </row>
    <row r="784" spans="1:2" x14ac:dyDescent="0.35">
      <c r="A784" s="19">
        <f>Database!A1105</f>
        <v>41604</v>
      </c>
      <c r="B784" s="48">
        <f>VLOOKUP(A784,Database!$A:$V,MATCH(Currency!$B$1,Database!$A$1:$V$1,),)</f>
        <v>-431</v>
      </c>
    </row>
    <row r="785" spans="1:2" x14ac:dyDescent="0.35">
      <c r="A785" s="19">
        <f>Database!A1106</f>
        <v>41611</v>
      </c>
      <c r="B785" s="48">
        <f>VLOOKUP(A785,Database!$A:$V,MATCH(Currency!$B$1,Database!$A$1:$V$1,),)</f>
        <v>9312</v>
      </c>
    </row>
    <row r="786" spans="1:2" x14ac:dyDescent="0.35">
      <c r="A786" s="19">
        <f>Database!A1107</f>
        <v>41618</v>
      </c>
      <c r="B786" s="48">
        <f>VLOOKUP(A786,Database!$A:$V,MATCH(Currency!$B$1,Database!$A$1:$V$1,),)</f>
        <v>15930</v>
      </c>
    </row>
    <row r="787" spans="1:2" x14ac:dyDescent="0.35">
      <c r="A787" s="19">
        <f>Database!A1108</f>
        <v>41625</v>
      </c>
      <c r="B787" s="48">
        <f>VLOOKUP(A787,Database!$A:$V,MATCH(Currency!$B$1,Database!$A$1:$V$1,),)</f>
        <v>27923</v>
      </c>
    </row>
    <row r="788" spans="1:2" x14ac:dyDescent="0.35">
      <c r="A788" s="19">
        <f>Database!A1109</f>
        <v>41632</v>
      </c>
      <c r="B788" s="48">
        <f>VLOOKUP(A788,Database!$A:$V,MATCH(Currency!$B$1,Database!$A$1:$V$1,),)</f>
        <v>32172</v>
      </c>
    </row>
    <row r="789" spans="1:2" x14ac:dyDescent="0.35">
      <c r="A789" s="19">
        <f>Database!A1110</f>
        <v>41639</v>
      </c>
      <c r="B789" s="48">
        <f>VLOOKUP(A789,Database!$A:$V,MATCH(Currency!$B$1,Database!$A$1:$V$1,),)</f>
        <v>30589</v>
      </c>
    </row>
    <row r="790" spans="1:2" x14ac:dyDescent="0.35">
      <c r="A790" s="19">
        <f>Database!A1111</f>
        <v>41646</v>
      </c>
      <c r="B790" s="48">
        <f>VLOOKUP(A790,Database!$A:$V,MATCH(Currency!$B$1,Database!$A$1:$V$1,),)</f>
        <v>14498</v>
      </c>
    </row>
    <row r="791" spans="1:2" x14ac:dyDescent="0.35">
      <c r="A791" s="19">
        <f>Database!A1112</f>
        <v>41653</v>
      </c>
      <c r="B791" s="48">
        <f>VLOOKUP(A791,Database!$A:$V,MATCH(Currency!$B$1,Database!$A$1:$V$1,),)</f>
        <v>9246</v>
      </c>
    </row>
    <row r="792" spans="1:2" x14ac:dyDescent="0.35">
      <c r="A792" s="19">
        <f>Database!A1113</f>
        <v>41660</v>
      </c>
      <c r="B792" s="48">
        <f>VLOOKUP(A792,Database!$A:$V,MATCH(Currency!$B$1,Database!$A$1:$V$1,),)</f>
        <v>-3772</v>
      </c>
    </row>
    <row r="793" spans="1:2" x14ac:dyDescent="0.35">
      <c r="A793" s="19">
        <f>Database!A1114</f>
        <v>41667</v>
      </c>
      <c r="B793" s="48">
        <f>VLOOKUP(A793,Database!$A:$V,MATCH(Currency!$B$1,Database!$A$1:$V$1,),)</f>
        <v>14347</v>
      </c>
    </row>
    <row r="794" spans="1:2" x14ac:dyDescent="0.35">
      <c r="A794" s="19">
        <f>Database!A1115</f>
        <v>41674</v>
      </c>
      <c r="B794" s="48">
        <f>VLOOKUP(A794,Database!$A:$V,MATCH(Currency!$B$1,Database!$A$1:$V$1,),)</f>
        <v>-13610</v>
      </c>
    </row>
    <row r="795" spans="1:2" x14ac:dyDescent="0.35">
      <c r="A795" s="19">
        <f>Database!A1116</f>
        <v>41681</v>
      </c>
      <c r="B795" s="48">
        <f>VLOOKUP(A795,Database!$A:$V,MATCH(Currency!$B$1,Database!$A$1:$V$1,),)</f>
        <v>-6929</v>
      </c>
    </row>
    <row r="796" spans="1:2" x14ac:dyDescent="0.35">
      <c r="A796" s="19">
        <f>Database!A1117</f>
        <v>41688</v>
      </c>
      <c r="B796" s="48">
        <f>VLOOKUP(A796,Database!$A:$V,MATCH(Currency!$B$1,Database!$A$1:$V$1,),)</f>
        <v>8599</v>
      </c>
    </row>
    <row r="797" spans="1:2" x14ac:dyDescent="0.35">
      <c r="A797" s="19">
        <f>Database!A1118</f>
        <v>41695</v>
      </c>
      <c r="B797" s="48">
        <f>VLOOKUP(A797,Database!$A:$V,MATCH(Currency!$B$1,Database!$A$1:$V$1,),)</f>
        <v>13900</v>
      </c>
    </row>
    <row r="798" spans="1:2" x14ac:dyDescent="0.35">
      <c r="A798" s="19">
        <f>Database!A1119</f>
        <v>41702</v>
      </c>
      <c r="B798" s="48">
        <f>VLOOKUP(A798,Database!$A:$V,MATCH(Currency!$B$1,Database!$A$1:$V$1,),)</f>
        <v>23452</v>
      </c>
    </row>
    <row r="799" spans="1:2" x14ac:dyDescent="0.35">
      <c r="A799" s="19">
        <f>Database!A1120</f>
        <v>41709</v>
      </c>
      <c r="B799" s="48">
        <f>VLOOKUP(A799,Database!$A:$V,MATCH(Currency!$B$1,Database!$A$1:$V$1,),)</f>
        <v>36385</v>
      </c>
    </row>
    <row r="800" spans="1:2" x14ac:dyDescent="0.35">
      <c r="A800" s="19">
        <f>Database!A1121</f>
        <v>41716</v>
      </c>
      <c r="B800" s="48">
        <f>VLOOKUP(A800,Database!$A:$V,MATCH(Currency!$B$1,Database!$A$1:$V$1,),)</f>
        <v>52991</v>
      </c>
    </row>
    <row r="801" spans="1:2" x14ac:dyDescent="0.35">
      <c r="A801" s="19">
        <f>Database!A1122</f>
        <v>41723</v>
      </c>
      <c r="B801" s="48">
        <f>VLOOKUP(A801,Database!$A:$V,MATCH(Currency!$B$1,Database!$A$1:$V$1,),)</f>
        <v>39634</v>
      </c>
    </row>
    <row r="802" spans="1:2" x14ac:dyDescent="0.35">
      <c r="A802" s="19">
        <f>Database!A1123</f>
        <v>41730</v>
      </c>
      <c r="B802" s="48">
        <f>VLOOKUP(A802,Database!$A:$V,MATCH(Currency!$B$1,Database!$A$1:$V$1,),)</f>
        <v>33238</v>
      </c>
    </row>
    <row r="803" spans="1:2" x14ac:dyDescent="0.35">
      <c r="A803" s="19">
        <f>Database!A1124</f>
        <v>41737</v>
      </c>
      <c r="B803" s="48">
        <f>VLOOKUP(A803,Database!$A:$V,MATCH(Currency!$B$1,Database!$A$1:$V$1,),)</f>
        <v>23300</v>
      </c>
    </row>
    <row r="804" spans="1:2" x14ac:dyDescent="0.35">
      <c r="A804" s="19">
        <f>Database!A1125</f>
        <v>41744</v>
      </c>
      <c r="B804" s="48">
        <f>VLOOKUP(A804,Database!$A:$V,MATCH(Currency!$B$1,Database!$A$1:$V$1,),)</f>
        <v>27688</v>
      </c>
    </row>
    <row r="805" spans="1:2" x14ac:dyDescent="0.35">
      <c r="A805" s="19">
        <f>Database!A1126</f>
        <v>41751</v>
      </c>
      <c r="B805" s="48">
        <f>VLOOKUP(A805,Database!$A:$V,MATCH(Currency!$B$1,Database!$A$1:$V$1,),)</f>
        <v>25774</v>
      </c>
    </row>
    <row r="806" spans="1:2" x14ac:dyDescent="0.35">
      <c r="A806" s="19">
        <f>Database!A1127</f>
        <v>41758</v>
      </c>
      <c r="B806" s="48">
        <f>VLOOKUP(A806,Database!$A:$V,MATCH(Currency!$B$1,Database!$A$1:$V$1,),)</f>
        <v>25734</v>
      </c>
    </row>
    <row r="807" spans="1:2" x14ac:dyDescent="0.35">
      <c r="A807" s="19">
        <f>Database!A1128</f>
        <v>41765</v>
      </c>
      <c r="B807" s="48">
        <f>VLOOKUP(A807,Database!$A:$V,MATCH(Currency!$B$1,Database!$A$1:$V$1,),)</f>
        <v>32551</v>
      </c>
    </row>
    <row r="808" spans="1:2" x14ac:dyDescent="0.35">
      <c r="A808" s="19">
        <f>Database!A1129</f>
        <v>41772</v>
      </c>
      <c r="B808" s="48">
        <f>VLOOKUP(A808,Database!$A:$V,MATCH(Currency!$B$1,Database!$A$1:$V$1,),)</f>
        <v>-2175</v>
      </c>
    </row>
    <row r="809" spans="1:2" x14ac:dyDescent="0.35">
      <c r="A809" s="19">
        <f>Database!A1130</f>
        <v>41779</v>
      </c>
      <c r="B809" s="48">
        <f>VLOOKUP(A809,Database!$A:$V,MATCH(Currency!$B$1,Database!$A$1:$V$1,),)</f>
        <v>-9220</v>
      </c>
    </row>
    <row r="810" spans="1:2" x14ac:dyDescent="0.35">
      <c r="A810" s="19">
        <f>Database!A1131</f>
        <v>41786</v>
      </c>
      <c r="B810" s="48">
        <f>VLOOKUP(A810,Database!$A:$V,MATCH(Currency!$B$1,Database!$A$1:$V$1,),)</f>
        <v>-16633</v>
      </c>
    </row>
    <row r="811" spans="1:2" x14ac:dyDescent="0.35">
      <c r="A811" s="19">
        <f>Database!A1132</f>
        <v>41793</v>
      </c>
      <c r="B811" s="48">
        <f>VLOOKUP(A811,Database!$A:$V,MATCH(Currency!$B$1,Database!$A$1:$V$1,),)</f>
        <v>-33025</v>
      </c>
    </row>
    <row r="812" spans="1:2" x14ac:dyDescent="0.35">
      <c r="A812" s="19">
        <f>Database!A1133</f>
        <v>41800</v>
      </c>
      <c r="B812" s="48">
        <f>VLOOKUP(A812,Database!$A:$V,MATCH(Currency!$B$1,Database!$A$1:$V$1,),)</f>
        <v>-57185</v>
      </c>
    </row>
    <row r="813" spans="1:2" x14ac:dyDescent="0.35">
      <c r="A813" s="19">
        <f>Database!A1134</f>
        <v>41807</v>
      </c>
      <c r="B813" s="48">
        <f>VLOOKUP(A813,Database!$A:$V,MATCH(Currency!$B$1,Database!$A$1:$V$1,),)</f>
        <v>-61835</v>
      </c>
    </row>
    <row r="814" spans="1:2" x14ac:dyDescent="0.35">
      <c r="A814" s="19">
        <f>Database!A1135</f>
        <v>41814</v>
      </c>
      <c r="B814" s="48">
        <f>VLOOKUP(A814,Database!$A:$V,MATCH(Currency!$B$1,Database!$A$1:$V$1,),)</f>
        <v>-57503</v>
      </c>
    </row>
    <row r="815" spans="1:2" x14ac:dyDescent="0.35">
      <c r="A815" s="19">
        <f>Database!A1136</f>
        <v>41821</v>
      </c>
      <c r="B815" s="48">
        <f>VLOOKUP(A815,Database!$A:$V,MATCH(Currency!$B$1,Database!$A$1:$V$1,),)</f>
        <v>-60776</v>
      </c>
    </row>
    <row r="816" spans="1:2" x14ac:dyDescent="0.35">
      <c r="A816" s="19">
        <f>Database!A1137</f>
        <v>41828</v>
      </c>
      <c r="B816" s="48">
        <f>VLOOKUP(A816,Database!$A:$V,MATCH(Currency!$B$1,Database!$A$1:$V$1,),)</f>
        <v>-59265</v>
      </c>
    </row>
    <row r="817" spans="1:2" x14ac:dyDescent="0.35">
      <c r="A817" s="19">
        <f>Database!A1138</f>
        <v>41835</v>
      </c>
      <c r="B817" s="48">
        <f>VLOOKUP(A817,Database!$A:$V,MATCH(Currency!$B$1,Database!$A$1:$V$1,),)</f>
        <v>-62846</v>
      </c>
    </row>
    <row r="818" spans="1:2" x14ac:dyDescent="0.35">
      <c r="A818" s="19">
        <f>Database!A1139</f>
        <v>41842</v>
      </c>
      <c r="B818" s="48">
        <f>VLOOKUP(A818,Database!$A:$V,MATCH(Currency!$B$1,Database!$A$1:$V$1,),)</f>
        <v>-88823</v>
      </c>
    </row>
    <row r="819" spans="1:2" x14ac:dyDescent="0.35">
      <c r="A819" s="19">
        <f>Database!A1140</f>
        <v>41849</v>
      </c>
      <c r="B819" s="48">
        <f>VLOOKUP(A819,Database!$A:$V,MATCH(Currency!$B$1,Database!$A$1:$V$1,),)</f>
        <v>-108075</v>
      </c>
    </row>
    <row r="820" spans="1:2" x14ac:dyDescent="0.35">
      <c r="A820" s="19">
        <f>Database!A1141</f>
        <v>41856</v>
      </c>
      <c r="B820" s="48">
        <f>VLOOKUP(A820,Database!$A:$V,MATCH(Currency!$B$1,Database!$A$1:$V$1,),)</f>
        <v>-128747</v>
      </c>
    </row>
    <row r="821" spans="1:2" x14ac:dyDescent="0.35">
      <c r="A821" s="19">
        <f>Database!A1142</f>
        <v>41863</v>
      </c>
      <c r="B821" s="48">
        <f>VLOOKUP(A821,Database!$A:$V,MATCH(Currency!$B$1,Database!$A$1:$V$1,),)</f>
        <v>-126017</v>
      </c>
    </row>
    <row r="822" spans="1:2" x14ac:dyDescent="0.35">
      <c r="A822" s="19">
        <f>Database!A1143</f>
        <v>41870</v>
      </c>
      <c r="B822" s="48">
        <f>VLOOKUP(A822,Database!$A:$V,MATCH(Currency!$B$1,Database!$A$1:$V$1,),)</f>
        <v>-138825</v>
      </c>
    </row>
    <row r="823" spans="1:2" x14ac:dyDescent="0.35">
      <c r="A823" s="19">
        <f>Database!A1144</f>
        <v>41877</v>
      </c>
      <c r="B823" s="48">
        <f>VLOOKUP(A823,Database!$A:$V,MATCH(Currency!$B$1,Database!$A$1:$V$1,),)</f>
        <v>-150657</v>
      </c>
    </row>
    <row r="824" spans="1:2" x14ac:dyDescent="0.35">
      <c r="A824" s="19">
        <f>Database!A1145</f>
        <v>41884</v>
      </c>
      <c r="B824" s="48">
        <f>VLOOKUP(A824,Database!$A:$V,MATCH(Currency!$B$1,Database!$A$1:$V$1,),)</f>
        <v>-161423</v>
      </c>
    </row>
    <row r="825" spans="1:2" x14ac:dyDescent="0.35">
      <c r="A825" s="19">
        <f>Database!A1146</f>
        <v>41891</v>
      </c>
      <c r="B825" s="48">
        <f>VLOOKUP(A825,Database!$A:$V,MATCH(Currency!$B$1,Database!$A$1:$V$1,),)</f>
        <v>-157505</v>
      </c>
    </row>
    <row r="826" spans="1:2" x14ac:dyDescent="0.35">
      <c r="A826" s="19">
        <f>Database!A1147</f>
        <v>41898</v>
      </c>
      <c r="B826" s="48">
        <f>VLOOKUP(A826,Database!$A:$V,MATCH(Currency!$B$1,Database!$A$1:$V$1,),)</f>
        <v>-137149</v>
      </c>
    </row>
    <row r="827" spans="1:2" x14ac:dyDescent="0.35">
      <c r="A827" s="19">
        <f>Database!A1148</f>
        <v>41905</v>
      </c>
      <c r="B827" s="48">
        <f>VLOOKUP(A827,Database!$A:$V,MATCH(Currency!$B$1,Database!$A$1:$V$1,),)</f>
        <v>-141965</v>
      </c>
    </row>
    <row r="828" spans="1:2" x14ac:dyDescent="0.35">
      <c r="A828" s="19">
        <f>Database!A1149</f>
        <v>41912</v>
      </c>
      <c r="B828" s="48">
        <f>VLOOKUP(A828,Database!$A:$V,MATCH(Currency!$B$1,Database!$A$1:$V$1,),)</f>
        <v>-137525</v>
      </c>
    </row>
    <row r="829" spans="1:2" x14ac:dyDescent="0.35">
      <c r="A829" s="19">
        <f>Database!A1150</f>
        <v>41919</v>
      </c>
      <c r="B829" s="48">
        <f>VLOOKUP(A829,Database!$A:$V,MATCH(Currency!$B$1,Database!$A$1:$V$1,),)</f>
        <v>-146212</v>
      </c>
    </row>
    <row r="830" spans="1:2" x14ac:dyDescent="0.35">
      <c r="A830" s="19">
        <f>Database!A1151</f>
        <v>41926</v>
      </c>
      <c r="B830" s="48">
        <f>VLOOKUP(A830,Database!$A:$V,MATCH(Currency!$B$1,Database!$A$1:$V$1,),)</f>
        <v>-155342</v>
      </c>
    </row>
    <row r="831" spans="1:2" x14ac:dyDescent="0.35">
      <c r="A831" s="19">
        <f>Database!A1152</f>
        <v>41933</v>
      </c>
      <c r="B831" s="48">
        <f>VLOOKUP(A831,Database!$A:$V,MATCH(Currency!$B$1,Database!$A$1:$V$1,),)</f>
        <v>-159371</v>
      </c>
    </row>
    <row r="832" spans="1:2" x14ac:dyDescent="0.35">
      <c r="A832" s="19">
        <f>Database!A1153</f>
        <v>41940</v>
      </c>
      <c r="B832" s="48">
        <f>VLOOKUP(A832,Database!$A:$V,MATCH(Currency!$B$1,Database!$A$1:$V$1,),)</f>
        <v>-165707</v>
      </c>
    </row>
    <row r="833" spans="1:2" x14ac:dyDescent="0.35">
      <c r="A833" s="19">
        <f>Database!A1154</f>
        <v>41947</v>
      </c>
      <c r="B833" s="48">
        <f>VLOOKUP(A833,Database!$A:$V,MATCH(Currency!$B$1,Database!$A$1:$V$1,),)</f>
        <v>-179021</v>
      </c>
    </row>
    <row r="834" spans="1:2" x14ac:dyDescent="0.35">
      <c r="A834" s="19">
        <f>Database!A1155</f>
        <v>41954</v>
      </c>
      <c r="B834" s="48">
        <f>VLOOKUP(A834,Database!$A:$V,MATCH(Currency!$B$1,Database!$A$1:$V$1,),)</f>
        <v>-163893</v>
      </c>
    </row>
    <row r="835" spans="1:2" x14ac:dyDescent="0.35">
      <c r="A835" s="19">
        <f>Database!A1156</f>
        <v>41961</v>
      </c>
      <c r="B835" s="48">
        <f>VLOOKUP(A835,Database!$A:$V,MATCH(Currency!$B$1,Database!$A$1:$V$1,),)</f>
        <v>-168730</v>
      </c>
    </row>
    <row r="836" spans="1:2" x14ac:dyDescent="0.35">
      <c r="A836" s="19">
        <f>Database!A1157</f>
        <v>41968</v>
      </c>
      <c r="B836" s="48">
        <f>VLOOKUP(A836,Database!$A:$V,MATCH(Currency!$B$1,Database!$A$1:$V$1,),)</f>
        <v>-165080</v>
      </c>
    </row>
    <row r="837" spans="1:2" x14ac:dyDescent="0.35">
      <c r="A837" s="19">
        <f>Database!A1158</f>
        <v>41975</v>
      </c>
      <c r="B837" s="48">
        <f>VLOOKUP(A837,Database!$A:$V,MATCH(Currency!$B$1,Database!$A$1:$V$1,),)</f>
        <v>-159279</v>
      </c>
    </row>
    <row r="838" spans="1:2" x14ac:dyDescent="0.35">
      <c r="A838" s="19">
        <f>Database!A1159</f>
        <v>41982</v>
      </c>
      <c r="B838" s="48">
        <f>VLOOKUP(A838,Database!$A:$V,MATCH(Currency!$B$1,Database!$A$1:$V$1,),)</f>
        <v>-136912</v>
      </c>
    </row>
    <row r="839" spans="1:2" x14ac:dyDescent="0.35">
      <c r="A839" s="19">
        <f>Database!A1160</f>
        <v>41989</v>
      </c>
      <c r="B839" s="48">
        <f>VLOOKUP(A839,Database!$A:$V,MATCH(Currency!$B$1,Database!$A$1:$V$1,),)</f>
        <v>-126655</v>
      </c>
    </row>
    <row r="840" spans="1:2" x14ac:dyDescent="0.35">
      <c r="A840" s="19">
        <f>Database!A1161</f>
        <v>41996</v>
      </c>
      <c r="B840" s="48">
        <f>VLOOKUP(A840,Database!$A:$V,MATCH(Currency!$B$1,Database!$A$1:$V$1,),)</f>
        <v>-146604</v>
      </c>
    </row>
    <row r="841" spans="1:2" x14ac:dyDescent="0.35">
      <c r="A841" s="19">
        <f>Database!A1162</f>
        <v>42003</v>
      </c>
      <c r="B841" s="48">
        <f>VLOOKUP(A841,Database!$A:$V,MATCH(Currency!$B$1,Database!$A$1:$V$1,),)</f>
        <v>-152219</v>
      </c>
    </row>
    <row r="842" spans="1:2" x14ac:dyDescent="0.35">
      <c r="A842" s="19">
        <f>Database!A1163</f>
        <v>42010</v>
      </c>
      <c r="B842" s="48">
        <f>VLOOKUP(A842,Database!$A:$V,MATCH(Currency!$B$1,Database!$A$1:$V$1,),)</f>
        <v>-161040</v>
      </c>
    </row>
    <row r="843" spans="1:2" x14ac:dyDescent="0.35">
      <c r="A843" s="19">
        <f>Database!A1164</f>
        <v>42017</v>
      </c>
      <c r="B843" s="48">
        <f>VLOOKUP(A843,Database!$A:$V,MATCH(Currency!$B$1,Database!$A$1:$V$1,),)</f>
        <v>-167851</v>
      </c>
    </row>
    <row r="844" spans="1:2" x14ac:dyDescent="0.35">
      <c r="A844" s="19">
        <f>Database!A1165</f>
        <v>42024</v>
      </c>
      <c r="B844" s="48">
        <f>VLOOKUP(A844,Database!$A:$V,MATCH(Currency!$B$1,Database!$A$1:$V$1,),)</f>
        <v>-180730</v>
      </c>
    </row>
    <row r="845" spans="1:2" x14ac:dyDescent="0.35">
      <c r="A845" s="19">
        <f>Database!A1166</f>
        <v>42031</v>
      </c>
      <c r="B845" s="48">
        <f>VLOOKUP(A845,Database!$A:$V,MATCH(Currency!$B$1,Database!$A$1:$V$1,),)</f>
        <v>-184745</v>
      </c>
    </row>
    <row r="846" spans="1:2" x14ac:dyDescent="0.35">
      <c r="A846" s="19">
        <f>Database!A1167</f>
        <v>42038</v>
      </c>
      <c r="B846" s="48">
        <f>VLOOKUP(A846,Database!$A:$V,MATCH(Currency!$B$1,Database!$A$1:$V$1,),)</f>
        <v>-196309</v>
      </c>
    </row>
    <row r="847" spans="1:2" x14ac:dyDescent="0.35">
      <c r="A847" s="19">
        <f>Database!A1168</f>
        <v>42045</v>
      </c>
      <c r="B847" s="48">
        <f>VLOOKUP(A847,Database!$A:$V,MATCH(Currency!$B$1,Database!$A$1:$V$1,),)</f>
        <v>-194641</v>
      </c>
    </row>
    <row r="848" spans="1:2" x14ac:dyDescent="0.35">
      <c r="A848" s="19">
        <f>Database!A1169</f>
        <v>42052</v>
      </c>
      <c r="B848" s="48">
        <f>VLOOKUP(A848,Database!$A:$V,MATCH(Currency!$B$1,Database!$A$1:$V$1,),)</f>
        <v>-185582</v>
      </c>
    </row>
    <row r="849" spans="1:2" x14ac:dyDescent="0.35">
      <c r="A849" s="19">
        <f>Database!A1170</f>
        <v>42059</v>
      </c>
      <c r="B849" s="48">
        <f>VLOOKUP(A849,Database!$A:$V,MATCH(Currency!$B$1,Database!$A$1:$V$1,),)</f>
        <v>-177736</v>
      </c>
    </row>
    <row r="850" spans="1:2" x14ac:dyDescent="0.35">
      <c r="A850" s="19">
        <f>Database!A1171</f>
        <v>42066</v>
      </c>
      <c r="B850" s="48">
        <f>VLOOKUP(A850,Database!$A:$V,MATCH(Currency!$B$1,Database!$A$1:$V$1,),)</f>
        <v>-172389</v>
      </c>
    </row>
    <row r="851" spans="1:2" x14ac:dyDescent="0.35">
      <c r="A851" s="19">
        <f>Database!A1172</f>
        <v>42073</v>
      </c>
      <c r="B851" s="48">
        <f>VLOOKUP(A851,Database!$A:$V,MATCH(Currency!$B$1,Database!$A$1:$V$1,),)</f>
        <v>-181073</v>
      </c>
    </row>
    <row r="852" spans="1:2" x14ac:dyDescent="0.35">
      <c r="A852" s="19">
        <f>Database!A1173</f>
        <v>42080</v>
      </c>
      <c r="B852" s="48">
        <f>VLOOKUP(A852,Database!$A:$V,MATCH(Currency!$B$1,Database!$A$1:$V$1,),)</f>
        <v>-193774</v>
      </c>
    </row>
    <row r="853" spans="1:2" x14ac:dyDescent="0.35">
      <c r="A853" s="19">
        <f>Database!A1174</f>
        <v>42087</v>
      </c>
      <c r="B853" s="48">
        <f>VLOOKUP(A853,Database!$A:$V,MATCH(Currency!$B$1,Database!$A$1:$V$1,),)</f>
        <v>-220963</v>
      </c>
    </row>
    <row r="854" spans="1:2" x14ac:dyDescent="0.35">
      <c r="A854" s="19">
        <f>Database!A1175</f>
        <v>42094</v>
      </c>
      <c r="B854" s="48">
        <f>VLOOKUP(A854,Database!$A:$V,MATCH(Currency!$B$1,Database!$A$1:$V$1,),)</f>
        <v>-226560</v>
      </c>
    </row>
    <row r="855" spans="1:2" x14ac:dyDescent="0.35">
      <c r="A855" s="19">
        <f>Database!A1176</f>
        <v>42101</v>
      </c>
      <c r="B855" s="48">
        <f>VLOOKUP(A855,Database!$A:$V,MATCH(Currency!$B$1,Database!$A$1:$V$1,),)</f>
        <v>-215258</v>
      </c>
    </row>
    <row r="856" spans="1:2" x14ac:dyDescent="0.35">
      <c r="A856" s="19">
        <f>Database!A1177</f>
        <v>42108</v>
      </c>
      <c r="B856" s="48">
        <f>VLOOKUP(A856,Database!$A:$V,MATCH(Currency!$B$1,Database!$A$1:$V$1,),)</f>
        <v>-212347</v>
      </c>
    </row>
    <row r="857" spans="1:2" x14ac:dyDescent="0.35">
      <c r="A857" s="19">
        <f>Database!A1178</f>
        <v>42115</v>
      </c>
      <c r="B857" s="48">
        <f>VLOOKUP(A857,Database!$A:$V,MATCH(Currency!$B$1,Database!$A$1:$V$1,),)</f>
        <v>-214645</v>
      </c>
    </row>
    <row r="858" spans="1:2" x14ac:dyDescent="0.35">
      <c r="A858" s="19">
        <f>Database!A1179</f>
        <v>42122</v>
      </c>
      <c r="B858" s="48">
        <f>VLOOKUP(A858,Database!$A:$V,MATCH(Currency!$B$1,Database!$A$1:$V$1,),)</f>
        <v>-197766</v>
      </c>
    </row>
    <row r="859" spans="1:2" x14ac:dyDescent="0.35">
      <c r="A859" s="19">
        <f>Database!A1180</f>
        <v>42129</v>
      </c>
      <c r="B859" s="48">
        <f>VLOOKUP(A859,Database!$A:$V,MATCH(Currency!$B$1,Database!$A$1:$V$1,),)</f>
        <v>-190127</v>
      </c>
    </row>
    <row r="860" spans="1:2" x14ac:dyDescent="0.35">
      <c r="A860" s="19">
        <f>Database!A1181</f>
        <v>42136</v>
      </c>
      <c r="B860" s="48">
        <f>VLOOKUP(A860,Database!$A:$V,MATCH(Currency!$B$1,Database!$A$1:$V$1,),)</f>
        <v>-178976</v>
      </c>
    </row>
    <row r="861" spans="1:2" x14ac:dyDescent="0.35">
      <c r="A861" s="19">
        <f>Database!A1182</f>
        <v>42143</v>
      </c>
      <c r="B861" s="48">
        <f>VLOOKUP(A861,Database!$A:$V,MATCH(Currency!$B$1,Database!$A$1:$V$1,),)</f>
        <v>-168339</v>
      </c>
    </row>
    <row r="862" spans="1:2" x14ac:dyDescent="0.35">
      <c r="A862" s="19">
        <f>Database!A1183</f>
        <v>42150</v>
      </c>
      <c r="B862" s="48">
        <f>VLOOKUP(A862,Database!$A:$V,MATCH(Currency!$B$1,Database!$A$1:$V$1,),)</f>
        <v>-171740</v>
      </c>
    </row>
    <row r="863" spans="1:2" x14ac:dyDescent="0.35">
      <c r="A863" s="19">
        <f>Database!A1184</f>
        <v>42157</v>
      </c>
      <c r="B863" s="48">
        <f>VLOOKUP(A863,Database!$A:$V,MATCH(Currency!$B$1,Database!$A$1:$V$1,),)</f>
        <v>-165512</v>
      </c>
    </row>
    <row r="864" spans="1:2" x14ac:dyDescent="0.35">
      <c r="A864" s="19">
        <f>Database!A1185</f>
        <v>42164</v>
      </c>
      <c r="B864" s="48">
        <f>VLOOKUP(A864,Database!$A:$V,MATCH(Currency!$B$1,Database!$A$1:$V$1,),)</f>
        <v>-137974</v>
      </c>
    </row>
    <row r="865" spans="1:2" x14ac:dyDescent="0.35">
      <c r="A865" s="19">
        <f>Database!A1186</f>
        <v>42171</v>
      </c>
      <c r="B865" s="48">
        <f>VLOOKUP(A865,Database!$A:$V,MATCH(Currency!$B$1,Database!$A$1:$V$1,),)</f>
        <v>-89357</v>
      </c>
    </row>
    <row r="866" spans="1:2" x14ac:dyDescent="0.35">
      <c r="A866" s="19">
        <f>Database!A1187</f>
        <v>42178</v>
      </c>
      <c r="B866" s="48">
        <f>VLOOKUP(A866,Database!$A:$V,MATCH(Currency!$B$1,Database!$A$1:$V$1,),)</f>
        <v>-99306</v>
      </c>
    </row>
    <row r="867" spans="1:2" x14ac:dyDescent="0.35">
      <c r="A867" s="19">
        <f>Database!A1188</f>
        <v>42185</v>
      </c>
      <c r="B867" s="48">
        <f>VLOOKUP(A867,Database!$A:$V,MATCH(Currency!$B$1,Database!$A$1:$V$1,),)</f>
        <v>-100035</v>
      </c>
    </row>
    <row r="868" spans="1:2" x14ac:dyDescent="0.35">
      <c r="A868" s="19">
        <f>Database!A1189</f>
        <v>42192</v>
      </c>
      <c r="B868" s="48">
        <f>VLOOKUP(A868,Database!$A:$V,MATCH(Currency!$B$1,Database!$A$1:$V$1,),)</f>
        <v>-99266</v>
      </c>
    </row>
    <row r="869" spans="1:2" x14ac:dyDescent="0.35">
      <c r="A869" s="19">
        <f>Database!A1190</f>
        <v>42199</v>
      </c>
      <c r="B869" s="48">
        <f>VLOOKUP(A869,Database!$A:$V,MATCH(Currency!$B$1,Database!$A$1:$V$1,),)</f>
        <v>-107781</v>
      </c>
    </row>
    <row r="870" spans="1:2" x14ac:dyDescent="0.35">
      <c r="A870" s="19">
        <f>Database!A1191</f>
        <v>42206</v>
      </c>
      <c r="B870" s="48">
        <f>VLOOKUP(A870,Database!$A:$V,MATCH(Currency!$B$1,Database!$A$1:$V$1,),)</f>
        <v>-112976</v>
      </c>
    </row>
    <row r="871" spans="1:2" x14ac:dyDescent="0.35">
      <c r="A871" s="19">
        <f>Database!A1192</f>
        <v>42213</v>
      </c>
      <c r="B871" s="48">
        <f>VLOOKUP(A871,Database!$A:$V,MATCH(Currency!$B$1,Database!$A$1:$V$1,),)</f>
        <v>-104008</v>
      </c>
    </row>
    <row r="872" spans="1:2" x14ac:dyDescent="0.35">
      <c r="A872" s="19">
        <f>Database!A1193</f>
        <v>42220</v>
      </c>
      <c r="B872" s="48">
        <f>VLOOKUP(A872,Database!$A:$V,MATCH(Currency!$B$1,Database!$A$1:$V$1,),)</f>
        <v>-113394</v>
      </c>
    </row>
    <row r="873" spans="1:2" x14ac:dyDescent="0.35">
      <c r="A873" s="19">
        <f>Database!A1194</f>
        <v>42227</v>
      </c>
      <c r="B873" s="48">
        <f>VLOOKUP(A873,Database!$A:$V,MATCH(Currency!$B$1,Database!$A$1:$V$1,),)</f>
        <v>-115210</v>
      </c>
    </row>
    <row r="874" spans="1:2" x14ac:dyDescent="0.35">
      <c r="A874" s="19">
        <f>Database!A1195</f>
        <v>42234</v>
      </c>
      <c r="B874" s="48">
        <f>VLOOKUP(A874,Database!$A:$V,MATCH(Currency!$B$1,Database!$A$1:$V$1,),)</f>
        <v>-92732</v>
      </c>
    </row>
    <row r="875" spans="1:2" x14ac:dyDescent="0.35">
      <c r="A875" s="19">
        <f>Database!A1196</f>
        <v>42241</v>
      </c>
      <c r="B875" s="48">
        <f>VLOOKUP(A875,Database!$A:$V,MATCH(Currency!$B$1,Database!$A$1:$V$1,),)</f>
        <v>-66078</v>
      </c>
    </row>
    <row r="876" spans="1:2" x14ac:dyDescent="0.35">
      <c r="A876" s="19">
        <f>Database!A1197</f>
        <v>42248</v>
      </c>
      <c r="B876" s="48">
        <f>VLOOKUP(A876,Database!$A:$V,MATCH(Currency!$B$1,Database!$A$1:$V$1,),)</f>
        <v>-67857</v>
      </c>
    </row>
    <row r="877" spans="1:2" x14ac:dyDescent="0.35">
      <c r="A877" s="19">
        <f>Database!A1198</f>
        <v>42255</v>
      </c>
      <c r="B877" s="48">
        <f>VLOOKUP(A877,Database!$A:$V,MATCH(Currency!$B$1,Database!$A$1:$V$1,),)</f>
        <v>-81241</v>
      </c>
    </row>
    <row r="878" spans="1:2" x14ac:dyDescent="0.35">
      <c r="A878" s="19">
        <f>Database!A1199</f>
        <v>42262</v>
      </c>
      <c r="B878" s="48">
        <f>VLOOKUP(A878,Database!$A:$V,MATCH(Currency!$B$1,Database!$A$1:$V$1,),)</f>
        <v>-84202</v>
      </c>
    </row>
    <row r="879" spans="1:2" x14ac:dyDescent="0.35">
      <c r="A879" s="19">
        <f>Database!A1200</f>
        <v>42269</v>
      </c>
      <c r="B879" s="48">
        <f>VLOOKUP(A879,Database!$A:$V,MATCH(Currency!$B$1,Database!$A$1:$V$1,),)</f>
        <v>-81033</v>
      </c>
    </row>
    <row r="880" spans="1:2" x14ac:dyDescent="0.35">
      <c r="A880" s="19">
        <f>Database!A1201</f>
        <v>42276</v>
      </c>
      <c r="B880" s="48">
        <f>VLOOKUP(A880,Database!$A:$V,MATCH(Currency!$B$1,Database!$A$1:$V$1,),)</f>
        <v>-87660</v>
      </c>
    </row>
    <row r="881" spans="1:2" x14ac:dyDescent="0.35">
      <c r="A881" s="19">
        <f>Database!A1202</f>
        <v>42283</v>
      </c>
      <c r="B881" s="48">
        <f>VLOOKUP(A881,Database!$A:$V,MATCH(Currency!$B$1,Database!$A$1:$V$1,),)</f>
        <v>-88810</v>
      </c>
    </row>
    <row r="882" spans="1:2" x14ac:dyDescent="0.35">
      <c r="A882" s="19">
        <f>Database!A1203</f>
        <v>42290</v>
      </c>
      <c r="B882" s="48">
        <f>VLOOKUP(A882,Database!$A:$V,MATCH(Currency!$B$1,Database!$A$1:$V$1,),)</f>
        <v>-80576</v>
      </c>
    </row>
    <row r="883" spans="1:2" x14ac:dyDescent="0.35">
      <c r="A883" s="19">
        <f>Database!A1204</f>
        <v>42297</v>
      </c>
      <c r="B883" s="48">
        <f>VLOOKUP(A883,Database!$A:$V,MATCH(Currency!$B$1,Database!$A$1:$V$1,),)</f>
        <v>-62566</v>
      </c>
    </row>
    <row r="884" spans="1:2" x14ac:dyDescent="0.35">
      <c r="A884" s="19">
        <f>Database!A1205</f>
        <v>42304</v>
      </c>
      <c r="B884" s="48">
        <f>VLOOKUP(A884,Database!$A:$V,MATCH(Currency!$B$1,Database!$A$1:$V$1,),)</f>
        <v>-105934</v>
      </c>
    </row>
    <row r="885" spans="1:2" x14ac:dyDescent="0.35">
      <c r="A885" s="19">
        <f>Database!A1206</f>
        <v>42311</v>
      </c>
      <c r="B885" s="48">
        <f>VLOOKUP(A885,Database!$A:$V,MATCH(Currency!$B$1,Database!$A$1:$V$1,),)</f>
        <v>-134334</v>
      </c>
    </row>
    <row r="886" spans="1:2" x14ac:dyDescent="0.35">
      <c r="A886" s="19">
        <f>Database!A1207</f>
        <v>42318</v>
      </c>
      <c r="B886" s="48">
        <f>VLOOKUP(A886,Database!$A:$V,MATCH(Currency!$B$1,Database!$A$1:$V$1,),)</f>
        <v>-142939</v>
      </c>
    </row>
    <row r="887" spans="1:2" x14ac:dyDescent="0.35">
      <c r="A887" s="19">
        <f>Database!A1208</f>
        <v>42325</v>
      </c>
      <c r="B887" s="48">
        <f>VLOOKUP(A887,Database!$A:$V,MATCH(Currency!$B$1,Database!$A$1:$V$1,),)</f>
        <v>-164177</v>
      </c>
    </row>
    <row r="888" spans="1:2" x14ac:dyDescent="0.35">
      <c r="A888" s="19">
        <f>Database!A1209</f>
        <v>42332</v>
      </c>
      <c r="B888" s="48">
        <f>VLOOKUP(A888,Database!$A:$V,MATCH(Currency!$B$1,Database!$A$1:$V$1,),)</f>
        <v>-175484</v>
      </c>
    </row>
    <row r="889" spans="1:2" x14ac:dyDescent="0.35">
      <c r="A889" s="19">
        <f>Database!A1210</f>
        <v>42339</v>
      </c>
      <c r="B889" s="48">
        <f>VLOOKUP(A889,Database!$A:$V,MATCH(Currency!$B$1,Database!$A$1:$V$1,),)</f>
        <v>-182845</v>
      </c>
    </row>
    <row r="890" spans="1:2" x14ac:dyDescent="0.35">
      <c r="A890" s="19">
        <f>Database!A1211</f>
        <v>42346</v>
      </c>
      <c r="B890" s="48">
        <f>VLOOKUP(A890,Database!$A:$V,MATCH(Currency!$B$1,Database!$A$1:$V$1,),)</f>
        <v>-172331</v>
      </c>
    </row>
    <row r="891" spans="1:2" x14ac:dyDescent="0.35">
      <c r="A891" s="19">
        <f>Database!A1212</f>
        <v>42353</v>
      </c>
      <c r="B891" s="48">
        <f>VLOOKUP(A891,Database!$A:$V,MATCH(Currency!$B$1,Database!$A$1:$V$1,),)</f>
        <v>-159961</v>
      </c>
    </row>
    <row r="892" spans="1:2" x14ac:dyDescent="0.35">
      <c r="A892" s="19">
        <f>Database!A1213</f>
        <v>42360</v>
      </c>
      <c r="B892" s="48">
        <f>VLOOKUP(A892,Database!$A:$V,MATCH(Currency!$B$1,Database!$A$1:$V$1,),)</f>
        <v>-161047</v>
      </c>
    </row>
    <row r="893" spans="1:2" x14ac:dyDescent="0.35">
      <c r="A893" s="19">
        <f>Database!A1214</f>
        <v>42367</v>
      </c>
      <c r="B893" s="48">
        <f>VLOOKUP(A893,Database!$A:$V,MATCH(Currency!$B$1,Database!$A$1:$V$1,),)</f>
        <v>-160550</v>
      </c>
    </row>
    <row r="894" spans="1:2" x14ac:dyDescent="0.35">
      <c r="A894" s="19">
        <f>Database!A1215</f>
        <v>42374</v>
      </c>
      <c r="B894" s="48">
        <f>VLOOKUP(A894,Database!$A:$V,MATCH(Currency!$B$1,Database!$A$1:$V$1,),)</f>
        <v>-160643</v>
      </c>
    </row>
    <row r="895" spans="1:2" x14ac:dyDescent="0.35">
      <c r="A895" s="19">
        <f>Database!A1216</f>
        <v>42381</v>
      </c>
      <c r="B895" s="48">
        <f>VLOOKUP(A895,Database!$A:$V,MATCH(Currency!$B$1,Database!$A$1:$V$1,),)</f>
        <v>-146451</v>
      </c>
    </row>
    <row r="896" spans="1:2" x14ac:dyDescent="0.35">
      <c r="A896" s="19">
        <f>Database!A1217</f>
        <v>42388</v>
      </c>
      <c r="B896" s="48">
        <f>VLOOKUP(A896,Database!$A:$V,MATCH(Currency!$B$1,Database!$A$1:$V$1,),)</f>
        <v>-137015</v>
      </c>
    </row>
    <row r="897" spans="1:2" x14ac:dyDescent="0.35">
      <c r="A897" s="19">
        <f>Database!A1218</f>
        <v>42395</v>
      </c>
      <c r="B897" s="48">
        <f>VLOOKUP(A897,Database!$A:$V,MATCH(Currency!$B$1,Database!$A$1:$V$1,),)</f>
        <v>-127215</v>
      </c>
    </row>
    <row r="898" spans="1:2" x14ac:dyDescent="0.35">
      <c r="A898" s="19">
        <f>Database!A1219</f>
        <v>42402</v>
      </c>
      <c r="B898" s="48">
        <f>VLOOKUP(A898,Database!$A:$V,MATCH(Currency!$B$1,Database!$A$1:$V$1,),)</f>
        <v>-87073</v>
      </c>
    </row>
    <row r="899" spans="1:2" x14ac:dyDescent="0.35">
      <c r="A899" s="19">
        <f>Database!A1220</f>
        <v>42409</v>
      </c>
      <c r="B899" s="48">
        <f>VLOOKUP(A899,Database!$A:$V,MATCH(Currency!$B$1,Database!$A$1:$V$1,),)</f>
        <v>-63314</v>
      </c>
    </row>
    <row r="900" spans="1:2" x14ac:dyDescent="0.35">
      <c r="A900" s="19">
        <f>Database!A1221</f>
        <v>42416</v>
      </c>
      <c r="B900" s="48">
        <f>VLOOKUP(A900,Database!$A:$V,MATCH(Currency!$B$1,Database!$A$1:$V$1,),)</f>
        <v>-48205</v>
      </c>
    </row>
    <row r="901" spans="1:2" x14ac:dyDescent="0.35">
      <c r="A901" s="19">
        <f>Database!A1222</f>
        <v>42423</v>
      </c>
      <c r="B901" s="48">
        <f>VLOOKUP(A901,Database!$A:$V,MATCH(Currency!$B$1,Database!$A$1:$V$1,),)</f>
        <v>-46857</v>
      </c>
    </row>
    <row r="902" spans="1:2" x14ac:dyDescent="0.35">
      <c r="A902" s="19">
        <f>Database!A1223</f>
        <v>42430</v>
      </c>
      <c r="B902" s="48">
        <f>VLOOKUP(A902,Database!$A:$V,MATCH(Currency!$B$1,Database!$A$1:$V$1,),)</f>
        <v>-68541</v>
      </c>
    </row>
    <row r="903" spans="1:2" x14ac:dyDescent="0.35">
      <c r="A903" s="19">
        <f>Database!A1224</f>
        <v>42437</v>
      </c>
      <c r="B903" s="48">
        <f>VLOOKUP(A903,Database!$A:$V,MATCH(Currency!$B$1,Database!$A$1:$V$1,),)</f>
        <v>-71907</v>
      </c>
    </row>
    <row r="904" spans="1:2" x14ac:dyDescent="0.35">
      <c r="A904" s="19">
        <f>Database!A1225</f>
        <v>42444</v>
      </c>
      <c r="B904" s="48">
        <f>VLOOKUP(A904,Database!$A:$V,MATCH(Currency!$B$1,Database!$A$1:$V$1,),)</f>
        <v>-77555</v>
      </c>
    </row>
    <row r="905" spans="1:2" x14ac:dyDescent="0.35">
      <c r="A905" s="19">
        <f>Database!A1226</f>
        <v>42451</v>
      </c>
      <c r="B905" s="48">
        <f>VLOOKUP(A905,Database!$A:$V,MATCH(Currency!$B$1,Database!$A$1:$V$1,),)</f>
        <v>-66053</v>
      </c>
    </row>
    <row r="906" spans="1:2" x14ac:dyDescent="0.35">
      <c r="A906" s="19">
        <f>Database!A1227</f>
        <v>42458</v>
      </c>
      <c r="B906" s="48">
        <f>VLOOKUP(A906,Database!$A:$V,MATCH(Currency!$B$1,Database!$A$1:$V$1,),)</f>
        <v>-63811</v>
      </c>
    </row>
    <row r="907" spans="1:2" x14ac:dyDescent="0.35">
      <c r="A907" s="19">
        <f>Database!A1228</f>
        <v>42465</v>
      </c>
      <c r="B907" s="48">
        <f>VLOOKUP(A907,Database!$A:$V,MATCH(Currency!$B$1,Database!$A$1:$V$1,),)</f>
        <v>-53487</v>
      </c>
    </row>
    <row r="908" spans="1:2" x14ac:dyDescent="0.35">
      <c r="A908" s="19">
        <f>Database!A1229</f>
        <v>42472</v>
      </c>
      <c r="B908" s="48">
        <f>VLOOKUP(A908,Database!$A:$V,MATCH(Currency!$B$1,Database!$A$1:$V$1,),)</f>
        <v>-52051</v>
      </c>
    </row>
    <row r="909" spans="1:2" x14ac:dyDescent="0.35">
      <c r="A909" s="19">
        <f>Database!A1230</f>
        <v>42479</v>
      </c>
      <c r="B909" s="48">
        <f>VLOOKUP(A909,Database!$A:$V,MATCH(Currency!$B$1,Database!$A$1:$V$1,),)</f>
        <v>-46917</v>
      </c>
    </row>
    <row r="910" spans="1:2" x14ac:dyDescent="0.35">
      <c r="A910" s="19">
        <f>Database!A1231</f>
        <v>42486</v>
      </c>
      <c r="B910" s="48">
        <f>VLOOKUP(A910,Database!$A:$V,MATCH(Currency!$B$1,Database!$A$1:$V$1,),)</f>
        <v>-39667</v>
      </c>
    </row>
    <row r="911" spans="1:2" x14ac:dyDescent="0.35">
      <c r="A911" s="19">
        <f>Database!A1232</f>
        <v>42493</v>
      </c>
      <c r="B911" s="48">
        <f>VLOOKUP(A911,Database!$A:$V,MATCH(Currency!$B$1,Database!$A$1:$V$1,),)</f>
        <v>-23619</v>
      </c>
    </row>
    <row r="912" spans="1:2" x14ac:dyDescent="0.35">
      <c r="A912" s="19">
        <f>Database!A1233</f>
        <v>42500</v>
      </c>
      <c r="B912" s="48">
        <f>VLOOKUP(A912,Database!$A:$V,MATCH(Currency!$B$1,Database!$A$1:$V$1,),)</f>
        <v>-21872</v>
      </c>
    </row>
    <row r="913" spans="1:2" x14ac:dyDescent="0.35">
      <c r="A913" s="19">
        <f>Database!A1234</f>
        <v>42507</v>
      </c>
      <c r="B913" s="48">
        <f>VLOOKUP(A913,Database!$A:$V,MATCH(Currency!$B$1,Database!$A$1:$V$1,),)</f>
        <v>-22587</v>
      </c>
    </row>
    <row r="914" spans="1:2" x14ac:dyDescent="0.35">
      <c r="A914" s="19">
        <f>Database!A1235</f>
        <v>42514</v>
      </c>
      <c r="B914" s="48">
        <f>VLOOKUP(A914,Database!$A:$V,MATCH(Currency!$B$1,Database!$A$1:$V$1,),)</f>
        <v>-37895</v>
      </c>
    </row>
    <row r="915" spans="1:2" x14ac:dyDescent="0.35">
      <c r="A915" s="19">
        <f>Database!A1236</f>
        <v>42521</v>
      </c>
      <c r="B915" s="48">
        <f>VLOOKUP(A915,Database!$A:$V,MATCH(Currency!$B$1,Database!$A$1:$V$1,),)</f>
        <v>-37654</v>
      </c>
    </row>
    <row r="916" spans="1:2" x14ac:dyDescent="0.35">
      <c r="A916" s="19">
        <f>Database!A1237</f>
        <v>42528</v>
      </c>
      <c r="B916" s="48">
        <f>VLOOKUP(A916,Database!$A:$V,MATCH(Currency!$B$1,Database!$A$1:$V$1,),)</f>
        <v>-67112</v>
      </c>
    </row>
    <row r="917" spans="1:2" x14ac:dyDescent="0.35">
      <c r="A917" s="19">
        <f>Database!A1238</f>
        <v>42535</v>
      </c>
      <c r="B917" s="48">
        <f>VLOOKUP(A917,Database!$A:$V,MATCH(Currency!$B$1,Database!$A$1:$V$1,),)</f>
        <v>-56489</v>
      </c>
    </row>
    <row r="918" spans="1:2" x14ac:dyDescent="0.35">
      <c r="A918" s="19">
        <f>Database!A1239</f>
        <v>42542</v>
      </c>
      <c r="B918" s="48">
        <f>VLOOKUP(A918,Database!$A:$V,MATCH(Currency!$B$1,Database!$A$1:$V$1,),)</f>
        <v>-61346</v>
      </c>
    </row>
    <row r="919" spans="1:2" x14ac:dyDescent="0.35">
      <c r="A919" s="19">
        <f>Database!A1240</f>
        <v>42549</v>
      </c>
      <c r="B919" s="48">
        <f>VLOOKUP(A919,Database!$A:$V,MATCH(Currency!$B$1,Database!$A$1:$V$1,),)</f>
        <v>-61934</v>
      </c>
    </row>
    <row r="920" spans="1:2" x14ac:dyDescent="0.35">
      <c r="A920" s="19">
        <f>Database!A1241</f>
        <v>42556</v>
      </c>
      <c r="B920" s="48">
        <f>VLOOKUP(A920,Database!$A:$V,MATCH(Currency!$B$1,Database!$A$1:$V$1,),)</f>
        <v>-75327</v>
      </c>
    </row>
    <row r="921" spans="1:2" x14ac:dyDescent="0.35">
      <c r="A921" s="19">
        <f>Database!A1242</f>
        <v>42563</v>
      </c>
      <c r="B921" s="48">
        <f>VLOOKUP(A921,Database!$A:$V,MATCH(Currency!$B$1,Database!$A$1:$V$1,),)</f>
        <v>-87660</v>
      </c>
    </row>
    <row r="922" spans="1:2" x14ac:dyDescent="0.35">
      <c r="A922" s="19">
        <f>Database!A1243</f>
        <v>42570</v>
      </c>
      <c r="B922" s="48">
        <f>VLOOKUP(A922,Database!$A:$V,MATCH(Currency!$B$1,Database!$A$1:$V$1,),)</f>
        <v>-99891</v>
      </c>
    </row>
    <row r="923" spans="1:2" x14ac:dyDescent="0.35">
      <c r="A923" s="19">
        <f>Database!A1244</f>
        <v>42577</v>
      </c>
      <c r="B923" s="48">
        <f>VLOOKUP(A923,Database!$A:$V,MATCH(Currency!$B$1,Database!$A$1:$V$1,),)</f>
        <v>-112600</v>
      </c>
    </row>
    <row r="924" spans="1:2" x14ac:dyDescent="0.35">
      <c r="A924" s="19">
        <f>Database!A1245</f>
        <v>42584</v>
      </c>
      <c r="B924" s="48">
        <f>VLOOKUP(A924,Database!$A:$V,MATCH(Currency!$B$1,Database!$A$1:$V$1,),)</f>
        <v>-104103</v>
      </c>
    </row>
    <row r="925" spans="1:2" x14ac:dyDescent="0.35">
      <c r="A925" s="19">
        <f>Database!A1246</f>
        <v>42591</v>
      </c>
      <c r="B925" s="48">
        <f>VLOOKUP(A925,Database!$A:$V,MATCH(Currency!$B$1,Database!$A$1:$V$1,),)</f>
        <v>-98399</v>
      </c>
    </row>
    <row r="926" spans="1:2" x14ac:dyDescent="0.35">
      <c r="A926" s="19">
        <f>Database!A1247</f>
        <v>42598</v>
      </c>
      <c r="B926" s="48">
        <f>VLOOKUP(A926,Database!$A:$V,MATCH(Currency!$B$1,Database!$A$1:$V$1,),)</f>
        <v>-92508</v>
      </c>
    </row>
    <row r="927" spans="1:2" x14ac:dyDescent="0.35">
      <c r="A927" s="19">
        <f>Database!A1248</f>
        <v>42605</v>
      </c>
      <c r="B927" s="48">
        <f>VLOOKUP(A927,Database!$A:$V,MATCH(Currency!$B$1,Database!$A$1:$V$1,),)</f>
        <v>-76658</v>
      </c>
    </row>
    <row r="928" spans="1:2" x14ac:dyDescent="0.35">
      <c r="A928" s="19">
        <f>Database!A1249</f>
        <v>42612</v>
      </c>
      <c r="B928" s="48">
        <f>VLOOKUP(A928,Database!$A:$V,MATCH(Currency!$B$1,Database!$A$1:$V$1,),)</f>
        <v>-81925</v>
      </c>
    </row>
    <row r="929" spans="1:2" x14ac:dyDescent="0.35">
      <c r="A929" s="19">
        <f>Database!A1250</f>
        <v>42619</v>
      </c>
      <c r="B929" s="48">
        <f>VLOOKUP(A929,Database!$A:$V,MATCH(Currency!$B$1,Database!$A$1:$V$1,),)</f>
        <v>-92630</v>
      </c>
    </row>
    <row r="930" spans="1:2" x14ac:dyDescent="0.35">
      <c r="A930" s="19">
        <f>Database!A1251</f>
        <v>42626</v>
      </c>
      <c r="B930" s="48">
        <f>VLOOKUP(A930,Database!$A:$V,MATCH(Currency!$B$1,Database!$A$1:$V$1,),)</f>
        <v>-81475</v>
      </c>
    </row>
    <row r="931" spans="1:2" x14ac:dyDescent="0.35">
      <c r="A931" s="19">
        <f>Database!A1252</f>
        <v>42633</v>
      </c>
      <c r="B931" s="48">
        <f>VLOOKUP(A931,Database!$A:$V,MATCH(Currency!$B$1,Database!$A$1:$V$1,),)</f>
        <v>-85025</v>
      </c>
    </row>
    <row r="932" spans="1:2" x14ac:dyDescent="0.35">
      <c r="A932" s="19">
        <f>Database!A1253</f>
        <v>42640</v>
      </c>
      <c r="B932" s="48">
        <f>VLOOKUP(A932,Database!$A:$V,MATCH(Currency!$B$1,Database!$A$1:$V$1,),)</f>
        <v>-76030</v>
      </c>
    </row>
    <row r="933" spans="1:2" x14ac:dyDescent="0.35">
      <c r="A933" s="19">
        <f>Database!A1254</f>
        <v>42647</v>
      </c>
      <c r="B933" s="48">
        <f>VLOOKUP(A933,Database!$A:$V,MATCH(Currency!$B$1,Database!$A$1:$V$1,),)</f>
        <v>-82059</v>
      </c>
    </row>
    <row r="934" spans="1:2" x14ac:dyDescent="0.35">
      <c r="A934" s="19">
        <f>Database!A1255</f>
        <v>42654</v>
      </c>
      <c r="B934" s="48">
        <f>VLOOKUP(A934,Database!$A:$V,MATCH(Currency!$B$1,Database!$A$1:$V$1,),)</f>
        <v>-93472</v>
      </c>
    </row>
    <row r="935" spans="1:2" x14ac:dyDescent="0.35">
      <c r="A935" s="19">
        <f>Database!A1256</f>
        <v>42661</v>
      </c>
      <c r="B935" s="48">
        <f>VLOOKUP(A935,Database!$A:$V,MATCH(Currency!$B$1,Database!$A$1:$V$1,),)</f>
        <v>-109268</v>
      </c>
    </row>
    <row r="936" spans="1:2" x14ac:dyDescent="0.35">
      <c r="A936" s="19">
        <f>Database!A1257</f>
        <v>42668</v>
      </c>
      <c r="B936" s="48">
        <f>VLOOKUP(A936,Database!$A:$V,MATCH(Currency!$B$1,Database!$A$1:$V$1,),)</f>
        <v>-123856</v>
      </c>
    </row>
    <row r="937" spans="1:2" x14ac:dyDescent="0.35">
      <c r="A937" s="19">
        <f>Database!A1258</f>
        <v>42675</v>
      </c>
      <c r="B937" s="48">
        <f>VLOOKUP(A937,Database!$A:$V,MATCH(Currency!$B$1,Database!$A$1:$V$1,),)</f>
        <v>-137385</v>
      </c>
    </row>
    <row r="938" spans="1:2" x14ac:dyDescent="0.35">
      <c r="A938" s="19">
        <f>Database!A1259</f>
        <v>42682</v>
      </c>
      <c r="B938" s="48">
        <f>VLOOKUP(A938,Database!$A:$V,MATCH(Currency!$B$1,Database!$A$1:$V$1,),)</f>
        <v>-129314</v>
      </c>
    </row>
    <row r="939" spans="1:2" x14ac:dyDescent="0.35">
      <c r="A939" s="19">
        <f>Database!A1260</f>
        <v>42689</v>
      </c>
      <c r="B939" s="48">
        <f>VLOOKUP(A939,Database!$A:$V,MATCH(Currency!$B$1,Database!$A$1:$V$1,),)</f>
        <v>-119182</v>
      </c>
    </row>
    <row r="940" spans="1:2" x14ac:dyDescent="0.35">
      <c r="A940" s="19">
        <f>Database!A1261</f>
        <v>42696</v>
      </c>
      <c r="B940" s="48">
        <f>VLOOKUP(A940,Database!$A:$V,MATCH(Currency!$B$1,Database!$A$1:$V$1,),)</f>
        <v>-119348</v>
      </c>
    </row>
    <row r="941" spans="1:2" x14ac:dyDescent="0.35">
      <c r="A941" s="19">
        <f>Database!A1262</f>
        <v>42703</v>
      </c>
      <c r="B941" s="48">
        <f>VLOOKUP(A941,Database!$A:$V,MATCH(Currency!$B$1,Database!$A$1:$V$1,),)</f>
        <v>-119240</v>
      </c>
    </row>
    <row r="942" spans="1:2" x14ac:dyDescent="0.35">
      <c r="A942" s="19">
        <f>Database!A1263</f>
        <v>42710</v>
      </c>
      <c r="B942" s="48">
        <f>VLOOKUP(A942,Database!$A:$V,MATCH(Currency!$B$1,Database!$A$1:$V$1,),)</f>
        <v>-114556</v>
      </c>
    </row>
    <row r="943" spans="1:2" x14ac:dyDescent="0.35">
      <c r="A943" s="19">
        <f>Database!A1264</f>
        <v>42717</v>
      </c>
      <c r="B943" s="48">
        <f>VLOOKUP(A943,Database!$A:$V,MATCH(Currency!$B$1,Database!$A$1:$V$1,),)</f>
        <v>-87513</v>
      </c>
    </row>
    <row r="944" spans="1:2" x14ac:dyDescent="0.35">
      <c r="A944" s="19">
        <f>Database!A1265</f>
        <v>42724</v>
      </c>
      <c r="B944" s="48">
        <f>VLOOKUP(A944,Database!$A:$V,MATCH(Currency!$B$1,Database!$A$1:$V$1,),)</f>
        <v>-78045</v>
      </c>
    </row>
    <row r="945" spans="1:2" x14ac:dyDescent="0.35">
      <c r="A945" s="19">
        <f>Database!A1266</f>
        <v>42731</v>
      </c>
      <c r="B945" s="48">
        <f>VLOOKUP(A945,Database!$A:$V,MATCH(Currency!$B$1,Database!$A$1:$V$1,),)</f>
        <v>-69408</v>
      </c>
    </row>
    <row r="946" spans="1:2" x14ac:dyDescent="0.35">
      <c r="A946" s="19">
        <f>Database!A1267</f>
        <v>42738</v>
      </c>
      <c r="B946" s="48">
        <f>VLOOKUP(A946,Database!$A:$V,MATCH(Currency!$B$1,Database!$A$1:$V$1,),)</f>
        <v>-70056</v>
      </c>
    </row>
    <row r="947" spans="1:2" x14ac:dyDescent="0.35">
      <c r="A947" s="19">
        <f>Database!A1268</f>
        <v>42745</v>
      </c>
      <c r="B947" s="48">
        <f>VLOOKUP(A947,Database!$A:$V,MATCH(Currency!$B$1,Database!$A$1:$V$1,),)</f>
        <v>-65823</v>
      </c>
    </row>
    <row r="948" spans="1:2" x14ac:dyDescent="0.35">
      <c r="A948" s="19">
        <f>Database!A1269</f>
        <v>42752</v>
      </c>
      <c r="B948" s="48">
        <f>VLOOKUP(A948,Database!$A:$V,MATCH(Currency!$B$1,Database!$A$1:$V$1,),)</f>
        <v>-66500</v>
      </c>
    </row>
    <row r="949" spans="1:2" x14ac:dyDescent="0.35">
      <c r="A949" s="19">
        <f>Database!A1270</f>
        <v>42759</v>
      </c>
      <c r="B949" s="48">
        <f>VLOOKUP(A949,Database!$A:$V,MATCH(Currency!$B$1,Database!$A$1:$V$1,),)</f>
        <v>-52348</v>
      </c>
    </row>
    <row r="950" spans="1:2" x14ac:dyDescent="0.35">
      <c r="A950" s="19">
        <f>Database!A1271</f>
        <v>42766</v>
      </c>
      <c r="B950" s="48">
        <f>VLOOKUP(A950,Database!$A:$V,MATCH(Currency!$B$1,Database!$A$1:$V$1,),)</f>
        <v>-45713</v>
      </c>
    </row>
    <row r="951" spans="1:2" x14ac:dyDescent="0.35">
      <c r="A951" s="19">
        <f>Database!A1272</f>
        <v>42773</v>
      </c>
      <c r="B951" s="48">
        <f>VLOOKUP(A951,Database!$A:$V,MATCH(Currency!$B$1,Database!$A$1:$V$1,),)</f>
        <v>-44951</v>
      </c>
    </row>
    <row r="952" spans="1:2" x14ac:dyDescent="0.35">
      <c r="A952" s="19">
        <f>Database!A1273</f>
        <v>42780</v>
      </c>
      <c r="B952" s="48">
        <f>VLOOKUP(A952,Database!$A:$V,MATCH(Currency!$B$1,Database!$A$1:$V$1,),)</f>
        <v>-46764</v>
      </c>
    </row>
    <row r="953" spans="1:2" x14ac:dyDescent="0.35">
      <c r="A953" s="19">
        <f>Database!A1274</f>
        <v>42787</v>
      </c>
      <c r="B953" s="48">
        <f>VLOOKUP(A953,Database!$A:$V,MATCH(Currency!$B$1,Database!$A$1:$V$1,),)</f>
        <v>-58251</v>
      </c>
    </row>
    <row r="954" spans="1:2" x14ac:dyDescent="0.35">
      <c r="A954" s="19">
        <f>Database!A1275</f>
        <v>42794</v>
      </c>
      <c r="B954" s="48">
        <f>VLOOKUP(A954,Database!$A:$V,MATCH(Currency!$B$1,Database!$A$1:$V$1,),)</f>
        <v>-51164</v>
      </c>
    </row>
    <row r="955" spans="1:2" x14ac:dyDescent="0.35">
      <c r="A955" s="19">
        <f>Database!A1276</f>
        <v>42801</v>
      </c>
      <c r="B955" s="48">
        <f>VLOOKUP(A955,Database!$A:$V,MATCH(Currency!$B$1,Database!$A$1:$V$1,),)</f>
        <v>-59501</v>
      </c>
    </row>
    <row r="956" spans="1:2" x14ac:dyDescent="0.35">
      <c r="A956" s="19">
        <f>Database!A1277</f>
        <v>42808</v>
      </c>
      <c r="B956" s="48">
        <f>VLOOKUP(A956,Database!$A:$V,MATCH(Currency!$B$1,Database!$A$1:$V$1,),)</f>
        <v>-41027</v>
      </c>
    </row>
    <row r="957" spans="1:2" x14ac:dyDescent="0.35">
      <c r="A957" s="19">
        <f>Database!A1278</f>
        <v>42815</v>
      </c>
      <c r="B957" s="48">
        <f>VLOOKUP(A957,Database!$A:$V,MATCH(Currency!$B$1,Database!$A$1:$V$1,),)</f>
        <v>-19662</v>
      </c>
    </row>
    <row r="958" spans="1:2" x14ac:dyDescent="0.35">
      <c r="A958" s="19">
        <f>Database!A1279</f>
        <v>42822</v>
      </c>
      <c r="B958" s="48">
        <f>VLOOKUP(A958,Database!$A:$V,MATCH(Currency!$B$1,Database!$A$1:$V$1,),)</f>
        <v>-7923</v>
      </c>
    </row>
    <row r="959" spans="1:2" x14ac:dyDescent="0.35">
      <c r="A959" s="19">
        <f>Database!A1280</f>
        <v>42829</v>
      </c>
      <c r="B959" s="48">
        <f>VLOOKUP(A959,Database!$A:$V,MATCH(Currency!$B$1,Database!$A$1:$V$1,),)</f>
        <v>-11405</v>
      </c>
    </row>
    <row r="960" spans="1:2" x14ac:dyDescent="0.35">
      <c r="A960" s="19">
        <f>Database!A1281</f>
        <v>42836</v>
      </c>
      <c r="B960" s="48">
        <f>VLOOKUP(A960,Database!$A:$V,MATCH(Currency!$B$1,Database!$A$1:$V$1,),)</f>
        <v>-18956</v>
      </c>
    </row>
    <row r="961" spans="1:2" x14ac:dyDescent="0.35">
      <c r="A961" s="19">
        <f>Database!A1282</f>
        <v>42843</v>
      </c>
      <c r="B961" s="48">
        <f>VLOOKUP(A961,Database!$A:$V,MATCH(Currency!$B$1,Database!$A$1:$V$1,),)</f>
        <v>-21649</v>
      </c>
    </row>
    <row r="962" spans="1:2" x14ac:dyDescent="0.35">
      <c r="A962" s="19">
        <f>Database!A1283</f>
        <v>42850</v>
      </c>
      <c r="B962" s="48">
        <f>VLOOKUP(A962,Database!$A:$V,MATCH(Currency!$B$1,Database!$A$1:$V$1,),)</f>
        <v>-20895</v>
      </c>
    </row>
    <row r="963" spans="1:2" x14ac:dyDescent="0.35">
      <c r="A963" s="19">
        <f>Database!A1284</f>
        <v>42857</v>
      </c>
      <c r="B963" s="48">
        <f>VLOOKUP(A963,Database!$A:$V,MATCH(Currency!$B$1,Database!$A$1:$V$1,),)</f>
        <v>-1653</v>
      </c>
    </row>
    <row r="964" spans="1:2" x14ac:dyDescent="0.35">
      <c r="A964" s="19">
        <f>Database!A1285</f>
        <v>42864</v>
      </c>
      <c r="B964" s="48">
        <f>VLOOKUP(A964,Database!$A:$V,MATCH(Currency!$B$1,Database!$A$1:$V$1,),)</f>
        <v>22399</v>
      </c>
    </row>
    <row r="965" spans="1:2" x14ac:dyDescent="0.35">
      <c r="A965" s="19">
        <f>Database!A1286</f>
        <v>42871</v>
      </c>
      <c r="B965" s="48">
        <f>VLOOKUP(A965,Database!$A:$V,MATCH(Currency!$B$1,Database!$A$1:$V$1,),)</f>
        <v>37604</v>
      </c>
    </row>
    <row r="966" spans="1:2" x14ac:dyDescent="0.35">
      <c r="A966" s="19">
        <f>Database!A1287</f>
        <v>42878</v>
      </c>
      <c r="B966" s="48">
        <f>VLOOKUP(A966,Database!$A:$V,MATCH(Currency!$B$1,Database!$A$1:$V$1,),)</f>
        <v>64845</v>
      </c>
    </row>
    <row r="967" spans="1:2" x14ac:dyDescent="0.35">
      <c r="A967" s="19">
        <f>Database!A1288</f>
        <v>42885</v>
      </c>
      <c r="B967" s="48">
        <f>VLOOKUP(A967,Database!$A:$V,MATCH(Currency!$B$1,Database!$A$1:$V$1,),)</f>
        <v>72869</v>
      </c>
    </row>
    <row r="968" spans="1:2" x14ac:dyDescent="0.35">
      <c r="A968" s="19">
        <f>Database!A1289</f>
        <v>42892</v>
      </c>
      <c r="B968" s="48">
        <f>VLOOKUP(A968,Database!$A:$V,MATCH(Currency!$B$1,Database!$A$1:$V$1,),)</f>
        <v>74009</v>
      </c>
    </row>
    <row r="969" spans="1:2" x14ac:dyDescent="0.35">
      <c r="A969" s="19">
        <f>Database!A1290</f>
        <v>42899</v>
      </c>
      <c r="B969" s="48">
        <f>VLOOKUP(A969,Database!$A:$V,MATCH(Currency!$B$1,Database!$A$1:$V$1,),)</f>
        <v>79053</v>
      </c>
    </row>
    <row r="970" spans="1:2" x14ac:dyDescent="0.35">
      <c r="A970" s="19">
        <f>Database!A1291</f>
        <v>42906</v>
      </c>
      <c r="B970" s="48">
        <f>VLOOKUP(A970,Database!$A:$V,MATCH(Currency!$B$1,Database!$A$1:$V$1,),)</f>
        <v>44852</v>
      </c>
    </row>
    <row r="971" spans="1:2" x14ac:dyDescent="0.35">
      <c r="A971" s="19">
        <f>Database!A1292</f>
        <v>42913</v>
      </c>
      <c r="B971" s="48">
        <f>VLOOKUP(A971,Database!$A:$V,MATCH(Currency!$B$1,Database!$A$1:$V$1,),)</f>
        <v>58695</v>
      </c>
    </row>
    <row r="972" spans="1:2" x14ac:dyDescent="0.35">
      <c r="A972" s="19">
        <f>Database!A1293</f>
        <v>42920</v>
      </c>
      <c r="B972" s="48">
        <f>VLOOKUP(A972,Database!$A:$V,MATCH(Currency!$B$1,Database!$A$1:$V$1,),)</f>
        <v>77464</v>
      </c>
    </row>
    <row r="973" spans="1:2" x14ac:dyDescent="0.35">
      <c r="A973" s="19">
        <f>Database!A1294</f>
        <v>42927</v>
      </c>
      <c r="B973" s="48">
        <f>VLOOKUP(A973,Database!$A:$V,MATCH(Currency!$B$1,Database!$A$1:$V$1,),)</f>
        <v>83788</v>
      </c>
    </row>
    <row r="974" spans="1:2" x14ac:dyDescent="0.35">
      <c r="A974" s="19">
        <f>Database!A1295</f>
        <v>42934</v>
      </c>
      <c r="B974" s="48">
        <f>VLOOKUP(A974,Database!$A:$V,MATCH(Currency!$B$1,Database!$A$1:$V$1,),)</f>
        <v>91321</v>
      </c>
    </row>
    <row r="975" spans="1:2" x14ac:dyDescent="0.35">
      <c r="A975" s="19">
        <f>Database!A1296</f>
        <v>42941</v>
      </c>
      <c r="B975" s="48">
        <f>VLOOKUP(A975,Database!$A:$V,MATCH(Currency!$B$1,Database!$A$1:$V$1,),)</f>
        <v>90842</v>
      </c>
    </row>
    <row r="976" spans="1:2" x14ac:dyDescent="0.35">
      <c r="A976" s="19">
        <f>Database!A1297</f>
        <v>42948</v>
      </c>
      <c r="B976" s="48">
        <f>VLOOKUP(A976,Database!$A:$V,MATCH(Currency!$B$1,Database!$A$1:$V$1,),)</f>
        <v>82637</v>
      </c>
    </row>
    <row r="977" spans="1:2" x14ac:dyDescent="0.35">
      <c r="A977" s="19">
        <f>Database!A1298</f>
        <v>42955</v>
      </c>
      <c r="B977" s="48">
        <f>VLOOKUP(A977,Database!$A:$V,MATCH(Currency!$B$1,Database!$A$1:$V$1,),)</f>
        <v>93685</v>
      </c>
    </row>
    <row r="978" spans="1:2" x14ac:dyDescent="0.35">
      <c r="A978" s="19">
        <f>Database!A1299</f>
        <v>42962</v>
      </c>
      <c r="B978" s="48">
        <f>VLOOKUP(A978,Database!$A:$V,MATCH(Currency!$B$1,Database!$A$1:$V$1,),)</f>
        <v>79267</v>
      </c>
    </row>
    <row r="979" spans="1:2" x14ac:dyDescent="0.35">
      <c r="A979" s="19">
        <f>Database!A1300</f>
        <v>42969</v>
      </c>
      <c r="B979" s="48">
        <f>VLOOKUP(A979,Database!$A:$V,MATCH(Currency!$B$1,Database!$A$1:$V$1,),)</f>
        <v>87976</v>
      </c>
    </row>
    <row r="980" spans="1:2" x14ac:dyDescent="0.35">
      <c r="A980" s="19">
        <f>Database!A1301</f>
        <v>42976</v>
      </c>
      <c r="B980" s="48">
        <f>VLOOKUP(A980,Database!$A:$V,MATCH(Currency!$B$1,Database!$A$1:$V$1,),)</f>
        <v>86519</v>
      </c>
    </row>
    <row r="981" spans="1:2" x14ac:dyDescent="0.35">
      <c r="A981" s="19">
        <f>Database!A1302</f>
        <v>42983</v>
      </c>
      <c r="B981" s="48">
        <f>VLOOKUP(A981,Database!$A:$V,MATCH(Currency!$B$1,Database!$A$1:$V$1,),)</f>
        <v>96309</v>
      </c>
    </row>
    <row r="982" spans="1:2" x14ac:dyDescent="0.35">
      <c r="A982" s="19">
        <f>Database!A1303</f>
        <v>42990</v>
      </c>
      <c r="B982" s="48">
        <f>VLOOKUP(A982,Database!$A:$V,MATCH(Currency!$B$1,Database!$A$1:$V$1,),)</f>
        <v>86058</v>
      </c>
    </row>
    <row r="983" spans="1:2" x14ac:dyDescent="0.35">
      <c r="A983" s="19">
        <f>Database!A1304</f>
        <v>42997</v>
      </c>
      <c r="B983" s="48">
        <f>VLOOKUP(A983,Database!$A:$V,MATCH(Currency!$B$1,Database!$A$1:$V$1,),)</f>
        <v>62753</v>
      </c>
    </row>
    <row r="984" spans="1:2" x14ac:dyDescent="0.35">
      <c r="A984" s="19">
        <f>Database!A1305</f>
        <v>43004</v>
      </c>
      <c r="B984" s="48">
        <f>VLOOKUP(A984,Database!$A:$V,MATCH(Currency!$B$1,Database!$A$1:$V$1,),)</f>
        <v>88167</v>
      </c>
    </row>
    <row r="985" spans="1:2" x14ac:dyDescent="0.35">
      <c r="A985" s="19">
        <f>Database!A1306</f>
        <v>43011</v>
      </c>
      <c r="B985" s="48">
        <f>VLOOKUP(A985,Database!$A:$V,MATCH(Currency!$B$1,Database!$A$1:$V$1,),)</f>
        <v>90833</v>
      </c>
    </row>
    <row r="986" spans="1:2" x14ac:dyDescent="0.35">
      <c r="A986" s="19">
        <f>Database!A1307</f>
        <v>43018</v>
      </c>
      <c r="B986" s="48">
        <f>VLOOKUP(A986,Database!$A:$V,MATCH(Currency!$B$1,Database!$A$1:$V$1,),)</f>
        <v>98079</v>
      </c>
    </row>
    <row r="987" spans="1:2" x14ac:dyDescent="0.35">
      <c r="A987" s="19">
        <f>Database!A1308</f>
        <v>43025</v>
      </c>
      <c r="B987" s="48">
        <f>VLOOKUP(A987,Database!$A:$V,MATCH(Currency!$B$1,Database!$A$1:$V$1,),)</f>
        <v>90452</v>
      </c>
    </row>
    <row r="988" spans="1:2" x14ac:dyDescent="0.35">
      <c r="A988" s="19">
        <f>Database!A1309</f>
        <v>43032</v>
      </c>
      <c r="B988" s="48">
        <f>VLOOKUP(A988,Database!$A:$V,MATCH(Currency!$B$1,Database!$A$1:$V$1,),)</f>
        <v>83504</v>
      </c>
    </row>
    <row r="989" spans="1:2" x14ac:dyDescent="0.35">
      <c r="A989" s="19">
        <f>Database!A1310</f>
        <v>43039</v>
      </c>
      <c r="B989" s="48">
        <f>VLOOKUP(A989,Database!$A:$V,MATCH(Currency!$B$1,Database!$A$1:$V$1,),)</f>
        <v>72097</v>
      </c>
    </row>
    <row r="990" spans="1:2" x14ac:dyDescent="0.35">
      <c r="A990" s="19">
        <f>Database!A1311</f>
        <v>43046</v>
      </c>
      <c r="B990" s="48">
        <f>VLOOKUP(A990,Database!$A:$V,MATCH(Currency!$B$1,Database!$A$1:$V$1,),)</f>
        <v>85455</v>
      </c>
    </row>
    <row r="991" spans="1:2" x14ac:dyDescent="0.35">
      <c r="A991" s="19">
        <f>Database!A1312</f>
        <v>43053</v>
      </c>
      <c r="B991" s="48">
        <f>VLOOKUP(A991,Database!$A:$V,MATCH(Currency!$B$1,Database!$A$1:$V$1,),)</f>
        <v>84586</v>
      </c>
    </row>
    <row r="992" spans="1:2" x14ac:dyDescent="0.35">
      <c r="A992" s="19">
        <f>Database!A1313</f>
        <v>43060</v>
      </c>
      <c r="B992" s="48">
        <f>VLOOKUP(A992,Database!$A:$V,MATCH(Currency!$B$1,Database!$A$1:$V$1,),)</f>
        <v>95437</v>
      </c>
    </row>
    <row r="993" spans="1:2" x14ac:dyDescent="0.35">
      <c r="A993" s="19">
        <f>Database!A1314</f>
        <v>43067</v>
      </c>
      <c r="B993" s="48">
        <f>VLOOKUP(A993,Database!$A:$V,MATCH(Currency!$B$1,Database!$A$1:$V$1,),)</f>
        <v>89681</v>
      </c>
    </row>
    <row r="994" spans="1:2" x14ac:dyDescent="0.35">
      <c r="A994" s="19">
        <f>Database!A1315</f>
        <v>43074</v>
      </c>
      <c r="B994" s="48">
        <f>VLOOKUP(A994,Database!$A:$V,MATCH(Currency!$B$1,Database!$A$1:$V$1,),)</f>
        <v>93106</v>
      </c>
    </row>
    <row r="995" spans="1:2" x14ac:dyDescent="0.35">
      <c r="A995" s="19">
        <f>Database!A1316</f>
        <v>43081</v>
      </c>
      <c r="B995" s="48">
        <f>VLOOKUP(A995,Database!$A:$V,MATCH(Currency!$B$1,Database!$A$1:$V$1,),)</f>
        <v>113889</v>
      </c>
    </row>
    <row r="996" spans="1:2" x14ac:dyDescent="0.35">
      <c r="A996" s="19">
        <f>Database!A1317</f>
        <v>43088</v>
      </c>
      <c r="B996" s="48">
        <f>VLOOKUP(A996,Database!$A:$V,MATCH(Currency!$B$1,Database!$A$1:$V$1,),)</f>
        <v>86224</v>
      </c>
    </row>
    <row r="997" spans="1:2" x14ac:dyDescent="0.35">
      <c r="A997" s="19">
        <f>Database!A1318</f>
        <v>43095</v>
      </c>
      <c r="B997" s="48">
        <f>VLOOKUP(A997,Database!$A:$V,MATCH(Currency!$B$1,Database!$A$1:$V$1,),)</f>
        <v>92148</v>
      </c>
    </row>
    <row r="998" spans="1:2" x14ac:dyDescent="0.35">
      <c r="A998" s="19">
        <f>Database!A1319</f>
        <v>43102</v>
      </c>
      <c r="B998" s="48">
        <f>VLOOKUP(A998,Database!$A:$V,MATCH(Currency!$B$1,Database!$A$1:$V$1,),)</f>
        <v>127868</v>
      </c>
    </row>
    <row r="999" spans="1:2" x14ac:dyDescent="0.35">
      <c r="A999" s="19">
        <f>Database!A1320</f>
        <v>43109</v>
      </c>
      <c r="B999" s="48">
        <f>VLOOKUP(A999,Database!$A:$V,MATCH(Currency!$B$1,Database!$A$1:$V$1,),)</f>
        <v>144691</v>
      </c>
    </row>
    <row r="1000" spans="1:2" x14ac:dyDescent="0.35">
      <c r="A1000" s="19">
        <f>Database!A1321</f>
        <v>43116</v>
      </c>
      <c r="B1000" s="48">
        <f>VLOOKUP(A1000,Database!$A:$V,MATCH(Currency!$B$1,Database!$A$1:$V$1,),)</f>
        <v>139490</v>
      </c>
    </row>
    <row r="1001" spans="1:2" x14ac:dyDescent="0.35">
      <c r="A1001" s="19">
        <f>Database!A1322</f>
        <v>43123</v>
      </c>
      <c r="B1001" s="48">
        <f>VLOOKUP(A1001,Database!$A:$V,MATCH(Currency!$B$1,Database!$A$1:$V$1,),)</f>
        <v>144717</v>
      </c>
    </row>
    <row r="1002" spans="1:2" x14ac:dyDescent="0.35">
      <c r="A1002" s="19">
        <f>Database!A1323</f>
        <v>43130</v>
      </c>
      <c r="B1002" s="48">
        <f>VLOOKUP(A1002,Database!$A:$V,MATCH(Currency!$B$1,Database!$A$1:$V$1,),)</f>
        <v>148742</v>
      </c>
    </row>
    <row r="1003" spans="1:2" x14ac:dyDescent="0.35">
      <c r="A1003" s="19">
        <f>Database!A1324</f>
        <v>43137</v>
      </c>
      <c r="B1003" s="48">
        <f>VLOOKUP(A1003,Database!$A:$V,MATCH(Currency!$B$1,Database!$A$1:$V$1,),)</f>
        <v>140823</v>
      </c>
    </row>
    <row r="1004" spans="1:2" x14ac:dyDescent="0.35">
      <c r="A1004" s="19">
        <f>Database!A1325</f>
        <v>43144</v>
      </c>
      <c r="B1004" s="48">
        <f>VLOOKUP(A1004,Database!$A:$V,MATCH(Currency!$B$1,Database!$A$1:$V$1,),)</f>
        <v>127289</v>
      </c>
    </row>
    <row r="1005" spans="1:2" x14ac:dyDescent="0.35">
      <c r="A1005" s="19">
        <f>Database!A1326</f>
        <v>43151</v>
      </c>
      <c r="B1005" s="48">
        <f>VLOOKUP(A1005,Database!$A:$V,MATCH(Currency!$B$1,Database!$A$1:$V$1,),)</f>
        <v>126126</v>
      </c>
    </row>
    <row r="1006" spans="1:2" x14ac:dyDescent="0.35">
      <c r="A1006" s="19">
        <f>Database!A1327</f>
        <v>43158</v>
      </c>
      <c r="B1006" s="48">
        <f>VLOOKUP(A1006,Database!$A:$V,MATCH(Currency!$B$1,Database!$A$1:$V$1,),)</f>
        <v>137977</v>
      </c>
    </row>
    <row r="1007" spans="1:2" x14ac:dyDescent="0.35">
      <c r="A1007" s="19">
        <f>Database!A1328</f>
        <v>43165</v>
      </c>
      <c r="B1007" s="48">
        <f>VLOOKUP(A1007,Database!$A:$V,MATCH(Currency!$B$1,Database!$A$1:$V$1,),)</f>
        <v>132972</v>
      </c>
    </row>
    <row r="1008" spans="1:2" x14ac:dyDescent="0.35">
      <c r="A1008" s="19">
        <f>Database!A1329</f>
        <v>43172</v>
      </c>
      <c r="B1008" s="48">
        <f>VLOOKUP(A1008,Database!$A:$V,MATCH(Currency!$B$1,Database!$A$1:$V$1,),)</f>
        <v>146380</v>
      </c>
    </row>
    <row r="1009" spans="1:2" x14ac:dyDescent="0.35">
      <c r="A1009" s="19">
        <f>Database!A1330</f>
        <v>43179</v>
      </c>
      <c r="B1009" s="48">
        <f>VLOOKUP(A1009,Database!$A:$V,MATCH(Currency!$B$1,Database!$A$1:$V$1,),)</f>
        <v>132739</v>
      </c>
    </row>
    <row r="1010" spans="1:2" x14ac:dyDescent="0.35">
      <c r="A1010" s="19">
        <f>Database!A1331</f>
        <v>43186</v>
      </c>
      <c r="B1010" s="48">
        <f>VLOOKUP(A1010,Database!$A:$V,MATCH(Currency!$B$1,Database!$A$1:$V$1,),)</f>
        <v>141064</v>
      </c>
    </row>
    <row r="1011" spans="1:2" x14ac:dyDescent="0.35">
      <c r="A1011" s="19">
        <f>Database!A1332</f>
        <v>43193</v>
      </c>
      <c r="B1011" s="48">
        <f>VLOOKUP(A1011,Database!$A:$V,MATCH(Currency!$B$1,Database!$A$1:$V$1,),)</f>
        <v>134381</v>
      </c>
    </row>
    <row r="1012" spans="1:2" x14ac:dyDescent="0.35">
      <c r="A1012" s="19">
        <f>Database!A1333</f>
        <v>43200</v>
      </c>
      <c r="B1012" s="48">
        <f>VLOOKUP(A1012,Database!$A:$V,MATCH(Currency!$B$1,Database!$A$1:$V$1,),)</f>
        <v>147463</v>
      </c>
    </row>
    <row r="1013" spans="1:2" x14ac:dyDescent="0.35">
      <c r="A1013" s="19">
        <f>Database!A1334</f>
        <v>43207</v>
      </c>
      <c r="B1013" s="48">
        <f>VLOOKUP(A1013,Database!$A:$V,MATCH(Currency!$B$1,Database!$A$1:$V$1,),)</f>
        <v>151476</v>
      </c>
    </row>
    <row r="1014" spans="1:2" x14ac:dyDescent="0.35">
      <c r="A1014" s="19">
        <f>Database!A1335</f>
        <v>43214</v>
      </c>
      <c r="B1014" s="48">
        <f>VLOOKUP(A1014,Database!$A:$V,MATCH(Currency!$B$1,Database!$A$1:$V$1,),)</f>
        <v>130594</v>
      </c>
    </row>
    <row r="1015" spans="1:2" x14ac:dyDescent="0.35">
      <c r="A1015" s="19">
        <f>Database!A1336</f>
        <v>43221</v>
      </c>
      <c r="B1015" s="48">
        <f>VLOOKUP(A1015,Database!$A:$V,MATCH(Currency!$B$1,Database!$A$1:$V$1,),)</f>
        <v>120568</v>
      </c>
    </row>
    <row r="1016" spans="1:2" x14ac:dyDescent="0.35">
      <c r="A1016" s="19">
        <f>Database!A1337</f>
        <v>43228</v>
      </c>
      <c r="B1016" s="48">
        <f>VLOOKUP(A1016,Database!$A:$V,MATCH(Currency!$B$1,Database!$A$1:$V$1,),)</f>
        <v>120505</v>
      </c>
    </row>
    <row r="1017" spans="1:2" x14ac:dyDescent="0.35">
      <c r="A1017" s="19">
        <f>Database!A1338</f>
        <v>43235</v>
      </c>
      <c r="B1017" s="48">
        <f>VLOOKUP(A1017,Database!$A:$V,MATCH(Currency!$B$1,Database!$A$1:$V$1,),)</f>
        <v>115114</v>
      </c>
    </row>
    <row r="1018" spans="1:2" x14ac:dyDescent="0.35">
      <c r="A1018" s="19">
        <f>Database!A1339</f>
        <v>43242</v>
      </c>
      <c r="B1018" s="48">
        <f>VLOOKUP(A1018,Database!$A:$V,MATCH(Currency!$B$1,Database!$A$1:$V$1,),)</f>
        <v>109744</v>
      </c>
    </row>
    <row r="1019" spans="1:2" x14ac:dyDescent="0.35">
      <c r="A1019" s="19">
        <f>Database!A1340</f>
        <v>43249</v>
      </c>
      <c r="B1019" s="48">
        <f>VLOOKUP(A1019,Database!$A:$V,MATCH(Currency!$B$1,Database!$A$1:$V$1,),)</f>
        <v>93037</v>
      </c>
    </row>
    <row r="1020" spans="1:2" x14ac:dyDescent="0.35">
      <c r="A1020" s="19">
        <f>Database!A1341</f>
        <v>43256</v>
      </c>
      <c r="B1020" s="48">
        <f>VLOOKUP(A1020,Database!$A:$V,MATCH(Currency!$B$1,Database!$A$1:$V$1,),)</f>
        <v>89236</v>
      </c>
    </row>
    <row r="1021" spans="1:2" x14ac:dyDescent="0.35">
      <c r="A1021" s="19">
        <f>Database!A1342</f>
        <v>43263</v>
      </c>
      <c r="B1021" s="48">
        <f>VLOOKUP(A1021,Database!$A:$V,MATCH(Currency!$B$1,Database!$A$1:$V$1,),)</f>
        <v>88225</v>
      </c>
    </row>
    <row r="1022" spans="1:2" x14ac:dyDescent="0.35">
      <c r="A1022" s="19">
        <f>Database!A1343</f>
        <v>43270</v>
      </c>
      <c r="B1022" s="48">
        <f>VLOOKUP(A1022,Database!$A:$V,MATCH(Currency!$B$1,Database!$A$1:$V$1,),)</f>
        <v>36118</v>
      </c>
    </row>
    <row r="1023" spans="1:2" x14ac:dyDescent="0.35">
      <c r="A1023" s="19">
        <f>Database!A1344</f>
        <v>43277</v>
      </c>
      <c r="B1023" s="48">
        <f>VLOOKUP(A1023,Database!$A:$V,MATCH(Currency!$B$1,Database!$A$1:$V$1,),)</f>
        <v>33904</v>
      </c>
    </row>
    <row r="1024" spans="1:2" x14ac:dyDescent="0.35">
      <c r="A1024" s="19">
        <f>Database!A1345</f>
        <v>43284</v>
      </c>
      <c r="B1024" s="48">
        <f>VLOOKUP(A1024,Database!$A:$V,MATCH(Currency!$B$1,Database!$A$1:$V$1,),)</f>
        <v>36747</v>
      </c>
    </row>
    <row r="1025" spans="1:2" x14ac:dyDescent="0.35">
      <c r="A1025" s="19">
        <f>Database!A1346</f>
        <v>43291</v>
      </c>
      <c r="B1025" s="48">
        <f>VLOOKUP(A1025,Database!$A:$V,MATCH(Currency!$B$1,Database!$A$1:$V$1,),)</f>
        <v>24357</v>
      </c>
    </row>
    <row r="1026" spans="1:2" x14ac:dyDescent="0.35">
      <c r="A1026" s="19">
        <f>Database!A1347</f>
        <v>43298</v>
      </c>
      <c r="B1026" s="48">
        <f>VLOOKUP(A1026,Database!$A:$V,MATCH(Currency!$B$1,Database!$A$1:$V$1,),)</f>
        <v>21407</v>
      </c>
    </row>
    <row r="1027" spans="1:2" x14ac:dyDescent="0.35">
      <c r="A1027" s="19">
        <f>Database!A1348</f>
        <v>43305</v>
      </c>
      <c r="B1027" s="48">
        <f>VLOOKUP(A1027,Database!$A:$V,MATCH(Currency!$B$1,Database!$A$1:$V$1,),)</f>
        <v>29640</v>
      </c>
    </row>
    <row r="1028" spans="1:2" x14ac:dyDescent="0.35">
      <c r="A1028" s="19">
        <f>Database!A1349</f>
        <v>43312</v>
      </c>
      <c r="B1028" s="48">
        <f>VLOOKUP(A1028,Database!$A:$V,MATCH(Currency!$B$1,Database!$A$1:$V$1,),)</f>
        <v>22825</v>
      </c>
    </row>
    <row r="1029" spans="1:2" x14ac:dyDescent="0.35">
      <c r="A1029" s="19">
        <f>Database!A1350</f>
        <v>43319</v>
      </c>
      <c r="B1029" s="48">
        <f>VLOOKUP(A1029,Database!$A:$V,MATCH(Currency!$B$1,Database!$A$1:$V$1,),)</f>
        <v>10565</v>
      </c>
    </row>
    <row r="1030" spans="1:2" x14ac:dyDescent="0.35">
      <c r="A1030" s="19">
        <f>Database!A1351</f>
        <v>43326</v>
      </c>
      <c r="B1030" s="48">
        <f>VLOOKUP(A1030,Database!$A:$V,MATCH(Currency!$B$1,Database!$A$1:$V$1,),)</f>
        <v>-1789</v>
      </c>
    </row>
    <row r="1031" spans="1:2" x14ac:dyDescent="0.35">
      <c r="A1031" s="19">
        <f>Database!A1352</f>
        <v>43333</v>
      </c>
      <c r="B1031" s="48">
        <f>VLOOKUP(A1031,Database!$A:$V,MATCH(Currency!$B$1,Database!$A$1:$V$1,),)</f>
        <v>-4841</v>
      </c>
    </row>
    <row r="1032" spans="1:2" x14ac:dyDescent="0.35">
      <c r="A1032" s="19">
        <f>Database!A1353</f>
        <v>43340</v>
      </c>
      <c r="B1032" s="48">
        <f>VLOOKUP(A1032,Database!$A:$V,MATCH(Currency!$B$1,Database!$A$1:$V$1,),)</f>
        <v>-7219</v>
      </c>
    </row>
    <row r="1033" spans="1:2" x14ac:dyDescent="0.35">
      <c r="A1033" s="19">
        <f>Database!A1354</f>
        <v>43347</v>
      </c>
      <c r="B1033" s="48">
        <f>VLOOKUP(A1033,Database!$A:$V,MATCH(Currency!$B$1,Database!$A$1:$V$1,),)</f>
        <v>7963</v>
      </c>
    </row>
    <row r="1034" spans="1:2" x14ac:dyDescent="0.35">
      <c r="A1034" s="19">
        <f>Database!A1355</f>
        <v>43354</v>
      </c>
      <c r="B1034" s="48">
        <f>VLOOKUP(A1034,Database!$A:$V,MATCH(Currency!$B$1,Database!$A$1:$V$1,),)</f>
        <v>11170</v>
      </c>
    </row>
    <row r="1035" spans="1:2" x14ac:dyDescent="0.35">
      <c r="A1035" s="19">
        <f>Database!A1356</f>
        <v>43361</v>
      </c>
      <c r="B1035" s="48">
        <f>VLOOKUP(A1035,Database!$A:$V,MATCH(Currency!$B$1,Database!$A$1:$V$1,),)</f>
        <v>1666</v>
      </c>
    </row>
    <row r="1036" spans="1:2" x14ac:dyDescent="0.35">
      <c r="A1036" s="19">
        <f>Database!A1357</f>
        <v>43368</v>
      </c>
      <c r="B1036" s="48">
        <f>VLOOKUP(A1036,Database!$A:$V,MATCH(Currency!$B$1,Database!$A$1:$V$1,),)</f>
        <v>3696</v>
      </c>
    </row>
    <row r="1037" spans="1:2" x14ac:dyDescent="0.35">
      <c r="A1037" s="19">
        <f>Database!A1358</f>
        <v>43375</v>
      </c>
      <c r="B1037" s="48">
        <f>VLOOKUP(A1037,Database!$A:$V,MATCH(Currency!$B$1,Database!$A$1:$V$1,),)</f>
        <v>-7101</v>
      </c>
    </row>
    <row r="1038" spans="1:2" x14ac:dyDescent="0.35">
      <c r="A1038" s="19">
        <f>Database!A1359</f>
        <v>43382</v>
      </c>
      <c r="B1038" s="48">
        <f>VLOOKUP(A1038,Database!$A:$V,MATCH(Currency!$B$1,Database!$A$1:$V$1,),)</f>
        <v>-16142</v>
      </c>
    </row>
    <row r="1039" spans="1:2" x14ac:dyDescent="0.35">
      <c r="A1039" s="19">
        <f>Database!A1360</f>
        <v>43389</v>
      </c>
      <c r="B1039" s="48">
        <f>VLOOKUP(A1039,Database!$A:$V,MATCH(Currency!$B$1,Database!$A$1:$V$1,),)</f>
        <v>-29344</v>
      </c>
    </row>
    <row r="1040" spans="1:2" x14ac:dyDescent="0.35">
      <c r="A1040" s="19">
        <f>Database!A1361</f>
        <v>43396</v>
      </c>
      <c r="B1040" s="48">
        <f>VLOOKUP(A1040,Database!$A:$V,MATCH(Currency!$B$1,Database!$A$1:$V$1,),)</f>
        <v>-30304</v>
      </c>
    </row>
    <row r="1041" spans="1:2" x14ac:dyDescent="0.35">
      <c r="A1041" s="19">
        <f>Database!A1362</f>
        <v>43403</v>
      </c>
      <c r="B1041" s="48">
        <f>VLOOKUP(A1041,Database!$A:$V,MATCH(Currency!$B$1,Database!$A$1:$V$1,),)</f>
        <v>-32662</v>
      </c>
    </row>
    <row r="1042" spans="1:2" x14ac:dyDescent="0.35">
      <c r="A1042" s="19">
        <f>Database!A1363</f>
        <v>43410</v>
      </c>
      <c r="B1042" s="48">
        <f>VLOOKUP(A1042,Database!$A:$V,MATCH(Currency!$B$1,Database!$A$1:$V$1,),)</f>
        <v>-46843</v>
      </c>
    </row>
    <row r="1043" spans="1:2" x14ac:dyDescent="0.35">
      <c r="A1043" s="19">
        <f>Database!A1364</f>
        <v>43417</v>
      </c>
      <c r="B1043" s="48">
        <f>VLOOKUP(A1043,Database!$A:$V,MATCH(Currency!$B$1,Database!$A$1:$V$1,),)</f>
        <v>-37019</v>
      </c>
    </row>
    <row r="1044" spans="1:2" x14ac:dyDescent="0.35">
      <c r="A1044" s="19">
        <f>Database!A1365</f>
        <v>43424</v>
      </c>
      <c r="B1044" s="48">
        <f>VLOOKUP(A1044,Database!$A:$V,MATCH(Currency!$B$1,Database!$A$1:$V$1,),)</f>
        <v>-47229</v>
      </c>
    </row>
    <row r="1045" spans="1:2" x14ac:dyDescent="0.35">
      <c r="A1045" s="19">
        <f>Database!A1366</f>
        <v>43431</v>
      </c>
      <c r="B1045" s="48">
        <f>VLOOKUP(A1045,Database!$A:$V,MATCH(Currency!$B$1,Database!$A$1:$V$1,),)</f>
        <v>-55071</v>
      </c>
    </row>
    <row r="1046" spans="1:2" x14ac:dyDescent="0.35">
      <c r="A1046" s="19">
        <f>Database!A1367</f>
        <v>43438</v>
      </c>
      <c r="B1046" s="48">
        <f>VLOOKUP(A1046,Database!$A:$V,MATCH(Currency!$B$1,Database!$A$1:$V$1,),)</f>
        <v>-60776</v>
      </c>
    </row>
    <row r="1047" spans="1:2" x14ac:dyDescent="0.35">
      <c r="A1047" s="19">
        <f>Database!A1368</f>
        <v>43445</v>
      </c>
      <c r="B1047" s="48">
        <f>VLOOKUP(A1047,Database!$A:$V,MATCH(Currency!$B$1,Database!$A$1:$V$1,),)</f>
        <v>-56287</v>
      </c>
    </row>
    <row r="1048" spans="1:2" x14ac:dyDescent="0.35">
      <c r="A1048" s="19">
        <f>Database!A1369</f>
        <v>43452</v>
      </c>
      <c r="B1048" s="48">
        <f>VLOOKUP(A1048,Database!$A:$V,MATCH(Currency!$B$1,Database!$A$1:$V$1,),)</f>
        <v>-53124</v>
      </c>
    </row>
    <row r="1049" spans="1:2" x14ac:dyDescent="0.35">
      <c r="A1049" s="19">
        <f>Database!A1370</f>
        <v>43458</v>
      </c>
      <c r="B1049" s="48">
        <f>VLOOKUP(A1049,Database!$A:$V,MATCH(Currency!$B$1,Database!$A$1:$V$1,),)</f>
        <v>-58455</v>
      </c>
    </row>
    <row r="1050" spans="1:2" x14ac:dyDescent="0.35">
      <c r="A1050" s="19">
        <f>Database!A1371</f>
        <v>43465</v>
      </c>
      <c r="B1050" s="48">
        <f>VLOOKUP(A1050,Database!$A:$V,MATCH(Currency!$B$1,Database!$A$1:$V$1,),)</f>
        <v>-46648</v>
      </c>
    </row>
    <row r="1051" spans="1:2" x14ac:dyDescent="0.35">
      <c r="A1051" s="19">
        <f>Database!A1372</f>
        <v>43473</v>
      </c>
      <c r="B1051" s="48">
        <f>VLOOKUP(A1051,Database!$A:$V,MATCH(Currency!$B$1,Database!$A$1:$V$1,),)</f>
        <v>-40533</v>
      </c>
    </row>
    <row r="1052" spans="1:2" x14ac:dyDescent="0.35">
      <c r="A1052" s="19">
        <f>Database!A1373</f>
        <v>43480</v>
      </c>
      <c r="B1052" s="48">
        <f>VLOOKUP(A1052,Database!$A:$V,MATCH(Currency!$B$1,Database!$A$1:$V$1,),)</f>
        <v>-32661</v>
      </c>
    </row>
    <row r="1053" spans="1:2" x14ac:dyDescent="0.35">
      <c r="A1053" s="19">
        <f>Database!A1374</f>
        <v>43487</v>
      </c>
      <c r="B1053" s="48">
        <f>VLOOKUP(A1053,Database!$A:$V,MATCH(Currency!$B$1,Database!$A$1:$V$1,),)</f>
        <v>-41006</v>
      </c>
    </row>
    <row r="1054" spans="1:2" x14ac:dyDescent="0.35">
      <c r="A1054" s="19">
        <f>Database!A1375</f>
        <v>43494</v>
      </c>
      <c r="B1054" s="48">
        <f>VLOOKUP(A1054,Database!$A:$V,MATCH(Currency!$B$1,Database!$A$1:$V$1,),)</f>
        <v>-46474</v>
      </c>
    </row>
    <row r="1055" spans="1:2" x14ac:dyDescent="0.35">
      <c r="A1055" s="19">
        <f>Database!A1376</f>
        <v>43501</v>
      </c>
      <c r="B1055" s="48">
        <f>VLOOKUP(A1055,Database!$A:$V,MATCH(Currency!$B$1,Database!$A$1:$V$1,),)</f>
        <v>-51964</v>
      </c>
    </row>
    <row r="1056" spans="1:2" x14ac:dyDescent="0.35">
      <c r="A1056" s="19">
        <f>Database!A1377</f>
        <v>43508</v>
      </c>
      <c r="B1056" s="48">
        <f>VLOOKUP(A1056,Database!$A:$V,MATCH(Currency!$B$1,Database!$A$1:$V$1,),)</f>
        <v>-63900</v>
      </c>
    </row>
    <row r="1057" spans="1:2" x14ac:dyDescent="0.35">
      <c r="A1057" s="19">
        <f>Database!A1378</f>
        <v>43515</v>
      </c>
      <c r="B1057" s="48">
        <f>VLOOKUP(A1057,Database!$A:$V,MATCH(Currency!$B$1,Database!$A$1:$V$1,),)</f>
        <v>-74934</v>
      </c>
    </row>
    <row r="1058" spans="1:2" x14ac:dyDescent="0.35">
      <c r="A1058" s="19">
        <f>Database!A1379</f>
        <v>43522</v>
      </c>
      <c r="B1058" s="48">
        <f>VLOOKUP(A1058,Database!$A:$V,MATCH(Currency!$B$1,Database!$A$1:$V$1,),)</f>
        <v>-72455</v>
      </c>
    </row>
    <row r="1059" spans="1:2" x14ac:dyDescent="0.35">
      <c r="A1059" s="19">
        <f>Database!A1380</f>
        <v>43529</v>
      </c>
      <c r="B1059" s="48">
        <f>VLOOKUP(A1059,Database!$A:$V,MATCH(Currency!$B$1,Database!$A$1:$V$1,),)</f>
        <v>-78166</v>
      </c>
    </row>
    <row r="1060" spans="1:2" x14ac:dyDescent="0.35">
      <c r="A1060" s="19">
        <f>Database!A1381</f>
        <v>43536</v>
      </c>
      <c r="B1060" s="48">
        <f>VLOOKUP(A1060,Database!$A:$V,MATCH(Currency!$B$1,Database!$A$1:$V$1,),)</f>
        <v>-75745</v>
      </c>
    </row>
    <row r="1061" spans="1:2" x14ac:dyDescent="0.35">
      <c r="A1061" s="19">
        <f>Database!A1382</f>
        <v>43543</v>
      </c>
      <c r="B1061" s="48">
        <f>VLOOKUP(A1061,Database!$A:$V,MATCH(Currency!$B$1,Database!$A$1:$V$1,),)</f>
        <v>-77704</v>
      </c>
    </row>
    <row r="1062" spans="1:2" x14ac:dyDescent="0.35">
      <c r="A1062" s="19">
        <f>Database!A1383</f>
        <v>43550</v>
      </c>
      <c r="B1062" s="48">
        <f>VLOOKUP(A1062,Database!$A:$V,MATCH(Currency!$B$1,Database!$A$1:$V$1,),)</f>
        <v>-80278</v>
      </c>
    </row>
    <row r="1063" spans="1:2" x14ac:dyDescent="0.35">
      <c r="A1063" s="19">
        <f>Database!A1384</f>
        <v>43557</v>
      </c>
      <c r="B1063" s="48">
        <f>VLOOKUP(A1063,Database!$A:$V,MATCH(Currency!$B$1,Database!$A$1:$V$1,),)</f>
        <v>-99184</v>
      </c>
    </row>
    <row r="1064" spans="1:2" x14ac:dyDescent="0.35">
      <c r="A1064" s="19">
        <f>Database!A1385</f>
        <v>43564</v>
      </c>
      <c r="B1064" s="48">
        <f>VLOOKUP(A1064,Database!$A:$V,MATCH(Currency!$B$1,Database!$A$1:$V$1,),)</f>
        <v>-102198</v>
      </c>
    </row>
    <row r="1065" spans="1:2" x14ac:dyDescent="0.35">
      <c r="A1065" s="19">
        <f>Database!A1386</f>
        <v>43571</v>
      </c>
      <c r="B1065" s="48">
        <f>VLOOKUP(A1065,Database!$A:$V,MATCH(Currency!$B$1,Database!$A$1:$V$1,),)</f>
        <v>-98023</v>
      </c>
    </row>
    <row r="1066" spans="1:2" x14ac:dyDescent="0.35">
      <c r="A1066" s="19">
        <f>Database!A1387</f>
        <v>43578</v>
      </c>
      <c r="B1066" s="48">
        <f>VLOOKUP(A1066,Database!$A:$V,MATCH(Currency!$B$1,Database!$A$1:$V$1,),)</f>
        <v>-105418</v>
      </c>
    </row>
    <row r="1067" spans="1:2" x14ac:dyDescent="0.35">
      <c r="A1067" s="19">
        <f>Database!A1388</f>
        <v>43585</v>
      </c>
      <c r="B1067" s="48">
        <f>VLOOKUP(A1067,Database!$A:$V,MATCH(Currency!$B$1,Database!$A$1:$V$1,),)</f>
        <v>-105544</v>
      </c>
    </row>
    <row r="1068" spans="1:2" x14ac:dyDescent="0.35">
      <c r="A1068" s="19">
        <f>Database!A1389</f>
        <v>43592</v>
      </c>
      <c r="B1068" s="48">
        <f>VLOOKUP(A1068,Database!$A:$V,MATCH(Currency!$B$1,Database!$A$1:$V$1,),)</f>
        <v>-106105</v>
      </c>
    </row>
    <row r="1069" spans="1:2" x14ac:dyDescent="0.35">
      <c r="A1069" s="19">
        <f>Database!A1390</f>
        <v>43599</v>
      </c>
      <c r="B1069" s="48">
        <f>VLOOKUP(A1069,Database!$A:$V,MATCH(Currency!$B$1,Database!$A$1:$V$1,),)</f>
        <v>-95301</v>
      </c>
    </row>
    <row r="1070" spans="1:2" x14ac:dyDescent="0.35">
      <c r="A1070" s="19">
        <f>Database!A1391</f>
        <v>43606</v>
      </c>
      <c r="B1070" s="48">
        <f>VLOOKUP(A1070,Database!$A:$V,MATCH(Currency!$B$1,Database!$A$1:$V$1,),)</f>
        <v>-101102</v>
      </c>
    </row>
    <row r="1071" spans="1:2" x14ac:dyDescent="0.35">
      <c r="A1071" s="19">
        <f>Database!A1392</f>
        <v>43613</v>
      </c>
      <c r="B1071" s="48">
        <f>VLOOKUP(A1071,Database!$A:$V,MATCH(Currency!$B$1,Database!$A$1:$V$1,),)</f>
        <v>-99691</v>
      </c>
    </row>
    <row r="1072" spans="1:2" x14ac:dyDescent="0.35">
      <c r="A1072" s="19">
        <f>Database!A1393</f>
        <v>43620</v>
      </c>
      <c r="B1072" s="48">
        <f>VLOOKUP(A1072,Database!$A:$V,MATCH(Currency!$B$1,Database!$A$1:$V$1,),)</f>
        <v>-87551</v>
      </c>
    </row>
    <row r="1073" spans="1:2" x14ac:dyDescent="0.35">
      <c r="A1073" s="19">
        <f>Database!A1394</f>
        <v>43627</v>
      </c>
      <c r="B1073" s="48">
        <f>VLOOKUP(A1073,Database!$A:$V,MATCH(Currency!$B$1,Database!$A$1:$V$1,),)</f>
        <v>-86792</v>
      </c>
    </row>
    <row r="1074" spans="1:2" x14ac:dyDescent="0.35">
      <c r="A1074" s="19">
        <f>Database!A1395</f>
        <v>43634</v>
      </c>
      <c r="B1074" s="48">
        <f>VLOOKUP(A1074,Database!$A:$V,MATCH(Currency!$B$1,Database!$A$1:$V$1,),)</f>
        <v>-52330</v>
      </c>
    </row>
    <row r="1075" spans="1:2" x14ac:dyDescent="0.35">
      <c r="A1075" s="19">
        <f>Database!A1396</f>
        <v>43641</v>
      </c>
      <c r="B1075" s="48">
        <f>VLOOKUP(A1075,Database!$A:$V,MATCH(Currency!$B$1,Database!$A$1:$V$1,),)</f>
        <v>-56295</v>
      </c>
    </row>
    <row r="1076" spans="1:2" x14ac:dyDescent="0.35">
      <c r="A1076" s="19">
        <f>Database!A1397</f>
        <v>43648</v>
      </c>
      <c r="B1076" s="48">
        <f>VLOOKUP(A1076,Database!$A:$V,MATCH(Currency!$B$1,Database!$A$1:$V$1,),)</f>
        <v>-31733</v>
      </c>
    </row>
    <row r="1077" spans="1:2" x14ac:dyDescent="0.35">
      <c r="A1077" s="19">
        <f>Database!A1398</f>
        <v>43655</v>
      </c>
      <c r="B1077" s="48">
        <f>VLOOKUP(A1077,Database!$A:$V,MATCH(Currency!$B$1,Database!$A$1:$V$1,),)</f>
        <v>-35865</v>
      </c>
    </row>
    <row r="1078" spans="1:2" x14ac:dyDescent="0.35">
      <c r="A1078" s="19">
        <f>Database!A1399</f>
        <v>43662</v>
      </c>
      <c r="B1078" s="48">
        <f>VLOOKUP(A1078,Database!$A:$V,MATCH(Currency!$B$1,Database!$A$1:$V$1,),)</f>
        <v>-31351</v>
      </c>
    </row>
    <row r="1079" spans="1:2" x14ac:dyDescent="0.35">
      <c r="A1079" s="19">
        <f>Database!A1400</f>
        <v>43669</v>
      </c>
      <c r="B1079" s="48">
        <f>VLOOKUP(A1079,Database!$A:$V,MATCH(Currency!$B$1,Database!$A$1:$V$1,),)</f>
        <v>-39004</v>
      </c>
    </row>
    <row r="1080" spans="1:2" x14ac:dyDescent="0.35">
      <c r="A1080" s="19">
        <f>Database!A1401</f>
        <v>43676</v>
      </c>
      <c r="B1080" s="48">
        <f>VLOOKUP(A1080,Database!$A:$V,MATCH(Currency!$B$1,Database!$A$1:$V$1,),)</f>
        <v>-53983</v>
      </c>
    </row>
    <row r="1081" spans="1:2" x14ac:dyDescent="0.35">
      <c r="A1081" s="19">
        <f>Database!A1402</f>
        <v>43683</v>
      </c>
      <c r="B1081" s="48">
        <f>VLOOKUP(A1081,Database!$A:$V,MATCH(Currency!$B$1,Database!$A$1:$V$1,),)</f>
        <v>-44010</v>
      </c>
    </row>
    <row r="1082" spans="1:2" x14ac:dyDescent="0.35">
      <c r="A1082" s="19">
        <f>Database!A1403</f>
        <v>43690</v>
      </c>
      <c r="B1082" s="48">
        <f>VLOOKUP(A1082,Database!$A:$V,MATCH(Currency!$B$1,Database!$A$1:$V$1,),)</f>
        <v>-46649</v>
      </c>
    </row>
    <row r="1083" spans="1:2" x14ac:dyDescent="0.35">
      <c r="A1083" s="19">
        <f>Database!A1404</f>
        <v>43697</v>
      </c>
      <c r="B1083" s="48">
        <f>VLOOKUP(A1083,Database!$A:$V,MATCH(Currency!$B$1,Database!$A$1:$V$1,),)</f>
        <v>-37977</v>
      </c>
    </row>
    <row r="1084" spans="1:2" x14ac:dyDescent="0.35">
      <c r="A1084" s="19">
        <f>Database!A1405</f>
        <v>43704</v>
      </c>
      <c r="B1084" s="48">
        <f>VLOOKUP(A1084,Database!$A:$V,MATCH(Currency!$B$1,Database!$A$1:$V$1,),)</f>
        <v>-38804</v>
      </c>
    </row>
    <row r="1085" spans="1:2" x14ac:dyDescent="0.35">
      <c r="A1085" s="19">
        <f>Database!A1406</f>
        <v>43711</v>
      </c>
      <c r="B1085" s="48">
        <f>VLOOKUP(A1085,Database!$A:$V,MATCH(Currency!$B$1,Database!$A$1:$V$1,),)</f>
        <v>-49136</v>
      </c>
    </row>
    <row r="1086" spans="1:2" x14ac:dyDescent="0.35">
      <c r="A1086" s="19">
        <f>Database!A1407</f>
        <v>43718</v>
      </c>
      <c r="B1086" s="48">
        <f>VLOOKUP(A1086,Database!$A:$V,MATCH(Currency!$B$1,Database!$A$1:$V$1,),)</f>
        <v>-49842</v>
      </c>
    </row>
    <row r="1087" spans="1:2" x14ac:dyDescent="0.35">
      <c r="A1087" s="19">
        <f>Database!A1408</f>
        <v>43725</v>
      </c>
      <c r="B1087" s="48">
        <f>VLOOKUP(A1087,Database!$A:$V,MATCH(Currency!$B$1,Database!$A$1:$V$1,),)</f>
        <v>-68559</v>
      </c>
    </row>
    <row r="1088" spans="1:2" x14ac:dyDescent="0.35">
      <c r="A1088" s="19">
        <f>Database!A1409</f>
        <v>43732</v>
      </c>
      <c r="B1088" s="48">
        <f>VLOOKUP(A1088,Database!$A:$V,MATCH(Currency!$B$1,Database!$A$1:$V$1,),)</f>
        <v>-60722</v>
      </c>
    </row>
    <row r="1089" spans="1:2" x14ac:dyDescent="0.35">
      <c r="A1089" s="19">
        <f>Database!A1410</f>
        <v>43739</v>
      </c>
      <c r="B1089" s="48">
        <f>VLOOKUP(A1089,Database!$A:$V,MATCH(Currency!$B$1,Database!$A$1:$V$1,),)</f>
        <v>-65978</v>
      </c>
    </row>
    <row r="1090" spans="1:2" x14ac:dyDescent="0.35">
      <c r="A1090" s="19">
        <f>Database!A1411</f>
        <v>43746</v>
      </c>
      <c r="B1090" s="48">
        <f>VLOOKUP(A1090,Database!$A:$V,MATCH(Currency!$B$1,Database!$A$1:$V$1,),)</f>
        <v>-75413</v>
      </c>
    </row>
    <row r="1091" spans="1:2" x14ac:dyDescent="0.35">
      <c r="A1091" s="19">
        <f>Database!A1412</f>
        <v>43753</v>
      </c>
      <c r="B1091" s="48">
        <f>VLOOKUP(A1091,Database!$A:$V,MATCH(Currency!$B$1,Database!$A$1:$V$1,),)</f>
        <v>-76866</v>
      </c>
    </row>
    <row r="1092" spans="1:2" x14ac:dyDescent="0.35">
      <c r="A1092" s="19">
        <f>Database!A1413</f>
        <v>43760</v>
      </c>
      <c r="B1092" s="48">
        <f>VLOOKUP(A1092,Database!$A:$V,MATCH(Currency!$B$1,Database!$A$1:$V$1,),)</f>
        <v>-51050</v>
      </c>
    </row>
    <row r="1093" spans="1:2" x14ac:dyDescent="0.35">
      <c r="A1093" s="19">
        <f>Database!A1414</f>
        <v>43767</v>
      </c>
      <c r="B1093" s="48">
        <f>VLOOKUP(A1093,Database!$A:$V,MATCH(Currency!$B$1,Database!$A$1:$V$1,),)</f>
        <v>-53355</v>
      </c>
    </row>
    <row r="1094" spans="1:2" x14ac:dyDescent="0.35">
      <c r="A1094" s="19">
        <f>Database!A1415</f>
        <v>43774</v>
      </c>
      <c r="B1094" s="48">
        <f>VLOOKUP(A1094,Database!$A:$V,MATCH(Currency!$B$1,Database!$A$1:$V$1,),)</f>
        <v>-60746</v>
      </c>
    </row>
    <row r="1095" spans="1:2" x14ac:dyDescent="0.35">
      <c r="A1095" s="19">
        <f>Database!A1416</f>
        <v>43781</v>
      </c>
      <c r="B1095" s="48">
        <f>VLOOKUP(A1095,Database!$A:$V,MATCH(Currency!$B$1,Database!$A$1:$V$1,),)</f>
        <v>-57669</v>
      </c>
    </row>
    <row r="1096" spans="1:2" x14ac:dyDescent="0.35">
      <c r="A1096" s="19">
        <f>Database!A1417</f>
        <v>43788</v>
      </c>
      <c r="B1096" s="48">
        <f>VLOOKUP(A1096,Database!$A:$V,MATCH(Currency!$B$1,Database!$A$1:$V$1,),)</f>
        <v>-62503</v>
      </c>
    </row>
    <row r="1097" spans="1:2" x14ac:dyDescent="0.35">
      <c r="A1097" s="19">
        <f>Database!A1418</f>
        <v>43795</v>
      </c>
      <c r="B1097" s="48">
        <f>VLOOKUP(A1097,Database!$A:$V,MATCH(Currency!$B$1,Database!$A$1:$V$1,),)</f>
        <v>-61416</v>
      </c>
    </row>
    <row r="1098" spans="1:2" x14ac:dyDescent="0.35">
      <c r="A1098" s="19">
        <f>Database!A1419</f>
        <v>43802</v>
      </c>
      <c r="B1098" s="48">
        <f>VLOOKUP(A1098,Database!$A:$V,MATCH(Currency!$B$1,Database!$A$1:$V$1,),)</f>
        <v>-69049</v>
      </c>
    </row>
    <row r="1099" spans="1:2" x14ac:dyDescent="0.35">
      <c r="A1099" s="19">
        <f>Database!A1420</f>
        <v>43809</v>
      </c>
      <c r="B1099" s="48">
        <f>VLOOKUP(A1099,Database!$A:$V,MATCH(Currency!$B$1,Database!$A$1:$V$1,),)</f>
        <v>-67643</v>
      </c>
    </row>
    <row r="1100" spans="1:2" x14ac:dyDescent="0.35">
      <c r="A1100" s="19">
        <f>Database!A1421</f>
        <v>43816</v>
      </c>
      <c r="B1100" s="48">
        <f>VLOOKUP(A1100,Database!$A:$V,MATCH(Currency!$B$1,Database!$A$1:$V$1,),)</f>
        <v>-65694</v>
      </c>
    </row>
    <row r="1101" spans="1:2" x14ac:dyDescent="0.35">
      <c r="A1101" s="19">
        <f>Database!A1422</f>
        <v>43823</v>
      </c>
      <c r="B1101" s="48">
        <f>VLOOKUP(A1101,Database!$A:$V,MATCH(Currency!$B$1,Database!$A$1:$V$1,),)</f>
        <v>-72943</v>
      </c>
    </row>
    <row r="1102" spans="1:2" x14ac:dyDescent="0.35">
      <c r="A1102" s="19">
        <f>Database!A1423</f>
        <v>43830</v>
      </c>
      <c r="B1102" s="48">
        <f>VLOOKUP(A1102,Database!$A:$V,MATCH(Currency!$B$1,Database!$A$1:$V$1,),)</f>
        <v>-74345</v>
      </c>
    </row>
    <row r="1103" spans="1:2" x14ac:dyDescent="0.35">
      <c r="A1103" s="19">
        <f>Database!A1424</f>
        <v>43837</v>
      </c>
      <c r="B1103" s="48">
        <f>VLOOKUP(A1103,Database!$A:$V,MATCH(Currency!$B$1,Database!$A$1:$V$1,),)</f>
        <v>-61664</v>
      </c>
    </row>
    <row r="1104" spans="1:2" x14ac:dyDescent="0.35">
      <c r="A1104" s="19">
        <f>Database!A1425</f>
        <v>43844</v>
      </c>
      <c r="B1104" s="48">
        <f>VLOOKUP(A1104,Database!$A:$V,MATCH(Currency!$B$1,Database!$A$1:$V$1,),)</f>
        <v>-48182</v>
      </c>
    </row>
    <row r="1105" spans="1:2" x14ac:dyDescent="0.35">
      <c r="A1105" s="19">
        <f>Database!A1426</f>
        <v>43851</v>
      </c>
      <c r="B1105" s="48">
        <f>VLOOKUP(A1105,Database!$A:$V,MATCH(Currency!$B$1,Database!$A$1:$V$1,),)</f>
        <v>-47019</v>
      </c>
    </row>
    <row r="1106" spans="1:2" x14ac:dyDescent="0.35">
      <c r="A1106" s="19">
        <f>Database!A1427</f>
        <v>43858</v>
      </c>
      <c r="B1106" s="48">
        <f>VLOOKUP(A1106,Database!$A:$V,MATCH(Currency!$B$1,Database!$A$1:$V$1,),)</f>
        <v>-58862</v>
      </c>
    </row>
    <row r="1107" spans="1:2" x14ac:dyDescent="0.35">
      <c r="A1107" s="19">
        <f>Database!A1428</f>
        <v>43865</v>
      </c>
      <c r="B1107" s="48">
        <f>VLOOKUP(A1107,Database!$A:$V,MATCH(Currency!$B$1,Database!$A$1:$V$1,),)</f>
        <v>-75080</v>
      </c>
    </row>
    <row r="1108" spans="1:2" x14ac:dyDescent="0.35">
      <c r="A1108" s="19">
        <f>Database!A1429</f>
        <v>43872</v>
      </c>
      <c r="B1108" s="48">
        <f>VLOOKUP(A1108,Database!$A:$V,MATCH(Currency!$B$1,Database!$A$1:$V$1,),)</f>
        <v>-85669</v>
      </c>
    </row>
    <row r="1109" spans="1:2" x14ac:dyDescent="0.35">
      <c r="A1109" s="19">
        <f>Database!A1430</f>
        <v>43879</v>
      </c>
      <c r="B1109" s="48">
        <f>VLOOKUP(A1109,Database!$A:$V,MATCH(Currency!$B$1,Database!$A$1:$V$1,),)</f>
        <v>-91507</v>
      </c>
    </row>
    <row r="1110" spans="1:2" x14ac:dyDescent="0.35">
      <c r="A1110" s="19">
        <f>Database!A1431</f>
        <v>43886</v>
      </c>
      <c r="B1110" s="48">
        <f>VLOOKUP(A1110,Database!$A:$V,MATCH(Currency!$B$1,Database!$A$1:$V$1,),)</f>
        <v>-114021</v>
      </c>
    </row>
    <row r="1111" spans="1:2" x14ac:dyDescent="0.35">
      <c r="A1111" s="19">
        <f>Database!A1432</f>
        <v>43893</v>
      </c>
      <c r="B1111" s="48">
        <f>VLOOKUP(A1111,Database!$A:$V,MATCH(Currency!$B$1,Database!$A$1:$V$1,),)</f>
        <v>-86703</v>
      </c>
    </row>
    <row r="1112" spans="1:2" x14ac:dyDescent="0.35">
      <c r="A1112" s="19">
        <f>Database!A1433</f>
        <v>43900</v>
      </c>
      <c r="B1112" s="48">
        <f>VLOOKUP(A1112,Database!$A:$V,MATCH(Currency!$B$1,Database!$A$1:$V$1,),)</f>
        <v>-12667</v>
      </c>
    </row>
    <row r="1113" spans="1:2" x14ac:dyDescent="0.35">
      <c r="A1113" s="19">
        <f>Database!A1434</f>
        <v>43907</v>
      </c>
      <c r="B1113" s="48">
        <f>VLOOKUP(A1113,Database!$A:$V,MATCH(Currency!$B$1,Database!$A$1:$V$1,),)</f>
        <v>32495</v>
      </c>
    </row>
    <row r="1114" spans="1:2" x14ac:dyDescent="0.35">
      <c r="A1114" s="19">
        <f>Database!A1435</f>
        <v>43914</v>
      </c>
      <c r="B1114" s="48">
        <f>VLOOKUP(A1114,Database!$A:$V,MATCH(Currency!$B$1,Database!$A$1:$V$1,),)</f>
        <v>61290</v>
      </c>
    </row>
    <row r="1115" spans="1:2" x14ac:dyDescent="0.35">
      <c r="A1115" s="19">
        <f>Database!A1436</f>
        <v>43921</v>
      </c>
      <c r="B1115" s="48">
        <f>VLOOKUP(A1115,Database!$A:$V,MATCH(Currency!$B$1,Database!$A$1:$V$1,),)</f>
        <v>74247</v>
      </c>
    </row>
    <row r="1116" spans="1:2" x14ac:dyDescent="0.35">
      <c r="A1116" s="19">
        <f>Database!A1437</f>
        <v>43928</v>
      </c>
      <c r="B1116" s="48">
        <f>VLOOKUP(A1116,Database!$A:$V,MATCH(Currency!$B$1,Database!$A$1:$V$1,),)</f>
        <v>79624</v>
      </c>
    </row>
    <row r="1117" spans="1:2" x14ac:dyDescent="0.35">
      <c r="A1117" s="19">
        <f>Database!A1438</f>
        <v>43935</v>
      </c>
      <c r="B1117" s="48">
        <f>VLOOKUP(A1117,Database!$A:$V,MATCH(Currency!$B$1,Database!$A$1:$V$1,),)</f>
        <v>86617</v>
      </c>
    </row>
    <row r="1118" spans="1:2" x14ac:dyDescent="0.35">
      <c r="A1118" s="19">
        <f>Database!A1439</f>
        <v>43942</v>
      </c>
      <c r="B1118" s="48">
        <f>VLOOKUP(A1118,Database!$A:$V,MATCH(Currency!$B$1,Database!$A$1:$V$1,),)</f>
        <v>87218</v>
      </c>
    </row>
    <row r="1119" spans="1:2" x14ac:dyDescent="0.35">
      <c r="A1119" s="19">
        <f>Database!A1440</f>
        <v>43949</v>
      </c>
      <c r="B1119" s="48">
        <f>VLOOKUP(A1119,Database!$A:$V,MATCH(Currency!$B$1,Database!$A$1:$V$1,),)</f>
        <v>79681</v>
      </c>
    </row>
    <row r="1120" spans="1:2" x14ac:dyDescent="0.35">
      <c r="A1120" s="19">
        <f>Database!A1441</f>
        <v>43956</v>
      </c>
      <c r="B1120" s="48">
        <f>VLOOKUP(A1120,Database!$A:$V,MATCH(Currency!$B$1,Database!$A$1:$V$1,),)</f>
        <v>76299</v>
      </c>
    </row>
    <row r="1121" spans="1:2" x14ac:dyDescent="0.35">
      <c r="A1121" s="19">
        <f>Database!A1442</f>
        <v>43963</v>
      </c>
      <c r="B1121" s="48">
        <f>VLOOKUP(A1121,Database!$A:$V,MATCH(Currency!$B$1,Database!$A$1:$V$1,),)</f>
        <v>78140</v>
      </c>
    </row>
    <row r="1122" spans="1:2" x14ac:dyDescent="0.35">
      <c r="A1122" s="19">
        <f>Database!A1443</f>
        <v>43970</v>
      </c>
      <c r="B1122" s="48">
        <f>VLOOKUP(A1122,Database!$A:$V,MATCH(Currency!$B$1,Database!$A$1:$V$1,),)</f>
        <v>72562</v>
      </c>
    </row>
    <row r="1123" spans="1:2" x14ac:dyDescent="0.35">
      <c r="A1123" s="19">
        <f>Database!A1444</f>
        <v>43977</v>
      </c>
      <c r="B1123" s="48">
        <f>VLOOKUP(A1123,Database!$A:$V,MATCH(Currency!$B$1,Database!$A$1:$V$1,),)</f>
        <v>75222</v>
      </c>
    </row>
    <row r="1124" spans="1:2" x14ac:dyDescent="0.35">
      <c r="A1124" s="19">
        <f>Database!A1445</f>
        <v>43984</v>
      </c>
      <c r="B1124" s="48">
        <f>VLOOKUP(A1124,Database!$A:$V,MATCH(Currency!$B$1,Database!$A$1:$V$1,),)</f>
        <v>81240</v>
      </c>
    </row>
    <row r="1125" spans="1:2" x14ac:dyDescent="0.35">
      <c r="A1125" s="19">
        <f>Database!A1446</f>
        <v>43991</v>
      </c>
      <c r="B1125" s="48">
        <f>VLOOKUP(A1125,Database!$A:$V,MATCH(Currency!$B$1,Database!$A$1:$V$1,),)</f>
        <v>95649</v>
      </c>
    </row>
    <row r="1126" spans="1:2" x14ac:dyDescent="0.35">
      <c r="A1126" s="19">
        <f>Database!A1447</f>
        <v>43998</v>
      </c>
      <c r="B1126" s="48">
        <f>VLOOKUP(A1126,Database!$A:$V,MATCH(Currency!$B$1,Database!$A$1:$V$1,),)</f>
        <v>117132</v>
      </c>
    </row>
    <row r="1127" spans="1:2" x14ac:dyDescent="0.35">
      <c r="A1127" s="19">
        <f>Database!A1448</f>
        <v>44005</v>
      </c>
      <c r="B1127" s="48">
        <f>VLOOKUP(A1127,Database!$A:$V,MATCH(Currency!$B$1,Database!$A$1:$V$1,),)</f>
        <v>118448</v>
      </c>
    </row>
    <row r="1128" spans="1:2" x14ac:dyDescent="0.35">
      <c r="A1128" s="19">
        <f>Database!A1449</f>
        <v>44012</v>
      </c>
      <c r="B1128" s="48">
        <f>VLOOKUP(A1128,Database!$A:$V,MATCH(Currency!$B$1,Database!$A$1:$V$1,),)</f>
        <v>98955</v>
      </c>
    </row>
    <row r="1129" spans="1:2" x14ac:dyDescent="0.35">
      <c r="A1129" s="19">
        <f>Database!A1450</f>
        <v>44019</v>
      </c>
      <c r="B1129" s="48">
        <f>VLOOKUP(A1129,Database!$A:$V,MATCH(Currency!$B$1,Database!$A$1:$V$1,),)</f>
        <v>103597</v>
      </c>
    </row>
    <row r="1130" spans="1:2" x14ac:dyDescent="0.35">
      <c r="A1130" s="19">
        <f>Database!A1451</f>
        <v>44026</v>
      </c>
      <c r="B1130" s="48">
        <f>VLOOKUP(A1130,Database!$A:$V,MATCH(Currency!$B$1,Database!$A$1:$V$1,),)</f>
        <v>110912</v>
      </c>
    </row>
    <row r="1131" spans="1:2" x14ac:dyDescent="0.35">
      <c r="A1131" s="19">
        <f>Database!A1452</f>
        <v>44033</v>
      </c>
      <c r="B1131" s="48">
        <f>VLOOKUP(A1131,Database!$A:$V,MATCH(Currency!$B$1,Database!$A$1:$V$1,),)</f>
        <v>125047</v>
      </c>
    </row>
    <row r="1132" spans="1:2" x14ac:dyDescent="0.35">
      <c r="A1132" s="19">
        <f>Database!A1453</f>
        <v>44040</v>
      </c>
      <c r="B1132" s="48">
        <f>VLOOKUP(A1132,Database!$A:$V,MATCH(Currency!$B$1,Database!$A$1:$V$1,),)</f>
        <v>157559</v>
      </c>
    </row>
    <row r="1133" spans="1:2" x14ac:dyDescent="0.35">
      <c r="A1133" s="19">
        <f>Database!A1454</f>
        <v>44047</v>
      </c>
      <c r="B1133" s="48">
        <f>VLOOKUP(A1133,Database!$A:$V,MATCH(Currency!$B$1,Database!$A$1:$V$1,),)</f>
        <v>180648</v>
      </c>
    </row>
    <row r="1134" spans="1:2" x14ac:dyDescent="0.35">
      <c r="A1134" s="19">
        <f>Database!A1455</f>
        <v>44054</v>
      </c>
      <c r="B1134" s="48">
        <f>VLOOKUP(A1134,Database!$A:$V,MATCH(Currency!$B$1,Database!$A$1:$V$1,),)</f>
        <v>199751</v>
      </c>
    </row>
    <row r="1135" spans="1:2" x14ac:dyDescent="0.35">
      <c r="A1135" s="19">
        <f>Database!A1456</f>
        <v>44061</v>
      </c>
      <c r="B1135" s="48">
        <f>VLOOKUP(A1135,Database!$A:$V,MATCH(Currency!$B$1,Database!$A$1:$V$1,),)</f>
        <v>196943</v>
      </c>
    </row>
    <row r="1136" spans="1:2" x14ac:dyDescent="0.35">
      <c r="A1136" s="19">
        <f>Database!A1457</f>
        <v>44068</v>
      </c>
      <c r="B1136" s="48">
        <f>VLOOKUP(A1136,Database!$A:$V,MATCH(Currency!$B$1,Database!$A$1:$V$1,),)</f>
        <v>211752</v>
      </c>
    </row>
    <row r="1137" spans="1:2" x14ac:dyDescent="0.35">
      <c r="A1137" s="19">
        <f>Database!A1458</f>
        <v>44075</v>
      </c>
      <c r="B1137" s="48">
        <f>VLOOKUP(A1137,Database!$A:$V,MATCH(Currency!$B$1,Database!$A$1:$V$1,),)</f>
        <v>196747</v>
      </c>
    </row>
    <row r="1138" spans="1:2" x14ac:dyDescent="0.35">
      <c r="A1138" s="19">
        <f>Database!A1459</f>
        <v>44082</v>
      </c>
      <c r="B1138" s="48">
        <f>VLOOKUP(A1138,Database!$A:$V,MATCH(Currency!$B$1,Database!$A$1:$V$1,),)</f>
        <v>196814</v>
      </c>
    </row>
    <row r="1139" spans="1:2" x14ac:dyDescent="0.35">
      <c r="A1139" s="19">
        <f>Database!A1460</f>
        <v>44089</v>
      </c>
      <c r="B1139" s="48">
        <f>VLOOKUP(A1139,Database!$A:$V,MATCH(Currency!$B$1,Database!$A$1:$V$1,),)</f>
        <v>178576</v>
      </c>
    </row>
    <row r="1140" spans="1:2" x14ac:dyDescent="0.35">
      <c r="A1140" s="19">
        <f>Database!A1461</f>
        <v>44096</v>
      </c>
      <c r="B1140" s="48">
        <f>VLOOKUP(A1140,Database!$A:$V,MATCH(Currency!$B$1,Database!$A$1:$V$1,),)</f>
        <v>190822</v>
      </c>
    </row>
    <row r="1141" spans="1:2" x14ac:dyDescent="0.35">
      <c r="A1141" s="19">
        <f>Database!A1462</f>
        <v>44103</v>
      </c>
      <c r="B1141" s="48">
        <f>VLOOKUP(A1141,Database!$A:$V,MATCH(Currency!$B$1,Database!$A$1:$V$1,),)</f>
        <v>188116</v>
      </c>
    </row>
    <row r="1142" spans="1:2" x14ac:dyDescent="0.35">
      <c r="A1142" s="19">
        <f>Database!A1463</f>
        <v>44110</v>
      </c>
      <c r="B1142" s="48">
        <f>VLOOKUP(A1142,Database!$A:$V,MATCH(Currency!$B$1,Database!$A$1:$V$1,),)</f>
        <v>174308</v>
      </c>
    </row>
    <row r="1143" spans="1:2" x14ac:dyDescent="0.35">
      <c r="A1143" s="19">
        <f>Database!A1464</f>
        <v>44117</v>
      </c>
      <c r="B1143" s="48">
        <f>VLOOKUP(A1143,Database!$A:$V,MATCH(Currency!$B$1,Database!$A$1:$V$1,),)</f>
        <v>168637</v>
      </c>
    </row>
    <row r="1144" spans="1:2" x14ac:dyDescent="0.35">
      <c r="A1144" s="19">
        <f>Database!A1465</f>
        <v>44124</v>
      </c>
      <c r="B1144" s="48">
        <f>VLOOKUP(A1144,Database!$A:$V,MATCH(Currency!$B$1,Database!$A$1:$V$1,),)</f>
        <v>165943</v>
      </c>
    </row>
    <row r="1145" spans="1:2" x14ac:dyDescent="0.35">
      <c r="A1145" s="19">
        <f>Database!A1466</f>
        <v>44131</v>
      </c>
      <c r="B1145" s="48">
        <f>VLOOKUP(A1145,Database!$A:$V,MATCH(Currency!$B$1,Database!$A$1:$V$1,),)</f>
        <v>155555</v>
      </c>
    </row>
    <row r="1146" spans="1:2" x14ac:dyDescent="0.35">
      <c r="A1146" s="19">
        <f>Database!A1467</f>
        <v>44138</v>
      </c>
      <c r="B1146" s="48">
        <f>VLOOKUP(A1146,Database!$A:$V,MATCH(Currency!$B$1,Database!$A$1:$V$1,),)</f>
        <v>140349</v>
      </c>
    </row>
    <row r="1147" spans="1:2" x14ac:dyDescent="0.35">
      <c r="A1147" s="19">
        <f>Database!A1468</f>
        <v>44145</v>
      </c>
      <c r="B1147" s="48">
        <f>VLOOKUP(A1147,Database!$A:$V,MATCH(Currency!$B$1,Database!$A$1:$V$1,),)</f>
        <v>135287</v>
      </c>
    </row>
    <row r="1148" spans="1:2" x14ac:dyDescent="0.35">
      <c r="A1148" s="19">
        <f>Database!A1469</f>
        <v>44152</v>
      </c>
      <c r="B1148" s="48">
        <f>VLOOKUP(A1148,Database!$A:$V,MATCH(Currency!$B$1,Database!$A$1:$V$1,),)</f>
        <v>133960</v>
      </c>
    </row>
    <row r="1149" spans="1:2" x14ac:dyDescent="0.35">
      <c r="A1149" s="19">
        <f>Database!A1470</f>
        <v>44159</v>
      </c>
      <c r="B1149" s="48">
        <f>VLOOKUP(A1149,Database!$A:$V,MATCH(Currency!$B$1,Database!$A$1:$V$1,),)</f>
        <v>138250</v>
      </c>
    </row>
    <row r="1150" spans="1:2" x14ac:dyDescent="0.35">
      <c r="A1150" s="19">
        <f>Database!A1471</f>
        <v>44166</v>
      </c>
      <c r="B1150" s="48">
        <f>VLOOKUP(A1150,Database!$A:$V,MATCH(Currency!$B$1,Database!$A$1:$V$1,),)</f>
        <v>139894</v>
      </c>
    </row>
    <row r="1151" spans="1:2" x14ac:dyDescent="0.35">
      <c r="A1151" s="19">
        <f>Database!A1472</f>
        <v>44173</v>
      </c>
      <c r="B1151" s="48">
        <f>VLOOKUP(A1151,Database!$A:$V,MATCH(Currency!$B$1,Database!$A$1:$V$1,),)</f>
        <v>156429</v>
      </c>
    </row>
    <row r="1152" spans="1:2" x14ac:dyDescent="0.35">
      <c r="A1152" s="19">
        <f>Database!A1473</f>
        <v>44180</v>
      </c>
      <c r="B1152" s="48">
        <f>VLOOKUP(A1152,Database!$A:$V,MATCH(Currency!$B$1,Database!$A$1:$V$1,),)</f>
        <v>141833</v>
      </c>
    </row>
    <row r="1153" spans="1:2" x14ac:dyDescent="0.35">
      <c r="A1153" s="19">
        <f>Database!A1474</f>
        <v>44186</v>
      </c>
      <c r="B1153" s="48">
        <f>VLOOKUP(A1153,Database!$A:$V,MATCH(Currency!$B$1,Database!$A$1:$V$1,),)</f>
        <v>143902</v>
      </c>
    </row>
    <row r="1154" spans="1:2" x14ac:dyDescent="0.35">
      <c r="A1154" s="19">
        <f>Database!A1475</f>
        <v>44194</v>
      </c>
      <c r="B1154" s="48">
        <f>VLOOKUP(A1154,Database!$A:$V,MATCH(Currency!$B$1,Database!$A$1:$V$1,),)</f>
        <v>143076</v>
      </c>
    </row>
    <row r="1155" spans="1:2" x14ac:dyDescent="0.35">
      <c r="A1155" s="19">
        <f>Database!A1476</f>
        <v>44201</v>
      </c>
      <c r="B1155" s="48">
        <f>VLOOKUP(A1155,Database!$A:$V,MATCH(Currency!$B$1,Database!$A$1:$V$1,),)</f>
        <v>142991</v>
      </c>
    </row>
    <row r="1156" spans="1:2" x14ac:dyDescent="0.35">
      <c r="A1156" s="19">
        <f>Database!A1477</f>
        <v>44208</v>
      </c>
      <c r="B1156" s="48">
        <f>VLOOKUP(A1156,Database!$A:$V,MATCH(Currency!$B$1,Database!$A$1:$V$1,),)</f>
        <v>155890</v>
      </c>
    </row>
    <row r="1157" spans="1:2" x14ac:dyDescent="0.35">
      <c r="A1157" s="19">
        <f>Database!A1478</f>
        <v>44215</v>
      </c>
      <c r="B1157" s="48">
        <f>VLOOKUP(A1157,Database!$A:$V,MATCH(Currency!$B$1,Database!$A$1:$V$1,),)</f>
        <v>163466</v>
      </c>
    </row>
    <row r="1158" spans="1:2" x14ac:dyDescent="0.35">
      <c r="A1158" s="19">
        <f>Database!A1479</f>
        <v>44222</v>
      </c>
      <c r="B1158" s="48">
        <f>VLOOKUP(A1158,Database!$A:$V,MATCH(Currency!$B$1,Database!$A$1:$V$1,),)</f>
        <v>165344</v>
      </c>
    </row>
    <row r="1159" spans="1:2" x14ac:dyDescent="0.35">
      <c r="A1159" s="19">
        <f>Database!A1480</f>
        <v>44229</v>
      </c>
      <c r="B1159" s="48">
        <f>VLOOKUP(A1159,Database!$A:$V,MATCH(Currency!$B$1,Database!$A$1:$V$1,),)</f>
        <v>137003</v>
      </c>
    </row>
    <row r="1160" spans="1:2" x14ac:dyDescent="0.35">
      <c r="A1160" s="19">
        <f>Database!A1481</f>
        <v>44236</v>
      </c>
      <c r="B1160" s="48">
        <f>VLOOKUP(A1160,Database!$A:$V,MATCH(Currency!$B$1,Database!$A$1:$V$1,),)</f>
        <v>140222</v>
      </c>
    </row>
    <row r="1161" spans="1:2" x14ac:dyDescent="0.35">
      <c r="A1161" s="19">
        <f>Database!A1482</f>
        <v>44243</v>
      </c>
      <c r="B1161" s="48">
        <f>VLOOKUP(A1161,Database!$A:$V,MATCH(Currency!$B$1,Database!$A$1:$V$1,),)</f>
        <v>140006</v>
      </c>
    </row>
    <row r="1162" spans="1:2" x14ac:dyDescent="0.35">
      <c r="A1162" s="19">
        <f>Database!A1483</f>
        <v>44250</v>
      </c>
      <c r="B1162" s="48">
        <f>VLOOKUP(A1162,Database!$A:$V,MATCH(Currency!$B$1,Database!$A$1:$V$1,),)</f>
        <v>138365</v>
      </c>
    </row>
    <row r="1163" spans="1:2" x14ac:dyDescent="0.35">
      <c r="A1163" s="19">
        <f>Database!A1484</f>
        <v>44257</v>
      </c>
      <c r="B1163" s="48">
        <f>VLOOKUP(A1163,Database!$A:$V,MATCH(Currency!$B$1,Database!$A$1:$V$1,),)</f>
        <v>125988</v>
      </c>
    </row>
    <row r="1164" spans="1:2" x14ac:dyDescent="0.35">
      <c r="A1164" s="19">
        <f>Database!A1485</f>
        <v>44264</v>
      </c>
      <c r="B1164" s="48">
        <f>VLOOKUP(A1164,Database!$A:$V,MATCH(Currency!$B$1,Database!$A$1:$V$1,),)</f>
        <v>101964</v>
      </c>
    </row>
    <row r="1165" spans="1:2" x14ac:dyDescent="0.35">
      <c r="A1165" s="19">
        <f>Database!A1486</f>
        <v>44271</v>
      </c>
      <c r="B1165" s="48">
        <f>VLOOKUP(A1165,Database!$A:$V,MATCH(Currency!$B$1,Database!$A$1:$V$1,),)</f>
        <v>89976</v>
      </c>
    </row>
    <row r="1166" spans="1:2" x14ac:dyDescent="0.35">
      <c r="A1166" s="19">
        <f>Database!A1487</f>
        <v>44278</v>
      </c>
      <c r="B1166" s="48">
        <f>VLOOKUP(A1166,Database!$A:$V,MATCH(Currency!$B$1,Database!$A$1:$V$1,),)</f>
        <v>93322</v>
      </c>
    </row>
    <row r="1167" spans="1:2" x14ac:dyDescent="0.35">
      <c r="A1167" s="19">
        <f>Database!A1488</f>
        <v>44285</v>
      </c>
      <c r="B1167" s="48">
        <f>VLOOKUP(A1167,Database!$A:$V,MATCH(Currency!$B$1,Database!$A$1:$V$1,),)</f>
        <v>73739</v>
      </c>
    </row>
    <row r="1168" spans="1:2" x14ac:dyDescent="0.35">
      <c r="A1168" s="19">
        <f>Database!A1489</f>
        <v>44292</v>
      </c>
      <c r="B1168" s="48">
        <f>VLOOKUP(A1168,Database!$A:$V,MATCH(Currency!$B$1,Database!$A$1:$V$1,),)</f>
        <v>67522</v>
      </c>
    </row>
    <row r="1169" spans="1:2" x14ac:dyDescent="0.35">
      <c r="A1169" s="19">
        <f>Database!A1490</f>
        <v>44299</v>
      </c>
      <c r="B1169" s="48">
        <f>VLOOKUP(A1169,Database!$A:$V,MATCH(Currency!$B$1,Database!$A$1:$V$1,),)</f>
        <v>66851</v>
      </c>
    </row>
    <row r="1170" spans="1:2" x14ac:dyDescent="0.35">
      <c r="A1170" s="19">
        <f>Database!A1491</f>
        <v>44306</v>
      </c>
      <c r="B1170" s="48">
        <f>VLOOKUP(A1170,Database!$A:$V,MATCH(Currency!$B$1,Database!$A$1:$V$1,),)</f>
        <v>80808</v>
      </c>
    </row>
    <row r="1171" spans="1:2" x14ac:dyDescent="0.35">
      <c r="A1171" s="19">
        <f>Database!A1492</f>
        <v>44313</v>
      </c>
      <c r="B1171" s="48">
        <f>VLOOKUP(A1171,Database!$A:$V,MATCH(Currency!$B$1,Database!$A$1:$V$1,),)</f>
        <v>80967</v>
      </c>
    </row>
    <row r="1172" spans="1:2" x14ac:dyDescent="0.35">
      <c r="A1172" s="19">
        <f>Database!A1493</f>
        <v>44320</v>
      </c>
      <c r="B1172" s="48">
        <f>VLOOKUP(A1172,Database!$A:$V,MATCH(Currency!$B$1,Database!$A$1:$V$1,),)</f>
        <v>84829</v>
      </c>
    </row>
    <row r="1173" spans="1:2" x14ac:dyDescent="0.35">
      <c r="A1173" s="19">
        <f>Database!A1494</f>
        <v>44327</v>
      </c>
      <c r="B1173" s="48">
        <f>VLOOKUP(A1173,Database!$A:$V,MATCH(Currency!$B$1,Database!$A$1:$V$1,),)</f>
        <v>93907</v>
      </c>
    </row>
    <row r="1174" spans="1:2" x14ac:dyDescent="0.35">
      <c r="A1174" s="19">
        <f>Database!A1495</f>
        <v>44334</v>
      </c>
      <c r="B1174" s="48">
        <f>VLOOKUP(A1174,Database!$A:$V,MATCH(Currency!$B$1,Database!$A$1:$V$1,),)</f>
        <v>99858</v>
      </c>
    </row>
    <row r="1175" spans="1:2" x14ac:dyDescent="0.35">
      <c r="A1175" s="19">
        <f>Database!A1496</f>
        <v>44341</v>
      </c>
      <c r="B1175" s="48">
        <f>VLOOKUP(A1175,Database!$A:$V,MATCH(Currency!$B$1,Database!$A$1:$V$1,),)</f>
        <v>104000</v>
      </c>
    </row>
    <row r="1176" spans="1:2" x14ac:dyDescent="0.35">
      <c r="A1176" s="19">
        <f>Database!A1497</f>
        <v>44348</v>
      </c>
      <c r="B1176" s="48">
        <f>VLOOKUP(A1176,Database!$A:$V,MATCH(Currency!$B$1,Database!$A$1:$V$1,),)</f>
        <v>109322</v>
      </c>
    </row>
    <row r="1177" spans="1:2" x14ac:dyDescent="0.35">
      <c r="A1177" s="19">
        <f>Database!A1498</f>
        <v>44355</v>
      </c>
      <c r="B1177" s="48">
        <f>VLOOKUP(A1177,Database!$A:$V,MATCH(Currency!$B$1,Database!$A$1:$V$1,),)</f>
        <v>107213</v>
      </c>
    </row>
    <row r="1178" spans="1:2" x14ac:dyDescent="0.35">
      <c r="A1178" s="19">
        <f>Database!A1499</f>
        <v>44362</v>
      </c>
      <c r="B1178" s="48">
        <f>VLOOKUP(A1178,Database!$A:$V,MATCH(Currency!$B$1,Database!$A$1:$V$1,),)</f>
        <v>118186</v>
      </c>
    </row>
    <row r="1179" spans="1:2" x14ac:dyDescent="0.35">
      <c r="A1179" s="19">
        <f>Database!A1500</f>
        <v>44369</v>
      </c>
      <c r="B1179" s="48">
        <f>VLOOKUP(A1179,Database!$A:$V,MATCH(Currency!$B$1,Database!$A$1:$V$1,),)</f>
        <v>89057</v>
      </c>
    </row>
    <row r="1180" spans="1:2" x14ac:dyDescent="0.35">
      <c r="A1180" s="19">
        <f>Database!A1501</f>
        <v>44376</v>
      </c>
      <c r="B1180" s="48">
        <f>VLOOKUP(A1180,Database!$A:$V,MATCH(Currency!$B$1,Database!$A$1:$V$1,),)</f>
        <v>87146</v>
      </c>
    </row>
    <row r="1181" spans="1:2" x14ac:dyDescent="0.35">
      <c r="A1181" s="19">
        <f>Database!A1502</f>
        <v>44383</v>
      </c>
      <c r="B1181" s="48">
        <f>VLOOKUP(A1181,Database!$A:$V,MATCH(Currency!$B$1,Database!$A$1:$V$1,),)</f>
        <v>77190</v>
      </c>
    </row>
    <row r="1182" spans="1:2" x14ac:dyDescent="0.35">
      <c r="A1182" s="19">
        <f>Database!A1503</f>
        <v>44390</v>
      </c>
      <c r="B1182" s="48">
        <f>VLOOKUP(A1182,Database!$A:$V,MATCH(Currency!$B$1,Database!$A$1:$V$1,),)</f>
        <v>59713</v>
      </c>
    </row>
    <row r="1183" spans="1:2" x14ac:dyDescent="0.35">
      <c r="A1183" s="19">
        <f>Database!A1504</f>
        <v>44397</v>
      </c>
      <c r="B1183" s="48">
        <f>VLOOKUP(A1183,Database!$A:$V,MATCH(Currency!$B$1,Database!$A$1:$V$1,),)</f>
        <v>45822</v>
      </c>
    </row>
    <row r="1184" spans="1:2" x14ac:dyDescent="0.35">
      <c r="A1184" s="19">
        <f>Database!A1505</f>
        <v>44404</v>
      </c>
      <c r="B1184" s="48">
        <f>VLOOKUP(A1184,Database!$A:$V,MATCH(Currency!$B$1,Database!$A$1:$V$1,),)</f>
        <v>38126</v>
      </c>
    </row>
    <row r="1185" spans="1:2" x14ac:dyDescent="0.35">
      <c r="A1185" s="19">
        <f>Database!A1506</f>
        <v>44411</v>
      </c>
      <c r="B1185" s="48">
        <f>VLOOKUP(A1185,Database!$A:$V,MATCH(Currency!$B$1,Database!$A$1:$V$1,),)</f>
        <v>38007</v>
      </c>
    </row>
    <row r="1186" spans="1:2" x14ac:dyDescent="0.35">
      <c r="A1186" s="19">
        <f>Database!A1507</f>
        <v>44418</v>
      </c>
      <c r="B1186" s="48">
        <f>VLOOKUP(A1186,Database!$A:$V,MATCH(Currency!$B$1,Database!$A$1:$V$1,),)</f>
        <v>33857</v>
      </c>
    </row>
    <row r="1187" spans="1:2" x14ac:dyDescent="0.35">
      <c r="A1187" s="19">
        <f>Database!A1508</f>
        <v>44425</v>
      </c>
      <c r="B1187" s="48">
        <f>VLOOKUP(A1187,Database!$A:$V,MATCH(Currency!$B$1,Database!$A$1:$V$1,),)</f>
        <v>57640</v>
      </c>
    </row>
    <row r="1188" spans="1:2" x14ac:dyDescent="0.35">
      <c r="A1188" s="19">
        <f>Database!A1509</f>
        <v>44432</v>
      </c>
      <c r="B1188" s="48">
        <f>VLOOKUP(A1188,Database!$A:$V,MATCH(Currency!$B$1,Database!$A$1:$V$1,),)</f>
        <v>24630</v>
      </c>
    </row>
    <row r="1189" spans="1:2" x14ac:dyDescent="0.35">
      <c r="A1189" s="19">
        <f>Database!A1510</f>
        <v>44439</v>
      </c>
      <c r="B1189" s="48">
        <f>VLOOKUP(A1189,Database!$A:$V,MATCH(Currency!$B$1,Database!$A$1:$V$1,),)</f>
        <v>10476</v>
      </c>
    </row>
    <row r="1190" spans="1:2" x14ac:dyDescent="0.35">
      <c r="A1190" s="19">
        <f>Database!A1511</f>
        <v>44446</v>
      </c>
      <c r="B1190" s="48">
        <f>VLOOKUP(A1190,Database!$A:$V,MATCH(Currency!$B$1,Database!$A$1:$V$1,),)</f>
        <v>26308</v>
      </c>
    </row>
    <row r="1191" spans="1:2" x14ac:dyDescent="0.35">
      <c r="A1191" s="19">
        <f>Database!A1512</f>
        <v>44453</v>
      </c>
      <c r="B1191" s="48">
        <f>VLOOKUP(A1191,Database!$A:$V,MATCH(Currency!$B$1,Database!$A$1:$V$1,),)</f>
        <v>27805</v>
      </c>
    </row>
    <row r="1192" spans="1:2" x14ac:dyDescent="0.35">
      <c r="A1192" s="19">
        <f>Database!A1513</f>
        <v>44460</v>
      </c>
      <c r="B1192" s="48">
        <f>VLOOKUP(A1192,Database!$A:$V,MATCH(Currency!$B$1,Database!$A$1:$V$1,),)</f>
        <v>12095</v>
      </c>
    </row>
    <row r="1193" spans="1:2" x14ac:dyDescent="0.35">
      <c r="A1193" s="19">
        <f>Database!A1514</f>
        <v>44467</v>
      </c>
      <c r="B1193" s="48">
        <f>VLOOKUP(A1193,Database!$A:$V,MATCH(Currency!$B$1,Database!$A$1:$V$1,),)</f>
        <v>872</v>
      </c>
    </row>
    <row r="1194" spans="1:2" x14ac:dyDescent="0.35">
      <c r="A1194" s="19">
        <f>Database!A1515</f>
        <v>44474</v>
      </c>
      <c r="B1194" s="48">
        <f>VLOOKUP(A1194,Database!$A:$V,MATCH(Currency!$B$1,Database!$A$1:$V$1,),)</f>
        <v>-22334</v>
      </c>
    </row>
    <row r="1195" spans="1:2" x14ac:dyDescent="0.35">
      <c r="A1195" s="19">
        <f>Database!A1516</f>
        <v>44481</v>
      </c>
      <c r="B1195" s="48">
        <f>VLOOKUP(A1195,Database!$A:$V,MATCH(Currency!$B$1,Database!$A$1:$V$1,),)</f>
        <v>-18398</v>
      </c>
    </row>
    <row r="1196" spans="1:2" x14ac:dyDescent="0.35">
      <c r="A1196" s="19">
        <f>Database!A1517</f>
        <v>44488</v>
      </c>
      <c r="B1196" s="48">
        <f>VLOOKUP(A1196,Database!$A:$V,MATCH(Currency!$B$1,Database!$A$1:$V$1,),)</f>
        <v>-12107</v>
      </c>
    </row>
    <row r="1197" spans="1:2" x14ac:dyDescent="0.35">
      <c r="A1197" s="19">
        <f>Database!A1518</f>
        <v>44495</v>
      </c>
      <c r="B1197" s="48">
        <f>VLOOKUP(A1197,Database!$A:$V,MATCH(Currency!$B$1,Database!$A$1:$V$1,),)</f>
        <v>-11256</v>
      </c>
    </row>
    <row r="1198" spans="1:2" x14ac:dyDescent="0.35">
      <c r="A1198" s="19">
        <f>Database!A1519</f>
        <v>44502</v>
      </c>
      <c r="B1198" s="48">
        <f>VLOOKUP(A1198,Database!$A:$V,MATCH(Currency!$B$1,Database!$A$1:$V$1,),)</f>
        <v>-6138</v>
      </c>
    </row>
    <row r="1199" spans="1:2" x14ac:dyDescent="0.35">
      <c r="A1199" s="19">
        <f>Database!A1520</f>
        <v>44509</v>
      </c>
      <c r="B1199" s="48">
        <f>VLOOKUP(A1199,Database!$A:$V,MATCH(Currency!$B$1,Database!$A$1:$V$1,),)</f>
        <v>3773</v>
      </c>
    </row>
    <row r="1200" spans="1:2" x14ac:dyDescent="0.35">
      <c r="A1200" s="19">
        <f>Database!A1521</f>
        <v>44516</v>
      </c>
      <c r="B1200" s="48">
        <f>VLOOKUP(A1200,Database!$A:$V,MATCH(Currency!$B$1,Database!$A$1:$V$1,),)</f>
        <v>-3826</v>
      </c>
    </row>
    <row r="1201" spans="1:2" x14ac:dyDescent="0.35">
      <c r="A1201" s="19">
        <f>Database!A1522</f>
        <v>44523</v>
      </c>
      <c r="B1201" s="48">
        <f>VLOOKUP(A1201,Database!$A:$V,MATCH(Currency!$B$1,Database!$A$1:$V$1,),)</f>
        <v>-16452</v>
      </c>
    </row>
    <row r="1202" spans="1:2" x14ac:dyDescent="0.35">
      <c r="A1202" s="19">
        <f>Database!A1523</f>
        <v>44530</v>
      </c>
      <c r="B1202" s="48">
        <f>VLOOKUP(A1202,Database!$A:$V,MATCH(Currency!$B$1,Database!$A$1:$V$1,),)</f>
        <v>-23240</v>
      </c>
    </row>
    <row r="1203" spans="1:2" x14ac:dyDescent="0.35">
      <c r="A1203" s="19">
        <f>Database!A1524</f>
        <v>44537</v>
      </c>
      <c r="B1203" s="48">
        <f>VLOOKUP(A1203,Database!$A:$V,MATCH(Currency!$B$1,Database!$A$1:$V$1,),)</f>
        <v>-8299</v>
      </c>
    </row>
    <row r="1204" spans="1:2" x14ac:dyDescent="0.35">
      <c r="A1204" s="19">
        <f>Database!A1525</f>
        <v>44544</v>
      </c>
      <c r="B1204" s="48">
        <f>VLOOKUP(A1204,Database!$A:$V,MATCH(Currency!$B$1,Database!$A$1:$V$1,),)</f>
        <v>-11879</v>
      </c>
    </row>
    <row r="1205" spans="1:2" x14ac:dyDescent="0.35">
      <c r="A1205" s="19">
        <f>Database!A1526</f>
        <v>44551</v>
      </c>
      <c r="B1205" s="48">
        <f>VLOOKUP(A1205,Database!$A:$V,MATCH(Currency!$B$1,Database!$A$1:$V$1,),)</f>
        <v>-10162</v>
      </c>
    </row>
    <row r="1206" spans="1:2" x14ac:dyDescent="0.35">
      <c r="A1206" s="19">
        <f>Database!A1527</f>
        <v>44558</v>
      </c>
      <c r="B1206" s="48">
        <f>VLOOKUP(A1206,Database!$A:$V,MATCH(Currency!$B$1,Database!$A$1:$V$1,),)</f>
        <v>-6634</v>
      </c>
    </row>
    <row r="1207" spans="1:2" x14ac:dyDescent="0.35">
      <c r="A1207" s="19">
        <f>Database!A1528</f>
        <v>44565</v>
      </c>
      <c r="B1207" s="48">
        <f>VLOOKUP(A1207,Database!$A:$V,MATCH(Currency!$B$1,Database!$A$1:$V$1,),)</f>
        <v>-11458</v>
      </c>
    </row>
    <row r="1208" spans="1:2" x14ac:dyDescent="0.35">
      <c r="A1208" s="19">
        <f>Database!A1529</f>
        <v>44572</v>
      </c>
      <c r="B1208" s="48">
        <f>VLOOKUP(A1208,Database!$A:$V,MATCH(Currency!$B$1,Database!$A$1:$V$1,),)</f>
        <v>-4805</v>
      </c>
    </row>
    <row r="1209" spans="1:2" x14ac:dyDescent="0.35">
      <c r="A1209" s="19">
        <f>Database!A1530</f>
        <v>44579</v>
      </c>
      <c r="B1209" s="48">
        <f>VLOOKUP(A1209,Database!$A:$V,MATCH(Currency!$B$1,Database!$A$1:$V$1,),)</f>
        <v>15640</v>
      </c>
    </row>
    <row r="1210" spans="1:2" x14ac:dyDescent="0.35">
      <c r="A1210" s="19">
        <f>Database!A1531</f>
        <v>44586</v>
      </c>
      <c r="B1210" s="48">
        <f>VLOOKUP(A1210,Database!$A:$V,MATCH(Currency!$B$1,Database!$A$1:$V$1,),)</f>
        <v>32140</v>
      </c>
    </row>
    <row r="1211" spans="1:2" x14ac:dyDescent="0.35">
      <c r="A1211" s="19">
        <f>Database!A1532</f>
        <v>44593</v>
      </c>
      <c r="B1211" s="48">
        <f>VLOOKUP(A1211,Database!$A:$V,MATCH(Currency!$B$1,Database!$A$1:$V$1,),)</f>
        <v>22937</v>
      </c>
    </row>
    <row r="1212" spans="1:2" x14ac:dyDescent="0.35">
      <c r="A1212" s="19">
        <f>Database!A1533</f>
        <v>44600</v>
      </c>
      <c r="B1212" s="48">
        <f>VLOOKUP(A1212,Database!$A:$V,MATCH(Currency!$B$1,Database!$A$1:$V$1,),)</f>
        <v>29133</v>
      </c>
    </row>
    <row r="1213" spans="1:2" x14ac:dyDescent="0.35">
      <c r="A1213" s="19">
        <f>Database!A1534</f>
        <v>44607</v>
      </c>
      <c r="B1213" s="48">
        <f>VLOOKUP(A1213,Database!$A:$V,MATCH(Currency!$B$1,Database!$A$1:$V$1,),)</f>
        <v>37831</v>
      </c>
    </row>
    <row r="1214" spans="1:2" x14ac:dyDescent="0.35">
      <c r="A1214" s="19">
        <f>Database!A1535</f>
        <v>44614</v>
      </c>
      <c r="B1214" s="48">
        <f>VLOOKUP(A1214,Database!$A:$V,MATCH(Currency!$B$1,Database!$A$1:$V$1,),)</f>
        <v>49291</v>
      </c>
    </row>
    <row r="1215" spans="1:2" x14ac:dyDescent="0.35">
      <c r="A1215" s="19">
        <f>Database!A1536</f>
        <v>44621</v>
      </c>
      <c r="B1215" s="48">
        <f>VLOOKUP(A1215,Database!$A:$V,MATCH(Currency!$B$1,Database!$A$1:$V$1,),)</f>
        <v>57286</v>
      </c>
    </row>
    <row r="1216" spans="1:2" x14ac:dyDescent="0.35">
      <c r="A1216" s="19">
        <f>Database!A1537</f>
        <v>44628</v>
      </c>
      <c r="B1216" s="48">
        <f>VLOOKUP(A1216,Database!$A:$V,MATCH(Currency!$B$1,Database!$A$1:$V$1,),)</f>
        <v>51725</v>
      </c>
    </row>
    <row r="1217" spans="1:2" x14ac:dyDescent="0.35">
      <c r="A1217" s="19">
        <f>Database!A1538</f>
        <v>44635</v>
      </c>
      <c r="B1217" s="48">
        <f>VLOOKUP(A1217,Database!$A:$V,MATCH(Currency!$B$1,Database!$A$1:$V$1,),)</f>
        <v>8555</v>
      </c>
    </row>
    <row r="1218" spans="1:2" x14ac:dyDescent="0.35">
      <c r="A1218" s="19">
        <f>Database!A1539</f>
        <v>44642</v>
      </c>
      <c r="B1218" s="48">
        <f>VLOOKUP(A1218,Database!$A:$V,MATCH(Currency!$B$1,Database!$A$1:$V$1,),)</f>
        <v>21349</v>
      </c>
    </row>
    <row r="1219" spans="1:2" x14ac:dyDescent="0.35">
      <c r="A1219" s="19">
        <f>Database!A1540</f>
        <v>44649</v>
      </c>
      <c r="B1219" s="48">
        <f>VLOOKUP(A1219,Database!$A:$V,MATCH(Currency!$B$1,Database!$A$1:$V$1,),)</f>
        <v>19060</v>
      </c>
    </row>
    <row r="1220" spans="1:2" x14ac:dyDescent="0.35">
      <c r="A1220" s="19">
        <f>Database!A1541</f>
        <v>44656</v>
      </c>
      <c r="B1220" s="48">
        <f>VLOOKUP(A1220,Database!$A:$V,MATCH(Currency!$B$1,Database!$A$1:$V$1,),)</f>
        <v>18056</v>
      </c>
    </row>
    <row r="1221" spans="1:2" x14ac:dyDescent="0.35">
      <c r="A1221" s="19">
        <f>Database!A1542</f>
        <v>44663</v>
      </c>
      <c r="B1221" s="48">
        <f>VLOOKUP(A1221,Database!$A:$V,MATCH(Currency!$B$1,Database!$A$1:$V$1,),)</f>
        <v>29821</v>
      </c>
    </row>
    <row r="1222" spans="1:2" x14ac:dyDescent="0.35">
      <c r="A1222" s="19">
        <f>Database!A1543</f>
        <v>44670</v>
      </c>
      <c r="B1222" s="48">
        <f>VLOOKUP(A1222,Database!$A:$V,MATCH(Currency!$B$1,Database!$A$1:$V$1,),)</f>
        <v>22216</v>
      </c>
    </row>
    <row r="1223" spans="1:2" x14ac:dyDescent="0.35">
      <c r="A1223" s="19">
        <f>Database!A1544</f>
        <v>44677</v>
      </c>
      <c r="B1223" s="48">
        <f>VLOOKUP(A1223,Database!$A:$V,MATCH(Currency!$B$1,Database!$A$1:$V$1,),)</f>
        <v>12403</v>
      </c>
    </row>
    <row r="1224" spans="1:2" x14ac:dyDescent="0.35">
      <c r="A1224" s="19">
        <f>Database!A1545</f>
        <v>44684</v>
      </c>
      <c r="B1224" s="48">
        <f>VLOOKUP(A1224,Database!$A:$V,MATCH(Currency!$B$1,Database!$A$1:$V$1,),)</f>
        <v>-14637</v>
      </c>
    </row>
    <row r="1225" spans="1:2" x14ac:dyDescent="0.35">
      <c r="A1225" s="19">
        <f>Database!A1546</f>
        <v>44691</v>
      </c>
      <c r="B1225" s="48">
        <f>VLOOKUP(A1225,Database!$A:$V,MATCH(Currency!$B$1,Database!$A$1:$V$1,),)</f>
        <v>8687</v>
      </c>
    </row>
    <row r="1226" spans="1:2" x14ac:dyDescent="0.35">
      <c r="A1226" s="19">
        <f>Database!A1547</f>
        <v>44698</v>
      </c>
      <c r="B1226" s="48">
        <f>VLOOKUP(A1226,Database!$A:$V,MATCH(Currency!$B$1,Database!$A$1:$V$1,),)</f>
        <v>12181</v>
      </c>
    </row>
    <row r="1227" spans="1:2" x14ac:dyDescent="0.35">
      <c r="A1227" s="19">
        <f>Database!A1548</f>
        <v>44705</v>
      </c>
      <c r="B1227" s="48">
        <f>VLOOKUP(A1227,Database!$A:$V,MATCH(Currency!$B$1,Database!$A$1:$V$1,),)</f>
        <v>37827</v>
      </c>
    </row>
    <row r="1228" spans="1:2" x14ac:dyDescent="0.35">
      <c r="A1228" s="19">
        <f>Database!A1549</f>
        <v>44712</v>
      </c>
      <c r="B1228" s="48">
        <f>VLOOKUP(A1228,Database!$A:$V,MATCH(Currency!$B$1,Database!$A$1:$V$1,),)</f>
        <v>46523</v>
      </c>
    </row>
    <row r="1229" spans="1:2" x14ac:dyDescent="0.35">
      <c r="A1229" s="19">
        <f>Database!A1550</f>
        <v>44719</v>
      </c>
      <c r="B1229" s="48">
        <f>VLOOKUP(A1229,Database!$A:$V,MATCH(Currency!$B$1,Database!$A$1:$V$1,),)</f>
        <v>43597</v>
      </c>
    </row>
    <row r="1230" spans="1:2" x14ac:dyDescent="0.35">
      <c r="A1230" s="19">
        <f>Database!A1551</f>
        <v>44726</v>
      </c>
      <c r="B1230" s="48">
        <f>VLOOKUP(A1230,Database!$A:$V,MATCH(Currency!$B$1,Database!$A$1:$V$1,),)</f>
        <v>-11147</v>
      </c>
    </row>
    <row r="1231" spans="1:2" x14ac:dyDescent="0.35">
      <c r="A1231" s="19">
        <f>Database!A1552</f>
        <v>44733</v>
      </c>
      <c r="B1231" s="48">
        <f>VLOOKUP(A1231,Database!$A:$V,MATCH(Currency!$B$1,Database!$A$1:$V$1,),)</f>
        <v>-15893</v>
      </c>
    </row>
    <row r="1232" spans="1:2" x14ac:dyDescent="0.35">
      <c r="A1232" s="19">
        <f>Database!A1553</f>
        <v>44740</v>
      </c>
      <c r="B1232" s="48">
        <f>VLOOKUP(A1232,Database!$A:$V,MATCH(Currency!$B$1,Database!$A$1:$V$1,),)</f>
        <v>-7786</v>
      </c>
    </row>
    <row r="1233" spans="1:2" x14ac:dyDescent="0.35">
      <c r="A1233" s="19">
        <f>Database!A1554</f>
        <v>44747</v>
      </c>
      <c r="B1233" s="48">
        <f>VLOOKUP(A1233,Database!$A:$V,MATCH(Currency!$B$1,Database!$A$1:$V$1,),)</f>
        <v>-13810</v>
      </c>
    </row>
    <row r="1234" spans="1:2" x14ac:dyDescent="0.35">
      <c r="A1234" s="19">
        <f>Database!A1555</f>
        <v>44754</v>
      </c>
      <c r="B1234" s="48">
        <f>VLOOKUP(A1234,Database!$A:$V,MATCH(Currency!$B$1,Database!$A$1:$V$1,),)</f>
        <v>-21698</v>
      </c>
    </row>
    <row r="1235" spans="1:2" x14ac:dyDescent="0.35">
      <c r="A1235" s="19">
        <f>Database!A1556</f>
        <v>44761</v>
      </c>
      <c r="B1235" s="48">
        <f>VLOOKUP(A1235,Database!$A:$V,MATCH(Currency!$B$1,Database!$A$1:$V$1,),)</f>
        <v>-39294</v>
      </c>
    </row>
    <row r="1236" spans="1:2" x14ac:dyDescent="0.35">
      <c r="A1236" s="19">
        <f>Database!A1557</f>
        <v>44768</v>
      </c>
      <c r="B1236" s="48">
        <f>VLOOKUP(A1236,Database!$A:$V,MATCH(Currency!$B$1,Database!$A$1:$V$1,),)</f>
        <v>-38092</v>
      </c>
    </row>
    <row r="1237" spans="1:2" x14ac:dyDescent="0.35">
      <c r="A1237" s="19">
        <f>Database!A1558</f>
        <v>44775</v>
      </c>
      <c r="B1237" s="48">
        <f>VLOOKUP(A1237,Database!$A:$V,MATCH(Currency!$B$1,Database!$A$1:$V$1,),)</f>
        <v>-34265</v>
      </c>
    </row>
    <row r="1238" spans="1:2" x14ac:dyDescent="0.35">
      <c r="A1238" s="19">
        <f>Database!A1559</f>
        <v>44782</v>
      </c>
      <c r="B1238" s="48">
        <f>VLOOKUP(A1238,Database!$A:$V,MATCH(Currency!$B$1,Database!$A$1:$V$1,),)</f>
        <v>-29628</v>
      </c>
    </row>
    <row r="1239" spans="1:2" x14ac:dyDescent="0.35">
      <c r="A1239" s="19">
        <f>Database!A1560</f>
        <v>44789</v>
      </c>
      <c r="B1239" s="48">
        <f>VLOOKUP(A1239,Database!$A:$V,MATCH(Currency!$B$1,Database!$A$1:$V$1,),)</f>
        <v>-37541</v>
      </c>
    </row>
    <row r="1240" spans="1:2" x14ac:dyDescent="0.35">
      <c r="A1240" s="19">
        <f>Database!A1561</f>
        <v>44796</v>
      </c>
      <c r="B1240" s="48">
        <f>VLOOKUP(A1240,Database!$A:$V,MATCH(Currency!$B$1,Database!$A$1:$V$1,),)</f>
        <v>-39086</v>
      </c>
    </row>
    <row r="1241" spans="1:2" x14ac:dyDescent="0.35">
      <c r="A1241" s="19">
        <f>Database!A1562</f>
        <v>44803</v>
      </c>
      <c r="B1241" s="48">
        <f>VLOOKUP(A1241,Database!$A:$V,MATCH(Currency!$B$1,Database!$A$1:$V$1,),)</f>
        <v>-45078</v>
      </c>
    </row>
    <row r="1242" spans="1:2" x14ac:dyDescent="0.35">
      <c r="A1242" s="19">
        <f>Database!A1563</f>
        <v>44810</v>
      </c>
      <c r="B1242" s="48">
        <f>VLOOKUP(A1242,Database!$A:$V,MATCH(Currency!$B$1,Database!$A$1:$V$1,),)</f>
        <v>-33996</v>
      </c>
    </row>
    <row r="1243" spans="1:2" x14ac:dyDescent="0.35">
      <c r="A1243" s="19">
        <f>Database!A1564</f>
        <v>44817</v>
      </c>
      <c r="B1243" s="48">
        <f>VLOOKUP(A1243,Database!$A:$V,MATCH(Currency!$B$1,Database!$A$1:$V$1,),)</f>
        <v>-9811</v>
      </c>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election activeCell="AG201" sqref="AG201"/>
    </sheetView>
  </sheetViews>
  <sheetFormatPr defaultColWidth="9.1796875" defaultRowHeight="14.5" x14ac:dyDescent="0.35"/>
  <cols>
    <col min="1" max="12" width="9.1796875" style="49" customWidth="1"/>
    <col min="13" max="16384" width="9.1796875" style="49"/>
  </cols>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Note</vt:lpstr>
      <vt:lpstr>Futures Only Report Raw</vt:lpstr>
      <vt:lpstr>Database</vt:lpstr>
      <vt:lpstr>Recap</vt:lpstr>
      <vt:lpstr>Currency</vt:lpstr>
      <vt:lpstr>Graphs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2019-09-04T16:42:21Z</dcterms:created>
  <dcterms:modified xsi:type="dcterms:W3CDTF">2023-01-14T09:13:42Z</dcterms:modified>
</cp:coreProperties>
</file>