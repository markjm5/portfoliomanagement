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esktop/Trading Excel Files/01_Lagging_Coincident_Indicators/"/>
    </mc:Choice>
  </mc:AlternateContent>
  <xr:revisionPtr revIDLastSave="0" documentId="13_ncr:1_{C19F4D7F-DAB6-A746-A66E-2A8F5F39C81A}" xr6:coauthVersionLast="47" xr6:coauthVersionMax="47" xr10:uidLastSave="{00000000-0000-0000-0000-000000000000}"/>
  <bookViews>
    <workbookView xWindow="-54740" yWindow="3160" windowWidth="44520" windowHeight="25080" xr2:uid="{2F46C1D2-4571-42A8-9DE9-6BD8CE51C685}"/>
  </bookViews>
  <sheets>
    <sheet name="Note" sheetId="5" r:id="rId1"/>
    <sheet name="Years" sheetId="1" r:id="rId2"/>
    <sheet name="Sectors" sheetId="4" r:id="rId3"/>
    <sheet name="Performance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8" i="4" l="1"/>
  <c r="T9" i="4"/>
  <c r="T10" i="4"/>
  <c r="T11" i="4"/>
  <c r="T12" i="4"/>
  <c r="T13" i="4"/>
  <c r="T14" i="4"/>
  <c r="T15" i="4"/>
  <c r="T16" i="4"/>
  <c r="T17" i="4"/>
  <c r="T18" i="4"/>
  <c r="T7" i="4"/>
  <c r="S8" i="4"/>
  <c r="S9" i="4"/>
  <c r="S10" i="4"/>
  <c r="S11" i="4"/>
  <c r="S12" i="4"/>
  <c r="S13" i="4"/>
  <c r="S14" i="4"/>
  <c r="S15" i="4"/>
  <c r="S16" i="4"/>
  <c r="S17" i="4"/>
  <c r="S18" i="4"/>
  <c r="S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Gregoire Dupont</author>
  </authors>
  <commentList>
    <comment ref="C16" authorId="0" shapeId="0" xr:uid="{1DAE9269-19CB-4178-B08B-6B1B17166D80}">
      <text>
        <r>
          <rPr>
            <b/>
            <sz val="9"/>
            <color indexed="81"/>
            <rFont val="Tahoma"/>
            <family val="2"/>
          </rPr>
          <t>Gregoire Dupont:</t>
        </r>
        <r>
          <rPr>
            <sz val="9"/>
            <color indexed="81"/>
            <rFont val="Tahoma"/>
            <family val="2"/>
          </rPr>
          <t xml:space="preserve">
XLC as better proxy</t>
        </r>
      </text>
    </comment>
  </commentList>
</comments>
</file>

<file path=xl/sharedStrings.xml><?xml version="1.0" encoding="utf-8"?>
<sst xmlns="http://schemas.openxmlformats.org/spreadsheetml/2006/main" count="306" uniqueCount="83">
  <si>
    <t>EEM</t>
  </si>
  <si>
    <t>Bonds</t>
  </si>
  <si>
    <t>REITS</t>
  </si>
  <si>
    <t>TIPS</t>
  </si>
  <si>
    <t>Small Cap</t>
  </si>
  <si>
    <t>Cash</t>
  </si>
  <si>
    <t>Commodities</t>
  </si>
  <si>
    <t>EFA</t>
  </si>
  <si>
    <t>Mid Cap</t>
  </si>
  <si>
    <t>Large Cap</t>
  </si>
  <si>
    <t>YTD</t>
  </si>
  <si>
    <t>Last 5 days</t>
  </si>
  <si>
    <t>Last Month</t>
  </si>
  <si>
    <t>Last 3months</t>
  </si>
  <si>
    <t>Last 5 years</t>
  </si>
  <si>
    <t>Percentile</t>
  </si>
  <si>
    <t>Last</t>
  </si>
  <si>
    <t>%</t>
  </si>
  <si>
    <t>RXI</t>
  </si>
  <si>
    <t>Consumer Discretionary</t>
  </si>
  <si>
    <t>XLP</t>
  </si>
  <si>
    <t>Cons. Staples</t>
  </si>
  <si>
    <t>XLY</t>
  </si>
  <si>
    <t>Cons. Discret</t>
  </si>
  <si>
    <t>XLE</t>
  </si>
  <si>
    <t>Energy</t>
  </si>
  <si>
    <t>XLF</t>
  </si>
  <si>
    <t>Financials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</si>
  <si>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</si>
  <si>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</si>
  <si>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</si>
  <si>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</si>
  <si>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</si>
  <si>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</si>
  <si>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</si>
  <si>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</si>
  <si>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</si>
  <si>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</si>
  <si>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</si>
  <si>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</si>
  <si>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</si>
  <si>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</si>
  <si>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</si>
  <si>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</si>
  <si>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</si>
  <si>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</si>
  <si>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</si>
  <si>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</si>
  <si>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</si>
  <si>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</si>
  <si>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</si>
  <si>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</si>
  <si>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Emerging Market</t>
  </si>
  <si>
    <t>HYG</t>
  </si>
  <si>
    <t>High Yield</t>
  </si>
  <si>
    <t>VNQ</t>
  </si>
  <si>
    <t>MDY</t>
  </si>
  <si>
    <t>SLY</t>
  </si>
  <si>
    <t>Small cap</t>
  </si>
  <si>
    <t>International Stocks</t>
  </si>
  <si>
    <t>TIP</t>
  </si>
  <si>
    <t>AGG</t>
  </si>
  <si>
    <t>DJP</t>
  </si>
  <si>
    <t>Commo</t>
  </si>
  <si>
    <t>BIL</t>
  </si>
  <si>
    <t>GOLD</t>
  </si>
  <si>
    <t>Gold</t>
  </si>
  <si>
    <t>Min</t>
  </si>
  <si>
    <t>Max</t>
  </si>
  <si>
    <t>Annualized</t>
  </si>
  <si>
    <t>Definition</t>
  </si>
  <si>
    <t>Process / TO DO LIST</t>
  </si>
  <si>
    <t>TO DO LIST</t>
  </si>
  <si>
    <t>Comments</t>
  </si>
  <si>
    <t>Asset Returns</t>
  </si>
  <si>
    <t>U.S. S&amp;P 500 Sectors</t>
  </si>
  <si>
    <t>Asset Classes</t>
  </si>
  <si>
    <t>Example:</t>
  </si>
  <si>
    <t>https://finance.yahoo.com/quote/SPY/history?p=SPY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</si>
  <si>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</si>
  <si>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DXY</t>
  </si>
  <si>
    <t>Dollar Index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</si>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</sst>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/>
  </cellStyleXfs>
  <cellXfs count="103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14" fontId="3" fillId="12" borderId="9" xfId="0" applyNumberFormat="1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14" fontId="3" fillId="12" borderId="12" xfId="0" applyNumberFormat="1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9" fontId="0" fillId="2" borderId="15" xfId="1" applyFont="1" applyFill="1" applyBorder="1" applyAlignment="1">
      <alignment horizontal="center"/>
    </xf>
    <xf numFmtId="9" fontId="0" fillId="2" borderId="18" xfId="1" applyFont="1" applyFill="1" applyBorder="1" applyAlignment="1">
      <alignment horizontal="center"/>
    </xf>
    <xf numFmtId="9" fontId="0" fillId="2" borderId="20" xfId="1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7" xfId="0" applyFont="1" applyFill="1" applyBorder="1" applyAlignment="1">
      <alignment horizontal="center"/>
    </xf>
    <xf numFmtId="0" fontId="3" fillId="12" borderId="17" xfId="0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2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14" fontId="3" fillId="13" borderId="22" xfId="0" applyNumberFormat="1" applyFont="1" applyFill="1" applyBorder="1" applyAlignment="1">
      <alignment horizontal="center"/>
    </xf>
    <xf numFmtId="0" fontId="0" fillId="2" borderId="0" xfId="0" applyFill="1"/>
    <xf numFmtId="2" fontId="0" fillId="2" borderId="14" xfId="0" applyNumberForma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10" fontId="0" fillId="2" borderId="15" xfId="1" applyNumberFormat="1" applyFont="1" applyFill="1" applyBorder="1" applyAlignment="1">
      <alignment horizontal="center"/>
    </xf>
    <xf numFmtId="10" fontId="0" fillId="2" borderId="15" xfId="0" applyNumberFormat="1" applyFill="1" applyBorder="1" applyAlignment="1">
      <alignment horizontal="center"/>
    </xf>
    <xf numFmtId="0" fontId="3" fillId="12" borderId="29" xfId="0" applyFon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0" fontId="0" fillId="2" borderId="18" xfId="1" applyNumberFormat="1" applyFont="1" applyFill="1" applyBorder="1" applyAlignment="1">
      <alignment horizontal="center"/>
    </xf>
    <xf numFmtId="10" fontId="0" fillId="2" borderId="18" xfId="0" applyNumberFormat="1" applyFill="1" applyBorder="1" applyAlignment="1">
      <alignment horizontal="center"/>
    </xf>
    <xf numFmtId="0" fontId="3" fillId="12" borderId="30" xfId="0" applyFont="1" applyFill="1" applyBorder="1" applyAlignment="1">
      <alignment horizontal="center"/>
    </xf>
    <xf numFmtId="2" fontId="0" fillId="2" borderId="19" xfId="0" applyNumberForma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10" fontId="0" fillId="2" borderId="20" xfId="1" applyNumberFormat="1" applyFont="1" applyFill="1" applyBorder="1" applyAlignment="1">
      <alignment horizontal="center"/>
    </xf>
    <xf numFmtId="10" fontId="0" fillId="2" borderId="20" xfId="0" applyNumberFormat="1" applyFill="1" applyBorder="1" applyAlignment="1">
      <alignment horizontal="center"/>
    </xf>
    <xf numFmtId="164" fontId="0" fillId="2" borderId="17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32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33" xfId="1" applyNumberFormat="1" applyFont="1" applyFill="1" applyBorder="1" applyAlignment="1">
      <alignment horizontal="center"/>
    </xf>
    <xf numFmtId="164" fontId="3" fillId="4" borderId="33" xfId="1" applyNumberFormat="1" applyFont="1" applyFill="1" applyBorder="1" applyAlignment="1">
      <alignment horizontal="center"/>
    </xf>
    <xf numFmtId="164" fontId="3" fillId="6" borderId="33" xfId="1" applyNumberFormat="1" applyFont="1" applyFill="1" applyBorder="1" applyAlignment="1">
      <alignment horizontal="center"/>
    </xf>
    <xf numFmtId="164" fontId="3" fillId="11" borderId="33" xfId="1" applyNumberFormat="1" applyFont="1" applyFill="1" applyBorder="1" applyAlignment="1">
      <alignment horizontal="center"/>
    </xf>
    <xf numFmtId="164" fontId="3" fillId="7" borderId="33" xfId="1" applyNumberFormat="1" applyFont="1" applyFill="1" applyBorder="1" applyAlignment="1">
      <alignment horizontal="center"/>
    </xf>
    <xf numFmtId="164" fontId="3" fillId="5" borderId="33" xfId="1" applyNumberFormat="1" applyFont="1" applyFill="1" applyBorder="1" applyAlignment="1">
      <alignment horizontal="center"/>
    </xf>
    <xf numFmtId="164" fontId="3" fillId="10" borderId="33" xfId="1" applyNumberFormat="1" applyFont="1" applyFill="1" applyBorder="1" applyAlignment="1">
      <alignment horizontal="center"/>
    </xf>
    <xf numFmtId="164" fontId="3" fillId="8" borderId="33" xfId="1" applyNumberFormat="1" applyFont="1" applyFill="1" applyBorder="1" applyAlignment="1">
      <alignment horizontal="center"/>
    </xf>
    <xf numFmtId="164" fontId="3" fillId="9" borderId="33" xfId="1" applyNumberFormat="1" applyFont="1" applyFill="1" applyBorder="1" applyAlignment="1">
      <alignment horizontal="center"/>
    </xf>
    <xf numFmtId="164" fontId="3" fillId="3" borderId="33" xfId="1" applyNumberFormat="1" applyFont="1" applyFill="1" applyBorder="1" applyAlignment="1">
      <alignment horizontal="center"/>
    </xf>
    <xf numFmtId="164" fontId="3" fillId="3" borderId="34" xfId="1" applyNumberFormat="1" applyFont="1" applyFill="1" applyBorder="1" applyAlignment="1">
      <alignment horizontal="center"/>
    </xf>
    <xf numFmtId="165" fontId="5" fillId="2" borderId="0" xfId="2" applyNumberForma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5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0" fillId="0" borderId="0" xfId="0" applyAlignment="1"/>
    <xf numFmtId="0" fontId="3" fillId="13" borderId="25" xfId="0" applyFont="1" applyFill="1" applyBorder="1" applyAlignment="1">
      <alignment horizontal="center"/>
    </xf>
    <xf numFmtId="0" fontId="3" fillId="13" borderId="26" xfId="0" applyFont="1" applyFill="1" applyBorder="1" applyAlignment="1">
      <alignment horizontal="center"/>
    </xf>
    <xf numFmtId="0" fontId="3" fillId="13" borderId="27" xfId="0" applyFont="1" applyFill="1" applyBorder="1" applyAlignment="1">
      <alignment horizontal="center"/>
    </xf>
    <xf numFmtId="0" fontId="0" fillId="2" borderId="0" xfId="0" applyFill="1"/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wrapText="1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</cellXfs>
  <cellStyles count="4">
    <cellStyle name="Hyperlink" xfId="2" builtinId="8"/>
    <cellStyle name="Normal" xfId="0" builtinId="0"/>
    <cellStyle name="Normal 2" xfId="3" xr:uid="{18B9AF04-AC90-4EFB-9CDA-77145F742653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62B3-D6CD-4202-934E-799C63D12E56}">
  <sheetPr>
    <tabColor rgb="FFFFFF00"/>
  </sheetPr>
  <dimension ref="B1:G45"/>
  <sheetViews>
    <sheetView tabSelected="1" zoomScale="140" zoomScaleNormal="140" workbookViewId="0">
      <selection activeCell="H41" sqref="H41"/>
    </sheetView>
  </sheetViews>
  <sheetFormatPr baseColWidth="10" defaultColWidth="9.1640625" defaultRowHeight="15" x14ac:dyDescent="0.2"/>
  <cols>
    <col min="1" max="1" width="9.1640625" style="1"/>
    <col min="2" max="2" width="12.83203125" style="1" customWidth="1"/>
    <col min="3" max="3" width="41.33203125" style="1" customWidth="1"/>
    <col min="4" max="7" width="12.83203125" style="1" customWidth="1"/>
    <col min="8" max="16384" width="9.1640625" style="1"/>
  </cols>
  <sheetData>
    <row r="1" spans="2:7" x14ac:dyDescent="0.2">
      <c r="B1" s="89"/>
      <c r="C1" s="89"/>
      <c r="D1" s="89"/>
      <c r="E1" s="89"/>
      <c r="F1" s="89"/>
      <c r="G1" s="89"/>
    </row>
    <row r="2" spans="2:7" ht="16" thickBot="1" x14ac:dyDescent="0.25">
      <c r="B2" s="90"/>
      <c r="C2" s="90"/>
      <c r="D2" s="90"/>
      <c r="E2" s="90"/>
      <c r="F2" s="90"/>
      <c r="G2" s="90"/>
    </row>
    <row r="3" spans="2:7" ht="16" thickBot="1" x14ac:dyDescent="0.25">
      <c r="B3" s="91" t="s">
        <v>74</v>
      </c>
      <c r="C3" s="92"/>
      <c r="D3" s="92"/>
      <c r="E3" s="92"/>
      <c r="F3" s="92"/>
      <c r="G3" s="93"/>
    </row>
    <row r="5" spans="2:7" x14ac:dyDescent="0.2">
      <c r="B5" s="84" t="s">
        <v>70</v>
      </c>
      <c r="C5" s="94"/>
      <c r="D5" s="94"/>
      <c r="E5" s="94"/>
      <c r="F5" s="94"/>
      <c r="G5" s="95"/>
    </row>
    <row r="7" spans="2:7" ht="48.75" customHeight="1" x14ac:dyDescent="0.2">
      <c r="B7" s="96" t="s">
        <v>79</v>
      </c>
      <c r="C7" s="97"/>
      <c r="D7" s="97"/>
      <c r="E7" s="97"/>
      <c r="F7" s="97"/>
      <c r="G7" s="97"/>
    </row>
    <row r="8" spans="2:7" x14ac:dyDescent="0.2">
      <c r="B8" s="46"/>
      <c r="C8" s="46"/>
    </row>
    <row r="9" spans="2:7" x14ac:dyDescent="0.2">
      <c r="B9" s="84" t="s">
        <v>71</v>
      </c>
      <c r="C9" s="98"/>
      <c r="D9" s="98"/>
      <c r="E9" s="98"/>
      <c r="F9" s="98"/>
      <c r="G9" s="99"/>
    </row>
    <row r="11" spans="2:7" x14ac:dyDescent="0.2">
      <c r="B11" s="84" t="s">
        <v>72</v>
      </c>
      <c r="C11" s="85"/>
      <c r="D11" s="84" t="s">
        <v>73</v>
      </c>
      <c r="E11" s="85"/>
      <c r="F11" s="85"/>
      <c r="G11" s="86"/>
    </row>
    <row r="13" spans="2:7" ht="13.5" customHeight="1" x14ac:dyDescent="0.2">
      <c r="B13" s="35" t="s">
        <v>18</v>
      </c>
      <c r="C13" s="35" t="s">
        <v>19</v>
      </c>
      <c r="D13" s="87" t="s">
        <v>75</v>
      </c>
      <c r="E13" s="88"/>
      <c r="F13" s="88"/>
      <c r="G13" s="88"/>
    </row>
    <row r="14" spans="2:7" ht="13.5" customHeight="1" x14ac:dyDescent="0.2">
      <c r="B14" s="35" t="s">
        <v>20</v>
      </c>
      <c r="C14" s="35" t="s">
        <v>21</v>
      </c>
      <c r="D14" s="87" t="s">
        <v>76</v>
      </c>
      <c r="E14" s="88"/>
      <c r="F14" s="88"/>
      <c r="G14" s="88"/>
    </row>
    <row r="15" spans="2:7" ht="13.5" customHeight="1" x14ac:dyDescent="0.2">
      <c r="B15" s="35" t="s">
        <v>22</v>
      </c>
      <c r="C15" s="35" t="s">
        <v>23</v>
      </c>
      <c r="D15" s="81"/>
      <c r="E15" s="80"/>
      <c r="F15" s="80"/>
      <c r="G15" s="80"/>
    </row>
    <row r="16" spans="2:7" ht="13.5" customHeight="1" x14ac:dyDescent="0.2">
      <c r="B16" s="35" t="s">
        <v>24</v>
      </c>
      <c r="C16" s="35" t="s">
        <v>25</v>
      </c>
      <c r="D16" s="81" t="s">
        <v>77</v>
      </c>
      <c r="E16" s="80"/>
      <c r="F16" s="80"/>
      <c r="G16" s="80"/>
    </row>
    <row r="17" spans="2:7" ht="13.5" customHeight="1" x14ac:dyDescent="0.2">
      <c r="B17" s="35" t="s">
        <v>26</v>
      </c>
      <c r="C17" s="35" t="s">
        <v>27</v>
      </c>
      <c r="D17" s="79" t="s">
        <v>78</v>
      </c>
      <c r="E17" s="80"/>
      <c r="F17" s="80"/>
      <c r="G17" s="80"/>
    </row>
    <row r="18" spans="2:7" ht="13.5" customHeight="1" x14ac:dyDescent="0.2">
      <c r="B18" s="35" t="s">
        <v>28</v>
      </c>
      <c r="C18" s="35" t="s">
        <v>29</v>
      </c>
      <c r="D18" s="81"/>
      <c r="E18" s="80"/>
      <c r="F18" s="80"/>
      <c r="G18" s="80"/>
    </row>
    <row r="19" spans="2:7" ht="13.5" customHeight="1" x14ac:dyDescent="0.2">
      <c r="B19" s="35" t="s">
        <v>30</v>
      </c>
      <c r="C19" s="35" t="s">
        <v>31</v>
      </c>
    </row>
    <row r="20" spans="2:7" ht="13.5" customHeight="1" x14ac:dyDescent="0.2">
      <c r="B20" s="35" t="s">
        <v>32</v>
      </c>
      <c r="C20" s="35" t="s">
        <v>33</v>
      </c>
      <c r="D20" s="47"/>
      <c r="E20" s="47"/>
      <c r="F20" s="47"/>
      <c r="G20" s="47"/>
    </row>
    <row r="21" spans="2:7" ht="13.5" customHeight="1" x14ac:dyDescent="0.2">
      <c r="B21" s="35" t="s">
        <v>34</v>
      </c>
      <c r="C21" s="35" t="s">
        <v>35</v>
      </c>
      <c r="D21" s="47"/>
      <c r="E21" s="47"/>
      <c r="F21" s="47"/>
      <c r="G21" s="47"/>
    </row>
    <row r="22" spans="2:7" ht="13.5" customHeight="1" x14ac:dyDescent="0.2">
      <c r="B22" s="35" t="s">
        <v>36</v>
      </c>
      <c r="C22" s="35" t="s">
        <v>37</v>
      </c>
      <c r="D22" s="47"/>
      <c r="E22" s="47"/>
      <c r="F22" s="47"/>
      <c r="G22" s="47"/>
    </row>
    <row r="23" spans="2:7" ht="13.5" customHeight="1" x14ac:dyDescent="0.2">
      <c r="B23" s="35" t="s">
        <v>38</v>
      </c>
      <c r="C23" s="35" t="s">
        <v>39</v>
      </c>
    </row>
    <row r="24" spans="2:7" ht="13.5" customHeight="1" x14ac:dyDescent="0.2">
      <c r="B24" s="35" t="s">
        <v>40</v>
      </c>
      <c r="C24" s="35" t="s">
        <v>41</v>
      </c>
    </row>
    <row r="25" spans="2:7" ht="13.5" customHeight="1" x14ac:dyDescent="0.2">
      <c r="B25" s="35" t="s">
        <v>42</v>
      </c>
      <c r="C25" s="35" t="s">
        <v>43</v>
      </c>
    </row>
    <row r="26" spans="2:7" ht="13.5" customHeight="1" x14ac:dyDescent="0.2">
      <c r="B26" s="35" t="s">
        <v>44</v>
      </c>
      <c r="C26" s="35" t="s">
        <v>45</v>
      </c>
    </row>
    <row r="27" spans="2:7" ht="13.5" customHeight="1" x14ac:dyDescent="0.2">
      <c r="B27" s="35" t="s">
        <v>46</v>
      </c>
      <c r="C27" s="35" t="s">
        <v>47</v>
      </c>
    </row>
    <row r="28" spans="2:7" ht="13.5" customHeight="1" x14ac:dyDescent="0.2">
      <c r="B28" s="35" t="s">
        <v>48</v>
      </c>
      <c r="C28" s="35" t="s">
        <v>49</v>
      </c>
    </row>
    <row r="29" spans="2:7" ht="13.5" customHeight="1" x14ac:dyDescent="0.2">
      <c r="B29" s="35" t="s">
        <v>50</v>
      </c>
      <c r="C29" s="35" t="s">
        <v>51</v>
      </c>
    </row>
    <row r="30" spans="2:7" ht="13.5" customHeight="1" x14ac:dyDescent="0.2">
      <c r="B30" s="35" t="s">
        <v>0</v>
      </c>
      <c r="C30" s="35" t="s">
        <v>52</v>
      </c>
    </row>
    <row r="31" spans="2:7" ht="13.5" customHeight="1" x14ac:dyDescent="0.2">
      <c r="B31" s="35" t="s">
        <v>53</v>
      </c>
      <c r="C31" s="35" t="s">
        <v>54</v>
      </c>
    </row>
    <row r="32" spans="2:7" ht="13.5" customHeight="1" x14ac:dyDescent="0.2">
      <c r="B32" s="35" t="s">
        <v>55</v>
      </c>
      <c r="C32" s="35" t="s">
        <v>2</v>
      </c>
    </row>
    <row r="33" spans="2:7" ht="13.5" customHeight="1" x14ac:dyDescent="0.2">
      <c r="B33" s="35" t="s">
        <v>56</v>
      </c>
      <c r="C33" s="35" t="s">
        <v>8</v>
      </c>
    </row>
    <row r="34" spans="2:7" ht="13.5" customHeight="1" x14ac:dyDescent="0.2">
      <c r="B34" s="35" t="s">
        <v>57</v>
      </c>
      <c r="C34" s="35" t="s">
        <v>58</v>
      </c>
    </row>
    <row r="35" spans="2:7" ht="13.5" customHeight="1" x14ac:dyDescent="0.2">
      <c r="B35" s="35" t="s">
        <v>7</v>
      </c>
      <c r="C35" s="35" t="s">
        <v>59</v>
      </c>
    </row>
    <row r="36" spans="2:7" ht="13.5" customHeight="1" x14ac:dyDescent="0.2">
      <c r="B36" s="35" t="s">
        <v>60</v>
      </c>
      <c r="C36" s="35" t="s">
        <v>3</v>
      </c>
    </row>
    <row r="37" spans="2:7" ht="13.5" customHeight="1" x14ac:dyDescent="0.2">
      <c r="B37" s="35" t="s">
        <v>61</v>
      </c>
      <c r="C37" s="35" t="s">
        <v>1</v>
      </c>
    </row>
    <row r="38" spans="2:7" ht="13.5" customHeight="1" x14ac:dyDescent="0.2">
      <c r="B38" s="35" t="s">
        <v>62</v>
      </c>
      <c r="C38" s="35" t="s">
        <v>63</v>
      </c>
    </row>
    <row r="39" spans="2:7" ht="13.5" customHeight="1" x14ac:dyDescent="0.2">
      <c r="B39" s="35" t="s">
        <v>64</v>
      </c>
      <c r="C39" s="35" t="s">
        <v>5</v>
      </c>
    </row>
    <row r="40" spans="2:7" ht="13.5" customHeight="1" x14ac:dyDescent="0.2">
      <c r="B40" s="35" t="s">
        <v>65</v>
      </c>
      <c r="C40" s="35" t="s">
        <v>66</v>
      </c>
    </row>
    <row r="43" spans="2:7" x14ac:dyDescent="0.2">
      <c r="B43" s="32"/>
    </row>
    <row r="44" spans="2:7" x14ac:dyDescent="0.2">
      <c r="B44" s="82"/>
      <c r="C44" s="83"/>
      <c r="D44" s="83"/>
      <c r="E44" s="83"/>
      <c r="F44" s="83"/>
      <c r="G44" s="83"/>
    </row>
    <row r="45" spans="2:7" x14ac:dyDescent="0.2">
      <c r="B45" s="4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E2DF93F9-D1A6-4BC8-ADCD-2201E12A74E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ADF0-1EDE-407A-8836-7B621A05FC2C}">
  <dimension ref="B6:O27"/>
  <sheetViews>
    <sheetView zoomScale="140" zoomScaleNormal="140" workbookViewId="0">
      <selection activeCell="F37" sqref="F37"/>
    </sheetView>
  </sheetViews>
  <sheetFormatPr baseColWidth="10" defaultColWidth="9.1640625" defaultRowHeight="15" x14ac:dyDescent="0.2"/>
  <cols>
    <col min="1" max="1" width="9.1640625" style="1"/>
    <col min="2" max="15" width="14.1640625" style="1" customWidth="1"/>
    <col min="16" max="16384" width="9.1640625" style="1"/>
  </cols>
  <sheetData>
    <row r="6" spans="2:15" ht="16" thickBot="1" x14ac:dyDescent="0.25"/>
    <row r="7" spans="2:15" ht="16" thickBot="1" x14ac:dyDescent="0.25">
      <c r="B7" s="2">
        <v>2007</v>
      </c>
      <c r="C7" s="2">
        <v>2008</v>
      </c>
      <c r="D7" s="2">
        <v>2009</v>
      </c>
      <c r="E7" s="2">
        <v>2010</v>
      </c>
      <c r="F7" s="2">
        <v>2011</v>
      </c>
      <c r="G7" s="2">
        <v>2012</v>
      </c>
      <c r="H7" s="2">
        <v>2013</v>
      </c>
      <c r="I7" s="2">
        <v>2014</v>
      </c>
      <c r="J7" s="2">
        <v>2015</v>
      </c>
      <c r="K7" s="2">
        <v>2016</v>
      </c>
      <c r="L7" s="2">
        <v>2017</v>
      </c>
      <c r="M7" s="2">
        <v>2018</v>
      </c>
      <c r="N7" s="65">
        <v>2019</v>
      </c>
      <c r="O7" s="2">
        <v>2020</v>
      </c>
    </row>
    <row r="8" spans="2:15" x14ac:dyDescent="0.2">
      <c r="B8" s="3" t="s">
        <v>0</v>
      </c>
      <c r="C8" s="4" t="s">
        <v>1</v>
      </c>
      <c r="D8" s="3" t="s">
        <v>0</v>
      </c>
      <c r="E8" s="5" t="s">
        <v>2</v>
      </c>
      <c r="F8" s="6" t="s">
        <v>3</v>
      </c>
      <c r="G8" s="3" t="s">
        <v>0</v>
      </c>
      <c r="H8" s="7" t="s">
        <v>4</v>
      </c>
      <c r="I8" s="5" t="s">
        <v>2</v>
      </c>
      <c r="J8" s="5" t="s">
        <v>2</v>
      </c>
      <c r="K8" s="7" t="s">
        <v>4</v>
      </c>
      <c r="L8" s="3" t="s">
        <v>0</v>
      </c>
      <c r="M8" s="66" t="s">
        <v>5</v>
      </c>
      <c r="N8" s="67" t="s">
        <v>9</v>
      </c>
      <c r="O8" s="67" t="s">
        <v>9</v>
      </c>
    </row>
    <row r="9" spans="2:15" x14ac:dyDescent="0.2">
      <c r="B9" s="8">
        <v>0.33300000000000002</v>
      </c>
      <c r="C9" s="9">
        <v>7.9000462387910905E-2</v>
      </c>
      <c r="D9" s="8">
        <v>0.68954372006790088</v>
      </c>
      <c r="E9" s="10">
        <v>0.28390794919254908</v>
      </c>
      <c r="F9" s="11">
        <v>0.13295746638087982</v>
      </c>
      <c r="G9" s="8">
        <v>0.19049643522465495</v>
      </c>
      <c r="H9" s="12">
        <v>0.41109793642729248</v>
      </c>
      <c r="I9" s="10">
        <v>0.30398991433712486</v>
      </c>
      <c r="J9" s="10">
        <v>2.4323524482007804E-2</v>
      </c>
      <c r="K9" s="12">
        <v>0.26593669460894287</v>
      </c>
      <c r="L9" s="8">
        <v>0.37262822538509321</v>
      </c>
      <c r="M9" s="68">
        <v>9.6456846978284518E-4</v>
      </c>
      <c r="N9" s="17">
        <v>0.31223858315853914</v>
      </c>
      <c r="O9" s="17">
        <v>0.18331622074997378</v>
      </c>
    </row>
    <row r="10" spans="2:15" x14ac:dyDescent="0.2">
      <c r="B10" s="14" t="s">
        <v>6</v>
      </c>
      <c r="C10" s="13" t="s">
        <v>5</v>
      </c>
      <c r="D10" s="12" t="s">
        <v>4</v>
      </c>
      <c r="E10" s="12" t="s">
        <v>4</v>
      </c>
      <c r="F10" s="10" t="s">
        <v>2</v>
      </c>
      <c r="G10" s="15" t="s">
        <v>7</v>
      </c>
      <c r="H10" s="16" t="s">
        <v>8</v>
      </c>
      <c r="I10" s="17" t="s">
        <v>9</v>
      </c>
      <c r="J10" s="17" t="s">
        <v>9</v>
      </c>
      <c r="K10" s="16" t="s">
        <v>8</v>
      </c>
      <c r="L10" s="15" t="s">
        <v>7</v>
      </c>
      <c r="M10" s="69" t="s">
        <v>1</v>
      </c>
      <c r="N10" s="10" t="s">
        <v>2</v>
      </c>
      <c r="O10" s="8" t="s">
        <v>0</v>
      </c>
    </row>
    <row r="11" spans="2:15" x14ac:dyDescent="0.2">
      <c r="B11" s="14">
        <v>0.14899999999999999</v>
      </c>
      <c r="C11" s="13">
        <v>1.5856441919769787E-2</v>
      </c>
      <c r="D11" s="12">
        <v>0.41336300297975787</v>
      </c>
      <c r="E11" s="12">
        <v>0.2722654690523672</v>
      </c>
      <c r="F11" s="10">
        <v>8.6357645987619427E-2</v>
      </c>
      <c r="G11" s="15">
        <v>0.18760030411238224</v>
      </c>
      <c r="H11" s="16">
        <v>0.33059771595411386</v>
      </c>
      <c r="I11" s="17">
        <v>0.13463438087769269</v>
      </c>
      <c r="J11" s="17">
        <v>1.2344611082462105E-2</v>
      </c>
      <c r="K11" s="16">
        <v>0.20462708286198467</v>
      </c>
      <c r="L11" s="15">
        <v>0.25075420160297546</v>
      </c>
      <c r="M11" s="69">
        <v>-2.2086473304105726E-2</v>
      </c>
      <c r="N11" s="10">
        <v>0.28910767968763357</v>
      </c>
      <c r="O11" s="8">
        <v>0.17020478675151479</v>
      </c>
    </row>
    <row r="12" spans="2:15" x14ac:dyDescent="0.2">
      <c r="B12" s="11" t="s">
        <v>3</v>
      </c>
      <c r="C12" s="11" t="s">
        <v>3</v>
      </c>
      <c r="D12" s="16" t="s">
        <v>8</v>
      </c>
      <c r="E12" s="16" t="s">
        <v>8</v>
      </c>
      <c r="F12" s="9" t="s">
        <v>1</v>
      </c>
      <c r="G12" s="16" t="s">
        <v>8</v>
      </c>
      <c r="H12" s="17" t="s">
        <v>9</v>
      </c>
      <c r="I12" s="16" t="s">
        <v>8</v>
      </c>
      <c r="J12" s="9" t="s">
        <v>1</v>
      </c>
      <c r="K12" s="14" t="s">
        <v>6</v>
      </c>
      <c r="L12" s="17" t="s">
        <v>9</v>
      </c>
      <c r="M12" s="70" t="s">
        <v>3</v>
      </c>
      <c r="N12" s="16" t="s">
        <v>8</v>
      </c>
      <c r="O12" s="16" t="s">
        <v>8</v>
      </c>
    </row>
    <row r="13" spans="2:15" x14ac:dyDescent="0.2">
      <c r="B13" s="11">
        <v>0.11899999999999999</v>
      </c>
      <c r="C13" s="11">
        <v>5.3494239241822612E-4</v>
      </c>
      <c r="D13" s="16">
        <v>0.37563917914704792</v>
      </c>
      <c r="E13" s="16">
        <v>0.26280173976539667</v>
      </c>
      <c r="F13" s="9">
        <v>7.6966986563166362E-2</v>
      </c>
      <c r="G13" s="16">
        <v>0.17818529242654274</v>
      </c>
      <c r="H13" s="17">
        <v>0.32307900422820945</v>
      </c>
      <c r="I13" s="16">
        <v>9.3879661559820318E-2</v>
      </c>
      <c r="J13" s="9">
        <v>2.8889401695861377E-3</v>
      </c>
      <c r="K13" s="14">
        <v>0.12855151972759751</v>
      </c>
      <c r="L13" s="17">
        <v>0.21705395936994845</v>
      </c>
      <c r="M13" s="70">
        <v>-3.3110503759836887E-2</v>
      </c>
      <c r="N13" s="16">
        <v>0.25781031665644816</v>
      </c>
      <c r="O13" s="16">
        <v>0.13502745654361603</v>
      </c>
    </row>
    <row r="14" spans="2:15" x14ac:dyDescent="0.2">
      <c r="B14" s="15" t="s">
        <v>7</v>
      </c>
      <c r="C14" s="16" t="s">
        <v>8</v>
      </c>
      <c r="D14" s="10" t="s">
        <v>2</v>
      </c>
      <c r="E14" s="8" t="s">
        <v>0</v>
      </c>
      <c r="F14" s="17" t="s">
        <v>9</v>
      </c>
      <c r="G14" s="10" t="s">
        <v>2</v>
      </c>
      <c r="H14" s="15" t="s">
        <v>7</v>
      </c>
      <c r="I14" s="9" t="s">
        <v>1</v>
      </c>
      <c r="J14" s="13" t="s">
        <v>5</v>
      </c>
      <c r="K14" s="17" t="s">
        <v>9</v>
      </c>
      <c r="L14" s="16" t="s">
        <v>8</v>
      </c>
      <c r="M14" s="71" t="s">
        <v>9</v>
      </c>
      <c r="N14" s="12" t="s">
        <v>4</v>
      </c>
      <c r="O14" s="12" t="s">
        <v>4</v>
      </c>
    </row>
    <row r="15" spans="2:15" x14ac:dyDescent="0.2">
      <c r="B15" s="15">
        <v>0.1</v>
      </c>
      <c r="C15" s="16">
        <v>-0.36437525975167895</v>
      </c>
      <c r="D15" s="10">
        <v>0.30137345816081978</v>
      </c>
      <c r="E15" s="8">
        <v>0.1652308413908162</v>
      </c>
      <c r="F15" s="17">
        <v>1.8949784435886574E-2</v>
      </c>
      <c r="G15" s="10">
        <v>0.17633315278155037</v>
      </c>
      <c r="H15" s="15">
        <v>0.21442746114116099</v>
      </c>
      <c r="I15" s="9">
        <v>5.8164601029513888E-2</v>
      </c>
      <c r="J15" s="13">
        <v>-1.3118050637774983E-3</v>
      </c>
      <c r="K15" s="17">
        <v>0.11997917320929141</v>
      </c>
      <c r="L15" s="16">
        <v>0.15930787678833305</v>
      </c>
      <c r="M15" s="71">
        <v>-6.3851550410904054E-2</v>
      </c>
      <c r="N15" s="12">
        <v>0.22555874815658647</v>
      </c>
      <c r="O15" s="12">
        <v>0.11444084129437886</v>
      </c>
    </row>
    <row r="16" spans="2:15" x14ac:dyDescent="0.2">
      <c r="B16" s="16" t="s">
        <v>8</v>
      </c>
      <c r="C16" s="17" t="s">
        <v>9</v>
      </c>
      <c r="D16" s="15" t="s">
        <v>7</v>
      </c>
      <c r="E16" s="14" t="s">
        <v>6</v>
      </c>
      <c r="F16" s="12" t="s">
        <v>4</v>
      </c>
      <c r="G16" s="17" t="s">
        <v>9</v>
      </c>
      <c r="H16" s="10" t="s">
        <v>2</v>
      </c>
      <c r="I16" s="12" t="s">
        <v>4</v>
      </c>
      <c r="J16" s="15" t="s">
        <v>7</v>
      </c>
      <c r="K16" s="8" t="s">
        <v>0</v>
      </c>
      <c r="L16" s="12" t="s">
        <v>4</v>
      </c>
      <c r="M16" s="72" t="s">
        <v>4</v>
      </c>
      <c r="N16" s="15" t="s">
        <v>7</v>
      </c>
      <c r="O16" s="11" t="s">
        <v>3</v>
      </c>
    </row>
    <row r="17" spans="2:15" x14ac:dyDescent="0.2">
      <c r="B17" s="16">
        <v>7.1999999999999995E-2</v>
      </c>
      <c r="C17" s="17">
        <v>-0.36795016919967172</v>
      </c>
      <c r="D17" s="15">
        <v>0.26991401846796259</v>
      </c>
      <c r="E17" s="14">
        <v>0.16232847431748568</v>
      </c>
      <c r="F17" s="12">
        <v>1.1343970361917194E-2</v>
      </c>
      <c r="G17" s="17">
        <v>0.159903516656002</v>
      </c>
      <c r="H17" s="10">
        <v>1.1978401414856751E-2</v>
      </c>
      <c r="I17" s="12">
        <v>5.5273177442052124E-2</v>
      </c>
      <c r="J17" s="15">
        <v>-9.9164492496957839E-3</v>
      </c>
      <c r="K17" s="8">
        <v>0.10868977979745345</v>
      </c>
      <c r="L17" s="12">
        <v>0.13081683387873042</v>
      </c>
      <c r="M17" s="72">
        <v>-8.5609768307465015E-2</v>
      </c>
      <c r="N17" s="15">
        <v>0.22043487446070567</v>
      </c>
      <c r="O17" s="11">
        <v>0.10837928736882907</v>
      </c>
    </row>
    <row r="18" spans="2:15" x14ac:dyDescent="0.2">
      <c r="B18" s="9" t="s">
        <v>1</v>
      </c>
      <c r="C18" s="10" t="s">
        <v>2</v>
      </c>
      <c r="D18" s="17" t="s">
        <v>9</v>
      </c>
      <c r="E18" s="17" t="s">
        <v>9</v>
      </c>
      <c r="F18" s="13" t="s">
        <v>5</v>
      </c>
      <c r="G18" s="12" t="s">
        <v>4</v>
      </c>
      <c r="H18" s="13" t="s">
        <v>5</v>
      </c>
      <c r="I18" s="11" t="s">
        <v>3</v>
      </c>
      <c r="J18" s="12" t="s">
        <v>4</v>
      </c>
      <c r="K18" s="10" t="s">
        <v>2</v>
      </c>
      <c r="L18" s="9" t="s">
        <v>1</v>
      </c>
      <c r="M18" s="73" t="s">
        <v>2</v>
      </c>
      <c r="N18" s="8" t="s">
        <v>0</v>
      </c>
      <c r="O18" s="15" t="s">
        <v>7</v>
      </c>
    </row>
    <row r="19" spans="2:15" x14ac:dyDescent="0.2">
      <c r="B19" s="9">
        <v>6.6000000000000003E-2</v>
      </c>
      <c r="C19" s="10">
        <v>-0.36982236550449493</v>
      </c>
      <c r="D19" s="17">
        <v>0.2635176879310156</v>
      </c>
      <c r="E19" s="17">
        <v>0.1505617408090037</v>
      </c>
      <c r="F19" s="13">
        <v>-3.9271369897480663E-4</v>
      </c>
      <c r="G19" s="12">
        <v>0.15720177014800737</v>
      </c>
      <c r="H19" s="13">
        <v>-8.7323698519252359E-4</v>
      </c>
      <c r="I19" s="11">
        <v>3.5900126482016299E-2</v>
      </c>
      <c r="J19" s="12">
        <v>-1.7546714939453631E-2</v>
      </c>
      <c r="K19" s="10">
        <v>8.5737055720653488E-2</v>
      </c>
      <c r="L19" s="9">
        <v>3.518507404205596E-2</v>
      </c>
      <c r="M19" s="73">
        <v>-9.9053054653419598E-2</v>
      </c>
      <c r="N19" s="8">
        <v>0.1822293468003818</v>
      </c>
      <c r="O19" s="15">
        <v>7.595127786986304E-2</v>
      </c>
    </row>
    <row r="20" spans="2:15" x14ac:dyDescent="0.2">
      <c r="B20" s="17" t="s">
        <v>9</v>
      </c>
      <c r="C20" s="14" t="s">
        <v>6</v>
      </c>
      <c r="D20" s="14" t="s">
        <v>6</v>
      </c>
      <c r="E20" s="15" t="s">
        <v>7</v>
      </c>
      <c r="F20" s="16" t="s">
        <v>8</v>
      </c>
      <c r="G20" s="11" t="s">
        <v>3</v>
      </c>
      <c r="H20" s="9" t="s">
        <v>1</v>
      </c>
      <c r="I20" s="13" t="s">
        <v>5</v>
      </c>
      <c r="J20" s="11" t="s">
        <v>3</v>
      </c>
      <c r="K20" s="11" t="s">
        <v>3</v>
      </c>
      <c r="L20" s="10" t="s">
        <v>2</v>
      </c>
      <c r="M20" s="74" t="s">
        <v>8</v>
      </c>
      <c r="N20" s="9" t="s">
        <v>1</v>
      </c>
      <c r="O20" s="9" t="s">
        <v>1</v>
      </c>
    </row>
    <row r="21" spans="2:15" x14ac:dyDescent="0.2">
      <c r="B21" s="17">
        <v>5.0999999999999997E-2</v>
      </c>
      <c r="C21" s="14">
        <v>-0.37417750311221765</v>
      </c>
      <c r="D21" s="14">
        <v>0.20090932653905455</v>
      </c>
      <c r="E21" s="15">
        <v>8.1694318180437056E-2</v>
      </c>
      <c r="F21" s="16">
        <v>-2.1249381092281434E-2</v>
      </c>
      <c r="G21" s="11">
        <v>6.3962934759793255E-2</v>
      </c>
      <c r="H21" s="9">
        <v>-2.1523521215738219E-2</v>
      </c>
      <c r="I21" s="13">
        <v>-6.5559405310429398E-4</v>
      </c>
      <c r="J21" s="11">
        <v>-1.8375760199983184E-2</v>
      </c>
      <c r="K21" s="11">
        <v>4.6810531361918047E-2</v>
      </c>
      <c r="L21" s="10">
        <v>3.298547058232619E-2</v>
      </c>
      <c r="M21" s="74">
        <v>-0.12382554479355928</v>
      </c>
      <c r="N21" s="9">
        <v>8.4556418369006056E-2</v>
      </c>
      <c r="O21" s="9">
        <v>7.4761007311211922E-2</v>
      </c>
    </row>
    <row r="22" spans="2:15" x14ac:dyDescent="0.2">
      <c r="B22" s="12" t="s">
        <v>4</v>
      </c>
      <c r="C22" s="12" t="s">
        <v>4</v>
      </c>
      <c r="D22" s="11" t="s">
        <v>3</v>
      </c>
      <c r="E22" s="9" t="s">
        <v>1</v>
      </c>
      <c r="F22" s="15" t="s">
        <v>7</v>
      </c>
      <c r="G22" s="9" t="s">
        <v>1</v>
      </c>
      <c r="H22" s="8" t="s">
        <v>0</v>
      </c>
      <c r="I22" s="8" t="s">
        <v>0</v>
      </c>
      <c r="J22" s="16" t="s">
        <v>8</v>
      </c>
      <c r="K22" s="9" t="s">
        <v>1</v>
      </c>
      <c r="L22" s="11" t="s">
        <v>3</v>
      </c>
      <c r="M22" s="75" t="s">
        <v>6</v>
      </c>
      <c r="N22" s="11" t="s">
        <v>3</v>
      </c>
      <c r="O22" s="13" t="s">
        <v>5</v>
      </c>
    </row>
    <row r="23" spans="2:15" x14ac:dyDescent="0.2">
      <c r="B23" s="12">
        <v>1.9E-2</v>
      </c>
      <c r="C23" s="12">
        <v>-0.3753562623180835</v>
      </c>
      <c r="D23" s="11">
        <v>8.931992992877244E-2</v>
      </c>
      <c r="E23" s="9">
        <v>6.3621283196544073E-2</v>
      </c>
      <c r="F23" s="15">
        <v>-0.12230196425645996</v>
      </c>
      <c r="G23" s="9">
        <v>3.7549434926333898E-2</v>
      </c>
      <c r="H23" s="8">
        <v>-3.650037854398349E-2</v>
      </c>
      <c r="I23" s="8">
        <v>-3.8993303221300964E-2</v>
      </c>
      <c r="J23" s="16">
        <v>-2.5131663209838718E-2</v>
      </c>
      <c r="K23" s="9">
        <v>2.4125607013307473E-2</v>
      </c>
      <c r="L23" s="11">
        <v>2.7780810683306584E-2</v>
      </c>
      <c r="M23" s="75">
        <v>-0.1306841868086849</v>
      </c>
      <c r="N23" s="11">
        <v>8.3496188853892664E-2</v>
      </c>
      <c r="O23" s="13">
        <v>3.9857423488593663E-3</v>
      </c>
    </row>
    <row r="24" spans="2:15" x14ac:dyDescent="0.2">
      <c r="B24" s="13" t="s">
        <v>5</v>
      </c>
      <c r="C24" s="15" t="s">
        <v>7</v>
      </c>
      <c r="D24" s="9" t="s">
        <v>1</v>
      </c>
      <c r="E24" s="11" t="s">
        <v>3</v>
      </c>
      <c r="F24" s="14" t="s">
        <v>6</v>
      </c>
      <c r="G24" s="13" t="s">
        <v>5</v>
      </c>
      <c r="H24" s="11" t="s">
        <v>3</v>
      </c>
      <c r="I24" s="15" t="s">
        <v>7</v>
      </c>
      <c r="J24" s="8" t="s">
        <v>0</v>
      </c>
      <c r="K24" s="15" t="s">
        <v>7</v>
      </c>
      <c r="L24" s="13" t="s">
        <v>5</v>
      </c>
      <c r="M24" s="76" t="s">
        <v>7</v>
      </c>
      <c r="N24" s="14" t="s">
        <v>6</v>
      </c>
      <c r="O24" s="14" t="s">
        <v>6</v>
      </c>
    </row>
    <row r="25" spans="2:15" x14ac:dyDescent="0.2">
      <c r="B25" s="13"/>
      <c r="C25" s="15">
        <v>-0.41031082382585382</v>
      </c>
      <c r="D25" s="9">
        <v>2.9692653556377863E-2</v>
      </c>
      <c r="E25" s="11">
        <v>6.13122332190238E-2</v>
      </c>
      <c r="F25" s="14">
        <v>-0.14006508835637402</v>
      </c>
      <c r="G25" s="13">
        <v>-4.3620736743266153E-4</v>
      </c>
      <c r="H25" s="11">
        <v>-8.4907013354957594E-2</v>
      </c>
      <c r="I25" s="15">
        <v>-6.1934634032711995E-2</v>
      </c>
      <c r="J25" s="8">
        <v>-0.16174726026961503</v>
      </c>
      <c r="K25" s="15">
        <v>1.3725708010123877E-2</v>
      </c>
      <c r="L25" s="13">
        <v>7.4288072637226461E-3</v>
      </c>
      <c r="M25" s="76">
        <v>-0.16398804335053455</v>
      </c>
      <c r="N25" s="14">
        <v>7.6343123296094328E-2</v>
      </c>
      <c r="O25" s="14">
        <v>-4.1155866900175191E-2</v>
      </c>
    </row>
    <row r="26" spans="2:15" x14ac:dyDescent="0.2">
      <c r="B26" s="10" t="s">
        <v>2</v>
      </c>
      <c r="C26" s="8" t="s">
        <v>0</v>
      </c>
      <c r="D26" s="13" t="s">
        <v>5</v>
      </c>
      <c r="E26" s="13" t="s">
        <v>5</v>
      </c>
      <c r="F26" s="8" t="s">
        <v>0</v>
      </c>
      <c r="G26" s="14" t="s">
        <v>6</v>
      </c>
      <c r="H26" s="14" t="s">
        <v>6</v>
      </c>
      <c r="I26" s="14" t="s">
        <v>6</v>
      </c>
      <c r="J26" s="14" t="s">
        <v>6</v>
      </c>
      <c r="K26" s="13" t="s">
        <v>5</v>
      </c>
      <c r="L26" s="14" t="s">
        <v>6</v>
      </c>
      <c r="M26" s="77" t="s">
        <v>0</v>
      </c>
      <c r="N26" s="13" t="s">
        <v>5</v>
      </c>
      <c r="O26" s="10" t="s">
        <v>2</v>
      </c>
    </row>
    <row r="27" spans="2:15" ht="16" thickBot="1" x14ac:dyDescent="0.25">
      <c r="B27" s="18">
        <v>-0.16500000000000001</v>
      </c>
      <c r="C27" s="19">
        <v>-0.48878832266261274</v>
      </c>
      <c r="D27" s="20">
        <v>2.708636162289774E-3</v>
      </c>
      <c r="E27" s="20">
        <v>-4.3584601824208529E-4</v>
      </c>
      <c r="F27" s="19">
        <v>-0.18793681981133645</v>
      </c>
      <c r="G27" s="21">
        <v>-2.1070169456904798E-2</v>
      </c>
      <c r="H27" s="21">
        <v>-0.11124542255116915</v>
      </c>
      <c r="I27" s="21">
        <v>-0.18612244897959182</v>
      </c>
      <c r="J27" s="21">
        <v>-0.28217990638582408</v>
      </c>
      <c r="K27" s="20">
        <v>1.0948687796330139E-3</v>
      </c>
      <c r="L27" s="21">
        <v>6.5058777633980021E-3</v>
      </c>
      <c r="M27" s="78">
        <v>-0.17105259276427404</v>
      </c>
      <c r="N27" s="20">
        <v>2.0319482475411949E-2</v>
      </c>
      <c r="O27" s="18">
        <v>-4.6104607046313882E-2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442A4-A6BE-4043-A6DA-A9DDB31635C2}">
  <dimension ref="B4:V22"/>
  <sheetViews>
    <sheetView zoomScale="180" zoomScaleNormal="180" workbookViewId="0">
      <selection activeCell="U7" sqref="U7"/>
    </sheetView>
  </sheetViews>
  <sheetFormatPr baseColWidth="10" defaultColWidth="9.1640625" defaultRowHeight="15" x14ac:dyDescent="0.2"/>
  <cols>
    <col min="1" max="1" width="3.6640625" style="1" customWidth="1"/>
    <col min="2" max="2" width="5.83203125" style="1" customWidth="1"/>
    <col min="3" max="3" width="15.6640625" style="1" customWidth="1"/>
    <col min="4" max="15" width="9.6640625" style="1" customWidth="1"/>
    <col min="16" max="17" width="9.6640625" style="49" customWidth="1"/>
    <col min="18" max="18" width="4.33203125" style="1" customWidth="1"/>
    <col min="19" max="20" width="9.1640625" style="1"/>
    <col min="21" max="21" width="10.6640625" style="1" customWidth="1"/>
    <col min="22" max="22" width="2.6640625" style="1" customWidth="1"/>
    <col min="23" max="16384" width="9.1640625" style="1"/>
  </cols>
  <sheetData>
    <row r="4" spans="2:22" s="32" customFormat="1" x14ac:dyDescent="0.2"/>
    <row r="5" spans="2:22" x14ac:dyDescent="0.2">
      <c r="E5" s="33"/>
      <c r="F5" s="33"/>
      <c r="G5" s="33"/>
      <c r="H5" s="33"/>
      <c r="I5" s="33"/>
      <c r="J5" s="33"/>
      <c r="K5" s="33"/>
      <c r="L5" s="33"/>
      <c r="M5" s="33"/>
      <c r="N5" s="34"/>
      <c r="O5" s="34"/>
      <c r="P5" s="34"/>
      <c r="Q5" s="34"/>
      <c r="V5" s="32"/>
    </row>
    <row r="6" spans="2:22" x14ac:dyDescent="0.2">
      <c r="D6" s="35">
        <v>2007</v>
      </c>
      <c r="E6" s="36">
        <v>2008</v>
      </c>
      <c r="F6" s="36">
        <v>2009</v>
      </c>
      <c r="G6" s="36">
        <v>2010</v>
      </c>
      <c r="H6" s="36">
        <v>2011</v>
      </c>
      <c r="I6" s="36">
        <v>2012</v>
      </c>
      <c r="J6" s="36">
        <v>2013</v>
      </c>
      <c r="K6" s="36">
        <v>2014</v>
      </c>
      <c r="L6" s="36">
        <v>2015</v>
      </c>
      <c r="M6" s="36">
        <v>2016</v>
      </c>
      <c r="N6" s="36">
        <v>2017</v>
      </c>
      <c r="O6" s="36">
        <v>2018</v>
      </c>
      <c r="P6" s="36">
        <v>2019</v>
      </c>
      <c r="Q6" s="36">
        <v>2020</v>
      </c>
      <c r="S6" s="36" t="s">
        <v>67</v>
      </c>
      <c r="T6" s="36" t="s">
        <v>68</v>
      </c>
      <c r="U6" s="36" t="s">
        <v>69</v>
      </c>
      <c r="V6" s="32"/>
    </row>
    <row r="7" spans="2:22" x14ac:dyDescent="0.2">
      <c r="B7" s="35" t="s">
        <v>20</v>
      </c>
      <c r="C7" s="35" t="s">
        <v>21</v>
      </c>
      <c r="D7" s="37">
        <v>0.12686247487673652</v>
      </c>
      <c r="E7" s="37">
        <v>-0.15023592643277031</v>
      </c>
      <c r="F7" s="37">
        <v>0.14277719767204361</v>
      </c>
      <c r="G7" s="37">
        <v>0.13779875175128531</v>
      </c>
      <c r="H7" s="37">
        <v>0.14086764837055379</v>
      </c>
      <c r="I7" s="37">
        <v>0.10726030030584983</v>
      </c>
      <c r="J7" s="37">
        <v>0.26308284751585442</v>
      </c>
      <c r="K7" s="37">
        <v>0.15720640721186535</v>
      </c>
      <c r="L7" s="37">
        <v>6.8708087927219094E-2</v>
      </c>
      <c r="M7" s="37">
        <v>4.981356196127687E-2</v>
      </c>
      <c r="N7" s="37">
        <v>0.12981960046864605</v>
      </c>
      <c r="O7" s="37">
        <v>-8.0711309677145182E-2</v>
      </c>
      <c r="P7" s="37">
        <v>0.27433939319249107</v>
      </c>
      <c r="Q7" s="37">
        <v>0.10110771440996463</v>
      </c>
      <c r="S7" s="38">
        <f>MIN(D7:Q7)</f>
        <v>-0.15023592643277031</v>
      </c>
      <c r="T7" s="38">
        <f>MAX(D7:Q7)</f>
        <v>0.27433939319249107</v>
      </c>
      <c r="U7" s="38">
        <v>9.9200397777534421E-2</v>
      </c>
      <c r="V7" s="32"/>
    </row>
    <row r="8" spans="2:22" x14ac:dyDescent="0.2">
      <c r="B8" s="35" t="s">
        <v>22</v>
      </c>
      <c r="C8" s="35" t="s">
        <v>23</v>
      </c>
      <c r="D8" s="37">
        <v>-0.13668189378841328</v>
      </c>
      <c r="E8" s="37">
        <v>-0.3297117039664002</v>
      </c>
      <c r="F8" s="37">
        <v>0.40569073337579181</v>
      </c>
      <c r="G8" s="37">
        <v>0.27462383182758582</v>
      </c>
      <c r="H8" s="37">
        <v>5.9942788436066138E-2</v>
      </c>
      <c r="I8" s="37">
        <v>0.23599072080547118</v>
      </c>
      <c r="J8" s="37">
        <v>0.42732449293016178</v>
      </c>
      <c r="K8" s="37">
        <v>9.4611892165093137E-2</v>
      </c>
      <c r="L8" s="37">
        <v>9.9033650185442273E-2</v>
      </c>
      <c r="M8" s="37">
        <v>5.9686391855258307E-2</v>
      </c>
      <c r="N8" s="37">
        <v>0.22822459990261296</v>
      </c>
      <c r="O8" s="37">
        <v>1.5820258346277E-2</v>
      </c>
      <c r="P8" s="37">
        <v>0.28389566373593317</v>
      </c>
      <c r="Q8" s="37">
        <v>0.29630295330677719</v>
      </c>
      <c r="S8" s="38">
        <f t="shared" ref="S8:S18" si="0">MIN(D8:Q8)</f>
        <v>-0.3297117039664002</v>
      </c>
      <c r="T8" s="38">
        <f t="shared" ref="T8:T18" si="1">MAX(D8:Q8)</f>
        <v>0.42732449293016178</v>
      </c>
      <c r="U8" s="38">
        <v>0.12392190944727721</v>
      </c>
      <c r="V8" s="32"/>
    </row>
    <row r="9" spans="2:22" x14ac:dyDescent="0.2">
      <c r="B9" s="35" t="s">
        <v>24</v>
      </c>
      <c r="C9" s="35" t="s">
        <v>25</v>
      </c>
      <c r="D9" s="37">
        <v>0.36888406138516655</v>
      </c>
      <c r="E9" s="37">
        <v>-0.38955318983935344</v>
      </c>
      <c r="F9" s="37">
        <v>0.21763776268024762</v>
      </c>
      <c r="G9" s="37">
        <v>0.21776908270785023</v>
      </c>
      <c r="H9" s="37">
        <v>2.8391229200437847E-2</v>
      </c>
      <c r="I9" s="37">
        <v>5.2125668911859054E-2</v>
      </c>
      <c r="J9" s="37">
        <v>0.26245395708674923</v>
      </c>
      <c r="K9" s="37">
        <v>-8.67781339605668E-2</v>
      </c>
      <c r="L9" s="37">
        <v>-0.2149799447796471</v>
      </c>
      <c r="M9" s="37">
        <v>0.28026756737699632</v>
      </c>
      <c r="N9" s="37">
        <v>-8.8744143415324835E-3</v>
      </c>
      <c r="O9" s="37">
        <v>-0.18217600625217586</v>
      </c>
      <c r="P9" s="37">
        <v>0.11741477440442914</v>
      </c>
      <c r="Q9" s="37">
        <v>-0.32671321322406949</v>
      </c>
      <c r="S9" s="38">
        <f t="shared" si="0"/>
        <v>-0.38955318983935344</v>
      </c>
      <c r="T9" s="38">
        <f t="shared" si="1"/>
        <v>0.36888406138516655</v>
      </c>
      <c r="U9" s="39">
        <v>-3.8583104276448399E-3</v>
      </c>
      <c r="V9" s="32"/>
    </row>
    <row r="10" spans="2:22" x14ac:dyDescent="0.2">
      <c r="B10" s="35" t="s">
        <v>26</v>
      </c>
      <c r="C10" s="35" t="s">
        <v>27</v>
      </c>
      <c r="D10" s="37">
        <v>-0.19175679745641808</v>
      </c>
      <c r="E10" s="37">
        <v>-0.54902190540485352</v>
      </c>
      <c r="F10" s="37">
        <v>0.17565303590242601</v>
      </c>
      <c r="G10" s="37">
        <v>0.11903941520180623</v>
      </c>
      <c r="H10" s="37">
        <v>-0.17142534748248583</v>
      </c>
      <c r="I10" s="37">
        <v>0.28415328424319042</v>
      </c>
      <c r="J10" s="37">
        <v>0.35796058639442241</v>
      </c>
      <c r="K10" s="37">
        <v>0.15503345871341753</v>
      </c>
      <c r="L10" s="37">
        <v>-1.3308200296774309E-2</v>
      </c>
      <c r="M10" s="37">
        <v>0.59871814132596402</v>
      </c>
      <c r="N10" s="37">
        <v>0.21999874704408123</v>
      </c>
      <c r="O10" s="37">
        <v>-0.13052085765838201</v>
      </c>
      <c r="P10" s="37">
        <v>0.31873985782749442</v>
      </c>
      <c r="Q10" s="37">
        <v>-1.7363434766781618E-2</v>
      </c>
      <c r="S10" s="38">
        <f t="shared" si="0"/>
        <v>-0.54902190540485352</v>
      </c>
      <c r="T10" s="38">
        <f t="shared" si="1"/>
        <v>0.59871814132596402</v>
      </c>
      <c r="U10" s="38">
        <v>3.9125375417551345E-2</v>
      </c>
      <c r="V10" s="32"/>
    </row>
    <row r="11" spans="2:22" x14ac:dyDescent="0.2">
      <c r="B11" s="35" t="s">
        <v>28</v>
      </c>
      <c r="C11" s="35" t="s">
        <v>29</v>
      </c>
      <c r="D11" s="37">
        <v>7.1595615208951663E-2</v>
      </c>
      <c r="E11" s="37">
        <v>-0.23310088910959101</v>
      </c>
      <c r="F11" s="37">
        <v>0.19518746558976474</v>
      </c>
      <c r="G11" s="37">
        <v>3.2992568427821417E-2</v>
      </c>
      <c r="H11" s="37">
        <v>0.12396826679717693</v>
      </c>
      <c r="I11" s="37">
        <v>0.17371845745755549</v>
      </c>
      <c r="J11" s="37">
        <v>0.4140907975146767</v>
      </c>
      <c r="K11" s="37">
        <v>0.2513517159257509</v>
      </c>
      <c r="L11" s="37">
        <v>6.8317146340254903E-2</v>
      </c>
      <c r="M11" s="37">
        <v>-2.7619694634746682E-2</v>
      </c>
      <c r="N11" s="37">
        <v>0.21772866200965002</v>
      </c>
      <c r="O11" s="37">
        <v>6.2799824217852102E-2</v>
      </c>
      <c r="P11" s="37">
        <v>0.20451748197370176</v>
      </c>
      <c r="Q11" s="37">
        <v>0.1329522769329213</v>
      </c>
      <c r="S11" s="38">
        <f t="shared" si="0"/>
        <v>-0.23310088910959101</v>
      </c>
      <c r="T11" s="38">
        <f t="shared" si="1"/>
        <v>0.4140907975146767</v>
      </c>
      <c r="U11" s="38">
        <v>0.11064324100926659</v>
      </c>
      <c r="V11" s="42"/>
    </row>
    <row r="12" spans="2:22" x14ac:dyDescent="0.2">
      <c r="B12" s="35" t="s">
        <v>30</v>
      </c>
      <c r="C12" s="35" t="s">
        <v>31</v>
      </c>
      <c r="D12" s="37">
        <v>0.13493228160355278</v>
      </c>
      <c r="E12" s="37">
        <v>-0.38727621105506432</v>
      </c>
      <c r="F12" s="37">
        <v>0.22031131487520661</v>
      </c>
      <c r="G12" s="37">
        <v>0.27820672917087064</v>
      </c>
      <c r="H12" s="37">
        <v>-1.099630455171687E-2</v>
      </c>
      <c r="I12" s="37">
        <v>0.14924327882699878</v>
      </c>
      <c r="J12" s="37">
        <v>0.40547580247480686</v>
      </c>
      <c r="K12" s="37">
        <v>0.10363776770174329</v>
      </c>
      <c r="L12" s="37">
        <v>-4.3247948024502998E-2</v>
      </c>
      <c r="M12" s="37">
        <v>0.20004920662849571</v>
      </c>
      <c r="N12" s="37">
        <v>0.23979210199800369</v>
      </c>
      <c r="O12" s="37">
        <v>-0.13247399266447785</v>
      </c>
      <c r="P12" s="37">
        <v>0.29084563846321887</v>
      </c>
      <c r="Q12" s="37">
        <v>0.10905003711716695</v>
      </c>
      <c r="S12" s="38">
        <f t="shared" si="0"/>
        <v>-0.38727621105506432</v>
      </c>
      <c r="T12" s="38">
        <f t="shared" si="1"/>
        <v>0.40547580247480686</v>
      </c>
      <c r="U12" s="38">
        <v>9.0909313466890351E-2</v>
      </c>
      <c r="V12" s="42"/>
    </row>
    <row r="13" spans="2:22" x14ac:dyDescent="0.2">
      <c r="B13" s="35" t="s">
        <v>32</v>
      </c>
      <c r="C13" s="35" t="s">
        <v>33</v>
      </c>
      <c r="D13" s="37">
        <v>0.15456984967908877</v>
      </c>
      <c r="E13" s="37">
        <v>-0.41507230686119923</v>
      </c>
      <c r="F13" s="37">
        <v>0.51325018770751862</v>
      </c>
      <c r="G13" s="37">
        <v>0.11394550599571873</v>
      </c>
      <c r="H13" s="37">
        <v>2.6138606132854271E-2</v>
      </c>
      <c r="I13" s="37">
        <v>0.15296245910918932</v>
      </c>
      <c r="J13" s="37">
        <v>0.26243622662276256</v>
      </c>
      <c r="K13" s="37">
        <v>0.17844168373291605</v>
      </c>
      <c r="L13" s="37">
        <v>5.4709148987697707E-2</v>
      </c>
      <c r="M13" s="37">
        <v>0.15012764981174381</v>
      </c>
      <c r="N13" s="37">
        <v>0.34256444500481831</v>
      </c>
      <c r="O13" s="37">
        <v>-1.6772281967218843E-2</v>
      </c>
      <c r="P13" s="37">
        <v>0.49855881916430678</v>
      </c>
      <c r="Q13" s="37">
        <v>0.43618787280876697</v>
      </c>
      <c r="S13" s="38">
        <f t="shared" si="0"/>
        <v>-0.41507230686119923</v>
      </c>
      <c r="T13" s="38">
        <f t="shared" si="1"/>
        <v>0.51325018770751862</v>
      </c>
      <c r="U13" s="38">
        <v>0.14799572210862966</v>
      </c>
      <c r="V13" s="42"/>
    </row>
    <row r="14" spans="2:22" x14ac:dyDescent="0.2">
      <c r="B14" s="35" t="s">
        <v>34</v>
      </c>
      <c r="C14" s="35" t="s">
        <v>35</v>
      </c>
      <c r="D14" s="37">
        <v>0.22085588839981374</v>
      </c>
      <c r="E14" s="37">
        <v>-0.44048894847459719</v>
      </c>
      <c r="F14" s="37">
        <v>0.48157967612916697</v>
      </c>
      <c r="G14" s="37">
        <v>0.20554945638597635</v>
      </c>
      <c r="H14" s="37">
        <v>-0.10921789525015603</v>
      </c>
      <c r="I14" s="37">
        <v>0.14693375106585049</v>
      </c>
      <c r="J14" s="37">
        <v>0.2598919628827987</v>
      </c>
      <c r="K14" s="37">
        <v>7.1815385516625654E-2</v>
      </c>
      <c r="L14" s="37">
        <v>-8.694593887600488E-2</v>
      </c>
      <c r="M14" s="37">
        <v>0.16798762960582383</v>
      </c>
      <c r="N14" s="37">
        <v>0.24012695935889278</v>
      </c>
      <c r="O14" s="37">
        <v>-0.14877443130244999</v>
      </c>
      <c r="P14" s="37">
        <v>0.2412909401999217</v>
      </c>
      <c r="Q14" s="37">
        <v>0.20460668293298961</v>
      </c>
      <c r="S14" s="38">
        <f t="shared" si="0"/>
        <v>-0.44048894847459719</v>
      </c>
      <c r="T14" s="38">
        <f t="shared" si="1"/>
        <v>0.48157967612916697</v>
      </c>
      <c r="U14" s="64">
        <v>7.7228401843017824E-2</v>
      </c>
      <c r="V14" s="43"/>
    </row>
    <row r="15" spans="2:22" x14ac:dyDescent="0.2">
      <c r="B15" s="35" t="s">
        <v>36</v>
      </c>
      <c r="C15" s="35" t="s">
        <v>37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>
        <v>0.10695512035677525</v>
      </c>
      <c r="O15" s="37">
        <v>-2.3876621425705229E-2</v>
      </c>
      <c r="P15" s="37">
        <v>0.28683780913567292</v>
      </c>
      <c r="Q15" s="37">
        <v>-2.1862496290849694E-2</v>
      </c>
      <c r="S15" s="38">
        <f t="shared" si="0"/>
        <v>-2.3876621425705229E-2</v>
      </c>
      <c r="T15" s="38">
        <f t="shared" si="1"/>
        <v>0.28683780913567292</v>
      </c>
      <c r="U15" s="38"/>
      <c r="V15" s="42"/>
    </row>
    <row r="16" spans="2:22" x14ac:dyDescent="0.2">
      <c r="B16" s="35" t="s">
        <v>38</v>
      </c>
      <c r="C16" s="35" t="s">
        <v>39</v>
      </c>
      <c r="D16" s="37"/>
      <c r="E16" s="37"/>
      <c r="F16" s="37"/>
      <c r="G16" s="37"/>
      <c r="H16" s="37"/>
      <c r="I16" s="37"/>
      <c r="J16" s="37">
        <v>0.22985256065223789</v>
      </c>
      <c r="K16" s="37">
        <v>5.4391494747815392E-2</v>
      </c>
      <c r="L16" s="37">
        <v>-1.3126603614568905E-2</v>
      </c>
      <c r="M16" s="37">
        <v>0.24868872520643012</v>
      </c>
      <c r="N16" s="37">
        <v>5.5497683340154499E-3</v>
      </c>
      <c r="O16" s="37">
        <v>-6.5997866092239094E-2</v>
      </c>
      <c r="P16" s="37">
        <v>0.12512173551967345</v>
      </c>
      <c r="Q16" s="37">
        <v>0.22461315518032027</v>
      </c>
      <c r="S16" s="38">
        <f t="shared" si="0"/>
        <v>-6.5997866092239094E-2</v>
      </c>
      <c r="T16" s="38">
        <f t="shared" si="1"/>
        <v>0.24868872520643012</v>
      </c>
      <c r="U16" s="38"/>
      <c r="V16" s="42"/>
    </row>
    <row r="17" spans="2:22" x14ac:dyDescent="0.2">
      <c r="B17" s="35" t="s">
        <v>40</v>
      </c>
      <c r="C17" s="35" t="s">
        <v>41</v>
      </c>
      <c r="D17" s="37">
        <v>0.18420595527770969</v>
      </c>
      <c r="E17" s="37">
        <v>-0.28910222903279514</v>
      </c>
      <c r="F17" s="37">
        <v>0.11705791094236237</v>
      </c>
      <c r="G17" s="37">
        <v>5.3085639593045575E-2</v>
      </c>
      <c r="H17" s="37">
        <v>0.19640161033188352</v>
      </c>
      <c r="I17" s="37">
        <v>1.0370311665640401E-2</v>
      </c>
      <c r="J17" s="37">
        <v>0.13065632635369787</v>
      </c>
      <c r="K17" s="37">
        <v>0.28747470428567645</v>
      </c>
      <c r="L17" s="37">
        <v>-4.9296557059811376E-2</v>
      </c>
      <c r="M17" s="37">
        <v>0.16074948266086644</v>
      </c>
      <c r="N17" s="37">
        <v>0.12048087714680358</v>
      </c>
      <c r="O17" s="37">
        <v>3.9351857388684561E-2</v>
      </c>
      <c r="P17" s="37">
        <v>0.25931303591663429</v>
      </c>
      <c r="Q17" s="37">
        <v>5.1052613700847994E-3</v>
      </c>
      <c r="S17" s="38">
        <f t="shared" si="0"/>
        <v>-0.28910222903279514</v>
      </c>
      <c r="T17" s="38">
        <f t="shared" si="1"/>
        <v>0.28747470428567645</v>
      </c>
      <c r="U17" s="38">
        <v>7.7262962367239174E-2</v>
      </c>
      <c r="V17" s="42"/>
    </row>
    <row r="18" spans="2:22" x14ac:dyDescent="0.2">
      <c r="B18" s="35" t="s">
        <v>42</v>
      </c>
      <c r="C18" s="35" t="s">
        <v>43</v>
      </c>
      <c r="D18" s="37">
        <v>5.1462355973129204E-2</v>
      </c>
      <c r="E18" s="37">
        <v>-0.36795016919967172</v>
      </c>
      <c r="F18" s="37">
        <v>0.2635176879310156</v>
      </c>
      <c r="G18" s="37">
        <v>0.1505617408090037</v>
      </c>
      <c r="H18" s="37">
        <v>1.8949784435886574E-2</v>
      </c>
      <c r="I18" s="37">
        <v>0.159903516656002</v>
      </c>
      <c r="J18" s="37">
        <v>0.32307900422820945</v>
      </c>
      <c r="K18" s="37">
        <v>0.13463438087769269</v>
      </c>
      <c r="L18" s="37">
        <v>1.2344611082462105E-2</v>
      </c>
      <c r="M18" s="37">
        <v>0.11997917320929141</v>
      </c>
      <c r="N18" s="37">
        <v>0.21705395936994845</v>
      </c>
      <c r="O18" s="37">
        <v>-4.5689963294701832E-2</v>
      </c>
      <c r="P18" s="37">
        <v>0.31223858315853914</v>
      </c>
      <c r="Q18" s="37">
        <v>0.18331622074997378</v>
      </c>
      <c r="S18" s="38">
        <f t="shared" si="0"/>
        <v>-0.36795016919967172</v>
      </c>
      <c r="T18" s="38">
        <f t="shared" si="1"/>
        <v>0.32307900422820945</v>
      </c>
      <c r="U18" s="38">
        <v>9.3723225662264431E-2</v>
      </c>
      <c r="V18" s="42"/>
    </row>
    <row r="19" spans="2:22" x14ac:dyDescent="0.2">
      <c r="H19" s="40"/>
      <c r="J19" s="40"/>
      <c r="K19" s="41"/>
      <c r="L19" s="41"/>
    </row>
    <row r="20" spans="2:22" x14ac:dyDescent="0.2">
      <c r="H20" s="40"/>
      <c r="J20" s="40"/>
      <c r="K20" s="41"/>
      <c r="L20" s="41"/>
    </row>
    <row r="21" spans="2:22" x14ac:dyDescent="0.2">
      <c r="H21" s="40"/>
      <c r="J21" s="40"/>
      <c r="K21" s="41"/>
      <c r="L21" s="41"/>
    </row>
    <row r="22" spans="2:22" x14ac:dyDescent="0.2">
      <c r="H22" s="40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DBE2-AF48-435D-BB4C-C3ADAE69880A}">
  <dimension ref="C1:P34"/>
  <sheetViews>
    <sheetView zoomScale="160" zoomScaleNormal="160" workbookViewId="0">
      <selection activeCell="K38" sqref="K38"/>
    </sheetView>
  </sheetViews>
  <sheetFormatPr baseColWidth="10" defaultColWidth="9.1640625" defaultRowHeight="15" x14ac:dyDescent="0.2"/>
  <cols>
    <col min="1" max="3" width="9.1640625" style="1"/>
    <col min="4" max="4" width="28.83203125" style="1" customWidth="1"/>
    <col min="5" max="16" width="12.6640625" style="1" customWidth="1"/>
    <col min="17" max="16384" width="9.1640625" style="1"/>
  </cols>
  <sheetData>
    <row r="1" spans="3:16" ht="16" thickBot="1" x14ac:dyDescent="0.25">
      <c r="C1" s="44" t="s">
        <v>16</v>
      </c>
      <c r="D1" s="48">
        <v>44196</v>
      </c>
    </row>
    <row r="3" spans="3:16" ht="16" thickBot="1" x14ac:dyDescent="0.25"/>
    <row r="4" spans="3:16" x14ac:dyDescent="0.2">
      <c r="E4" s="100" t="s">
        <v>10</v>
      </c>
      <c r="F4" s="101"/>
      <c r="G4" s="102"/>
      <c r="H4" s="100" t="s">
        <v>11</v>
      </c>
      <c r="I4" s="102"/>
      <c r="J4" s="100" t="s">
        <v>12</v>
      </c>
      <c r="K4" s="102"/>
      <c r="L4" s="100" t="s">
        <v>13</v>
      </c>
      <c r="M4" s="102"/>
      <c r="N4" s="100" t="s">
        <v>14</v>
      </c>
      <c r="O4" s="102"/>
      <c r="P4" s="22" t="s">
        <v>15</v>
      </c>
    </row>
    <row r="5" spans="3:16" ht="16" thickBot="1" x14ac:dyDescent="0.25">
      <c r="C5" s="49"/>
      <c r="D5" s="49"/>
      <c r="E5" s="23">
        <v>43830</v>
      </c>
      <c r="F5" s="24" t="s">
        <v>16</v>
      </c>
      <c r="G5" s="25" t="s">
        <v>17</v>
      </c>
      <c r="H5" s="26">
        <v>44189</v>
      </c>
      <c r="I5" s="27" t="s">
        <v>17</v>
      </c>
      <c r="J5" s="26">
        <v>44168</v>
      </c>
      <c r="K5" s="27" t="s">
        <v>17</v>
      </c>
      <c r="L5" s="26">
        <v>44106</v>
      </c>
      <c r="M5" s="27" t="s">
        <v>17</v>
      </c>
      <c r="N5" s="26">
        <v>42446</v>
      </c>
      <c r="O5" s="27" t="s">
        <v>17</v>
      </c>
      <c r="P5" s="28" t="s">
        <v>17</v>
      </c>
    </row>
    <row r="6" spans="3:16" x14ac:dyDescent="0.2">
      <c r="C6" s="22" t="s">
        <v>18</v>
      </c>
      <c r="D6" s="22" t="s">
        <v>19</v>
      </c>
      <c r="E6" s="50">
        <v>124.968262</v>
      </c>
      <c r="F6" s="51">
        <v>155.53999300000001</v>
      </c>
      <c r="G6" s="52">
        <v>0.24463596204930829</v>
      </c>
      <c r="H6" s="50">
        <v>152.46000699999999</v>
      </c>
      <c r="I6" s="53">
        <v>2.0201927447110898E-2</v>
      </c>
      <c r="J6" s="50">
        <v>150.56242399999999</v>
      </c>
      <c r="K6" s="53">
        <v>3.3059835699776038E-2</v>
      </c>
      <c r="L6" s="50">
        <v>135.411484</v>
      </c>
      <c r="M6" s="53">
        <v>0.14864698624822698</v>
      </c>
      <c r="N6" s="50">
        <v>81.886711000000005</v>
      </c>
      <c r="O6" s="29">
        <v>0.89945341680654389</v>
      </c>
      <c r="P6" s="29">
        <v>1</v>
      </c>
    </row>
    <row r="7" spans="3:16" x14ac:dyDescent="0.2">
      <c r="C7" s="54" t="s">
        <v>20</v>
      </c>
      <c r="D7" s="54" t="s">
        <v>21</v>
      </c>
      <c r="E7" s="55">
        <v>61.256492999999999</v>
      </c>
      <c r="F7" s="56">
        <v>67.449996999999996</v>
      </c>
      <c r="G7" s="57">
        <v>0.10110771440996463</v>
      </c>
      <c r="H7" s="55">
        <v>66.720000999999996</v>
      </c>
      <c r="I7" s="58">
        <v>1.0941186886373097E-2</v>
      </c>
      <c r="J7" s="55">
        <v>66.552811000000005</v>
      </c>
      <c r="K7" s="58">
        <v>1.3480813004277019E-2</v>
      </c>
      <c r="L7" s="55">
        <v>63.567794999999997</v>
      </c>
      <c r="M7" s="58">
        <v>6.1071836768917337E-2</v>
      </c>
      <c r="N7" s="55">
        <v>46.268475000000002</v>
      </c>
      <c r="O7" s="30">
        <v>0.45779598311809483</v>
      </c>
      <c r="P7" s="30">
        <v>0.99749726313866893</v>
      </c>
    </row>
    <row r="8" spans="3:16" x14ac:dyDescent="0.2">
      <c r="C8" s="54" t="s">
        <v>22</v>
      </c>
      <c r="D8" s="54" t="s">
        <v>23</v>
      </c>
      <c r="E8" s="55">
        <v>124.02964799999999</v>
      </c>
      <c r="F8" s="56">
        <v>160.779999</v>
      </c>
      <c r="G8" s="57">
        <v>0.29630295330677719</v>
      </c>
      <c r="H8" s="55">
        <v>157.88000500000001</v>
      </c>
      <c r="I8" s="58">
        <v>1.8368342463632378E-2</v>
      </c>
      <c r="J8" s="55">
        <v>157.587906</v>
      </c>
      <c r="K8" s="58">
        <v>2.0255951621059042E-2</v>
      </c>
      <c r="L8" s="55">
        <v>147.99568199999999</v>
      </c>
      <c r="M8" s="58">
        <v>8.6383040553845464E-2</v>
      </c>
      <c r="N8" s="55">
        <v>73.207381999999996</v>
      </c>
      <c r="O8" s="30">
        <v>1.1962265909194787</v>
      </c>
      <c r="P8" s="30">
        <v>1</v>
      </c>
    </row>
    <row r="9" spans="3:16" x14ac:dyDescent="0.2">
      <c r="C9" s="54" t="s">
        <v>24</v>
      </c>
      <c r="D9" s="54" t="s">
        <v>25</v>
      </c>
      <c r="E9" s="55">
        <v>56.291023000000003</v>
      </c>
      <c r="F9" s="56">
        <v>37.900002000000001</v>
      </c>
      <c r="G9" s="57">
        <v>-0.32671321322406949</v>
      </c>
      <c r="H9" s="55">
        <v>38.119999</v>
      </c>
      <c r="I9" s="58">
        <v>-5.7711701409016124E-3</v>
      </c>
      <c r="J9" s="55">
        <v>38.021481000000001</v>
      </c>
      <c r="K9" s="58">
        <v>-3.1950096841309463E-3</v>
      </c>
      <c r="L9" s="55">
        <v>28.923168</v>
      </c>
      <c r="M9" s="58">
        <v>0.31036828330838445</v>
      </c>
      <c r="N9" s="55">
        <v>51.312969000000002</v>
      </c>
      <c r="O9" s="30">
        <v>-0.26139526247253403</v>
      </c>
      <c r="P9" s="30">
        <v>0.27653125273809931</v>
      </c>
    </row>
    <row r="10" spans="3:16" x14ac:dyDescent="0.2">
      <c r="C10" s="54" t="s">
        <v>26</v>
      </c>
      <c r="D10" s="54" t="s">
        <v>27</v>
      </c>
      <c r="E10" s="55">
        <v>30.000919</v>
      </c>
      <c r="F10" s="56">
        <v>29.48</v>
      </c>
      <c r="G10" s="57">
        <v>-1.7363434766781618E-2</v>
      </c>
      <c r="H10" s="55">
        <v>28.950001</v>
      </c>
      <c r="I10" s="58">
        <v>1.8307391422888036E-2</v>
      </c>
      <c r="J10" s="55">
        <v>28.477253000000001</v>
      </c>
      <c r="K10" s="58">
        <v>3.5212209548442029E-2</v>
      </c>
      <c r="L10" s="55">
        <v>24.170352999999999</v>
      </c>
      <c r="M10" s="58">
        <v>0.21967602210857251</v>
      </c>
      <c r="N10" s="55">
        <v>12.784344000000001</v>
      </c>
      <c r="O10" s="30">
        <v>1.3059454595402</v>
      </c>
      <c r="P10" s="30">
        <v>0.96697254835551483</v>
      </c>
    </row>
    <row r="11" spans="3:16" x14ac:dyDescent="0.2">
      <c r="C11" s="54" t="s">
        <v>28</v>
      </c>
      <c r="D11" s="54" t="s">
        <v>29</v>
      </c>
      <c r="E11" s="55">
        <v>100.127785</v>
      </c>
      <c r="F11" s="56">
        <v>113.44000200000001</v>
      </c>
      <c r="G11" s="57">
        <v>0.1329522769329213</v>
      </c>
      <c r="H11" s="55">
        <v>111.470001</v>
      </c>
      <c r="I11" s="58">
        <v>1.76729252922498E-2</v>
      </c>
      <c r="J11" s="55">
        <v>110.892769</v>
      </c>
      <c r="K11" s="58">
        <v>2.2970235327066327E-2</v>
      </c>
      <c r="L11" s="55">
        <v>103.7323</v>
      </c>
      <c r="M11" s="58">
        <v>9.3584177734418419E-2</v>
      </c>
      <c r="N11" s="55">
        <v>60.799827999999998</v>
      </c>
      <c r="O11" s="30">
        <v>0.86579478481419403</v>
      </c>
      <c r="P11" s="30">
        <v>1</v>
      </c>
    </row>
    <row r="12" spans="3:16" x14ac:dyDescent="0.2">
      <c r="C12" s="54" t="s">
        <v>30</v>
      </c>
      <c r="D12" s="54" t="s">
        <v>31</v>
      </c>
      <c r="E12" s="55">
        <v>79.843108999999998</v>
      </c>
      <c r="F12" s="56">
        <v>88.550003000000004</v>
      </c>
      <c r="G12" s="57">
        <v>0.10905003711716695</v>
      </c>
      <c r="H12" s="55">
        <v>88</v>
      </c>
      <c r="I12" s="58">
        <v>6.2500340909091342E-3</v>
      </c>
      <c r="J12" s="55">
        <v>87.796806000000004</v>
      </c>
      <c r="K12" s="58">
        <v>8.5788656138584361E-3</v>
      </c>
      <c r="L12" s="55">
        <v>77.290267999999998</v>
      </c>
      <c r="M12" s="58">
        <v>0.14568114836915827</v>
      </c>
      <c r="N12" s="55">
        <v>50.118271</v>
      </c>
      <c r="O12" s="30">
        <v>0.76682078677454779</v>
      </c>
      <c r="P12" s="30">
        <v>0.99055209374129161</v>
      </c>
    </row>
    <row r="13" spans="3:16" x14ac:dyDescent="0.2">
      <c r="C13" s="54" t="s">
        <v>32</v>
      </c>
      <c r="D13" s="54" t="s">
        <v>33</v>
      </c>
      <c r="E13" s="55">
        <v>90.531334000000001</v>
      </c>
      <c r="F13" s="56">
        <v>130.020004</v>
      </c>
      <c r="G13" s="57">
        <v>0.43618787280876697</v>
      </c>
      <c r="H13" s="55">
        <v>129.05999800000001</v>
      </c>
      <c r="I13" s="58">
        <v>7.4384473491158178E-3</v>
      </c>
      <c r="J13" s="55">
        <v>124.500046</v>
      </c>
      <c r="K13" s="58">
        <v>4.4336995666652224E-2</v>
      </c>
      <c r="L13" s="55">
        <v>114.672928</v>
      </c>
      <c r="M13" s="58">
        <v>0.13383347113976196</v>
      </c>
      <c r="N13" s="55">
        <v>40.637222000000001</v>
      </c>
      <c r="O13" s="30">
        <v>2.1995298300656474</v>
      </c>
      <c r="P13" s="30">
        <v>0.9958226590785102</v>
      </c>
    </row>
    <row r="14" spans="3:16" x14ac:dyDescent="0.2">
      <c r="C14" s="54" t="s">
        <v>34</v>
      </c>
      <c r="D14" s="54" t="s">
        <v>35</v>
      </c>
      <c r="E14" s="55">
        <v>60.094302999999996</v>
      </c>
      <c r="F14" s="56">
        <v>72.389999000000003</v>
      </c>
      <c r="G14" s="57">
        <v>0.20460668293298961</v>
      </c>
      <c r="H14" s="55">
        <v>71.580001999999993</v>
      </c>
      <c r="I14" s="58">
        <v>1.1315967831350577E-2</v>
      </c>
      <c r="J14" s="55">
        <v>70.010200999999995</v>
      </c>
      <c r="K14" s="58">
        <v>3.3992160656702131E-2</v>
      </c>
      <c r="L14" s="55">
        <v>62.985294000000003</v>
      </c>
      <c r="M14" s="58">
        <v>0.1493158863400717</v>
      </c>
      <c r="N14" s="55">
        <v>41.047825000000003</v>
      </c>
      <c r="O14" s="30">
        <v>0.7635526121055134</v>
      </c>
      <c r="P14" s="30">
        <v>1</v>
      </c>
    </row>
    <row r="15" spans="3:16" x14ac:dyDescent="0.2">
      <c r="C15" s="54" t="s">
        <v>36</v>
      </c>
      <c r="D15" s="54" t="s">
        <v>37</v>
      </c>
      <c r="E15" s="55">
        <v>37.377158999999999</v>
      </c>
      <c r="F15" s="56">
        <v>36.560001</v>
      </c>
      <c r="G15" s="57">
        <v>-2.1862496290849694E-2</v>
      </c>
      <c r="H15" s="55">
        <v>35.909999999999997</v>
      </c>
      <c r="I15" s="58">
        <v>1.8100835421888142E-2</v>
      </c>
      <c r="J15" s="55">
        <v>36.368884999999999</v>
      </c>
      <c r="K15" s="58">
        <v>5.2549315163222888E-3</v>
      </c>
      <c r="L15" s="55">
        <v>35.964129999999997</v>
      </c>
      <c r="M15" s="58">
        <v>1.6568480872469388E-2</v>
      </c>
      <c r="N15" s="55">
        <v>26.841549000000001</v>
      </c>
      <c r="O15" s="30">
        <v>0.3620674797866546</v>
      </c>
      <c r="P15" s="30">
        <v>0.77572365144820166</v>
      </c>
    </row>
    <row r="16" spans="3:16" x14ac:dyDescent="0.2">
      <c r="C16" s="54" t="s">
        <v>38</v>
      </c>
      <c r="D16" s="54" t="s">
        <v>39</v>
      </c>
      <c r="E16" s="55">
        <v>69.205528000000001</v>
      </c>
      <c r="F16" s="56">
        <v>84.75</v>
      </c>
      <c r="G16" s="57">
        <v>0.22461315518032027</v>
      </c>
      <c r="H16" s="55">
        <v>85.620002999999997</v>
      </c>
      <c r="I16" s="58">
        <v>-1.0161211977532832E-2</v>
      </c>
      <c r="J16" s="55">
        <v>80.176604999999995</v>
      </c>
      <c r="K16" s="58">
        <v>5.704151479100425E-2</v>
      </c>
      <c r="L16" s="55">
        <v>67.712883000000005</v>
      </c>
      <c r="M16" s="58">
        <v>0.25160820578264248</v>
      </c>
      <c r="N16" s="55">
        <v>52.316875000000003</v>
      </c>
      <c r="O16" s="30">
        <v>0.61993620605206246</v>
      </c>
      <c r="P16" s="30">
        <v>0.97934767833687675</v>
      </c>
    </row>
    <row r="17" spans="3:16" x14ac:dyDescent="0.2">
      <c r="C17" s="54" t="s">
        <v>40</v>
      </c>
      <c r="D17" s="54" t="s">
        <v>41</v>
      </c>
      <c r="E17" s="55">
        <v>62.381526999999998</v>
      </c>
      <c r="F17" s="56">
        <v>62.700001</v>
      </c>
      <c r="G17" s="57">
        <v>5.1052613700847994E-3</v>
      </c>
      <c r="H17" s="55">
        <v>61.209999000000003</v>
      </c>
      <c r="I17" s="58">
        <v>2.4342460779978068E-2</v>
      </c>
      <c r="J17" s="55">
        <v>62.511715000000002</v>
      </c>
      <c r="K17" s="58">
        <v>3.0120114285777945E-3</v>
      </c>
      <c r="L17" s="55">
        <v>60.181404000000001</v>
      </c>
      <c r="M17" s="58">
        <v>4.1850087113288345E-2</v>
      </c>
      <c r="N17" s="55">
        <v>41.750247999999999</v>
      </c>
      <c r="O17" s="30">
        <v>0.50178751034005842</v>
      </c>
      <c r="P17" s="30">
        <v>0.89206989376649004</v>
      </c>
    </row>
    <row r="18" spans="3:16" x14ac:dyDescent="0.2">
      <c r="C18" s="54" t="s">
        <v>42</v>
      </c>
      <c r="D18" s="54" t="s">
        <v>43</v>
      </c>
      <c r="E18" s="55">
        <v>315.95950299999998</v>
      </c>
      <c r="F18" s="56">
        <v>373.88000499999998</v>
      </c>
      <c r="G18" s="57">
        <v>0.18331622074997378</v>
      </c>
      <c r="H18" s="55">
        <v>369</v>
      </c>
      <c r="I18" s="58">
        <v>1.3224945799457948E-2</v>
      </c>
      <c r="J18" s="55">
        <v>365.13357500000001</v>
      </c>
      <c r="K18" s="58">
        <v>2.3954055717828673E-2</v>
      </c>
      <c r="L18" s="55">
        <v>332.42300399999999</v>
      </c>
      <c r="M18" s="58">
        <v>0.12471158885261741</v>
      </c>
      <c r="N18" s="55">
        <v>185.79129</v>
      </c>
      <c r="O18" s="30">
        <v>1.0123656227372122</v>
      </c>
      <c r="P18" s="30">
        <v>1</v>
      </c>
    </row>
    <row r="19" spans="3:16" x14ac:dyDescent="0.2">
      <c r="C19" s="54" t="s">
        <v>44</v>
      </c>
      <c r="D19" s="54" t="s">
        <v>45</v>
      </c>
      <c r="E19" s="55">
        <v>102.480003</v>
      </c>
      <c r="F19" s="56">
        <v>33.009998000000003</v>
      </c>
      <c r="G19" s="57">
        <v>-0.67788839740763851</v>
      </c>
      <c r="H19" s="55">
        <v>32.919998</v>
      </c>
      <c r="I19" s="58">
        <v>2.7339005306137448E-3</v>
      </c>
      <c r="J19" s="55">
        <v>31.25</v>
      </c>
      <c r="K19" s="58">
        <v>5.6319936000000098E-2</v>
      </c>
      <c r="L19" s="55">
        <v>26.35</v>
      </c>
      <c r="M19" s="58">
        <v>0.2527513472485769</v>
      </c>
      <c r="N19" s="55">
        <v>84.400002000000001</v>
      </c>
      <c r="O19" s="30">
        <v>-0.60888628888895047</v>
      </c>
      <c r="P19" s="30">
        <v>1.730602140230109E-2</v>
      </c>
    </row>
    <row r="20" spans="3:16" x14ac:dyDescent="0.2">
      <c r="C20" s="54" t="s">
        <v>46</v>
      </c>
      <c r="D20" s="54" t="s">
        <v>47</v>
      </c>
      <c r="E20" s="55">
        <v>211.406387</v>
      </c>
      <c r="F20" s="56">
        <v>313.73998999999998</v>
      </c>
      <c r="G20" s="57">
        <v>0.48406107522191366</v>
      </c>
      <c r="H20" s="55">
        <v>309.55999800000001</v>
      </c>
      <c r="I20" s="58">
        <v>1.3503010812139785E-2</v>
      </c>
      <c r="J20" s="55">
        <v>303.72946200000001</v>
      </c>
      <c r="K20" s="58">
        <v>3.2958699278241126E-2</v>
      </c>
      <c r="L20" s="55">
        <v>273.81369000000001</v>
      </c>
      <c r="M20" s="58">
        <v>0.14581557262531311</v>
      </c>
      <c r="N20" s="55">
        <v>103.051376</v>
      </c>
      <c r="O20" s="30">
        <v>2.0445007352449127</v>
      </c>
      <c r="P20" s="30">
        <v>1</v>
      </c>
    </row>
    <row r="21" spans="3:16" x14ac:dyDescent="0.2">
      <c r="C21" s="54" t="s">
        <v>48</v>
      </c>
      <c r="D21" s="54" t="s">
        <v>49</v>
      </c>
      <c r="E21" s="55">
        <v>163.34141500000001</v>
      </c>
      <c r="F21" s="56">
        <v>196.05999800000001</v>
      </c>
      <c r="G21" s="57">
        <v>0.20030794394673263</v>
      </c>
      <c r="H21" s="55">
        <v>199.009995</v>
      </c>
      <c r="I21" s="58">
        <v>-1.4823361007571485E-2</v>
      </c>
      <c r="J21" s="55">
        <v>183.34783899999999</v>
      </c>
      <c r="K21" s="58">
        <v>6.9333563293320383E-2</v>
      </c>
      <c r="L21" s="55">
        <v>152.37451200000001</v>
      </c>
      <c r="M21" s="58">
        <v>0.28669811917100674</v>
      </c>
      <c r="N21" s="55">
        <v>101.472748</v>
      </c>
      <c r="O21" s="30">
        <v>0.93214436254352762</v>
      </c>
      <c r="P21" s="30">
        <v>0.98189424616024712</v>
      </c>
    </row>
    <row r="22" spans="3:16" x14ac:dyDescent="0.2">
      <c r="C22" s="54" t="s">
        <v>50</v>
      </c>
      <c r="D22" s="54" t="s">
        <v>51</v>
      </c>
      <c r="E22" s="55">
        <v>120.217293</v>
      </c>
      <c r="F22" s="56">
        <v>151.490005</v>
      </c>
      <c r="G22" s="57">
        <v>0.26013488758227155</v>
      </c>
      <c r="H22" s="55">
        <v>156.11999499999999</v>
      </c>
      <c r="I22" s="58">
        <v>-2.9656611249571155E-2</v>
      </c>
      <c r="J22" s="55">
        <v>146.37661700000001</v>
      </c>
      <c r="K22" s="58">
        <v>3.4933093172934755E-2</v>
      </c>
      <c r="L22" s="55">
        <v>133.81205700000001</v>
      </c>
      <c r="M22" s="58">
        <v>0.13211027762617822</v>
      </c>
      <c r="N22" s="55">
        <v>81.461380000000005</v>
      </c>
      <c r="O22" s="30">
        <v>0.85965429262308091</v>
      </c>
      <c r="P22" s="30">
        <v>0.95785624176168183</v>
      </c>
    </row>
    <row r="23" spans="3:16" x14ac:dyDescent="0.2">
      <c r="C23" s="54" t="s">
        <v>0</v>
      </c>
      <c r="D23" s="54" t="s">
        <v>52</v>
      </c>
      <c r="E23" s="55">
        <v>44.154662999999999</v>
      </c>
      <c r="F23" s="56">
        <v>51.669998</v>
      </c>
      <c r="G23" s="57">
        <v>0.17020478675151479</v>
      </c>
      <c r="H23" s="55">
        <v>50.130001</v>
      </c>
      <c r="I23" s="58">
        <v>3.0720067210850438E-2</v>
      </c>
      <c r="J23" s="55">
        <v>49.814995000000003</v>
      </c>
      <c r="K23" s="58">
        <v>3.7237843745643179E-2</v>
      </c>
      <c r="L23" s="55">
        <v>43.539867000000001</v>
      </c>
      <c r="M23" s="58">
        <v>0.18672842983190552</v>
      </c>
      <c r="N23" s="55">
        <v>30.473438000000002</v>
      </c>
      <c r="O23" s="30">
        <v>0.69557494628600802</v>
      </c>
      <c r="P23" s="30">
        <v>0.99920107158606841</v>
      </c>
    </row>
    <row r="24" spans="3:16" x14ac:dyDescent="0.2">
      <c r="C24" s="54" t="s">
        <v>53</v>
      </c>
      <c r="D24" s="54" t="s">
        <v>54</v>
      </c>
      <c r="E24" s="55">
        <v>83.566635000000005</v>
      </c>
      <c r="F24" s="56">
        <v>87.300003000000004</v>
      </c>
      <c r="G24" s="57">
        <v>4.4675342018976813E-2</v>
      </c>
      <c r="H24" s="55">
        <v>87.050003000000004</v>
      </c>
      <c r="I24" s="58">
        <v>2.8719125948795197E-3</v>
      </c>
      <c r="J24" s="55">
        <v>86.132446000000002</v>
      </c>
      <c r="K24" s="58">
        <v>1.3555367973643779E-2</v>
      </c>
      <c r="L24" s="55">
        <v>82.797759999999997</v>
      </c>
      <c r="M24" s="58">
        <v>5.4376386510939512E-2</v>
      </c>
      <c r="N24" s="55">
        <v>64.049781999999993</v>
      </c>
      <c r="O24" s="30">
        <v>0.36300234402046855</v>
      </c>
      <c r="P24" s="30">
        <v>1</v>
      </c>
    </row>
    <row r="25" spans="3:16" x14ac:dyDescent="0.2">
      <c r="C25" s="54" t="s">
        <v>55</v>
      </c>
      <c r="D25" s="54" t="s">
        <v>2</v>
      </c>
      <c r="E25" s="55">
        <v>89.03492</v>
      </c>
      <c r="F25" s="56">
        <v>84.93</v>
      </c>
      <c r="G25" s="57">
        <v>-4.6104607046313882E-2</v>
      </c>
      <c r="H25" s="55">
        <v>83.879997000000003</v>
      </c>
      <c r="I25" s="58">
        <v>1.2517918902643782E-2</v>
      </c>
      <c r="J25" s="55">
        <v>83.772025999999997</v>
      </c>
      <c r="K25" s="58">
        <v>1.3822919837225974E-2</v>
      </c>
      <c r="L25" s="55">
        <v>80.632544999999993</v>
      </c>
      <c r="M25" s="58">
        <v>5.329677985483422E-2</v>
      </c>
      <c r="N25" s="55">
        <v>67.485771</v>
      </c>
      <c r="O25" s="30">
        <v>0.25848751138962328</v>
      </c>
      <c r="P25" s="30">
        <v>0.87170937482014854</v>
      </c>
    </row>
    <row r="26" spans="3:16" x14ac:dyDescent="0.2">
      <c r="C26" s="54" t="s">
        <v>56</v>
      </c>
      <c r="D26" s="54" t="s">
        <v>8</v>
      </c>
      <c r="E26" s="55">
        <v>369.96463</v>
      </c>
      <c r="F26" s="56">
        <v>419.92001299999998</v>
      </c>
      <c r="G26" s="57">
        <v>0.13502745654361603</v>
      </c>
      <c r="H26" s="55">
        <v>421.75</v>
      </c>
      <c r="I26" s="58">
        <v>-4.3390326022525591E-3</v>
      </c>
      <c r="J26" s="55">
        <v>400.85214200000001</v>
      </c>
      <c r="K26" s="58">
        <v>4.7568340048934968E-2</v>
      </c>
      <c r="L26" s="55">
        <v>345.32440200000002</v>
      </c>
      <c r="M26" s="58">
        <v>0.21601604337245753</v>
      </c>
      <c r="N26" s="55">
        <v>242.29589799999999</v>
      </c>
      <c r="O26" s="30">
        <v>0.73308758615467762</v>
      </c>
      <c r="P26" s="30">
        <v>0.99489483538657764</v>
      </c>
    </row>
    <row r="27" spans="3:16" x14ac:dyDescent="0.2">
      <c r="C27" s="54" t="s">
        <v>57</v>
      </c>
      <c r="D27" s="54" t="s">
        <v>58</v>
      </c>
      <c r="E27" s="55">
        <v>71.372116000000005</v>
      </c>
      <c r="F27" s="56">
        <v>79.540001000000004</v>
      </c>
      <c r="G27" s="57">
        <v>0.11444084129437886</v>
      </c>
      <c r="H27" s="55">
        <v>79.720000999999996</v>
      </c>
      <c r="I27" s="58">
        <v>-2.257902630984571E-3</v>
      </c>
      <c r="J27" s="55">
        <v>75.120422000000005</v>
      </c>
      <c r="K27" s="58">
        <v>5.8833255755671852E-2</v>
      </c>
      <c r="L27" s="55">
        <v>62.085869000000002</v>
      </c>
      <c r="M27" s="58">
        <v>0.28112889907363625</v>
      </c>
      <c r="N27" s="55">
        <v>44.669369000000003</v>
      </c>
      <c r="O27" s="30">
        <v>0.78063856241175011</v>
      </c>
      <c r="P27" s="30">
        <v>0.9948341572494811</v>
      </c>
    </row>
    <row r="28" spans="3:16" x14ac:dyDescent="0.2">
      <c r="C28" s="54" t="s">
        <v>7</v>
      </c>
      <c r="D28" s="54" t="s">
        <v>59</v>
      </c>
      <c r="E28" s="55">
        <v>67.809760999999995</v>
      </c>
      <c r="F28" s="56">
        <v>72.959998999999996</v>
      </c>
      <c r="G28" s="57">
        <v>7.595127786986304E-2</v>
      </c>
      <c r="H28" s="55">
        <v>72.360000999999997</v>
      </c>
      <c r="I28" s="58">
        <v>8.2918462093442957E-3</v>
      </c>
      <c r="J28" s="55">
        <v>71.238403000000005</v>
      </c>
      <c r="K28" s="58">
        <v>2.4166684365453713E-2</v>
      </c>
      <c r="L28" s="55">
        <v>63.275706999999997</v>
      </c>
      <c r="M28" s="58">
        <v>0.15304913147789878</v>
      </c>
      <c r="N28" s="55">
        <v>49.879306999999997</v>
      </c>
      <c r="O28" s="30">
        <v>0.46273080738671851</v>
      </c>
      <c r="P28" s="30">
        <v>0.98907762729641746</v>
      </c>
    </row>
    <row r="29" spans="3:16" x14ac:dyDescent="0.2">
      <c r="C29" s="54" t="s">
        <v>60</v>
      </c>
      <c r="D29" s="54" t="s">
        <v>3</v>
      </c>
      <c r="E29" s="55">
        <v>115.168159</v>
      </c>
      <c r="F29" s="56">
        <v>127.650002</v>
      </c>
      <c r="G29" s="57">
        <v>0.10837928736882907</v>
      </c>
      <c r="H29" s="55">
        <v>127.25</v>
      </c>
      <c r="I29" s="58">
        <v>3.1434341846758398E-3</v>
      </c>
      <c r="J29" s="55">
        <v>126.417114</v>
      </c>
      <c r="K29" s="58">
        <v>9.7525403087433456E-3</v>
      </c>
      <c r="L29" s="55">
        <v>125.604805</v>
      </c>
      <c r="M29" s="58">
        <v>1.6282792684563317E-2</v>
      </c>
      <c r="N29" s="55">
        <v>103.24247</v>
      </c>
      <c r="O29" s="30">
        <v>0.23640980305876064</v>
      </c>
      <c r="P29" s="30">
        <v>1</v>
      </c>
    </row>
    <row r="30" spans="3:16" x14ac:dyDescent="0.2">
      <c r="C30" s="54" t="s">
        <v>61</v>
      </c>
      <c r="D30" s="54" t="s">
        <v>1</v>
      </c>
      <c r="E30" s="55">
        <v>109.968636</v>
      </c>
      <c r="F30" s="56">
        <v>118.19000200000001</v>
      </c>
      <c r="G30" s="57">
        <v>7.4761007311211922E-2</v>
      </c>
      <c r="H30" s="55">
        <v>117.989998</v>
      </c>
      <c r="I30" s="58">
        <v>1.6950928332078365E-3</v>
      </c>
      <c r="J30" s="55">
        <v>117.78507999999999</v>
      </c>
      <c r="K30" s="58">
        <v>3.4378038372942766E-3</v>
      </c>
      <c r="L30" s="55">
        <v>117.37760900000001</v>
      </c>
      <c r="M30" s="58">
        <v>6.921192269302402E-3</v>
      </c>
      <c r="N30" s="55">
        <v>97.508590999999996</v>
      </c>
      <c r="O30" s="30">
        <v>0.2120983473138281</v>
      </c>
      <c r="P30" s="30">
        <v>0.99091693299088779</v>
      </c>
    </row>
    <row r="31" spans="3:16" x14ac:dyDescent="0.2">
      <c r="C31" s="54" t="s">
        <v>62</v>
      </c>
      <c r="D31" s="54" t="s">
        <v>63</v>
      </c>
      <c r="E31" s="55">
        <v>22.84</v>
      </c>
      <c r="F31" s="56">
        <v>21.9</v>
      </c>
      <c r="G31" s="57">
        <v>-4.1155866900175191E-2</v>
      </c>
      <c r="H31" s="55">
        <v>21.57</v>
      </c>
      <c r="I31" s="58">
        <v>1.5299026425591019E-2</v>
      </c>
      <c r="J31" s="55">
        <v>20.540001</v>
      </c>
      <c r="K31" s="58">
        <v>6.6212216834848181E-2</v>
      </c>
      <c r="L31" s="55">
        <v>19.129999000000002</v>
      </c>
      <c r="M31" s="58">
        <v>0.14479880526914804</v>
      </c>
      <c r="N31" s="55">
        <v>22.25</v>
      </c>
      <c r="O31" s="30">
        <v>-1.5730337078651749E-2</v>
      </c>
      <c r="P31" s="30">
        <v>0.1059336879197393</v>
      </c>
    </row>
    <row r="32" spans="3:16" x14ac:dyDescent="0.2">
      <c r="C32" s="54" t="s">
        <v>64</v>
      </c>
      <c r="D32" s="54" t="s">
        <v>5</v>
      </c>
      <c r="E32" s="55">
        <v>91.156670000000005</v>
      </c>
      <c r="F32" s="56">
        <v>91.519997000000004</v>
      </c>
      <c r="G32" s="57">
        <v>3.9857423488593663E-3</v>
      </c>
      <c r="H32" s="55">
        <v>91.519997000000004</v>
      </c>
      <c r="I32" s="58">
        <v>0</v>
      </c>
      <c r="J32" s="55">
        <v>91.519997000000004</v>
      </c>
      <c r="K32" s="58">
        <v>0</v>
      </c>
      <c r="L32" s="55">
        <v>91.516998000000001</v>
      </c>
      <c r="M32" s="58">
        <v>3.2769868609573913E-5</v>
      </c>
      <c r="N32" s="55">
        <v>87.11927</v>
      </c>
      <c r="O32" s="30">
        <v>5.051381858456807E-2</v>
      </c>
      <c r="P32" s="30">
        <v>0.99091002117144367</v>
      </c>
    </row>
    <row r="33" spans="3:16" x14ac:dyDescent="0.2">
      <c r="C33" s="54" t="s">
        <v>65</v>
      </c>
      <c r="D33" s="54" t="s">
        <v>66</v>
      </c>
      <c r="E33" s="55">
        <v>1550.6</v>
      </c>
      <c r="F33" s="56">
        <v>1895.1</v>
      </c>
      <c r="G33" s="57">
        <v>0.22217206242744744</v>
      </c>
      <c r="H33" s="55">
        <v>1883.2</v>
      </c>
      <c r="I33" s="58">
        <v>6.3190314358537933E-3</v>
      </c>
      <c r="J33" s="55">
        <v>1841.1</v>
      </c>
      <c r="K33" s="58">
        <v>2.9330291673456087E-2</v>
      </c>
      <c r="L33" s="55">
        <v>1907.6</v>
      </c>
      <c r="M33" s="58">
        <v>-6.5527364227301321E-3</v>
      </c>
      <c r="N33" s="55">
        <v>1314.1</v>
      </c>
      <c r="O33" s="30">
        <v>0.44212769195647211</v>
      </c>
      <c r="P33" s="30">
        <v>0.88437043916677716</v>
      </c>
    </row>
    <row r="34" spans="3:16" ht="16" thickBot="1" x14ac:dyDescent="0.25">
      <c r="C34" s="59" t="s">
        <v>80</v>
      </c>
      <c r="D34" s="59" t="s">
        <v>81</v>
      </c>
      <c r="E34" s="60">
        <v>96.389999000000003</v>
      </c>
      <c r="F34" s="61">
        <v>89.940002000000007</v>
      </c>
      <c r="G34" s="62">
        <v>-6.6915624721606184E-2</v>
      </c>
      <c r="H34" s="60" t="s">
        <v>82</v>
      </c>
      <c r="I34" s="63"/>
      <c r="J34" s="60">
        <v>90.709998999999996</v>
      </c>
      <c r="K34" s="63">
        <v>-8.4885570332768872E-3</v>
      </c>
      <c r="L34" s="60">
        <v>93.839995999999999</v>
      </c>
      <c r="M34" s="63">
        <v>-4.1560040134698988E-2</v>
      </c>
      <c r="N34" s="60">
        <v>94.760002</v>
      </c>
      <c r="O34" s="31">
        <v>-5.0865342953454067E-2</v>
      </c>
      <c r="P34" s="31"/>
    </row>
  </sheetData>
  <mergeCells count="5">
    <mergeCell ref="E4:G4"/>
    <mergeCell ref="H4:I4"/>
    <mergeCell ref="J4:K4"/>
    <mergeCell ref="L4:M4"/>
    <mergeCell ref="N4:O4"/>
  </mergeCells>
  <conditionalFormatting sqref="G6:G3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:P3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Note</vt:lpstr>
      <vt:lpstr>Years</vt:lpstr>
      <vt:lpstr>Sectors</vt:lpstr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2021-11-13T05:09:37Z</dcterms:modified>
</cp:coreProperties>
</file>