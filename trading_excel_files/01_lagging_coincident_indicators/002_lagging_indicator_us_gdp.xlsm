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68800" yWindow="-640" windowWidth="68800" windowHeight="28300" tabRatio="600" firstSheet="0" activeTab="0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.S. GDP" sheetId="3" state="visible" r:id="rId3"/>
    <sheet xmlns:r="http://schemas.openxmlformats.org/officeDocument/2006/relationships" name="Mapping" sheetId="4" state="visible" r:id="rId4"/>
    <sheet xmlns:r="http://schemas.openxmlformats.org/officeDocument/2006/relationships" name="Total" sheetId="5" state="visible" r:id="rId5"/>
    <sheet xmlns:r="http://schemas.openxmlformats.org/officeDocument/2006/relationships" name="PersonalConsumption" sheetId="6" state="visible" r:id="rId6"/>
    <sheet xmlns:r="http://schemas.openxmlformats.org/officeDocument/2006/relationships" name="PrivateInvestment" sheetId="7" state="visible" r:id="rId7"/>
    <sheet xmlns:r="http://schemas.openxmlformats.org/officeDocument/2006/relationships" name="Exports" sheetId="8" state="visible" r:id="rId8"/>
    <sheet xmlns:r="http://schemas.openxmlformats.org/officeDocument/2006/relationships" name="Imports" sheetId="9" state="visible" r:id="rId9"/>
    <sheet xmlns:r="http://schemas.openxmlformats.org/officeDocument/2006/relationships" name="Government" sheetId="10" state="visible" r:id="rId10"/>
    <sheet xmlns:r="http://schemas.openxmlformats.org/officeDocument/2006/relationships" name="GDPPriceIndex" sheetId="11" state="visible" r:id="rId11"/>
    <sheet xmlns:r="http://schemas.openxmlformats.org/officeDocument/2006/relationships" name="CorePCE" sheetId="12" state="visible" r:id="rId12"/>
    <sheet xmlns:r="http://schemas.openxmlformats.org/officeDocument/2006/relationships" name="BEA data" sheetId="13" state="visible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[$-409]mmm\-yy;@"/>
    <numFmt numFmtId="165" formatCode="0.0"/>
    <numFmt numFmtId="166" formatCode="mm/dd/yyyy"/>
    <numFmt numFmtId="167" formatCode="0.0%"/>
    <numFmt numFmtId="168" formatCode="yyyy-mm-dd h:mm:ss"/>
  </numFmts>
  <fonts count="29">
    <font>
      <name val="Calibri"/>
      <family val="2"/>
      <color theme="1"/>
      <sz val="11"/>
      <scheme val="minor"/>
    </font>
    <font>
      <name val="Calibri"/>
      <family val="2"/>
      <color theme="1"/>
      <sz val="12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8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Verdana"/>
      <family val="2"/>
      <color rgb="FF333333"/>
      <sz val="10"/>
    </font>
    <font>
      <name val="Verdana"/>
      <family val="2"/>
      <color rgb="FF666666"/>
      <sz val="10"/>
    </font>
    <font>
      <name val="Arial"/>
      <family val="2"/>
      <sz val="10"/>
    </font>
    <font>
      <name val="Arial"/>
      <family val="2"/>
      <b val="1"/>
      <sz val="10"/>
    </font>
    <font>
      <name val="Calibri"/>
      <family val="2"/>
      <b val="1"/>
      <sz val="8"/>
      <scheme val="minor"/>
    </font>
    <font>
      <name val="Calibri"/>
      <family val="2"/>
      <sz val="8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Arial"/>
      <family val="2"/>
      <b val="1"/>
      <color indexed="9"/>
      <sz val="10"/>
    </font>
    <font>
      <name val="Arial"/>
      <family val="2"/>
      <b val="1"/>
      <sz val="14"/>
    </font>
    <font>
      <name val="Arial"/>
      <family val="2"/>
      <sz val="13"/>
    </font>
    <font>
      <name val="Arial"/>
      <family val="2"/>
      <b val="1"/>
      <sz val="10"/>
    </font>
    <font>
      <name val="Arial"/>
      <family val="2"/>
      <i val="1"/>
      <sz val="10"/>
    </font>
    <font>
      <name val="Arial"/>
      <family val="2"/>
      <b val="1"/>
      <i val="1"/>
      <sz val="15"/>
    </font>
    <font>
      <name val="Arial"/>
      <family val="2"/>
      <sz val="10"/>
    </font>
    <font>
      <name val="Arial"/>
      <family val="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494444"/>
      <sz val="11"/>
      <scheme val="minor"/>
    </font>
    <font>
      <name val="Arial"/>
      <family val="2"/>
      <color rgb="FF494444"/>
      <sz val="11"/>
    </font>
    <font>
      <name val="Calibri"/>
      <family val="2"/>
      <b val="1"/>
      <color theme="0" tint="-0.0499893185216834"/>
      <sz val="11"/>
      <scheme val="minor"/>
    </font>
    <font>
      <name val="Verdana"/>
      <family val="2"/>
      <color rgb="FF333333"/>
      <sz val="11"/>
    </font>
  </fonts>
  <fills count="8">
    <fill>
      <patternFill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23"/>
      </patternFill>
    </fill>
  </fills>
  <borders count="39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medium">
        <color indexed="64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9">
    <xf numFmtId="0" fontId="23" fillId="0" borderId="0"/>
    <xf numFmtId="0" fontId="22" fillId="0" borderId="0"/>
    <xf numFmtId="0" fontId="5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9" fontId="23" fillId="0" borderId="0"/>
  </cellStyleXfs>
  <cellXfs count="178">
    <xf numFmtId="0" fontId="0" fillId="0" borderId="0" pivotButton="0" quotePrefix="0" xfId="0"/>
    <xf numFmtId="0" fontId="5" fillId="0" borderId="0" pivotButton="0" quotePrefix="0" xfId="2"/>
    <xf numFmtId="164" fontId="10" fillId="0" borderId="2" applyAlignment="1" pivotButton="0" quotePrefix="0" xfId="0">
      <alignment horizontal="center" vertical="center"/>
    </xf>
    <xf numFmtId="3" fontId="10" fillId="0" borderId="2" applyAlignment="1" pivotButton="0" quotePrefix="0" xfId="0">
      <alignment horizontal="center" vertical="center"/>
    </xf>
    <xf numFmtId="10" fontId="10" fillId="0" borderId="2" applyAlignment="1" pivotButton="0" quotePrefix="0" xfId="0">
      <alignment horizontal="center" vertical="center"/>
    </xf>
    <xf numFmtId="0" fontId="9" fillId="0" borderId="0" pivotButton="0" quotePrefix="0" xfId="0"/>
    <xf numFmtId="164" fontId="11" fillId="0" borderId="2" applyAlignment="1" pivotButton="0" quotePrefix="0" xfId="0">
      <alignment vertical="center"/>
    </xf>
    <xf numFmtId="3" fontId="11" fillId="0" borderId="2" applyAlignment="1" pivotButton="0" quotePrefix="0" xfId="0">
      <alignment horizontal="center" vertical="center"/>
    </xf>
    <xf numFmtId="10" fontId="11" fillId="0" borderId="2" applyAlignment="1" pivotButton="0" quotePrefix="0" xfId="0">
      <alignment horizontal="center" vertical="center"/>
    </xf>
    <xf numFmtId="0" fontId="0" fillId="3" borderId="0" pivotButton="0" quotePrefix="0" xfId="0"/>
    <xf numFmtId="0" fontId="9" fillId="3" borderId="0" pivotButton="0" quotePrefix="0" xfId="0"/>
    <xf numFmtId="0" fontId="4" fillId="3" borderId="0" applyAlignment="1" pivotButton="0" quotePrefix="0" xfId="1">
      <alignment horizontal="center"/>
    </xf>
    <xf numFmtId="0" fontId="0" fillId="3" borderId="0" applyAlignment="1" pivotButton="0" quotePrefix="0" xfId="0">
      <alignment horizontal="center"/>
    </xf>
    <xf numFmtId="10" fontId="0" fillId="3" borderId="7" applyAlignment="1" pivotButton="0" quotePrefix="0" xfId="0">
      <alignment horizontal="center"/>
    </xf>
    <xf numFmtId="0" fontId="0" fillId="3" borderId="7" applyAlignment="1" pivotButton="0" quotePrefix="0" xfId="0">
      <alignment horizontal="center"/>
    </xf>
    <xf numFmtId="0" fontId="4" fillId="3" borderId="9" applyAlignment="1" pivotButton="0" quotePrefix="0" xfId="1">
      <alignment horizontal="center"/>
    </xf>
    <xf numFmtId="0" fontId="0" fillId="3" borderId="9" applyAlignment="1" pivotButton="0" quotePrefix="0" xfId="0">
      <alignment horizontal="center"/>
    </xf>
    <xf numFmtId="0" fontId="0" fillId="3" borderId="10" applyAlignment="1" pivotButton="0" quotePrefix="0" xfId="0">
      <alignment horizontal="center"/>
    </xf>
    <xf numFmtId="0" fontId="26" fillId="0" borderId="0" pivotButton="0" quotePrefix="0" xfId="0"/>
    <xf numFmtId="0" fontId="0" fillId="3" borderId="0" applyAlignment="1" pivotButton="0" quotePrefix="0" xfId="0">
      <alignment vertical="center"/>
    </xf>
    <xf numFmtId="0" fontId="2" fillId="3" borderId="0" pivotButton="0" quotePrefix="0" xfId="0"/>
    <xf numFmtId="0" fontId="0" fillId="0" borderId="0" applyAlignment="1" pivotButton="0" quotePrefix="0" xfId="0">
      <alignment vertical="center"/>
    </xf>
    <xf numFmtId="0" fontId="0" fillId="3" borderId="0" applyAlignment="1" pivotButton="0" quotePrefix="0" xfId="0">
      <alignment wrapText="1"/>
    </xf>
    <xf numFmtId="165" fontId="3" fillId="6" borderId="0" applyAlignment="1" pivotButton="0" quotePrefix="0" xfId="0">
      <alignment horizontal="center" vertical="center"/>
    </xf>
    <xf numFmtId="10" fontId="3" fillId="6" borderId="0" applyAlignment="1" pivotButton="0" quotePrefix="0" xfId="0">
      <alignment horizontal="center" vertical="center"/>
    </xf>
    <xf numFmtId="2" fontId="3" fillId="6" borderId="0" applyAlignment="1" pivotButton="0" quotePrefix="0" xfId="0">
      <alignment horizontal="center" vertical="center"/>
    </xf>
    <xf numFmtId="0" fontId="0" fillId="6" borderId="0" pivotButton="0" quotePrefix="0" xfId="0"/>
    <xf numFmtId="0" fontId="5" fillId="6" borderId="0" pivotButton="0" quotePrefix="0" xfId="2"/>
    <xf numFmtId="166" fontId="0" fillId="6" borderId="0" pivotButton="0" quotePrefix="0" xfId="0"/>
    <xf numFmtId="165" fontId="0" fillId="6" borderId="0" pivotButton="0" quotePrefix="0" xfId="0"/>
    <xf numFmtId="2" fontId="0" fillId="6" borderId="0" pivotButton="0" quotePrefix="0" xfId="0"/>
    <xf numFmtId="0" fontId="3" fillId="3" borderId="0" applyAlignment="1" pivotButton="0" quotePrefix="0" xfId="0">
      <alignment horizontal="center" vertical="center"/>
    </xf>
    <xf numFmtId="165" fontId="3" fillId="3" borderId="0" applyAlignment="1" pivotButton="0" quotePrefix="0" xfId="0">
      <alignment horizontal="center" vertical="center"/>
    </xf>
    <xf numFmtId="10" fontId="3" fillId="3" borderId="0" applyAlignment="1" pivotButton="0" quotePrefix="0" xfId="0">
      <alignment horizontal="center" vertical="center"/>
    </xf>
    <xf numFmtId="2" fontId="3" fillId="3" borderId="0" applyAlignment="1" pivotButton="0" quotePrefix="0" xfId="0">
      <alignment horizontal="center" vertical="center"/>
    </xf>
    <xf numFmtId="166" fontId="0" fillId="3" borderId="0" pivotButton="0" quotePrefix="0" xfId="0"/>
    <xf numFmtId="165" fontId="0" fillId="3" borderId="0" pivotButton="0" quotePrefix="0" xfId="0"/>
    <xf numFmtId="2" fontId="0" fillId="3" borderId="0" pivotButton="0" quotePrefix="0" xfId="0"/>
    <xf numFmtId="0" fontId="6" fillId="3" borderId="0" pivotButton="0" quotePrefix="0" xfId="0"/>
    <xf numFmtId="10" fontId="0" fillId="3" borderId="0" pivotButton="0" quotePrefix="0" xfId="0"/>
    <xf numFmtId="0" fontId="13" fillId="3" borderId="0" pivotButton="0" quotePrefix="0" xfId="4"/>
    <xf numFmtId="0" fontId="17" fillId="3" borderId="0" pivotButton="0" quotePrefix="0" xfId="4"/>
    <xf numFmtId="0" fontId="0" fillId="3" borderId="3" pivotButton="0" quotePrefix="0" xfId="0"/>
    <xf numFmtId="0" fontId="2" fillId="3" borderId="4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2" fillId="3" borderId="5" applyAlignment="1" pivotButton="0" quotePrefix="0" xfId="0">
      <alignment horizontal="center"/>
    </xf>
    <xf numFmtId="0" fontId="2" fillId="3" borderId="6" pivotButton="0" quotePrefix="0" xfId="0"/>
    <xf numFmtId="4" fontId="0" fillId="3" borderId="0" pivotButton="0" quotePrefix="0" xfId="0"/>
    <xf numFmtId="0" fontId="2" fillId="3" borderId="0" applyAlignment="1" pivotButton="0" quotePrefix="0" xfId="0">
      <alignment horizontal="center"/>
    </xf>
    <xf numFmtId="0" fontId="0" fillId="3" borderId="6" pivotButton="0" quotePrefix="0" xfId="0"/>
    <xf numFmtId="0" fontId="0" fillId="3" borderId="8" pivotButton="0" quotePrefix="0" xfId="0"/>
    <xf numFmtId="0" fontId="0" fillId="3" borderId="2" applyAlignment="1" pivotButton="0" quotePrefix="0" xfId="0">
      <alignment horizontal="center" wrapText="1"/>
    </xf>
    <xf numFmtId="167" fontId="0" fillId="3" borderId="2" applyAlignment="1" pivotButton="0" quotePrefix="0" xfId="8">
      <alignment horizontal="center"/>
    </xf>
    <xf numFmtId="3" fontId="0" fillId="3" borderId="0" pivotButton="0" quotePrefix="0" xfId="0"/>
    <xf numFmtId="3" fontId="0" fillId="3" borderId="2" applyAlignment="1" pivotButton="0" quotePrefix="0" xfId="0">
      <alignment horizontal="center" wrapText="1"/>
    </xf>
    <xf numFmtId="3" fontId="0" fillId="3" borderId="2" applyAlignment="1" pivotButton="0" quotePrefix="0" xfId="0">
      <alignment horizontal="center"/>
    </xf>
    <xf numFmtId="0" fontId="4" fillId="3" borderId="0" pivotButton="0" quotePrefix="0" xfId="1"/>
    <xf numFmtId="0" fontId="12" fillId="3" borderId="0" pivotButton="0" quotePrefix="0" xfId="0"/>
    <xf numFmtId="164" fontId="10" fillId="0" borderId="17" applyAlignment="1" pivotButton="0" quotePrefix="0" xfId="0">
      <alignment horizontal="center" vertical="center"/>
    </xf>
    <xf numFmtId="3" fontId="10" fillId="0" borderId="17" applyAlignment="1" pivotButton="0" quotePrefix="0" xfId="0">
      <alignment horizontal="center" vertical="center"/>
    </xf>
    <xf numFmtId="10" fontId="10" fillId="0" borderId="17" applyAlignment="1" pivotButton="0" quotePrefix="0" xfId="0">
      <alignment horizontal="center" vertical="center"/>
    </xf>
    <xf numFmtId="0" fontId="2" fillId="5" borderId="18" applyAlignment="1" pivotButton="0" quotePrefix="0" xfId="0">
      <alignment horizontal="center"/>
    </xf>
    <xf numFmtId="0" fontId="2" fillId="5" borderId="19" applyAlignment="1" pivotButton="0" quotePrefix="0" xfId="0">
      <alignment horizontal="center"/>
    </xf>
    <xf numFmtId="167" fontId="0" fillId="5" borderId="20" applyAlignment="1" pivotButton="0" quotePrefix="0" xfId="8">
      <alignment horizontal="center"/>
    </xf>
    <xf numFmtId="0" fontId="0" fillId="3" borderId="0" pivotButton="0" quotePrefix="0" xfId="0"/>
    <xf numFmtId="0" fontId="0" fillId="3" borderId="0" pivotButton="0" quotePrefix="0" xfId="0"/>
    <xf numFmtId="0" fontId="0" fillId="0" borderId="0" pivotButton="0" quotePrefix="0" xfId="0"/>
    <xf numFmtId="0" fontId="0" fillId="3" borderId="0" pivotButton="0" quotePrefix="0" xfId="0"/>
    <xf numFmtId="0" fontId="0" fillId="3" borderId="0" pivotButton="0" quotePrefix="0" xfId="0"/>
    <xf numFmtId="0" fontId="0" fillId="3" borderId="0" pivotButton="0" quotePrefix="0" xfId="0"/>
    <xf numFmtId="17" fontId="2" fillId="5" borderId="21" applyAlignment="1" pivotButton="0" quotePrefix="0" xfId="0">
      <alignment horizontal="center"/>
    </xf>
    <xf numFmtId="17" fontId="2" fillId="5" borderId="22" applyAlignment="1" pivotButton="0" quotePrefix="0" xfId="0">
      <alignment horizontal="center"/>
    </xf>
    <xf numFmtId="17" fontId="2" fillId="5" borderId="23" applyAlignment="1" pivotButton="0" quotePrefix="0" xfId="0">
      <alignment horizontal="center"/>
    </xf>
    <xf numFmtId="167" fontId="0" fillId="3" borderId="24" applyAlignment="1" pivotButton="0" quotePrefix="0" xfId="8">
      <alignment horizontal="center"/>
    </xf>
    <xf numFmtId="0" fontId="0" fillId="3" borderId="0" pivotButton="0" quotePrefix="0" xfId="0"/>
    <xf numFmtId="0" fontId="0" fillId="3" borderId="0" pivotButton="0" quotePrefix="0" xfId="0"/>
    <xf numFmtId="0" fontId="0" fillId="0" borderId="0" pivotButton="0" quotePrefix="0" xfId="0"/>
    <xf numFmtId="0" fontId="0" fillId="3" borderId="0" pivotButton="0" quotePrefix="0" xfId="0"/>
    <xf numFmtId="0" fontId="5" fillId="3" borderId="0" pivotButton="0" quotePrefix="0" xfId="2"/>
    <xf numFmtId="14" fontId="0" fillId="3" borderId="2" applyAlignment="1" pivotButton="0" quotePrefix="0" xfId="0">
      <alignment horizontal="center"/>
    </xf>
    <xf numFmtId="165" fontId="0" fillId="3" borderId="2" applyAlignment="1" pivotButton="0" quotePrefix="0" xfId="0">
      <alignment horizontal="center" vertical="center"/>
    </xf>
    <xf numFmtId="10" fontId="0" fillId="3" borderId="2" applyAlignment="1" pivotButton="0" quotePrefix="0" xfId="0">
      <alignment horizontal="center"/>
    </xf>
    <xf numFmtId="10" fontId="0" fillId="3" borderId="2" applyAlignment="1" pivotButton="0" quotePrefix="0" xfId="0">
      <alignment horizontal="center" vertical="center"/>
    </xf>
    <xf numFmtId="166" fontId="1" fillId="3" borderId="0" pivotButton="0" quotePrefix="0" xfId="0"/>
    <xf numFmtId="165" fontId="0" fillId="3" borderId="2" applyAlignment="1" pivotButton="0" quotePrefix="0" xfId="0">
      <alignment horizontal="center" vertical="center"/>
    </xf>
    <xf numFmtId="10" fontId="0" fillId="3" borderId="2" applyAlignment="1" pivotButton="0" quotePrefix="0" xfId="0">
      <alignment horizontal="center" vertical="center"/>
    </xf>
    <xf numFmtId="0" fontId="1" fillId="6" borderId="0" applyAlignment="1" pivotButton="0" quotePrefix="0" xfId="0">
      <alignment horizontal="center" vertical="center"/>
    </xf>
    <xf numFmtId="10" fontId="1" fillId="6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center" vertical="center" wrapText="1"/>
    </xf>
    <xf numFmtId="165" fontId="0" fillId="4" borderId="4" applyAlignment="1" pivotButton="0" quotePrefix="0" xfId="0">
      <alignment horizontal="center" vertical="center" wrapText="1"/>
    </xf>
    <xf numFmtId="10" fontId="0" fillId="4" borderId="4" applyAlignment="1" pivotButton="0" quotePrefix="0" xfId="0">
      <alignment horizontal="center" vertical="center" wrapText="1"/>
    </xf>
    <xf numFmtId="2" fontId="0" fillId="4" borderId="4" applyAlignment="1" pivotButton="0" quotePrefix="0" xfId="0">
      <alignment horizontal="center" vertical="center" wrapText="1"/>
    </xf>
    <xf numFmtId="0" fontId="0" fillId="4" borderId="4" applyAlignment="1" pivotButton="0" quotePrefix="0" xfId="0">
      <alignment horizontal="center" vertical="center" wrapText="1"/>
    </xf>
    <xf numFmtId="0" fontId="0" fillId="4" borderId="5" applyAlignment="1" pivotButton="0" quotePrefix="0" xfId="0">
      <alignment horizontal="center" vertical="center" wrapText="1"/>
    </xf>
    <xf numFmtId="14" fontId="0" fillId="3" borderId="2" pivotButton="0" quotePrefix="0" xfId="0"/>
    <xf numFmtId="2" fontId="0" fillId="3" borderId="2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0" pivotButton="0" quotePrefix="0" xfId="0"/>
    <xf numFmtId="0" fontId="5" fillId="3" borderId="0" pivotButton="0" quotePrefix="0" xfId="2"/>
    <xf numFmtId="0" fontId="0" fillId="3" borderId="0" pivotButton="0" quotePrefix="0" xfId="0"/>
    <xf numFmtId="0" fontId="0" fillId="0" borderId="0" pivotButton="0" quotePrefix="0" xfId="0"/>
    <xf numFmtId="166" fontId="0" fillId="3" borderId="0" pivotButton="0" quotePrefix="0" xfId="0"/>
    <xf numFmtId="165" fontId="0" fillId="3" borderId="0" applyAlignment="1" pivotButton="0" quotePrefix="0" xfId="0">
      <alignment horizontal="center" vertical="center"/>
    </xf>
    <xf numFmtId="10" fontId="0" fillId="3" borderId="0" applyAlignment="1" pivotButton="0" quotePrefix="0" xfId="0">
      <alignment horizontal="center" vertical="center"/>
    </xf>
    <xf numFmtId="0" fontId="28" fillId="3" borderId="0" pivotButton="0" quotePrefix="0" xfId="0"/>
    <xf numFmtId="165" fontId="0" fillId="3" borderId="0" pivotButton="0" quotePrefix="0" xfId="0"/>
    <xf numFmtId="0" fontId="5" fillId="3" borderId="0" pivotButton="0" quotePrefix="0" xfId="2"/>
    <xf numFmtId="166" fontId="0" fillId="0" borderId="0" pivotButton="0" quotePrefix="0" xfId="0"/>
    <xf numFmtId="0" fontId="0" fillId="3" borderId="0" pivotButton="0" quotePrefix="0" xfId="0"/>
    <xf numFmtId="0" fontId="0" fillId="0" borderId="0" pivotButton="0" quotePrefix="0" xfId="0"/>
    <xf numFmtId="0" fontId="0" fillId="3" borderId="0" pivotButton="0" quotePrefix="0" xfId="0"/>
    <xf numFmtId="14" fontId="0" fillId="0" borderId="0" pivotButton="0" quotePrefix="0" xfId="0"/>
    <xf numFmtId="0" fontId="0" fillId="0" borderId="0" pivotButton="0" quotePrefix="0" xfId="0"/>
    <xf numFmtId="0" fontId="24" fillId="4" borderId="25" applyAlignment="1" pivotButton="0" quotePrefix="0" xfId="0">
      <alignment horizontal="center" vertical="center"/>
    </xf>
    <xf numFmtId="165" fontId="24" fillId="4" borderId="26" applyAlignment="1" pivotButton="0" quotePrefix="0" xfId="0">
      <alignment horizontal="center" vertical="center"/>
    </xf>
    <xf numFmtId="10" fontId="24" fillId="4" borderId="26" applyAlignment="1" pivotButton="0" quotePrefix="0" xfId="0">
      <alignment horizontal="center" vertical="center"/>
    </xf>
    <xf numFmtId="2" fontId="24" fillId="4" borderId="26" applyAlignment="1" pivotButton="0" quotePrefix="0" xfId="0">
      <alignment horizontal="center" vertical="center"/>
    </xf>
    <xf numFmtId="0" fontId="24" fillId="4" borderId="27" applyAlignment="1" pivotButton="0" quotePrefix="0" xfId="0">
      <alignment horizontal="center" vertical="center"/>
    </xf>
    <xf numFmtId="14" fontId="0" fillId="3" borderId="28" applyAlignment="1" pivotButton="0" quotePrefix="0" xfId="0">
      <alignment horizontal="center"/>
    </xf>
    <xf numFmtId="165" fontId="0" fillId="3" borderId="28" applyAlignment="1" pivotButton="0" quotePrefix="0" xfId="0">
      <alignment horizontal="center" vertical="center"/>
    </xf>
    <xf numFmtId="10" fontId="0" fillId="3" borderId="28" applyAlignment="1" pivotButton="0" quotePrefix="0" xfId="0">
      <alignment horizontal="center" vertical="center"/>
    </xf>
    <xf numFmtId="10" fontId="0" fillId="3" borderId="28" applyAlignment="1" pivotButton="0" quotePrefix="0" xfId="0">
      <alignment horizontal="center"/>
    </xf>
    <xf numFmtId="0" fontId="0" fillId="3" borderId="0" applyAlignment="1" pivotButton="0" quotePrefix="0" xfId="0">
      <alignment wrapText="1"/>
    </xf>
    <xf numFmtId="0" fontId="0" fillId="0" borderId="0" applyAlignment="1" pivotButton="0" quotePrefix="0" xfId="0">
      <alignment wrapText="1"/>
    </xf>
    <xf numFmtId="0" fontId="0" fillId="0" borderId="0" pivotButton="0" quotePrefix="0" xfId="0"/>
    <xf numFmtId="0" fontId="0" fillId="3" borderId="0" pivotButton="0" quotePrefix="0" xfId="0"/>
    <xf numFmtId="0" fontId="0" fillId="0" borderId="0" pivotButton="0" quotePrefix="0" xfId="0"/>
    <xf numFmtId="0" fontId="2" fillId="5" borderId="14" applyAlignment="1" pivotButton="0" quotePrefix="0" xfId="0">
      <alignment horizontal="center"/>
    </xf>
    <xf numFmtId="0" fontId="2" fillId="5" borderId="15" applyAlignment="1" pivotButton="0" quotePrefix="0" xfId="0">
      <alignment horizontal="center"/>
    </xf>
    <xf numFmtId="0" fontId="2" fillId="5" borderId="16" applyAlignment="1" pivotButton="0" quotePrefix="0" xfId="0">
      <alignment horizontal="center"/>
    </xf>
    <xf numFmtId="0" fontId="5" fillId="3" borderId="0" pivotButton="0" quotePrefix="0" xfId="2"/>
    <xf numFmtId="0" fontId="2" fillId="3" borderId="0" applyAlignment="1" pivotButton="0" quotePrefix="0" xfId="0">
      <alignment horizontal="center" vertical="center"/>
    </xf>
    <xf numFmtId="0" fontId="2" fillId="3" borderId="9" applyAlignment="1" pivotButton="0" quotePrefix="0" xfId="0">
      <alignment horizontal="center" vertical="center"/>
    </xf>
    <xf numFmtId="0" fontId="24" fillId="4" borderId="11" applyAlignment="1" pivotButton="0" quotePrefix="0" xfId="0">
      <alignment horizontal="center"/>
    </xf>
    <xf numFmtId="0" fontId="0" fillId="0" borderId="12" applyAlignment="1" pivotButton="0" quotePrefix="0" xfId="0">
      <alignment horizontal="center"/>
    </xf>
    <xf numFmtId="0" fontId="0" fillId="0" borderId="13" applyAlignment="1" pivotButton="0" quotePrefix="0" xfId="0">
      <alignment horizontal="center"/>
    </xf>
    <xf numFmtId="0" fontId="0" fillId="0" borderId="15" applyAlignment="1" pivotButton="0" quotePrefix="0" xfId="0">
      <alignment horizontal="center"/>
    </xf>
    <xf numFmtId="0" fontId="0" fillId="0" borderId="16" applyAlignment="1" pivotButton="0" quotePrefix="0" xfId="0">
      <alignment horizontal="center"/>
    </xf>
    <xf numFmtId="0" fontId="25" fillId="3" borderId="0" applyAlignment="1" pivotButton="0" quotePrefix="0" xfId="0">
      <alignment wrapText="1"/>
    </xf>
    <xf numFmtId="0" fontId="0" fillId="5" borderId="15" applyAlignment="1" pivotButton="0" quotePrefix="0" xfId="0">
      <alignment horizontal="center"/>
    </xf>
    <xf numFmtId="0" fontId="0" fillId="5" borderId="16" applyAlignment="1" pivotButton="0" quotePrefix="0" xfId="0">
      <alignment horizontal="center"/>
    </xf>
    <xf numFmtId="0" fontId="27" fillId="4" borderId="11" applyAlignment="1" pivotButton="0" quotePrefix="0" xfId="0">
      <alignment horizontal="center"/>
    </xf>
    <xf numFmtId="0" fontId="27" fillId="4" borderId="12" applyAlignment="1" pivotButton="0" quotePrefix="0" xfId="0">
      <alignment horizontal="center"/>
    </xf>
    <xf numFmtId="0" fontId="27" fillId="4" borderId="13" applyAlignment="1" pivotButton="0" quotePrefix="0" xfId="0">
      <alignment horizontal="center"/>
    </xf>
    <xf numFmtId="0" fontId="27" fillId="2" borderId="11" applyAlignment="1" pivotButton="0" quotePrefix="0" xfId="0">
      <alignment horizontal="center"/>
    </xf>
    <xf numFmtId="0" fontId="27" fillId="2" borderId="12" applyAlignment="1" pivotButton="0" quotePrefix="0" xfId="0">
      <alignment horizontal="center"/>
    </xf>
    <xf numFmtId="0" fontId="27" fillId="2" borderId="13" applyAlignment="1" pivotButton="0" quotePrefix="0" xfId="0">
      <alignment horizontal="center"/>
    </xf>
    <xf numFmtId="0" fontId="15" fillId="3" borderId="0" pivotButton="0" quotePrefix="0" xfId="4"/>
    <xf numFmtId="0" fontId="13" fillId="3" borderId="0" pivotButton="0" quotePrefix="0" xfId="4"/>
    <xf numFmtId="0" fontId="16" fillId="3" borderId="0" pivotButton="0" quotePrefix="0" xfId="4"/>
    <xf numFmtId="0" fontId="14" fillId="7" borderId="1" applyAlignment="1" pivotButton="0" quotePrefix="0" xfId="4">
      <alignment horizontal="center"/>
    </xf>
    <xf numFmtId="0" fontId="19" fillId="3" borderId="0" applyAlignment="1" pivotButton="0" quotePrefix="0" xfId="4">
      <alignment wrapText="1"/>
    </xf>
    <xf numFmtId="0" fontId="18" fillId="3" borderId="0" applyAlignment="1" pivotButton="0" quotePrefix="0" xfId="4">
      <alignment wrapText="1"/>
    </xf>
    <xf numFmtId="0" fontId="0" fillId="0" borderId="9" pivotButton="0" quotePrefix="0" xfId="0"/>
    <xf numFmtId="0" fontId="24" fillId="4" borderId="31" applyAlignment="1" pivotButton="0" quotePrefix="0" xfId="0">
      <alignment horizontal="center"/>
    </xf>
    <xf numFmtId="0" fontId="0" fillId="0" borderId="12" pivotButton="0" quotePrefix="0" xfId="0"/>
    <xf numFmtId="0" fontId="0" fillId="0" borderId="13" pivotButton="0" quotePrefix="0" xfId="0"/>
    <xf numFmtId="0" fontId="2" fillId="5" borderId="2" applyAlignment="1" pivotButton="0" quotePrefix="0" xfId="0">
      <alignment horizontal="center"/>
    </xf>
    <xf numFmtId="0" fontId="0" fillId="0" borderId="15" pivotButton="0" quotePrefix="0" xfId="0"/>
    <xf numFmtId="0" fontId="0" fillId="0" borderId="16" pivotButton="0" quotePrefix="0" xfId="0"/>
    <xf numFmtId="168" fontId="0" fillId="0" borderId="0" pivotButton="0" quotePrefix="0" xfId="0"/>
    <xf numFmtId="165" fontId="0" fillId="6" borderId="0" pivotButton="0" quotePrefix="0" xfId="0"/>
    <xf numFmtId="165" fontId="3" fillId="6" borderId="0" applyAlignment="1" pivotButton="0" quotePrefix="0" xfId="0">
      <alignment horizontal="center" vertical="center"/>
    </xf>
    <xf numFmtId="165" fontId="24" fillId="4" borderId="26" applyAlignment="1" pivotButton="0" quotePrefix="0" xfId="0">
      <alignment horizontal="center" vertical="center"/>
    </xf>
    <xf numFmtId="165" fontId="0" fillId="3" borderId="2" applyAlignment="1" pivotButton="0" quotePrefix="0" xfId="0">
      <alignment horizontal="center" vertical="center"/>
    </xf>
    <xf numFmtId="165" fontId="0" fillId="3" borderId="28" applyAlignment="1" pivotButton="0" quotePrefix="0" xfId="0">
      <alignment horizontal="center" vertical="center"/>
    </xf>
    <xf numFmtId="0" fontId="27" fillId="2" borderId="31" applyAlignment="1" pivotButton="0" quotePrefix="0" xfId="0">
      <alignment horizontal="center"/>
    </xf>
    <xf numFmtId="0" fontId="27" fillId="4" borderId="31" applyAlignment="1" pivotButton="0" quotePrefix="0" xfId="0">
      <alignment horizontal="center"/>
    </xf>
    <xf numFmtId="164" fontId="10" fillId="0" borderId="17" applyAlignment="1" pivotButton="0" quotePrefix="0" xfId="0">
      <alignment horizontal="center" vertical="center"/>
    </xf>
    <xf numFmtId="164" fontId="10" fillId="0" borderId="2" applyAlignment="1" pivotButton="0" quotePrefix="0" xfId="0">
      <alignment horizontal="center" vertical="center"/>
    </xf>
    <xf numFmtId="164" fontId="11" fillId="0" borderId="2" applyAlignment="1" pivotButton="0" quotePrefix="0" xfId="0">
      <alignment vertical="center"/>
    </xf>
    <xf numFmtId="165" fontId="3" fillId="3" borderId="0" applyAlignment="1" pivotButton="0" quotePrefix="0" xfId="0">
      <alignment horizontal="center" vertical="center"/>
    </xf>
    <xf numFmtId="165" fontId="0" fillId="3" borderId="0" pivotButton="0" quotePrefix="0" xfId="0"/>
    <xf numFmtId="165" fontId="0" fillId="4" borderId="4" applyAlignment="1" pivotButton="0" quotePrefix="0" xfId="0">
      <alignment horizontal="center" vertical="center" wrapText="1"/>
    </xf>
    <xf numFmtId="165" fontId="0" fillId="3" borderId="0" applyAlignment="1" pivotButton="0" quotePrefix="0" xfId="0">
      <alignment horizontal="center" vertical="center"/>
    </xf>
    <xf numFmtId="0" fontId="0" fillId="0" borderId="37" pivotButton="0" quotePrefix="0" xfId="0"/>
    <xf numFmtId="0" fontId="0" fillId="0" borderId="38" pivotButton="0" quotePrefix="0" xfId="0"/>
    <xf numFmtId="0" fontId="0" fillId="0" borderId="34" pivotButton="0" quotePrefix="0" xfId="0"/>
  </cellXfs>
  <cellStyles count="9">
    <cellStyle name="Normal" xfId="0" builtinId="0"/>
    <cellStyle name="Normal 2" xfId="1"/>
    <cellStyle name="Hyperlink" xfId="2" builtinId="8"/>
    <cellStyle name="Normal 3" xfId="3"/>
    <cellStyle name="Normal 4" xfId="4"/>
    <cellStyle name="Normal 5" xfId="5"/>
    <cellStyle name="Normal 6" xfId="6"/>
    <cellStyle name="Normal 7" xfId="7"/>
    <cellStyle name="Per cent" xfId="8" builtinId="5"/>
  </cellStyles>
  <dxfs count="8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5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Calibri"/>
        <family val="2"/>
        <strike val="0"/>
        <outline val="0"/>
        <shadow val="0"/>
        <color theme="1"/>
        <sz val="11"/>
        <vertAlign val="baseline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4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 xml:space="preserve"> GDP growth % qoq annulized</a:t>
            </a:r>
            <a:endParaRPr lang="en-GB" b="1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GDP'!$E$6</f>
              <strCache>
                <ptCount val="1"/>
                <pt idx="0">
                  <v>0.00%</v>
                </pt>
              </strCache>
            </strRef>
          </tx>
          <spPr>
            <a:solidFill xmlns:a="http://schemas.openxmlformats.org/drawingml/2006/main">
              <a:srgbClr val="A5A5A5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'U.S. GDP'!$A$7:$A$305</f>
              <numCache>
                <formatCode>m/d/yy</formatCode>
                <ptCount val="299"/>
                <pt idx="0">
                  <v>17258</v>
                </pt>
                <pt idx="1">
                  <v>17349</v>
                </pt>
                <pt idx="2">
                  <v>17441</v>
                </pt>
                <pt idx="3">
                  <v>17533</v>
                </pt>
                <pt idx="4">
                  <v>17624</v>
                </pt>
                <pt idx="5">
                  <v>17715</v>
                </pt>
                <pt idx="6">
                  <v>17807</v>
                </pt>
                <pt idx="7">
                  <v>17899</v>
                </pt>
                <pt idx="8">
                  <v>17989</v>
                </pt>
                <pt idx="9">
                  <v>18080</v>
                </pt>
                <pt idx="10">
                  <v>18172</v>
                </pt>
                <pt idx="11">
                  <v>18264</v>
                </pt>
                <pt idx="12">
                  <v>18354</v>
                </pt>
                <pt idx="13">
                  <v>18445</v>
                </pt>
                <pt idx="14">
                  <v>18537</v>
                </pt>
                <pt idx="15">
                  <v>18629</v>
                </pt>
                <pt idx="16">
                  <v>18719</v>
                </pt>
                <pt idx="17">
                  <v>18810</v>
                </pt>
                <pt idx="18">
                  <v>18902</v>
                </pt>
                <pt idx="19">
                  <v>18994</v>
                </pt>
                <pt idx="20">
                  <v>19085</v>
                </pt>
                <pt idx="21">
                  <v>19176</v>
                </pt>
                <pt idx="22">
                  <v>19268</v>
                </pt>
                <pt idx="23">
                  <v>19360</v>
                </pt>
                <pt idx="24">
                  <v>19450</v>
                </pt>
                <pt idx="25">
                  <v>19541</v>
                </pt>
                <pt idx="26">
                  <v>19633</v>
                </pt>
                <pt idx="27">
                  <v>19725</v>
                </pt>
                <pt idx="28">
                  <v>19815</v>
                </pt>
                <pt idx="29">
                  <v>19906</v>
                </pt>
                <pt idx="30">
                  <v>19998</v>
                </pt>
                <pt idx="31">
                  <v>20090</v>
                </pt>
                <pt idx="32">
                  <v>20180</v>
                </pt>
                <pt idx="33">
                  <v>20271</v>
                </pt>
                <pt idx="34">
                  <v>20363</v>
                </pt>
                <pt idx="35">
                  <v>20455</v>
                </pt>
                <pt idx="36">
                  <v>20546</v>
                </pt>
                <pt idx="37">
                  <v>20637</v>
                </pt>
                <pt idx="38">
                  <v>20729</v>
                </pt>
                <pt idx="39">
                  <v>20821</v>
                </pt>
                <pt idx="40">
                  <v>20911</v>
                </pt>
                <pt idx="41">
                  <v>21002</v>
                </pt>
                <pt idx="42">
                  <v>21094</v>
                </pt>
                <pt idx="43">
                  <v>21186</v>
                </pt>
                <pt idx="44">
                  <v>21276</v>
                </pt>
                <pt idx="45">
                  <v>21367</v>
                </pt>
                <pt idx="46">
                  <v>21459</v>
                </pt>
                <pt idx="47">
                  <v>21551</v>
                </pt>
                <pt idx="48">
                  <v>21641</v>
                </pt>
                <pt idx="49">
                  <v>21732</v>
                </pt>
                <pt idx="50">
                  <v>21824</v>
                </pt>
                <pt idx="51">
                  <v>21916</v>
                </pt>
                <pt idx="52">
                  <v>22007</v>
                </pt>
                <pt idx="53">
                  <v>22098</v>
                </pt>
                <pt idx="54">
                  <v>22190</v>
                </pt>
                <pt idx="55">
                  <v>22282</v>
                </pt>
                <pt idx="56">
                  <v>22372</v>
                </pt>
                <pt idx="57">
                  <v>22463</v>
                </pt>
                <pt idx="58">
                  <v>22555</v>
                </pt>
                <pt idx="59">
                  <v>22647</v>
                </pt>
                <pt idx="60">
                  <v>22737</v>
                </pt>
                <pt idx="61">
                  <v>22828</v>
                </pt>
                <pt idx="62">
                  <v>22920</v>
                </pt>
                <pt idx="63">
                  <v>23012</v>
                </pt>
                <pt idx="64">
                  <v>23102</v>
                </pt>
                <pt idx="65">
                  <v>23193</v>
                </pt>
                <pt idx="66">
                  <v>23285</v>
                </pt>
                <pt idx="67">
                  <v>23377</v>
                </pt>
                <pt idx="68">
                  <v>23468</v>
                </pt>
                <pt idx="69">
                  <v>23559</v>
                </pt>
                <pt idx="70">
                  <v>23651</v>
                </pt>
                <pt idx="71">
                  <v>23743</v>
                </pt>
                <pt idx="72">
                  <v>23833</v>
                </pt>
                <pt idx="73">
                  <v>23924</v>
                </pt>
                <pt idx="74">
                  <v>24016</v>
                </pt>
                <pt idx="75">
                  <v>24108</v>
                </pt>
                <pt idx="76">
                  <v>24198</v>
                </pt>
                <pt idx="77">
                  <v>24289</v>
                </pt>
                <pt idx="78">
                  <v>24381</v>
                </pt>
                <pt idx="79">
                  <v>24473</v>
                </pt>
                <pt idx="80">
                  <v>24563</v>
                </pt>
                <pt idx="81">
                  <v>24654</v>
                </pt>
                <pt idx="82">
                  <v>24746</v>
                </pt>
                <pt idx="83">
                  <v>24838</v>
                </pt>
                <pt idx="84">
                  <v>24929</v>
                </pt>
                <pt idx="85">
                  <v>25020</v>
                </pt>
                <pt idx="86">
                  <v>25112</v>
                </pt>
                <pt idx="87">
                  <v>25204</v>
                </pt>
                <pt idx="88">
                  <v>25294</v>
                </pt>
                <pt idx="89">
                  <v>25385</v>
                </pt>
                <pt idx="90">
                  <v>25477</v>
                </pt>
                <pt idx="91">
                  <v>25569</v>
                </pt>
                <pt idx="92">
                  <v>25659</v>
                </pt>
                <pt idx="93">
                  <v>25750</v>
                </pt>
                <pt idx="94">
                  <v>25842</v>
                </pt>
                <pt idx="95">
                  <v>25934</v>
                </pt>
                <pt idx="96">
                  <v>26024</v>
                </pt>
                <pt idx="97">
                  <v>26115</v>
                </pt>
                <pt idx="98">
                  <v>26207</v>
                </pt>
                <pt idx="99">
                  <v>26299</v>
                </pt>
                <pt idx="100">
                  <v>26390</v>
                </pt>
                <pt idx="101">
                  <v>26481</v>
                </pt>
                <pt idx="102">
                  <v>26573</v>
                </pt>
                <pt idx="103">
                  <v>26665</v>
                </pt>
                <pt idx="104">
                  <v>26755</v>
                </pt>
                <pt idx="105">
                  <v>26846</v>
                </pt>
                <pt idx="106">
                  <v>26938</v>
                </pt>
                <pt idx="107">
                  <v>27030</v>
                </pt>
                <pt idx="108">
                  <v>27120</v>
                </pt>
                <pt idx="109">
                  <v>27211</v>
                </pt>
                <pt idx="110">
                  <v>27303</v>
                </pt>
                <pt idx="111">
                  <v>27395</v>
                </pt>
                <pt idx="112">
                  <v>27485</v>
                </pt>
                <pt idx="113">
                  <v>27576</v>
                </pt>
                <pt idx="114">
                  <v>27668</v>
                </pt>
                <pt idx="115">
                  <v>27760</v>
                </pt>
                <pt idx="116">
                  <v>27851</v>
                </pt>
                <pt idx="117">
                  <v>27942</v>
                </pt>
                <pt idx="118">
                  <v>28034</v>
                </pt>
                <pt idx="119">
                  <v>28126</v>
                </pt>
                <pt idx="120">
                  <v>28216</v>
                </pt>
                <pt idx="121">
                  <v>28307</v>
                </pt>
                <pt idx="122">
                  <v>28399</v>
                </pt>
                <pt idx="123">
                  <v>28491</v>
                </pt>
                <pt idx="124">
                  <v>28581</v>
                </pt>
                <pt idx="125">
                  <v>28672</v>
                </pt>
                <pt idx="126">
                  <v>28764</v>
                </pt>
                <pt idx="127">
                  <v>28856</v>
                </pt>
                <pt idx="128">
                  <v>28946</v>
                </pt>
                <pt idx="129">
                  <v>29037</v>
                </pt>
                <pt idx="130">
                  <v>29129</v>
                </pt>
                <pt idx="131">
                  <v>29221</v>
                </pt>
                <pt idx="132">
                  <v>29312</v>
                </pt>
                <pt idx="133">
                  <v>29403</v>
                </pt>
                <pt idx="134">
                  <v>29495</v>
                </pt>
                <pt idx="135">
                  <v>29587</v>
                </pt>
                <pt idx="136">
                  <v>29677</v>
                </pt>
                <pt idx="137">
                  <v>29768</v>
                </pt>
                <pt idx="138">
                  <v>29860</v>
                </pt>
                <pt idx="139">
                  <v>29952</v>
                </pt>
                <pt idx="140">
                  <v>30042</v>
                </pt>
                <pt idx="141">
                  <v>30133</v>
                </pt>
                <pt idx="142">
                  <v>30225</v>
                </pt>
                <pt idx="143">
                  <v>30317</v>
                </pt>
                <pt idx="144">
                  <v>30407</v>
                </pt>
                <pt idx="145">
                  <v>30498</v>
                </pt>
                <pt idx="146">
                  <v>30590</v>
                </pt>
                <pt idx="147">
                  <v>30682</v>
                </pt>
                <pt idx="148">
                  <v>30773</v>
                </pt>
                <pt idx="149">
                  <v>30864</v>
                </pt>
                <pt idx="150">
                  <v>30956</v>
                </pt>
                <pt idx="151">
                  <v>31048</v>
                </pt>
                <pt idx="152">
                  <v>31138</v>
                </pt>
                <pt idx="153">
                  <v>31229</v>
                </pt>
                <pt idx="154">
                  <v>31321</v>
                </pt>
                <pt idx="155">
                  <v>31413</v>
                </pt>
                <pt idx="156">
                  <v>31503</v>
                </pt>
                <pt idx="157">
                  <v>31594</v>
                </pt>
                <pt idx="158">
                  <v>31686</v>
                </pt>
                <pt idx="159">
                  <v>31778</v>
                </pt>
                <pt idx="160">
                  <v>31868</v>
                </pt>
                <pt idx="161">
                  <v>31959</v>
                </pt>
                <pt idx="162">
                  <v>32051</v>
                </pt>
                <pt idx="163">
                  <v>32143</v>
                </pt>
                <pt idx="164">
                  <v>32234</v>
                </pt>
                <pt idx="165">
                  <v>32325</v>
                </pt>
                <pt idx="166">
                  <v>32417</v>
                </pt>
                <pt idx="167">
                  <v>32509</v>
                </pt>
                <pt idx="168">
                  <v>32599</v>
                </pt>
                <pt idx="169">
                  <v>32690</v>
                </pt>
                <pt idx="170">
                  <v>32782</v>
                </pt>
                <pt idx="171">
                  <v>32874</v>
                </pt>
                <pt idx="172">
                  <v>32964</v>
                </pt>
                <pt idx="173">
                  <v>33055</v>
                </pt>
                <pt idx="174">
                  <v>33147</v>
                </pt>
                <pt idx="175">
                  <v>33239</v>
                </pt>
                <pt idx="176">
                  <v>33329</v>
                </pt>
                <pt idx="177">
                  <v>33420</v>
                </pt>
                <pt idx="178">
                  <v>33512</v>
                </pt>
                <pt idx="179">
                  <v>33604</v>
                </pt>
                <pt idx="180">
                  <v>33695</v>
                </pt>
                <pt idx="181">
                  <v>33786</v>
                </pt>
                <pt idx="182">
                  <v>33878</v>
                </pt>
                <pt idx="183">
                  <v>33970</v>
                </pt>
                <pt idx="184">
                  <v>34060</v>
                </pt>
                <pt idx="185">
                  <v>34151</v>
                </pt>
                <pt idx="186">
                  <v>34243</v>
                </pt>
                <pt idx="187">
                  <v>34335</v>
                </pt>
                <pt idx="188">
                  <v>34425</v>
                </pt>
                <pt idx="189">
                  <v>34516</v>
                </pt>
                <pt idx="190">
                  <v>34608</v>
                </pt>
                <pt idx="191">
                  <v>34700</v>
                </pt>
                <pt idx="192">
                  <v>34790</v>
                </pt>
                <pt idx="193">
                  <v>34881</v>
                </pt>
                <pt idx="194">
                  <v>34973</v>
                </pt>
                <pt idx="195">
                  <v>35065</v>
                </pt>
                <pt idx="196">
                  <v>35156</v>
                </pt>
                <pt idx="197">
                  <v>35247</v>
                </pt>
                <pt idx="198">
                  <v>35339</v>
                </pt>
                <pt idx="199">
                  <v>35431</v>
                </pt>
                <pt idx="200">
                  <v>35521</v>
                </pt>
                <pt idx="201">
                  <v>35612</v>
                </pt>
                <pt idx="202">
                  <v>35704</v>
                </pt>
                <pt idx="203">
                  <v>35796</v>
                </pt>
                <pt idx="204">
                  <v>35886</v>
                </pt>
                <pt idx="205">
                  <v>35977</v>
                </pt>
                <pt idx="206">
                  <v>36069</v>
                </pt>
                <pt idx="207">
                  <v>36161</v>
                </pt>
                <pt idx="208">
                  <v>36251</v>
                </pt>
                <pt idx="209">
                  <v>36342</v>
                </pt>
                <pt idx="210">
                  <v>36434</v>
                </pt>
                <pt idx="211">
                  <v>36526</v>
                </pt>
                <pt idx="212">
                  <v>36617</v>
                </pt>
                <pt idx="213">
                  <v>36708</v>
                </pt>
                <pt idx="214">
                  <v>36800</v>
                </pt>
                <pt idx="215">
                  <v>36892</v>
                </pt>
                <pt idx="216">
                  <v>36982</v>
                </pt>
                <pt idx="217">
                  <v>37073</v>
                </pt>
                <pt idx="218">
                  <v>37165</v>
                </pt>
                <pt idx="219">
                  <v>37257</v>
                </pt>
                <pt idx="220">
                  <v>37347</v>
                </pt>
                <pt idx="221">
                  <v>37438</v>
                </pt>
                <pt idx="222">
                  <v>37530</v>
                </pt>
                <pt idx="223">
                  <v>37622</v>
                </pt>
                <pt idx="224">
                  <v>37712</v>
                </pt>
                <pt idx="225">
                  <v>37803</v>
                </pt>
                <pt idx="226">
                  <v>37895</v>
                </pt>
                <pt idx="227">
                  <v>37987</v>
                </pt>
                <pt idx="228">
                  <v>38078</v>
                </pt>
                <pt idx="229">
                  <v>38169</v>
                </pt>
                <pt idx="230">
                  <v>38261</v>
                </pt>
                <pt idx="231">
                  <v>38353</v>
                </pt>
                <pt idx="232">
                  <v>38443</v>
                </pt>
                <pt idx="233">
                  <v>38534</v>
                </pt>
                <pt idx="234">
                  <v>38626</v>
                </pt>
                <pt idx="235">
                  <v>38718</v>
                </pt>
                <pt idx="236">
                  <v>38808</v>
                </pt>
                <pt idx="237">
                  <v>38899</v>
                </pt>
                <pt idx="238">
                  <v>38991</v>
                </pt>
                <pt idx="239">
                  <v>39083</v>
                </pt>
                <pt idx="240">
                  <v>39173</v>
                </pt>
                <pt idx="241">
                  <v>39264</v>
                </pt>
                <pt idx="242">
                  <v>39356</v>
                </pt>
                <pt idx="243">
                  <v>39448</v>
                </pt>
                <pt idx="244">
                  <v>39539</v>
                </pt>
                <pt idx="245">
                  <v>39630</v>
                </pt>
                <pt idx="246">
                  <v>39722</v>
                </pt>
                <pt idx="247">
                  <v>39814</v>
                </pt>
                <pt idx="248">
                  <v>39904</v>
                </pt>
                <pt idx="249">
                  <v>39995</v>
                </pt>
                <pt idx="250">
                  <v>40087</v>
                </pt>
                <pt idx="251">
                  <v>40179</v>
                </pt>
                <pt idx="252">
                  <v>40269</v>
                </pt>
                <pt idx="253">
                  <v>40360</v>
                </pt>
                <pt idx="254">
                  <v>40452</v>
                </pt>
                <pt idx="255">
                  <v>40544</v>
                </pt>
                <pt idx="256">
                  <v>40634</v>
                </pt>
                <pt idx="257">
                  <v>40725</v>
                </pt>
                <pt idx="258">
                  <v>40817</v>
                </pt>
                <pt idx="259">
                  <v>40909</v>
                </pt>
                <pt idx="260">
                  <v>41000</v>
                </pt>
                <pt idx="261">
                  <v>41091</v>
                </pt>
                <pt idx="262">
                  <v>41183</v>
                </pt>
                <pt idx="263">
                  <v>41275</v>
                </pt>
                <pt idx="264">
                  <v>41365</v>
                </pt>
                <pt idx="265">
                  <v>41456</v>
                </pt>
                <pt idx="266">
                  <v>41548</v>
                </pt>
                <pt idx="267">
                  <v>41640</v>
                </pt>
                <pt idx="268">
                  <v>41730</v>
                </pt>
                <pt idx="269">
                  <v>41821</v>
                </pt>
                <pt idx="270">
                  <v>41913</v>
                </pt>
                <pt idx="271">
                  <v>42005</v>
                </pt>
                <pt idx="272">
                  <v>42095</v>
                </pt>
                <pt idx="273">
                  <v>42186</v>
                </pt>
                <pt idx="274">
                  <v>42278</v>
                </pt>
                <pt idx="275">
                  <v>42370</v>
                </pt>
                <pt idx="276">
                  <v>42461</v>
                </pt>
                <pt idx="277">
                  <v>42552</v>
                </pt>
                <pt idx="278">
                  <v>42644</v>
                </pt>
                <pt idx="279">
                  <v>42736</v>
                </pt>
                <pt idx="280">
                  <v>42826</v>
                </pt>
                <pt idx="281">
                  <v>42917</v>
                </pt>
                <pt idx="282">
                  <v>43009</v>
                </pt>
                <pt idx="283">
                  <v>43101</v>
                </pt>
                <pt idx="284">
                  <v>43191</v>
                </pt>
                <pt idx="285">
                  <v>43282</v>
                </pt>
                <pt idx="286">
                  <v>43374</v>
                </pt>
                <pt idx="287">
                  <v>43466</v>
                </pt>
                <pt idx="288">
                  <v>43556</v>
                </pt>
                <pt idx="289">
                  <v>43647</v>
                </pt>
                <pt idx="290">
                  <v>43739</v>
                </pt>
                <pt idx="291">
                  <v>43831</v>
                </pt>
                <pt idx="292">
                  <v>43922</v>
                </pt>
                <pt idx="293">
                  <v>44013</v>
                </pt>
                <pt idx="294">
                  <v>44105</v>
                </pt>
                <pt idx="295">
                  <v>44197</v>
                </pt>
                <pt idx="296">
                  <v>44287</v>
                </pt>
                <pt idx="297">
                  <v>44378</v>
                </pt>
              </numCache>
            </numRef>
          </cat>
          <val>
            <numRef>
              <f>'U.S. GDP'!$E$7:$E$305</f>
              <numCache>
                <formatCode>0.00%</formatCode>
                <ptCount val="299"/>
                <pt idx="0">
                  <v>-0.01062563615731593</v>
                </pt>
                <pt idx="1">
                  <v>-0.008234578064592379</v>
                </pt>
                <pt idx="2">
                  <v>0.06405460233045623</v>
                </pt>
                <pt idx="3">
                  <v>0.06153924905173591</v>
                </pt>
                <pt idx="4">
                  <v>0.06768013659058014</v>
                </pt>
                <pt idx="5">
                  <v>0.02311491038720104</v>
                </pt>
                <pt idx="6">
                  <v>0.004475979641999306</v>
                </pt>
                <pt idx="7">
                  <v>-0.05398904707599983</v>
                </pt>
                <pt idx="8">
                  <v>-0.01357438589464066</v>
                </pt>
                <pt idx="9">
                  <v>0.04194094483004052</v>
                </pt>
                <pt idx="10">
                  <v>-0.03315043537256779</v>
                </pt>
                <pt idx="11">
                  <v>0.1667165198223279</v>
                </pt>
                <pt idx="12">
                  <v>0.1276875822943975</v>
                </pt>
                <pt idx="13">
                  <v>0.1637698744608331</v>
                </pt>
                <pt idx="14">
                  <v>0.07881925139170098</v>
                </pt>
                <pt idx="15">
                  <v>0.05544316274475447</v>
                </pt>
                <pt idx="16">
                  <v>0.07113068727204275</v>
                </pt>
                <pt idx="17">
                  <v>0.08502378012798339</v>
                </pt>
                <pt idx="18">
                  <v>0.008839131632865316</v>
                </pt>
                <pt idx="19">
                  <v>0.04343132891926405</v>
                </pt>
                <pt idx="20">
                  <v>0.008643745203244402</v>
                </pt>
                <pt idx="21">
                  <v>0.02918811561848811</v>
                </pt>
                <pt idx="22">
                  <v>0.1379831307047701</v>
                </pt>
                <pt idx="23">
                  <v>0.0764537441153792</v>
                </pt>
                <pt idx="24">
                  <v>0.03127783139942197</v>
                </pt>
                <pt idx="25">
                  <v>-0.02231782956626527</v>
                </pt>
                <pt idx="26">
                  <v>-0.05919624282214508</v>
                </pt>
                <pt idx="27">
                  <v>-0.01898428780973227</v>
                </pt>
                <pt idx="28">
                  <v>0.004366820581845676</v>
                </pt>
                <pt idx="29">
                  <v>0.04594488271546471</v>
                </pt>
                <pt idx="30">
                  <v>0.08059481230675947</v>
                </pt>
                <pt idx="31">
                  <v>0.1192381030854877</v>
                </pt>
                <pt idx="32">
                  <v>0.06669418000707128</v>
                </pt>
                <pt idx="33">
                  <v>0.05512270869902025</v>
                </pt>
                <pt idx="34">
                  <v>0.0242302529752878</v>
                </pt>
                <pt idx="35">
                  <v>-0.01544494919947736</v>
                </pt>
                <pt idx="36">
                  <v>0.03346472086182173</v>
                </pt>
                <pt idx="37">
                  <v>-0.003588743913787829</v>
                </pt>
                <pt idx="38">
                  <v>0.06747778969521656</v>
                </pt>
                <pt idx="39">
                  <v>0.02585868145080883</v>
                </pt>
                <pt idx="40">
                  <v>-0.008734679818855895</v>
                </pt>
                <pt idx="41">
                  <v>0.03978077193041729</v>
                </pt>
                <pt idx="42">
                  <v>-0.04073375974144011</v>
                </pt>
                <pt idx="43">
                  <v>-0.09984529734545644</v>
                </pt>
                <pt idx="44">
                  <v>0.0265493746369232</v>
                </pt>
                <pt idx="45">
                  <v>0.09578906366867113</v>
                </pt>
                <pt idx="46">
                  <v>0.09685586253705125</v>
                </pt>
                <pt idx="47">
                  <v>0.07902134946672668</v>
                </pt>
                <pt idx="48">
                  <v>0.09330439091654585</v>
                </pt>
                <pt idx="49">
                  <v>0.002825402308261893</v>
                </pt>
                <pt idx="50">
                  <v>0.01144435183103409</v>
                </pt>
                <pt idx="51">
                  <v>0.0929855824345418</v>
                </pt>
                <pt idx="52">
                  <v>-0.02138920017185875</v>
                </pt>
                <pt idx="53">
                  <v>0.0197210406133479</v>
                </pt>
                <pt idx="54">
                  <v>-0.05035628728337027</v>
                </pt>
                <pt idx="55">
                  <v>0.02727071103520817</v>
                </pt>
                <pt idx="56">
                  <v>0.06964578678446354</v>
                </pt>
                <pt idx="57">
                  <v>0.07902279758629582</v>
                </pt>
                <pt idx="58">
                  <v>0.08078178259819491</v>
                </pt>
                <pt idx="59">
                  <v>0.0732775935086929</v>
                </pt>
                <pt idx="60">
                  <v>0.03663947632942954</v>
                </pt>
                <pt idx="61">
                  <v>0.05005350778378159</v>
                </pt>
                <pt idx="62">
                  <v>0.01322111122552383</v>
                </pt>
                <pt idx="63">
                  <v>0.04438311079570911</v>
                </pt>
                <pt idx="64">
                  <v>0.0456460196068611</v>
                </pt>
                <pt idx="65">
                  <v>0.09087998154472299</v>
                </pt>
                <pt idx="66">
                  <v>0.02648311519341751</v>
                </pt>
                <pt idx="67">
                  <v>0.087034600081078</v>
                </pt>
                <pt idx="68">
                  <v>0.04426572835975362</v>
                </pt>
                <pt idx="69">
                  <v>0.063971809202924</v>
                </pt>
                <pt idx="70">
                  <v>0.0124122333831731</v>
                </pt>
                <pt idx="71">
                  <v>0.1003602100251837</v>
                </pt>
                <pt idx="72">
                  <v>0.0514975733947296</v>
                </pt>
                <pt idx="73">
                  <v>0.09194000282873915</v>
                </pt>
                <pt idx="74">
                  <v>0.09539598687252315</v>
                </pt>
                <pt idx="75">
                  <v>0.100982479057544</v>
                </pt>
                <pt idx="76">
                  <v>0.01373425320265032</v>
                </pt>
                <pt idx="77">
                  <v>0.03430898587163456</v>
                </pt>
                <pt idx="78">
                  <v>0.03322233832563914</v>
                </pt>
                <pt idx="79">
                  <v>0.03589540946426251</v>
                </pt>
                <pt idx="80">
                  <v>0.002454167879501812</v>
                </pt>
                <pt idx="81">
                  <v>0.03838531924596955</v>
                </pt>
                <pt idx="82">
                  <v>0.03050352818463176</v>
                </pt>
                <pt idx="83">
                  <v>0.08411014581384135</v>
                </pt>
                <pt idx="84">
                  <v>0.06852565923772169</v>
                </pt>
                <pt idx="85">
                  <v>0.03136042553098384</v>
                </pt>
                <pt idx="86">
                  <v>0.01582586566440858</v>
                </pt>
                <pt idx="87">
                  <v>0.06408976784792331</v>
                </pt>
                <pt idx="88">
                  <v>0.01221537317702537</v>
                </pt>
                <pt idx="89">
                  <v>0.02668349019765204</v>
                </pt>
                <pt idx="90">
                  <v>-0.01936553931373752</v>
                </pt>
                <pt idx="91">
                  <v>-0.005925615006652674</v>
                </pt>
                <pt idx="92">
                  <v>0.00568929795693851</v>
                </pt>
                <pt idx="93">
                  <v>0.0373747245074163</v>
                </pt>
                <pt idx="94">
                  <v>-0.04218138882587208</v>
                </pt>
                <pt idx="95">
                  <v>0.11314636517358</v>
                </pt>
                <pt idx="96">
                  <v>0.02182112439459316</v>
                </pt>
                <pt idx="97">
                  <v>0.03332728238206673</v>
                </pt>
                <pt idx="98">
                  <v>0.00946476242764005</v>
                </pt>
                <pt idx="99">
                  <v>0.07561240734329577</v>
                </pt>
                <pt idx="100">
                  <v>0.09392905376229566</v>
                </pt>
                <pt idx="101">
                  <v>0.03831376677928255</v>
                </pt>
                <pt idx="102">
                  <v>0.06867949483058577</v>
                </pt>
                <pt idx="103">
                  <v>0.1027280596009805</v>
                </pt>
                <pt idx="104">
                  <v>0.04426278796636973</v>
                </pt>
                <pt idx="105">
                  <v>-0.02087058091389582</v>
                </pt>
                <pt idx="106">
                  <v>0.03851267753048382</v>
                </pt>
                <pt idx="107">
                  <v>-0.03394991438893069</v>
                </pt>
                <pt idx="108">
                  <v>0.009541278826036281</v>
                </pt>
                <pt idx="109">
                  <v>-0.03727310339376166</v>
                </pt>
                <pt idx="110">
                  <v>-0.01543547302283965</v>
                </pt>
                <pt idx="111">
                  <v>-0.04780955715630553</v>
                </pt>
                <pt idx="112">
                  <v>0.02888924771416268</v>
                </pt>
                <pt idx="113">
                  <v>0.07024407486532014</v>
                </pt>
                <pt idx="114">
                  <v>0.05495864100802961</v>
                </pt>
                <pt idx="115">
                  <v>0.09303030101174126</v>
                </pt>
                <pt idx="116">
                  <v>0.02967259574123493</v>
                </pt>
                <pt idx="117">
                  <v>0.02212953909849547</v>
                </pt>
                <pt idx="118">
                  <v>0.02931081062144569</v>
                </pt>
                <pt idx="119">
                  <v>0.04810350245376416</v>
                </pt>
                <pt idx="120">
                  <v>0.08006180304607646</v>
                </pt>
                <pt idx="121">
                  <v>0.07415125984790261</v>
                </pt>
                <pt idx="122">
                  <v>8.743374354369671e-05</v>
                </pt>
                <pt idx="123">
                  <v>0.01282777891271847</v>
                </pt>
                <pt idx="124">
                  <v>0.1637634019380503</v>
                </pt>
                <pt idx="125">
                  <v>0.04083140069418012</v>
                </pt>
                <pt idx="126">
                  <v>0.05485950150521179</v>
                </pt>
                <pt idx="127">
                  <v>0.007210908840985741</v>
                </pt>
                <pt idx="128">
                  <v>0.0042836572536189</v>
                </pt>
                <pt idx="129">
                  <v>0.03004761641210396</v>
                </pt>
                <pt idx="130">
                  <v>0.01004058647981432</v>
                </pt>
                <pt idx="131">
                  <v>0.01264024091996396</v>
                </pt>
                <pt idx="132">
                  <v>-0.07990637031804315</v>
                </pt>
                <pt idx="133">
                  <v>-0.004745416622351839</v>
                </pt>
                <pt idx="134">
                  <v>0.07670985813356745</v>
                </pt>
                <pt idx="135">
                  <v>0.08071103598225116</v>
                </pt>
                <pt idx="136">
                  <v>-0.02931466422968187</v>
                </pt>
                <pt idx="137">
                  <v>0.04876833827542182</v>
                </pt>
                <pt idx="138">
                  <v>-0.04287543335073452</v>
                </pt>
                <pt idx="139">
                  <v>-0.06070861857896181</v>
                </pt>
                <pt idx="140">
                  <v>0.01837319106848523</v>
                </pt>
                <pt idx="141">
                  <v>-0.01520450261025652</v>
                </pt>
                <pt idx="142">
                  <v>0.001598808633004989</v>
                </pt>
                <pt idx="143">
                  <v>0.05376512149741886</v>
                </pt>
                <pt idx="144">
                  <v>0.09417894915071301</v>
                </pt>
                <pt idx="145">
                  <v>0.08239244141250035</v>
                </pt>
                <pt idx="146">
                  <v>0.08609659002729031</v>
                </pt>
                <pt idx="147">
                  <v>0.08051351139935736</v>
                </pt>
                <pt idx="148">
                  <v>0.0709235878122596</v>
                </pt>
                <pt idx="149">
                  <v>0.03912378905516167</v>
                </pt>
                <pt idx="150">
                  <v>0.03324078666384356</v>
                </pt>
                <pt idx="151">
                  <v>0.03933000174327517</v>
                </pt>
                <pt idx="152">
                  <v>0.03568652295878594</v>
                </pt>
                <pt idx="153">
                  <v>0.06249841012954427</v>
                </pt>
                <pt idx="154">
                  <v>0.0300662610165936</v>
                </pt>
                <pt idx="155">
                  <v>0.03786713107164807</v>
                </pt>
                <pt idx="156">
                  <v>0.01813716419389122</v>
                </pt>
                <pt idx="157">
                  <v>0.03883273086767103</v>
                </pt>
                <pt idx="158">
                  <v>0.02165306112495746</v>
                </pt>
                <pt idx="159">
                  <v>0.03013547493149016</v>
                </pt>
                <pt idx="160">
                  <v>0.04385706929729527</v>
                </pt>
                <pt idx="161">
                  <v>0.03515689521360343</v>
                </pt>
                <pt idx="162">
                  <v>0.07047070727767069</v>
                </pt>
                <pt idx="163">
                  <v>0.02082687796218119</v>
                </pt>
                <pt idx="164">
                  <v>0.05360092833045282</v>
                </pt>
                <pt idx="165">
                  <v>0.02364392556959816</v>
                </pt>
                <pt idx="166">
                  <v>0.05437485201812042</v>
                </pt>
                <pt idx="167">
                  <v>0.04128820262532407</v>
                </pt>
                <pt idx="168">
                  <v>0.03088195297144991</v>
                </pt>
                <pt idx="169">
                  <v>0.02996604866089259</v>
                </pt>
                <pt idx="170">
                  <v>0.007905367044091616</v>
                </pt>
                <pt idx="171">
                  <v>0.04443357206409249</v>
                </pt>
                <pt idx="172">
                  <v>0.01459568596150684</v>
                </pt>
                <pt idx="173">
                  <v>0.002663152805920666</v>
                </pt>
                <pt idx="174">
                  <v>-0.03592150205110978</v>
                </pt>
                <pt idx="175">
                  <v>-0.01858377250133569</v>
                </pt>
                <pt idx="176">
                  <v>0.03155539747719049</v>
                </pt>
                <pt idx="177">
                  <v>0.02036727422997275</v>
                </pt>
                <pt idx="178">
                  <v>0.01401562371143861</v>
                </pt>
                <pt idx="179">
                  <v>0.04875309825949259</v>
                </pt>
                <pt idx="180">
                  <v>0.04408338824994851</v>
                </pt>
                <pt idx="181">
                  <v>0.04011396954581636</v>
                </pt>
                <pt idx="182">
                  <v>0.04237230267699021</v>
                </pt>
                <pt idx="183">
                  <v>0.006695911518737496</v>
                </pt>
                <pt idx="184">
                  <v>0.02348864193376721</v>
                </pt>
                <pt idx="185">
                  <v>0.01922330560881402</v>
                </pt>
                <pt idx="186">
                  <v>0.05552300343997629</v>
                </pt>
                <pt idx="187">
                  <v>0.03938108089937553</v>
                </pt>
                <pt idx="188">
                  <v>0.05531575447492632</v>
                </pt>
                <pt idx="189">
                  <v>0.02358725012773011</v>
                </pt>
                <pt idx="190">
                  <v>0.04661408771384168</v>
                </pt>
                <pt idx="191">
                  <v>0.01426348278840961</v>
                </pt>
                <pt idx="192">
                  <v>0.0119857259968239</v>
                </pt>
                <pt idx="193">
                  <v>0.03446324065976714</v>
                </pt>
                <pt idx="194">
                  <v>0.02743937030821053</v>
                </pt>
                <pt idx="195">
                  <v>0.0302971117038966</v>
                </pt>
                <pt idx="196">
                  <v>0.06840309652184451</v>
                </pt>
                <pt idx="197">
                  <v>0.03636610812087238</v>
                </pt>
                <pt idx="198">
                  <v>0.0421873580889367</v>
                </pt>
                <pt idx="199">
                  <v>0.02607355819109536</v>
                </pt>
                <pt idx="200">
                  <v>0.06815486590490871</v>
                </pt>
                <pt idx="201">
                  <v>0.05097766273852433</v>
                </pt>
                <pt idx="202">
                  <v>0.03479474533539206</v>
                </pt>
                <pt idx="203">
                  <v>0.04057826924134766</v>
                </pt>
                <pt idx="204">
                  <v>0.03755028803424176</v>
                </pt>
                <pt idx="205">
                  <v>0.05106012260225712</v>
                </pt>
                <pt idx="206">
                  <v>0.06623182618291357</v>
                </pt>
                <pt idx="207">
                  <v>0.03829092080185514</v>
                </pt>
                <pt idx="208">
                  <v>0.03382066981536114</v>
                </pt>
                <pt idx="209">
                  <v>0.05398061530001885</v>
                </pt>
                <pt idx="210">
                  <v>0.06734820036933864</v>
                </pt>
                <pt idx="211">
                  <v>0.0146577813755211</v>
                </pt>
                <pt idx="212">
                  <v>0.07483628114231911</v>
                </pt>
                <pt idx="213">
                  <v>0.003996942030330297</v>
                </pt>
                <pt idx="214">
                  <v>0.02398727086218799</v>
                </pt>
                <pt idx="215">
                  <v>-0.01290590479056453</v>
                </pt>
                <pt idx="216">
                  <v>0.02508820455389182</v>
                </pt>
                <pt idx="217">
                  <v>-0.01591804945502973</v>
                </pt>
                <pt idx="218">
                  <v>0.01113880165656145</v>
                </pt>
                <pt idx="219">
                  <v>0.03354294204519781</v>
                </pt>
                <pt idx="220">
                  <v>0.02484833834627032</v>
                </pt>
                <pt idx="221">
                  <v>0.0162391125091006</v>
                </pt>
                <pt idx="222">
                  <v>0.00523648216461936</v>
                </pt>
                <pt idx="223">
                  <v>0.02082968176698108</v>
                </pt>
                <pt idx="224">
                  <v>0.03621684485857446</v>
                </pt>
                <pt idx="225">
                  <v>0.06836158006885573</v>
                </pt>
                <pt idx="226">
                  <v>0.0469670876988979</v>
                </pt>
                <pt idx="227">
                  <v>0.0231143527012434</v>
                </pt>
                <pt idx="228">
                  <v>0.03151530344471909</v>
                </pt>
                <pt idx="229">
                  <v>0.03818480021627169</v>
                </pt>
                <pt idx="230">
                  <v>0.04151209982891446</v>
                </pt>
                <pt idx="231">
                  <v>0.04518123508687411</v>
                </pt>
                <pt idx="232">
                  <v>0.01960671092838173</v>
                </pt>
                <pt idx="233">
                  <v>0.03179714370730702</v>
                </pt>
                <pt idx="234">
                  <v>0.02291138878895094</v>
                </pt>
                <pt idx="235">
                  <v>0.05504783041874162</v>
                </pt>
                <pt idx="236">
                  <v>0.009859595325901749</v>
                </pt>
                <pt idx="237">
                  <v>0.006031843391774094</v>
                </pt>
                <pt idx="238">
                  <v>0.03417798496028146</v>
                </pt>
                <pt idx="239">
                  <v>0.01179577590686653</v>
                </pt>
                <pt idx="240">
                  <v>0.02578298295432324</v>
                </pt>
                <pt idx="241">
                  <v>0.02431080560296794</v>
                </pt>
                <pt idx="242">
                  <v>0.02460966730827407</v>
                </pt>
                <pt idx="243">
                  <v>-0.01619784994668927</v>
                </pt>
                <pt idx="244">
                  <v>0.02308907778947766</v>
                </pt>
                <pt idx="245">
                  <v>-0.0209097307355427</v>
                </pt>
                <pt idx="246">
                  <v>-0.08450572869534734</v>
                </pt>
                <pt idx="247">
                  <v>-0.04581987379316932</v>
                </pt>
                <pt idx="248">
                  <v>-0.006752359998762336</v>
                </pt>
                <pt idx="249">
                  <v>0.01455598543492065</v>
                </pt>
                <pt idx="250">
                  <v>0.0434076888622974</v>
                </pt>
                <pt idx="251">
                  <v>0.02015267213561045</v>
                </pt>
                <pt idx="252">
                  <v>0.03927369054068341</v>
                </pt>
                <pt idx="253">
                  <v>0.03128626930493783</v>
                </pt>
                <pt idx="254">
                  <v>0.02094635569547521</v>
                </pt>
                <pt idx="255">
                  <v>-0.009601874290937507</v>
                </pt>
                <pt idx="256">
                  <v>0.02739913079767176</v>
                </pt>
                <pt idx="257">
                  <v>-0.001549785003588933</v>
                </pt>
                <pt idx="258">
                  <v>0.04562768534929051</v>
                </pt>
                <pt idx="259">
                  <v>0.03312050570216885</v>
                </pt>
                <pt idx="260">
                  <v>0.01835946382913356</v>
                </pt>
                <pt idx="261">
                  <v>0.007013690941451767</v>
                </pt>
                <pt idx="262">
                  <v>0.004400766641183607</v>
                </pt>
                <pt idx="263">
                  <v>0.03516603678394081</v>
                </pt>
                <pt idx="264">
                  <v>0.00558707657013402</v>
                </pt>
                <pt idx="265">
                  <v>0.0320441539978702</v>
                </pt>
                <pt idx="266">
                  <v>0.02875173987590829</v>
                </pt>
                <pt idx="267">
                  <v>-0.01393101487505954</v>
                </pt>
                <pt idx="268">
                  <v>0.0523630457566524</v>
                </pt>
                <pt idx="269">
                  <v>0.04741908962129937</v>
                </pt>
                <pt idx="270">
                  <v>0.01808105561066875</v>
                </pt>
                <pt idx="271">
                  <v>0.03293158882700409</v>
                </pt>
                <pt idx="272">
                  <v>0.02340267984825029</v>
                </pt>
                <pt idx="273">
                  <v>0.01299778420271602</v>
                </pt>
                <pt idx="274">
                  <v>0.005862217066683106</v>
                </pt>
                <pt idx="275">
                  <v>0.02377629379297197</v>
                </pt>
                <pt idx="276">
                  <v>0.01215052634526592</v>
                </pt>
                <pt idx="277">
                  <v>0.02426228912334971</v>
                </pt>
                <pt idx="278">
                  <v>0.02002418226175018</v>
                </pt>
                <pt idx="279">
                  <v>0.01901129394955658</v>
                </pt>
                <pt idx="280">
                  <v>0.0225792974619996</v>
                </pt>
                <pt idx="281">
                  <v>0.02907779605929184</v>
                </pt>
                <pt idx="282">
                  <v>0.03814993904506303</v>
                </pt>
                <pt idx="283">
                  <v>0.03086510836024359</v>
                </pt>
                <pt idx="284">
                  <v>0.03377600526305335</v>
                </pt>
                <pt idx="285">
                  <v>0.01941791765026113</v>
                </pt>
                <pt idx="286">
                  <v>0.008955593239345916</v>
                </pt>
                <pt idx="287">
                  <v>0.02412687930866952</v>
                </pt>
                <pt idx="288">
                  <v>0.03209621189016554</v>
                </pt>
                <pt idx="289">
                  <v>0.02770318750334533</v>
                </pt>
                <pt idx="290">
                  <v>0.01889634966248921</v>
                </pt>
                <pt idx="291">
                  <v>-0.05113254503727427</v>
                </pt>
                <pt idx="292">
                  <v>-0.3123569846108508</v>
                </pt>
                <pt idx="293">
                  <v>0.3378327930079323</v>
                </pt>
                <pt idx="294">
                  <v>0.04536294038119415</v>
                </pt>
                <pt idx="295">
                  <v>0.0627817667277657</v>
                </pt>
                <pt idx="296">
                  <v>0.06726283145896073</v>
                </pt>
                <pt idx="297">
                  <v>0.0201596093519576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176608896"/>
        <axId val="1176609288"/>
      </barChart>
      <dateAx>
        <axId val="1176608896"/>
        <scaling>
          <orientation val="minMax"/>
          <min val="40179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9288"/>
        <crosses val="autoZero"/>
        <lblOffset val="100"/>
        <baseTimeUnit val="months"/>
      </dateAx>
      <valAx>
        <axId val="1176609288"/>
        <scaling>
          <orientation val="minMax"/>
          <max val="0.06000000000000001"/>
          <min val="-0.05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0">
            <a:solidFill>
              <a:schemeClr val="tx1"/>
            </a:solidFill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6608896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'U.S. GDP'!$A$2</f>
              <strCache>
                <ptCount val="1"/>
                <pt idx="0">
                  <v xml:space="preserve"> Billions of Chained 2012 Dollars, Seasonally Adjusted Annual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GDP'!$B$6:$B$305</f>
              <numCache>
                <formatCode>0.0</formatCode>
                <ptCount val="300"/>
                <pt idx="0">
                  <v>2034.45</v>
                </pt>
                <pt idx="1">
                  <v>2029.024</v>
                </pt>
                <pt idx="2">
                  <v>2024.834</v>
                </pt>
                <pt idx="3">
                  <v>2056.508</v>
                </pt>
                <pt idx="4">
                  <v>2087.442</v>
                </pt>
                <pt idx="5">
                  <v>2121.899</v>
                </pt>
                <pt idx="6">
                  <v>2134.056</v>
                </pt>
                <pt idx="7">
                  <v>2136.44</v>
                </pt>
                <pt idx="8">
                  <v>2107.001</v>
                </pt>
                <pt idx="9">
                  <v>2099.814</v>
                </pt>
                <pt idx="10">
                  <v>2121.493</v>
                </pt>
                <pt idx="11">
                  <v>2103.688</v>
                </pt>
                <pt idx="12">
                  <v>2186.365</v>
                </pt>
                <pt idx="13">
                  <v>2253.045</v>
                </pt>
                <pt idx="14">
                  <v>2340.112</v>
                </pt>
                <pt idx="15">
                  <v>2384.92</v>
                </pt>
                <pt idx="16">
                  <v>2417.311</v>
                </pt>
                <pt idx="17">
                  <v>2459.196</v>
                </pt>
                <pt idx="18">
                  <v>2509.88</v>
                </pt>
                <pt idx="19">
                  <v>2515.408</v>
                </pt>
                <pt idx="20">
                  <v>2542.286</v>
                </pt>
                <pt idx="21">
                  <v>2547.762</v>
                </pt>
                <pt idx="22">
                  <v>2566.153</v>
                </pt>
                <pt idx="23">
                  <v>2650.431</v>
                </pt>
                <pt idx="24">
                  <v>2699.699</v>
                </pt>
                <pt idx="25">
                  <v>2720.566</v>
                </pt>
                <pt idx="26">
                  <v>2705.258</v>
                </pt>
                <pt idx="27">
                  <v>2664.302</v>
                </pt>
                <pt idx="28">
                  <v>2651.566</v>
                </pt>
                <pt idx="29">
                  <v>2654.456</v>
                </pt>
                <pt idx="30">
                  <v>2684.434</v>
                </pt>
                <pt idx="31">
                  <v>2736.96</v>
                </pt>
                <pt idx="32">
                  <v>2815.134</v>
                </pt>
                <pt idx="33">
                  <v>2860.942</v>
                </pt>
                <pt idx="34">
                  <v>2899.578</v>
                </pt>
                <pt idx="35">
                  <v>2916.985</v>
                </pt>
                <pt idx="36">
                  <v>2905.656</v>
                </pt>
                <pt idx="37">
                  <v>2929.666</v>
                </pt>
                <pt idx="38">
                  <v>2927.034</v>
                </pt>
                <pt idx="39">
                  <v>2975.209</v>
                </pt>
                <pt idx="40">
                  <v>2994.259</v>
                </pt>
                <pt idx="41">
                  <v>2987.699</v>
                </pt>
                <pt idx="42">
                  <v>3016.979</v>
                </pt>
                <pt idx="43">
                  <v>2985.775</v>
                </pt>
                <pt idx="44">
                  <v>2908.281</v>
                </pt>
                <pt idx="45">
                  <v>2927.395</v>
                </pt>
                <pt idx="46">
                  <v>2995.112</v>
                </pt>
                <pt idx="47">
                  <v>3065.141</v>
                </pt>
                <pt idx="48">
                  <v>3123.978</v>
                </pt>
                <pt idx="49">
                  <v>3194.429</v>
                </pt>
                <pt idx="50">
                  <v>3196.683</v>
                </pt>
                <pt idx="51">
                  <v>3205.79</v>
                </pt>
                <pt idx="52">
                  <v>3277.847</v>
                </pt>
                <pt idx="53">
                  <v>3260.177</v>
                </pt>
                <pt idx="54">
                  <v>3276.133</v>
                </pt>
                <pt idx="55">
                  <v>3234.087</v>
                </pt>
                <pt idx="56">
                  <v>3255.914</v>
                </pt>
                <pt idx="57">
                  <v>3311.181</v>
                </pt>
                <pt idx="58">
                  <v>3374.742</v>
                </pt>
                <pt idx="59">
                  <v>3440.924</v>
                </pt>
                <pt idx="60">
                  <v>3502.298</v>
                </pt>
                <pt idx="61">
                  <v>3533.947</v>
                </pt>
                <pt idx="62">
                  <v>3577.362</v>
                </pt>
                <pt idx="63">
                  <v>3589.128</v>
                </pt>
                <pt idx="64">
                  <v>3628.306</v>
                </pt>
                <pt idx="65">
                  <v>3669.02</v>
                </pt>
                <pt idx="66">
                  <v>3749.681</v>
                </pt>
                <pt idx="67">
                  <v>3774.264</v>
                </pt>
                <pt idx="68">
                  <v>3853.835</v>
                </pt>
                <pt idx="69">
                  <v>3895.793</v>
                </pt>
                <pt idx="70">
                  <v>3956.657</v>
                </pt>
                <pt idx="71">
                  <v>3968.878</v>
                </pt>
                <pt idx="72">
                  <v>4064.915</v>
                </pt>
                <pt idx="73">
                  <v>4116.267</v>
                </pt>
                <pt idx="74">
                  <v>4207.782</v>
                </pt>
                <pt idx="75">
                  <v>4304.731</v>
                </pt>
                <pt idx="76">
                  <v>4409.518</v>
                </pt>
                <pt idx="77">
                  <v>4424.581</v>
                </pt>
                <pt idx="78">
                  <v>4462.053</v>
                </pt>
                <pt idx="79">
                  <v>4498.66</v>
                </pt>
                <pt idx="80">
                  <v>4538.498</v>
                </pt>
                <pt idx="81">
                  <v>4541.28</v>
                </pt>
                <pt idx="82">
                  <v>4584.246</v>
                </pt>
                <pt idx="83">
                  <v>4618.812</v>
                </pt>
                <pt idx="84">
                  <v>4713.013</v>
                </pt>
                <pt idx="85">
                  <v>4791.758</v>
                </pt>
                <pt idx="86">
                  <v>4828.892</v>
                </pt>
                <pt idx="87">
                  <v>4847.885</v>
                </pt>
                <pt idx="88">
                  <v>4923.76</v>
                </pt>
                <pt idx="89">
                  <v>4938.728</v>
                </pt>
                <pt idx="90">
                  <v>4971.349</v>
                </pt>
                <pt idx="91">
                  <v>4947.104</v>
                </pt>
                <pt idx="92">
                  <v>4939.759</v>
                </pt>
                <pt idx="93">
                  <v>4946.77</v>
                </pt>
                <pt idx="94">
                  <v>4992.357</v>
                </pt>
                <pt idx="95">
                  <v>4938.857</v>
                </pt>
                <pt idx="96">
                  <v>5072.996</v>
                </pt>
                <pt idx="97">
                  <v>5100.447</v>
                </pt>
                <pt idx="98">
                  <v>5142.422</v>
                </pt>
                <pt idx="99">
                  <v>5154.547</v>
                </pt>
                <pt idx="100">
                  <v>5249.337</v>
                </pt>
                <pt idx="101">
                  <v>5368.485</v>
                </pt>
                <pt idx="102">
                  <v>5419.184</v>
                </pt>
                <pt idx="103">
                  <v>5509.926</v>
                </pt>
                <pt idx="104">
                  <v>5646.286</v>
                </pt>
                <pt idx="105">
                  <v>5707.755</v>
                </pt>
                <pt idx="106">
                  <v>5677.738</v>
                </pt>
                <pt idx="107">
                  <v>5731.632</v>
                </pt>
                <pt idx="108">
                  <v>5682.353</v>
                </pt>
                <pt idx="109">
                  <v>5695.859</v>
                </pt>
                <pt idx="110">
                  <v>5642.025</v>
                </pt>
                <pt idx="111">
                  <v>5620.126</v>
                </pt>
                <pt idx="112">
                  <v>5551.713</v>
                </pt>
                <pt idx="113">
                  <v>5591.382</v>
                </pt>
                <pt idx="114">
                  <v>5687.087</v>
                </pt>
                <pt idx="115">
                  <v>5763.665</v>
                </pt>
                <pt idx="116">
                  <v>5893.276</v>
                </pt>
                <pt idx="117">
                  <v>5936.515</v>
                </pt>
                <pt idx="118">
                  <v>5969.089</v>
                </pt>
                <pt idx="119">
                  <v>6012.356</v>
                </pt>
                <pt idx="120">
                  <v>6083.391</v>
                </pt>
                <pt idx="121">
                  <v>6201.659</v>
                </pt>
                <pt idx="122">
                  <v>6313.559</v>
                </pt>
                <pt idx="123">
                  <v>6313.697</v>
                </pt>
                <pt idx="124">
                  <v>6333.848</v>
                </pt>
                <pt idx="125">
                  <v>6578.605</v>
                </pt>
                <pt idx="126">
                  <v>6644.754</v>
                </pt>
                <pt idx="127">
                  <v>6734.069</v>
                </pt>
                <pt idx="128">
                  <v>6746.176</v>
                </pt>
                <pt idx="129">
                  <v>6753.389</v>
                </pt>
                <pt idx="130">
                  <v>6803.558</v>
                </pt>
                <pt idx="131">
                  <v>6820.572</v>
                </pt>
                <pt idx="132">
                  <v>6842.024</v>
                </pt>
                <pt idx="133">
                  <v>6701.046</v>
                </pt>
                <pt idx="134">
                  <v>6693.082</v>
                </pt>
                <pt idx="135">
                  <v>6817.903</v>
                </pt>
                <pt idx="136">
                  <v>6951.495</v>
                </pt>
                <pt idx="137">
                  <v>6899.98</v>
                </pt>
                <pt idx="138">
                  <v>6982.609</v>
                </pt>
                <pt idx="139">
                  <v>6906.529</v>
                </pt>
                <pt idx="140">
                  <v>6799.233</v>
                </pt>
                <pt idx="141">
                  <v>6830.251</v>
                </pt>
                <pt idx="142">
                  <v>6804.139</v>
                </pt>
                <pt idx="143">
                  <v>6806.857</v>
                </pt>
                <pt idx="144">
                  <v>6896.561</v>
                </pt>
                <pt idx="145">
                  <v>7053.5</v>
                </pt>
                <pt idx="146">
                  <v>7194.504</v>
                </pt>
                <pt idx="147">
                  <v>7344.597</v>
                </pt>
                <pt idx="148">
                  <v>7488.167</v>
                </pt>
                <pt idx="149">
                  <v>7617.547</v>
                </pt>
                <pt idx="150">
                  <v>7690.985</v>
                </pt>
                <pt idx="151">
                  <v>7754.117</v>
                </pt>
                <pt idx="152">
                  <v>7829.26</v>
                </pt>
                <pt idx="153">
                  <v>7898.194</v>
                </pt>
                <pt idx="154">
                  <v>8018.809</v>
                </pt>
                <pt idx="155">
                  <v>8078.415</v>
                </pt>
                <pt idx="156">
                  <v>8153.829</v>
                </pt>
                <pt idx="157">
                  <v>8190.552</v>
                </pt>
                <pt idx="158">
                  <v>8268.934999999999</v>
                </pt>
                <pt idx="159">
                  <v>8313.338</v>
                </pt>
                <pt idx="160">
                  <v>8375.273999999999</v>
                </pt>
                <pt idx="161">
                  <v>8465.629999999999</v>
                </pt>
                <pt idx="162">
                  <v>8539.075000000001</v>
                </pt>
                <pt idx="163">
                  <v>8685.694</v>
                </pt>
                <pt idx="164">
                  <v>8730.569</v>
                </pt>
                <pt idx="165">
                  <v>8845.280000000001</v>
                </pt>
                <pt idx="166">
                  <v>8897.107</v>
                </pt>
                <pt idx="167">
                  <v>9015.661</v>
                </pt>
                <pt idx="168">
                  <v>9107.314</v>
                </pt>
                <pt idx="169">
                  <v>9176.826999999999</v>
                </pt>
                <pt idx="170">
                  <v>9244.816000000001</v>
                </pt>
                <pt idx="171">
                  <v>9263.032999999999</v>
                </pt>
                <pt idx="172">
                  <v>9364.259</v>
                </pt>
                <pt idx="173">
                  <v>9398.243</v>
                </pt>
                <pt idx="174">
                  <v>9404.494000000001</v>
                </pt>
                <pt idx="175">
                  <v>9318.876</v>
                </pt>
                <pt idx="176">
                  <v>9275.276</v>
                </pt>
                <pt idx="177">
                  <v>9347.597</v>
                </pt>
                <pt idx="178">
                  <v>9394.834000000001</v>
                </pt>
                <pt idx="179">
                  <v>9427.581</v>
                </pt>
                <pt idx="180">
                  <v>9540.444</v>
                </pt>
                <pt idx="181">
                  <v>9643.893</v>
                </pt>
                <pt idx="182">
                  <v>9739.184999999999</v>
                </pt>
                <pt idx="183">
                  <v>9840.753000000001</v>
                </pt>
                <pt idx="184">
                  <v>9857.184999999999</v>
                </pt>
                <pt idx="185">
                  <v>9914.565000000001</v>
                </pt>
                <pt idx="186">
                  <v>9961.873</v>
                </pt>
                <pt idx="187">
                  <v>10097.362</v>
                </pt>
                <pt idx="188">
                  <v>10195.338</v>
                </pt>
                <pt idx="189">
                  <v>10333.495</v>
                </pt>
                <pt idx="190">
                  <v>10393.898</v>
                </pt>
                <pt idx="191">
                  <v>10512.962</v>
                </pt>
                <pt idx="192">
                  <v>10550.251</v>
                </pt>
                <pt idx="193">
                  <v>10581.723</v>
                </pt>
                <pt idx="194">
                  <v>10671.738</v>
                </pt>
                <pt idx="195">
                  <v>10744.203</v>
                </pt>
                <pt idx="196">
                  <v>10824.674</v>
                </pt>
                <pt idx="197">
                  <v>11005.217</v>
                </pt>
                <pt idx="198">
                  <v>11103.935</v>
                </pt>
                <pt idx="199">
                  <v>11219.238</v>
                </pt>
                <pt idx="200">
                  <v>11291.665</v>
                </pt>
                <pt idx="201">
                  <v>11479.33</v>
                </pt>
                <pt idx="202">
                  <v>11622.911</v>
                </pt>
                <pt idx="203">
                  <v>11722.722</v>
                </pt>
                <pt idx="204">
                  <v>11839.876</v>
                </pt>
                <pt idx="205">
                  <v>11949.492</v>
                </pt>
                <pt idx="206">
                  <v>12099.191</v>
                </pt>
                <pt idx="207">
                  <v>12294.737</v>
                </pt>
                <pt idx="208">
                  <v>12410.778</v>
                </pt>
                <pt idx="209">
                  <v>12514.408</v>
                </pt>
                <pt idx="210">
                  <v>12679.977</v>
                </pt>
                <pt idx="211">
                  <v>12888.281</v>
                </pt>
                <pt idx="212">
                  <v>12935.252</v>
                </pt>
                <pt idx="213">
                  <v>13170.749</v>
                </pt>
                <pt idx="214">
                  <v>13183.89</v>
                </pt>
                <pt idx="215">
                  <v>13262.25</v>
                </pt>
                <pt idx="216">
                  <v>13219.251</v>
                </pt>
                <pt idx="217">
                  <v>13301.394</v>
                </pt>
                <pt idx="218">
                  <v>13248.142</v>
                </pt>
                <pt idx="219">
                  <v>13284.881</v>
                </pt>
                <pt idx="220">
                  <v>13394.91</v>
                </pt>
                <pt idx="221">
                  <v>13477.356</v>
                </pt>
                <pt idx="222">
                  <v>13531.741</v>
                </pt>
                <pt idx="223">
                  <v>13549.421</v>
                </pt>
                <pt idx="224">
                  <v>13619.434</v>
                </pt>
                <pt idx="225">
                  <v>13741.107</v>
                </pt>
                <pt idx="226">
                  <v>13970.157</v>
                </pt>
                <pt idx="227">
                  <v>14131.379</v>
                </pt>
                <pt idx="228">
                  <v>14212.34</v>
                </pt>
                <pt idx="229">
                  <v>14323.017</v>
                </pt>
                <pt idx="230">
                  <v>14457.832</v>
                </pt>
                <pt idx="231">
                  <v>14605.595</v>
                </pt>
                <pt idx="232">
                  <v>14767.846</v>
                </pt>
                <pt idx="233">
                  <v>14839.707</v>
                </pt>
                <pt idx="234">
                  <v>14956.291</v>
                </pt>
                <pt idx="235">
                  <v>15041.232</v>
                </pt>
                <pt idx="236">
                  <v>15244.088</v>
                </pt>
                <pt idx="237">
                  <v>15281.525</v>
                </pt>
                <pt idx="238">
                  <v>15304.517</v>
                </pt>
                <pt idx="239">
                  <v>15433.643</v>
                </pt>
                <pt idx="240">
                  <v>15478.956</v>
                </pt>
                <pt idx="241">
                  <v>15577.779</v>
                </pt>
                <pt idx="242">
                  <v>15671.605</v>
                </pt>
                <pt idx="243">
                  <v>15767.146</v>
                </pt>
                <pt idx="244">
                  <v>15702.906</v>
                </pt>
                <pt idx="245">
                  <v>15792.773</v>
                </pt>
                <pt idx="246">
                  <v>15709.562</v>
                </pt>
                <pt idx="247">
                  <v>15366.607</v>
                </pt>
                <pt idx="248">
                  <v>15187.475</v>
                </pt>
                <pt idx="249">
                  <v>15161.772</v>
                </pt>
                <pt idx="250">
                  <v>15216.647</v>
                </pt>
                <pt idx="251">
                  <v>15379.155</v>
                </pt>
                <pt idx="252">
                  <v>15456.059</v>
                </pt>
                <pt idx="253">
                  <v>15605.628</v>
                </pt>
                <pt idx="254">
                  <v>15726.282</v>
                </pt>
                <pt idx="255">
                  <v>15807.995</v>
                </pt>
                <pt idx="256">
                  <v>15769.911</v>
                </pt>
                <pt idx="257">
                  <v>15876.839</v>
                </pt>
                <pt idx="258">
                  <v>15870.684</v>
                </pt>
                <pt idx="259">
                  <v>16048.702</v>
                </pt>
                <pt idx="260">
                  <v>16179.968</v>
                </pt>
                <pt idx="261">
                  <v>16253.726</v>
                </pt>
                <pt idx="262">
                  <v>16282.151</v>
                </pt>
                <pt idx="263">
                  <v>16300.035</v>
                </pt>
                <pt idx="264">
                  <v>16441.485</v>
                </pt>
                <pt idx="265">
                  <v>16464.402</v>
                </pt>
                <pt idx="266">
                  <v>16594.743</v>
                </pt>
                <pt idx="267">
                  <v>16712.76</v>
                </pt>
                <pt idx="268">
                  <v>16654.247</v>
                </pt>
                <pt idx="269">
                  <v>16868.109</v>
                </pt>
                <pt idx="270">
                  <v>17064.616</v>
                </pt>
                <pt idx="271">
                  <v>17141.235</v>
                </pt>
                <pt idx="272">
                  <v>17280.647</v>
                </pt>
                <pt idx="273">
                  <v>17380.875</v>
                </pt>
                <pt idx="274">
                  <v>17437.08</v>
                </pt>
                <pt idx="275">
                  <v>17462.579</v>
                </pt>
                <pt idx="276">
                  <v>17565.465</v>
                </pt>
                <pt idx="277">
                  <v>17618.581</v>
                </pt>
                <pt idx="278">
                  <v>17724.489</v>
                </pt>
                <pt idx="279">
                  <v>17812.56</v>
                </pt>
                <pt idx="280">
                  <v>17896.623</v>
                </pt>
                <pt idx="281">
                  <v>17996.802</v>
                </pt>
                <pt idx="282">
                  <v>18126.226</v>
                </pt>
                <pt idx="283">
                  <v>18296.685</v>
                </pt>
                <pt idx="284">
                  <v>18436.262</v>
                </pt>
                <pt idx="285">
                  <v>18590.004</v>
                </pt>
                <pt idx="286">
                  <v>18679.599</v>
                </pt>
                <pt idx="287">
                  <v>18721.281</v>
                </pt>
                <pt idx="288">
                  <v>18833.195</v>
                </pt>
                <pt idx="289">
                  <v>18982.528</v>
                </pt>
                <pt idx="290">
                  <v>19112.653</v>
                </pt>
                <pt idx="291">
                  <v>19202.31</v>
                </pt>
                <pt idx="292">
                  <v>18951.992</v>
                </pt>
                <pt idx="293">
                  <v>17258.205</v>
                </pt>
                <pt idx="294">
                  <v>18560.774</v>
                </pt>
                <pt idx="295">
                  <v>18767.778</v>
                </pt>
                <pt idx="296">
                  <v>19055.655</v>
                </pt>
                <pt idx="297">
                  <v>19368.31</v>
                </pt>
                <pt idx="298">
                  <v>19465.195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2949872"/>
        <axId val="412418352"/>
      </lineChart>
      <dateAx>
        <axId val="41294987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418352"/>
        <crosses val="autoZero"/>
        <lblOffset val="100"/>
        <baseTimeUnit val="months"/>
      </dateAx>
      <valAx>
        <axId val="412418352"/>
        <scaling>
          <orientation val="minMax"/>
          <max val="2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29498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'U.S. GDP'!$C$5</f>
              <strCache>
                <ptCount val="1"/>
                <pt idx="0">
                  <v>GDP q/q %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GDP'!$C$6:$C$305</f>
              <numCache>
                <formatCode>0.00%</formatCode>
                <ptCount val="300"/>
                <pt idx="1">
                  <v>-0.002667059893337343</v>
                </pt>
                <pt idx="2">
                  <v>-0.002065032251959478</v>
                </pt>
                <pt idx="3">
                  <v>0.01564276380187203</v>
                </pt>
                <pt idx="4">
                  <v>0.01504200324044458</v>
                </pt>
                <pt idx="5">
                  <v>0.01650680593760204</v>
                </pt>
                <pt idx="6">
                  <v>0.0057293019130506</v>
                </pt>
                <pt idx="7">
                  <v>0.001117121575066453</v>
                </pt>
                <pt idx="8">
                  <v>-0.01377946490423314</v>
                </pt>
                <pt idx="9">
                  <v>-0.003411009297100643</v>
                </pt>
                <pt idx="10">
                  <v>0.010324247766707</v>
                </pt>
                <pt idx="11">
                  <v>-0.008392674404299159</v>
                </pt>
                <pt idx="12">
                  <v>0.03930097999323078</v>
                </pt>
                <pt idx="13">
                  <v>0.03049810987643888</v>
                </pt>
                <pt idx="14">
                  <v>0.03864414603347914</v>
                </pt>
                <pt idx="15">
                  <v>0.01914780147275002</v>
                </pt>
                <pt idx="16">
                  <v>0.01358158764235281</v>
                </pt>
                <pt idx="17">
                  <v>0.01732710437341317</v>
                </pt>
                <pt idx="18">
                  <v>0.02060998797981137</v>
                </pt>
                <pt idx="19">
                  <v>0.002202495736847894</v>
                </pt>
                <pt idx="20">
                  <v>0.01068534408732109</v>
                </pt>
                <pt idx="21">
                  <v>0.002153966941563661</v>
                </pt>
                <pt idx="22">
                  <v>0.007218492151150547</v>
                </pt>
                <pt idx="23">
                  <v>0.03284215711222217</v>
                </pt>
                <pt idx="24">
                  <v>0.01858867482307595</v>
                </pt>
                <pt idx="25">
                  <v>0.007729380201274192</v>
                </pt>
                <pt idx="26">
                  <v>-0.005626770311766005</v>
                </pt>
                <pt idx="27">
                  <v>-0.01513940629692239</v>
                </pt>
                <pt idx="28">
                  <v>-0.004780238876824148</v>
                </pt>
                <pt idx="29">
                  <v>0.001089921955553936</v>
                </pt>
                <pt idx="30">
                  <v>0.01129346276600556</v>
                </pt>
                <pt idx="31">
                  <v>0.01956688076518173</v>
                </pt>
                <pt idx="32">
                  <v>0.0285623465450719</v>
                </pt>
                <pt idx="33">
                  <v>0.016272049572063</v>
                </pt>
                <pt idx="34">
                  <v>0.01350464287636728</v>
                </pt>
                <pt idx="35">
                  <v>0.006003287374921507</v>
                </pt>
                <pt idx="36">
                  <v>-0.003883804681889066</v>
                </pt>
                <pt idx="37">
                  <v>0.0082631942666304</v>
                </pt>
                <pt idx="38">
                  <v>-0.0008983959263615927</v>
                </pt>
                <pt idx="39">
                  <v>0.01645864038477166</v>
                </pt>
                <pt idx="40">
                  <v>0.006402911526551642</v>
                </pt>
                <pt idx="41">
                  <v>-0.002190859240967446</v>
                </pt>
                <pt idx="42">
                  <v>0.009800184021214903</v>
                </pt>
                <pt idx="43">
                  <v>-0.01034279655244525</v>
                </pt>
                <pt idx="44">
                  <v>-0.02595440044879475</v>
                </pt>
                <pt idx="45">
                  <v>0.006572267260281944</v>
                </pt>
                <pt idx="46">
                  <v>0.02313217041089436</v>
                </pt>
                <pt idx="47">
                  <v>0.02338109559842837</v>
                </pt>
                <pt idx="48">
                  <v>0.0191955280360675</v>
                </pt>
                <pt idx="49">
                  <v>0.02255169530643302</v>
                </pt>
                <pt idx="50">
                  <v>0.0007056034114390727</v>
                </pt>
                <pt idx="51">
                  <v>0.002848890553113953</v>
                </pt>
                <pt idx="52">
                  <v>0.02247714291953005</v>
                </pt>
                <pt idx="53">
                  <v>-0.005390733612642711</v>
                </pt>
                <pt idx="54">
                  <v>0.004894212798875544</v>
                </pt>
                <pt idx="55">
                  <v>-0.01283403329474103</v>
                </pt>
                <pt idx="56">
                  <v>0.006749045402922131</v>
                </pt>
                <pt idx="57">
                  <v>0.01697434268841248</v>
                </pt>
                <pt idx="58">
                  <v>0.01919586999321395</v>
                </pt>
                <pt idx="59">
                  <v>0.01961098063200084</v>
                </pt>
                <pt idx="60">
                  <v>0.01783648810610167</v>
                </pt>
                <pt idx="61">
                  <v>0.009036638230099307</v>
                </pt>
                <pt idx="62">
                  <v>0.01228513047875363</v>
                </pt>
                <pt idx="63">
                  <v>0.003289015760775699</v>
                </pt>
                <pt idx="64">
                  <v>0.01091574332261203</v>
                </pt>
                <pt idx="65">
                  <v>0.01122121452821232</v>
                </pt>
                <pt idx="66">
                  <v>0.02198434459337918</v>
                </pt>
                <pt idx="67">
                  <v>0.006556024365806074</v>
                </pt>
                <pt idx="68">
                  <v>0.0210825209895227</v>
                </pt>
                <pt idx="69">
                  <v>0.01088733689947807</v>
                </pt>
                <pt idx="70">
                  <v>0.01562300666385509</v>
                </pt>
                <pt idx="71">
                  <v>0.003088718582379014</v>
                </pt>
                <pt idx="72">
                  <v>0.02419751879498433</v>
                </pt>
                <pt idx="73">
                  <v>0.01263298248548859</v>
                </pt>
                <pt idx="74">
                  <v>0.02223252281739749</v>
                </pt>
                <pt idx="75">
                  <v>0.02304040465974701</v>
                </pt>
                <pt idx="76">
                  <v>0.0243422875900957</v>
                </pt>
                <pt idx="77">
                  <v>0.003416019619377923</v>
                </pt>
                <pt idx="78">
                  <v>0.008469050515743695</v>
                </pt>
                <pt idx="79">
                  <v>0.008204071085663924</v>
                </pt>
                <pt idx="80">
                  <v>0.008855525867702769</v>
                </pt>
                <pt idx="81">
                  <v>0.0006129781262435619</v>
                </pt>
                <pt idx="82">
                  <v>0.009461209174505944</v>
                </pt>
                <pt idx="83">
                  <v>0.007540171273531089</v>
                </pt>
                <pt idx="84">
                  <v>0.02039507128672915</v>
                </pt>
                <pt idx="85">
                  <v>0.01670799550096719</v>
                </pt>
                <pt idx="86">
                  <v>0.007749556634537891</v>
                </pt>
                <pt idx="87">
                  <v>0.003933200411191717</v>
                </pt>
                <pt idx="88">
                  <v>0.01565115509134396</v>
                </pt>
                <pt idx="89">
                  <v>0.003039953206492568</v>
                </pt>
                <pt idx="90">
                  <v>0.006605142052771502</v>
                </pt>
                <pt idx="91">
                  <v>-0.004876945875254361</v>
                </pt>
                <pt idx="92">
                  <v>-0.001484707012425907</v>
                </pt>
                <pt idx="93">
                  <v>0.001419300010385208</v>
                </pt>
                <pt idx="94">
                  <v>0.009215508301376359</v>
                </pt>
                <pt idx="95">
                  <v>-0.01071638106008845</v>
                </pt>
                <pt idx="96">
                  <v>0.02715992789424762</v>
                </pt>
                <pt idx="97">
                  <v>0.005411200797319773</v>
                </pt>
                <pt idx="98">
                  <v>0.008229670850417514</v>
                </pt>
                <pt idx="99">
                  <v>0.002357838388214737</v>
                </pt>
                <pt idx="100">
                  <v>0.01838958884262785</v>
                </pt>
                <pt idx="101">
                  <v>0.02269772354108704</v>
                </pt>
                <pt idx="102">
                  <v>0.009443818880000693</v>
                </pt>
                <pt idx="103">
                  <v>0.01674458737699258</v>
                </pt>
                <pt idx="104">
                  <v>0.02474806376709953</v>
                </pt>
                <pt idx="105">
                  <v>0.01088662529669947</v>
                </pt>
                <pt idx="106">
                  <v>-0.005258985362896589</v>
                </pt>
                <pt idx="107">
                  <v>0.009492160434313687</v>
                </pt>
                <pt idx="108">
                  <v>-0.008597725743732246</v>
                </pt>
                <pt idx="109">
                  <v>0.002376832273531812</v>
                </pt>
                <pt idx="110">
                  <v>-0.009451427782885907</v>
                </pt>
                <pt idx="111">
                  <v>-0.003881407827863123</v>
                </pt>
                <pt idx="112">
                  <v>-0.01217285875797099</v>
                </pt>
                <pt idx="113">
                  <v>0.007145362161192387</v>
                </pt>
                <pt idx="114">
                  <v>0.0171165196725963</v>
                </pt>
                <pt idx="115">
                  <v>0.01346524151995556</v>
                </pt>
                <pt idx="116">
                  <v>0.02248760120513595</v>
                </pt>
                <pt idx="117">
                  <v>0.00733700576725076</v>
                </pt>
                <pt idx="118">
                  <v>0.005487057642404611</v>
                </pt>
                <pt idx="119">
                  <v>0.007248509780973248</v>
                </pt>
                <pt idx="120">
                  <v>0.01181483598110289</v>
                </pt>
                <pt idx="121">
                  <v>0.01944113077722606</v>
                </pt>
                <pt idx="122">
                  <v>0.01804355898961884</v>
                </pt>
                <pt idx="123">
                  <v>2.185771923568307e-05</v>
                </pt>
                <pt idx="124">
                  <v>0.003191632414415807</v>
                </pt>
                <pt idx="125">
                  <v>0.03864270187727897</v>
                </pt>
                <pt idx="126">
                  <v>0.010055171271113</v>
                </pt>
                <pt idx="127">
                  <v>0.01344143063836532</v>
                </pt>
                <pt idx="128">
                  <v>0.001797872875968448</v>
                </pt>
                <pt idx="129">
                  <v>0.001069198313236971</v>
                </pt>
                <pt idx="130">
                  <v>0.007428714679400205</v>
                </pt>
                <pt idx="131">
                  <v>0.002500750342688359</v>
                </pt>
                <pt idx="132">
                  <v>0.003145190755262202</v>
                </pt>
                <pt idx="133">
                  <v>-0.02060472164377091</v>
                </pt>
                <pt idx="134">
                  <v>-0.001188471173007907</v>
                </pt>
                <pt idx="135">
                  <v>0.01864925605274221</v>
                </pt>
                <pt idx="136">
                  <v>0.01959429460935417</v>
                </pt>
                <pt idx="137">
                  <v>-0.00741063612935064</v>
                </pt>
                <pt idx="138">
                  <v>0.01197525210218013</v>
                </pt>
                <pt idx="139">
                  <v>-0.010895640870053</v>
                </pt>
                <pt idx="140">
                  <v>-0.01553544479433885</v>
                </pt>
                <pt idx="141">
                  <v>0.004561985153325386</v>
                </pt>
                <pt idx="142">
                  <v>-0.00382299274214082</v>
                </pt>
                <pt idx="143">
                  <v>0.0003994627387829448</v>
                </pt>
                <pt idx="144">
                  <v>0.01317847576348375</v>
                </pt>
                <pt idx="145">
                  <v>0.02275612439301274</v>
                </pt>
                <pt idx="146">
                  <v>0.01999064294321967</v>
                </pt>
                <pt idx="147">
                  <v>0.02086217479342563</v>
                </pt>
                <pt idx="148">
                  <v>0.01954770288962085</v>
                </pt>
                <pt idx="149">
                  <v>0.01727792662743756</v>
                </pt>
                <pt idx="150">
                  <v>0.00964063628357004</v>
                </pt>
                <pt idx="151">
                  <v>0.008208571463863279</v>
                </pt>
                <pt idx="152">
                  <v>0.00969072300559819</v>
                </pt>
                <pt idx="153">
                  <v>0.008804663531419342</v>
                </pt>
                <pt idx="154">
                  <v>0.01527121263417938</v>
                </pt>
                <pt idx="155">
                  <v>0.007433273444971662</v>
                </pt>
                <pt idx="156">
                  <v>0.009335247075075961</v>
                </pt>
                <pt idx="157">
                  <v>0.004503773625863378</v>
                </pt>
                <pt idx="158">
                  <v>0.009569928864379325</v>
                </pt>
                <pt idx="159">
                  <v>0.005369857182333668</v>
                </pt>
                <pt idx="160">
                  <v>0.007450196299007655</v>
                </pt>
                <pt idx="161">
                  <v>0.01078842316084223</v>
                </pt>
                <pt idx="162">
                  <v>0.008675668556268291</v>
                </pt>
                <pt idx="163">
                  <v>0.01717036095830037</v>
                </pt>
                <pt idx="164">
                  <v>0.005166541671857194</v>
                </pt>
                <pt idx="165">
                  <v>0.01313900617474086</v>
                </pt>
                <pt idx="166">
                  <v>0.005859283143099971</v>
                </pt>
                <pt idx="167">
                  <v>0.01332500553269732</v>
                </pt>
                <pt idx="168">
                  <v>0.01016597673759032</v>
                </pt>
                <pt idx="169">
                  <v>0.007632656565920425</v>
                </pt>
                <pt idx="170">
                  <v>0.007408769937583154</v>
                </pt>
                <pt idx="171">
                  <v>0.001970509742973655</v>
                </pt>
                <pt idx="172">
                  <v>0.01092795415929108</v>
                </pt>
                <pt idx="173">
                  <v>0.003629117904577434</v>
                </pt>
                <pt idx="174">
                  <v>0.0006651243216418434</v>
                </pt>
                <pt idx="175">
                  <v>-0.009103945411629843</v>
                </pt>
                <pt idx="176">
                  <v>-0.004678675840305243</v>
                </pt>
                <pt idx="177">
                  <v>0.007797180375009856</v>
                </pt>
                <pt idx="178">
                  <v>0.005053384308288108</v>
                </pt>
                <pt idx="179">
                  <v>0.003485639022466963</v>
                </pt>
                <pt idx="180">
                  <v>0.0119715757414335</v>
                </pt>
                <pt idx="181">
                  <v>0.0108432060394674</v>
                </pt>
                <pt idx="182">
                  <v>0.009881071886633277</v>
                </pt>
                <pt idx="183">
                  <v>0.01042879871365018</v>
                </pt>
                <pt idx="184">
                  <v>0.001669790919454932</v>
                </pt>
                <pt idx="185">
                  <v>0.005821134532830724</v>
                </pt>
                <pt idx="186">
                  <v>0.004771565873036193</v>
                </pt>
                <pt idx="187">
                  <v>0.01360075560087943</v>
                </pt>
                <pt idx="188">
                  <v>0.009703128401259713</v>
                </pt>
                <pt idx="189">
                  <v>0.01355099752455496</v>
                </pt>
                <pt idx="190">
                  <v>0.005845360161300549</v>
                </pt>
                <pt idx="191">
                  <v>0.01145518264658748</v>
                </pt>
                <pt idx="192">
                  <v>0.003546954702204828</v>
                </pt>
                <pt idx="193">
                  <v>0.002983056990776784</v>
                </pt>
                <pt idx="194">
                  <v>0.008506648680937822</v>
                </pt>
                <pt idx="195">
                  <v>0.006790365355671227</v>
                </pt>
                <pt idx="196">
                  <v>0.007489713290041279</v>
                </pt>
                <pt idx="197">
                  <v>0.0166788394735952</v>
                </pt>
                <pt idx="198">
                  <v>0.008970109358134323</v>
                </pt>
                <pt idx="199">
                  <v>0.01038397649121684</v>
                </pt>
                <pt idx="200">
                  <v>0.006455607769440447</v>
                </pt>
                <pt idx="201">
                  <v>0.01661978105089011</v>
                </pt>
                <pt idx="202">
                  <v>0.01250778573313949</v>
                </pt>
                <pt idx="203">
                  <v>0.008587435626066455</v>
                </pt>
                <pt idx="204">
                  <v>0.009993754010374081</v>
                </pt>
                <pt idx="205">
                  <v>0.009258205069039573</v>
                </pt>
                <pt idx="206">
                  <v>0.01252764552668854</v>
                </pt>
                <pt idx="207">
                  <v>0.01616190702337028</v>
                </pt>
                <pt idx="208">
                  <v>0.009438266145912767</v>
                </pt>
                <pt idx="209">
                  <v>0.008350000298127901</v>
                </pt>
                <pt idx="210">
                  <v>0.01323027026128614</v>
                </pt>
                <pt idx="211">
                  <v>0.01642779005040782</v>
                </pt>
                <pt idx="212">
                  <v>0.003644473611337272</v>
                </pt>
                <pt idx="213">
                  <v>0.01820583008355766</v>
                </pt>
                <pt idx="214">
                  <v>0.0009977412825952132</v>
                </pt>
                <pt idx="215">
                  <v>0.005943617551420755</v>
                </pt>
                <pt idx="216">
                  <v>-0.003242210032234334</v>
                </pt>
                <pt idx="217">
                  <v>0.00621389214865502</v>
                </pt>
                <pt idx="218">
                  <v>-0.004003490160505012</v>
                </pt>
                <pt idx="219">
                  <v>0.002773143584964562</v>
                </pt>
                <pt idx="220">
                  <v>0.00828227215584396</v>
                </pt>
                <pt idx="221">
                  <v>0.006155024557835768</v>
                </pt>
                <pt idx="222">
                  <v>0.004035287039980262</v>
                </pt>
                <pt idx="223">
                  <v>0.001306557670590968</v>
                </pt>
                <pt idx="224">
                  <v>0.005167231869169835</v>
                </pt>
                <pt idx="225">
                  <v>0.008933778011626672</v>
                </pt>
                <pt idx="226">
                  <v>0.01666896269711016</v>
                </pt>
                <pt idx="227">
                  <v>0.01154045727617818</v>
                </pt>
                <pt idx="228">
                  <v>0.005729164860697553</v>
                </pt>
                <pt idx="229">
                  <v>0.00778738758008883</v>
                </pt>
                <pt idx="230">
                  <v>0.009412472246594451</v>
                </pt>
                <pt idx="231">
                  <v>0.01022027368972049</v>
                </pt>
                <pt idx="232">
                  <v>0.01110882507696538</v>
                </pt>
                <pt idx="233">
                  <v>0.004866044784053191</v>
                </pt>
                <pt idx="234">
                  <v>0.007856219802722447</v>
                </pt>
                <pt idx="235">
                  <v>0.005679282383580309</v>
                </pt>
                <pt idx="236">
                  <v>0.01348666119902943</v>
                </pt>
                <pt idx="237">
                  <v>0.00245583730558364</v>
                </pt>
                <pt idx="238">
                  <v>0.001504561881094995</v>
                </pt>
                <pt idx="239">
                  <v>0.008437116963573578</v>
                </pt>
                <pt idx="240">
                  <v>0.002935988606189744</v>
                </pt>
                <pt idx="241">
                  <v>0.00638434530080713</v>
                </pt>
                <pt idx="242">
                  <v>0.006023066574509698</v>
                </pt>
                <pt idx="243">
                  <v>0.006096440026404512</v>
                </pt>
                <pt idx="244">
                  <v>-0.004074294739200093</v>
                </pt>
                <pt idx="245">
                  <v>0.005722953445686955</v>
                </pt>
                <pt idx="246">
                  <v>-0.005268929022154585</v>
                </pt>
                <pt idx="247">
                  <v>-0.02183097148093626</v>
                </pt>
                <pt idx="248">
                  <v>-0.01165722530679672</v>
                </pt>
                <pt idx="249">
                  <v>-0.001692381386635996</v>
                </pt>
                <pt idx="250">
                  <v>0.00361929990768889</v>
                </pt>
                <pt idx="251">
                  <v>0.01067961949830339</v>
                </pt>
                <pt idx="252">
                  <v>0.00500053481481906</v>
                </pt>
                <pt idx="253">
                  <v>0.009677046393262431</v>
                </pt>
                <pt idx="254">
                  <v>0.007731441503026897</v>
                </pt>
                <pt idx="255">
                  <v>0.005195951592372664</v>
                </pt>
                <pt idx="256">
                  <v>-0.002409160681035181</v>
                </pt>
                <pt idx="257">
                  <v>0.006780507512058875</v>
                </pt>
                <pt idx="258">
                  <v>-0.0003876716265750793</v>
                </pt>
                <pt idx="259">
                  <v>0.01121678183498582</v>
                </pt>
                <pt idx="260">
                  <v>0.008179228450998806</v>
                </pt>
                <pt idx="261">
                  <v>0.004558599868677108</v>
                </pt>
                <pt idx="262">
                  <v>0.001748829776015621</v>
                </pt>
                <pt idx="263">
                  <v>0.001098380674641822</v>
                </pt>
                <pt idx="264">
                  <v>0.008677895476911597</v>
                </pt>
                <pt idx="265">
                  <v>0.001393852197657185</v>
                </pt>
                <pt idx="266">
                  <v>0.007916534107950009</v>
                </pt>
                <pt idx="267">
                  <v>0.007111710015635665</v>
                </pt>
                <pt idx="268">
                  <v>-0.003501097365126946</v>
                </pt>
                <pt idx="269">
                  <v>0.01284128907179058</v>
                </pt>
                <pt idx="270">
                  <v>0.01164961644485469</v>
                </pt>
                <pt idx="271">
                  <v>0.004489934024885105</v>
                </pt>
                <pt idx="272">
                  <v>0.008133136264685727</v>
                </pt>
                <pt idx="273">
                  <v>0.005800014316593537</v>
                </pt>
                <pt idx="274">
                  <v>0.003233726725495796</v>
                </pt>
                <pt idx="275">
                  <v>0.001462343465763751</v>
                </pt>
                <pt idx="276">
                  <v>0.005891798685635071</v>
                </pt>
                <pt idx="277">
                  <v>0.003023888066726282</v>
                </pt>
                <pt idx="278">
                  <v>0.006011153792692107</v>
                </pt>
                <pt idx="279">
                  <v>0.004968887960606363</v>
                </pt>
                <pt idx="280">
                  <v>0.004719310419164807</v>
                </pt>
                <pt idx="281">
                  <v>0.005597648226707356</v>
                </pt>
                <pt idx="282">
                  <v>0.007191499912039876</v>
                </pt>
                <pt idx="283">
                  <v>0.009403998383337081</v>
                </pt>
                <pt idx="284">
                  <v>0.007628540361272956</v>
                </pt>
                <pt idx="285">
                  <v>0.008339109088382559</v>
                </pt>
                <pt idx="286">
                  <v>0.004819525590204151</v>
                </pt>
                <pt idx="287">
                  <v>0.002231418351111322</v>
                </pt>
                <pt idx="288">
                  <v>0.005977902900982079</v>
                </pt>
                <pt idx="289">
                  <v>0.007929244082058234</v>
                </pt>
                <pt idx="290">
                  <v>0.006854987913095664</v>
                </pt>
                <pt idx="291">
                  <v>0.004690976182113644</v>
                </pt>
                <pt idx="292">
                  <v>-0.01303582746034216</v>
                </pt>
                <pt idx="293">
                  <v>-0.08937250501161022</v>
                </pt>
                <pt idx="294">
                  <v>0.07547534636423657</v>
                </pt>
                <pt idx="295">
                  <v>0.01115276765936578</v>
                </pt>
                <pt idx="296">
                  <v>0.01533889627211066</v>
                </pt>
                <pt idx="297">
                  <v>0.01640746539544311</v>
                </pt>
                <pt idx="298">
                  <v>0.005002243355253937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732303"/>
        <axId val="656733951"/>
      </barChart>
      <dateAx>
        <axId val="656732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3951"/>
        <crosses val="autoZero"/>
        <lblOffset val="100"/>
        <baseTimeUnit val="months"/>
      </dateAx>
      <valAx>
        <axId val="656733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32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'U.S. GDP'!$D$5</f>
              <strCache>
                <ptCount val="1"/>
                <pt idx="0">
                  <v>GDP y/y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GDP'!$D$6:$D$305</f>
              <numCache>
                <formatCode>0.00%</formatCode>
                <ptCount val="300"/>
                <pt idx="4">
                  <v>0.02604733466047333</v>
                </pt>
                <pt idx="5">
                  <v>0.04577323875912755</v>
                </pt>
                <pt idx="6">
                  <v>0.05394121197095662</v>
                </pt>
                <pt idx="7">
                  <v>0.03886782837703537</v>
                </pt>
                <pt idx="8">
                  <v>0.009369841174030318</v>
                </pt>
                <pt idx="9">
                  <v>-0.01040812969891594</v>
                </pt>
                <pt idx="10">
                  <v>-0.005886912058540217</v>
                </pt>
                <pt idx="11">
                  <v>-0.01533017543202709</v>
                </pt>
                <pt idx="12">
                  <v>0.03766680699249766</v>
                </pt>
                <pt idx="13">
                  <v>0.0729736062336951</v>
                </pt>
                <pt idx="14">
                  <v>0.1030495976182812</v>
                </pt>
                <pt idx="15">
                  <v>0.1336852232840611</v>
                </pt>
                <pt idx="16">
                  <v>0.1056301212286148</v>
                </pt>
                <pt idx="17">
                  <v>0.09149883823891659</v>
                </pt>
                <pt idx="18">
                  <v>0.07254695501753763</v>
                </pt>
                <pt idx="19">
                  <v>0.05471378494876131</v>
                </pt>
                <pt idx="20">
                  <v>0.05170000881144375</v>
                </pt>
                <pt idx="21">
                  <v>0.03601420952213661</v>
                </pt>
                <pt idx="22">
                  <v>0.02242059381324991</v>
                </pt>
                <pt idx="23">
                  <v>0.05367836947326245</v>
                </pt>
                <pt idx="24">
                  <v>0.06191789594089729</v>
                </pt>
                <pt idx="25">
                  <v>0.0678258016251124</v>
                </pt>
                <pt idx="26">
                  <v>0.05420760180706296</v>
                </pt>
                <pt idx="27">
                  <v>0.005233488440182029</v>
                </pt>
                <pt idx="28">
                  <v>-0.01782902464311772</v>
                </pt>
                <pt idx="29">
                  <v>-0.02430009049587464</v>
                </pt>
                <pt idx="30">
                  <v>-0.007697602225000209</v>
                </pt>
                <pt idx="31">
                  <v>0.0272709324993938</v>
                </pt>
                <pt idx="32">
                  <v>0.06168731987059731</v>
                </pt>
                <pt idx="33">
                  <v>0.07778844328178726</v>
                </pt>
                <pt idx="34">
                  <v>0.08014501380924238</v>
                </pt>
                <pt idx="35">
                  <v>0.06577553197708409</v>
                </pt>
                <pt idx="36">
                  <v>0.03215548531615189</v>
                </pt>
                <pt idx="37">
                  <v>0.02402145866641133</v>
                </pt>
                <pt idx="38">
                  <v>0.009468964104431793</v>
                </pt>
                <pt idx="39">
                  <v>0.01996033575764006</v>
                </pt>
                <pt idx="40">
                  <v>0.03049328619767793</v>
                </pt>
                <pt idx="41">
                  <v>0.01980874270309308</v>
                </pt>
                <pt idx="42">
                  <v>0.03072905883566768</v>
                </pt>
                <pt idx="43">
                  <v>0.003551347149057514</v>
                </pt>
                <pt idx="44">
                  <v>-0.02871428289937513</v>
                </pt>
                <pt idx="45">
                  <v>-0.02018409485025101</v>
                </pt>
                <pt idx="46">
                  <v>-0.007247978855669773</v>
                </pt>
                <pt idx="47">
                  <v>0.02658137334527886</v>
                </pt>
                <pt idx="48">
                  <v>0.07416649216495934</v>
                </pt>
                <pt idx="49">
                  <v>0.09121898479706364</v>
                </pt>
                <pt idx="50">
                  <v>0.06729998744621234</v>
                </pt>
                <pt idx="51">
                  <v>0.04588663294771754</v>
                </pt>
                <pt idx="52">
                  <v>0.04925418808967289</v>
                </pt>
                <pt idx="53">
                  <v>0.02058208211858835</v>
                </pt>
                <pt idx="54">
                  <v>0.02485388760787348</v>
                </pt>
                <pt idx="55">
                  <v>0.008826841433780762</v>
                </pt>
                <pt idx="56">
                  <v>-0.006691282418001814</v>
                </pt>
                <pt idx="57">
                  <v>0.01564454936035679</v>
                </pt>
                <pt idx="58">
                  <v>0.03009920537414091</v>
                </pt>
                <pt idx="59">
                  <v>0.06395529866698081</v>
                </pt>
                <pt idx="60">
                  <v>0.07567276039846248</v>
                </pt>
                <pt idx="61">
                  <v>0.06727690210834143</v>
                </pt>
                <pt idx="62">
                  <v>0.06004014529110666</v>
                </pt>
                <pt idx="63">
                  <v>0.04307098907154014</v>
                </pt>
                <pt idx="64">
                  <v>0.03597866315202198</v>
                </pt>
                <pt idx="65">
                  <v>0.03822156925386823</v>
                </pt>
                <pt idx="66">
                  <v>0.04816929346261294</v>
                </pt>
                <pt idx="67">
                  <v>0.05158244565253732</v>
                </pt>
                <pt idx="68">
                  <v>0.06215820826578574</v>
                </pt>
                <pt idx="69">
                  <v>0.06180751263280117</v>
                </pt>
                <pt idx="70">
                  <v>0.05519829553500687</v>
                </pt>
                <pt idx="71">
                  <v>0.05156343064502113</v>
                </pt>
                <pt idx="72">
                  <v>0.0547714160050962</v>
                </pt>
                <pt idx="73">
                  <v>0.05659284258686221</v>
                </pt>
                <pt idx="74">
                  <v>0.06346898404385318</v>
                </pt>
                <pt idx="75">
                  <v>0.08462164873800596</v>
                </pt>
                <pt idx="76">
                  <v>0.08477495839396397</v>
                </pt>
                <pt idx="77">
                  <v>0.07490136086896218</v>
                </pt>
                <pt idx="78">
                  <v>0.06042874844751932</v>
                </pt>
                <pt idx="79">
                  <v>0.04505020174315192</v>
                </pt>
                <pt idx="80">
                  <v>0.02925036251127664</v>
                </pt>
                <pt idx="81">
                  <v>0.02637515281107965</v>
                </pt>
                <pt idx="82">
                  <v>0.02738492796925546</v>
                </pt>
                <pt idx="83">
                  <v>0.02670839761173328</v>
                </pt>
                <pt idx="84">
                  <v>0.0384521487064664</v>
                </pt>
                <pt idx="85">
                  <v>0.0551558151005884</v>
                </pt>
                <pt idx="86">
                  <v>0.05336668232900235</v>
                </pt>
                <pt idx="87">
                  <v>0.04959565360096933</v>
                </pt>
                <pt idx="88">
                  <v>0.04471598105076313</v>
                </pt>
                <pt idx="89">
                  <v>0.03067141537615219</v>
                </pt>
                <pt idx="90">
                  <v>0.02950097040894688</v>
                </pt>
                <pt idx="91">
                  <v>0.02046645083371409</v>
                </pt>
                <pt idx="92">
                  <v>0.003249346028238541</v>
                </pt>
                <pt idx="93">
                  <v>0.001628354507476494</v>
                </pt>
                <pt idx="94">
                  <v>0.004225814763759255</v>
                </pt>
                <pt idx="95">
                  <v>-0.001667035906259561</v>
                </pt>
                <pt idx="96">
                  <v>0.02697236849004174</v>
                </pt>
                <pt idx="97">
                  <v>0.03106613002019493</v>
                </pt>
                <pt idx="98">
                  <v>0.03005894810807793</v>
                </pt>
                <pt idx="99">
                  <v>0.04367204800624914</v>
                </pt>
                <pt idx="100">
                  <v>0.03476072127791947</v>
                </pt>
                <pt idx="101">
                  <v>0.05255186457186979</v>
                </pt>
                <pt idx="102">
                  <v>0.05381938705147121</v>
                </pt>
                <pt idx="103">
                  <v>0.06894475887017829</v>
                </pt>
                <pt idx="104">
                  <v>0.07561888291797604</v>
                </pt>
                <pt idx="105">
                  <v>0.06319660015814527</v>
                </pt>
                <pt idx="106">
                  <v>0.04771087307609412</v>
                </pt>
                <pt idx="107">
                  <v>0.0402375639890625</v>
                </pt>
                <pt idx="108">
                  <v>0.006387738771999861</v>
                </pt>
                <pt idx="109">
                  <v>-0.002084181959456867</v>
                </pt>
                <pt idx="110">
                  <v>-0.006290004928018983</v>
                </pt>
                <pt idx="111">
                  <v>-0.01945449393820109</v>
                </pt>
                <pt idx="112">
                  <v>-0.0229904759524796</v>
                </pt>
                <pt idx="113">
                  <v>-0.01834262400105072</v>
                </pt>
                <pt idx="114">
                  <v>0.007986848693510009</v>
                </pt>
                <pt idx="115">
                  <v>0.02554017472206135</v>
                </pt>
                <pt idx="116">
                  <v>0.06152389361625864</v>
                </pt>
                <pt idx="117">
                  <v>0.06172588458452682</v>
                </pt>
                <pt idx="118">
                  <v>0.04958636996409576</v>
                </pt>
                <pt idx="119">
                  <v>0.04314806637790361</v>
                </pt>
                <pt idx="120">
                  <v>0.03225964641737461</v>
                </pt>
                <pt idx="121">
                  <v>0.04466324097555541</v>
                </pt>
                <pt idx="122">
                  <v>0.05770897368090847</v>
                </pt>
                <pt idx="123">
                  <v>0.05012028562513603</v>
                </pt>
                <pt idx="124">
                  <v>0.04117062342367939</v>
                </pt>
                <pt idx="125">
                  <v>0.06078147798838987</v>
                </pt>
                <pt idx="126">
                  <v>0.05245773421932062</v>
                </pt>
                <pt idx="127">
                  <v>0.06658095882650059</v>
                </pt>
                <pt idx="128">
                  <v>0.06509913089167918</v>
                </pt>
                <pt idx="129">
                  <v>0.02656855062737474</v>
                </pt>
                <pt idx="130">
                  <v>0.02389915412970895</v>
                </pt>
                <pt idx="131">
                  <v>0.01284557672337478</v>
                </pt>
                <pt idx="132">
                  <v>0.01420775265869138</v>
                </pt>
                <pt idx="133">
                  <v>-0.007750627129578919</v>
                </pt>
                <pt idx="134">
                  <v>-0.01623797430697286</v>
                </pt>
                <pt idx="135">
                  <v>-0.0003913161535425283</v>
                </pt>
                <pt idx="136">
                  <v>0.0159997977206744</v>
                </pt>
                <pt idx="137">
                  <v>0.02968700707322398</v>
                </pt>
                <pt idx="138">
                  <v>0.04325765021256277</v>
                </pt>
                <pt idx="139">
                  <v>0.01299901157291328</v>
                </pt>
                <pt idx="140">
                  <v>-0.02190348982485059</v>
                </pt>
                <pt idx="141">
                  <v>-0.01010568146574329</v>
                </pt>
                <pt idx="142">
                  <v>-0.02555921432805421</v>
                </pt>
                <pt idx="143">
                  <v>-0.01443156178740442</v>
                </pt>
                <pt idx="144">
                  <v>0.01431455577415857</v>
                </pt>
                <pt idx="145">
                  <v>0.03268532884077024</v>
                </pt>
                <pt idx="146">
                  <v>0.05737169684511145</v>
                </pt>
                <pt idx="147">
                  <v>0.07899974981110956</v>
                </pt>
                <pt idx="148">
                  <v>0.08578275462219513</v>
                </pt>
                <pt idx="149">
                  <v>0.07996696675409365</v>
                </pt>
                <pt idx="150">
                  <v>0.06900837083418117</v>
                </pt>
                <pt idx="151">
                  <v>0.05575799461835693</v>
                </pt>
                <pt idx="152">
                  <v>0.04555093389343478</v>
                </pt>
                <pt idx="153">
                  <v>0.03684217504663914</v>
                </pt>
                <pt idx="154">
                  <v>0.04262444927405274</v>
                </pt>
                <pt idx="155">
                  <v>0.04182268593574223</v>
                </pt>
                <pt idx="156">
                  <v>0.04145589749222781</v>
                </pt>
                <pt idx="157">
                  <v>0.03701580386604827</v>
                </pt>
                <pt idx="158">
                  <v>0.03119241273859987</v>
                </pt>
                <pt idx="159">
                  <v>0.02908033320892772</v>
                </pt>
                <pt idx="160">
                  <v>0.02715840619174129</v>
                </pt>
                <pt idx="161">
                  <v>0.03358479379655969</v>
                </pt>
                <pt idx="162">
                  <v>0.03266926151916798</v>
                </pt>
                <pt idx="163">
                  <v>0.04479019137679711</v>
                </pt>
                <pt idx="164">
                  <v>0.04242189568962163</v>
                </pt>
                <pt idx="165">
                  <v>0.0448460421728804</v>
                </pt>
                <pt idx="166">
                  <v>0.04192866323342976</v>
                </pt>
                <pt idx="167">
                  <v>0.03798971043649484</v>
                </pt>
                <pt idx="168">
                  <v>0.04315239934533486</v>
                </pt>
                <pt idx="169">
                  <v>0.03748292874843969</v>
                </pt>
                <pt idx="170">
                  <v>0.03908113052928337</v>
                </pt>
                <pt idx="171">
                  <v>0.02743803255246614</v>
                </pt>
                <pt idx="172">
                  <v>0.02821303844360694</v>
                </pt>
                <pt idx="173">
                  <v>0.02412772955183759</v>
                </pt>
                <pt idx="174">
                  <v>0.01727216636869786</v>
                </pt>
                <pt idx="175">
                  <v>0.006028586964982286</v>
                </pt>
                <pt idx="176">
                  <v>-0.009502406971016092</v>
                </pt>
                <pt idx="177">
                  <v>-0.005388879602283176</v>
                </pt>
                <pt idx="178">
                  <v>-0.001027168500506232</v>
                </pt>
                <pt idx="179">
                  <v>0.01166503342248571</v>
                </pt>
                <pt idx="180">
                  <v>0.02858869105350608</v>
                </pt>
                <pt idx="181">
                  <v>0.03169755820667069</v>
                </pt>
                <pt idx="182">
                  <v>0.03665322878509601</v>
                </pt>
                <pt idx="183">
                  <v>0.04382587643638389</v>
                </pt>
                <pt idx="184">
                  <v>0.03319981753469755</v>
                </pt>
                <pt idx="185">
                  <v>0.02806667390440774</v>
                </pt>
                <pt idx="186">
                  <v>0.02286515760815716</v>
                </pt>
                <pt idx="187">
                  <v>0.02607615494464687</v>
                </pt>
                <pt idx="188">
                  <v>0.03430523014430593</v>
                </pt>
                <pt idx="189">
                  <v>0.0422539970235709</v>
                </pt>
                <pt idx="190">
                  <v>0.04336784859634325</v>
                </pt>
                <pt idx="191">
                  <v>0.04115926516252467</v>
                </pt>
                <pt idx="192">
                  <v>0.0348113029700438</v>
                </pt>
                <pt idx="193">
                  <v>0.02402168869293488</v>
                </pt>
                <pt idx="194">
                  <v>0.02673106855580074</v>
                </pt>
                <pt idx="195">
                  <v>0.02199579909068443</v>
                </pt>
                <pt idx="196">
                  <v>0.02601103992691744</v>
                </pt>
                <pt idx="197">
                  <v>0.04002127063806155</v>
                </pt>
                <pt idx="198">
                  <v>0.04049921390498906</v>
                </pt>
                <pt idx="199">
                  <v>0.0442131445208174</v>
                </pt>
                <pt idx="200">
                  <v>0.04314134541141839</v>
                </pt>
                <pt idx="201">
                  <v>0.04308074979348425</v>
                </pt>
                <pt idx="202">
                  <v>0.04673802575393323</v>
                </pt>
                <pt idx="203">
                  <v>0.04487684457714512</v>
                </pt>
                <pt idx="204">
                  <v>0.04855005882657688</v>
                </pt>
                <pt idx="205">
                  <v>0.04095726841200665</v>
                </pt>
                <pt idx="206">
                  <v>0.04097768622679814</v>
                </pt>
                <pt idx="207">
                  <v>0.04879540775598017</v>
                </pt>
                <pt idx="208">
                  <v>0.0482185793162023</v>
                </pt>
                <pt idx="209">
                  <v>0.04727531513473537</v>
                </pt>
                <pt idx="210">
                  <v>0.04800205236862531</v>
                </pt>
                <pt idx="211">
                  <v>0.04827626650330151</v>
                </pt>
                <pt idx="212">
                  <v>0.04225955858689924</v>
                </pt>
                <pt idx="213">
                  <v>0.05244682768853312</v>
                </pt>
                <pt idx="214">
                  <v>0.03974084495579121</v>
                </pt>
                <pt idx="215">
                  <v>0.0290162047211726</v>
                </pt>
                <pt idx="216">
                  <v>0.02195542846787985</v>
                </pt>
                <pt idx="217">
                  <v>0.009919329568880284</v>
                </pt>
                <pt idx="218">
                  <v>0.004873523671693287</v>
                </pt>
                <pt idx="219">
                  <v>0.001706422364229252</v>
                </pt>
                <pt idx="220">
                  <v>0.0132881204842846</v>
                </pt>
                <pt idx="221">
                  <v>0.01322883902243626</v>
                </pt>
                <pt idx="222">
                  <v>0.02140669989799325</v>
                </pt>
                <pt idx="223">
                  <v>0.01991286184648556</v>
                </pt>
                <pt idx="224">
                  <v>0.01676188940425874</v>
                </pt>
                <pt idx="225">
                  <v>0.01956993641779591</v>
                </pt>
                <pt idx="226">
                  <v>0.03239908301526014</v>
                </pt>
                <pt idx="227">
                  <v>0.04295076520243932</v>
                </pt>
                <pt idx="228">
                  <v>0.04353382086215924</v>
                </pt>
                <pt idx="229">
                  <v>0.04234811649454442</v>
                </pt>
                <pt idx="230">
                  <v>0.03490834068650776</v>
                </pt>
                <pt idx="231">
                  <v>0.03355765916404892</v>
                </pt>
                <pt idx="232">
                  <v>0.03908617440899946</v>
                </pt>
                <pt idx="233">
                  <v>0.03607410366126079</v>
                </pt>
                <pt idx="234">
                  <v>0.03447674589108512</v>
                </pt>
                <pt idx="235">
                  <v>0.02982672051361144</v>
                </pt>
                <pt idx="236">
                  <v>0.03224857572323006</v>
                </pt>
                <pt idx="237">
                  <v>0.02977269025594638</v>
                </pt>
                <pt idx="238">
                  <v>0.02328291151863791</v>
                </pt>
                <pt idx="239">
                  <v>0.02608901983560922</v>
                </pt>
                <pt idx="240">
                  <v>0.01540715325180492</v>
                </pt>
                <pt idx="241">
                  <v>0.01938641594997887</v>
                </pt>
                <pt idx="242">
                  <v>0.02398559850010293</v>
                </pt>
                <pt idx="243">
                  <v>0.02160883208196539</v>
                </pt>
                <pt idx="244">
                  <v>0.01446803001442738</v>
                </pt>
                <pt idx="245">
                  <v>0.01380132559333386</v>
                </pt>
                <pt idx="246">
                  <v>0.002422023781227279</v>
                </pt>
                <pt idx="247">
                  <v>-0.02540339259876205</v>
                </pt>
                <pt idx="248">
                  <v>-0.03282392443793528</v>
                </pt>
                <pt idx="249">
                  <v>-0.03995504779306322</v>
                </pt>
                <pt idx="250">
                  <v>-0.03137675003287801</v>
                </pt>
                <pt idx="251">
                  <v>0.0008165758387652319</v>
                </pt>
                <pt idx="252">
                  <v>0.01768457232028358</v>
                </pt>
                <pt idx="253">
                  <v>0.02927467844787534</v>
                </pt>
                <pt idx="254">
                  <v>0.03349193813853987</v>
                </pt>
                <pt idx="255">
                  <v>0.02788449690506404</v>
                </pt>
                <pt idx="256">
                  <v>0.02030608190613149</v>
                </pt>
                <pt idx="257">
                  <v>0.01737905068607296</v>
                </pt>
                <pt idx="258">
                  <v>0.009182208483861604</v>
                </pt>
                <pt idx="259">
                  <v>0.0152269152413066</v>
                </pt>
                <pt idx="260">
                  <v>0.02600249297538843</v>
                </pt>
                <pt idx="261">
                  <v>0.02373816349715461</v>
                </pt>
                <pt idx="262">
                  <v>0.02592622977056317</v>
                </pt>
                <pt idx="263">
                  <v>0.0156606434588916</v>
                </pt>
                <pt idx="264">
                  <v>0.01616301095280286</v>
                </pt>
                <pt idx="265">
                  <v>0.01296170490384775</v>
                </pt>
                <pt idx="266">
                  <v>0.01919844620038217</v>
                </pt>
                <pt idx="267">
                  <v>0.02532049777807217</v>
                </pt>
                <pt idx="268">
                  <v>0.01294055859309538</v>
                </pt>
                <pt idx="269">
                  <v>0.0245199916765882</v>
                </pt>
                <pt idx="270">
                  <v>0.02831456925846958</v>
                </pt>
                <pt idx="271">
                  <v>0.02563759666266986</v>
                </pt>
                <pt idx="272">
                  <v>0.03761202773082455</v>
                </pt>
                <pt idx="273">
                  <v>0.03039854674877899</v>
                </pt>
                <pt idx="274">
                  <v>0.02182668511263306</v>
                </pt>
                <pt idx="275">
                  <v>0.01874684058645722</v>
                </pt>
                <pt idx="276">
                  <v>0.01648190603048597</v>
                </pt>
                <pt idx="277">
                  <v>0.01367629650405968</v>
                </pt>
                <pt idx="278">
                  <v>0.01648263356020616</v>
                </pt>
                <pt idx="279">
                  <v>0.0200417704624271</v>
                </pt>
                <pt idx="280">
                  <v>0.01885278869645634</v>
                </pt>
                <pt idx="281">
                  <v>0.02146716582907564</v>
                </pt>
                <pt idx="282">
                  <v>0.02266564638337372</v>
                </pt>
                <pt idx="283">
                  <v>0.02717885581859093</v>
                </pt>
                <pt idx="284">
                  <v>0.03015311883141301</v>
                </pt>
                <pt idx="285">
                  <v>0.03296152283055629</v>
                </pt>
                <pt idx="286">
                  <v>0.03052885912379111</v>
                </pt>
                <pt idx="287">
                  <v>0.02320617095391857</v>
                </pt>
                <pt idx="288">
                  <v>0.0215300151408133</v>
                </pt>
                <pt idx="289">
                  <v>0.02111478835615084</v>
                </pt>
                <pt idx="290">
                  <v>0.02318325998325768</v>
                </pt>
                <pt idx="291">
                  <v>0.02569423534639549</v>
                </pt>
                <pt idx="292">
                  <v>0.006307851641742077</v>
                </pt>
                <pt idx="293">
                  <v>-0.09083737424225038</v>
                </pt>
                <pt idx="294">
                  <v>-0.02887505988833666</v>
                </pt>
                <pt idx="295">
                  <v>-0.0226291524300984</v>
                </pt>
                <pt idx="296">
                  <v>0.005469768032827393</v>
                </pt>
                <pt idx="297">
                  <v>0.12226677108077</v>
                </pt>
                <pt idx="298">
                  <v>0.04872754767662159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91978320"/>
        <axId val="500714607"/>
      </barChart>
      <dateAx>
        <axId val="19197832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00714607"/>
        <crosses val="autoZero"/>
        <lblOffset val="100"/>
        <baseTimeUnit val="months"/>
      </dateAx>
      <valAx>
        <axId val="500714607"/>
        <scaling>
          <orientation val="minMax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19783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'U.S. GDP'!$E$5</f>
              <strCache>
                <ptCount val="1"/>
                <pt idx="0">
                  <v>GDP Annualized QoQ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'U.S. GDP'!$A$6:$A$305</f>
              <numCache>
                <formatCode>m/d/yy</formatCode>
                <ptCount val="300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'U.S. GDP'!$E$6:$E$305</f>
              <numCache>
                <formatCode>0.00%</formatCode>
                <ptCount val="300"/>
                <pt idx="0">
                  <v>0</v>
                </pt>
                <pt idx="1">
                  <v>-0.01062563615731593</v>
                </pt>
                <pt idx="2">
                  <v>-0.008234578064592379</v>
                </pt>
                <pt idx="3">
                  <v>0.06405460233045623</v>
                </pt>
                <pt idx="4">
                  <v>0.06153924905173591</v>
                </pt>
                <pt idx="5">
                  <v>0.06768013659058014</v>
                </pt>
                <pt idx="6">
                  <v>0.02311491038720104</v>
                </pt>
                <pt idx="7">
                  <v>0.004475979641999306</v>
                </pt>
                <pt idx="8">
                  <v>-0.05398904707599983</v>
                </pt>
                <pt idx="9">
                  <v>-0.01357438589464066</v>
                </pt>
                <pt idx="10">
                  <v>0.04194094483004052</v>
                </pt>
                <pt idx="11">
                  <v>-0.03315043537256779</v>
                </pt>
                <pt idx="12">
                  <v>0.1667165198223279</v>
                </pt>
                <pt idx="13">
                  <v>0.1276875822943975</v>
                </pt>
                <pt idx="14">
                  <v>0.1637698744608331</v>
                </pt>
                <pt idx="15">
                  <v>0.07881925139170098</v>
                </pt>
                <pt idx="16">
                  <v>0.05544316274475447</v>
                </pt>
                <pt idx="17">
                  <v>0.07113068727204275</v>
                </pt>
                <pt idx="18">
                  <v>0.08502378012798339</v>
                </pt>
                <pt idx="19">
                  <v>0.008839131632865316</v>
                </pt>
                <pt idx="20">
                  <v>0.04343132891926405</v>
                </pt>
                <pt idx="21">
                  <v>0.008643745203244402</v>
                </pt>
                <pt idx="22">
                  <v>0.02918811561848811</v>
                </pt>
                <pt idx="23">
                  <v>0.1379831307047701</v>
                </pt>
                <pt idx="24">
                  <v>0.0764537441153792</v>
                </pt>
                <pt idx="25">
                  <v>0.03127783139942197</v>
                </pt>
                <pt idx="26">
                  <v>-0.02231782956626527</v>
                </pt>
                <pt idx="27">
                  <v>-0.05919624282214508</v>
                </pt>
                <pt idx="28">
                  <v>-0.01898428780973227</v>
                </pt>
                <pt idx="29">
                  <v>0.004366820581845676</v>
                </pt>
                <pt idx="30">
                  <v>0.04594488271546471</v>
                </pt>
                <pt idx="31">
                  <v>0.08059481230675947</v>
                </pt>
                <pt idx="32">
                  <v>0.1192381030854877</v>
                </pt>
                <pt idx="33">
                  <v>0.06669418000707128</v>
                </pt>
                <pt idx="34">
                  <v>0.05512270869902025</v>
                </pt>
                <pt idx="35">
                  <v>0.0242302529752878</v>
                </pt>
                <pt idx="36">
                  <v>-0.01544494919947736</v>
                </pt>
                <pt idx="37">
                  <v>0.03346472086182173</v>
                </pt>
                <pt idx="38">
                  <v>-0.003588743913787829</v>
                </pt>
                <pt idx="39">
                  <v>0.06747778969521656</v>
                </pt>
                <pt idx="40">
                  <v>0.02585868145080883</v>
                </pt>
                <pt idx="41">
                  <v>-0.008734679818855895</v>
                </pt>
                <pt idx="42">
                  <v>0.03978077193041729</v>
                </pt>
                <pt idx="43">
                  <v>-0.04073375974144011</v>
                </pt>
                <pt idx="44">
                  <v>-0.09984529734545644</v>
                </pt>
                <pt idx="45">
                  <v>0.0265493746369232</v>
                </pt>
                <pt idx="46">
                  <v>0.09578906366867113</v>
                </pt>
                <pt idx="47">
                  <v>0.09685586253705125</v>
                </pt>
                <pt idx="48">
                  <v>0.07902134946672668</v>
                </pt>
                <pt idx="49">
                  <v>0.09330439091654585</v>
                </pt>
                <pt idx="50">
                  <v>0.002825402308261893</v>
                </pt>
                <pt idx="51">
                  <v>0.01144435183103409</v>
                </pt>
                <pt idx="52">
                  <v>0.0929855824345418</v>
                </pt>
                <pt idx="53">
                  <v>-0.02138920017185875</v>
                </pt>
                <pt idx="54">
                  <v>0.0197210406133479</v>
                </pt>
                <pt idx="55">
                  <v>-0.05035628728337027</v>
                </pt>
                <pt idx="56">
                  <v>0.02727071103520817</v>
                </pt>
                <pt idx="57">
                  <v>0.06964578678446354</v>
                </pt>
                <pt idx="58">
                  <v>0.07902279758629582</v>
                </pt>
                <pt idx="59">
                  <v>0.08078178259819491</v>
                </pt>
                <pt idx="60">
                  <v>0.0732775935086929</v>
                </pt>
                <pt idx="61">
                  <v>0.03663947632942954</v>
                </pt>
                <pt idx="62">
                  <v>0.05005350778378159</v>
                </pt>
                <pt idx="63">
                  <v>0.01322111122552383</v>
                </pt>
                <pt idx="64">
                  <v>0.04438311079570911</v>
                </pt>
                <pt idx="65">
                  <v>0.0456460196068611</v>
                </pt>
                <pt idx="66">
                  <v>0.09087998154472299</v>
                </pt>
                <pt idx="67">
                  <v>0.02648311519341751</v>
                </pt>
                <pt idx="68">
                  <v>0.087034600081078</v>
                </pt>
                <pt idx="69">
                  <v>0.04426572835975362</v>
                </pt>
                <pt idx="70">
                  <v>0.063971809202924</v>
                </pt>
                <pt idx="71">
                  <v>0.0124122333831731</v>
                </pt>
                <pt idx="72">
                  <v>0.1003602100251837</v>
                </pt>
                <pt idx="73">
                  <v>0.0514975733947296</v>
                </pt>
                <pt idx="74">
                  <v>0.09194000282873915</v>
                </pt>
                <pt idx="75">
                  <v>0.09539598687252315</v>
                </pt>
                <pt idx="76">
                  <v>0.100982479057544</v>
                </pt>
                <pt idx="77">
                  <v>0.01373425320265032</v>
                </pt>
                <pt idx="78">
                  <v>0.03430898587163456</v>
                </pt>
                <pt idx="79">
                  <v>0.03322233832563914</v>
                </pt>
                <pt idx="80">
                  <v>0.03589540946426251</v>
                </pt>
                <pt idx="81">
                  <v>0.002454167879501812</v>
                </pt>
                <pt idx="82">
                  <v>0.03838531924596955</v>
                </pt>
                <pt idx="83">
                  <v>0.03050352818463176</v>
                </pt>
                <pt idx="84">
                  <v>0.08411014581384135</v>
                </pt>
                <pt idx="85">
                  <v>0.06852565923772169</v>
                </pt>
                <pt idx="86">
                  <v>0.03136042553098384</v>
                </pt>
                <pt idx="87">
                  <v>0.01582586566440858</v>
                </pt>
                <pt idx="88">
                  <v>0.06408976784792331</v>
                </pt>
                <pt idx="89">
                  <v>0.01221537317702537</v>
                </pt>
                <pt idx="90">
                  <v>0.02668349019765204</v>
                </pt>
                <pt idx="91">
                  <v>-0.01936553931373752</v>
                </pt>
                <pt idx="92">
                  <v>-0.005925615006652674</v>
                </pt>
                <pt idx="93">
                  <v>0.00568929795693851</v>
                </pt>
                <pt idx="94">
                  <v>0.0373747245074163</v>
                </pt>
                <pt idx="95">
                  <v>-0.04218138882587208</v>
                </pt>
                <pt idx="96">
                  <v>0.11314636517358</v>
                </pt>
                <pt idx="97">
                  <v>0.02182112439459316</v>
                </pt>
                <pt idx="98">
                  <v>0.03332728238206673</v>
                </pt>
                <pt idx="99">
                  <v>0.00946476242764005</v>
                </pt>
                <pt idx="100">
                  <v>0.07561240734329577</v>
                </pt>
                <pt idx="101">
                  <v>0.09392905376229566</v>
                </pt>
                <pt idx="102">
                  <v>0.03831376677928255</v>
                </pt>
                <pt idx="103">
                  <v>0.06867949483058577</v>
                </pt>
                <pt idx="104">
                  <v>0.1027280596009805</v>
                </pt>
                <pt idx="105">
                  <v>0.04426278796636973</v>
                </pt>
                <pt idx="106">
                  <v>-0.02087058091389582</v>
                </pt>
                <pt idx="107">
                  <v>0.03851267753048382</v>
                </pt>
                <pt idx="108">
                  <v>-0.03394991438893069</v>
                </pt>
                <pt idx="109">
                  <v>0.009541278826036281</v>
                </pt>
                <pt idx="110">
                  <v>-0.03727310339376166</v>
                </pt>
                <pt idx="111">
                  <v>-0.01543547302283965</v>
                </pt>
                <pt idx="112">
                  <v>-0.04780955715630553</v>
                </pt>
                <pt idx="113">
                  <v>0.02888924771416268</v>
                </pt>
                <pt idx="114">
                  <v>0.07024407486532014</v>
                </pt>
                <pt idx="115">
                  <v>0.05495864100802961</v>
                </pt>
                <pt idx="116">
                  <v>0.09303030101174126</v>
                </pt>
                <pt idx="117">
                  <v>0.02967259574123493</v>
                </pt>
                <pt idx="118">
                  <v>0.02212953909849547</v>
                </pt>
                <pt idx="119">
                  <v>0.02931081062144569</v>
                </pt>
                <pt idx="120">
                  <v>0.04810350245376416</v>
                </pt>
                <pt idx="121">
                  <v>0.08006180304607646</v>
                </pt>
                <pt idx="122">
                  <v>0.07415125984790261</v>
                </pt>
                <pt idx="123">
                  <v>8.743374354369671e-05</v>
                </pt>
                <pt idx="124">
                  <v>0.01282777891271847</v>
                </pt>
                <pt idx="125">
                  <v>0.1637634019380503</v>
                </pt>
                <pt idx="126">
                  <v>0.04083140069418012</v>
                </pt>
                <pt idx="127">
                  <v>0.05485950150521179</v>
                </pt>
                <pt idx="128">
                  <v>0.007210908840985741</v>
                </pt>
                <pt idx="129">
                  <v>0.0042836572536189</v>
                </pt>
                <pt idx="130">
                  <v>0.03004761641210396</v>
                </pt>
                <pt idx="131">
                  <v>0.01004058647981432</v>
                </pt>
                <pt idx="132">
                  <v>0.01264024091996396</v>
                </pt>
                <pt idx="133">
                  <v>-0.07990637031804315</v>
                </pt>
                <pt idx="134">
                  <v>-0.004745416622351839</v>
                </pt>
                <pt idx="135">
                  <v>0.07670985813356745</v>
                </pt>
                <pt idx="136">
                  <v>0.08071103598225116</v>
                </pt>
                <pt idx="137">
                  <v>-0.02931466422968187</v>
                </pt>
                <pt idx="138">
                  <v>0.04876833827542182</v>
                </pt>
                <pt idx="139">
                  <v>-0.04287543335073452</v>
                </pt>
                <pt idx="140">
                  <v>-0.06070861857896181</v>
                </pt>
                <pt idx="141">
                  <v>0.01837319106848523</v>
                </pt>
                <pt idx="142">
                  <v>-0.01520450261025652</v>
                </pt>
                <pt idx="143">
                  <v>0.001598808633004989</v>
                </pt>
                <pt idx="144">
                  <v>0.05376512149741886</v>
                </pt>
                <pt idx="145">
                  <v>0.09417894915071301</v>
                </pt>
                <pt idx="146">
                  <v>0.08239244141250035</v>
                </pt>
                <pt idx="147">
                  <v>0.08609659002729031</v>
                </pt>
                <pt idx="148">
                  <v>0.08051351139935736</v>
                </pt>
                <pt idx="149">
                  <v>0.0709235878122596</v>
                </pt>
                <pt idx="150">
                  <v>0.03912378905516167</v>
                </pt>
                <pt idx="151">
                  <v>0.03324078666384356</v>
                </pt>
                <pt idx="152">
                  <v>0.03933000174327517</v>
                </pt>
                <pt idx="153">
                  <v>0.03568652295878594</v>
                </pt>
                <pt idx="154">
                  <v>0.06249841012954427</v>
                </pt>
                <pt idx="155">
                  <v>0.0300662610165936</v>
                </pt>
                <pt idx="156">
                  <v>0.03786713107164807</v>
                </pt>
                <pt idx="157">
                  <v>0.01813716419389122</v>
                </pt>
                <pt idx="158">
                  <v>0.03883273086767103</v>
                </pt>
                <pt idx="159">
                  <v>0.02165306112495746</v>
                </pt>
                <pt idx="160">
                  <v>0.03013547493149016</v>
                </pt>
                <pt idx="161">
                  <v>0.04385706929729527</v>
                </pt>
                <pt idx="162">
                  <v>0.03515689521360343</v>
                </pt>
                <pt idx="163">
                  <v>0.07047070727767069</v>
                </pt>
                <pt idx="164">
                  <v>0.02082687796218119</v>
                </pt>
                <pt idx="165">
                  <v>0.05360092833045282</v>
                </pt>
                <pt idx="166">
                  <v>0.02364392556959816</v>
                </pt>
                <pt idx="167">
                  <v>0.05437485201812042</v>
                </pt>
                <pt idx="168">
                  <v>0.04128820262532407</v>
                </pt>
                <pt idx="169">
                  <v>0.03088195297144991</v>
                </pt>
                <pt idx="170">
                  <v>0.02996604866089259</v>
                </pt>
                <pt idx="171">
                  <v>0.007905367044091616</v>
                </pt>
                <pt idx="172">
                  <v>0.04443357206409249</v>
                </pt>
                <pt idx="173">
                  <v>0.01459568596150684</v>
                </pt>
                <pt idx="174">
                  <v>0.002663152805920666</v>
                </pt>
                <pt idx="175">
                  <v>-0.03592150205110978</v>
                </pt>
                <pt idx="176">
                  <v>-0.01858377250133569</v>
                </pt>
                <pt idx="177">
                  <v>0.03155539747719049</v>
                </pt>
                <pt idx="178">
                  <v>0.02036727422997275</v>
                </pt>
                <pt idx="179">
                  <v>0.01401562371143861</v>
                </pt>
                <pt idx="180">
                  <v>0.04875309825949259</v>
                </pt>
                <pt idx="181">
                  <v>0.04408338824994851</v>
                </pt>
                <pt idx="182">
                  <v>0.04011396954581636</v>
                </pt>
                <pt idx="183">
                  <v>0.04237230267699021</v>
                </pt>
                <pt idx="184">
                  <v>0.006695911518737496</v>
                </pt>
                <pt idx="185">
                  <v>0.02348864193376721</v>
                </pt>
                <pt idx="186">
                  <v>0.01922330560881402</v>
                </pt>
                <pt idx="187">
                  <v>0.05552300343997629</v>
                </pt>
                <pt idx="188">
                  <v>0.03938108089937553</v>
                </pt>
                <pt idx="189">
                  <v>0.05531575447492632</v>
                </pt>
                <pt idx="190">
                  <v>0.02358725012773011</v>
                </pt>
                <pt idx="191">
                  <v>0.04661408771384168</v>
                </pt>
                <pt idx="192">
                  <v>0.01426348278840961</v>
                </pt>
                <pt idx="193">
                  <v>0.0119857259968239</v>
                </pt>
                <pt idx="194">
                  <v>0.03446324065976714</v>
                </pt>
                <pt idx="195">
                  <v>0.02743937030821053</v>
                </pt>
                <pt idx="196">
                  <v>0.0302971117038966</v>
                </pt>
                <pt idx="197">
                  <v>0.06840309652184451</v>
                </pt>
                <pt idx="198">
                  <v>0.03636610812087238</v>
                </pt>
                <pt idx="199">
                  <v>0.0421873580889367</v>
                </pt>
                <pt idx="200">
                  <v>0.02607355819109536</v>
                </pt>
                <pt idx="201">
                  <v>0.06815486590490871</v>
                </pt>
                <pt idx="202">
                  <v>0.05097766273852433</v>
                </pt>
                <pt idx="203">
                  <v>0.03479474533539206</v>
                </pt>
                <pt idx="204">
                  <v>0.04057826924134766</v>
                </pt>
                <pt idx="205">
                  <v>0.03755028803424176</v>
                </pt>
                <pt idx="206">
                  <v>0.05106012260225712</v>
                </pt>
                <pt idx="207">
                  <v>0.06623182618291357</v>
                </pt>
                <pt idx="208">
                  <v>0.03829092080185514</v>
                </pt>
                <pt idx="209">
                  <v>0.03382066981536114</v>
                </pt>
                <pt idx="210">
                  <v>0.05398061530001885</v>
                </pt>
                <pt idx="211">
                  <v>0.06734820036933864</v>
                </pt>
                <pt idx="212">
                  <v>0.0146577813755211</v>
                </pt>
                <pt idx="213">
                  <v>0.07483628114231911</v>
                </pt>
                <pt idx="214">
                  <v>0.003996942030330297</v>
                </pt>
                <pt idx="215">
                  <v>0.02398727086218799</v>
                </pt>
                <pt idx="216">
                  <v>-0.01290590479056453</v>
                </pt>
                <pt idx="217">
                  <v>0.02508820455389182</v>
                </pt>
                <pt idx="218">
                  <v>-0.01591804945502973</v>
                </pt>
                <pt idx="219">
                  <v>0.01113880165656145</v>
                </pt>
                <pt idx="220">
                  <v>0.03354294204519781</v>
                </pt>
                <pt idx="221">
                  <v>0.02484833834627032</v>
                </pt>
                <pt idx="222">
                  <v>0.0162391125091006</v>
                </pt>
                <pt idx="223">
                  <v>0.00523648216461936</v>
                </pt>
                <pt idx="224">
                  <v>0.02082968176698108</v>
                </pt>
                <pt idx="225">
                  <v>0.03621684485857446</v>
                </pt>
                <pt idx="226">
                  <v>0.06836158006885573</v>
                </pt>
                <pt idx="227">
                  <v>0.0469670876988979</v>
                </pt>
                <pt idx="228">
                  <v>0.0231143527012434</v>
                </pt>
                <pt idx="229">
                  <v>0.03151530344471909</v>
                </pt>
                <pt idx="230">
                  <v>0.03818480021627169</v>
                </pt>
                <pt idx="231">
                  <v>0.04151209982891446</v>
                </pt>
                <pt idx="232">
                  <v>0.04518123508687411</v>
                </pt>
                <pt idx="233">
                  <v>0.01960671092838173</v>
                </pt>
                <pt idx="234">
                  <v>0.03179714370730702</v>
                </pt>
                <pt idx="235">
                  <v>0.02291138878895094</v>
                </pt>
                <pt idx="236">
                  <v>0.05504783041874162</v>
                </pt>
                <pt idx="237">
                  <v>0.009859595325901749</v>
                </pt>
                <pt idx="238">
                  <v>0.006031843391774094</v>
                </pt>
                <pt idx="239">
                  <v>0.03417798496028146</v>
                </pt>
                <pt idx="240">
                  <v>0.01179577590686653</v>
                </pt>
                <pt idx="241">
                  <v>0.02578298295432324</v>
                </pt>
                <pt idx="242">
                  <v>0.02431080560296794</v>
                </pt>
                <pt idx="243">
                  <v>0.02460966730827407</v>
                </pt>
                <pt idx="244">
                  <v>-0.01619784994668927</v>
                </pt>
                <pt idx="245">
                  <v>0.02308907778947766</v>
                </pt>
                <pt idx="246">
                  <v>-0.0209097307355427</v>
                </pt>
                <pt idx="247">
                  <v>-0.08450572869534734</v>
                </pt>
                <pt idx="248">
                  <v>-0.04581987379316932</v>
                </pt>
                <pt idx="249">
                  <v>-0.006752359998762336</v>
                </pt>
                <pt idx="250">
                  <v>0.01455598543492065</v>
                </pt>
                <pt idx="251">
                  <v>0.0434076888622974</v>
                </pt>
                <pt idx="252">
                  <v>0.02015267213561045</v>
                </pt>
                <pt idx="253">
                  <v>0.03927369054068341</v>
                </pt>
                <pt idx="254">
                  <v>0.03128626930493783</v>
                </pt>
                <pt idx="255">
                  <v>0.02094635569547521</v>
                </pt>
                <pt idx="256">
                  <v>-0.009601874290937507</v>
                </pt>
                <pt idx="257">
                  <v>0.02739913079767176</v>
                </pt>
                <pt idx="258">
                  <v>-0.001549785003588933</v>
                </pt>
                <pt idx="259">
                  <v>0.04562768534929051</v>
                </pt>
                <pt idx="260">
                  <v>0.03312050570216885</v>
                </pt>
                <pt idx="261">
                  <v>0.01835946382913356</v>
                </pt>
                <pt idx="262">
                  <v>0.007013690941451767</v>
                </pt>
                <pt idx="263">
                  <v>0.004400766641183607</v>
                </pt>
                <pt idx="264">
                  <v>0.03516603678394081</v>
                </pt>
                <pt idx="265">
                  <v>0.00558707657013402</v>
                </pt>
                <pt idx="266">
                  <v>0.0320441539978702</v>
                </pt>
                <pt idx="267">
                  <v>0.02875173987590829</v>
                </pt>
                <pt idx="268">
                  <v>-0.01393101487505954</v>
                </pt>
                <pt idx="269">
                  <v>0.0523630457566524</v>
                </pt>
                <pt idx="270">
                  <v>0.04741908962129937</v>
                </pt>
                <pt idx="271">
                  <v>0.01808105561066875</v>
                </pt>
                <pt idx="272">
                  <v>0.03293158882700409</v>
                </pt>
                <pt idx="273">
                  <v>0.02340267984825029</v>
                </pt>
                <pt idx="274">
                  <v>0.01299778420271602</v>
                </pt>
                <pt idx="275">
                  <v>0.005862217066683106</v>
                </pt>
                <pt idx="276">
                  <v>0.02377629379297197</v>
                </pt>
                <pt idx="277">
                  <v>0.01215052634526592</v>
                </pt>
                <pt idx="278">
                  <v>0.02426228912334971</v>
                </pt>
                <pt idx="279">
                  <v>0.02002418226175018</v>
                </pt>
                <pt idx="280">
                  <v>0.01901129394955658</v>
                </pt>
                <pt idx="281">
                  <v>0.0225792974619996</v>
                </pt>
                <pt idx="282">
                  <v>0.02907779605929184</v>
                </pt>
                <pt idx="283">
                  <v>0.03814993904506303</v>
                </pt>
                <pt idx="284">
                  <v>0.03086510836024359</v>
                </pt>
                <pt idx="285">
                  <v>0.03377600526305335</v>
                </pt>
                <pt idx="286">
                  <v>0.01941791765026113</v>
                </pt>
                <pt idx="287">
                  <v>0.008955593239345916</v>
                </pt>
                <pt idx="288">
                  <v>0.02412687930866952</v>
                </pt>
                <pt idx="289">
                  <v>0.03209621189016554</v>
                </pt>
                <pt idx="290">
                  <v>0.02770318750334533</v>
                </pt>
                <pt idx="291">
                  <v>0.01889634966248921</v>
                </pt>
                <pt idx="292">
                  <v>-0.05113254503727427</v>
                </pt>
                <pt idx="293">
                  <v>-0.3123569846108508</v>
                </pt>
                <pt idx="294">
                  <v>0.3378327930079323</v>
                </pt>
                <pt idx="295">
                  <v>0.04536294038119415</v>
                </pt>
                <pt idx="296">
                  <v>0.0627817667277657</v>
                </pt>
                <pt idx="297">
                  <v>0.06726283145896073</v>
                </pt>
                <pt idx="298">
                  <v>0.0201596093519576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9673215"/>
        <axId val="622916575"/>
      </barChart>
      <dateAx>
        <axId val="6096732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2916575"/>
        <crosses val="autoZero"/>
        <lblOffset val="100"/>
        <baseTimeUnit val="months"/>
      </dateAx>
      <valAx>
        <axId val="6229165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6732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PersonalConsumption!$A$2</f>
              <strCache>
                <ptCount val="1"/>
                <pt idx="0">
                  <v>Real Personal Consumption Expenditures (PCECC96)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PersonalConsumption!$B$6:$B$304</f>
              <numCache>
                <formatCode>0.0</formatCode>
                <ptCount val="299"/>
                <pt idx="0">
                  <v>1277.44</v>
                </pt>
                <pt idx="1">
                  <v>1298.692</v>
                </pt>
                <pt idx="2">
                  <v>1302.925</v>
                </pt>
                <pt idx="3">
                  <v>1303.34</v>
                </pt>
                <pt idx="4">
                  <v>1309.834</v>
                </pt>
                <pt idx="5">
                  <v>1325.075</v>
                </pt>
                <pt idx="6">
                  <v>1327.031</v>
                </pt>
                <pt idx="7">
                  <v>1337.622</v>
                </pt>
                <pt idx="8">
                  <v>1339.787</v>
                </pt>
                <pt idx="9">
                  <v>1360.322</v>
                </pt>
                <pt idx="10">
                  <v>1363.407</v>
                </pt>
                <pt idx="11">
                  <v>1383.396</v>
                </pt>
                <pt idx="12">
                  <v>1406.429</v>
                </pt>
                <pt idx="13">
                  <v>1429.591</v>
                </pt>
                <pt idx="14">
                  <v>1503.003</v>
                </pt>
                <pt idx="15">
                  <v>1457.694</v>
                </pt>
                <pt idx="16">
                  <v>1492.942</v>
                </pt>
                <pt idx="17">
                  <v>1450.753</v>
                </pt>
                <pt idx="18">
                  <v>1467.654</v>
                </pt>
                <pt idx="19">
                  <v>1476.205</v>
                </pt>
                <pt idx="20">
                  <v>1479.625</v>
                </pt>
                <pt idx="21">
                  <v>1508.601</v>
                </pt>
                <pt idx="22">
                  <v>1515.837</v>
                </pt>
                <pt idx="23">
                  <v>1569.313</v>
                </pt>
                <pt idx="24">
                  <v>1587.743</v>
                </pt>
                <pt idx="25">
                  <v>1597.302</v>
                </pt>
                <pt idx="26">
                  <v>1593.497</v>
                </pt>
                <pt idx="27">
                  <v>1582.812</v>
                </pt>
                <pt idx="28">
                  <v>1588.65</v>
                </pt>
                <pt idx="29">
                  <v>1609.28</v>
                </pt>
                <pt idx="30">
                  <v>1631.059</v>
                </pt>
                <pt idx="31">
                  <v>1665.291</v>
                </pt>
                <pt idx="32">
                  <v>1702.656</v>
                </pt>
                <pt idx="33">
                  <v>1735.274</v>
                </pt>
                <pt idx="34">
                  <v>1756.707</v>
                </pt>
                <pt idx="35">
                  <v>1778.767</v>
                </pt>
                <pt idx="36">
                  <v>1781.657</v>
                </pt>
                <pt idx="37">
                  <v>1787.583</v>
                </pt>
                <pt idx="38">
                  <v>1791.625</v>
                </pt>
                <pt idx="39">
                  <v>1816.324</v>
                </pt>
                <pt idx="40">
                  <v>1828.956</v>
                </pt>
                <pt idx="41">
                  <v>1832.145</v>
                </pt>
                <pt idx="42">
                  <v>1846.623</v>
                </pt>
                <pt idx="43">
                  <v>1847.391</v>
                </pt>
                <pt idx="44">
                  <v>1821.834</v>
                </pt>
                <pt idx="45">
                  <v>1836.897</v>
                </pt>
                <pt idx="46">
                  <v>1867.373</v>
                </pt>
                <pt idx="47">
                  <v>1892.738</v>
                </pt>
                <pt idx="48">
                  <v>1927.43</v>
                </pt>
                <pt idx="49">
                  <v>1957.197</v>
                </pt>
                <pt idx="50">
                  <v>1977.643</v>
                </pt>
                <pt idx="51">
                  <v>1979.871</v>
                </pt>
                <pt idx="52">
                  <v>1998.811</v>
                </pt>
                <pt idx="53">
                  <v>2024.025</v>
                </pt>
                <pt idx="54">
                  <v>2015.934</v>
                </pt>
                <pt idx="55">
                  <v>2018.545</v>
                </pt>
                <pt idx="56">
                  <v>2017.795</v>
                </pt>
                <pt idx="57">
                  <v>2047.823</v>
                </pt>
                <pt idx="58">
                  <v>2057.782</v>
                </pt>
                <pt idx="59">
                  <v>2099.173</v>
                </pt>
                <pt idx="60">
                  <v>2121.409</v>
                </pt>
                <pt idx="61">
                  <v>2147.489</v>
                </pt>
                <pt idx="62">
                  <v>2164.796</v>
                </pt>
                <pt idx="63">
                  <v>2195.427</v>
                </pt>
                <pt idx="64">
                  <v>2210.805</v>
                </pt>
                <pt idx="65">
                  <v>2231.667</v>
                </pt>
                <pt idx="66">
                  <v>2261.942</v>
                </pt>
                <pt idx="67">
                  <v>2280.79</v>
                </pt>
                <pt idx="68">
                  <v>2325.554</v>
                </pt>
                <pt idx="69">
                  <v>2366.691</v>
                </pt>
                <pt idx="70">
                  <v>2410.408</v>
                </pt>
                <pt idx="71">
                  <v>2417.288</v>
                </pt>
                <pt idx="72">
                  <v>2471.196</v>
                </pt>
                <pt idx="73">
                  <v>2498.45</v>
                </pt>
                <pt idx="74">
                  <v>2541.38</v>
                </pt>
                <pt idx="75">
                  <v>2612.826</v>
                </pt>
                <pt idx="76">
                  <v>2651.397</v>
                </pt>
                <pt idx="77">
                  <v>2658.191</v>
                </pt>
                <pt idx="78">
                  <v>2688.546</v>
                </pt>
                <pt idx="79">
                  <v>2699.747</v>
                </pt>
                <pt idx="80">
                  <v>2715.303</v>
                </pt>
                <pt idx="81">
                  <v>2752.426</v>
                </pt>
                <pt idx="82">
                  <v>2766.518</v>
                </pt>
                <pt idx="83">
                  <v>2783.447</v>
                </pt>
                <pt idx="84">
                  <v>2850.153</v>
                </pt>
                <pt idx="85">
                  <v>2893.553</v>
                </pt>
                <pt idx="86">
                  <v>2947.784</v>
                </pt>
                <pt idx="87">
                  <v>2961.081</v>
                </pt>
                <pt idx="88">
                  <v>2993.913</v>
                </pt>
                <pt idx="89">
                  <v>3013.227</v>
                </pt>
                <pt idx="90">
                  <v>3027.918</v>
                </pt>
                <pt idx="91">
                  <v>3052.118</v>
                </pt>
                <pt idx="92">
                  <v>3071.056</v>
                </pt>
                <pt idx="93">
                  <v>3084.968</v>
                </pt>
                <pt idx="94">
                  <v>3112.014</v>
                </pt>
                <pt idx="95">
                  <v>3103.565</v>
                </pt>
                <pt idx="96">
                  <v>3163.139</v>
                </pt>
                <pt idx="97">
                  <v>3192.21</v>
                </pt>
                <pt idx="98">
                  <v>3217.661</v>
                </pt>
                <pt idx="99">
                  <v>3271.05</v>
                </pt>
                <pt idx="100">
                  <v>3314.222</v>
                </pt>
                <pt idx="101">
                  <v>3377.314</v>
                </pt>
                <pt idx="102">
                  <v>3429.362</v>
                </pt>
                <pt idx="103">
                  <v>3509.838</v>
                </pt>
                <pt idx="104">
                  <v>3573.918</v>
                </pt>
                <pt idx="105">
                  <v>3572.307</v>
                </pt>
                <pt idx="106">
                  <v>3584.881</v>
                </pt>
                <pt idx="107">
                  <v>3574.188</v>
                </pt>
                <pt idx="108">
                  <v>3542.211</v>
                </pt>
                <pt idx="109">
                  <v>3554.966</v>
                </pt>
                <pt idx="110">
                  <v>3570.236</v>
                </pt>
                <pt idx="111">
                  <v>3518.05</v>
                </pt>
                <pt idx="112">
                  <v>3547.557</v>
                </pt>
                <pt idx="113">
                  <v>3605.909</v>
                </pt>
                <pt idx="114">
                  <v>3657.158</v>
                </pt>
                <pt idx="115">
                  <v>3696.485</v>
                </pt>
                <pt idx="116">
                  <v>3770.391</v>
                </pt>
                <pt idx="117">
                  <v>3805.081</v>
                </pt>
                <pt idx="118">
                  <v>3845.144</v>
                </pt>
                <pt idx="119">
                  <v>3895.034</v>
                </pt>
                <pt idx="120">
                  <v>3940.944</v>
                </pt>
                <pt idx="121">
                  <v>3962.314</v>
                </pt>
                <pt idx="122">
                  <v>3999.779</v>
                </pt>
                <pt idx="123">
                  <v>4059.918</v>
                </pt>
                <pt idx="124">
                  <v>4082.726</v>
                </pt>
                <pt idx="125">
                  <v>4170.01</v>
                </pt>
                <pt idx="126">
                  <v>4187.52</v>
                </pt>
                <pt idx="127">
                  <v>4221.31</v>
                </pt>
                <pt idx="128">
                  <v>4243.173</v>
                </pt>
                <pt idx="129">
                  <v>4240.419</v>
                </pt>
                <pt idx="130">
                  <v>4281.682</v>
                </pt>
                <pt idx="131">
                  <v>4292.335</v>
                </pt>
                <pt idx="132">
                  <v>4286.2</v>
                </pt>
                <pt idx="133">
                  <v>4189.671</v>
                </pt>
                <pt idx="134">
                  <v>4235.629</v>
                </pt>
                <pt idx="135">
                  <v>4292.856</v>
                </pt>
                <pt idx="136">
                  <v>4307.237</v>
                </pt>
                <pt idx="137">
                  <v>4307.55</v>
                </pt>
                <pt idx="138">
                  <v>4327.476</v>
                </pt>
                <pt idx="139">
                  <v>4297.875</v>
                </pt>
                <pt idx="140">
                  <v>4329.533</v>
                </pt>
                <pt idx="141">
                  <v>4342.721</v>
                </pt>
                <pt idx="142">
                  <v>4371.833</v>
                </pt>
                <pt idx="143">
                  <v>4448.414</v>
                </pt>
                <pt idx="144">
                  <v>4492.395</v>
                </pt>
                <pt idx="145">
                  <v>4583.873</v>
                </pt>
                <pt idx="146">
                  <v>4666.07</v>
                </pt>
                <pt idx="147">
                  <v>4740.427</v>
                </pt>
                <pt idx="148">
                  <v>4779.767</v>
                </pt>
                <pt idx="149">
                  <v>4846.731</v>
                </pt>
                <pt idx="150">
                  <v>4882.676</v>
                </pt>
                <pt idx="151">
                  <v>4945.926</v>
                </pt>
                <pt idx="152">
                  <v>5029.959</v>
                </pt>
                <pt idx="153">
                  <v>5076.136</v>
                </pt>
                <pt idx="154">
                  <v>5172.55</v>
                </pt>
                <pt idx="155">
                  <v>5183.741</v>
                </pt>
                <pt idx="156">
                  <v>5229.041</v>
                </pt>
                <pt idx="157">
                  <v>5286.019</v>
                </pt>
                <pt idx="158">
                  <v>5379.527</v>
                </pt>
                <pt idx="159">
                  <v>5412.515</v>
                </pt>
                <pt idx="160">
                  <v>5417.904</v>
                </pt>
                <pt idx="161">
                  <v>5491.837</v>
                </pt>
                <pt idx="162">
                  <v>5554.512</v>
                </pt>
                <pt idx="163">
                  <v>5566.263</v>
                </pt>
                <pt idx="164">
                  <v>5664.593</v>
                </pt>
                <pt idx="165">
                  <v>5706.414</v>
                </pt>
                <pt idx="166">
                  <v>5757.12</v>
                </pt>
                <pt idx="167">
                  <v>5822.579</v>
                </pt>
                <pt idx="168">
                  <v>5849.592</v>
                </pt>
                <pt idx="169">
                  <v>5876.896</v>
                </pt>
                <pt idx="170">
                  <v>5933.79</v>
                </pt>
                <pt idx="171">
                  <v>5959.58</v>
                </pt>
                <pt idx="172">
                  <v>6009.735</v>
                </pt>
                <pt idx="173">
                  <v>6028.041</v>
                </pt>
                <pt idx="174">
                  <v>6051.922</v>
                </pt>
                <pt idx="175">
                  <v>6005.882</v>
                </pt>
                <pt idx="176">
                  <v>5983.298</v>
                </pt>
                <pt idx="177">
                  <v>6032.885</v>
                </pt>
                <pt idx="178">
                  <v>6062.964</v>
                </pt>
                <pt idx="179">
                  <v>6059.93</v>
                </pt>
                <pt idx="180">
                  <v>6173.393</v>
                </pt>
                <pt idx="181">
                  <v>6215.3</v>
                </pt>
                <pt idx="182">
                  <v>6281.923</v>
                </pt>
                <pt idx="183">
                  <v>6356.796</v>
                </pt>
                <pt idx="184">
                  <v>6381.168</v>
                </pt>
                <pt idx="185">
                  <v>6439.211</v>
                </pt>
                <pt idx="186">
                  <v>6510.874</v>
                </pt>
                <pt idx="187">
                  <v>6568.028</v>
                </pt>
                <pt idx="188">
                  <v>6643.151</v>
                </pt>
                <pt idx="189">
                  <v>6694.839</v>
                </pt>
                <pt idx="190">
                  <v>6745.887</v>
                </pt>
                <pt idx="191">
                  <v>6818.819</v>
                </pt>
                <pt idx="192">
                  <v>6835.791</v>
                </pt>
                <pt idx="193">
                  <v>6895.718</v>
                </pt>
                <pt idx="194">
                  <v>6958.21</v>
                </pt>
                <pt idx="195">
                  <v>7006.747</v>
                </pt>
                <pt idx="196">
                  <v>7071.369</v>
                </pt>
                <pt idx="197">
                  <v>7147.441</v>
                </pt>
                <pt idx="198">
                  <v>7190.713</v>
                </pt>
                <pt idx="199">
                  <v>7247.987</v>
                </pt>
                <pt idx="200">
                  <v>7324.388</v>
                </pt>
                <pt idx="201">
                  <v>7357.362</v>
                </pt>
                <pt idx="202">
                  <v>7482.713</v>
                </pt>
                <pt idx="203">
                  <v>7572.147</v>
                </pt>
                <pt idx="204">
                  <v>7648.741</v>
                </pt>
                <pt idx="205">
                  <v>7783.43</v>
                </pt>
                <pt idx="206">
                  <v>7884.929</v>
                </pt>
                <pt idx="207">
                  <v>7998.842</v>
                </pt>
                <pt idx="208">
                  <v>8080.996</v>
                </pt>
                <pt idx="209">
                  <v>8204.75</v>
                </pt>
                <pt idx="210">
                  <v>8296.987999999999</v>
                </pt>
                <pt idx="211">
                  <v>8418.349</v>
                </pt>
                <pt idx="212">
                  <v>8545.638999999999</v>
                </pt>
                <pt idx="213">
                  <v>8625.434999999999</v>
                </pt>
                <pt idx="214">
                  <v>8708.074000000001</v>
                </pt>
                <pt idx="215">
                  <v>8784.155000000001</v>
                </pt>
                <pt idx="216">
                  <v>8816.013999999999</v>
                </pt>
                <pt idx="217">
                  <v>8833.726000000001</v>
                </pt>
                <pt idx="218">
                  <v>8864.465</v>
                </pt>
                <pt idx="219">
                  <v>9007.494000000001</v>
                </pt>
                <pt idx="220">
                  <v>9027.548000000001</v>
                </pt>
                <pt idx="221">
                  <v>9073.212</v>
                </pt>
                <pt idx="222">
                  <v>9136.709000000001</v>
                </pt>
                <pt idx="223">
                  <v>9187.527</v>
                </pt>
                <pt idx="224">
                  <v>9232.781999999999</v>
                </pt>
                <pt idx="225">
                  <v>9338.495000000001</v>
                </pt>
                <pt idx="226">
                  <v>9470.540999999999</v>
                </pt>
                <pt idx="227">
                  <v>9535.741</v>
                </pt>
                <pt idx="228">
                  <v>9624.648999999999</v>
                </pt>
                <pt idx="229">
                  <v>9677.165999999999</v>
                </pt>
                <pt idx="230">
                  <v>9790.835999999999</v>
                </pt>
                <pt idx="231">
                  <v>9901.58</v>
                </pt>
                <pt idx="232">
                  <v>9964.495999999999</v>
                </pt>
                <pt idx="233">
                  <v>10074.922</v>
                </pt>
                <pt idx="234">
                  <v>10158.513</v>
                </pt>
                <pt idx="235">
                  <v>10177.238</v>
                </pt>
                <pt idx="236">
                  <v>10288.217</v>
                </pt>
                <pt idx="237">
                  <v>10341.556</v>
                </pt>
                <pt idx="238">
                  <v>10407.966</v>
                </pt>
                <pt idx="239">
                  <v>10507.248</v>
                </pt>
                <pt idx="240">
                  <v>10572.053</v>
                </pt>
                <pt idx="241">
                  <v>10599.795</v>
                </pt>
                <pt idx="242">
                  <v>10670.506</v>
                </pt>
                <pt idx="243">
                  <v>10712.556</v>
                </pt>
                <pt idx="244">
                  <v>10697.867</v>
                </pt>
                <pt idx="245">
                  <v>10727.347</v>
                </pt>
                <pt idx="246">
                  <v>10644.668</v>
                </pt>
                <pt idx="247">
                  <v>10548.872</v>
                </pt>
                <pt idx="248">
                  <v>10522.083</v>
                </pt>
                <pt idx="249">
                  <v>10470.358</v>
                </pt>
                <pt idx="250">
                  <v>10540.769</v>
                </pt>
                <pt idx="251">
                  <v>10529.156</v>
                </pt>
                <pt idx="252">
                  <v>10590.177</v>
                </pt>
                <pt idx="253">
                  <v>10685.145</v>
                </pt>
                <pt idx="254">
                  <v>10761.376</v>
                </pt>
                <pt idx="255">
                  <v>10827.332</v>
                </pt>
                <pt idx="256">
                  <v>10868.689</v>
                </pt>
                <pt idx="257">
                  <v>10879.873</v>
                </pt>
                <pt idx="258">
                  <v>10912.991</v>
                </pt>
                <pt idx="259">
                  <v>10931.828</v>
                </pt>
                <pt idx="260">
                  <v>11010.694</v>
                </pt>
                <pt idx="261">
                  <v>11030.026</v>
                </pt>
                <pt idx="262">
                  <v>11052.368</v>
                </pt>
                <pt idx="263">
                  <v>11096.365</v>
                </pt>
                <pt idx="264">
                  <v>11155.481</v>
                </pt>
                <pt idx="265">
                  <v>11172.647</v>
                </pt>
                <pt idx="266">
                  <v>11214.417</v>
                </pt>
                <pt idx="267">
                  <v>11304.3</v>
                </pt>
                <pt idx="268">
                  <v>11347.636</v>
                </pt>
                <pt idx="269">
                  <v>11453.014</v>
                </pt>
                <pt idx="270">
                  <v>11565.682</v>
                </pt>
                <pt idx="271">
                  <v>11694.917</v>
                </pt>
                <pt idx="272">
                  <v>11772.949</v>
                </pt>
                <pt idx="273">
                  <v>11852.652</v>
                </pt>
                <pt idx="274">
                  <v>11943.043</v>
                </pt>
                <pt idx="275">
                  <v>12003.146</v>
                </pt>
                <pt idx="276">
                  <v>12091.178</v>
                </pt>
                <pt idx="277">
                  <v>12152.627</v>
                </pt>
                <pt idx="278">
                  <v>12223.822</v>
                </pt>
                <pt idx="279">
                  <v>12283.076</v>
                </pt>
                <pt idx="280">
                  <v>12372.247</v>
                </pt>
                <pt idx="281">
                  <v>12430.081</v>
                </pt>
                <pt idx="282">
                  <v>12500.402</v>
                </pt>
                <pt idx="283">
                  <v>12631.98</v>
                </pt>
                <pt idx="284">
                  <v>12707.641</v>
                </pt>
                <pt idx="285">
                  <v>12816.396</v>
                </pt>
                <pt idx="286">
                  <v>12900.579</v>
                </pt>
                <pt idx="287">
                  <v>12955.501</v>
                </pt>
                <pt idx="288">
                  <v>12975.144</v>
                </pt>
                <pt idx="289">
                  <v>13088.759</v>
                </pt>
                <pt idx="290">
                  <v>13192.261</v>
                </pt>
                <pt idx="291">
                  <v>13248.981</v>
                </pt>
                <pt idx="292">
                  <v>13014.489</v>
                </pt>
                <pt idx="293">
                  <v>11756.399</v>
                </pt>
                <pt idx="294">
                  <v>12820.786</v>
                </pt>
                <pt idx="295">
                  <v>12927.913</v>
                </pt>
                <pt idx="296">
                  <v>13282.685</v>
                </pt>
                <pt idx="297">
                  <v>13665.61</v>
                </pt>
                <pt idx="298">
                  <v>13719.274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794240"/>
        <axId val="411795888"/>
      </lineChart>
      <dateAx>
        <axId val="4117942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5888"/>
        <crosses val="autoZero"/>
        <lblOffset val="100"/>
        <baseTimeUnit val="months"/>
      </dateAx>
      <valAx>
        <axId val="411795888"/>
        <scaling>
          <orientation val="minMax"/>
          <max val="14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94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PersonalConsumption!$C$5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PersonalConsumption!$C$6:$C$304</f>
              <numCache>
                <formatCode>0.00%</formatCode>
                <ptCount val="299"/>
                <pt idx="1">
                  <v>0.01663639779559115</v>
                </pt>
                <pt idx="2">
                  <v>0.003259433337542656</v>
                </pt>
                <pt idx="3">
                  <v>0.0003185141124776665</v>
                </pt>
                <pt idx="4">
                  <v>0.004982583209293156</v>
                </pt>
                <pt idx="5">
                  <v>0.01163582560843587</v>
                </pt>
                <pt idx="6">
                  <v>0.00147614285983805</v>
                </pt>
                <pt idx="7">
                  <v>0.007980974069181596</v>
                </pt>
                <pt idx="8">
                  <v>0.001618543953373945</v>
                </pt>
                <pt idx="9">
                  <v>0.01532706318243113</v>
                </pt>
                <pt idx="10">
                  <v>0.002267845407190384</v>
                </pt>
                <pt idx="11">
                  <v>0.01466106599129976</v>
                </pt>
                <pt idx="12">
                  <v>0.01664960719851737</v>
                </pt>
                <pt idx="13">
                  <v>0.0164686592782144</v>
                </pt>
                <pt idx="14">
                  <v>0.05135175025584243</v>
                </pt>
                <pt idx="15">
                  <v>-0.0301456484118794</v>
                </pt>
                <pt idx="16">
                  <v>0.02418065794329952</v>
                </pt>
                <pt idx="17">
                  <v>-0.02825896786345355</v>
                </pt>
                <pt idx="18">
                  <v>0.0116498122009743</v>
                </pt>
                <pt idx="19">
                  <v>0.005826305110059954</v>
                </pt>
                <pt idx="20">
                  <v>0.00231675139970402</v>
                </pt>
                <pt idx="21">
                  <v>0.0195833403734055</v>
                </pt>
                <pt idx="22">
                  <v>0.004796496886850715</v>
                </pt>
                <pt idx="23">
                  <v>0.03527819943701078</v>
                </pt>
                <pt idx="24">
                  <v>0.01174399243490612</v>
                </pt>
                <pt idx="25">
                  <v>0.006020495760333989</v>
                </pt>
                <pt idx="26">
                  <v>-0.002382141886756441</v>
                </pt>
                <pt idx="27">
                  <v>-0.006705378171405514</v>
                </pt>
                <pt idx="28">
                  <v>0.003688372339861078</v>
                </pt>
                <pt idx="29">
                  <v>0.01298586850470518</v>
                </pt>
                <pt idx="30">
                  <v>0.01353338138794989</v>
                </pt>
                <pt idx="31">
                  <v>0.02098759149730327</v>
                </pt>
                <pt idx="32">
                  <v>0.02243751992894936</v>
                </pt>
                <pt idx="33">
                  <v>0.01915712862727406</v>
                </pt>
                <pt idx="34">
                  <v>0.01235136353106208</v>
                </pt>
                <pt idx="35">
                  <v>0.01255758643871741</v>
                </pt>
                <pt idx="36">
                  <v>0.001624720944339462</v>
                </pt>
                <pt idx="37">
                  <v>0.003326117204377812</v>
                </pt>
                <pt idx="38">
                  <v>0.002261153747825928</v>
                </pt>
                <pt idx="39">
                  <v>0.01378580897230172</v>
                </pt>
                <pt idx="40">
                  <v>0.006954706318916578</v>
                </pt>
                <pt idx="41">
                  <v>0.001743617670408735</v>
                </pt>
                <pt idx="42">
                  <v>0.007902212979867896</v>
                </pt>
                <pt idx="43">
                  <v>0.0004158943108582689</v>
                </pt>
                <pt idx="44">
                  <v>-0.01383410442077504</v>
                </pt>
                <pt idx="45">
                  <v>0.008268041984066537</v>
                </pt>
                <pt idx="46">
                  <v>0.01659102279550792</v>
                </pt>
                <pt idx="47">
                  <v>0.01358325305121152</v>
                </pt>
                <pt idx="48">
                  <v>0.01832900274628607</v>
                </pt>
                <pt idx="49">
                  <v>0.01544388123044667</v>
                </pt>
                <pt idx="50">
                  <v>0.01044657231745202</v>
                </pt>
                <pt idx="51">
                  <v>0.001126593626857863</v>
                </pt>
                <pt idx="52">
                  <v>0.009566279823281327</v>
                </pt>
                <pt idx="53">
                  <v>0.01261449931984573</v>
                </pt>
                <pt idx="54">
                  <v>-0.003997480268277379</v>
                </pt>
                <pt idx="55">
                  <v>0.001295181290657385</v>
                </pt>
                <pt idx="56">
                  <v>-0.0003715547585017921</v>
                </pt>
                <pt idx="57">
                  <v>0.01488159104368879</v>
                </pt>
                <pt idx="58">
                  <v>0.004863213275756771</v>
                </pt>
                <pt idx="59">
                  <v>0.02011437557525511</v>
                </pt>
                <pt idx="60">
                  <v>0.0105927429516292</v>
                </pt>
                <pt idx="61">
                  <v>0.01229371611037755</v>
                </pt>
                <pt idx="62">
                  <v>0.008059179814192198</v>
                </pt>
                <pt idx="63">
                  <v>0.01414960116334302</v>
                </pt>
                <pt idx="64">
                  <v>0.007004559932987843</v>
                </pt>
                <pt idx="65">
                  <v>0.009436381770441121</v>
                </pt>
                <pt idx="66">
                  <v>0.0135660920737727</v>
                </pt>
                <pt idx="67">
                  <v>0.008332662818056323</v>
                </pt>
                <pt idx="68">
                  <v>0.019626532911842</v>
                </pt>
                <pt idx="69">
                  <v>0.01768911837781437</v>
                </pt>
                <pt idx="70">
                  <v>0.01847178190984801</v>
                </pt>
                <pt idx="71">
                  <v>0.002854288568574328</v>
                </pt>
                <pt idx="72">
                  <v>0.02230102495027481</v>
                </pt>
                <pt idx="73">
                  <v>0.0110286679000775</v>
                </pt>
                <pt idx="74">
                  <v>0.01718265324501202</v>
                </pt>
                <pt idx="75">
                  <v>0.02811307242521776</v>
                </pt>
                <pt idx="76">
                  <v>0.01476217704508448</v>
                </pt>
                <pt idx="77">
                  <v>0.002562422752986395</v>
                </pt>
                <pt idx="78">
                  <v>0.01141942019967716</v>
                </pt>
                <pt idx="79">
                  <v>0.004166192432638319</v>
                </pt>
                <pt idx="80">
                  <v>0.005762021404227892</v>
                </pt>
                <pt idx="81">
                  <v>0.01367177070109673</v>
                </pt>
                <pt idx="82">
                  <v>0.005119847000428022</v>
                </pt>
                <pt idx="83">
                  <v>0.006119244479884131</v>
                </pt>
                <pt idx="84">
                  <v>0.02396524884432851</v>
                </pt>
                <pt idx="85">
                  <v>0.01522725271239828</v>
                </pt>
                <pt idx="86">
                  <v>0.01874201025521227</v>
                </pt>
                <pt idx="87">
                  <v>0.00451084611355514</v>
                </pt>
                <pt idx="88">
                  <v>0.01108784258181383</v>
                </pt>
                <pt idx="89">
                  <v>0.006451089260108711</v>
                </pt>
                <pt idx="90">
                  <v>0.004875503903290479</v>
                </pt>
                <pt idx="91">
                  <v>0.007992290412091681</v>
                </pt>
                <pt idx="92">
                  <v>0.006204871502346929</v>
                </pt>
                <pt idx="93">
                  <v>0.004530037876222318</v>
                </pt>
                <pt idx="94">
                  <v>0.008767027729299066</v>
                </pt>
                <pt idx="95">
                  <v>-0.00271496207921946</v>
                </pt>
                <pt idx="96">
                  <v>0.01919534470842404</v>
                </pt>
                <pt idx="97">
                  <v>0.009190554066703965</v>
                </pt>
                <pt idx="98">
                  <v>0.007972846397950017</v>
                </pt>
                <pt idx="99">
                  <v>0.01659248752432283</v>
                </pt>
                <pt idx="100">
                  <v>0.01319820852631419</v>
                </pt>
                <pt idx="101">
                  <v>0.01903674527536165</v>
                </pt>
                <pt idx="102">
                  <v>0.01541106334797423</v>
                </pt>
                <pt idx="103">
                  <v>0.02346675562393242</v>
                </pt>
                <pt idx="104">
                  <v>0.01825725289885172</v>
                </pt>
                <pt idx="105">
                  <v>-0.0004507657982081097</v>
                </pt>
                <pt idx="106">
                  <v>0.003519854256647055</v>
                </pt>
                <pt idx="107">
                  <v>-0.00298280472908299</v>
                </pt>
                <pt idx="108">
                  <v>-0.008946647462304813</v>
                </pt>
                <pt idx="109">
                  <v>0.003600858333961503</v>
                </pt>
                <pt idx="110">
                  <v>0.004295399730967886</v>
                </pt>
                <pt idx="111">
                  <v>-0.01461696089558217</v>
                </pt>
                <pt idx="112">
                  <v>0.008387316837452453</v>
                </pt>
                <pt idx="113">
                  <v>0.01644850244830466</v>
                </pt>
                <pt idx="114">
                  <v>0.01421250508540282</v>
                </pt>
                <pt idx="115">
                  <v>0.01075343203657054</v>
                </pt>
                <pt idx="116">
                  <v>0.01999358850367307</v>
                </pt>
                <pt idx="117">
                  <v>0.00920063728138542</v>
                </pt>
                <pt idx="118">
                  <v>0.01052881660075032</v>
                </pt>
                <pt idx="119">
                  <v>0.01297480666523811</v>
                </pt>
                <pt idx="120">
                  <v>0.01178680340145936</v>
                </pt>
                <pt idx="121">
                  <v>0.005422558655997114</v>
                </pt>
                <pt idx="122">
                  <v>0.009455333423852866</v>
                </pt>
                <pt idx="123">
                  <v>0.01503558071583458</v>
                </pt>
                <pt idx="124">
                  <v>0.005617847454061878</v>
                </pt>
                <pt idx="125">
                  <v>0.02137885324658086</v>
                </pt>
                <pt idx="126">
                  <v>0.004199030697768163</v>
                </pt>
                <pt idx="127">
                  <v>0.008069215191808029</v>
                </pt>
                <pt idx="128">
                  <v>0.005179197926709806</v>
                </pt>
                <pt idx="129">
                  <v>-0.0006490425914757437</v>
                </pt>
                <pt idx="130">
                  <v>0.009730878009932491</v>
                </pt>
                <pt idx="131">
                  <v>0.00248804091476206</v>
                </pt>
                <pt idx="132">
                  <v>-0.001429291982103032</v>
                </pt>
                <pt idx="133">
                  <v>-0.02252088096682365</v>
                </pt>
                <pt idx="134">
                  <v>0.01096935773715875</v>
                </pt>
                <pt idx="135">
                  <v>0.01351086225918272</v>
                </pt>
                <pt idx="136">
                  <v>0.003349984252907695</v>
                </pt>
                <pt idx="137">
                  <v>7.266839507556744e-05</v>
                </pt>
                <pt idx="138">
                  <v>0.004625831389072553</v>
                </pt>
                <pt idx="139">
                  <v>-0.006840245907776187</v>
                </pt>
                <pt idx="140">
                  <v>0.007365965738882671</v>
                </pt>
                <pt idx="141">
                  <v>0.003046056006502131</v>
                </pt>
                <pt idx="142">
                  <v>0.006703631202649234</v>
                </pt>
                <pt idx="143">
                  <v>0.01751690881147568</v>
                </pt>
                <pt idx="144">
                  <v>0.009886894520159473</v>
                </pt>
                <pt idx="145">
                  <v>0.02036285767391317</v>
                </pt>
                <pt idx="146">
                  <v>0.01793177952356012</v>
                </pt>
                <pt idx="147">
                  <v>0.01593568034770159</v>
                </pt>
                <pt idx="148">
                  <v>0.008298830464006755</v>
                </pt>
                <pt idx="149">
                  <v>0.01400988792968359</v>
                </pt>
                <pt idx="150">
                  <v>0.007416338971566737</v>
                </pt>
                <pt idx="151">
                  <v>0.01295396213060215</v>
                </pt>
                <pt idx="152">
                  <v>0.01699034720697387</v>
                </pt>
                <pt idx="153">
                  <v>0.009180392921691925</v>
                </pt>
                <pt idx="154">
                  <v>0.01899358094424573</v>
                </pt>
                <pt idx="155">
                  <v>0.002163536360209143</v>
                </pt>
                <pt idx="156">
                  <v>0.008738862531905082</v>
                </pt>
                <pt idx="157">
                  <v>0.01089645309723142</v>
                </pt>
                <pt idx="158">
                  <v>0.01768968291638751</v>
                </pt>
                <pt idx="159">
                  <v>0.006132137639610375</v>
                </pt>
                <pt idx="160">
                  <v>0.0009956554392921079</v>
                </pt>
                <pt idx="161">
                  <v>0.01364605205260189</v>
                </pt>
                <pt idx="162">
                  <v>0.01141239261106971</v>
                </pt>
                <pt idx="163">
                  <v>0.002115577390056985</v>
                </pt>
                <pt idx="164">
                  <v>0.01766535285882107</v>
                </pt>
                <pt idx="165">
                  <v>0.007382878169711384</v>
                </pt>
                <pt idx="166">
                  <v>0.008885790620869803</v>
                </pt>
                <pt idx="167">
                  <v>0.011370094769607</v>
                </pt>
                <pt idx="168">
                  <v>0.004639353111396157</v>
                </pt>
                <pt idx="169">
                  <v>0.004667675967828199</v>
                </pt>
                <pt idx="170">
                  <v>0.00968096083374629</v>
                </pt>
                <pt idx="171">
                  <v>0.004346294695295918</v>
                </pt>
                <pt idx="172">
                  <v>0.008415861520442674</v>
                </pt>
                <pt idx="173">
                  <v>0.003046057771266203</v>
                </pt>
                <pt idx="174">
                  <v>0.00396165188657466</v>
                </pt>
                <pt idx="175">
                  <v>-0.007607500559326436</v>
                </pt>
                <pt idx="176">
                  <v>-0.003760313639195681</v>
                </pt>
                <pt idx="177">
                  <v>0.008287569831888775</v>
                </pt>
                <pt idx="178">
                  <v>0.00498584010800798</v>
                </pt>
                <pt idx="179">
                  <v>-0.0005004153084200484</v>
                </pt>
                <pt idx="180">
                  <v>0.01872348360459605</v>
                </pt>
                <pt idx="181">
                  <v>0.006788325318022059</v>
                </pt>
                <pt idx="182">
                  <v>0.01071919295931002</v>
                </pt>
                <pt idx="183">
                  <v>0.01191880257048686</v>
                </pt>
                <pt idx="184">
                  <v>0.003834006943120306</v>
                </pt>
                <pt idx="185">
                  <v>0.009095983681984329</v>
                </pt>
                <pt idx="186">
                  <v>0.01112915852578826</v>
                </pt>
                <pt idx="187">
                  <v>0.008778237760399057</v>
                </pt>
                <pt idx="188">
                  <v>0.01143767962012336</v>
                </pt>
                <pt idx="189">
                  <v>0.007780645058346574</v>
                </pt>
                <pt idx="190">
                  <v>0.007624977986774555</v>
                </pt>
                <pt idx="191">
                  <v>0.01081132844353911</v>
                </pt>
                <pt idx="192">
                  <v>0.002488994061874901</v>
                </pt>
                <pt idx="193">
                  <v>0.008766651876863946</v>
                </pt>
                <pt idx="194">
                  <v>0.009062435557834614</v>
                </pt>
                <pt idx="195">
                  <v>0.006975500883129463</v>
                </pt>
                <pt idx="196">
                  <v>0.00922282480015325</v>
                </pt>
                <pt idx="197">
                  <v>0.01075774719152686</v>
                </pt>
                <pt idx="198">
                  <v>0.006054194781041205</v>
                </pt>
                <pt idx="199">
                  <v>0.007964995960762214</v>
                </pt>
                <pt idx="200">
                  <v>0.01054099572750335</v>
                </pt>
                <pt idx="201">
                  <v>0.004501946101162331</v>
                </pt>
                <pt idx="202">
                  <v>0.0170374925143006</v>
                </pt>
                <pt idx="203">
                  <v>0.01195208208573551</v>
                </pt>
                <pt idx="204">
                  <v>0.01011522887762217</v>
                </pt>
                <pt idx="205">
                  <v>0.0176093032827233</v>
                </pt>
                <pt idx="206">
                  <v>0.01304039478738805</v>
                </pt>
                <pt idx="207">
                  <v>0.01444692780366184</v>
                </pt>
                <pt idx="208">
                  <v>0.01027073668913581</v>
                </pt>
                <pt idx="209">
                  <v>0.01531420136824717</v>
                </pt>
                <pt idx="210">
                  <v>0.01124202443706382</v>
                </pt>
                <pt idx="211">
                  <v>0.01462711528569172</v>
                </pt>
                <pt idx="212">
                  <v>0.01512054204452667</v>
                </pt>
                <pt idx="213">
                  <v>0.009337628233535291</v>
                </pt>
                <pt idx="214">
                  <v>0.009580850125240181</v>
                </pt>
                <pt idx="215">
                  <v>0.008736834344770166</v>
                </pt>
                <pt idx="216">
                  <v>0.003626871338221896</v>
                </pt>
                <pt idx="217">
                  <v>0.002009071219714641</v>
                </pt>
                <pt idx="218">
                  <v>0.003479732108512261</v>
                </pt>
                <pt idx="219">
                  <v>0.01613509670352361</v>
                </pt>
                <pt idx="220">
                  <v>0.002226368399468275</v>
                </pt>
                <pt idx="221">
                  <v>0.005058294899124197</v>
                </pt>
                <pt idx="222">
                  <v>0.006998293437869766</v>
                </pt>
                <pt idx="223">
                  <v>0.00556195890664782</v>
                </pt>
                <pt idx="224">
                  <v>0.004925699810188226</v>
                </pt>
                <pt idx="225">
                  <v>0.01144974504975874</v>
                </pt>
                <pt idx="226">
                  <v>0.01413996580819484</v>
                </pt>
                <pt idx="227">
                  <v>0.006884506386699634</v>
                </pt>
                <pt idx="228">
                  <v>0.009323659273044375</v>
                </pt>
                <pt idx="229">
                  <v>0.005456510673791827</v>
                </pt>
                <pt idx="230">
                  <v>0.01174620751571277</v>
                </pt>
                <pt idx="231">
                  <v>0.01131098508850527</v>
                </pt>
                <pt idx="232">
                  <v>0.006354137420492412</v>
                </pt>
                <pt idx="233">
                  <v>0.01108194533873076</v>
                </pt>
                <pt idx="234">
                  <v>0.008296937683487807</v>
                </pt>
                <pt idx="235">
                  <v>0.001843281590523981</v>
                </pt>
                <pt idx="236">
                  <v>0.01090462854460131</v>
                </pt>
                <pt idx="237">
                  <v>0.005184474627624975</v>
                </pt>
                <pt idx="238">
                  <v>0.006421664206044028</v>
                </pt>
                <pt idx="239">
                  <v>0.009539039616386068</v>
                </pt>
                <pt idx="240">
                  <v>0.006167647323066924</v>
                </pt>
                <pt idx="241">
                  <v>0.002624088244733562</v>
                </pt>
                <pt idx="242">
                  <v>0.00667097807080225</v>
                </pt>
                <pt idx="243">
                  <v>0.003940769069433174</v>
                </pt>
                <pt idx="244">
                  <v>-0.001371194699005569</v>
                </pt>
                <pt idx="245">
                  <v>0.002755689522032716</v>
                </pt>
                <pt idx="246">
                  <v>-0.007707311043448122</v>
                </pt>
                <pt idx="247">
                  <v>-0.008999435210191645</v>
                </pt>
                <pt idx="248">
                  <v>-0.002539513229471251</v>
                </pt>
                <pt idx="249">
                  <v>-0.004915851737721549</v>
                </pt>
                <pt idx="250">
                  <v>0.006724793937322874</v>
                </pt>
                <pt idx="251">
                  <v>-0.001101722274722022</v>
                </pt>
                <pt idx="252">
                  <v>0.005795431276732799</v>
                </pt>
                <pt idx="253">
                  <v>0.00896755549978067</v>
                </pt>
                <pt idx="254">
                  <v>0.007134297194843848</v>
                </pt>
                <pt idx="255">
                  <v>0.006128955999678863</v>
                </pt>
                <pt idx="256">
                  <v>0.003819685218851696</v>
                </pt>
                <pt idx="257">
                  <v>0.001029010950630687</v>
                </pt>
                <pt idx="258">
                  <v>0.003043969355157031</v>
                </pt>
                <pt idx="259">
                  <v>0.001726107902040745</v>
                </pt>
                <pt idx="260">
                  <v>0.007214346950939952</v>
                </pt>
                <pt idx="261">
                  <v>0.001755747639522117</v>
                </pt>
                <pt idx="262">
                  <v>0.00202556186177626</v>
                </pt>
                <pt idx="263">
                  <v>0.003980775884407702</v>
                </pt>
                <pt idx="264">
                  <v>0.005327510405434571</v>
                </pt>
                <pt idx="265">
                  <v>0.001538795144736572</v>
                </pt>
                <pt idx="266">
                  <v>0.003738594802108991</v>
                </pt>
                <pt idx="267">
                  <v>0.008014950754907706</v>
                </pt>
                <pt idx="268">
                  <v>0.003833585449784697</v>
                </pt>
                <pt idx="269">
                  <v>0.009286339463126838</v>
                </pt>
                <pt idx="270">
                  <v>0.009837410484262177</v>
                </pt>
                <pt idx="271">
                  <v>0.01117400599463125</v>
                </pt>
                <pt idx="272">
                  <v>0.006672300453265386</v>
                </pt>
                <pt idx="273">
                  <v>0.006770011489899389</v>
                </pt>
                <pt idx="274">
                  <v>0.007626225759433385</v>
                </pt>
                <pt idx="275">
                  <v>0.005032469530587889</v>
                </pt>
                <pt idx="276">
                  <v>0.007334077249414382</v>
                </pt>
                <pt idx="277">
                  <v>0.005082135090559458</v>
                </pt>
                <pt idx="278">
                  <v>0.005858404112954319</v>
                </pt>
                <pt idx="279">
                  <v>0.004847420062235772</v>
                </pt>
                <pt idx="280">
                  <v>0.007259663621718231</v>
                </pt>
                <pt idx="281">
                  <v>0.004674494455210985</v>
                </pt>
                <pt idx="282">
                  <v>0.005657324356937007</v>
                </pt>
                <pt idx="283">
                  <v>0.01052590148700814</v>
                </pt>
                <pt idx="284">
                  <v>0.00598963899562856</v>
                </pt>
                <pt idx="285">
                  <v>0.008558236733316673</v>
                </pt>
                <pt idx="286">
                  <v>0.006568383186661764</v>
                </pt>
                <pt idx="287">
                  <v>0.004257328295109893</v>
                </pt>
                <pt idx="288">
                  <v>0.001516189918089623</v>
                </pt>
                <pt idx="289">
                  <v>0.008756357540232292</v>
                </pt>
                <pt idx="290">
                  <v>0.007907701562844913</v>
                </pt>
                <pt idx="291">
                  <v>0.004299490436097296</v>
                </pt>
                <pt idx="292">
                  <v>-0.01769887057729196</v>
                </pt>
                <pt idx="293">
                  <v>-0.09666841318164703</v>
                </pt>
                <pt idx="294">
                  <v>0.09053682169174428</v>
                </pt>
                <pt idx="295">
                  <v>0.008355727956148742</v>
                </pt>
                <pt idx="296">
                  <v>0.02744232576441372</v>
                </pt>
                <pt idx="297">
                  <v>0.0288288851237533</v>
                </pt>
                <pt idx="298">
                  <v>0.003926937765675945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33375"/>
        <axId val="512735023"/>
      </barChart>
      <dateAx>
        <axId val="5127333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5023"/>
        <crosses val="autoZero"/>
        <lblOffset val="100"/>
        <baseTimeUnit val="months"/>
      </dateAx>
      <valAx>
        <axId val="512735023"/>
        <scaling>
          <orientation val="minMax"/>
          <max val="0.1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333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PersonalConsumption!$D$5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PersonalConsumption!$D$6:$D$304</f>
              <numCache>
                <formatCode>0.00%</formatCode>
                <ptCount val="299"/>
                <pt idx="4">
                  <v>0.02535852955911824</v>
                </pt>
                <pt idx="5">
                  <v>0.02031505545579709</v>
                </pt>
                <pt idx="6">
                  <v>0.01850144866358385</v>
                </pt>
                <pt idx="7">
                  <v>0.02630319026501155</v>
                </pt>
                <pt idx="8">
                  <v>0.02286778324581586</v>
                </pt>
                <pt idx="9">
                  <v>0.0266000037733712</v>
                </pt>
                <pt idx="10">
                  <v>0.02741156762728224</v>
                </pt>
                <pt idx="11">
                  <v>0.0342204299869469</v>
                </pt>
                <pt idx="12">
                  <v>0.04974074237173524</v>
                </pt>
                <pt idx="13">
                  <v>0.05092103193214548</v>
                </pt>
                <pt idx="14">
                  <v>0.1023876215979528</v>
                </pt>
                <pt idx="15">
                  <v>0.05370696460015788</v>
                </pt>
                <pt idx="16">
                  <v>0.06151252569450709</v>
                </pt>
                <pt idx="17">
                  <v>0.014802835216506</v>
                </pt>
                <pt idx="18">
                  <v>-0.02351891513190588</v>
                </pt>
                <pt idx="19">
                  <v>0.0126988243074335</v>
                </pt>
                <pt idx="20">
                  <v>-0.00891997143894405</v>
                </pt>
                <pt idx="21">
                  <v>0.03987446519152481</v>
                </pt>
                <pt idx="22">
                  <v>0.03282994493252497</v>
                </pt>
                <pt idx="23">
                  <v>0.06307254073790576</v>
                </pt>
                <pt idx="24">
                  <v>0.07307121736926582</v>
                </pt>
                <pt idx="25">
                  <v>0.05879685881157429</v>
                </pt>
                <pt idx="26">
                  <v>0.05123242142789765</v>
                </pt>
                <pt idx="27">
                  <v>0.008601853167596136</v>
                </pt>
                <pt idx="28">
                  <v>0.0005712511407703595</v>
                </pt>
                <pt idx="29">
                  <v>0.007498895011713544</v>
                </pt>
                <pt idx="30">
                  <v>0.02357205567377905</v>
                </pt>
                <pt idx="31">
                  <v>0.05210915762579513</v>
                </pt>
                <pt idx="32">
                  <v>0.07176281748654509</v>
                </pt>
                <pt idx="33">
                  <v>0.0782921554981109</v>
                </pt>
                <pt idx="34">
                  <v>0.07703461370802658</v>
                </pt>
                <pt idx="35">
                  <v>0.06814184427826735</v>
                </pt>
                <pt idx="36">
                  <v>0.04639868534806794</v>
                </pt>
                <pt idx="37">
                  <v>0.03014451896357589</v>
                </pt>
                <pt idx="38">
                  <v>0.01987696297675132</v>
                </pt>
                <pt idx="39">
                  <v>0.02111406384310031</v>
                </pt>
                <pt idx="40">
                  <v>0.02654775863143129</v>
                </pt>
                <pt idx="41">
                  <v>0.0249286326844683</v>
                </pt>
                <pt idx="42">
                  <v>0.03069727202958211</v>
                </pt>
                <pt idx="43">
                  <v>0.01710432720153453</v>
                </pt>
                <pt idx="44">
                  <v>-0.003894024787911707</v>
                </pt>
                <pt idx="45">
                  <v>0.002593681176981054</v>
                </pt>
                <pt idx="46">
                  <v>0.01123672779988119</v>
                </pt>
                <pt idx="47">
                  <v>0.02454650910392006</v>
                </pt>
                <pt idx="48">
                  <v>0.05796137299007484</v>
                </pt>
                <pt idx="49">
                  <v>0.06549087945595206</v>
                </pt>
                <pt idx="50">
                  <v>0.0590508698583518</v>
                </pt>
                <pt idx="51">
                  <v>0.04603542592794144</v>
                </pt>
                <pt idx="52">
                  <v>0.03703428918300528</v>
                </pt>
                <pt idx="53">
                  <v>0.03414474884234965</v>
                </pt>
                <pt idx="54">
                  <v>0.0193619374174206</v>
                </pt>
                <pt idx="55">
                  <v>0.01953359587569088</v>
                </pt>
                <pt idx="56">
                  <v>0.0094976463507556</v>
                </pt>
                <pt idx="57">
                  <v>0.01175775990909203</v>
                </pt>
                <pt idx="58">
                  <v>0.02075861610548767</v>
                </pt>
                <pt idx="59">
                  <v>0.03994362275797651</v>
                </pt>
                <pt idx="60">
                  <v>0.05135011237514218</v>
                </pt>
                <pt idx="61">
                  <v>0.04866924534005133</v>
                </pt>
                <pt idx="62">
                  <v>0.05200453692373617</v>
                </pt>
                <pt idx="63">
                  <v>0.04585329555972775</v>
                </pt>
                <pt idx="64">
                  <v>0.04213991738509629</v>
                </pt>
                <pt idx="65">
                  <v>0.03919833815213949</v>
                </pt>
                <pt idx="66">
                  <v>0.04487536008011849</v>
                </pt>
                <pt idx="67">
                  <v>0.03888218556116866</v>
                </pt>
                <pt idx="68">
                  <v>0.05190371832884413</v>
                </pt>
                <pt idx="69">
                  <v>0.060503650410209</v>
                </pt>
                <pt idx="70">
                  <v>0.06563651941561716</v>
                </pt>
                <pt idx="71">
                  <v>0.05984680746583423</v>
                </pt>
                <pt idx="72">
                  <v>0.06262679774367734</v>
                </pt>
                <pt idx="73">
                  <v>0.0556722444966411</v>
                </pt>
                <pt idx="74">
                  <v>0.05433602941908599</v>
                </pt>
                <pt idx="75">
                  <v>0.0808914783840403</v>
                </pt>
                <pt idx="76">
                  <v>0.07292056154186072</v>
                </pt>
                <pt idx="77">
                  <v>0.06393604034501391</v>
                </pt>
                <pt idx="78">
                  <v>0.05790790830178868</v>
                </pt>
                <pt idx="79">
                  <v>0.03326704495439031</v>
                </pt>
                <pt idx="80">
                  <v>0.02410276544779976</v>
                </pt>
                <pt idx="81">
                  <v>0.03545080093943593</v>
                </pt>
                <pt idx="82">
                  <v>0.02900154953644097</v>
                </pt>
                <pt idx="83">
                  <v>0.03100290508703233</v>
                </pt>
                <pt idx="84">
                  <v>0.04966296579055815</v>
                </pt>
                <pt idx="85">
                  <v>0.05127367638585014</v>
                </pt>
                <pt idx="86">
                  <v>0.06552135211120985</v>
                </pt>
                <pt idx="87">
                  <v>0.06381799258257836</v>
                </pt>
                <pt idx="88">
                  <v>0.0504393974639257</v>
                </pt>
                <pt idx="89">
                  <v>0.04135884153495719</v>
                </pt>
                <pt idx="90">
                  <v>0.02718448841570482</v>
                </pt>
                <pt idx="91">
                  <v>0.03074451526317578</v>
                </pt>
                <pt idx="92">
                  <v>0.02576661379271877</v>
                </pt>
                <pt idx="93">
                  <v>0.02380869413422885</v>
                </pt>
                <pt idx="94">
                  <v>0.02777353944195318</v>
                </pt>
                <pt idx="95">
                  <v>0.01685616349040244</v>
                </pt>
                <pt idx="96">
                  <v>0.02998414877488398</v>
                </pt>
                <pt idx="97">
                  <v>0.03476275928956157</v>
                </pt>
                <pt idx="98">
                  <v>0.03394811205862183</v>
                </pt>
                <pt idx="99">
                  <v>0.05396535919176822</v>
                </pt>
                <pt idx="100">
                  <v>0.04776362973615769</v>
                </pt>
                <pt idx="101">
                  <v>0.05798616005839209</v>
                </pt>
                <pt idx="102">
                  <v>0.06579344436844031</v>
                </pt>
                <pt idx="103">
                  <v>0.07300041271151465</v>
                </pt>
                <pt idx="104">
                  <v>0.07835805809025463</v>
                </pt>
                <pt idx="105">
                  <v>0.05773611811042739</v>
                </pt>
                <pt idx="106">
                  <v>0.04534925155174629</v>
                </pt>
                <pt idx="107">
                  <v>0.01833417952623452</v>
                </pt>
                <pt idx="108">
                  <v>-0.008871776017245033</v>
                </pt>
                <pt idx="109">
                  <v>-0.00485428603980562</v>
                </pt>
                <pt idx="110">
                  <v>-0.004085212312486797</v>
                </pt>
                <pt idx="111">
                  <v>-0.01570650452634274</v>
                </pt>
                <pt idx="112">
                  <v>0.001509226864238185</v>
                </pt>
                <pt idx="113">
                  <v>0.01433009485885384</v>
                </pt>
                <pt idx="114">
                  <v>0.02434628971306099</v>
                </pt>
                <pt idx="115">
                  <v>0.05071985901280537</v>
                </pt>
                <pt idx="116">
                  <v>0.06281336705795011</v>
                </pt>
                <pt idx="117">
                  <v>0.05523489361489711</v>
                </pt>
                <pt idx="118">
                  <v>0.05140220903772817</v>
                </pt>
                <pt idx="119">
                  <v>0.05371291916509873</v>
                </pt>
                <pt idx="120">
                  <v>0.04523483108250573</v>
                </pt>
                <pt idx="121">
                  <v>0.0413218535952322</v>
                </pt>
                <pt idx="122">
                  <v>0.04021565902343325</v>
                </pt>
                <pt idx="123">
                  <v>0.04233185127523919</v>
                </pt>
                <pt idx="124">
                  <v>0.03597665939937237</v>
                </pt>
                <pt idx="125">
                  <v>0.05241785481917899</v>
                </pt>
                <pt idx="126">
                  <v>0.04693784331584331</v>
                </pt>
                <pt idx="127">
                  <v>0.03975252702148178</v>
                </pt>
                <pt idx="128">
                  <v>0.03929898798008969</v>
                </pt>
                <pt idx="129">
                  <v>0.01688461178750162</v>
                </pt>
                <pt idx="130">
                  <v>0.02248634036374736</v>
                </pt>
                <pt idx="131">
                  <v>0.0168253456865285</v>
                </pt>
                <pt idx="132">
                  <v>0.01014028888287139</v>
                </pt>
                <pt idx="133">
                  <v>-0.01196768526883773</v>
                </pt>
                <pt idx="134">
                  <v>-0.01075581979231524</v>
                </pt>
                <pt idx="135">
                  <v>0.0001213791561002883</v>
                </pt>
                <pt idx="136">
                  <v>0.00490807708459714</v>
                </pt>
                <pt idx="137">
                  <v>0.02813562210493375</v>
                </pt>
                <pt idx="138">
                  <v>0.0216843826501329</v>
                </pt>
                <pt idx="139">
                  <v>0.001169151725564573</v>
                </pt>
                <pt idx="140">
                  <v>0.00517640427030142</v>
                </pt>
                <pt idx="141">
                  <v>0.008164966164060629</v>
                </pt>
                <pt idx="142">
                  <v>0.0102500857312669</v>
                </pt>
                <pt idx="143">
                  <v>0.03502637931535928</v>
                </pt>
                <pt idx="144">
                  <v>0.03761652815673193</v>
                </pt>
                <pt idx="145">
                  <v>0.05553016185013959</v>
                </pt>
                <pt idx="146">
                  <v>0.06730289102991814</v>
                </pt>
                <pt idx="147">
                  <v>0.06564429479810106</v>
                </pt>
                <pt idx="148">
                  <v>0.06396855129613477</v>
                </pt>
                <pt idx="149">
                  <v>0.05734408435835814</v>
                </pt>
                <pt idx="150">
                  <v>0.04642150674979173</v>
                </pt>
                <pt idx="151">
                  <v>0.04335031422274844</v>
                </pt>
                <pt idx="152">
                  <v>0.05234397408911355</v>
                </pt>
                <pt idx="153">
                  <v>0.04733190267832085</v>
                </pt>
                <pt idx="154">
                  <v>0.05936785484025559</v>
                </pt>
                <pt idx="155">
                  <v>0.04808300811617473</v>
                </pt>
                <pt idx="156">
                  <v>0.03957924905550927</v>
                </pt>
                <pt idx="157">
                  <v>0.0413470009471771</v>
                </pt>
                <pt idx="158">
                  <v>0.04001449961817669</v>
                </pt>
                <pt idx="159">
                  <v>0.04413299198397457</v>
                </pt>
                <pt idx="160">
                  <v>0.03611809507708971</v>
                </pt>
                <pt idx="161">
                  <v>0.03893629591569765</v>
                </pt>
                <pt idx="162">
                  <v>0.03252795273636505</v>
                </pt>
                <pt idx="163">
                  <v>0.02840601827431417</v>
                </pt>
                <pt idx="164">
                  <v>0.04553218366364545</v>
                </pt>
                <pt idx="165">
                  <v>0.03907198993706465</v>
                </pt>
                <pt idx="166">
                  <v>0.03647629170663421</v>
                </pt>
                <pt idx="167">
                  <v>0.04604812959790075</v>
                </pt>
                <pt idx="168">
                  <v>0.03265883356491805</v>
                </pt>
                <pt idx="169">
                  <v>0.02987550500191538</v>
                </pt>
                <pt idx="170">
                  <v>0.03068721860930466</v>
                </pt>
                <pt idx="171">
                  <v>0.02352926426588634</v>
                </pt>
                <pt idx="172">
                  <v>0.02737678114986482</v>
                </pt>
                <pt idx="173">
                  <v>0.02571850854600803</v>
                </pt>
                <pt idx="174">
                  <v>0.01990835536815418</v>
                </pt>
                <pt idx="175">
                  <v>0.007769339450095423</v>
                </pt>
                <pt idx="176">
                  <v>-0.004399029241721956</v>
                </pt>
                <pt idx="177">
                  <v>0.0008035778124269643</v>
                </pt>
                <pt idx="178">
                  <v>0.001824544334841125</v>
                </pt>
                <pt idx="179">
                  <v>0.008999177806024276</v>
                </pt>
                <pt idx="180">
                  <v>0.03177093970582783</v>
                </pt>
                <pt idx="181">
                  <v>0.03023677726328282</v>
                </pt>
                <pt idx="182">
                  <v>0.03611418441541131</v>
                </pt>
                <pt idx="183">
                  <v>0.04898835465096131</v>
                </pt>
                <pt idx="184">
                  <v>0.03365653215338787</v>
                </pt>
                <pt idx="185">
                  <v>0.03602577510337394</v>
                </pt>
                <pt idx="186">
                  <v>0.03644600546679735</v>
                </pt>
                <pt idx="187">
                  <v>0.03322931866934222</v>
                </pt>
                <pt idx="188">
                  <v>0.0410556500001254</v>
                </pt>
                <pt idx="189">
                  <v>0.03969865252124829</v>
                </pt>
                <pt idx="190">
                  <v>0.03609546122379268</v>
                </pt>
                <pt idx="191">
                  <v>0.03818360701263761</v>
                </pt>
                <pt idx="192">
                  <v>0.02899828710803056</v>
                </pt>
                <pt idx="193">
                  <v>0.03000505314616228</v>
                </pt>
                <pt idx="194">
                  <v>0.03147443768328766</v>
                </pt>
                <pt idx="195">
                  <v>0.02756019774098709</v>
                </pt>
                <pt idx="196">
                  <v>0.03446243455951177</v>
                </pt>
                <pt idx="197">
                  <v>0.03650424799854054</v>
                </pt>
                <pt idx="198">
                  <v>0.03341419704205531</v>
                </pt>
                <pt idx="199">
                  <v>0.03442967185771083</v>
                </pt>
                <pt idx="200">
                  <v>0.0357807660723122</v>
                </pt>
                <pt idx="201">
                  <v>0.02937009203713613</v>
                </pt>
                <pt idx="202">
                  <v>0.040607934150619</v>
                </pt>
                <pt idx="203">
                  <v>0.04472414202729666</v>
                </pt>
                <pt idx="204">
                  <v>0.0442839729408109</v>
                </pt>
                <pt idx="205">
                  <v>0.05791043039611211</v>
                </pt>
                <pt idx="206">
                  <v>0.05375269638164665</v>
                </pt>
                <pt idx="207">
                  <v>0.05635059646887464</v>
                </pt>
                <pt idx="208">
                  <v>0.05651322224141203</v>
                </pt>
                <pt idx="209">
                  <v>0.05413037696748088</v>
                </pt>
                <pt idx="210">
                  <v>0.05225906282732531</v>
                </pt>
                <pt idx="211">
                  <v>0.05244596655365871</v>
                </pt>
                <pt idx="212">
                  <v>0.05749823412856523</v>
                </pt>
                <pt idx="213">
                  <v>0.05127334775587306</v>
                </pt>
                <pt idx="214">
                  <v>0.04954641371061416</v>
                </pt>
                <pt idx="215">
                  <v>0.04345341348998485</v>
                </pt>
                <pt idx="216">
                  <v>0.03163894472958664</v>
                </pt>
                <pt idx="217">
                  <v>0.02414846323692673</v>
                </pt>
                <pt idx="218">
                  <v>0.01795930994614878</v>
                </pt>
                <pt idx="219">
                  <v>0.02542521164528631</v>
                </pt>
                <pt idx="220">
                  <v>0.02399429039019238</v>
                </pt>
                <pt idx="221">
                  <v>0.02711041750672355</v>
                </pt>
                <pt idx="222">
                  <v>0.03071183652933376</v>
                </pt>
                <pt idx="223">
                  <v>0.01998702413790111</v>
                </pt>
                <pt idx="224">
                  <v>0.02273419094531522</v>
                </pt>
                <pt idx="225">
                  <v>0.02923804712157076</v>
                </pt>
                <pt idx="226">
                  <v>0.03653744471888056</v>
                </pt>
                <pt idx="227">
                  <v>0.03790073215567148</v>
                </pt>
                <pt idx="228">
                  <v>0.04244300363639044</v>
                </pt>
                <pt idx="229">
                  <v>0.03626612211068255</v>
                </pt>
                <pt idx="230">
                  <v>0.03382013762466158</v>
                </pt>
                <pt idx="231">
                  <v>0.03836503109721624</v>
                </pt>
                <pt idx="232">
                  <v>0.03531006689179</v>
                </pt>
                <pt idx="233">
                  <v>0.04110252939755309</v>
                </pt>
                <pt idx="234">
                  <v>0.037553177277201</v>
                </pt>
                <pt idx="235">
                  <v>0.02783979930475737</v>
                </pt>
                <pt idx="236">
                  <v>0.03248744341911537</v>
                </pt>
                <pt idx="237">
                  <v>0.02646511804260122</v>
                </pt>
                <pt idx="238">
                  <v>0.02455605461153611</v>
                </pt>
                <pt idx="239">
                  <v>0.03242628304457459</v>
                </pt>
                <pt idx="240">
                  <v>0.02758845385940045</v>
                </pt>
                <pt idx="241">
                  <v>0.02497100049547665</v>
                </pt>
                <pt idx="242">
                  <v>0.02522490945877408</v>
                </pt>
                <pt idx="243">
                  <v>0.01953965491249478</v>
                </pt>
                <pt idx="244">
                  <v>0.01190062138356668</v>
                </pt>
                <pt idx="245">
                  <v>0.01203344026936367</v>
                </pt>
                <pt idx="246">
                  <v>-0.002421440932604296</v>
                </pt>
                <pt idx="247">
                  <v>-0.0152796400784277</v>
                </pt>
                <pt idx="248">
                  <v>-0.01643168680261211</v>
                </pt>
                <pt idx="249">
                  <v>-0.02395643582705021</v>
                </pt>
                <pt idx="250">
                  <v>-0.009760661394042485</v>
                </pt>
                <pt idx="251">
                  <v>-0.00186901499989748</v>
                </pt>
                <pt idx="252">
                  <v>0.006471532300210817</v>
                </pt>
                <pt idx="253">
                  <v>0.02051381624200436</v>
                </pt>
                <pt idx="254">
                  <v>0.02092892843017431</v>
                </pt>
                <pt idx="255">
                  <v>0.02831907894611871</v>
                </pt>
                <pt idx="256">
                  <v>0.02629908829663571</v>
                </pt>
                <pt idx="257">
                  <v>0.01822417945661937</v>
                </pt>
                <pt idx="258">
                  <v>0.01408881169099563</v>
                </pt>
                <pt idx="259">
                  <v>0.009651131045025605</v>
                </pt>
                <pt idx="260">
                  <v>0.013065513237153</v>
                </pt>
                <pt idx="261">
                  <v>0.01380098830197744</v>
                </pt>
                <pt idx="262">
                  <v>0.01277165902546794</v>
                </pt>
                <pt idx="263">
                  <v>0.01505118814529466</v>
                </pt>
                <pt idx="264">
                  <v>0.01314967067470954</v>
                </pt>
                <pt idx="265">
                  <v>0.01293025057239221</v>
                </pt>
                <pt idx="266">
                  <v>0.0146619258424981</v>
                </pt>
                <pt idx="267">
                  <v>0.01873901948971573</v>
                </pt>
                <pt idx="268">
                  <v>0.01722516492117199</v>
                </pt>
                <pt idx="269">
                  <v>0.02509405336085516</v>
                </pt>
                <pt idx="270">
                  <v>0.03132262693638031</v>
                </pt>
                <pt idx="271">
                  <v>0.0345547269623064</v>
                </pt>
                <pt idx="272">
                  <v>0.037480317486391</v>
                </pt>
                <pt idx="273">
                  <v>0.03489369697793095</v>
                </pt>
                <pt idx="274">
                  <v>0.03262764789832532</v>
                </pt>
                <pt idx="275">
                  <v>0.02635580910920541</v>
                </pt>
                <pt idx="276">
                  <v>0.02703052565674067</v>
                </pt>
                <pt idx="277">
                  <v>0.02530868197260835</v>
                </pt>
                <pt idx="278">
                  <v>0.02350983748446694</v>
                </pt>
                <pt idx="279">
                  <v>0.0233213859099938</v>
                </pt>
                <pt idx="280">
                  <v>0.02324579127029637</v>
                </pt>
                <pt idx="281">
                  <v>0.02283078382970198</v>
                </pt>
                <pt idx="282">
                  <v>0.02262631114883708</v>
                </pt>
                <pt idx="283">
                  <v>0.02840526265570615</v>
                </pt>
                <pt idx="284">
                  <v>0.02710857615435582</v>
                </pt>
                <pt idx="285">
                  <v>0.03107904123874981</v>
                </pt>
                <pt idx="286">
                  <v>0.03201313045772446</v>
                </pt>
                <pt idx="287">
                  <v>0.02561126600897093</v>
                </pt>
                <pt idx="288">
                  <v>0.02105056320051854</v>
                </pt>
                <pt idx="289">
                  <v>0.02125113799542394</v>
                </pt>
                <pt idx="290">
                  <v>0.02260999293132507</v>
                </pt>
                <pt idx="291">
                  <v>0.0226529255796437</v>
                </pt>
                <pt idx="292">
                  <v>0.003032336288522065</v>
                </pt>
                <pt idx="293">
                  <v>-0.1017942189935654</v>
                </pt>
                <pt idx="294">
                  <v>-0.02815855447371761</v>
                </pt>
                <pt idx="295">
                  <v>-0.02423341085627637</v>
                </pt>
                <pt idx="296">
                  <v>0.0206074936941435</v>
                </pt>
                <pt idx="297">
                  <v>0.1623976015104626</v>
                </pt>
                <pt idx="298">
                  <v>0.07008057072319898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890080"/>
        <axId val="2129891728"/>
      </barChart>
      <dateAx>
        <axId val="212989008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1728"/>
        <crosses val="autoZero"/>
        <lblOffset val="100"/>
        <baseTimeUnit val="months"/>
      </dateAx>
      <valAx>
        <axId val="21298917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890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PersonalConsumption!$E$5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PersonalConsumption!$A$6:$A$304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PersonalConsumption!$E$6:$E$304</f>
              <numCache>
                <formatCode>0.00%</formatCode>
                <ptCount val="299"/>
                <pt idx="0">
                  <v>0</v>
                </pt>
                <pt idx="1">
                  <v>0.06822470397893965</v>
                </pt>
                <pt idx="2">
                  <v>0.01310161540877863</v>
                </pt>
                <pt idx="3">
                  <v>0.001274665286614907</v>
                </pt>
                <pt idx="4">
                  <v>0.02007978505927732</v>
                </pt>
                <pt idx="5">
                  <v>0.04736197700156541</v>
                </pt>
                <pt idx="6">
                  <v>0.005917658296603845</v>
                </pt>
                <pt idx="7">
                  <v>0.03230810943926632</v>
                </pt>
                <pt idx="8">
                  <v>0.00648991088783113</v>
                </pt>
                <pt idx="9">
                  <v>0.06273222357658281</v>
                </pt>
                <pt idx="10">
                  <v>0.009102287047188851</v>
                </pt>
                <pt idx="11">
                  <v>0.05994659670351954</v>
                </pt>
                <pt idx="12">
                  <v>0.06828022387013122</v>
                </pt>
                <pt idx="13">
                  <v>0.06751987740613097</v>
                </pt>
                <pt idx="14">
                  <v>0.2217776270550456</v>
                </pt>
                <pt idx="15">
                  <v>-0.1152387877455819</v>
                </pt>
                <pt idx="16">
                  <v>0.1002877530944755</v>
                </pt>
                <pt idx="17">
                  <v>-0.1083340851254498</v>
                </pt>
                <pt idx="18">
                  <v>0.0474199003318565</v>
                </pt>
                <pt idx="19">
                  <v>0.02350968769505246</v>
                </pt>
                <pt idx="20">
                  <v>0.009299259389054848</v>
                </pt>
                <pt idx="21">
                  <v>0.08066459330220832</v>
                </pt>
                <pt idx="22">
                  <v>0.01932446777117636</v>
                </pt>
                <pt idx="23">
                  <v>0.148757276912943</v>
                </pt>
                <pt idx="24">
                  <v>0.04780999590134649</v>
                </pt>
                <pt idx="25">
                  <v>0.02430033545478527</v>
                </pt>
                <pt idx="26">
                  <v>-0.009494573985822097</v>
                </pt>
                <pt idx="27">
                  <v>-0.02655294403694197</v>
                </pt>
                <pt idx="28">
                  <v>0.01483531479542499</v>
                </pt>
                <pt idx="29">
                  <v>0.05296405851323316</v>
                </pt>
                <pt idx="30">
                  <v>0.05524238825311945</v>
                </pt>
                <pt idx="31">
                  <v>0.08663041236510249</v>
                </pt>
                <pt idx="32">
                  <v>0.09281617095992689</v>
                </pt>
                <pt idx="33">
                  <v>0.07885874498421663</v>
                </pt>
                <pt idx="34">
                  <v>0.05032835159150117</v>
                </pt>
                <pt idx="35">
                  <v>0.05118444945770628</v>
                </pt>
                <pt idx="36">
                  <v>0.006514739248429047</v>
                </pt>
                <pt idx="37">
                  <v>0.01337099446192558</v>
                </pt>
                <pt idx="38">
                  <v>0.009075338158526902</v>
                </pt>
                <pt idx="39">
                  <v>0.05629404307264108</v>
                </pt>
                <pt idx="40">
                  <v>0.02811038079428951</v>
                </pt>
                <pt idx="41">
                  <v>0.006992733110164684</v>
                </pt>
                <pt idx="42">
                  <v>0.03198549945252971</v>
                </pt>
                <pt idx="43">
                  <v>0.001664615339675768</v>
                </pt>
                <pt idx="44">
                  <v>-0.05419867680403101</v>
                </pt>
                <pt idx="45">
                  <v>0.03348459654946856</v>
                </pt>
                <pt idx="46">
                  <v>0.06803400669057669</v>
                </pt>
                <pt idx="47">
                  <v>0.05545009952713742</v>
                </pt>
                <pt idx="48">
                  <v>0.07535646858473299</v>
                </pt>
                <pt idx="49">
                  <v>0.06322139690987494</v>
                </pt>
                <pt idx="50">
                  <v>0.04244564659269345</v>
                </pt>
                <pt idx="51">
                  <v>0.004513995507792856</v>
                </pt>
                <pt idx="52">
                  <v>0.03881771170884551</v>
                </pt>
                <pt idx="53">
                  <v>0.05142080531762327</v>
                </pt>
                <pt idx="54">
                  <v>-0.01589429724329872</v>
                </pt>
                <pt idx="55">
                  <v>0.005190798823536014</v>
                </pt>
                <pt idx="56">
                  <v>-0.001485390921533769</v>
                </pt>
                <pt idx="57">
                  <v>0.06086836654491212</v>
                </pt>
                <pt idx="58">
                  <v>0.01959521879896386</v>
                </pt>
                <pt idx="59">
                  <v>0.08291774676962094</v>
                </pt>
                <pt idx="60">
                  <v>0.04304897590205869</v>
                </pt>
                <pt idx="61">
                  <v>0.05008913208380306</v>
                </pt>
                <pt idx="62">
                  <v>0.03262851953812818</v>
                </pt>
                <pt idx="63">
                  <v>0.05781104365164635</v>
                </pt>
                <pt idx="64">
                  <v>0.02831399998133022</v>
                </pt>
                <pt idx="65">
                  <v>0.03828316787815211</v>
                </pt>
                <pt idx="66">
                  <v>0.0553786220424779</v>
                </pt>
                <pt idx="67">
                  <v>0.03374956996713729</v>
                </pt>
                <pt idx="68">
                  <v>0.08084772541611263</v>
                </pt>
                <pt idx="69">
                  <v>0.07265614092254924</v>
                </pt>
                <pt idx="70">
                  <v>0.07595969520795665</v>
                </pt>
                <pt idx="71">
                  <v>0.01146612913520251</v>
                </pt>
                <pt idx="72">
                  <v>0.09223272581155961</v>
                </pt>
                <pt idx="73">
                  <v>0.044849841222806</v>
                </pt>
                <pt idx="74">
                  <v>0.0705224538557645</v>
                </pt>
                <pt idx="75">
                  <v>0.1172838594799963</v>
                </pt>
                <pt idx="76">
                  <v>0.06036915490191608</v>
                </pt>
                <pt idx="77">
                  <v>0.01028915441682532</v>
                </pt>
                <pt idx="78">
                  <v>0.04646607326368501</v>
                </pt>
                <pt idx="79">
                  <v>0.0167692022412036</v>
                </pt>
                <pt idx="80">
                  <v>0.02324805728015833</v>
                </pt>
                <pt idx="81">
                  <v>0.05581884358972333</v>
                </pt>
                <pt idx="82">
                  <v>0.02063720251145562</v>
                </pt>
                <pt idx="83">
                  <v>0.02470256678388649</v>
                </pt>
                <pt idx="84">
                  <v>0.09936238029655242</v>
                </pt>
                <pt idx="85">
                  <v>0.06231440288908541</v>
                </pt>
                <pt idx="86">
                  <v>0.07710207559207194</v>
                </pt>
                <pt idx="87">
                  <v>0.01816583840617536</v>
                </pt>
                <pt idx="88">
                  <v>0.04509447952896939</v>
                </pt>
                <pt idx="89">
                  <v>0.02605513197660625</v>
                </pt>
                <pt idx="90">
                  <v>0.01964510298147548</v>
                </pt>
                <pt idx="91">
                  <v>0.03235446804952846</v>
                </pt>
                <pt idx="92">
                  <v>0.02505144563472705</v>
                </pt>
                <pt idx="93">
                  <v>0.01824365123300598</v>
                </pt>
                <pt idx="94">
                  <v>0.03553197683820275</v>
                </pt>
                <pt idx="95">
                  <v>-0.01081570219614569</v>
                </pt>
                <pt idx="96">
                  <v>0.07902057311171906</v>
                </pt>
                <pt idx="97">
                  <v>0.03727212627348808</v>
                </pt>
                <pt idx="98">
                  <v>0.03227481452731995</v>
                </pt>
                <pt idx="99">
                  <v>0.06804016210029706</v>
                </pt>
                <pt idx="100">
                  <v>0.0538472168249331</v>
                </pt>
                <pt idx="101">
                  <v>0.07834909394617307</v>
                </pt>
                <pt idx="102">
                  <v>0.06308395560368152</v>
                </pt>
                <pt idx="103">
                  <v>0.09722314897180206</v>
                </pt>
                <pt idx="104">
                  <v>0.07505342896500666</v>
                </pt>
                <pt idx="105">
                  <v>-0.001801844420326271</v>
                </pt>
                <pt idx="106">
                  <v>0.01415392785917602</v>
                </pt>
                <pt idx="107">
                  <v>-0.01187794224639682</v>
                </pt>
                <pt idx="108">
                  <v>-0.0353091928856758</v>
                </pt>
                <pt idx="109">
                  <v>0.01448141734593555</v>
                </pt>
                <pt idx="110">
                  <v>0.01729261902576718</v>
                </pt>
                <pt idx="111">
                  <v>-0.05719835663773221</v>
                </pt>
                <pt idx="112">
                  <v>0.033973714894032</v>
                </pt>
                <pt idx="113">
                  <v>0.06743520317106988</v>
                </pt>
                <pt idx="114">
                  <v>0.05807351638548752</v>
                </pt>
                <pt idx="115">
                  <v>0.04371253326982338</v>
                </pt>
                <pt idx="116">
                  <v>0.08240494453183045</v>
                </pt>
                <pt idx="117">
                  <v>0.03731358204907664</v>
                </pt>
                <pt idx="118">
                  <v>0.0427850832952108</v>
                </pt>
                <pt idx="119">
                  <v>0.05291806565606549</v>
                </pt>
                <pt idx="120">
                  <v>0.04798735541629684</v>
                </pt>
                <pt idx="121">
                  <v>0.02186729812560495</v>
                </pt>
                <pt idx="122">
                  <v>0.03836114302248794</v>
                </pt>
                <pt idx="123">
                  <v>0.0615123823911552</v>
                </pt>
                <pt idx="124">
                  <v>0.02266146127417867</v>
                </pt>
                <pt idx="125">
                  <v>0.08829703936115729</v>
                </pt>
                <pt idx="126">
                  <v>0.01690221040162521</v>
                </pt>
                <pt idx="127">
                  <v>0.03266964002821049</v>
                </pt>
                <pt idx="128">
                  <v>0.02087829268246444</v>
                </pt>
                <pt idx="129">
                  <v>-0.002593643921665167</v>
                </pt>
                <pt idx="130">
                  <v>0.03949534659383191</v>
                </pt>
                <pt idx="131">
                  <v>0.009989367390282444</v>
                </pt>
                <pt idx="132">
                  <v>-0.005704922350280861</v>
                </pt>
                <pt idx="133">
                  <v>-0.08708581561802087</v>
                </pt>
                <pt idx="134">
                  <v>0.04460468591343147</v>
                </pt>
                <pt idx="135">
                  <v>0.05514860802762289</v>
                </pt>
                <pt idx="136">
                  <v>0.01346742188392058</v>
                </pt>
                <pt idx="137">
                  <v>0.0002907052660112708</v>
                </pt>
                <pt idx="138">
                  <v>0.01863211185042712</v>
                </pt>
                <pt idx="139">
                  <v>-0.0270815278495049</v>
                </pt>
                <pt idx="140">
                  <v>0.02979100924110845</v>
                </pt>
                <pt idx="141">
                  <v>0.01224000790606827</v>
                </pt>
                <pt idx="142">
                  <v>0.02708536386700411</v>
                </pt>
                <pt idx="143">
                  <v>0.07193028166377324</v>
                </pt>
                <pt idx="144">
                  <v>0.0401379575381291</v>
                </pt>
                <pt idx="145">
                  <v>0.08397325197052785</v>
                </pt>
                <pt idx="146">
                  <v>0.07367957755189569</v>
                </pt>
                <pt idx="147">
                  <v>0.06528264853146637</v>
                </pt>
                <pt idx="148">
                  <v>0.03361083630291128</v>
                </pt>
                <pt idx="149">
                  <v>0.05722825127503262</v>
                </pt>
                <pt idx="150">
                  <v>0.0299970030703316</v>
                </pt>
                <pt idx="151">
                  <v>0.05283140245570817</v>
                </pt>
                <pt idx="152">
                  <v>0.06971312209175995</v>
                </pt>
                <pt idx="153">
                  <v>0.03723035135489505</v>
                </pt>
                <pt idx="154">
                  <v>0.07816639882651599</v>
                </pt>
                <pt idx="155">
                  <v>0.008682271309337741</v>
                </pt>
                <pt idx="156">
                  <v>0.03541633173772829</v>
                </pt>
                <pt idx="157">
                  <v>0.04430339768773317</v>
                </pt>
                <pt idx="158">
                  <v>0.0726585210453603</v>
                </pt>
                <pt idx="159">
                  <v>0.02475509299445688</v>
                </pt>
                <pt idx="160">
                  <v>0.003988573684765129</v>
                </pt>
                <pt idx="161">
                  <v>0.05571169569002499</v>
                </pt>
                <pt idx="162">
                  <v>0.04643698916163785</v>
                </pt>
                <pt idx="163">
                  <v>0.008489201460905038</v>
                </pt>
                <pt idx="164">
                  <v>0.07255594790098541</v>
                </pt>
                <pt idx="165">
                  <v>0.02986016666117464</v>
                </pt>
                <pt idx="166">
                  <v>0.03601971875873078</v>
                </pt>
                <pt idx="167">
                  <v>0.04626194978235221</v>
                </pt>
                <pt idx="168">
                  <v>0.01868695391487551</v>
                </pt>
                <pt idx="169">
                  <v>0.01880183432197824</v>
                </pt>
                <pt idx="170">
                  <v>0.03928980737202292</v>
                </pt>
                <pt idx="171">
                  <v>0.0174988492143493</v>
                </pt>
                <pt idx="172">
                  <v>0.03409079572062557</v>
                </pt>
                <pt idx="173">
                  <v>0.01224001502982741</v>
                </pt>
                <pt idx="174">
                  <v>0.01594102461416846</v>
                </pt>
                <pt idx="175">
                  <v>-0.03008451560725778</v>
                </pt>
                <pt idx="176">
                  <v>-0.0149566272875713</v>
                </pt>
                <pt idx="177">
                  <v>0.03356466381494183</v>
                </pt>
                <pt idx="178">
                  <v>0.02009300842352912</v>
                </pt>
                <pt idx="179">
                  <v>-0.002000159241979049</v>
                </pt>
                <pt idx="180">
                  <v>0.07702372582622807</v>
                </pt>
                <pt idx="181">
                  <v>0.02743104282038811</v>
                </pt>
                <pt idx="182">
                  <v>0.04357111821384563</v>
                </pt>
                <pt idx="183">
                  <v>0.04853435022876251</v>
                </pt>
                <pt idx="184">
                  <v>0.01542445107761492</v>
                </pt>
                <pt idx="185">
                  <v>0.03688337338285863</v>
                </pt>
                <pt idx="186">
                  <v>0.04526531220976393</v>
                </pt>
                <pt idx="187">
                  <v>0.03557800744327322</v>
                </pt>
                <pt idx="188">
                  <v>0.04654164381761361</v>
                </pt>
                <pt idx="189">
                  <v>0.03148769863581213</v>
                </pt>
                <pt idx="190">
                  <v>0.03085053033688823</v>
                </pt>
                <pt idx="191">
                  <v>0.04395169109333641</v>
                </pt>
                <pt idx="192">
                  <v>0.009993208512702134</v>
                </pt>
                <pt idx="193">
                  <v>0.03553043354034724</v>
                </pt>
                <pt idx="194">
                  <v>0.03674549251508452</v>
                </pt>
                <pt idx="195">
                  <v>0.02819530922038171</v>
                </pt>
                <pt idx="196">
                  <v>0.03740480741192354</v>
                </pt>
                <pt idx="197">
                  <v>0.04373035684582027</v>
                </pt>
                <pt idx="198">
                  <v>0.02443758773855964</v>
                </pt>
                <pt idx="199">
                  <v>0.03224265606611287</v>
                </pt>
                <pt idx="200">
                  <v>0.04283535575096953</v>
                </pt>
                <pt idx="201">
                  <v>0.01812975490071556</v>
                </pt>
                <pt idx="202">
                  <v>0.06991149353550674</v>
                </pt>
                <pt idx="203">
                  <v>0.04867229187486322</v>
                </pt>
                <pt idx="204">
                  <v>0.04107897298500807</v>
                </pt>
                <pt idx="205">
                  <v>0.07231967636150838</v>
                </pt>
                <pt idx="206">
                  <v>0.05319078961990886</v>
                </pt>
                <pt idx="207">
                  <v>0.05905209820220025</v>
                </pt>
                <pt idx="208">
                  <v>0.04172021983630181</v>
                </pt>
                <pt idx="209">
                  <v>0.06267837529395592</v>
                </pt>
                <pt idx="210">
                  <v>0.04573209560980707</v>
                </pt>
                <pt idx="211">
                  <v>0.05980473995955093</v>
                </pt>
                <pt idx="212">
                  <v>0.06186783328646261</v>
                </pt>
                <pt idx="213">
                  <v>0.03787692498244732</v>
                </pt>
                <pt idx="214">
                  <v>0.03887768286958071</v>
                </pt>
                <pt idx="215">
                  <v>0.03540800446165004</v>
                </pt>
                <pt idx="216">
                  <v>0.01458660153444624</v>
                </pt>
                <pt idx="217">
                  <v>0.008060535535542757</v>
                </pt>
                <pt idx="218">
                  <v>0.01399174833178773</v>
                </pt>
                <pt idx="219">
                  <v>0.06611930519665421</v>
                </pt>
                <pt idx="220">
                  <v>0.008935258061848916</v>
                </pt>
                <pt idx="221">
                  <v>0.02038721602803695</v>
                </pt>
                <pt idx="222">
                  <v>0.0282884038131801</v>
                </pt>
                <pt idx="223">
                  <v>0.02243413715026721</v>
                </pt>
                <pt idx="224">
                  <v>0.01984885298067729</v>
                </pt>
                <pt idx="225">
                  <v>0.04659158144901054</v>
                </pt>
                <pt idx="226">
                  <v>0.05777084350831863</v>
                </pt>
                <pt idx="227">
                  <v>0.02782371156640084</v>
                </pt>
                <pt idx="228">
                  <v>0.03781947042855793</v>
                </pt>
                <pt idx="229">
                  <v>0.02200533447190089</v>
                </pt>
                <pt idx="230">
                  <v>0.04781917210185083</v>
                </pt>
                <pt idx="231">
                  <v>0.04601737546088547</v>
                </pt>
                <pt idx="232">
                  <v>0.02565982788104515</v>
                </pt>
                <pt idx="233">
                  <v>0.04507009738526091</v>
                </pt>
                <pt idx="234">
                  <v>0.03360307513970362</v>
                </pt>
                <pt idx="235">
                  <v>0.00739353754734795</v>
                </pt>
                <pt idx="236">
                  <v>0.04433718057819824</v>
                </pt>
                <pt idx="237">
                  <v>0.02089972930530859</v>
                </pt>
                <pt idx="238">
                  <v>0.02593514441225708</v>
                </pt>
                <pt idx="239">
                  <v>0.03870559836002774</v>
                </pt>
                <pt idx="240">
                  <v>0.02489976844640629</v>
                </pt>
                <pt idx="241">
                  <v>0.01053774033724375</v>
                </pt>
                <pt idx="242">
                  <v>0.02695211344024773</v>
                </pt>
                <pt idx="243">
                  <v>0.0158564992792829</v>
                </pt>
                <pt idx="244">
                  <v>-0.005473508055415355</v>
                </pt>
                <pt idx="245">
                  <v>0.01106840479914095</v>
                </pt>
                <pt idx="246">
                  <v>-0.03047465612259737</v>
                </pt>
                <pt idx="247">
                  <v>-0.0355147107278575</v>
                </pt>
                <pt idx="248">
                  <v>-0.01011942362221552</v>
                </pt>
                <pt idx="249">
                  <v>-0.01951888795506018</v>
                </pt>
                <pt idx="250">
                  <v>0.0271717313728792</v>
                </pt>
                <pt idx="251">
                  <v>-0.004399611694637873</v>
                </pt>
                <pt idx="252">
                  <v>0.0233840269822696</v>
                </pt>
                <pt idx="253">
                  <v>0.03635561535336951</v>
                </pt>
                <pt idx="254">
                  <v>0.02884403304022909</v>
                </pt>
                <pt idx="255">
                  <v>0.02474213093455768</v>
                </pt>
                <pt idx="256">
                  <v>0.01536650397605688</v>
                </pt>
                <pt idx="257">
                  <v>0.004122401343191973</v>
                </pt>
                <pt idx="258">
                  <v>0.01223158482172182</v>
                </pt>
                <pt idx="259">
                  <v>0.006922328879375383</v>
                </pt>
                <pt idx="260">
                  <v>0.02917117325894814</v>
                </pt>
                <pt idx="261">
                  <v>0.007041508115653183</v>
                </pt>
                <pt idx="262">
                  <v>0.008126898111791903</v>
                </pt>
                <pt idx="263">
                  <v>0.01601843557527638</v>
                </pt>
                <pt idx="264">
                  <v>0.02148094145944235</v>
                </pt>
                <pt idx="265">
                  <v>0.006169402502331334</v>
                </pt>
                <pt idx="266">
                  <v>0.0150384509690813</v>
                </pt>
                <pt idx="267">
                  <v>0.03244730326360901</v>
                </pt>
                <pt idx="268">
                  <v>0.01542274563880119</v>
                </pt>
                <pt idx="269">
                  <v>0.03766598516373643</v>
                </pt>
                <pt idx="270">
                  <v>0.03993410722022661</v>
                </pt>
                <pt idx="271">
                  <v>0.04545077070244163</v>
                </pt>
                <pt idx="272">
                  <v>0.02695750954749898</v>
                </pt>
                <pt idx="273">
                  <v>0.027356287554958</v>
                </pt>
                <pt idx="274">
                  <v>0.0308556364806396</v>
                </pt>
                <pt idx="275">
                  <v>0.02028234306545529</v>
                </pt>
                <pt idx="276">
                  <v>0.02966062198708674</v>
                </pt>
                <pt idx="277">
                  <v>0.02048403465931425</v>
                </pt>
                <pt idx="278">
                  <v>0.02364034728502329</v>
                </pt>
                <pt idx="279">
                  <v>0.01953112129728152</v>
                </pt>
                <pt idx="280">
                  <v>0.02935640397580941</v>
                </pt>
                <pt idx="281">
                  <v>0.01882949225639075</v>
                </pt>
                <pt idx="282">
                  <v>0.02282205462324671</v>
                </pt>
                <pt idx="283">
                  <v>0.04277305068842985</v>
                </pt>
                <pt idx="284">
                  <v>0.02417467145314434</v>
                </pt>
                <pt idx="285">
                  <v>0.03467492013173801</v>
                </pt>
                <pt idx="286">
                  <v>0.02653353009044679</v>
                </pt>
                <pt idx="287">
                  <v>0.01713837122787232</v>
                </pt>
                <pt idx="288">
                  <v>0.006078566610711933</v>
                </pt>
                <pt idx="289">
                  <v>0.03548816435676949</v>
                </pt>
                <pt idx="290">
                  <v>0.03200797855511972</v>
                </pt>
                <pt idx="291">
                  <v>0.01730919370911943</v>
                </pt>
                <pt idx="292">
                  <v>-0.06893806075155129</v>
                </pt>
                <pt idx="293">
                  <v>-0.3341310161628839</v>
                </pt>
                <pt idx="294">
                  <v>0.4143644636114583</v>
                </pt>
                <pt idx="295">
                  <v>0.03384415936443519</v>
                </pt>
                <pt idx="296">
                  <v>0.1143710228524044</v>
                </pt>
                <pt idx="297">
                  <v>0.1203986982129419</v>
                </pt>
                <pt idx="298">
                  <v>0.01580051856851794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742415"/>
        <axId val="620903791"/>
      </barChart>
      <dateAx>
        <axId val="5127424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20903791"/>
        <crosses val="autoZero"/>
        <lblOffset val="100"/>
        <baseTimeUnit val="months"/>
      </dateAx>
      <valAx>
        <axId val="6209037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7424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PrivateInvestment!$A$2</f>
              <strCache>
                <ptCount val="1"/>
                <pt idx="0">
                  <v>Real Gross Private Domestic Investment (GPDIC1)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PrivateInvestment!$B$6:$B$304</f>
              <numCache>
                <formatCode>0.0</formatCode>
                <ptCount val="299"/>
                <pt idx="0">
                  <v>218.091</v>
                </pt>
                <pt idx="1">
                  <v>201.386</v>
                </pt>
                <pt idx="2">
                  <v>195.461</v>
                </pt>
                <pt idx="3">
                  <v>233.284</v>
                </pt>
                <pt idx="4">
                  <v>257.22</v>
                </pt>
                <pt idx="5">
                  <v>273.138</v>
                </pt>
                <pt idx="6">
                  <v>275.936</v>
                </pt>
                <pt idx="7">
                  <v>262.741</v>
                </pt>
                <pt idx="8">
                  <v>223.507</v>
                </pt>
                <pt idx="9">
                  <v>193.795</v>
                </pt>
                <pt idx="10">
                  <v>209.862</v>
                </pt>
                <pt idx="11">
                  <v>199.54</v>
                </pt>
                <pt idx="12">
                  <v>246.911</v>
                </pt>
                <pt idx="13">
                  <v>273.335</v>
                </pt>
                <pt idx="14">
                  <v>296.831</v>
                </pt>
                <pt idx="15">
                  <v>334.548</v>
                </pt>
                <pt idx="16">
                  <v>300.363</v>
                </pt>
                <pt idx="17">
                  <v>307.326</v>
                </pt>
                <pt idx="18">
                  <v>284.697</v>
                </pt>
                <pt idx="19">
                  <v>262.013</v>
                </pt>
                <pt idx="20">
                  <v>268.85</v>
                </pt>
                <pt idx="21">
                  <v>248.58</v>
                </pt>
                <pt idx="22">
                  <v>261.906</v>
                </pt>
                <pt idx="23">
                  <v>280.772</v>
                </pt>
                <pt idx="24">
                  <v>286.813</v>
                </pt>
                <pt idx="25">
                  <v>288.445</v>
                </pt>
                <pt idx="26">
                  <v>282.411</v>
                </pt>
                <pt idx="27">
                  <v>262.005</v>
                </pt>
                <pt idx="28">
                  <v>260.127</v>
                </pt>
                <pt idx="29">
                  <v>259.513</v>
                </pt>
                <pt idx="30">
                  <v>272.037</v>
                </pt>
                <pt idx="31">
                  <v>283.968</v>
                </pt>
                <pt idx="32">
                  <v>312.337</v>
                </pt>
                <pt idx="33">
                  <v>331.333</v>
                </pt>
                <pt idx="34">
                  <v>336.418</v>
                </pt>
                <pt idx="35">
                  <v>344.218</v>
                </pt>
                <pt idx="36">
                  <v>334.39</v>
                </pt>
                <pt idx="37">
                  <v>331.759</v>
                </pt>
                <pt idx="38">
                  <v>328.788</v>
                </pt>
                <pt idx="39">
                  <v>325.739</v>
                </pt>
                <pt idx="40">
                  <v>320.682</v>
                </pt>
                <pt idx="41">
                  <v>320.357</v>
                </pt>
                <pt idx="42">
                  <v>327.701</v>
                </pt>
                <pt idx="43">
                  <v>302.503</v>
                </pt>
                <pt idx="44">
                  <v>282.096</v>
                </pt>
                <pt idx="45">
                  <v>276.413</v>
                </pt>
                <pt idx="46">
                  <v>297.627</v>
                </pt>
                <pt idx="47">
                  <v>323.004</v>
                </pt>
                <pt idx="48">
                  <v>340.604</v>
                </pt>
                <pt idx="49">
                  <v>367.099</v>
                </pt>
                <pt idx="50">
                  <v>343.391</v>
                </pt>
                <pt idx="51">
                  <v>354.567</v>
                </pt>
                <pt idx="52">
                  <v>390.21</v>
                </pt>
                <pt idx="53">
                  <v>353.841</v>
                </pt>
                <pt idx="54">
                  <v>352.942</v>
                </pt>
                <pt idx="55">
                  <v>313.843</v>
                </pt>
                <pt idx="56">
                  <v>321.988</v>
                </pt>
                <pt idx="57">
                  <v>344.549</v>
                </pt>
                <pt idx="58">
                  <v>371.335</v>
                </pt>
                <pt idx="59">
                  <v>377.479</v>
                </pt>
                <pt idx="60">
                  <v>397.831</v>
                </pt>
                <pt idx="61">
                  <v>394.694</v>
                </pt>
                <pt idx="62">
                  <v>401.401</v>
                </pt>
                <pt idx="63">
                  <v>389.657</v>
                </pt>
                <pt idx="64">
                  <v>410.158</v>
                </pt>
                <pt idx="65">
                  <v>416.683</v>
                </pt>
                <pt idx="66">
                  <v>429.512</v>
                </pt>
                <pt idx="67">
                  <v>434.727</v>
                </pt>
                <pt idx="68">
                  <v>450.997</v>
                </pt>
                <pt idx="69">
                  <v>449.373</v>
                </pt>
                <pt idx="70">
                  <v>459.861</v>
                </pt>
                <pt idx="71">
                  <v>464.229</v>
                </pt>
                <pt idx="72">
                  <v>508.491</v>
                </pt>
                <pt idx="73">
                  <v>509.827</v>
                </pt>
                <pt idx="74">
                  <v>527.578</v>
                </pt>
                <pt idx="75">
                  <v>531.072</v>
                </pt>
                <pt idx="76">
                  <v>573.502</v>
                </pt>
                <pt idx="77">
                  <v>565.0119999999999</v>
                </pt>
                <pt idx="78">
                  <v>560.8440000000001</v>
                </pt>
                <pt idx="79">
                  <v>564.131</v>
                </pt>
                <pt idx="80">
                  <v>550.2859999999999</v>
                </pt>
                <pt idx="81">
                  <v>530.378</v>
                </pt>
                <pt idx="82">
                  <v>545.9299999999999</v>
                </pt>
                <pt idx="83">
                  <v>557.706</v>
                </pt>
                <pt idx="84">
                  <v>568.8869999999999</v>
                </pt>
                <pt idx="85">
                  <v>590.647</v>
                </pt>
                <pt idx="86">
                  <v>574.539</v>
                </pt>
                <pt idx="87">
                  <v>580.789</v>
                </pt>
                <pt idx="88">
                  <v>614.989</v>
                </pt>
                <pt idx="89">
                  <v>611.366</v>
                </pt>
                <pt idx="90">
                  <v>623.778</v>
                </pt>
                <pt idx="91">
                  <v>593.659</v>
                </pt>
                <pt idx="92">
                  <v>575.953</v>
                </pt>
                <pt idx="93">
                  <v>577.205</v>
                </pt>
                <pt idx="94">
                  <v>586.598</v>
                </pt>
                <pt idx="95">
                  <v>555.454</v>
                </pt>
                <pt idx="96">
                  <v>620.212</v>
                </pt>
                <pt idx="97">
                  <v>637.811</v>
                </pt>
                <pt idx="98">
                  <v>645.549</v>
                </pt>
                <pt idx="99">
                  <v>628.165</v>
                </pt>
                <pt idx="100">
                  <v>669.558</v>
                </pt>
                <pt idx="101">
                  <v>707.5890000000001</v>
                </pt>
                <pt idx="102">
                  <v>717.638</v>
                </pt>
                <pt idx="103">
                  <v>722.138</v>
                </pt>
                <pt idx="104">
                  <v>764.458</v>
                </pt>
                <pt idx="105">
                  <v>797.044</v>
                </pt>
                <pt idx="106">
                  <v>768.143</v>
                </pt>
                <pt idx="107">
                  <v>795.504</v>
                </pt>
                <pt idx="108">
                  <v>750.076</v>
                </pt>
                <pt idx="109">
                  <v>747.082</v>
                </pt>
                <pt idx="110">
                  <v>708.362</v>
                </pt>
                <pt idx="111">
                  <v>712.6609999999999</v>
                </pt>
                <pt idx="112">
                  <v>597.866</v>
                </pt>
                <pt idx="113">
                  <v>580.067</v>
                </pt>
                <pt idx="114">
                  <v>625.037</v>
                </pt>
                <pt idx="115">
                  <v>642.484</v>
                </pt>
                <pt idx="116">
                  <v>704.475</v>
                </pt>
                <pt idx="117">
                  <v>732.3579999999999</v>
                </pt>
                <pt idx="118">
                  <v>734.91</v>
                </pt>
                <pt idx="119">
                  <v>740.408</v>
                </pt>
                <pt idx="120">
                  <v>774.711</v>
                </pt>
                <pt idx="121">
                  <v>830.251</v>
                </pt>
                <pt idx="122">
                  <v>872.264</v>
                </pt>
                <pt idx="123">
                  <v>850.383</v>
                </pt>
                <pt idx="124">
                  <v>866.957</v>
                </pt>
                <pt idx="125">
                  <v>923.266</v>
                </pt>
                <pt idx="126">
                  <v>950.1660000000001</v>
                </pt>
                <pt idx="127">
                  <v>972.139</v>
                </pt>
                <pt idx="128">
                  <v>973.754</v>
                </pt>
                <pt idx="129">
                  <v>972.877</v>
                </pt>
                <pt idx="130">
                  <v>956.4930000000001</v>
                </pt>
                <pt idx="131">
                  <v>939.526</v>
                </pt>
                <pt idx="132">
                  <v>933.101</v>
                </pt>
                <pt idx="133">
                  <v>853.76</v>
                </pt>
                <pt idx="134">
                  <v>797.4109999999999</v>
                </pt>
                <pt idx="135">
                  <v>871.7329999999999</v>
                </pt>
                <pt idx="136">
                  <v>952.418</v>
                </pt>
                <pt idx="137">
                  <v>912.9450000000001</v>
                </pt>
                <pt idx="138">
                  <v>964.401</v>
                </pt>
                <pt idx="139">
                  <v>930.4400000000001</v>
                </pt>
                <pt idx="140">
                  <v>842.429</v>
                </pt>
                <pt idx="141">
                  <v>841.789</v>
                </pt>
                <pt idx="142">
                  <v>834.075</v>
                </pt>
                <pt idx="143">
                  <v>769.602</v>
                </pt>
                <pt idx="144">
                  <v>796.266</v>
                </pt>
                <pt idx="145">
                  <v>866.784</v>
                </pt>
                <pt idx="146">
                  <v>921.051</v>
                </pt>
                <pt idx="147">
                  <v>1010.654</v>
                </pt>
                <pt idx="148">
                  <v>1108.328</v>
                </pt>
                <pt idx="149">
                  <v>1144.371</v>
                </pt>
                <pt idx="150">
                  <v>1169.136</v>
                </pt>
                <pt idx="151">
                  <v>1153.971</v>
                </pt>
                <pt idx="152">
                  <v>1122.331</v>
                </pt>
                <pt idx="153">
                  <v>1141.447</v>
                </pt>
                <pt idx="154">
                  <v>1133.665</v>
                </pt>
                <pt idx="155">
                  <v>1175.45</v>
                </pt>
                <pt idx="156">
                  <v>1175.105</v>
                </pt>
                <pt idx="157">
                  <v>1154.589</v>
                </pt>
                <pt idx="158">
                  <v>1123.532</v>
                </pt>
                <pt idx="159">
                  <v>1126.895</v>
                </pt>
                <pt idx="160">
                  <v>1157.306</v>
                </pt>
                <pt idx="161">
                  <v>1157.909</v>
                </pt>
                <pt idx="162">
                  <v>1158.077</v>
                </pt>
                <pt idx="163">
                  <v>1236.986</v>
                </pt>
                <pt idx="164">
                  <v>1177.604</v>
                </pt>
                <pt idx="165">
                  <v>1205.662</v>
                </pt>
                <pt idx="166">
                  <v>1212.36</v>
                </pt>
                <pt idx="167">
                  <v>1230.861</v>
                </pt>
                <pt idx="168">
                  <v>1272.638</v>
                </pt>
                <pt idx="169">
                  <v>1260.328</v>
                </pt>
                <pt idx="170">
                  <v>1249.012</v>
                </pt>
                <pt idx="171">
                  <v>1239.747</v>
                </pt>
                <pt idx="172">
                  <v>1252.058</v>
                </pt>
                <pt idx="173">
                  <v>1252.449</v>
                </pt>
                <pt idx="174">
                  <v>1228.17</v>
                </pt>
                <pt idx="175">
                  <v>1159.464</v>
                </pt>
                <pt idx="176">
                  <v>1120.884</v>
                </pt>
                <pt idx="177">
                  <v>1120.88</v>
                </pt>
                <pt idx="178">
                  <v>1143.073</v>
                </pt>
                <pt idx="179">
                  <v>1183.605</v>
                </pt>
                <pt idx="180">
                  <v>1161.74</v>
                </pt>
                <pt idx="181">
                  <v>1227.44</v>
                </pt>
                <pt idx="182">
                  <v>1237.197</v>
                </pt>
                <pt idx="183">
                  <v>1274.945</v>
                </pt>
                <pt idx="184">
                  <v>1305.003</v>
                </pt>
                <pt idx="185">
                  <v>1312.511</v>
                </pt>
                <pt idx="186">
                  <v>1303.597</v>
                </pt>
                <pt idx="187">
                  <v>1372.097</v>
                </pt>
                <pt idx="188">
                  <v>1424.36</v>
                </pt>
                <pt idx="189">
                  <v>1494.411</v>
                </pt>
                <pt idx="190">
                  <v>1469.999</v>
                </pt>
                <pt idx="191">
                  <v>1530.476</v>
                </pt>
                <pt idx="192">
                  <v>1546.548</v>
                </pt>
                <pt idx="193">
                  <v>1514.426</v>
                </pt>
                <pt idx="194">
                  <v>1505.399</v>
                </pt>
                <pt idx="195">
                  <v>1542.785</v>
                </pt>
                <pt idx="196">
                  <v>1567.56</v>
                </pt>
                <pt idx="197">
                  <v>1642.882</v>
                </pt>
                <pt idx="198">
                  <v>1717.51</v>
                </pt>
                <pt idx="199">
                  <v>1715.245</v>
                </pt>
                <pt idx="200">
                  <v>1749.879</v>
                </pt>
                <pt idx="201">
                  <v>1856.956</v>
                </pt>
                <pt idx="202">
                  <v>1882.955</v>
                </pt>
                <pt idx="203">
                  <v>1911.048</v>
                </pt>
                <pt idx="204">
                  <v>1994.375</v>
                </pt>
                <pt idx="205">
                  <v>1982.058</v>
                </pt>
                <pt idx="206">
                  <v>2033.015</v>
                </pt>
                <pt idx="207">
                  <v>2095.76</v>
                </pt>
                <pt idx="208">
                  <v>2153.308</v>
                </pt>
                <pt idx="209">
                  <v>2154.652</v>
                </pt>
                <pt idx="210">
                  <v>2213.773</v>
                </pt>
                <pt idx="211">
                  <v>2273.095</v>
                </pt>
                <pt idx="212">
                  <v>2257.109</v>
                </pt>
                <pt idx="213">
                  <v>2390.733</v>
                </pt>
                <pt idx="214">
                  <v>2367.274</v>
                </pt>
                <pt idx="215">
                  <v>2371.809</v>
                </pt>
                <pt idx="216">
                  <v>2264.202</v>
                </pt>
                <pt idx="217">
                  <v>2267.433</v>
                </pt>
                <pt idx="218">
                  <v>2218.37</v>
                </pt>
                <pt idx="219">
                  <v>2108.5</v>
                </pt>
                <pt idx="220">
                  <v>2170.707</v>
                </pt>
                <pt idx="221">
                  <v>2206.375</v>
                </pt>
                <pt idx="222">
                  <v>2203.109</v>
                </pt>
                <pt idx="223">
                  <v>2201.749</v>
                </pt>
                <pt idx="224">
                  <v>2218.685</v>
                </pt>
                <pt idx="225">
                  <v>2233.997</v>
                </pt>
                <pt idx="226">
                  <v>2315.399</v>
                </pt>
                <pt idx="227">
                  <v>2393.402</v>
                </pt>
                <pt idx="228">
                  <v>2398.151</v>
                </pt>
                <pt idx="229">
                  <v>2493.945</v>
                </pt>
                <pt idx="230">
                  <v>2532.635</v>
                </pt>
                <pt idx="231">
                  <v>2585.477</v>
                </pt>
                <pt idx="232">
                  <v>2658.163</v>
                </pt>
                <pt idx="233">
                  <v>2622.793</v>
                </pt>
                <pt idx="234">
                  <v>2657.458</v>
                </pt>
                <pt idx="235">
                  <v>2743.846</v>
                </pt>
                <pt idx="236">
                  <v>2784.583</v>
                </pt>
                <pt idx="237">
                  <v>2766.628</v>
                </pt>
                <pt idx="238">
                  <v>2755.954</v>
                </pt>
                <pt idx="239">
                  <v>2702.487</v>
                </pt>
                <pt idx="240">
                  <v>2683.893</v>
                </pt>
                <pt idx="241">
                  <v>2713.495</v>
                </pt>
                <pt idx="242">
                  <v>2686.106</v>
                </pt>
                <pt idx="243">
                  <v>2653.056</v>
                </pt>
                <pt idx="244">
                  <v>2583.253</v>
                </pt>
                <pt idx="245">
                  <v>2536.403</v>
                </pt>
                <pt idx="246">
                  <v>2485.549</v>
                </pt>
                <pt idx="247">
                  <v>2246.441</v>
                </pt>
                <pt idx="248">
                  <v>1986.845</v>
                </pt>
                <pt idx="249">
                  <v>1872.287</v>
                </pt>
                <pt idx="250">
                  <v>1868.013</v>
                </pt>
                <pt idx="251">
                  <v>2040.736</v>
                </pt>
                <pt idx="252">
                  <v>2087.171</v>
                </pt>
                <pt idx="253">
                  <v>2196.706</v>
                </pt>
                <pt idx="254">
                  <v>2294.672</v>
                </pt>
                <pt idx="255">
                  <v>2287.362</v>
                </pt>
                <pt idx="256">
                  <v>2244.241</v>
                </pt>
                <pt idx="257">
                  <v>2336.057</v>
                </pt>
                <pt idx="258">
                  <v>2343.786</v>
                </pt>
                <pt idx="259">
                  <v>2524.429</v>
                </pt>
                <pt idx="260">
                  <v>2577.157</v>
                </pt>
                <pt idx="261">
                  <v>2636.495</v>
                </pt>
                <pt idx="262">
                  <v>2648.459</v>
                </pt>
                <pt idx="263">
                  <v>2624.905</v>
                </pt>
                <pt idx="264">
                  <v>2722.778</v>
                </pt>
                <pt idx="265">
                  <v>2753.237</v>
                </pt>
                <pt idx="266">
                  <v>2859.751</v>
                </pt>
                <pt idx="267">
                  <v>2870.127</v>
                </pt>
                <pt idx="268">
                  <v>2838.287</v>
                </pt>
                <pt idx="269">
                  <v>2958.068</v>
                </pt>
                <pt idx="270">
                  <v>3018.582</v>
                </pt>
                <pt idx="271">
                  <v>3021.857</v>
                </pt>
                <pt idx="272">
                  <v>3127.274</v>
                </pt>
                <pt idx="273">
                  <v>3136.688</v>
                </pt>
                <pt idx="274">
                  <v>3130.354</v>
                </pt>
                <pt idx="275">
                  <v>3092.707</v>
                </pt>
                <pt idx="276">
                  <v>3079.449</v>
                </pt>
                <pt idx="277">
                  <v>3063.333</v>
                </pt>
                <pt idx="278">
                  <v>3069.298</v>
                </pt>
                <pt idx="279">
                  <v>3147.576</v>
                </pt>
                <pt idx="280">
                  <v>3137.735</v>
                </pt>
                <pt idx="281">
                  <v>3192.776</v>
                </pt>
                <pt idx="282">
                  <v>3240.998</v>
                </pt>
                <pt idx="283">
                  <v>3278.391</v>
                </pt>
                <pt idx="284">
                  <v>3346.322</v>
                </pt>
                <pt idx="285">
                  <v>3352.499</v>
                </pt>
                <pt idx="286">
                  <v>3430.915</v>
                </pt>
                <pt idx="287">
                  <v>3449.645</v>
                </pt>
                <pt idx="288">
                  <v>3503.439</v>
                </pt>
                <pt idx="289">
                  <v>3525.994</v>
                </pt>
                <pt idx="290">
                  <v>3535.93</v>
                </pt>
                <pt idx="291">
                  <v>3477.123</v>
                </pt>
                <pt idx="292">
                  <v>3430.09</v>
                </pt>
                <pt idx="293">
                  <v>2901.934</v>
                </pt>
                <pt idx="294">
                  <v>3370.975</v>
                </pt>
                <pt idx="295">
                  <v>3561.893</v>
                </pt>
                <pt idx="296">
                  <v>3541.305</v>
                </pt>
                <pt idx="297">
                  <v>3506.014</v>
                </pt>
                <pt idx="298">
                  <v>3604.304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29952144"/>
        <axId val="2129953792"/>
      </lineChart>
      <dateAx>
        <axId val="2129952144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3792"/>
        <crosses val="autoZero"/>
        <lblOffset val="100"/>
        <baseTimeUnit val="months"/>
      </dateAx>
      <valAx>
        <axId val="212995379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5214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PrivateInvestment!$C$5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PrivateInvestment!$C$6:$C$304</f>
              <numCache>
                <formatCode>0.00%</formatCode>
                <ptCount val="299"/>
                <pt idx="1">
                  <v>-0.07659646661256087</v>
                </pt>
                <pt idx="2">
                  <v>-0.029421111695947</v>
                </pt>
                <pt idx="3">
                  <v>0.1935066330367694</v>
                </pt>
                <pt idx="4">
                  <v>0.1026045506764289</v>
                </pt>
                <pt idx="5">
                  <v>0.06188476790296224</v>
                </pt>
                <pt idx="6">
                  <v>0.01024390601088095</v>
                </pt>
                <pt idx="7">
                  <v>-0.04781905949205611</v>
                </pt>
                <pt idx="8">
                  <v>-0.1493257618719575</v>
                </pt>
                <pt idx="9">
                  <v>-0.1329354337895458</v>
                </pt>
                <pt idx="10">
                  <v>0.08290719574808436</v>
                </pt>
                <pt idx="11">
                  <v>-0.04918470232819664</v>
                </pt>
                <pt idx="12">
                  <v>0.2374010223514083</v>
                </pt>
                <pt idx="13">
                  <v>0.1070183183414266</v>
                </pt>
                <pt idx="14">
                  <v>0.08596045146066197</v>
                </pt>
                <pt idx="15">
                  <v>0.1270655692970073</v>
                </pt>
                <pt idx="16">
                  <v>-0.1021826464363858</v>
                </pt>
                <pt idx="17">
                  <v>0.02318194984069284</v>
                </pt>
                <pt idx="18">
                  <v>-0.07363190878741147</v>
                </pt>
                <pt idx="19">
                  <v>-0.0796776924238753</v>
                </pt>
                <pt idx="20">
                  <v>0.02609412510066312</v>
                </pt>
                <pt idx="21">
                  <v>-0.07539520178538221</v>
                </pt>
                <pt idx="22">
                  <v>0.05360849625874967</v>
                </pt>
                <pt idx="23">
                  <v>0.07203347765992374</v>
                </pt>
                <pt idx="24">
                  <v>0.02151567820153006</v>
                </pt>
                <pt idx="25">
                  <v>0.005690118648736303</v>
                </pt>
                <pt idx="26">
                  <v>-0.02091906602645216</v>
                </pt>
                <pt idx="27">
                  <v>-0.07225639227933758</v>
                </pt>
                <pt idx="28">
                  <v>-0.007167802141180458</v>
                </pt>
                <pt idx="29">
                  <v>-0.002360385504003939</v>
                </pt>
                <pt idx="30">
                  <v>0.04825962475868262</v>
                </pt>
                <pt idx="31">
                  <v>0.04385800460966722</v>
                </pt>
                <pt idx="32">
                  <v>0.0999021016452557</v>
                </pt>
                <pt idx="33">
                  <v>0.06081892315031533</v>
                </pt>
                <pt idx="34">
                  <v>0.01534709793470611</v>
                </pt>
                <pt idx="35">
                  <v>0.02318544192046802</v>
                </pt>
                <pt idx="36">
                  <v>-0.02855167364867622</v>
                </pt>
                <pt idx="37">
                  <v>-0.007868058255330518</v>
                </pt>
                <pt idx="38">
                  <v>-0.008955295862357927</v>
                </pt>
                <pt idx="39">
                  <v>-0.009273452802413819</v>
                </pt>
                <pt idx="40">
                  <v>-0.01552469922238344</v>
                </pt>
                <pt idx="41">
                  <v>-0.001013465052606597</v>
                </pt>
                <pt idx="42">
                  <v>0.02292442493842805</v>
                </pt>
                <pt idx="43">
                  <v>-0.07689326550727656</v>
                </pt>
                <pt idx="44">
                  <v>-0.06746048799516033</v>
                </pt>
                <pt idx="45">
                  <v>-0.02014562418467469</v>
                </pt>
                <pt idx="46">
                  <v>0.07674747569759743</v>
                </pt>
                <pt idx="47">
                  <v>0.08526444173411689</v>
                </pt>
                <pt idx="48">
                  <v>0.05448848930663387</v>
                </pt>
                <pt idx="49">
                  <v>0.07778828199316511</v>
                </pt>
                <pt idx="50">
                  <v>-0.06458203372932089</v>
                </pt>
                <pt idx="51">
                  <v>0.03254598984830699</v>
                </pt>
                <pt idx="52">
                  <v>0.1005254296085083</v>
                </pt>
                <pt idx="53">
                  <v>-0.0932036595679249</v>
                </pt>
                <pt idx="54">
                  <v>-0.002540689179603271</v>
                </pt>
                <pt idx="55">
                  <v>-0.1107802415127698</v>
                </pt>
                <pt idx="56">
                  <v>0.02595246667919941</v>
                </pt>
                <pt idx="57">
                  <v>0.07006782861473092</v>
                </pt>
                <pt idx="58">
                  <v>0.07774220792978648</v>
                </pt>
                <pt idx="59">
                  <v>0.01654570670688194</v>
                </pt>
                <pt idx="60">
                  <v>0.05391558205886959</v>
                </pt>
                <pt idx="61">
                  <v>-0.007885257810477313</v>
                </pt>
                <pt idx="62">
                  <v>0.0169929109639366</v>
                </pt>
                <pt idx="63">
                  <v>-0.02925752551687721</v>
                </pt>
                <pt idx="64">
                  <v>0.05261293907205577</v>
                </pt>
                <pt idx="65">
                  <v>0.01590850355228955</v>
                </pt>
                <pt idx="66">
                  <v>0.0307883930949907</v>
                </pt>
                <pt idx="67">
                  <v>0.01214168637896025</v>
                </pt>
                <pt idx="68">
                  <v>0.03742578675812645</v>
                </pt>
                <pt idx="69">
                  <v>-0.003600910870804071</v>
                </pt>
                <pt idx="70">
                  <v>0.02333918593239914</v>
                </pt>
                <pt idx="71">
                  <v>0.009498522379588604</v>
                </pt>
                <pt idx="72">
                  <v>0.0953451852426281</v>
                </pt>
                <pt idx="73">
                  <v>0.00262738180223448</v>
                </pt>
                <pt idx="74">
                  <v>0.03481769306058717</v>
                </pt>
                <pt idx="75">
                  <v>0.006622717399133452</v>
                </pt>
                <pt idx="76">
                  <v>0.07989500482043857</v>
                </pt>
                <pt idx="77">
                  <v>-0.01480378446805767</v>
                </pt>
                <pt idx="78">
                  <v>-0.007376834474311861</v>
                </pt>
                <pt idx="79">
                  <v>0.005860809779546399</v>
                </pt>
                <pt idx="80">
                  <v>-0.02454217194233259</v>
                </pt>
                <pt idx="81">
                  <v>-0.03617755130968243</v>
                </pt>
                <pt idx="82">
                  <v>0.02932248321008772</v>
                </pt>
                <pt idx="83">
                  <v>0.02157053102046062</v>
                </pt>
                <pt idx="84">
                  <v>0.02004819743735934</v>
                </pt>
                <pt idx="85">
                  <v>0.038250127002375</v>
                </pt>
                <pt idx="86">
                  <v>-0.02727178839476042</v>
                </pt>
                <pt idx="87">
                  <v>0.01087828676556335</v>
                </pt>
                <pt idx="88">
                  <v>0.05888541277469106</v>
                </pt>
                <pt idx="89">
                  <v>-0.005891162280951443</v>
                </pt>
                <pt idx="90">
                  <v>0.02030207764252516</v>
                </pt>
                <pt idx="91">
                  <v>-0.04828480645357808</v>
                </pt>
                <pt idx="92">
                  <v>-0.02982520268369555</v>
                </pt>
                <pt idx="93">
                  <v>0.0021737884862134</v>
                </pt>
                <pt idx="94">
                  <v>0.01627324780623854</v>
                </pt>
                <pt idx="95">
                  <v>-0.05309257788127476</v>
                </pt>
                <pt idx="96">
                  <v>0.1165857118681296</v>
                </pt>
                <pt idx="97">
                  <v>0.02837578118449828</v>
                </pt>
                <pt idx="98">
                  <v>0.01213212064388971</v>
                </pt>
                <pt idx="99">
                  <v>-0.02692901700722953</v>
                </pt>
                <pt idx="100">
                  <v>0.06589510717725443</v>
                </pt>
                <pt idx="101">
                  <v>0.05680015771598586</v>
                </pt>
                <pt idx="102">
                  <v>0.01420174705938048</v>
                </pt>
                <pt idx="103">
                  <v>0.006270570956387482</v>
                </pt>
                <pt idx="104">
                  <v>0.05860375717660604</v>
                </pt>
                <pt idx="105">
                  <v>0.04262627901075012</v>
                </pt>
                <pt idx="106">
                  <v>-0.03626023155559788</v>
                </pt>
                <pt idx="107">
                  <v>0.03561966977502885</v>
                </pt>
                <pt idx="108">
                  <v>-0.05710593535670468</v>
                </pt>
                <pt idx="109">
                  <v>-0.003991595518320848</v>
                </pt>
                <pt idx="110">
                  <v>-0.05182831335783759</v>
                </pt>
                <pt idx="111">
                  <v>0.006068930857386447</v>
                </pt>
                <pt idx="112">
                  <v>-0.1610793911831852</v>
                </pt>
                <pt idx="113">
                  <v>-0.02977088511472467</v>
                </pt>
                <pt idx="114">
                  <v>0.07752552722357939</v>
                </pt>
                <pt idx="115">
                  <v>0.02791354751798694</v>
                </pt>
                <pt idx="116">
                  <v>0.09648644946800229</v>
                </pt>
                <pt idx="117">
                  <v>0.03957982895063689</v>
                </pt>
                <pt idx="118">
                  <v>0.003484634563970109</v>
                </pt>
                <pt idx="119">
                  <v>0.007481188172701484</v>
                </pt>
                <pt idx="120">
                  <v>0.04632986137372908</v>
                </pt>
                <pt idx="121">
                  <v>0.07169125002742953</v>
                </pt>
                <pt idx="122">
                  <v>0.0506027695239151</v>
                </pt>
                <pt idx="123">
                  <v>-0.02508529527757648</v>
                </pt>
                <pt idx="124">
                  <v>0.0194900415459857</v>
                </pt>
                <pt idx="125">
                  <v>0.06495016477172451</v>
                </pt>
                <pt idx="126">
                  <v>0.02913569870438215</v>
                </pt>
                <pt idx="127">
                  <v>0.02312543281910735</v>
                </pt>
                <pt idx="128">
                  <v>0.001661285063144272</v>
                </pt>
                <pt idx="129">
                  <v>-0.0009006381488549124</v>
                </pt>
                <pt idx="130">
                  <v>-0.01684077226617538</v>
                </pt>
                <pt idx="131">
                  <v>-0.01773876024184191</v>
                </pt>
                <pt idx="132">
                  <v>-0.006838554760591995</v>
                </pt>
                <pt idx="133">
                  <v>-0.08502938052793857</v>
                </pt>
                <pt idx="134">
                  <v>-0.06600098388305853</v>
                </pt>
                <pt idx="135">
                  <v>0.09320413187177003</v>
                </pt>
                <pt idx="136">
                  <v>0.0925570100019158</v>
                </pt>
                <pt idx="137">
                  <v>-0.04144503778803</v>
                </pt>
                <pt idx="138">
                  <v>0.05636265054302275</v>
                </pt>
                <pt idx="139">
                  <v>-0.03521460471318456</v>
                </pt>
                <pt idx="140">
                  <v>-0.09459073126692756</v>
                </pt>
                <pt idx="141">
                  <v>-0.0007597079397788851</v>
                </pt>
                <pt idx="142">
                  <v>-0.009163816585866461</v>
                </pt>
                <pt idx="143">
                  <v>-0.07729880406438278</v>
                </pt>
                <pt idx="144">
                  <v>0.03464647960894071</v>
                </pt>
                <pt idx="145">
                  <v>0.08856085780379927</v>
                </pt>
                <pt idx="146">
                  <v>0.06260729316646368</v>
                </pt>
                <pt idx="147">
                  <v>0.09728342947350359</v>
                </pt>
                <pt idx="148">
                  <v>0.09664435108355578</v>
                </pt>
                <pt idx="149">
                  <v>0.03252015648797118</v>
                </pt>
                <pt idx="150">
                  <v>0.02164070917560815</v>
                </pt>
                <pt idx="151">
                  <v>-0.01297111713265177</v>
                </pt>
                <pt idx="152">
                  <v>-0.02741836666606015</v>
                </pt>
                <pt idx="153">
                  <v>0.01703240844278558</v>
                </pt>
                <pt idx="154">
                  <v>-0.006817662142876478</v>
                </pt>
                <pt idx="155">
                  <v>0.03685833116485036</v>
                </pt>
                <pt idx="156">
                  <v>-0.0002935046152537558</v>
                </pt>
                <pt idx="157">
                  <v>-0.01745886537798757</v>
                </pt>
                <pt idx="158">
                  <v>-0.02689874925189831</v>
                </pt>
                <pt idx="159">
                  <v>0.002993239177878384</v>
                </pt>
                <pt idx="160">
                  <v>0.02698654266812796</v>
                </pt>
                <pt idx="161">
                  <v>0.0005210376512349072</v>
                </pt>
                <pt idx="162">
                  <v>0.0001450891218566335</v>
                </pt>
                <pt idx="163">
                  <v>0.06813795628442677</v>
                </pt>
                <pt idx="164">
                  <v>-0.04800539375546696</v>
                </pt>
                <pt idx="165">
                  <v>0.02382634569855401</v>
                </pt>
                <pt idx="166">
                  <v>0.005555454182017734</v>
                </pt>
                <pt idx="167">
                  <v>0.01526031871721288</v>
                </pt>
                <pt idx="168">
                  <v>0.03394128175317913</v>
                </pt>
                <pt idx="169">
                  <v>-0.009672821336467987</v>
                </pt>
                <pt idx="170">
                  <v>-0.008978615090674833</v>
                </pt>
                <pt idx="171">
                  <v>-0.007417863078977523</v>
                </pt>
                <pt idx="172">
                  <v>0.009930251898169483</v>
                </pt>
                <pt idx="173">
                  <v>0.0003122858525723859</v>
                </pt>
                <pt idx="174">
                  <v>-0.01938522047604333</v>
                </pt>
                <pt idx="175">
                  <v>-0.05594176701922383</v>
                </pt>
                <pt idx="176">
                  <v>-0.03327399557036693</v>
                </pt>
                <pt idx="177">
                  <v>-3.568611916938249e-06</v>
                </pt>
                <pt idx="178">
                  <v>0.01979962172578686</v>
                </pt>
                <pt idx="179">
                  <v>0.03545880271863645</v>
                </pt>
                <pt idx="180">
                  <v>-0.01847322375285675</v>
                </pt>
                <pt idx="181">
                  <v>0.05655310138240918</v>
                </pt>
                <pt idx="182">
                  <v>0.007949064720067648</v>
                </pt>
                <pt idx="183">
                  <v>0.03051090489226861</v>
                </pt>
                <pt idx="184">
                  <v>0.02357591896121009</v>
                </pt>
                <pt idx="185">
                  <v>0.005753243479133794</v>
                </pt>
                <pt idx="186">
                  <v>-0.006791562127860252</v>
                </pt>
                <pt idx="187">
                  <v>0.05254691442217188</v>
                </pt>
                <pt idx="188">
                  <v>0.03808987265477581</v>
                </pt>
                <pt idx="189">
                  <v>0.049180684658373</v>
                </pt>
                <pt idx="190">
                  <v>-0.01633553286211091</v>
                </pt>
                <pt idx="191">
                  <v>0.04114084431349959</v>
                </pt>
                <pt idx="192">
                  <v>0.01050130808977069</v>
                </pt>
                <pt idx="193">
                  <v>-0.02077012805292824</v>
                </pt>
                <pt idx="194">
                  <v>-0.005960674209238381</v>
                </pt>
                <pt idx="195">
                  <v>0.02483461195337595</v>
                </pt>
                <pt idx="196">
                  <v>0.01605862125960511</v>
                </pt>
                <pt idx="197">
                  <v>0.04805047334711279</v>
                </pt>
                <pt idx="198">
                  <v>0.04542505182965053</v>
                </pt>
                <pt idx="199">
                  <v>-0.001318769614150776</v>
                </pt>
                <pt idx="200">
                  <v>0.02019186763406978</v>
                </pt>
                <pt idx="201">
                  <v>0.06119108806951795</v>
                </pt>
                <pt idx="202">
                  <v>0.01400087024140584</v>
                </pt>
                <pt idx="203">
                  <v>0.01491963429821747</v>
                </pt>
                <pt idx="204">
                  <v>0.04360277711496519</v>
                </pt>
                <pt idx="205">
                  <v>-0.006175869633343783</v>
                </pt>
                <pt idx="206">
                  <v>0.02570913666502197</v>
                </pt>
                <pt idx="207">
                  <v>0.03086302855611007</v>
                </pt>
                <pt idx="208">
                  <v>0.02745925105928149</v>
                </pt>
                <pt idx="209">
                  <v>0.0006241559498223435</v>
                </pt>
                <pt idx="210">
                  <v>0.02743876969459574</v>
                </pt>
                <pt idx="211">
                  <v>0.02679678539759933</v>
                </pt>
                <pt idx="212">
                  <v>-0.007032702108798743</v>
                </pt>
                <pt idx="213">
                  <v>0.05920139435002929</v>
                </pt>
                <pt idx="214">
                  <v>-0.009812471739838905</v>
                </pt>
                <pt idx="215">
                  <v>0.001915705575273631</v>
                </pt>
                <pt idx="216">
                  <v>-0.04536916758474226</v>
                </pt>
                <pt idx="217">
                  <v>0.001426992821311776</v>
                </pt>
                <pt idx="218">
                  <v>-0.02163812558077795</v>
                </pt>
                <pt idx="219">
                  <v>-0.04952735567105573</v>
                </pt>
                <pt idx="220">
                  <v>0.02950296419255389</v>
                </pt>
                <pt idx="221">
                  <v>0.01643151286654538</v>
                </pt>
                <pt idx="222">
                  <v>-0.001480256076143029</v>
                </pt>
                <pt idx="223">
                  <v>-0.0006173094476942028</v>
                </pt>
                <pt idx="224">
                  <v>0.007692066625214841</v>
                </pt>
                <pt idx="225">
                  <v>0.006901385280019426</v>
                </pt>
                <pt idx="226">
                  <v>0.03643782869896425</v>
                </pt>
                <pt idx="227">
                  <v>0.03368879402642921</v>
                </pt>
                <pt idx="228">
                  <v>0.001984204909998319</v>
                </pt>
                <pt idx="229">
                  <v>0.03994494091489666</v>
                </pt>
                <pt idx="230">
                  <v>0.01551357387592752</v>
                </pt>
                <pt idx="231">
                  <v>0.02086443565693424</v>
                </pt>
                <pt idx="232">
                  <v>0.02811318762456605</v>
                </pt>
                <pt idx="233">
                  <v>-0.01330618175032904</v>
                </pt>
                <pt idx="234">
                  <v>0.01321682648992885</v>
                </pt>
                <pt idx="235">
                  <v>0.0325077574132874</v>
                </pt>
                <pt idx="236">
                  <v>0.01484667871301818</v>
                </pt>
                <pt idx="237">
                  <v>-0.006448003166003645</v>
                </pt>
                <pt idx="238">
                  <v>-0.003858126209956661</v>
                </pt>
                <pt idx="239">
                  <v>-0.0194005415184724</v>
                </pt>
                <pt idx="240">
                  <v>-0.006880329119067012</v>
                </pt>
                <pt idx="241">
                  <v>0.01102950080349696</v>
                </pt>
                <pt idx="242">
                  <v>-0.01009362464275765</v>
                </pt>
                <pt idx="243">
                  <v>-0.01230405650409931</v>
                </pt>
                <pt idx="244">
                  <v>-0.02631041334973701</v>
                </pt>
                <pt idx="245">
                  <v>-0.01813604784355244</v>
                </pt>
                <pt idx="246">
                  <v>-0.02004965299284058</v>
                </pt>
                <pt idx="247">
                  <v>-0.0961992702618215</v>
                </pt>
                <pt idx="248">
                  <v>-0.1155587883233968</v>
                </pt>
                <pt idx="249">
                  <v>-0.05765824712043465</v>
                </pt>
                <pt idx="250">
                  <v>-0.002282769682212243</v>
                </pt>
                <pt idx="251">
                  <v>0.09246348927978564</v>
                </pt>
                <pt idx="252">
                  <v>0.02275404559923465</v>
                </pt>
                <pt idx="253">
                  <v>0.05248012740690644</v>
                </pt>
                <pt idx="254">
                  <v>0.04459677353273487</v>
                </pt>
                <pt idx="255">
                  <v>-0.003185640474978535</v>
                </pt>
                <pt idx="256">
                  <v>-0.01885184767430782</v>
                </pt>
                <pt idx="257">
                  <v>0.04091182720572336</v>
                </pt>
                <pt idx="258">
                  <v>0.003308566528984639</v>
                </pt>
                <pt idx="259">
                  <v>0.07707316282288572</v>
                </pt>
                <pt idx="260">
                  <v>0.02088709961737885</v>
                </pt>
                <pt idx="261">
                  <v>0.02302459648364447</v>
                </pt>
                <pt idx="262">
                  <v>0.004537842855761131</v>
                </pt>
                <pt idx="263">
                  <v>-0.008893473525548114</v>
                </pt>
                <pt idx="264">
                  <v>0.03728630178996938</v>
                </pt>
                <pt idx="265">
                  <v>0.01118673648751396</v>
                </pt>
                <pt idx="266">
                  <v>0.03868682572550061</v>
                </pt>
                <pt idx="267">
                  <v>0.003628287917374537</v>
                </pt>
                <pt idx="268">
                  <v>-0.01109358575421929</v>
                </pt>
                <pt idx="269">
                  <v>0.04220186330698777</v>
                </pt>
                <pt idx="270">
                  <v>0.02045727143527453</v>
                </pt>
                <pt idx="271">
                  <v>0.001084946507996169</v>
                </pt>
                <pt idx="272">
                  <v>0.03488484067909233</v>
                </pt>
                <pt idx="273">
                  <v>0.003010289472556679</v>
                </pt>
                <pt idx="274">
                  <v>-0.002019327392459909</v>
                </pt>
                <pt idx="275">
                  <v>-0.01202643534884551</v>
                </pt>
                <pt idx="276">
                  <v>-0.004286859375944702</v>
                </pt>
                <pt idx="277">
                  <v>-0.00523340376801174</v>
                </pt>
                <pt idx="278">
                  <v>0.001947225456716488</v>
                </pt>
                <pt idx="279">
                  <v>0.0255035516264632</v>
                </pt>
                <pt idx="280">
                  <v>-0.003126532925654502</v>
                </pt>
                <pt idx="281">
                  <v>0.01754163433177107</v>
                </pt>
                <pt idx="282">
                  <v>0.01510347108597666</v>
                </pt>
                <pt idx="283">
                  <v>0.01153749554921047</v>
                </pt>
                <pt idx="284">
                  <v>0.02072083531220042</v>
                </pt>
                <pt idx="285">
                  <v>0.001845907237856871</v>
                </pt>
                <pt idx="286">
                  <v>0.02339031271895985</v>
                </pt>
                <pt idx="287">
                  <v>0.005459185086194213</v>
                </pt>
                <pt idx="288">
                  <v>0.01559406837515161</v>
                </pt>
                <pt idx="289">
                  <v>0.006437959958772021</v>
                </pt>
                <pt idx="290">
                  <v>0.002817928788307551</v>
                </pt>
                <pt idx="291">
                  <v>-0.01663126815293283</v>
                </pt>
                <pt idx="292">
                  <v>-0.01352641249676813</v>
                </pt>
                <pt idx="293">
                  <v>-0.1539773008871487</v>
                </pt>
                <pt idx="294">
                  <v>0.1616304850489362</v>
                </pt>
                <pt idx="295">
                  <v>0.05663583977929238</v>
                </pt>
                <pt idx="296">
                  <v>-0.005780072562539131</v>
                </pt>
                <pt idx="297">
                  <v>-0.009965535304075677</v>
                </pt>
                <pt idx="298">
                  <v>0.02803468554318379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7138863"/>
        <axId val="609755279"/>
      </barChart>
      <dateAx>
        <axId val="2713886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9755279"/>
        <crosses val="autoZero"/>
        <lblOffset val="100"/>
        <baseTimeUnit val="months"/>
      </dateAx>
      <valAx>
        <axId val="609755279"/>
        <scaling>
          <orientation val="minMax"/>
          <max val="0.2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713886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PrivateInvestment!$D$5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PrivateInvestment!$D$6:$D$304</f>
              <numCache>
                <formatCode>0.00%</formatCode>
                <ptCount val="299"/>
                <pt idx="4">
                  <v>0.1794159318816458</v>
                </pt>
                <pt idx="5">
                  <v>0.3562909040350371</v>
                </pt>
                <pt idx="6">
                  <v>0.4117189618389344</v>
                </pt>
                <pt idx="7">
                  <v>0.1262709830078359</v>
                </pt>
                <pt idx="8">
                  <v>-0.131066791073789</v>
                </pt>
                <pt idx="9">
                  <v>-0.2904868601219896</v>
                </pt>
                <pt idx="10">
                  <v>-0.2394540763075495</v>
                </pt>
                <pt idx="11">
                  <v>-0.2405448711849311</v>
                </pt>
                <pt idx="12">
                  <v>0.1047126040795143</v>
                </pt>
                <pt idx="13">
                  <v>0.4104337057199618</v>
                </pt>
                <pt idx="14">
                  <v>0.4144104220868953</v>
                </pt>
                <pt idx="15">
                  <v>0.6765961711937457</v>
                </pt>
                <pt idx="16">
                  <v>0.2164828622459105</v>
                </pt>
                <pt idx="17">
                  <v>0.1243565588014709</v>
                </pt>
                <pt idx="18">
                  <v>-0.04087847967361904</v>
                </pt>
                <pt idx="19">
                  <v>-0.2168149264081687</v>
                </pt>
                <pt idx="20">
                  <v>-0.1049163845080785</v>
                </pt>
                <pt idx="21">
                  <v>-0.1911520665352102</v>
                </pt>
                <pt idx="22">
                  <v>-0.08005353059568593</v>
                </pt>
                <pt idx="23">
                  <v>0.07159568418360927</v>
                </pt>
                <pt idx="24">
                  <v>0.06681420866654254</v>
                </pt>
                <pt idx="25">
                  <v>0.1603709067503419</v>
                </pt>
                <pt idx="26">
                  <v>0.07829144807679089</v>
                </pt>
                <pt idx="27">
                  <v>-0.0668407106121693</v>
                </pt>
                <pt idx="28">
                  <v>-0.09304320236530415</v>
                </pt>
                <pt idx="29">
                  <v>-0.1003033507254417</v>
                </pt>
                <pt idx="30">
                  <v>-0.03673369663362979</v>
                </pt>
                <pt idx="31">
                  <v>0.08382664452968464</v>
                </pt>
                <pt idx="32">
                  <v>0.2007096533616271</v>
                </pt>
                <pt idx="33">
                  <v>0.2767491416614969</v>
                </pt>
                <pt idx="34">
                  <v>0.2366626598587693</v>
                </pt>
                <pt idx="35">
                  <v>0.2121717940049583</v>
                </pt>
                <pt idx="36">
                  <v>0.07060642831300806</v>
                </pt>
                <pt idx="37">
                  <v>0.001285715579190686</v>
                </pt>
                <pt idx="38">
                  <v>-0.02268011818630393</v>
                </pt>
                <pt idx="39">
                  <v>-0.05368400257976062</v>
                </pt>
                <pt idx="40">
                  <v>-0.04099404886509755</v>
                </pt>
                <pt idx="41">
                  <v>-0.03436832158283569</v>
                </pt>
                <pt idx="42">
                  <v>-0.003306081730476748</v>
                </pt>
                <pt idx="43">
                  <v>-0.07133318392946497</v>
                </pt>
                <pt idx="44">
                  <v>-0.1203248077534754</v>
                </pt>
                <pt idx="45">
                  <v>-0.1371719675237314</v>
                </pt>
                <pt idx="46">
                  <v>-0.09177268302507471</v>
                </pt>
                <pt idx="47">
                  <v>0.06777122871508724</v>
                </pt>
                <pt idx="48">
                  <v>0.2074045714933923</v>
                </pt>
                <pt idx="49">
                  <v>0.3280815301740511</v>
                </pt>
                <pt idx="50">
                  <v>0.1537629314544716</v>
                </pt>
                <pt idx="51">
                  <v>0.0977170561355277</v>
                </pt>
                <pt idx="52">
                  <v>0.1456412725628589</v>
                </pt>
                <pt idx="53">
                  <v>-0.03611559824461516</v>
                </pt>
                <pt idx="54">
                  <v>0.02781377496789371</v>
                </pt>
                <pt idx="55">
                  <v>-0.1148555844170495</v>
                </pt>
                <pt idx="56">
                  <v>-0.1748340637092847</v>
                </pt>
                <pt idx="57">
                  <v>-0.0262603824881798</v>
                </pt>
                <pt idx="58">
                  <v>0.05211337840211698</v>
                </pt>
                <pt idx="59">
                  <v>0.2027638022833071</v>
                </pt>
                <pt idx="60">
                  <v>0.2355460451942309</v>
                </pt>
                <pt idx="61">
                  <v>0.1455380802150058</v>
                </pt>
                <pt idx="62">
                  <v>0.08096732061346233</v>
                </pt>
                <pt idx="63">
                  <v>0.03226139732276497</v>
                </pt>
                <pt idx="64">
                  <v>0.03098551897665089</v>
                </pt>
                <pt idx="65">
                  <v>0.05571151322290173</v>
                </pt>
                <pt idx="66">
                  <v>0.07003221217685056</v>
                </pt>
                <pt idx="67">
                  <v>0.1156658291779693</v>
                </pt>
                <pt idx="68">
                  <v>0.09956894660106592</v>
                </pt>
                <pt idx="69">
                  <v>0.0784529246453539</v>
                </pt>
                <pt idx="70">
                  <v>0.07065925981113447</v>
                </pt>
                <pt idx="71">
                  <v>0.06786327971347537</v>
                </pt>
                <pt idx="72">
                  <v>0.12748200098892</v>
                </pt>
                <pt idx="73">
                  <v>0.1345296668914243</v>
                </pt>
                <pt idx="74">
                  <v>0.1472553662954675</v>
                </pt>
                <pt idx="75">
                  <v>0.1439871270429035</v>
                </pt>
                <pt idx="76">
                  <v>0.1278508370846288</v>
                </pt>
                <pt idx="77">
                  <v>0.1082425999407641</v>
                </pt>
                <pt idx="78">
                  <v>0.06305418345723302</v>
                </pt>
                <pt idx="79">
                  <v>0.06224956314774639</v>
                </pt>
                <pt idx="80">
                  <v>-0.04048111427684648</v>
                </pt>
                <pt idx="81">
                  <v>-0.06129781314379146</v>
                </pt>
                <pt idx="82">
                  <v>-0.02659206481659802</v>
                </pt>
                <pt idx="83">
                  <v>-0.01138919860812463</v>
                </pt>
                <pt idx="84">
                  <v>0.03380242274017511</v>
                </pt>
                <pt idx="85">
                  <v>0.113634049677777</v>
                </pt>
                <pt idx="86">
                  <v>0.05240415437876658</v>
                </pt>
                <pt idx="87">
                  <v>0.04138919072055881</v>
                </pt>
                <pt idx="88">
                  <v>0.08103894094960878</v>
                </pt>
                <pt idx="89">
                  <v>0.03507848173274381</v>
                </pt>
                <pt idx="90">
                  <v>0.08570175392793185</v>
                </pt>
                <pt idx="91">
                  <v>0.02215951059679161</v>
                </pt>
                <pt idx="92">
                  <v>-0.06347430604449845</v>
                </pt>
                <pt idx="93">
                  <v>-0.05587651259638244</v>
                </pt>
                <pt idx="94">
                  <v>-0.05960453879425062</v>
                </pt>
                <pt idx="95">
                  <v>-0.06435512642779785</v>
                </pt>
                <pt idx="96">
                  <v>0.07684481198986726</v>
                </pt>
                <pt idx="97">
                  <v>0.1049990904444695</v>
                </pt>
                <pt idx="98">
                  <v>0.1004964217402719</v>
                </pt>
                <pt idx="99">
                  <v>0.1309037292016981</v>
                </pt>
                <pt idx="100">
                  <v>0.07956311712769183</v>
                </pt>
                <pt idx="101">
                  <v>0.1094023151058856</v>
                </pt>
                <pt idx="102">
                  <v>0.111670841407856</v>
                </pt>
                <pt idx="103">
                  <v>0.149599229501803</v>
                </pt>
                <pt idx="104">
                  <v>0.1417352940297928</v>
                </pt>
                <pt idx="105">
                  <v>0.1264222592493664</v>
                </pt>
                <pt idx="106">
                  <v>0.0703767080338555</v>
                </pt>
                <pt idx="107">
                  <v>0.1015955399106542</v>
                </pt>
                <pt idx="108">
                  <v>-0.01881332918224408</v>
                </pt>
                <pt idx="109">
                  <v>-0.06268411781532762</v>
                </pt>
                <pt idx="110">
                  <v>-0.07782535283143902</v>
                </pt>
                <pt idx="111">
                  <v>-0.1041390112431868</v>
                </pt>
                <pt idx="112">
                  <v>-0.2029261034881799</v>
                </pt>
                <pt idx="113">
                  <v>-0.2235564502959514</v>
                </pt>
                <pt idx="114">
                  <v>-0.1176305335407601</v>
                </pt>
                <pt idx="115">
                  <v>-0.09847178391970364</v>
                </pt>
                <pt idx="116">
                  <v>0.1783158768018252</v>
                </pt>
                <pt idx="117">
                  <v>0.262540361716836</v>
                </pt>
                <pt idx="118">
                  <v>0.1757863934455079</v>
                </pt>
                <pt idx="119">
                  <v>0.1524146904825645</v>
                </pt>
                <pt idx="120">
                  <v>0.09969977642925582</v>
                </pt>
                <pt idx="121">
                  <v>0.1336682332957379</v>
                </pt>
                <pt idx="122">
                  <v>0.1868990760773429</v>
                </pt>
                <pt idx="123">
                  <v>0.148532971010578</v>
                </pt>
                <pt idx="124">
                  <v>0.1190714989202425</v>
                </pt>
                <pt idx="125">
                  <v>0.1120323853870697</v>
                </pt>
                <pt idx="126">
                  <v>0.08931011712050485</v>
                </pt>
                <pt idx="127">
                  <v>0.1431778386915072</v>
                </pt>
                <pt idx="128">
                  <v>0.1231860403687842</v>
                </pt>
                <pt idx="129">
                  <v>0.05373424343580289</v>
                </pt>
                <pt idx="130">
                  <v>0.006658836455945591</v>
                </pt>
                <pt idx="131">
                  <v>-0.03354767168069592</v>
                </pt>
                <pt idx="132">
                  <v>-0.04174873736077081</v>
                </pt>
                <pt idx="133">
                  <v>-0.1224378826922622</v>
                </pt>
                <pt idx="134">
                  <v>-0.1663179970998221</v>
                </pt>
                <pt idx="135">
                  <v>-0.07215659811436832</v>
                </pt>
                <pt idx="136">
                  <v>0.02070193901839137</v>
                </pt>
                <pt idx="137">
                  <v>0.06932276049475269</v>
                </pt>
                <pt idx="138">
                  <v>0.2094152200057436</v>
                </pt>
                <pt idx="139">
                  <v>0.06734516187869463</v>
                </pt>
                <pt idx="140">
                  <v>-0.1154839576740465</v>
                </pt>
                <pt idx="141">
                  <v>-0.07794116841649831</v>
                </pt>
                <pt idx="142">
                  <v>-0.1351367325417538</v>
                </pt>
                <pt idx="143">
                  <v>-0.1728623017067195</v>
                </pt>
                <pt idx="144">
                  <v>-0.05479749628752098</v>
                </pt>
                <pt idx="145">
                  <v>0.02969271396989032</v>
                </pt>
                <pt idx="146">
                  <v>0.1042783922309145</v>
                </pt>
                <pt idx="147">
                  <v>0.3132164417452138</v>
                </pt>
                <pt idx="148">
                  <v>0.3919067246372444</v>
                </pt>
                <pt idx="149">
                  <v>0.320249335474582</v>
                </pt>
                <pt idx="150">
                  <v>0.2693499057055472</v>
                </pt>
                <pt idx="151">
                  <v>0.1418061967795111</v>
                </pt>
                <pt idx="152">
                  <v>0.01263434651114104</v>
                </pt>
                <pt idx="153">
                  <v>-0.00255511543022342</v>
                </pt>
                <pt idx="154">
                  <v>-0.03033949856988409</v>
                </pt>
                <pt idx="155">
                  <v>0.01861311939381496</v>
                </pt>
                <pt idx="156">
                  <v>0.04702177878005697</v>
                </pt>
                <pt idx="157">
                  <v>0.01151345616572653</v>
                </pt>
                <pt idx="158">
                  <v>-0.008938266595511054</v>
                </pt>
                <pt idx="159">
                  <v>-0.04130758432940581</v>
                </pt>
                <pt idx="160">
                  <v>-0.01514673156866831</v>
                </pt>
                <pt idx="161">
                  <v>0.002875482097958809</v>
                </pt>
                <pt idx="162">
                  <v>0.030746787808447</v>
                </pt>
                <pt idx="163">
                  <v>0.09769410637193361</v>
                </pt>
                <pt idx="164">
                  <v>0.01753900869778607</v>
                </pt>
                <pt idx="165">
                  <v>0.04124071926204902</v>
                </pt>
                <pt idx="166">
                  <v>0.04687339442886777</v>
                </pt>
                <pt idx="167">
                  <v>-0.004951551593954984</v>
                </pt>
                <pt idx="168">
                  <v>0.08070115250967208</v>
                </pt>
                <pt idx="169">
                  <v>0.04534106573815874</v>
                </pt>
                <pt idx="170">
                  <v>0.03023194430697157</v>
                </pt>
                <pt idx="171">
                  <v>0.007219336708206667</v>
                </pt>
                <pt idx="172">
                  <v>-0.01617113428956225</v>
                </pt>
                <pt idx="173">
                  <v>-0.006251547216280131</v>
                </pt>
                <pt idx="174">
                  <v>-0.01668678923821378</v>
                </pt>
                <pt idx="175">
                  <v>-0.06475756747142773</v>
                </pt>
                <pt idx="176">
                  <v>-0.1047667120852229</v>
                </pt>
                <pt idx="177">
                  <v>-0.1050493872405183</v>
                </pt>
                <pt idx="178">
                  <v>-0.06928763933331702</v>
                </pt>
                <pt idx="179">
                  <v>0.02082082755480125</v>
                </pt>
                <pt idx="180">
                  <v>0.03644980212046919</v>
                </pt>
                <pt idx="181">
                  <v>0.09506816073085426</v>
                </pt>
                <pt idx="182">
                  <v>0.08234294747579532</v>
                </pt>
                <pt idx="183">
                  <v>0.07717101566823384</v>
                </pt>
                <pt idx="184">
                  <v>0.1233176097922082</v>
                </pt>
                <pt idx="185">
                  <v>0.06930766473310297</v>
                </pt>
                <pt idx="186">
                  <v>0.05366970660290972</v>
                </pt>
                <pt idx="187">
                  <v>0.0762009341579441</v>
                </pt>
                <pt idx="188">
                  <v>0.09146109242660744</v>
                </pt>
                <pt idx="189">
                  <v>0.1385893146800294</v>
                </pt>
                <pt idx="190">
                  <v>0.1276483453091715</v>
                </pt>
                <pt idx="191">
                  <v>0.1154284281650642</v>
                </pt>
                <pt idx="192">
                  <v>0.08578449268443379</v>
                </pt>
                <pt idx="193">
                  <v>0.01339323653265392</v>
                </pt>
                <pt idx="194">
                  <v>0.0240816490351353</v>
                </pt>
                <pt idx="195">
                  <v>0.008042595898269536</v>
                </pt>
                <pt idx="196">
                  <v>0.0135863872314341</v>
                </pt>
                <pt idx="197">
                  <v>0.08482157596343443</v>
                </pt>
                <pt idx="198">
                  <v>0.140900186595049</v>
                </pt>
                <pt idx="199">
                  <v>0.1117848566067208</v>
                </pt>
                <pt idx="200">
                  <v>0.1163075097603919</v>
                </pt>
                <pt idx="201">
                  <v>0.1303039414881896</v>
                </pt>
                <pt idx="202">
                  <v>0.0963284056570267</v>
                </pt>
                <pt idx="203">
                  <v>0.1141545376899511</v>
                </pt>
                <pt idx="204">
                  <v>0.1397216607548294</v>
                </pt>
                <pt idx="205">
                  <v>0.06736939378208212</v>
                </pt>
                <pt idx="206">
                  <v>0.07969388540883886</v>
                </pt>
                <pt idx="207">
                  <v>0.09665481976381557</v>
                </pt>
                <pt idx="208">
                  <v>0.07969062989658414</v>
                </pt>
                <pt idx="209">
                  <v>0.08707817833786904</v>
                </pt>
                <pt idx="210">
                  <v>0.08891129676859247</v>
                </pt>
                <pt idx="211">
                  <v>0.08461608199412125</v>
                </pt>
                <pt idx="212">
                  <v>0.04820536588356145</v>
                </pt>
                <pt idx="213">
                  <v>0.1095680416141447</v>
                </pt>
                <pt idx="214">
                  <v>0.06933908761196371</v>
                </pt>
                <pt idx="215">
                  <v>0.04342713348980153</v>
                </pt>
                <pt idx="216">
                  <v>0.003142515492162896</v>
                </pt>
                <pt idx="217">
                  <v>-0.05157414065058715</v>
                </pt>
                <pt idx="218">
                  <v>-0.06290104145105299</v>
                </pt>
                <pt idx="219">
                  <v>-0.1110161062716265</v>
                </pt>
                <pt idx="220">
                  <v>-0.04129269384975384</v>
                </pt>
                <pt idx="221">
                  <v>-0.02692824881705435</v>
                </pt>
                <pt idx="222">
                  <v>-0.00687937539725112</v>
                </pt>
                <pt idx="223">
                  <v>0.04422527863409997</v>
                </pt>
                <pt idx="224">
                  <v>0.02210247628998297</v>
                </pt>
                <pt idx="225">
                  <v>0.01251917738371757</v>
                </pt>
                <pt idx="226">
                  <v>0.05096888079527612</v>
                </pt>
                <pt idx="227">
                  <v>0.08704579859012097</v>
                </pt>
                <pt idx="228">
                  <v>0.08088845419696798</v>
                </pt>
                <pt idx="229">
                  <v>0.1163600488272815</v>
                </pt>
                <pt idx="230">
                  <v>0.09382227426028962</v>
                </pt>
                <pt idx="231">
                  <v>0.08025187578183682</v>
                </pt>
                <pt idx="232">
                  <v>0.1084218633438846</v>
                </pt>
                <pt idx="233">
                  <v>0.05166433100970549</v>
                </pt>
                <pt idx="234">
                  <v>0.04928582286827745</v>
                </pt>
                <pt idx="235">
                  <v>0.06125330064819767</v>
                </pt>
                <pt idx="236">
                  <v>0.04755916021703713</v>
                </pt>
                <pt idx="237">
                  <v>0.05484039342792208</v>
                </pt>
                <pt idx="238">
                  <v>0.03706399122770711</v>
                </pt>
                <pt idx="239">
                  <v>-0.01507336782020562</v>
                </pt>
                <pt idx="240">
                  <v>-0.03615981279782289</v>
                </pt>
                <pt idx="241">
                  <v>-0.01920496720195135</v>
                </pt>
                <pt idx="242">
                  <v>-0.0253443997976744</v>
                </pt>
                <pt idx="243">
                  <v>-0.01829092979910728</v>
                </pt>
                <pt idx="244">
                  <v>-0.03749776909884257</v>
                </pt>
                <pt idx="245">
                  <v>-0.06526343332123336</v>
                </pt>
                <pt idx="246">
                  <v>-0.07466458881369545</v>
                </pt>
                <pt idx="247">
                  <v>-0.1532628787330536</v>
                </pt>
                <pt idx="248">
                  <v>-0.230874792364511</v>
                </pt>
                <pt idx="249">
                  <v>-0.2618337858770865</v>
                </pt>
                <pt idx="250">
                  <v>-0.2484505435217733</v>
                </pt>
                <pt idx="251">
                  <v>-0.09156928670728487</v>
                </pt>
                <pt idx="252">
                  <v>0.05049513172894705</v>
                </pt>
                <pt idx="253">
                  <v>0.1732741828576495</v>
                </pt>
                <pt idx="254">
                  <v>0.2284025860633733</v>
                </pt>
                <pt idx="255">
                  <v>0.1208514967149107</v>
                </pt>
                <pt idx="256">
                  <v>0.07525497431691039</v>
                </pt>
                <pt idx="257">
                  <v>0.06343634514586824</v>
                </pt>
                <pt idx="258">
                  <v>0.02140349470425404</v>
                </pt>
                <pt idx="259">
                  <v>0.1036420995015218</v>
                </pt>
                <pt idx="260">
                  <v>0.1483423571710882</v>
                </pt>
                <pt idx="261">
                  <v>0.1286090193860852</v>
                </pt>
                <pt idx="262">
                  <v>0.1299918166590293</v>
                </pt>
                <pt idx="263">
                  <v>0.03980147589811403</v>
                </pt>
                <pt idx="264">
                  <v>0.05650451253066834</v>
                </pt>
                <pt idx="265">
                  <v>0.0442792419481168</v>
                </pt>
                <pt idx="266">
                  <v>0.07977922255923175</v>
                </pt>
                <pt idx="267">
                  <v>0.09342128572272129</v>
                </pt>
                <pt idx="268">
                  <v>0.04242321628865814</v>
                </pt>
                <pt idx="269">
                  <v>0.07439642864017885</v>
                </pt>
                <pt idx="270">
                  <v>0.05554015017391362</v>
                </pt>
                <pt idx="271">
                  <v>0.052865256485166</v>
                </pt>
                <pt idx="272">
                  <v>0.1018173990156739</v>
                </pt>
                <pt idx="273">
                  <v>0.06038400739942418</v>
                </pt>
                <pt idx="274">
                  <v>0.03702798201274636</v>
                </pt>
                <pt idx="275">
                  <v>0.02344584803317957</v>
                </pt>
                <pt idx="276">
                  <v>-0.01529287168313356</v>
                </pt>
                <pt idx="277">
                  <v>-0.02338613212407482</v>
                </pt>
                <pt idx="278">
                  <v>-0.01950450332454414</v>
                </pt>
                <pt idx="279">
                  <v>0.01774141553014888</v>
                </pt>
                <pt idx="280">
                  <v>0.01892741201429219</v>
                </pt>
                <pt idx="281">
                  <v>0.04225560851530009</v>
                </pt>
                <pt idx="282">
                  <v>0.05594113051257985</v>
                </pt>
                <pt idx="283">
                  <v>0.04156055326384496</v>
                </pt>
                <pt idx="284">
                  <v>0.06647693320181595</v>
                </pt>
                <pt idx="285">
                  <v>0.0500263720348687</v>
                </pt>
                <pt idx="286">
                  <v>0.05859830829886347</v>
                </pt>
                <pt idx="287">
                  <v>0.05223721026564553</v>
                </pt>
                <pt idx="288">
                  <v>0.04695214626685649</v>
                </pt>
                <pt idx="289">
                  <v>0.05175094757671825</v>
                </pt>
                <pt idx="290">
                  <v>0.03060845284712675</v>
                </pt>
                <pt idx="291">
                  <v>0.007965457315173029</v>
                </pt>
                <pt idx="292">
                  <v>-0.02093628574666198</v>
                </pt>
                <pt idx="293">
                  <v>-0.1769883896569308</v>
                </pt>
                <pt idx="294">
                  <v>-0.04665109320603064</v>
                </pt>
                <pt idx="295">
                  <v>0.02437935039974139</v>
                </pt>
                <pt idx="296">
                  <v>0.03242334749233976</v>
                </pt>
                <pt idx="297">
                  <v>0.2081646240059215</v>
                </pt>
                <pt idx="298">
                  <v>0.06921706627904395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8050303"/>
        <axId val="834248191"/>
      </barChart>
      <dateAx>
        <axId val="10805030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4248191"/>
        <crosses val="autoZero"/>
        <lblOffset val="100"/>
        <baseTimeUnit val="months"/>
      </dateAx>
      <valAx>
        <axId val="8342481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8050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PrivateInvestment!$E$5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PrivateInvestment!$A$6:$A$304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PrivateInvestment!$E$6:$E$304</f>
              <numCache>
                <formatCode>0.00%</formatCode>
                <ptCount val="299"/>
                <pt idx="0">
                  <v>0</v>
                </pt>
                <pt idx="1">
                  <v>-0.2729469039637938</v>
                </pt>
                <pt idx="2">
                  <v>-0.1125919545072841</v>
                </pt>
                <pt idx="3">
                  <v>1.029080830516806</v>
                </pt>
                <pt idx="4">
                  <v>0.4780159551359837</v>
                </pt>
                <pt idx="5">
                  <v>0.2714800918388673</v>
                </pt>
                <pt idx="6">
                  <v>0.04160956060165466</v>
                </pt>
                <pt idx="7">
                  <v>-0.1779884186299061</v>
                </pt>
                <pt idx="8">
                  <v>-0.4763355123179082</v>
                </pt>
                <pt idx="9">
                  <v>-0.4347953135693704</v>
                </pt>
                <pt idx="10">
                  <v>0.3751971326859593</v>
                </pt>
                <pt idx="11">
                  <v>-0.1826940851685087</v>
                </pt>
                <pt idx="12">
                  <v>1.344454896350644</v>
                </pt>
                <pt idx="13">
                  <v>0.501824654667723</v>
                </pt>
                <pt idx="14">
                  <v>0.3907723170015436</v>
                </pt>
                <pt idx="15">
                  <v>0.6136031422536123</v>
                </pt>
                <pt idx="16">
                  <v>-0.3502414816436709</v>
                </pt>
                <pt idx="17">
                  <v>0.09600233713390627</v>
                </pt>
                <pt idx="18">
                  <v>-0.2635651209310799</v>
                </pt>
                <pt idx="19">
                  <v>-0.2826026041541955</v>
                </pt>
                <pt idx="20">
                  <v>0.1085334545309862</v>
                </pt>
                <pt idx="21">
                  <v>-0.2691561925436149</v>
                </pt>
                <pt idx="22">
                  <v>0.2323017249789006</v>
                </pt>
                <pt idx="23">
                  <v>0.3207888414818909</v>
                </pt>
                <pt idx="24">
                  <v>0.08888031408637587</v>
                </pt>
                <pt idx="25">
                  <v>0.0229554772707985</v>
                </pt>
                <pt idx="26">
                  <v>-0.08108704601109362</v>
                </pt>
                <pt idx="27">
                  <v>-0.2591813915839328</v>
                </pt>
                <pt idx="28">
                  <v>-0.02836441465166895</v>
                </pt>
                <pt idx="29">
                  <v>-0.009408166069403645</v>
                </pt>
                <pt idx="30">
                  <v>0.2074674565272974</v>
                </pt>
                <pt idx="31">
                  <v>0.1873143135930242</v>
                </pt>
                <pt idx="32">
                  <v>0.4635788587356908</v>
                </pt>
                <pt idx="33">
                  <v>0.2663828857820023</v>
                </pt>
                <pt idx="34">
                  <v>0.06281610672246751</v>
                </pt>
                <pt idx="35">
                  <v>0.09601729966208361</v>
                </pt>
                <pt idx="36">
                  <v>-0.1094079427147737</v>
                </pt>
                <pt idx="37">
                  <v>-0.03110273947545183</v>
                </pt>
                <pt idx="38">
                  <v>-0.0353428658369811</v>
                </pt>
                <pt idx="39">
                  <v>-0.03658101220668275</v>
                </pt>
                <pt idx="40">
                  <v>-0.06066760790639869</v>
                </pt>
                <pt idx="41">
                  <v>-0.0040477017046604</v>
                </pt>
                <pt idx="42">
                  <v>0.09489934131144051</v>
                </pt>
                <pt idx="43">
                  <v>-0.2738812063881391</v>
                </pt>
                <pt idx="44">
                  <v>-0.2437437649332792</v>
                </pt>
                <pt idx="45">
                  <v>-0.07817995908281694</v>
                </pt>
                <pt idx="46">
                  <v>0.3441738713665816</v>
                </pt>
                <pt idx="47">
                  <v>0.3872102688460402</v>
                </pt>
                <pt idx="48">
                  <v>0.2364238492731363</v>
                </pt>
                <pt idx="49">
                  <v>0.3493786364793918</v>
                </pt>
                <pt idx="50">
                  <v>-0.2343631496156919</v>
                </pt>
                <pt idx="51">
                  <v>0.136678426363517</v>
                </pt>
                <pt idx="52">
                  <v>0.4668993921877782</v>
                </pt>
                <pt idx="53">
                  <v>-0.3238562544556203</v>
                </pt>
                <pt idx="54">
                  <v>-0.01012409166932682</v>
                </pt>
                <pt idx="55">
                  <v>-0.3747748827339611</v>
                </pt>
                <pt idx="56">
                  <v>0.107921422634788</v>
                </pt>
                <pt idx="57">
                  <v>0.3111284134842318</v>
                </pt>
                <pt idx="58">
                  <v>0.3491479144670904</v>
                </pt>
                <pt idx="59">
                  <v>0.06784358247270661</v>
                </pt>
                <pt idx="60">
                  <v>0.2337390248402624</v>
                </pt>
                <pt idx="61">
                  <v>-0.03116992476733749</v>
                </pt>
                <pt idx="62">
                  <v>0.06972390880116297</v>
                </pt>
                <pt idx="63">
                  <v>-0.1119935306254725</v>
                </pt>
                <pt idx="64">
                  <v>0.2276507029322419</v>
                </pt>
                <pt idx="65">
                  <v>0.06516866569772484</v>
                </pt>
                <pt idx="66">
                  <v>0.1289587622067749</v>
                </pt>
                <pt idx="67">
                  <v>0.04945845027365414</v>
                </pt>
                <pt idx="68">
                  <v>0.1583189336787409</v>
                </pt>
                <pt idx="69">
                  <v>-0.01432603072618222</v>
                </pt>
                <pt idx="70">
                  <v>0.09667619910817038</v>
                </pt>
                <pt idx="71">
                  <v>0.0385388571227101</v>
                </pt>
                <pt idx="72">
                  <v>0.4394746275303256</v>
                </pt>
                <pt idx="73">
                  <v>0.01055101861608554</v>
                </pt>
                <pt idx="74">
                  <v>0.1467147063683114</v>
                </pt>
                <pt idx="75">
                  <v>0.02675519573452001</v>
                </pt>
                <pt idx="76">
                  <v>0.3599599823947326</v>
                </pt>
                <pt idx="77">
                  <v>-0.05791315475509851</v>
                </pt>
                <pt idx="78">
                  <v>-0.029182434535868</v>
                </pt>
                <pt idx="79">
                  <v>0.02365014009963828</v>
                </pt>
                <pt idx="80">
                  <v>-0.09461354454790138</v>
                </pt>
                <pt idx="81">
                  <v>-0.1370449998477918</v>
                </pt>
                <pt idx="82">
                  <v>0.1225503670649299</v>
                </pt>
                <pt idx="83">
                  <v>0.08911421344604231</v>
                </pt>
                <pt idx="84">
                  <v>0.08263676452592938</v>
                </pt>
                <pt idx="85">
                  <v>0.1620049326762516</v>
                </pt>
                <pt idx="86">
                  <v>-0.1047052313795478</v>
                </pt>
                <pt idx="87">
                  <v>0.04422833302428453</v>
                </pt>
                <pt idx="88">
                  <v>0.257175364376893</v>
                </pt>
                <pt idx="89">
                  <v>-0.02335723099102582</v>
                </pt>
                <pt idx="90">
                  <v>0.08371499858057918</v>
                </pt>
                <pt idx="91">
                  <v>-0.1795955442210351</v>
                </pt>
                <pt idx="92">
                  <v>-0.1140688863248966</v>
                </pt>
                <pt idx="93">
                  <v>0.008723547193180803</v>
                </pt>
                <pt idx="94">
                  <v>0.06669921075324781</v>
                </pt>
                <pt idx="95">
                  <v>-0.1960480688814747</v>
                </pt>
                <pt idx="96">
                  <v>0.5544196038188574</v>
                </pt>
                <pt idx="97">
                  <v>0.1184262738164983</v>
                </pt>
                <pt idx="98">
                  <v>0.0494187771752197</v>
                </pt>
                <pt idx="99">
                  <v>-0.1034426230845471</v>
                </pt>
                <pt idx="100">
                  <v>0.2907967837583543</v>
                </pt>
                <pt idx="101">
                  <v>0.2473015949374251</v>
                </pt>
                <pt idx="102">
                  <v>0.05802862401330122</v>
                </pt>
                <pt idx="103">
                  <v>0.02531919196923993</v>
                </pt>
                <pt idx="104">
                  <v>0.255838301001369</v>
                </pt>
                <pt idx="105">
                  <v>0.1817202232428581</v>
                </pt>
                <pt idx="106">
                  <v>-0.1373410716038921</v>
                </pt>
                <pt idx="107">
                  <v>0.1502736254771126</v>
                </pt>
                <pt idx="108">
                  <v>-0.209591489503545</v>
                </pt>
                <pt idx="109">
                  <v>-0.01587103920046462</v>
                </pt>
                <pt idx="110">
                  <v>-0.1917458729919362</v>
                </pt>
                <pt idx="111">
                  <v>0.02449761043819243</v>
                </pt>
                <pt idx="112">
                  <v>-0.5046827496062378</v>
                </pt>
                <pt idx="113">
                  <v>-0.1138704657270342</v>
                </pt>
                <pt idx="114">
                  <v>0.3480632536954573</v>
                </pt>
                <pt idx="115">
                  <v>0.116416791145787</v>
                </pt>
                <pt idx="116">
                  <v>0.4454832912415239</v>
                </pt>
                <pt idx="117">
                  <v>0.16796916424043</v>
                </pt>
                <pt idx="118">
                  <v>0.01401156372277379</v>
                </pt>
                <pt idx="119">
                  <v>0.03026223971593445</v>
                </pt>
                <pt idx="120">
                  <v>0.1986005691438406</v>
                </pt>
                <pt idx="121">
                  <v>0.3191030954701346</v>
                </pt>
                <pt idx="122">
                  <v>0.2182997786356613</v>
                </pt>
                <pt idx="123">
                  <v>-0.09662829479167701</v>
                </pt>
                <pt idx="124">
                  <v>0.08026909487843104</v>
                </pt>
                <pt idx="125">
                  <v>0.2862255737446711</v>
                </pt>
                <pt idx="126">
                  <v>0.1217357809533541</v>
                </pt>
                <pt idx="127">
                  <v>0.09576019972838545</v>
                </pt>
                <pt idx="128">
                  <v>0.006661717808270629</v>
                </pt>
                <pt idx="129">
                  <v>-0.003597688622517858</v>
                </pt>
                <pt idx="130">
                  <v>-0.06568044392020833</v>
                </pt>
                <pt idx="131">
                  <v>-0.06908928723435948</v>
                </pt>
                <pt idx="132">
                  <v>-0.0270749011108341</v>
                </pt>
                <pt idx="133">
                  <v>-0.2991443241306218</v>
                </pt>
                <pt idx="134">
                  <v>-0.2389982158538705</v>
                </pt>
                <pt idx="135">
                  <v>0.4282527137973338</v>
                </pt>
                <pt idx="136">
                  <v>0.4248739002849371</v>
                </pt>
                <pt idx="137">
                  <v>-0.1557558128453825</v>
                </pt>
                <pt idx="138">
                  <v>0.2452373839941178</v>
                </pt>
                <pt idx="139">
                  <v>-0.133591144844499</v>
                </pt>
                <pt idx="140">
                  <v>-0.3279837972090242</v>
                </pt>
                <pt idx="141">
                  <v>-0.003035370575740215</v>
                </pt>
                <pt idx="142">
                  <v>-0.03615448423063972</v>
                </pt>
                <pt idx="143">
                  <v>-0.275156357634336</v>
                </pt>
                <pt idx="144">
                  <v>0.1459559862039053</v>
                </pt>
                <pt idx="145">
                  <v>0.4041414377510151</v>
                </pt>
                <pt idx="146">
                  <v>0.2749441759552922</v>
                </pt>
                <pt idx="147">
                  <v>0.4496904673862281</v>
                </pt>
                <pt idx="148">
                  <v>0.4463161093940338</v>
                </pt>
                <pt idx="149">
                  <v>0.136564675996242</v>
                </pt>
                <pt idx="150">
                  <v>0.08941351692117094</v>
                </pt>
                <pt idx="151">
                  <v>-0.05088367050015807</v>
                </pt>
                <pt idx="152">
                  <v>-0.1052447494015046</v>
                </pt>
                <pt idx="153">
                  <v>0.06989010016190611</v>
                </pt>
                <pt idx="154">
                  <v>-0.02699303086234806</v>
                </pt>
                <pt idx="155">
                  <v>0.155786683302686</v>
                </pt>
                <pt idx="156">
                  <v>-0.001173501692388501</v>
                </pt>
                <pt idx="157">
                  <v>-0.06802778340520466</v>
                </pt>
                <pt idx="158">
                  <v>-0.1033310668014981</v>
                </pt>
                <pt idx="159">
                  <v>0.01202682094791729</v>
                </pt>
                <pt idx="160">
                  <v>0.1123949562997808</v>
                </pt>
                <pt idx="161">
                  <v>0.002085780052223596</v>
                </pt>
                <pt idx="162">
                  <v>0.0005804828047635269</v>
                </pt>
                <pt idx="163">
                  <v>0.3016954655325095</v>
                </pt>
                <pt idx="164">
                  <v>-0.1786316743850455</v>
                </pt>
                <pt idx="165">
                  <v>0.09876597793302277</v>
                </pt>
                <pt idx="166">
                  <v>0.0224076819411223</v>
                </pt>
                <pt idx="167">
                  <v>0.06245280819375632</v>
                </pt>
                <pt idx="168">
                  <v>0.1428349206498336</v>
                </pt>
                <pt idx="169">
                  <v>-0.03813351584712166</v>
                </pt>
                <pt idx="170">
                  <v>-0.03543365595337611</v>
                </pt>
                <pt idx="171">
                  <v>-0.02934293379478681</v>
                </pt>
                <pt idx="172">
                  <v>0.04031659361785356</v>
                </pt>
                <pt idx="173">
                  <v>0.001249728666840699</v>
                </pt>
                <pt idx="174">
                  <v>-0.07531515888882456</v>
                </pt>
                <pt idx="175">
                  <v>-0.2056806614947901</v>
                </pt>
                <pt idx="176">
                  <v>-0.1265991621791277</v>
                </pt>
                <pt idx="177">
                  <v>-1.427437125800513e-05</v>
                </pt>
                <pt idx="178">
                  <v>0.08158183849811973</v>
                </pt>
                <pt idx="179">
                  <v>0.1495590850826349</v>
                </pt>
                <pt idx="180">
                  <v>-0.07187043526714654</v>
                </pt>
                <pt idx="181">
                  <v>0.2461356385765185</v>
                </pt>
                <pt idx="182">
                  <v>0.03217739778272932</v>
                </pt>
                <pt idx="183">
                  <v>0.1277435903513144</v>
                </pt>
                <pt idx="184">
                  <v>0.09769134475636898</v>
                </pt>
                <pt idx="185">
                  <v>0.0232123356003906</v>
                </pt>
                <pt idx="186">
                  <v>-0.02689074753887755</v>
                </pt>
                <pt idx="187">
                  <v>0.2273427166671038</v>
                </pt>
                <pt idx="188">
                  <v>0.1612876749437253</v>
                </pt>
                <pt idx="189">
                  <v>0.2117168485026124</v>
                </pt>
                <pt idx="190">
                  <v>-0.06375839896023627</v>
                </pt>
                <pt idx="191">
                  <v>0.1750001913515542</v>
                </pt>
                <pt idx="192">
                  <v>0.04267154158059938</v>
                </pt>
                <pt idx="193">
                  <v>-0.08052777757630858</v>
                </pt>
                <pt idx="194">
                  <v>-0.02363036487479087</v>
                </pt>
                <pt idx="195">
                  <v>0.1031006436866388</v>
                </pt>
                <pt idx="196">
                  <v>0.0657983921858325</v>
                </pt>
                <pt idx="197">
                  <v>0.2065040770557853</v>
                </pt>
                <pt idx="198">
                  <v>0.1944600037142645</v>
                </pt>
                <pt idx="199">
                  <v>-0.00526465270797738</v>
                </pt>
                <pt idx="200">
                  <v>0.08324683570433433</v>
                </pt>
                <pt idx="201">
                  <v>0.2681609512053493</v>
                </pt>
                <pt idx="202">
                  <v>0.05719064364321125</v>
                </pt>
                <pt idx="203">
                  <v>0.06102744384026115</v>
                </pt>
                <pt idx="204">
                  <v>0.1861535268406329</v>
                </pt>
                <pt idx="205">
                  <v>-0.02447557110865262</v>
                </pt>
                <pt idx="206">
                  <v>0.1068707125900463</v>
                </pt>
                <pt idx="207">
                  <v>0.1292857721353526</v>
                </pt>
                <pt idx="208">
                  <v>0.1144444538323823</v>
                </pt>
                <pt idx="209">
                  <v>0.002498962195950805</v>
                </pt>
                <pt idx="210">
                  <v>0.1143555951812341</v>
                </pt>
                <pt idx="211">
                  <v>0.1115730310825505</v>
                </pt>
                <pt idx="212">
                  <v>-0.02783544391411719</v>
                </pt>
                <pt idx="213">
                  <v>0.2586766490105035</v>
                </pt>
                <pt idx="214">
                  <v>-0.03867594923849083</v>
                </pt>
                <pt idx="215">
                  <v>0.007684870003674904</v>
                </pt>
                <pt idx="216">
                  <v>-0.169495809850754</v>
                </pt>
                <pt idx="217">
                  <v>0.005720200763656536</v>
                </pt>
                <pt idx="218">
                  <v>-0.0837835568474713</v>
                </pt>
                <pt idx="219">
                  <v>-0.1838716062013486</v>
                </pt>
                <pt idx="220">
                  <v>0.1233378842447717</v>
                </pt>
                <pt idx="221">
                  <v>0.06736383773374066</v>
                </pt>
                <pt idx="222">
                  <v>-0.005907890325365095</v>
                </pt>
                <pt idx="223">
                  <v>-0.002466952305861136</v>
                </pt>
                <pt idx="224">
                  <v>0.03112509782887529</v>
                </pt>
                <pt idx="225">
                  <v>0.02789263292890753</v>
                </pt>
                <pt idx="226">
                  <v>0.1539128860451426</v>
                </pt>
                <pt idx="227">
                  <v>0.1417190115851767</v>
                </pt>
                <pt idx="228">
                  <v>0.007960473318050498</v>
                </pt>
                <pt idx="229">
                  <v>0.1696108437417241</v>
                </pt>
                <pt idx="230">
                  <v>0.06351331394041604</v>
                </pt>
                <pt idx="231">
                  <v>0.08610621140171348</v>
                </pt>
                <pt idx="232">
                  <v>0.11728436024357</v>
                </pt>
                <pt idx="233">
                  <v>-0.05217179249237069</v>
                </pt>
                <pt idx="234">
                  <v>0.05392467858821814</v>
                </pt>
                <pt idx="235">
                  <v>0.1365100829837151</v>
                </pt>
                <pt idx="236">
                  <v>0.06072239690104331</v>
                </pt>
                <pt idx="237">
                  <v>-0.02554362281434552</v>
                </pt>
                <pt idx="238">
                  <v>-0.0153434235061094</v>
                </pt>
                <pt idx="239">
                  <v>-0.07537294632570302</v>
                </pt>
                <pt idx="240">
                  <v>-0.02723858349221442</v>
                </pt>
                <pt idx="241">
                  <v>0.04485328429067725</v>
                </pt>
                <pt idx="242">
                  <v>-0.03976731404538925</v>
                </pt>
                <pt idx="243">
                  <v>-0.04831531509371845</v>
                </pt>
                <pt idx="244">
                  <v>-0.1011605993578484</v>
                </pt>
                <pt idx="245">
                  <v>-0.07059444676205606</v>
                </pt>
                <pt idx="246">
                  <v>-0.07781875779229586</v>
                </pt>
                <pt idx="247">
                  <v>-0.3327466688655742</v>
                </pt>
                <pt idx="248">
                  <v>-0.388106438372338</v>
                </pt>
                <pt idx="249">
                  <v>-0.2114418288413781</v>
                </pt>
                <pt idx="250">
                  <v>-0.009099860059554654</v>
                </pt>
                <pt idx="251">
                  <v>0.4243860973555584</v>
                </pt>
                <pt idx="252">
                  <v>0.09417005332343709</v>
                </pt>
                <pt idx="253">
                  <v>0.2270312331443347</v>
                </pt>
                <pt idx="254">
                  <v>0.1906790721348413</v>
                </pt>
                <pt idx="255">
                  <v>-0.01268180128091856</v>
                </pt>
                <pt idx="256">
                  <v>-0.07330171062474677</v>
                </pt>
                <pt idx="257">
                  <v>0.1739666851869088</v>
                </pt>
                <pt idx="258">
                  <v>0.01330009078100991</v>
                </pt>
                <pt idx="259">
                  <v>0.3458009150292698</v>
                </pt>
                <pt idx="260">
                  <v>0.08620266412193422</v>
                </pt>
                <pt idx="261">
                  <v>0.09532828353948308</v>
                </pt>
                <pt idx="262">
                  <v>0.01827529772714054</v>
                </pt>
                <pt idx="263">
                  <v>-0.03510213829525788</v>
                </pt>
                <pt idx="264">
                  <v>0.1576961016666489</v>
                </pt>
                <pt idx="265">
                  <v>0.04550341982062589</v>
                </pt>
                <pt idx="266">
                  <v>0.1639611715536766</v>
                </pt>
                <pt idx="267">
                  <v>0.01459232974006608</v>
                </pt>
                <pt idx="268">
                  <v>-0.04364138304780296</v>
                </pt>
                <pt idx="269">
                  <v>0.1797972543914825</v>
                </pt>
                <pt idx="270">
                  <v>0.08437450607943431</v>
                </pt>
                <pt idx="271">
                  <v>0.004346853795321959</v>
                </pt>
                <pt idx="272">
                  <v>0.1470123690658138</v>
                </pt>
                <pt idx="273">
                  <v>0.01209563814367454</v>
                </pt>
                <pt idx="274">
                  <v>-0.008052876391213437</v>
                </pt>
                <pt idx="275">
                  <v>-0.04724486737384437</v>
                </pt>
                <pt idx="276">
                  <v>-0.01703748930746352</v>
                </pt>
                <pt idx="277">
                  <v>-0.02076985657255226</v>
                </pt>
                <pt idx="278">
                  <v>0.007811681496196377</v>
                </pt>
                <pt idx="279">
                  <v>0.1059835696571116</v>
                </pt>
                <pt idx="280">
                  <v>-0.01244760260829236</v>
                </pt>
                <pt idx="281">
                  <v>0.07203447649252648</v>
                </pt>
                <pt idx="282">
                  <v>0.0617964067168475</v>
                </pt>
                <pt idx="283">
                  <v>0.04695482593707889</v>
                </pt>
                <pt idx="284">
                  <v>0.0854952299015701</v>
                </pt>
                <pt idx="285">
                  <v>0.007404098363004152</v>
                </pt>
                <pt idx="286">
                  <v>0.09689537856609332</v>
                </pt>
                <pt idx="287">
                  <v>0.02201620823767092</v>
                </pt>
                <pt idx="288">
                  <v>0.06385055079394797</v>
                </pt>
                <pt idx="289">
                  <v>0.02600159286851711</v>
                </pt>
                <pt idx="290">
                  <v>0.01131944905778437</v>
                </pt>
                <pt idx="291">
                  <v>-0.06488380239633762</v>
                </pt>
                <pt idx="292">
                  <v>-0.05301773287832978</v>
                </pt>
                <pt idx="293">
                  <v>-0.4876956282671557</v>
                </pt>
                <pt idx="294">
                  <v>0.8208409139996522</v>
                </pt>
                <pt idx="295">
                  <v>0.2465260226528763</v>
                </pt>
                <pt idx="296">
                  <v>-0.02292060613230862</v>
                </pt>
                <pt idx="297">
                  <v>-0.03927021877480852</v>
                </pt>
                <pt idx="298">
                  <v>0.1169431561670933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7145071"/>
        <axId val="657146719"/>
      </barChart>
      <dateAx>
        <axId val="65714507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6719"/>
        <crosses val="autoZero"/>
        <lblOffset val="100"/>
        <baseTimeUnit val="months"/>
      </dateAx>
      <valAx>
        <axId val="6571467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714507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Exports!$A$2</f>
              <strCache>
                <ptCount val="1"/>
                <pt idx="0">
                  <v>Real Exports of Goods and Services (EXPGSC1)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Exports!$B$6:$B$304</f>
              <numCache>
                <formatCode>0.0</formatCode>
                <ptCount val="299"/>
                <pt idx="0">
                  <v>97.63</v>
                </pt>
                <pt idx="1">
                  <v>96.399</v>
                </pt>
                <pt idx="2">
                  <v>91.506</v>
                </pt>
                <pt idx="3">
                  <v>81.139</v>
                </pt>
                <pt idx="4">
                  <v>77.437</v>
                </pt>
                <pt idx="5">
                  <v>70.19799999999999</v>
                </pt>
                <pt idx="6">
                  <v>71.848</v>
                </pt>
                <pt idx="7">
                  <v>69.316</v>
                </pt>
                <pt idx="8">
                  <v>77.61199999999999</v>
                </pt>
                <pt idx="9">
                  <v>76.947</v>
                </pt>
                <pt idx="10">
                  <v>70.52</v>
                </pt>
                <pt idx="11">
                  <v>61.047</v>
                </pt>
                <pt idx="12">
                  <v>60.041</v>
                </pt>
                <pt idx="13">
                  <v>60.766</v>
                </pt>
                <pt idx="14">
                  <v>62.342</v>
                </pt>
                <pt idx="15">
                  <v>67.395</v>
                </pt>
                <pt idx="16">
                  <v>70.76300000000001</v>
                </pt>
                <pt idx="17">
                  <v>77.727</v>
                </pt>
                <pt idx="18">
                  <v>79.636</v>
                </pt>
                <pt idx="19">
                  <v>78.889</v>
                </pt>
                <pt idx="20">
                  <v>83.08799999999999</v>
                </pt>
                <pt idx="21">
                  <v>73.95399999999999</v>
                </pt>
                <pt idx="22">
                  <v>68.114</v>
                </pt>
                <pt idx="23">
                  <v>68.58</v>
                </pt>
                <pt idx="24">
                  <v>67.42</v>
                </pt>
                <pt idx="25">
                  <v>67.84</v>
                </pt>
                <pt idx="26">
                  <v>70.56</v>
                </pt>
                <pt idx="27">
                  <v>68.23399999999999</v>
                </pt>
                <pt idx="28">
                  <v>65.17400000000001</v>
                </pt>
                <pt idx="29">
                  <v>74.538</v>
                </pt>
                <pt idx="30">
                  <v>72.143</v>
                </pt>
                <pt idx="31">
                  <v>75.465</v>
                </pt>
                <pt idx="32">
                  <v>78.26900000000001</v>
                </pt>
                <pt idx="33">
                  <v>76.444</v>
                </pt>
                <pt idx="34">
                  <v>81.461</v>
                </pt>
                <pt idx="35">
                  <v>81.82899999999999</v>
                </pt>
                <pt idx="36">
                  <v>85.71299999999999</v>
                </pt>
                <pt idx="37">
                  <v>91.488</v>
                </pt>
                <pt idx="38">
                  <v>94.532</v>
                </pt>
                <pt idx="39">
                  <v>98.76900000000001</v>
                </pt>
                <pt idx="40">
                  <v>105.205</v>
                </pt>
                <pt idx="41">
                  <v>102.088</v>
                </pt>
                <pt idx="42">
                  <v>99.23399999999999</v>
                </pt>
                <pt idx="43">
                  <v>96.277</v>
                </pt>
                <pt idx="44">
                  <v>86.73399999999999</v>
                </pt>
                <pt idx="45">
                  <v>87.14</v>
                </pt>
                <pt idx="46">
                  <v>87.39400000000001</v>
                </pt>
                <pt idx="47">
                  <v>87.08</v>
                </pt>
                <pt idx="48">
                  <v>93.393</v>
                </pt>
                <pt idx="49">
                  <v>92.64700000000001</v>
                </pt>
                <pt idx="50">
                  <v>101.582</v>
                </pt>
                <pt idx="51">
                  <v>96.55500000000001</v>
                </pt>
                <pt idx="52">
                  <v>108.999</v>
                </pt>
                <pt idx="53">
                  <v>112.126</v>
                </pt>
                <pt idx="54">
                  <v>114.57</v>
                </pt>
                <pt idx="55">
                  <v>115.18</v>
                </pt>
                <pt idx="56">
                  <v>114.388</v>
                </pt>
                <pt idx="57">
                  <v>109.064</v>
                </pt>
                <pt idx="58">
                  <v>113.993</v>
                </pt>
                <pt idx="59">
                  <v>115.852</v>
                </pt>
                <pt idx="60">
                  <v>115.17</v>
                </pt>
                <pt idx="61">
                  <v>121.789</v>
                </pt>
                <pt idx="62">
                  <v>121.576</v>
                </pt>
                <pt idx="63">
                  <v>117.644</v>
                </pt>
                <pt idx="64">
                  <v>119.43</v>
                </pt>
                <pt idx="65">
                  <v>128.977</v>
                </pt>
                <pt idx="66">
                  <v>128.331</v>
                </pt>
                <pt idx="67">
                  <v>133.347</v>
                </pt>
                <pt idx="68">
                  <v>140.091</v>
                </pt>
                <pt idx="69">
                  <v>139.519</v>
                </pt>
                <pt idx="70">
                  <v>143.887</v>
                </pt>
                <pt idx="71">
                  <v>146.784</v>
                </pt>
                <pt idx="72">
                  <v>129.7</v>
                </pt>
                <pt idx="73">
                  <v>151.411</v>
                </pt>
                <pt idx="74">
                  <v>148.046</v>
                </pt>
                <pt idx="75">
                  <v>157.095</v>
                </pt>
                <pt idx="76">
                  <v>153.224</v>
                </pt>
                <pt idx="77">
                  <v>157.828</v>
                </pt>
                <pt idx="78">
                  <v>155.942</v>
                </pt>
                <pt idx="79">
                  <v>159.819</v>
                </pt>
                <pt idx="80">
                  <v>161.782</v>
                </pt>
                <pt idx="81">
                  <v>159.631</v>
                </pt>
                <pt idx="82">
                  <v>158.35</v>
                </pt>
                <pt idx="83">
                  <v>161.337</v>
                </pt>
                <pt idx="84">
                  <v>165.868</v>
                </pt>
                <pt idx="85">
                  <v>168.643</v>
                </pt>
                <pt idx="86">
                  <v>180.635</v>
                </pt>
                <pt idx="87">
                  <v>176.621</v>
                </pt>
                <pt idx="88">
                  <v>156.09</v>
                </pt>
                <pt idx="89">
                  <v>190.297</v>
                </pt>
                <pt idx="90">
                  <v>187.112</v>
                </pt>
                <pt idx="91">
                  <v>192.007</v>
                </pt>
                <pt idx="92">
                  <v>194.54</v>
                </pt>
                <pt idx="93">
                  <v>202.078</v>
                </pt>
                <pt idx="94">
                  <v>202.887</v>
                </pt>
                <pt idx="95">
                  <v>203.308</v>
                </pt>
                <pt idx="96">
                  <v>205.164</v>
                </pt>
                <pt idx="97">
                  <v>203.647</v>
                </pt>
                <pt idx="98">
                  <v>213.827</v>
                </pt>
                <pt idx="99">
                  <v>194.088</v>
                </pt>
                <pt idx="100">
                  <v>216.149</v>
                </pt>
                <pt idx="101">
                  <v>209.842</v>
                </pt>
                <pt idx="102">
                  <v>222.493</v>
                </pt>
                <pt idx="103">
                  <v>231.902</v>
                </pt>
                <pt idx="104">
                  <v>248.867</v>
                </pt>
                <pt idx="105">
                  <v>260.856</v>
                </pt>
                <pt idx="106">
                  <v>261.735</v>
                </pt>
                <pt idx="107">
                  <v>274.61</v>
                </pt>
                <pt idx="108">
                  <v>278.171</v>
                </pt>
                <pt idx="109">
                  <v>291.735</v>
                </pt>
                <pt idx="110">
                  <v>276.018</v>
                </pt>
                <pt idx="111">
                  <v>283.228</v>
                </pt>
                <pt idx="112">
                  <v>285.204</v>
                </pt>
                <pt idx="113">
                  <v>276.889</v>
                </pt>
                <pt idx="114">
                  <v>272.218</v>
                </pt>
                <pt idx="115">
                  <v>287.609</v>
                </pt>
                <pt idx="116">
                  <v>285.624</v>
                </pt>
                <pt idx="117">
                  <v>288.503</v>
                </pt>
                <pt idx="118">
                  <v>296.886</v>
                </pt>
                <pt idx="119">
                  <v>299.898</v>
                </pt>
                <pt idx="120">
                  <v>295.072</v>
                </pt>
                <pt idx="121">
                  <v>303.024</v>
                </pt>
                <pt idx="122">
                  <v>305.375</v>
                </pt>
                <pt idx="123">
                  <v>295.584</v>
                </pt>
                <pt idx="124">
                  <v>302.563</v>
                </pt>
                <pt idx="125">
                  <v>334.106</v>
                </pt>
                <pt idx="126">
                  <v>337.772</v>
                </pt>
                <pt idx="127">
                  <v>351.178</v>
                </pt>
                <pt idx="128">
                  <v>351.453</v>
                </pt>
                <pt idx="129">
                  <v>352.369</v>
                </pt>
                <pt idx="130">
                  <v>365.05</v>
                </pt>
                <pt idx="131">
                  <v>388.019</v>
                </pt>
                <pt idx="132">
                  <v>398.848</v>
                </pt>
                <pt idx="133">
                  <v>406.367</v>
                </pt>
                <pt idx="134">
                  <v>405.501</v>
                </pt>
                <pt idx="135">
                  <v>403.045</v>
                </pt>
                <pt idx="136">
                  <v>410.625</v>
                </pt>
                <pt idx="137">
                  <v>412.845</v>
                </pt>
                <pt idx="138">
                  <v>404.05</v>
                </pt>
                <pt idx="139">
                  <v>405.905</v>
                </pt>
                <pt idx="140">
                  <v>388.289</v>
                </pt>
                <pt idx="141">
                  <v>390.605</v>
                </pt>
                <pt idx="142">
                  <v>373.283</v>
                </pt>
                <pt idx="143">
                  <v>356.178</v>
                </pt>
                <pt idx="144">
                  <v>361.923</v>
                </pt>
                <pt idx="145">
                  <v>363.006</v>
                </pt>
                <pt idx="146">
                  <v>368.463</v>
                </pt>
                <pt idx="147">
                  <v>375.878</v>
                </pt>
                <pt idx="148">
                  <v>383.723</v>
                </pt>
                <pt idx="149">
                  <v>393.26</v>
                </pt>
                <pt idx="150">
                  <v>401.948</v>
                </pt>
                <pt idx="151">
                  <v>410.126</v>
                </pt>
                <pt idx="152">
                  <v>411.214</v>
                </pt>
                <pt idx="153">
                  <v>410.332</v>
                </pt>
                <pt idx="154">
                  <v>404.347</v>
                </pt>
                <pt idx="155">
                  <v>416.411</v>
                </pt>
                <pt idx="156">
                  <v>429.453</v>
                </pt>
                <pt idx="157">
                  <v>434.077</v>
                </pt>
                <pt idx="158">
                  <v>444.012</v>
                </pt>
                <pt idx="159">
                  <v>460.6</v>
                </pt>
                <pt idx="160">
                  <v>461.01</v>
                </pt>
                <pt idx="161">
                  <v>480.003</v>
                </pt>
                <pt idx="162">
                  <v>500.839</v>
                </pt>
                <pt idx="163">
                  <v>519.523</v>
                </pt>
                <pt idx="164">
                  <v>548.373</v>
                </pt>
                <pt idx="165">
                  <v>563.741</v>
                </pt>
                <pt idx="166">
                  <v>574.85</v>
                </pt>
                <pt idx="167">
                  <v>592.395</v>
                </pt>
                <pt idx="168">
                  <v>610.088</v>
                </pt>
                <pt idx="169">
                  <v>636.8</v>
                </pt>
                <pt idx="170">
                  <v>643.3049999999999</v>
                </pt>
                <pt idx="171">
                  <v>653.043</v>
                </pt>
                <pt idx="172">
                  <v>681.404</v>
                </pt>
                <pt idx="173">
                  <v>689.878</v>
                </pt>
                <pt idx="174">
                  <v>695.099</v>
                </pt>
                <pt idx="175">
                  <v>701.2190000000001</v>
                </pt>
                <pt idx="176">
                  <v>705.503</v>
                </pt>
                <pt idx="177">
                  <v>731.225</v>
                </pt>
                <pt idx="178">
                  <v>748.5359999999999</v>
                </pt>
                <pt idx="179">
                  <v>765.391</v>
                </pt>
                <pt idx="180">
                  <v>779.228</v>
                </pt>
                <pt idx="181">
                  <v>779.599</v>
                </pt>
                <pt idx="182">
                  <v>796.12</v>
                </pt>
                <pt idx="183">
                  <v>800.11</v>
                </pt>
                <pt idx="184">
                  <v>801.896</v>
                </pt>
                <pt idx="185">
                  <v>811.48</v>
                </pt>
                <pt idx="186">
                  <v>809.299</v>
                </pt>
                <pt idx="187">
                  <v>835.384</v>
                </pt>
                <pt idx="188">
                  <v>843.5839999999999</v>
                </pt>
                <pt idx="189">
                  <v>872.0650000000001</v>
                </pt>
                <pt idx="190">
                  <v>904.705</v>
                </pt>
                <pt idx="191">
                  <v>925.5890000000001</v>
                </pt>
                <pt idx="192">
                  <v>943.418</v>
                </pt>
                <pt idx="193">
                  <v>956.647</v>
                </pt>
                <pt idx="194">
                  <v>998.046</v>
                </pt>
                <pt idx="195">
                  <v>1012.295</v>
                </pt>
                <pt idx="196">
                  <v>1024.482</v>
                </pt>
                <pt idx="197">
                  <v>1041.134</v>
                </pt>
                <pt idx="198">
                  <v>1049.548</v>
                </pt>
                <pt idx="199">
                  <v>1114.975</v>
                </pt>
                <pt idx="200">
                  <v>1136.155</v>
                </pt>
                <pt idx="201">
                  <v>1181.574</v>
                </pt>
                <pt idx="202">
                  <v>1208.942</v>
                </pt>
                <pt idx="203">
                  <v>1207.259</v>
                </pt>
                <pt idx="204">
                  <v>1212.914</v>
                </pt>
                <pt idx="205">
                  <v>1199.525</v>
                </pt>
                <pt idx="206">
                  <v>1193.945</v>
                </pt>
                <pt idx="207">
                  <v>1238.119</v>
                </pt>
                <pt idx="208">
                  <v>1234.528</v>
                </pt>
                <pt idx="209">
                  <v>1249.611</v>
                </pt>
                <pt idx="210">
                  <v>1287.16</v>
                </pt>
                <pt idx="211">
                  <v>1314.637</v>
                </pt>
                <pt idx="212">
                  <v>1333.666</v>
                </pt>
                <pt idx="213">
                  <v>1374.292</v>
                </pt>
                <pt idx="214">
                  <v>1407.33</v>
                </pt>
                <pt idx="215">
                  <v>1393.349</v>
                </pt>
                <pt idx="216">
                  <v>1375.8</v>
                </pt>
                <pt idx="217">
                  <v>1335.433</v>
                </pt>
                <pt idx="218">
                  <v>1266.999</v>
                </pt>
                <pt idx="219">
                  <v>1222.907</v>
                </pt>
                <pt idx="220">
                  <v>1249.62</v>
                </pt>
                <pt idx="221">
                  <v>1286.817</v>
                </pt>
                <pt idx="222">
                  <v>1290.868</v>
                </pt>
                <pt idx="223">
                  <v>1271.796</v>
                </pt>
                <pt idx="224">
                  <v>1267.886</v>
                </pt>
                <pt idx="225">
                  <v>1270.133</v>
                </pt>
                <pt idx="226">
                  <v>1304.816</v>
                </pt>
                <pt idx="227">
                  <v>1363.499</v>
                </pt>
                <pt idx="228">
                  <v>1394.311</v>
                </pt>
                <pt idx="229">
                  <v>1423.51</v>
                </pt>
                <pt idx="230">
                  <v>1428.179</v>
                </pt>
                <pt idx="231">
                  <v>1462.081</v>
                </pt>
                <pt idx="232">
                  <v>1489.521</v>
                </pt>
                <pt idx="233">
                  <v>1522.746</v>
                </pt>
                <pt idx="234">
                  <v>1522.433</v>
                </pt>
                <pt idx="235">
                  <v>1569.613</v>
                </pt>
                <pt idx="236">
                  <v>1633.194</v>
                </pt>
                <pt idx="237">
                  <v>1663.431</v>
                </pt>
                <pt idx="238">
                  <v>1661.223</v>
                </pt>
                <pt idx="239">
                  <v>1724.263</v>
                </pt>
                <pt idx="240">
                  <v>1758.449</v>
                </pt>
                <pt idx="241">
                  <v>1785.064</v>
                </pt>
                <pt idx="242">
                  <v>1840.838</v>
                </pt>
                <pt idx="243">
                  <v>1883.062</v>
                </pt>
                <pt idx="244">
                  <v>1913.046</v>
                </pt>
                <pt idx="245">
                  <v>1969.204</v>
                </pt>
                <pt idx="246">
                  <v>1960.362</v>
                </pt>
                <pt idx="247">
                  <v>1844.981</v>
                </pt>
                <pt idx="248">
                  <v>1697.637</v>
                </pt>
                <pt idx="249">
                  <v>1708.832</v>
                </pt>
                <pt idx="250">
                  <v>1772.004</v>
                </pt>
                <pt idx="251">
                  <v>1871.485</v>
                </pt>
                <pt idx="252">
                  <v>1916.239</v>
                </pt>
                <pt idx="253">
                  <v>1958.367</v>
                </pt>
                <pt idx="254">
                  <v>2014.232</v>
                </pt>
                <pt idx="255">
                  <v>2069.349</v>
                </pt>
                <pt idx="256">
                  <v>2087.06</v>
                </pt>
                <pt idx="257">
                  <v>2122.321</v>
                </pt>
                <pt idx="258">
                  <v>2151.474</v>
                </pt>
                <pt idx="259">
                  <v>2167.652</v>
                </pt>
                <pt idx="260">
                  <v>2194.087</v>
                </pt>
                <pt idx="261">
                  <v>2215.753</v>
                </pt>
                <pt idx="262">
                  <v>2229.353</v>
                </pt>
                <pt idx="263">
                  <v>2231.607</v>
                </pt>
                <pt idx="264">
                  <v>2242.308</v>
                </pt>
                <pt idx="265">
                  <v>2262.524</v>
                </pt>
                <pt idx="266">
                  <v>2281.979</v>
                </pt>
                <pt idx="267">
                  <v>2347.579</v>
                </pt>
                <pt idx="268">
                  <v>2324.808</v>
                </pt>
                <pt idx="269">
                  <v>2375.121</v>
                </pt>
                <pt idx="270">
                  <v>2384.779</v>
                </pt>
                <pt idx="271">
                  <v>2404.43</v>
                </pt>
                <pt idx="272">
                  <v>2384.843</v>
                </pt>
                <pt idx="273">
                  <v>2391.145</v>
                </pt>
                <pt idx="274">
                  <v>2371.205</v>
                </pt>
                <pt idx="275">
                  <v>2367.667</v>
                </pt>
                <pt idx="276">
                  <v>2360.705</v>
                </pt>
                <pt idx="277">
                  <v>2378.612</v>
                </pt>
                <pt idx="278">
                  <v>2415.552</v>
                </pt>
                <pt idx="279">
                  <v>2398.552</v>
                </pt>
                <pt idx="280">
                  <v>2455.577</v>
                </pt>
                <pt idx="281">
                  <v>2465.39</v>
                </pt>
                <pt idx="282">
                  <v>2481.889</v>
                </pt>
                <pt idx="283">
                  <v>2540.146</v>
                </pt>
                <pt idx="284">
                  <v>2551.569</v>
                </pt>
                <pt idx="285">
                  <v>2582.895</v>
                </pt>
                <pt idx="286">
                  <v>2542.472</v>
                </pt>
                <pt idx="287">
                  <v>2545.573</v>
                </pt>
                <pt idx="288">
                  <v>2565.316</v>
                </pt>
                <pt idx="289">
                  <v>2551.325</v>
                </pt>
                <pt idx="290">
                  <v>2545.891</v>
                </pt>
                <pt idx="291">
                  <v>2553.312</v>
                </pt>
                <pt idx="292">
                  <v>2442.052</v>
                </pt>
                <pt idx="293">
                  <v>1942.959</v>
                </pt>
                <pt idx="294">
                  <v>2166.25</v>
                </pt>
                <pt idx="295">
                  <v>2279.025</v>
                </pt>
                <pt idx="296">
                  <v>2262.347</v>
                </pt>
                <pt idx="297">
                  <v>2304.164</v>
                </pt>
                <pt idx="298">
                  <v>2289.48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1866816"/>
        <axId val="411868464"/>
      </lineChart>
      <dateAx>
        <axId val="4118668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8464"/>
        <crosses val="autoZero"/>
        <lblOffset val="100"/>
        <baseTimeUnit val="months"/>
      </dateAx>
      <valAx>
        <axId val="4118684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8668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Exports!$C$5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Exports!$C$6:$C$304</f>
              <numCache>
                <formatCode>0.00%</formatCode>
                <ptCount val="299"/>
                <pt idx="1">
                  <v>-0.01260882925330323</v>
                </pt>
                <pt idx="2">
                  <v>-0.05075778794385834</v>
                </pt>
                <pt idx="3">
                  <v>-0.1132931173912094</v>
                </pt>
                <pt idx="4">
                  <v>-0.04562540825004004</v>
                </pt>
                <pt idx="5">
                  <v>-0.0934824437930189</v>
                </pt>
                <pt idx="6">
                  <v>0.02350494316077389</v>
                </pt>
                <pt idx="7">
                  <v>-0.03524106446943542</v>
                </pt>
                <pt idx="8">
                  <v>0.1196837670956199</v>
                </pt>
                <pt idx="9">
                  <v>-0.008568262639797868</v>
                </pt>
                <pt idx="10">
                  <v>-0.08352502371762391</v>
                </pt>
                <pt idx="11">
                  <v>-0.1343306863301191</v>
                </pt>
                <pt idx="12">
                  <v>-0.016479106262388</v>
                </pt>
                <pt idx="13">
                  <v>0.01207508202728138</v>
                </pt>
                <pt idx="14">
                  <v>0.02593555606753778</v>
                </pt>
                <pt idx="15">
                  <v>0.08105290173558752</v>
                </pt>
                <pt idx="16">
                  <v>0.04997403368202403</v>
                </pt>
                <pt idx="17">
                  <v>0.09841301245000916</v>
                </pt>
                <pt idx="18">
                  <v>0.02456032009469028</v>
                </pt>
                <pt idx="19">
                  <v>-0.009380179818172685</v>
                </pt>
                <pt idx="20">
                  <v>0.05322668559621745</v>
                </pt>
                <pt idx="21">
                  <v>-0.1099316387444637</v>
                </pt>
                <pt idx="22">
                  <v>-0.07896800713957311</v>
                </pt>
                <pt idx="23">
                  <v>0.006841471650468244</v>
                </pt>
                <pt idx="24">
                  <v>-0.01691455234762317</v>
                </pt>
                <pt idx="25">
                  <v>0.006229605458320998</v>
                </pt>
                <pt idx="26">
                  <v>0.04009433962264149</v>
                </pt>
                <pt idx="27">
                  <v>-0.03296485260770986</v>
                </pt>
                <pt idx="28">
                  <v>-0.04484567810768808</v>
                </pt>
                <pt idx="29">
                  <v>0.1436769263816858</v>
                </pt>
                <pt idx="30">
                  <v>-0.03213126190667842</v>
                </pt>
                <pt idx="31">
                  <v>0.04604743356943852</v>
                </pt>
                <pt idx="32">
                  <v>0.03715629762141393</v>
                </pt>
                <pt idx="33">
                  <v>-0.02331702206492996</v>
                </pt>
                <pt idx="34">
                  <v>0.06562974203338386</v>
                </pt>
                <pt idx="35">
                  <v>0.004517499171382564</v>
                </pt>
                <pt idx="36">
                  <v>0.04746483520512289</v>
                </pt>
                <pt idx="37">
                  <v>0.06737601064015968</v>
                </pt>
                <pt idx="38">
                  <v>0.03327212311997198</v>
                </pt>
                <pt idx="39">
                  <v>0.04482080142174089</v>
                </pt>
                <pt idx="40">
                  <v>0.06516214601747504</v>
                </pt>
                <pt idx="41">
                  <v>-0.02962786939784235</v>
                </pt>
                <pt idx="42">
                  <v>-0.02795627301935584</v>
                </pt>
                <pt idx="43">
                  <v>-0.02979825463046933</v>
                </pt>
                <pt idx="44">
                  <v>-0.0991202467879141</v>
                </pt>
                <pt idx="45">
                  <v>0.004680978624299651</v>
                </pt>
                <pt idx="46">
                  <v>0.002914849667202259</v>
                </pt>
                <pt idx="47">
                  <v>-0.003592923999359305</v>
                </pt>
                <pt idx="48">
                  <v>0.07249655489205331</v>
                </pt>
                <pt idx="49">
                  <v>-0.007987750687953005</v>
                </pt>
                <pt idx="50">
                  <v>0.09644133107386087</v>
                </pt>
                <pt idx="51">
                  <v>-0.04948711385875438</v>
                </pt>
                <pt idx="52">
                  <v>0.1288799130029516</v>
                </pt>
                <pt idx="53">
                  <v>0.02868833659024404</v>
                </pt>
                <pt idx="54">
                  <v>0.0217969070509961</v>
                </pt>
                <pt idx="55">
                  <v>0.005324255913415499</v>
                </pt>
                <pt idx="56">
                  <v>-0.006876193783643007</v>
                </pt>
                <pt idx="57">
                  <v>-0.046543343707382</v>
                </pt>
                <pt idx="58">
                  <v>0.04519364776644908</v>
                </pt>
                <pt idx="59">
                  <v>0.01630801891344213</v>
                </pt>
                <pt idx="60">
                  <v>-0.005886821116597056</v>
                </pt>
                <pt idx="61">
                  <v>0.0574715637752887</v>
                </pt>
                <pt idx="62">
                  <v>-0.001748926421926513</v>
                </pt>
                <pt idx="63">
                  <v>-0.03234190958741847</v>
                </pt>
                <pt idx="64">
                  <v>0.01518139471626263</v>
                </pt>
                <pt idx="65">
                  <v>0.079938039018672</v>
                </pt>
                <pt idx="66">
                  <v>-0.005008644952200896</v>
                </pt>
                <pt idx="67">
                  <v>0.03908642494798623</v>
                </pt>
                <pt idx="68">
                  <v>0.05057481608135166</v>
                </pt>
                <pt idx="69">
                  <v>-0.004083060296521566</v>
                </pt>
                <pt idx="70">
                  <v>0.03130756384435091</v>
                </pt>
                <pt idx="71">
                  <v>0.02013385503902362</v>
                </pt>
                <pt idx="72">
                  <v>-0.1163887072160454</v>
                </pt>
                <pt idx="73">
                  <v>0.1673939861218197</v>
                </pt>
                <pt idx="74">
                  <v>-0.02222427696798785</v>
                </pt>
                <pt idx="75">
                  <v>0.06112289423557548</v>
                </pt>
                <pt idx="76">
                  <v>-0.02464114071103478</v>
                </pt>
                <pt idx="77">
                  <v>0.03004751213909057</v>
                </pt>
                <pt idx="78">
                  <v>-0.01194971741389358</v>
                </pt>
                <pt idx="79">
                  <v>0.0248618075951314</v>
                </pt>
                <pt idx="80">
                  <v>0.01228264474186437</v>
                </pt>
                <pt idx="81">
                  <v>-0.01329566948115372</v>
                </pt>
                <pt idx="82">
                  <v>-0.008024757096052808</v>
                </pt>
                <pt idx="83">
                  <v>0.01886327754973157</v>
                </pt>
                <pt idx="84">
                  <v>0.02808407246942739</v>
                </pt>
                <pt idx="85">
                  <v>0.016730170979333</v>
                </pt>
                <pt idx="86">
                  <v>0.07110879194511477</v>
                </pt>
                <pt idx="87">
                  <v>-0.02222160710825688</v>
                </pt>
                <pt idx="88">
                  <v>-0.1162432553320387</v>
                </pt>
                <pt idx="89">
                  <v>0.2191492087898007</v>
                </pt>
                <pt idx="90">
                  <v>-0.01673699532835516</v>
                </pt>
                <pt idx="91">
                  <v>0.02616080208645095</v>
                </pt>
                <pt idx="92">
                  <v>0.01319222736671052</v>
                </pt>
                <pt idx="93">
                  <v>0.0387478153593092</v>
                </pt>
                <pt idx="94">
                  <v>0.004003404625936507</v>
                </pt>
                <pt idx="95">
                  <v>0.002075046700872862</v>
                </pt>
                <pt idx="96">
                  <v>0.009129006236842596</v>
                </pt>
                <pt idx="97">
                  <v>-0.007394084732214209</v>
                </pt>
                <pt idx="98">
                  <v>0.04998846042416538</v>
                </pt>
                <pt idx="99">
                  <v>-0.09231294457669052</v>
                </pt>
                <pt idx="100">
                  <v>0.1136649354931784</v>
                </pt>
                <pt idx="101">
                  <v>-0.0291789460048392</v>
                </pt>
                <pt idx="102">
                  <v>0.06028821684886716</v>
                </pt>
                <pt idx="103">
                  <v>0.04228897088897175</v>
                </pt>
                <pt idx="104">
                  <v>0.07315590206207796</v>
                </pt>
                <pt idx="105">
                  <v>0.04817432604563886</v>
                </pt>
                <pt idx="106">
                  <v>0.003369675223111675</v>
                </pt>
                <pt idx="107">
                  <v>0.04919097560509676</v>
                </pt>
                <pt idx="108">
                  <v>0.0129674811550926</v>
                </pt>
                <pt idx="109">
                  <v>0.0487613733998153</v>
                </pt>
                <pt idx="110">
                  <v>-0.05387423517918673</v>
                </pt>
                <pt idx="111">
                  <v>0.02612148483069958</v>
                </pt>
                <pt idx="112">
                  <v>0.006976711342098941</v>
                </pt>
                <pt idx="113">
                  <v>-0.02915457006213096</v>
                </pt>
                <pt idx="114">
                  <v>-0.01686957589503372</v>
                </pt>
                <pt idx="115">
                  <v>0.05653924428215607</v>
                </pt>
                <pt idx="116">
                  <v>-0.006901731169747668</v>
                </pt>
                <pt idx="117">
                  <v>0.01007968518051691</v>
                </pt>
                <pt idx="118">
                  <v>0.02905689022297875</v>
                </pt>
                <pt idx="119">
                  <v>0.01014530830015562</v>
                </pt>
                <pt idx="120">
                  <v>-0.01609213799358456</v>
                </pt>
                <pt idx="121">
                  <v>0.02694935473375989</v>
                </pt>
                <pt idx="122">
                  <v>0.007758461375996618</v>
                </pt>
                <pt idx="123">
                  <v>-0.03206221858370854</v>
                </pt>
                <pt idx="124">
                  <v>0.0236108855689076</v>
                </pt>
                <pt idx="125">
                  <v>0.1042526680393836</v>
                </pt>
                <pt idx="126">
                  <v>0.01097256559295552</v>
                </pt>
                <pt idx="127">
                  <v>0.03968949468872496</v>
                </pt>
                <pt idx="128">
                  <v>0.0007830786666590085</v>
                </pt>
                <pt idx="129">
                  <v>0.002606322893815257</v>
                </pt>
                <pt idx="130">
                  <v>0.03598784229032628</v>
                </pt>
                <pt idx="131">
                  <v>0.06292014792494177</v>
                </pt>
                <pt idx="132">
                  <v>0.02790842716464917</v>
                </pt>
                <pt idx="133">
                  <v>0.01885179316431324</v>
                </pt>
                <pt idx="134">
                  <v>-0.002131078557067976</v>
                </pt>
                <pt idx="135">
                  <v>-0.006056705162255976</v>
                </pt>
                <pt idx="136">
                  <v>0.01880683298390995</v>
                </pt>
                <pt idx="137">
                  <v>0.005406392694063993</v>
                </pt>
                <pt idx="138">
                  <v>-0.02130339473652343</v>
                </pt>
                <pt idx="139">
                  <v>0.004591015963370774</v>
                </pt>
                <pt idx="140">
                  <v>-0.04339931757430922</v>
                </pt>
                <pt idx="141">
                  <v>0.005964629438382316</v>
                </pt>
                <pt idx="142">
                  <v>-0.04434659054543593</v>
                </pt>
                <pt idx="143">
                  <v>-0.04582314222721104</v>
                </pt>
                <pt idx="144">
                  <v>0.01612957566160741</v>
                </pt>
                <pt idx="145">
                  <v>0.002992349201349375</v>
                </pt>
                <pt idx="146">
                  <v>0.01503280937505179</v>
                </pt>
                <pt idx="147">
                  <v>0.02012413729465364</v>
                </pt>
                <pt idx="148">
                  <v>0.02087113371891951</v>
                </pt>
                <pt idx="149">
                  <v>0.02485386593975336</v>
                </pt>
                <pt idx="150">
                  <v>0.02209225448812488</v>
                </pt>
                <pt idx="151">
                  <v>0.02034591539204076</v>
                </pt>
                <pt idx="152">
                  <v>0.002652843272555318</v>
                </pt>
                <pt idx="153">
                  <v>-0.002144868608559059</v>
                </pt>
                <pt idx="154">
                  <v>-0.01458575007554861</v>
                </pt>
                <pt idx="155">
                  <v>0.02983575987950949</v>
                </pt>
                <pt idx="156">
                  <v>0.03132001796302204</v>
                </pt>
                <pt idx="157">
                  <v>0.01076718523330847</v>
                </pt>
                <pt idx="158">
                  <v>0.02288764435802865</v>
                </pt>
                <pt idx="159">
                  <v>0.03735935064818073</v>
                </pt>
                <pt idx="160">
                  <v>0.0008901432913590276</v>
                </pt>
                <pt idx="161">
                  <v>0.04119867247998958</v>
                </pt>
                <pt idx="162">
                  <v>0.04340806203294566</v>
                </pt>
                <pt idx="163">
                  <v>0.03730540153622227</v>
                </pt>
                <pt idx="164">
                  <v>0.05553170889450519</v>
                </pt>
                <pt idx="165">
                  <v>0.02802472040016547</v>
                </pt>
                <pt idx="166">
                  <v>0.01970585783187676</v>
                </pt>
                <pt idx="167">
                  <v>0.03052100547969028</v>
                </pt>
                <pt idx="168">
                  <v>0.02986689624321607</v>
                </pt>
                <pt idx="169">
                  <v>0.04378384757608737</v>
                </pt>
                <pt idx="170">
                  <v>0.01021513819095477</v>
                </pt>
                <pt idx="171">
                  <v>0.01513745424021274</v>
                </pt>
                <pt idx="172">
                  <v>0.0434289931903412</v>
                </pt>
                <pt idx="173">
                  <v>0.01243608784216125</v>
                </pt>
                <pt idx="174">
                  <v>0.007568004777656344</v>
                </pt>
                <pt idx="175">
                  <v>0.008804501229321297</v>
                </pt>
                <pt idx="176">
                  <v>0.006109360984228881</v>
                </pt>
                <pt idx="177">
                  <v>0.03645909372461914</v>
                </pt>
                <pt idx="178">
                  <v>0.02367397175971817</v>
                </pt>
                <pt idx="179">
                  <v>0.02251728707770905</v>
                </pt>
                <pt idx="180">
                  <v>0.0180783416580545</v>
                </pt>
                <pt idx="181">
                  <v>0.0004761122546932279</v>
                </pt>
                <pt idx="182">
                  <v>0.0211916639195278</v>
                </pt>
                <pt idx="183">
                  <v>0.005011807265236408</v>
                </pt>
                <pt idx="184">
                  <v>0.002232193073452331</v>
                </pt>
                <pt idx="185">
                  <v>0.01195167453136075</v>
                </pt>
                <pt idx="186">
                  <v>-0.002687681766648642</v>
                </pt>
                <pt idx="187">
                  <v>0.03223159796317558</v>
                </pt>
                <pt idx="188">
                  <v>0.009815845168209986</v>
                </pt>
                <pt idx="189">
                  <v>0.03376190160078914</v>
                </pt>
                <pt idx="190">
                  <v>0.03742840269934006</v>
                </pt>
                <pt idx="191">
                  <v>0.02308376763696455</v>
                </pt>
                <pt idx="192">
                  <v>0.01926232917634063</v>
                </pt>
                <pt idx="193">
                  <v>0.0140224163626304</v>
                </pt>
                <pt idx="194">
                  <v>0.04327510565548211</v>
                </pt>
                <pt idx="195">
                  <v>0.01427689705684899</v>
                </pt>
                <pt idx="196">
                  <v>0.01203898073190129</v>
                </pt>
                <pt idx="197">
                  <v>0.01625406790944111</v>
                </pt>
                <pt idx="198">
                  <v>0.008081572592961125</v>
                </pt>
                <pt idx="199">
                  <v>0.06233826370971114</v>
                </pt>
                <pt idx="200">
                  <v>0.01899594161304071</v>
                </pt>
                <pt idx="201">
                  <v>0.03997605960454348</v>
                </pt>
                <pt idx="202">
                  <v>0.02316232415405209</v>
                </pt>
                <pt idx="203">
                  <v>-0.001392126338567105</v>
                </pt>
                <pt idx="204">
                  <v>0.004684164706993258</v>
                </pt>
                <pt idx="205">
                  <v>-0.01103870513490643</v>
                </pt>
                <pt idx="206">
                  <v>-0.004651841353869368</v>
                </pt>
                <pt idx="207">
                  <v>0.03699835419554501</v>
                </pt>
                <pt idx="208">
                  <v>-0.002900367412179197</v>
                </pt>
                <pt idx="209">
                  <v>0.01221762487363598</v>
                </pt>
                <pt idx="210">
                  <v>0.03004855110910513</v>
                </pt>
                <pt idx="211">
                  <v>0.02134699648839294</v>
                </pt>
                <pt idx="212">
                  <v>0.01447471811610353</v>
                </pt>
                <pt idx="213">
                  <v>0.03046189975601086</v>
                </pt>
                <pt idx="214">
                  <v>0.02404001478579517</v>
                </pt>
                <pt idx="215">
                  <v>-0.009934414813867391</v>
                </pt>
                <pt idx="216">
                  <v>-0.01259483445999529</v>
                </pt>
                <pt idx="217">
                  <v>-0.02934074720162812</v>
                </pt>
                <pt idx="218">
                  <v>-0.05124480224766047</v>
                </pt>
                <pt idx="219">
                  <v>-0.03480034317312018</v>
                </pt>
                <pt idx="220">
                  <v>0.02184385239433577</v>
                </pt>
                <pt idx="221">
                  <v>0.02976664906131473</v>
                </pt>
                <pt idx="222">
                  <v>0.003148077776404828</v>
                </pt>
                <pt idx="223">
                  <v>-0.01477455479568778</v>
                </pt>
                <pt idx="224">
                  <v>-0.003074392434006776</v>
                </pt>
                <pt idx="225">
                  <v>0.001772241352929263</v>
                </pt>
                <pt idx="226">
                  <v>0.02730658915247458</v>
                </pt>
                <pt idx="227">
                  <v>0.04497415727581513</v>
                </pt>
                <pt idx="228">
                  <v>0.02259774301264606</v>
                </pt>
                <pt idx="229">
                  <v>0.02094152595798216</v>
                </pt>
                <pt idx="230">
                  <v>0.003279920759250091</v>
                </pt>
                <pt idx="231">
                  <v>0.02373792080684551</v>
                </pt>
                <pt idx="232">
                  <v>0.0187677700483079</v>
                </pt>
                <pt idx="233">
                  <v>0.02230582851802703</v>
                </pt>
                <pt idx="234">
                  <v>-0.0002055497108513842</v>
                </pt>
                <pt idx="235">
                  <v>0.03098986950493064</v>
                </pt>
                <pt idx="236">
                  <v>0.04050743718356047</v>
                </pt>
                <pt idx="237">
                  <v>0.01851402833956044</v>
                </pt>
                <pt idx="238">
                  <v>-0.001327376969648927</v>
                </pt>
                <pt idx="239">
                  <v>0.03794794557985289</v>
                </pt>
                <pt idx="240">
                  <v>0.01982644178991265</v>
                </pt>
                <pt idx="241">
                  <v>0.01513549724785877</v>
                </pt>
                <pt idx="242">
                  <v>0.03124481811296395</v>
                </pt>
                <pt idx="243">
                  <v>0.02293737960646181</v>
                </pt>
                <pt idx="244">
                  <v>0.01592300200418263</v>
                </pt>
                <pt idx="245">
                  <v>0.02935527948622244</v>
                </pt>
                <pt idx="246">
                  <v>-0.00449013916282918</v>
                </pt>
                <pt idx="247">
                  <v>-0.05885698661777778</v>
                </pt>
                <pt idx="248">
                  <v>-0.07986206904027741</v>
                </pt>
                <pt idx="249">
                  <v>0.006594460417627658</v>
                </pt>
                <pt idx="250">
                  <v>0.03696794067526813</v>
                </pt>
                <pt idx="251">
                  <v>0.0561403924596107</v>
                </pt>
                <pt idx="252">
                  <v>0.02391363008519979</v>
                </pt>
                <pt idx="253">
                  <v>0.02198473154966574</v>
                </pt>
                <pt idx="254">
                  <v>0.02852631810074414</v>
                </pt>
                <pt idx="255">
                  <v>0.02736377934617273</v>
                </pt>
                <pt idx="256">
                  <v>0.008558730306004344</v>
                </pt>
                <pt idx="257">
                  <v>0.01689505812003486</v>
                </pt>
                <pt idx="258">
                  <v>0.01373637635400123</v>
                </pt>
                <pt idx="259">
                  <v>0.007519495936274332</v>
                </pt>
                <pt idx="260">
                  <v>0.01219522321848708</v>
                </pt>
                <pt idx="261">
                  <v>0.009874722378830086</v>
                </pt>
                <pt idx="262">
                  <v>0.006137868255171</v>
                </pt>
                <pt idx="263">
                  <v>0.001011055674000441</v>
                </pt>
                <pt idx="264">
                  <v>0.004795199154689882</v>
                </pt>
                <pt idx="265">
                  <v>0.009015710598187178</v>
                </pt>
                <pt idx="266">
                  <v>0.008598803813793767</v>
                </pt>
                <pt idx="267">
                  <v>0.02874697795203215</v>
                </pt>
                <pt idx="268">
                  <v>-0.009699780071299064</v>
                </pt>
                <pt idx="269">
                  <v>0.02164178719274886</v>
                </pt>
                <pt idx="270">
                  <v>0.004066319147529705</v>
                </pt>
                <pt idx="271">
                  <v>0.008240176553047407</v>
                </pt>
                <pt idx="272">
                  <v>-0.008146213447677825</v>
                </pt>
                <pt idx="273">
                  <v>0.002642521960565176</v>
                </pt>
                <pt idx="274">
                  <v>-0.008339101141921572</v>
                </pt>
                <pt idx="275">
                  <v>-0.001492068378735711</v>
                </pt>
                <pt idx="276">
                  <v>-0.002940447284183118</v>
                </pt>
                <pt idx="277">
                  <v>0.007585445873160837</v>
                </pt>
                <pt idx="278">
                  <v>0.01553006543311816</v>
                </pt>
                <pt idx="279">
                  <v>-0.007037728850382852</v>
                </pt>
                <pt idx="280">
                  <v>0.02377476077233268</v>
                </pt>
                <pt idx="281">
                  <v>0.0039962094448676</v>
                </pt>
                <pt idx="282">
                  <v>0.00669224747403058</v>
                </pt>
                <pt idx="283">
                  <v>0.02347284669056515</v>
                </pt>
                <pt idx="284">
                  <v>0.004496985606339074</v>
                </pt>
                <pt idx="285">
                  <v>0.01227715182305477</v>
                </pt>
                <pt idx="286">
                  <v>-0.01565026840038011</v>
                </pt>
                <pt idx="287">
                  <v>0.001219679115443418</v>
                </pt>
                <pt idx="288">
                  <v>0.007755817648914386</v>
                </pt>
                <pt idx="289">
                  <v>-0.005453908992108569</v>
                </pt>
                <pt idx="290">
                  <v>-0.002129873693080945</v>
                </pt>
                <pt idx="291">
                  <v>0.00291489305708682</v>
                </pt>
                <pt idx="292">
                  <v>-0.04357477660387754</v>
                </pt>
                <pt idx="293">
                  <v>-0.2043744359251974</v>
                </pt>
                <pt idx="294">
                  <v>0.1149231661604799</v>
                </pt>
                <pt idx="295">
                  <v>0.05206001154068094</v>
                </pt>
                <pt idx="296">
                  <v>-0.007318041706431427</v>
                </pt>
                <pt idx="297">
                  <v>0.01848390189480217</v>
                </pt>
                <pt idx="298">
                  <v>-0.006372810268713596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75440"/>
        <axId val="2129977088"/>
      </barChart>
      <dateAx>
        <axId val="2129975440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7088"/>
        <crosses val="autoZero"/>
        <lblOffset val="100"/>
        <baseTimeUnit val="months"/>
      </dateAx>
      <valAx>
        <axId val="2129977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75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Exports!$D$5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Exports!$D$6:$D$304</f>
              <numCache>
                <formatCode>0.00%</formatCode>
                <ptCount val="299"/>
                <pt idx="4">
                  <v>-0.2068319164191335</v>
                </pt>
                <pt idx="5">
                  <v>-0.2717974252844947</v>
                </pt>
                <pt idx="6">
                  <v>-0.2148274430092016</v>
                </pt>
                <pt idx="7">
                  <v>-0.1457129124095687</v>
                </pt>
                <pt idx="8">
                  <v>0.00225990159742755</v>
                </pt>
                <pt idx="9">
                  <v>0.09614234023761375</v>
                </pt>
                <pt idx="10">
                  <v>-0.0184834650929741</v>
                </pt>
                <pt idx="11">
                  <v>-0.1192942466385828</v>
                </pt>
                <pt idx="12">
                  <v>-0.2263954027727671</v>
                </pt>
                <pt idx="13">
                  <v>-0.2102876005562271</v>
                </pt>
                <pt idx="14">
                  <v>-0.1159671015314804</v>
                </pt>
                <pt idx="15">
                  <v>0.1039854538306551</v>
                </pt>
                <pt idx="16">
                  <v>0.1785779717193253</v>
                </pt>
                <pt idx="17">
                  <v>0.2791199025770991</v>
                </pt>
                <pt idx="18">
                  <v>0.2774052805492284</v>
                </pt>
                <pt idx="19">
                  <v>0.170546776467097</v>
                </pt>
                <pt idx="20">
                  <v>0.1741729434874156</v>
                </pt>
                <pt idx="21">
                  <v>-0.04854169078955846</v>
                </pt>
                <pt idx="22">
                  <v>-0.1446833090562056</v>
                </pt>
                <pt idx="23">
                  <v>-0.1306772807362243</v>
                </pt>
                <pt idx="24">
                  <v>-0.1885711534758328</v>
                </pt>
                <pt idx="25">
                  <v>-0.0826730129539983</v>
                </pt>
                <pt idx="26">
                  <v>0.03591038553014061</v>
                </pt>
                <pt idx="27">
                  <v>-0.005045202682998012</v>
                </pt>
                <pt idx="28">
                  <v>-0.03331355680806875</v>
                </pt>
                <pt idx="29">
                  <v>0.09873231132075461</v>
                </pt>
                <pt idx="30">
                  <v>0.0224348072562358</v>
                </pt>
                <pt idx="31">
                  <v>0.1059735615675471</v>
                </pt>
                <pt idx="32">
                  <v>0.2009236812225734</v>
                </pt>
                <pt idx="33">
                  <v>0.0255708497679037</v>
                </pt>
                <pt idx="34">
                  <v>0.1291601402769499</v>
                </pt>
                <pt idx="35">
                  <v>0.08433048433048419</v>
                </pt>
                <pt idx="36">
                  <v>0.09510789712402085</v>
                </pt>
                <pt idx="37">
                  <v>0.1967976558003244</v>
                </pt>
                <pt idx="38">
                  <v>0.1604571512748431</v>
                </pt>
                <pt idx="39">
                  <v>0.2070170721871221</v>
                </pt>
                <pt idx="40">
                  <v>0.227410077817834</v>
                </pt>
                <pt idx="41">
                  <v>0.115862189576775</v>
                </pt>
                <pt idx="42">
                  <v>0.04973977065967078</v>
                </pt>
                <pt idx="43">
                  <v>-0.02523058854498885</v>
                </pt>
                <pt idx="44">
                  <v>-0.1755715032555487</v>
                </pt>
                <pt idx="45">
                  <v>-0.1464226941462267</v>
                </pt>
                <pt idx="46">
                  <v>-0.1193139448173004</v>
                </pt>
                <pt idx="47">
                  <v>-0.09552644972319456</v>
                </pt>
                <pt idx="48">
                  <v>0.07677496714091367</v>
                </pt>
                <pt idx="49">
                  <v>0.0631971540050494</v>
                </pt>
                <pt idx="50">
                  <v>0.1623452410920657</v>
                </pt>
                <pt idx="51">
                  <v>0.1088079926504365</v>
                </pt>
                <pt idx="52">
                  <v>0.1671003180109858</v>
                </pt>
                <pt idx="53">
                  <v>0.2102496573013697</v>
                </pt>
                <pt idx="54">
                  <v>0.127857297552716</v>
                </pt>
                <pt idx="55">
                  <v>0.1928952410543213</v>
                </pt>
                <pt idx="56">
                  <v>0.04944082055798686</v>
                </pt>
                <pt idx="57">
                  <v>-0.02730856358025803</v>
                </pt>
                <pt idx="58">
                  <v>-0.005036222396787974</v>
                </pt>
                <pt idx="59">
                  <v>0.005834346240666756</v>
                </pt>
                <pt idx="60">
                  <v>0.006836381438612411</v>
                </pt>
                <pt idx="61">
                  <v>0.1166746130712243</v>
                </pt>
                <pt idx="62">
                  <v>0.06652162852104952</v>
                </pt>
                <pt idx="63">
                  <v>0.015468010910472</v>
                </pt>
                <pt idx="64">
                  <v>0.03698879916644964</v>
                </pt>
                <pt idx="65">
                  <v>0.05902010854839109</v>
                </pt>
                <pt idx="66">
                  <v>0.0555619530170428</v>
                </pt>
                <pt idx="67">
                  <v>0.1334789704532318</v>
                </pt>
                <pt idx="68">
                  <v>0.1729967344888219</v>
                </pt>
                <pt idx="69">
                  <v>0.08173550322925793</v>
                </pt>
                <pt idx="70">
                  <v>0.1212177883753732</v>
                </pt>
                <pt idx="71">
                  <v>0.100767171364935</v>
                </pt>
                <pt idx="72">
                  <v>-0.07417321598104103</v>
                </pt>
                <pt idx="73">
                  <v>0.08523570266415324</v>
                </pt>
                <pt idx="74">
                  <v>0.02890462654722102</v>
                </pt>
                <pt idx="75">
                  <v>0.07024607586657952</v>
                </pt>
                <pt idx="76">
                  <v>0.181372397841172</v>
                </pt>
                <pt idx="77">
                  <v>0.04238133292825489</v>
                </pt>
                <pt idx="78">
                  <v>0.0533347743268985</v>
                </pt>
                <pt idx="79">
                  <v>0.01733982621980324</v>
                </pt>
                <pt idx="80">
                  <v>0.05585286900224522</v>
                </pt>
                <pt idx="81">
                  <v>0.0114238284715006</v>
                </pt>
                <pt idx="82">
                  <v>0.0154416385579253</v>
                </pt>
                <pt idx="83">
                  <v>0.009498244889531287</v>
                </pt>
                <pt idx="84">
                  <v>0.02525620897256792</v>
                </pt>
                <pt idx="85">
                  <v>0.05645519980454924</v>
                </pt>
                <pt idx="86">
                  <v>0.1407325544679507</v>
                </pt>
                <pt idx="87">
                  <v>0.09473338415862463</v>
                </pt>
                <pt idx="88">
                  <v>-0.05895049075168201</v>
                </pt>
                <pt idx="89">
                  <v>0.1284014160089657</v>
                </pt>
                <pt idx="90">
                  <v>0.03585683837573009</v>
                </pt>
                <pt idx="91">
                  <v>0.08711308394811486</v>
                </pt>
                <pt idx="92">
                  <v>0.2463322442180792</v>
                </pt>
                <pt idx="93">
                  <v>0.06190849041235546</v>
                </pt>
                <pt idx="94">
                  <v>0.08430779426226007</v>
                </pt>
                <pt idx="95">
                  <v>0.05885722916352001</v>
                </pt>
                <pt idx="96">
                  <v>0.05461087694047494</v>
                </pt>
                <pt idx="97">
                  <v>0.007764328625580164</v>
                </pt>
                <pt idx="98">
                  <v>0.05392164111056893</v>
                </pt>
                <pt idx="99">
                  <v>-0.04534991244810829</v>
                </pt>
                <pt idx="100">
                  <v>0.05354253182819605</v>
                </pt>
                <pt idx="101">
                  <v>0.03042028608327165</v>
                </pt>
                <pt idx="102">
                  <v>0.0405280904656568</v>
                </pt>
                <pt idx="103">
                  <v>0.1948291496640699</v>
                </pt>
                <pt idx="104">
                  <v>0.1513678064668353</v>
                </pt>
                <pt idx="105">
                  <v>0.2431067183881205</v>
                </pt>
                <pt idx="106">
                  <v>0.1763740881735606</v>
                </pt>
                <pt idx="107">
                  <v>0.1841640003104761</v>
                </pt>
                <pt idx="108">
                  <v>0.1177496413747102</v>
                </pt>
                <pt idx="109">
                  <v>0.1183756555340879</v>
                </pt>
                <pt idx="110">
                  <v>0.05457046249068698</v>
                </pt>
                <pt idx="111">
                  <v>0.03138268817595861</v>
                </pt>
                <pt idx="112">
                  <v>0.02528300937193315</v>
                </pt>
                <pt idx="113">
                  <v>-0.0508886489451043</v>
                </pt>
                <pt idx="114">
                  <v>-0.01376721807998013</v>
                </pt>
                <pt idx="115">
                  <v>0.01546810343610085</v>
                </pt>
                <pt idx="116">
                  <v>0.001472630117389714</v>
                </pt>
                <pt idx="117">
                  <v>0.04194460596123348</v>
                </pt>
                <pt idx="118">
                  <v>0.09061854836932166</v>
                </pt>
                <pt idx="119">
                  <v>0.0427281482846505</v>
                </pt>
                <pt idx="120">
                  <v>0.0330784527910819</v>
                </pt>
                <pt idx="121">
                  <v>0.05033223224715173</v>
                </pt>
                <pt idx="122">
                  <v>0.02859346685259654</v>
                </pt>
                <pt idx="123">
                  <v>-0.01438489086289345</v>
                </pt>
                <pt idx="124">
                  <v>0.02538702418392794</v>
                </pt>
                <pt idx="125">
                  <v>0.102572733512857</v>
                </pt>
                <pt idx="126">
                  <v>0.1060892345476872</v>
                </pt>
                <pt idx="127">
                  <v>0.1880818988849193</v>
                </pt>
                <pt idx="128">
                  <v>0.1615861820513413</v>
                </pt>
                <pt idx="129">
                  <v>0.05466229280527747</v>
                </pt>
                <pt idx="130">
                  <v>0.08075861823952257</v>
                </pt>
                <pt idx="131">
                  <v>0.1049069133032252</v>
                </pt>
                <pt idx="132">
                  <v>0.134854447109571</v>
                </pt>
                <pt idx="133">
                  <v>0.1532427653965019</v>
                </pt>
                <pt idx="134">
                  <v>0.1108094781536775</v>
                </pt>
                <pt idx="135">
                  <v>0.03872490780090668</v>
                </pt>
                <pt idx="136">
                  <v>0.02952753931322204</v>
                </pt>
                <pt idx="137">
                  <v>0.01594125507238533</v>
                </pt>
                <pt idx="138">
                  <v>-0.003578289572652016</v>
                </pt>
                <pt idx="139">
                  <v>0.007095981838256167</v>
                </pt>
                <pt idx="140">
                  <v>-0.05439512937595133</v>
                </pt>
                <pt idx="141">
                  <v>-0.05387009652533035</v>
                </pt>
                <pt idx="142">
                  <v>-0.07614651652023263</v>
                </pt>
                <pt idx="143">
                  <v>-0.1225089614564984</v>
                </pt>
                <pt idx="144">
                  <v>-0.06790303098980395</v>
                </pt>
                <pt idx="145">
                  <v>-0.07065705764135136</v>
                </pt>
                <pt idx="146">
                  <v>-0.01291245516136549</v>
                </pt>
                <pt idx="147">
                  <v>0.0553094239397155</v>
                </pt>
                <pt idx="148">
                  <v>0.06023380663842864</v>
                </pt>
                <pt idx="149">
                  <v>0.08334297504724446</v>
                </pt>
                <pt idx="150">
                  <v>0.09087751008920829</v>
                </pt>
                <pt idx="151">
                  <v>0.0911146701855389</v>
                </pt>
                <pt idx="152">
                  <v>0.07164282568415233</v>
                </pt>
                <pt idx="153">
                  <v>0.04341148349692316</v>
                </pt>
                <pt idx="154">
                  <v>0.00596843372774588</v>
                </pt>
                <pt idx="155">
                  <v>0.01532455879412675</v>
                </pt>
                <pt idx="156">
                  <v>0.04435403463889842</v>
                </pt>
                <pt idx="157">
                  <v>0.05786777536238949</v>
                </pt>
                <pt idx="158">
                  <v>0.09809643697121537</v>
                </pt>
                <pt idx="159">
                  <v>0.1061187144431824</v>
                </pt>
                <pt idx="160">
                  <v>0.07348184783899522</v>
                </pt>
                <pt idx="161">
                  <v>0.1058015052628911</v>
                </pt>
                <pt idx="162">
                  <v>0.1279852796771258</v>
                </pt>
                <pt idx="163">
                  <v>0.1279266174554928</v>
                </pt>
                <pt idx="164">
                  <v>0.1895034814863019</v>
                </pt>
                <pt idx="165">
                  <v>0.1744530763349396</v>
                </pt>
                <pt idx="166">
                  <v>0.1477740351689865</v>
                </pt>
                <pt idx="167">
                  <v>0.1402671296554723</v>
                </pt>
                <pt idx="168">
                  <v>0.1125420106387439</v>
                </pt>
                <pt idx="169">
                  <v>0.1295967474425312</v>
                </pt>
                <pt idx="170">
                  <v>0.1190832391058536</v>
                </pt>
                <pt idx="171">
                  <v>0.1023776365431849</v>
                </pt>
                <pt idx="172">
                  <v>0.1168946119248371</v>
                </pt>
                <pt idx="173">
                  <v>0.08335113065326648</v>
                </pt>
                <pt idx="174">
                  <v>0.08051235417103877</v>
                </pt>
                <pt idx="175">
                  <v>0.07377155868755969</v>
                </pt>
                <pt idx="176">
                  <v>0.03536668408169023</v>
                </pt>
                <pt idx="177">
                  <v>0.05993378539393918</v>
                </pt>
                <pt idx="178">
                  <v>0.07687681898549688</v>
                </pt>
                <pt idx="179">
                  <v>0.0915149190195929</v>
                </pt>
                <pt idx="180">
                  <v>0.1044999099932954</v>
                </pt>
                <pt idx="181">
                  <v>0.06615474033300286</v>
                </pt>
                <pt idx="182">
                  <v>0.06356942084281859</v>
                </pt>
                <pt idx="183">
                  <v>0.04536112914836999</v>
                </pt>
                <pt idx="184">
                  <v>0.0290903304296047</v>
                </pt>
                <pt idx="185">
                  <v>0.04089410068509576</v>
                </pt>
                <pt idx="186">
                  <v>0.01655403707983718</v>
                </pt>
                <pt idx="187">
                  <v>0.04408643811475922</v>
                </pt>
                <pt idx="188">
                  <v>0.05198679130460807</v>
                </pt>
                <pt idx="189">
                  <v>0.07465988071178592</v>
                </pt>
                <pt idx="190">
                  <v>0.1178872085595065</v>
                </pt>
                <pt idx="191">
                  <v>0.1079802821217548</v>
                </pt>
                <pt idx="192">
                  <v>0.1183450610727563</v>
                </pt>
                <pt idx="193">
                  <v>0.09699047662731561</v>
                </pt>
                <pt idx="194">
                  <v>0.1031728574507712</v>
                </pt>
                <pt idx="195">
                  <v>0.09367656702921048</v>
                </pt>
                <pt idx="196">
                  <v>0.08592585683122429</v>
                </pt>
                <pt idx="197">
                  <v>0.08831575283254949</v>
                </pt>
                <pt idx="198">
                  <v>0.0516028319335982</v>
                </pt>
                <pt idx="199">
                  <v>0.101432882707116</v>
                </pt>
                <pt idx="200">
                  <v>0.1090043553717879</v>
                </pt>
                <pt idx="201">
                  <v>0.1348913780550823</v>
                </pt>
                <pt idx="202">
                  <v>0.151869185592274</v>
                </pt>
                <pt idx="203">
                  <v>0.08276777506222123</v>
                </pt>
                <pt idx="204">
                  <v>0.06756032407550028</v>
                </pt>
                <pt idx="205">
                  <v>0.01519244668552289</v>
                </pt>
                <pt idx="206">
                  <v>-0.01240506161585921</v>
                </pt>
                <pt idx="207">
                  <v>0.02556203764063875</v>
                </pt>
                <pt idx="208">
                  <v>0.01781989489774216</v>
                </pt>
                <pt idx="209">
                  <v>0.0417548612992643</v>
                </pt>
                <pt idx="210">
                  <v>0.07807311057042003</v>
                </pt>
                <pt idx="211">
                  <v>0.06180181388057209</v>
                </pt>
                <pt idx="212">
                  <v>0.08030437543741407</v>
                </pt>
                <pt idx="213">
                  <v>0.09977585024459595</v>
                </pt>
                <pt idx="214">
                  <v>0.09336057677367214</v>
                </pt>
                <pt idx="215">
                  <v>0.05987356205553319</v>
                </pt>
                <pt idx="216">
                  <v>0.03159261764189836</v>
                </pt>
                <pt idx="217">
                  <v>-0.02827565029848091</v>
                </pt>
                <pt idx="218">
                  <v>-0.09971435271045165</v>
                </pt>
                <pt idx="219">
                  <v>-0.1223254188290227</v>
                </pt>
                <pt idx="220">
                  <v>-0.0917139119058003</v>
                </pt>
                <pt idx="221">
                  <v>-0.03640467174317243</v>
                </pt>
                <pt idx="222">
                  <v>0.01883900460852764</v>
                </pt>
                <pt idx="223">
                  <v>0.03997769249828493</v>
                </pt>
                <pt idx="224">
                  <v>0.01461724364206725</v>
                </pt>
                <pt idx="225">
                  <v>-0.012965324517783</v>
                </pt>
                <pt idx="226">
                  <v>0.01080513267042029</v>
                </pt>
                <pt idx="227">
                  <v>0.07210511748739576</v>
                </pt>
                <pt idx="228">
                  <v>0.09971322342860475</v>
                </pt>
                <pt idx="229">
                  <v>0.1207566451702302</v>
                </pt>
                <pt idx="230">
                  <v>0.09454436487596722</v>
                </pt>
                <pt idx="231">
                  <v>0.07230074976219263</v>
                </pt>
                <pt idx="232">
                  <v>0.06828462229732107</v>
                </pt>
                <pt idx="233">
                  <v>0.06971219029019825</v>
                </pt>
                <pt idx="234">
                  <v>0.06599592908171868</v>
                </pt>
                <pt idx="235">
                  <v>0.07354722481175814</v>
                </pt>
                <pt idx="236">
                  <v>0.0964558405017452</v>
                </pt>
                <pt idx="237">
                  <v>0.09238901300676537</v>
                </pt>
                <pt idx="238">
                  <v>0.09116328928760738</v>
                </pt>
                <pt idx="239">
                  <v>0.09852747142129931</v>
                </pt>
                <pt idx="240">
                  <v>0.07669327709996493</v>
                </pt>
                <pt idx="241">
                  <v>0.07312175858211133</v>
                </pt>
                <pt idx="242">
                  <v>0.108122148561632</v>
                </pt>
                <pt idx="243">
                  <v>0.09209673930253098</v>
                </pt>
                <pt idx="244">
                  <v>0.08791668112069215</v>
                </pt>
                <pt idx="245">
                  <v>0.1031559652763149</v>
                </pt>
                <pt idx="246">
                  <v>0.06492912467039474</v>
                </pt>
                <pt idx="247">
                  <v>-0.02022291353125914</v>
                </pt>
                <pt idx="248">
                  <v>-0.1126000106636224</v>
                </pt>
                <pt idx="249">
                  <v>-0.1322219536421823</v>
                </pt>
                <pt idx="250">
                  <v>-0.09608327441564372</v>
                </pt>
                <pt idx="251">
                  <v>0.01436545959009871</v>
                </pt>
                <pt idx="252">
                  <v>0.1287683998404842</v>
                </pt>
                <pt idx="253">
                  <v>0.1460266427594988</v>
                </pt>
                <pt idx="254">
                  <v>0.1366972083584462</v>
                </pt>
                <pt idx="255">
                  <v>0.1057256670504975</v>
                </pt>
                <pt idx="256">
                  <v>0.08914389071509342</v>
                </pt>
                <pt idx="257">
                  <v>0.08371975222213199</v>
                </pt>
                <pt idx="258">
                  <v>0.06813614320495365</v>
                </pt>
                <pt idx="259">
                  <v>0.04750431174248514</v>
                </pt>
                <pt idx="260">
                  <v>0.05128122813910479</v>
                </pt>
                <pt idx="261">
                  <v>0.04402350068627708</v>
                </pt>
                <pt idx="262">
                  <v>0.03619797404012314</v>
                </pt>
                <pt idx="263">
                  <v>0.02950427467139556</v>
                </pt>
                <pt idx="264">
                  <v>0.02197770644463962</v>
                </pt>
                <pt idx="265">
                  <v>0.02110839971783846</v>
                </pt>
                <pt idx="266">
                  <v>0.02360595204079378</v>
                </pt>
                <pt idx="267">
                  <v>0.0519679316295388</v>
                </pt>
                <pt idx="268">
                  <v>0.03679244778148229</v>
                </pt>
                <pt idx="269">
                  <v>0.04976610192864262</v>
                </pt>
                <pt idx="270">
                  <v>0.04504861788824533</v>
                </pt>
                <pt idx="271">
                  <v>0.02421686341545893</v>
                </pt>
                <pt idx="272">
                  <v>0.02582363790902296</v>
                </pt>
                <pt idx="273">
                  <v>0.006746603646719425</v>
                </pt>
                <pt idx="274">
                  <v>-0.005691932040662916</v>
                </pt>
                <pt idx="275">
                  <v>-0.01528969443901462</v>
                </pt>
                <pt idx="276">
                  <v>-0.01012142099081571</v>
                </pt>
                <pt idx="277">
                  <v>-0.005241421996574821</v>
                </pt>
                <pt idx="278">
                  <v>0.01870230536794592</v>
                </pt>
                <pt idx="279">
                  <v>0.01304448640792823</v>
                </pt>
                <pt idx="280">
                  <v>0.04018799468802765</v>
                </pt>
                <pt idx="281">
                  <v>0.0364826209570959</v>
                </pt>
                <pt idx="282">
                  <v>0.02746245992634395</v>
                </pt>
                <pt idx="283">
                  <v>0.05903311664704373</v>
                </pt>
                <pt idx="284">
                  <v>0.03909142331924421</v>
                </pt>
                <pt idx="285">
                  <v>0.04766183037977769</v>
                </pt>
                <pt idx="286">
                  <v>0.02441003606527128</v>
                </pt>
                <pt idx="287">
                  <v>0.002136491367031533</v>
                </pt>
                <pt idx="288">
                  <v>0.005387665393332433</v>
                </pt>
                <pt idx="289">
                  <v>-0.0122227190807215</v>
                </pt>
                <pt idx="290">
                  <v>0.001344754239181343</v>
                </pt>
                <pt idx="291">
                  <v>0.003040179951625835</v>
                </pt>
                <pt idx="292">
                  <v>-0.0480502207135494</v>
                </pt>
                <pt idx="293">
                  <v>-0.2384510009504864</v>
                </pt>
                <pt idx="294">
                  <v>-0.1491191099697513</v>
                </pt>
                <pt idx="295">
                  <v>-0.1074240045869834</v>
                </pt>
                <pt idx="296">
                  <v>-0.07358770411113273</v>
                </pt>
                <pt idx="297">
                  <v>0.185904591913674</v>
                </pt>
                <pt idx="298">
                  <v>0.0568863242931333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674943"/>
        <axId val="656676591"/>
      </barChart>
      <dateAx>
        <axId val="6566749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6591"/>
        <crosses val="autoZero"/>
        <lblOffset val="100"/>
        <baseTimeUnit val="months"/>
      </dateAx>
      <valAx>
        <axId val="65667659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749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Exports!$E$5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Exports!$A$6:$A$304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Exports!$E$6:$E$304</f>
              <numCache>
                <formatCode>0.00%</formatCode>
                <ptCount val="299"/>
                <pt idx="0">
                  <v>0</v>
                </pt>
                <pt idx="1">
                  <v>-0.04948941462349665</v>
                </pt>
                <pt idx="2">
                  <v>-0.188089475883213</v>
                </pt>
                <pt idx="3">
                  <v>-0.3818123595647124</v>
                </pt>
                <pt idx="4">
                  <v>-0.1703871419615876</v>
                </pt>
                <pt idx="5">
                  <v>-0.3246873619143548</v>
                </pt>
                <pt idx="6">
                  <v>0.09738691626301077</v>
                </pt>
                <pt idx="7">
                  <v>-0.133686187842272</v>
                </pt>
                <pt idx="8">
                  <v>0.5717429746752527</v>
                </pt>
                <pt idx="9">
                  <v>-0.03383507058170288</v>
                </pt>
                <pt idx="10">
                  <v>-0.2945236725654191</v>
                </pt>
                <pt idx="11">
                  <v>-0.4384245788113631</v>
                </pt>
                <pt idx="12">
                  <v>-0.06430488597152295</v>
                </pt>
                <pt idx="13">
                  <v>0.04918223755998596</v>
                </pt>
                <pt idx="14">
                  <v>0.107848377668988</v>
                </pt>
                <pt idx="15">
                  <v>0.3658021352889964</v>
                </pt>
                <pt idx="16">
                  <v>0.2153860174247004</v>
                </pt>
                <pt idx="17">
                  <v>0.4556691452279944</v>
                </pt>
                <pt idx="18">
                  <v>0.1019201602354132</v>
                </pt>
                <pt idx="19">
                  <v>-0.03699608625486117</v>
                </pt>
                <pt idx="20">
                  <v>0.2305164309312409</v>
                </pt>
                <pt idx="21">
                  <v>-0.3723847975249047</v>
                </pt>
                <pt idx="22">
                  <v>-0.2803872255851976</v>
                </pt>
                <pt idx="23">
                  <v>0.02764800407913337</v>
                </pt>
                <pt idx="24">
                  <v>-0.06596087220388058</v>
                </pt>
                <pt idx="25">
                  <v>0.02515223827806223</v>
                </pt>
                <pt idx="26">
                  <v>0.1702830947418335</v>
                </pt>
                <pt idx="27">
                  <v>-0.1254814296923508</v>
                </pt>
                <pt idx="28">
                  <v>-0.1676726215213064</v>
                </pt>
                <pt idx="29">
                  <v>0.7108559216389774</v>
                </pt>
                <pt idx="30">
                  <v>-0.1224621653610667</v>
                </pt>
                <pt idx="31">
                  <v>0.1973069767358966</v>
                </pt>
                <pt idx="32">
                  <v>0.1571158297522908</v>
                </pt>
                <pt idx="33">
                  <v>-0.09005639988243341</v>
                </pt>
                <pt idx="34">
                  <v>0.2895118371332113</v>
                </pt>
                <pt idx="35">
                  <v>0.01819281266344497</v>
                </pt>
                <pt idx="36">
                  <v>0.2038096160307195</v>
                </pt>
                <pt idx="37">
                  <v>0.2979852315495424</v>
                </pt>
                <pt idx="38">
                  <v>0.139879256575749</v>
                </pt>
                <pt idx="39">
                  <v>0.1917008296158127</v>
                </pt>
                <pt idx="40">
                  <v>0.2872499864488869</v>
                </pt>
                <pt idx="41">
                  <v>-0.113347873806098</v>
                </pt>
                <pt idx="42">
                  <v>-0.1072225593039009</v>
                </pt>
                <pt idx="43">
                  <v>-0.1139704499870348</v>
                </pt>
                <pt idx="44">
                  <v>-0.3413308757083517</v>
                </pt>
                <pt idx="45">
                  <v>0.01885579461279407</v>
                </pt>
                <pt idx="46">
                  <v>0.01171047589480678</v>
                </pt>
                <pt idx="47">
                  <v>-0.01429442673930303</v>
                </pt>
                <pt idx="48">
                  <v>0.3230724405186698</v>
                </pt>
                <pt idx="49">
                  <v>-0.03157021232144896</v>
                </pt>
                <pt idx="50">
                  <v>0.4452453900449966</v>
                </pt>
                <pt idx="51">
                  <v>-0.1837333820382189</v>
                </pt>
                <pt idx="52">
                  <v>0.6240185349319203</v>
                </pt>
                <pt idx="53">
                  <v>0.1197865920363037</v>
                </pt>
                <pt idx="54">
                  <v>0.09007990816261824</v>
                </pt>
                <pt idx="55">
                  <v>0.02146771438510231</v>
                </pt>
                <pt idx="56">
                  <v>-0.02722238113518372</v>
                </pt>
                <pt idx="57">
                  <v>-0.173574289175192</v>
                </pt>
                <pt idx="58">
                  <v>0.1934027834424403</v>
                </pt>
                <pt idx="59">
                  <v>0.06684520383636694</v>
                </pt>
                <pt idx="60">
                  <v>-0.02334017131149435</v>
                </pt>
                <pt idx="61">
                  <v>0.2504743584895837</v>
                </pt>
                <pt idx="62">
                  <v>-0.006977374614644427</v>
                </pt>
                <pt idx="63">
                  <v>-0.123225867976281</v>
                </pt>
                <pt idx="64">
                  <v>0.06212247616918121</v>
                </pt>
                <pt idx="65">
                  <v>0.3601767749001292</v>
                </pt>
                <pt idx="66">
                  <v>-0.01988456263189886</v>
                </pt>
                <pt idx="67">
                  <v>0.1657533824254158</v>
                </pt>
                <pt idx="68">
                  <v>0.2181701223479853</v>
                </pt>
                <pt idx="69">
                  <v>-0.01623248490086293</v>
                </pt>
                <pt idx="70">
                  <v>0.1312349435533675</v>
                </pt>
                <pt idx="71">
                  <v>0.08300046400894501</v>
                </pt>
                <pt idx="72">
                  <v>-0.3903998986599367</v>
                </pt>
                <pt idx="73">
                  <v>0.8572476041283092</v>
                </pt>
                <pt idx="74">
                  <v>-0.08597726092097757</v>
                </pt>
                <pt idx="75">
                  <v>0.2678350064341926</v>
                </pt>
                <pt idx="76">
                  <v>-0.09498092628075228</v>
                </pt>
                <pt idx="77">
                  <v>0.1257164955585657</v>
                </pt>
                <pt idx="78">
                  <v>-0.04694890026258114</v>
                </pt>
                <pt idx="79">
                  <v>0.1032177385767847</v>
                </pt>
                <pt idx="80">
                  <v>0.05004319390265377</v>
                </pt>
                <pt idx="81">
                  <v>-0.05213139907224973</v>
                </pt>
                <pt idx="82">
                  <v>-0.03171471095091905</v>
                </pt>
                <pt idx="83">
                  <v>0.07761502421874589</v>
                </pt>
                <pt idx="84">
                  <v>0.1171578040391463</v>
                </pt>
                <pt idx="85">
                  <v>0.06861888499370128</v>
                </pt>
                <pt idx="86">
                  <v>0.3162377324540044</v>
                </pt>
                <pt idx="87">
                  <v>-0.08596727776250068</v>
                </pt>
                <pt idx="88">
                  <v>-0.3899984127134178</v>
                </pt>
                <pt idx="89">
                  <v>1.209161391156877</v>
                </pt>
                <pt idx="90">
                  <v>-0.06528589470455548</v>
                </pt>
                <pt idx="91">
                  <v>0.108821618637621</v>
                </pt>
                <pt idx="92">
                  <v>0.05382233256226909</v>
                </pt>
                <pt idx="93">
                  <v>0.1642345776147029</v>
                </pt>
                <pt idx="94">
                  <v>0.01611003890645724</v>
                </pt>
                <pt idx="95">
                  <v>0.008326057473996507</v>
                </pt>
                <pt idx="96">
                  <v>0.03701910762200389</v>
                </pt>
                <pt idx="97">
                  <v>-0.02924991801767862</v>
                </pt>
                <pt idx="98">
                  <v>0.2154528168749568</v>
                </pt>
                <pt idx="99">
                  <v>-0.3211957262595505</v>
                </pt>
                <pt idx="100">
                  <v>0.5382190418910655</v>
                </pt>
                <pt idx="101">
                  <v>-0.1117059668686767</v>
                </pt>
                <pt idx="102">
                  <v>0.2638506036330486</v>
                </pt>
                <pt idx="103">
                  <v>0.18019173524835</v>
                </pt>
                <pt idx="104">
                  <v>0.3263290248326696</v>
                </pt>
                <pt idx="105">
                  <v>0.2070744895677454</v>
                </pt>
                <pt idx="106">
                  <v>0.01354698233478646</v>
                </pt>
                <pt idx="107">
                  <v>0.2117643899687516</v>
                </pt>
                <pt idx="108">
                  <v>0.05288760851832253</v>
                </pt>
                <pt idx="109">
                  <v>0.2097809302545348</v>
                </pt>
                <pt idx="110">
                  <v>-0.1986993827800322</v>
                </pt>
                <pt idx="111">
                  <v>0.1086516908150688</v>
                </pt>
                <pt idx="112">
                  <v>0.02820025309628549</v>
                </pt>
                <pt idx="113">
                  <v>-0.1116167482844747</v>
                </pt>
                <pt idx="114">
                  <v>-0.06578993019807489</v>
                </pt>
                <pt idx="115">
                  <v>0.2460702656700673</v>
                </pt>
                <pt idx="116">
                  <v>-0.02732243407646628</v>
                </pt>
                <pt idx="117">
                  <v>0.04093244775087634</v>
                </pt>
                <pt idx="118">
                  <v>0.1213922222190003</v>
                </pt>
                <pt idx="119">
                  <v>0.04120298439365211</v>
                </pt>
                <pt idx="120">
                  <v>-0.06283141216544375</v>
                </pt>
                <pt idx="121">
                  <v>0.1122338425089699</v>
                </pt>
                <pt idx="122">
                  <v>0.03139687950750525</v>
                </pt>
                <pt idx="123">
                  <v>-0.1222117404462901</v>
                </pt>
                <pt idx="124">
                  <v>0.09784134636836783</v>
                </pt>
                <pt idx="125">
                  <v>0.4868728418204193</v>
                </pt>
                <pt idx="126">
                  <v>0.04461794430596511</v>
                </pt>
                <pt idx="127">
                  <v>0.1684620805749868</v>
                </pt>
                <pt idx="128">
                  <v>0.003135995860974239</v>
                </pt>
                <pt idx="129">
                  <v>0.0104661199537277</v>
                </pt>
                <pt idx="130">
                  <v>0.1519102302529602</v>
                </pt>
                <pt idx="131">
                  <v>0.2764463246586328</v>
                </pt>
                <pt idx="132">
                  <v>0.1163945464512062</v>
                </pt>
                <pt idx="133">
                  <v>0.07756643855548728</v>
                </pt>
                <pt idx="134">
                  <v>-0.008497103945885653</v>
                </pt>
                <pt idx="135">
                  <v>-0.02400760596767038</v>
                </pt>
                <pt idx="136">
                  <v>0.07737624651762487</v>
                </pt>
                <pt idx="137">
                  <v>0.02180157821795015</v>
                </pt>
                <pt idx="138">
                  <v>-0.08252903808926593</v>
                </pt>
                <pt idx="139">
                  <v>0.01849091593042296</v>
                </pt>
                <pt idx="140">
                  <v>-0.1626196887181731</v>
                </pt>
                <pt idx="141">
                  <v>0.02407282865507976</v>
                </pt>
                <pt idx="142">
                  <v>-0.1659316256132177</v>
                </pt>
                <pt idx="143">
                  <v>-0.1710744682049413</v>
                </pt>
                <pt idx="144">
                  <v>0.06609613488625299</v>
                </pt>
                <pt idx="145">
                  <v>0.01202322898385022</v>
                </pt>
                <pt idx="146">
                  <v>0.06150078949504478</v>
                </pt>
                <pt idx="147">
                  <v>0.08295919816435249</v>
                </pt>
                <pt idx="148">
                  <v>0.0861347161789181</v>
                </pt>
                <pt idx="149">
                  <v>0.1031835436319264</v>
                </pt>
                <pt idx="150">
                  <v>0.09134079247687832</v>
                </pt>
                <pt idx="151">
                  <v>0.08390125984403629</v>
                </pt>
                <pt idx="152">
                  <v>0.01065367328268074</v>
                </pt>
                <pt idx="153">
                  <v>-0.008551911114524802</v>
                </pt>
                <pt idx="154">
                  <v>-0.05707890253993975</v>
                </pt>
                <pt idx="155">
                  <v>0.1247911032306765</v>
                </pt>
                <pt idx="156">
                  <v>0.1312895879288318</v>
                </pt>
                <pt idx="157">
                  <v>0.04376934109785746</v>
                </pt>
                <pt idx="158">
                  <v>0.09474187567536285</v>
                </pt>
                <pt idx="159">
                  <v>0.1580222500482471</v>
                </pt>
                <pt idx="160">
                  <v>0.003565330117777155</v>
                </pt>
                <pt idx="161">
                  <v>0.175261265608097</v>
                </pt>
                <pt idx="162">
                  <v>0.185268525937424</v>
                </pt>
                <pt idx="163">
                  <v>0.1577813715192224</v>
                </pt>
                <pt idx="164">
                  <v>0.2413239576017976</v>
                </pt>
                <pt idx="165">
                  <v>0.1168998489261466</v>
                </pt>
                <pt idx="166">
                  <v>0.08118411589842123</v>
                </pt>
                <pt idx="167">
                  <v>0.1277878054688546</v>
                </pt>
                <pt idx="168">
                  <v>0.1249271384882376</v>
                </pt>
                <pt idx="169">
                  <v>0.1869769561174188</v>
                </pt>
                <pt idx="170">
                  <v>0.04149092170189728</v>
                </pt>
                <pt idx="171">
                  <v>0.06193859913008981</v>
                </pt>
                <pt idx="172">
                  <v>0.1853636365255178</v>
                </pt>
                <pt idx="173">
                  <v>0.050680006248492</v>
                </pt>
                <pt idx="174">
                  <v>0.03061740438960503</v>
                </pt>
                <pt idx="175">
                  <v>0.0356858564509428</v>
                </pt>
                <pt idx="176">
                  <v>0.02466230319011631</v>
                </pt>
                <pt idx="177">
                  <v>0.1540075902006275</v>
                </pt>
                <pt idx="178">
                  <v>0.09811201575110662</v>
                </pt>
                <pt idx="179">
                  <v>0.09315724229219469</v>
                </pt>
                <pt idx="180">
                  <v>0.07429806599034161</v>
                </pt>
                <pt idx="181">
                  <v>0.001905809547804838</v>
                </pt>
                <pt idx="182">
                  <v>0.08749944464583237</v>
                </pt>
                <pt idx="183">
                  <v>0.02019844251480385</v>
                </pt>
                <pt idx="184">
                  <v>0.008958712923407663</v>
                </pt>
                <pt idx="185">
                  <v>0.04867060250348088</v>
                </pt>
                <pt idx="186">
                  <v>-0.010707462874051</v>
                </pt>
                <pt idx="187">
                  <v>0.1352946650817171</v>
                </pt>
                <pt idx="188">
                  <v>0.0398452779132985</v>
                </pt>
                <pt idx="189">
                  <v>0.1420420378707417</v>
                </pt>
                <pt idx="190">
                  <v>0.1583306168496696</v>
                </pt>
                <pt idx="191">
                  <v>0.09558171815389982</v>
                </pt>
                <pt idx="192">
                  <v>0.07930426649823219</v>
                </pt>
                <pt idx="193">
                  <v>0.05728050188478551</v>
                </pt>
                <pt idx="194">
                  <v>0.1846645095544621</v>
                </pt>
                <pt idx="195">
                  <v>0.05834224873910165</v>
                </pt>
                <pt idx="196">
                  <v>0.04903254585448358</v>
                </pt>
                <pt idx="197">
                  <v>0.06661868673416005</v>
                </pt>
                <pt idx="198">
                  <v>0.0327202768196444</v>
                </pt>
                <pt idx="199">
                  <v>0.2736535117418364</v>
                </pt>
                <pt idx="200">
                  <v>0.07817638987127151</v>
                </pt>
                <pt idx="201">
                  <v>0.16975084496343</v>
                </pt>
                <pt idx="202">
                  <v>0.09591824972572982</v>
                </pt>
                <pt idx="203">
                  <v>-0.005556888047908326</v>
                </pt>
                <pt idx="204">
                  <v>0.01886871881191876</v>
                </pt>
                <pt idx="205">
                  <v>-0.04342906802297253</v>
                </pt>
                <pt idx="206">
                  <v>-0.01847792983578023</v>
                </pt>
                <pt idx="207">
                  <v>0.1564111448527437</v>
                </pt>
                <pt idx="208">
                  <v>-0.01155109438428314</v>
                </pt>
                <pt idx="209">
                  <v>0.04977343883843477</v>
                </pt>
                <pt idx="210">
                  <v>0.1257210374362536</v>
                </pt>
                <pt idx="211">
                  <v>0.08816126998027563</v>
                </pt>
                <pt idx="212">
                  <v>0.05916815197418468</v>
                </pt>
                <pt idx="213">
                  <v>0.1275290898117085</v>
                </pt>
                <pt idx="214">
                  <v>0.09968350004638182</v>
                </pt>
                <pt idx="215">
                  <v>-0.03914941574189479</v>
                </pt>
                <pt idx="216">
                  <v>-0.04943552521316263</v>
                </pt>
                <pt idx="217">
                  <v>-0.1122980063998181</v>
                </pt>
                <pt idx="218">
                  <v>-0.1897544159164024</v>
                </pt>
                <pt idx="219">
                  <v>-0.1321021044621514</v>
                </pt>
                <pt idx="220">
                  <v>0.09028025209407398</v>
                </pt>
                <pt idx="221">
                  <v>0.1244892010759104</v>
                </pt>
                <pt idx="222">
                  <v>0.01265189836071356</v>
                </pt>
                <pt idx="223">
                  <v>-0.05780134711757923</v>
                </pt>
                <pt idx="224">
                  <v>-0.01224097454892126</v>
                </pt>
                <pt idx="225">
                  <v>0.00710783272336224</v>
                </pt>
                <pt idx="226">
                  <v>0.1137822560825694</v>
                </pt>
                <pt idx="227">
                  <v>0.1924006416350874</v>
                </pt>
                <pt idx="228">
                  <v>0.09350133962979479</v>
                </pt>
                <pt idx="229">
                  <v>0.08643431662875134</v>
                </pt>
                <pt idx="230">
                  <v>0.01318437157383179</v>
                </pt>
                <pt idx="231">
                  <v>0.09838643827053506</v>
                </pt>
                <pt idx="232">
                  <v>0.07721102164011606</v>
                </pt>
                <pt idx="233">
                  <v>0.09225325460200717</v>
                </pt>
                <pt idx="234">
                  <v>-0.0008219453740405669</v>
                </pt>
                <pt idx="235">
                  <v>0.1298416796190236</v>
                </pt>
                <pt idx="236">
                  <v>0.1721434228471088</v>
                </pt>
                <pt idx="237">
                  <v>0.07613823047923551</v>
                </pt>
                <pt idx="238">
                  <v>-0.005298945652753129</v>
                </pt>
                <pt idx="239">
                  <v>0.1606527227319841</v>
                </pt>
                <pt idx="240">
                  <v>0.08169562257102481</v>
                </pt>
                <pt idx="241">
                  <v>0.06193041028945334</v>
                </pt>
                <pt idx="242">
                  <v>0.1309596670445783</v>
                </pt>
                <pt idx="243">
                  <v>0.09495480709796955</v>
                </pt>
                <pt idx="244">
                  <v>0.06522947285586378</v>
                </pt>
                <pt idx="245">
                  <v>0.1226934407156981</v>
                </pt>
                <pt idx="246">
                  <v>-0.01783995025569052</v>
                </pt>
                <pt idx="247">
                  <v>-0.2154466334429531</v>
                </pt>
                <pt idx="248">
                  <v>-0.2831773226413805</v>
                </pt>
                <pt idx="249">
                  <v>0.02663991210159833</v>
                </pt>
                <pt idx="250">
                  <v>0.1562754879871515</v>
                </pt>
                <pt idx="251">
                  <v>0.2441897258249477</v>
                </pt>
                <pt idx="252">
                  <v>0.09914071874670149</v>
                </pt>
                <pt idx="253">
                  <v>0.09088163371526226</v>
                </pt>
                <pt idx="254">
                  <v>0.1190812927991749</v>
                </pt>
                <pt idx="255">
                  <v>0.1140302939824118</v>
                </pt>
                <pt idx="256">
                  <v>0.03467694554836753</v>
                </pt>
                <pt idx="257">
                  <v>0.06931226219466402</v>
                </pt>
                <pt idx="258">
                  <v>0.05608803679067997</v>
                </pt>
                <pt idx="259">
                  <v>0.03041894455099659</v>
                </pt>
                <pt idx="260">
                  <v>0.04968051067233659</v>
                </pt>
                <pt idx="261">
                  <v>0.0400878114182297</v>
                </pt>
                <pt idx="262">
                  <v>0.02477843993839746</v>
                </pt>
                <pt idx="263">
                  <v>0.004050360232642491</v>
                </pt>
                <pt idx="264">
                  <v>0.01931920179906932</v>
                </pt>
                <pt idx="265">
                  <v>0.03655347852259627</v>
                </pt>
                <pt idx="266">
                  <v>0.03484140044689155</v>
                </pt>
                <pt idx="267">
                  <v>0.1200419518904408</v>
                </pt>
                <pt idx="268">
                  <v>-0.03823824747616988</v>
                </pt>
                <pt idx="269">
                  <v>0.08941811504766584</v>
                </pt>
                <pt idx="270">
                  <v>0.0163647555175388</v>
                </pt>
                <pt idx="271">
                  <v>0.03337035192917015</v>
                </pt>
                <pt idx="272">
                  <v>-0.03218884698250046</v>
                </pt>
                <pt idx="273">
                  <v>0.01061205923499697</v>
                </pt>
                <pt idx="274">
                  <v>-0.0329414757093085</v>
                </pt>
                <pt idx="275">
                  <v>-0.005954929188682345</v>
                </pt>
                <pt idx="276">
                  <v>-0.01171001337572541</v>
                </pt>
                <pt idx="277">
                  <v>0.03068876657349584</v>
                </pt>
                <pt idx="278">
                  <v>0.06358239984270431</v>
                </pt>
                <pt idx="279">
                  <v>-0.02785512948846858</v>
                </pt>
                <pt idx="280">
                  <v>0.09854455179520083</v>
                </pt>
                <pt idx="281">
                  <v>0.01608091144696777</v>
                </pt>
                <pt idx="282">
                  <v>0.02703890784014518</v>
                </pt>
                <pt idx="283">
                  <v>0.09724926928860511</v>
                </pt>
                <pt idx="284">
                  <v>0.01810964387957559</v>
                </pt>
                <pt idx="285">
                  <v>0.0500204028172011</v>
                </pt>
                <pt idx="286">
                  <v>-0.06114676114171147</v>
                </pt>
                <pt idx="287">
                  <v>0.004887649424517138</v>
                </pt>
                <pt idx="288">
                  <v>0.03138605659214333</v>
                </pt>
                <pt idx="289">
                  <v>-0.02163781325267844</v>
                </pt>
                <pt idx="290">
                  <v>-0.008492315227566105</v>
                </pt>
                <pt idx="291">
                  <v>0.01171065097648438</v>
                </pt>
                <pt idx="292">
                  <v>-0.1632338865579163</v>
                </pt>
                <pt idx="293">
                  <v>-0.5992856312254357</v>
                </pt>
                <pt idx="294">
                  <v>0.5451824176531817</v>
                </pt>
                <pt idx="295">
                  <v>0.2250732419019039</v>
                </pt>
                <pt idx="296">
                  <v>-0.02895240918506903</v>
                </pt>
                <pt idx="297">
                  <v>0.07601091252523107</v>
                </pt>
                <pt idx="298">
                  <v>-0.02524859842953586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29921088"/>
        <axId val="2129913008"/>
      </barChart>
      <dateAx>
        <axId val="2129921088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13008"/>
        <crosses val="autoZero"/>
        <lblOffset val="100"/>
        <baseTimeUnit val="months"/>
      </dateAx>
      <valAx>
        <axId val="2129913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2992108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Imports!$A$2</f>
              <strCache>
                <ptCount val="1"/>
                <pt idx="0">
                  <v xml:space="preserve">Real Imports of Goods and Services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Imports!$B$6:$B$304</f>
              <numCache>
                <formatCode>0.0</formatCode>
                <ptCount val="299"/>
                <pt idx="0">
                  <v>60.396</v>
                </pt>
                <pt idx="1">
                  <v>61.559</v>
                </pt>
                <pt idx="2">
                  <v>54.594</v>
                </pt>
                <pt idx="3">
                  <v>57.538</v>
                </pt>
                <pt idx="4">
                  <v>64.883</v>
                </pt>
                <pt idx="5">
                  <v>67.455</v>
                </pt>
                <pt idx="6">
                  <v>70.977</v>
                </pt>
                <pt idx="7">
                  <v>69.82599999999999</v>
                </pt>
                <pt idx="8">
                  <v>67.73099999999999</v>
                </pt>
                <pt idx="9">
                  <v>66.74299999999999</v>
                </pt>
                <pt idx="10">
                  <v>64.023</v>
                </pt>
                <pt idx="11">
                  <v>64.98699999999999</v>
                </pt>
                <pt idx="12">
                  <v>66.803</v>
                </pt>
                <pt idx="13">
                  <v>70.48999999999999</v>
                </pt>
                <pt idx="14">
                  <v>86.986</v>
                </pt>
                <pt idx="15">
                  <v>87.149</v>
                </pt>
                <pt idx="16">
                  <v>87.154</v>
                </pt>
                <pt idx="17">
                  <v>84.26600000000001</v>
                </pt>
                <pt idx="18">
                  <v>77.13</v>
                </pt>
                <pt idx="19">
                  <v>75.113</v>
                </pt>
                <pt idx="20">
                  <v>83.828</v>
                </pt>
                <pt idx="21">
                  <v>83.39400000000001</v>
                </pt>
                <pt idx="22">
                  <v>88.497</v>
                </pt>
                <pt idx="23">
                  <v>96.431</v>
                </pt>
                <pt idx="24">
                  <v>94.054</v>
                </pt>
                <pt idx="25">
                  <v>98.932</v>
                </pt>
                <pt idx="26">
                  <v>98.55500000000001</v>
                </pt>
                <pt idx="27">
                  <v>93.70699999999999</v>
                </pt>
                <pt idx="28">
                  <v>88.29600000000001</v>
                </pt>
                <pt idx="29">
                  <v>96.23699999999999</v>
                </pt>
                <pt idx="30">
                  <v>90.432</v>
                </pt>
                <pt idx="31">
                  <v>91.29000000000001</v>
                </pt>
                <pt idx="32">
                  <v>96.684</v>
                </pt>
                <pt idx="33">
                  <v>102.167</v>
                </pt>
                <pt idx="34">
                  <v>103.886</v>
                </pt>
                <pt idx="35">
                  <v>107.65</v>
                </pt>
                <pt idx="36">
                  <v>112.169</v>
                </pt>
                <pt idx="37">
                  <v>111.585</v>
                </pt>
                <pt idx="38">
                  <v>112.555</v>
                </pt>
                <pt idx="39">
                  <v>107.392</v>
                </pt>
                <pt idx="40">
                  <v>115.936</v>
                </pt>
                <pt idx="41">
                  <v>116.84</v>
                </pt>
                <pt idx="42">
                  <v>114.584</v>
                </pt>
                <pt idx="43">
                  <v>114.971</v>
                </pt>
                <pt idx="44">
                  <v>116.672</v>
                </pt>
                <pt idx="45">
                  <v>121.661</v>
                </pt>
                <pt idx="46">
                  <v>119.829</v>
                </pt>
                <pt idx="47">
                  <v>126.132</v>
                </pt>
                <pt idx="48">
                  <v>129.446</v>
                </pt>
                <pt idx="49">
                  <v>135.745</v>
                </pt>
                <pt idx="50">
                  <v>137.041</v>
                </pt>
                <pt idx="51">
                  <v>133.561</v>
                </pt>
                <pt idx="52">
                  <v>138.606</v>
                </pt>
                <pt idx="53">
                  <v>139.636</v>
                </pt>
                <pt idx="54">
                  <v>135.521</v>
                </pt>
                <pt idx="55">
                  <v>129.128</v>
                </pt>
                <pt idx="56">
                  <v>128.503</v>
                </pt>
                <pt idx="57">
                  <v>130.073</v>
                </pt>
                <pt idx="58">
                  <v>138.688</v>
                </pt>
                <pt idx="59">
                  <v>141.986</v>
                </pt>
                <pt idx="60">
                  <v>146.308</v>
                </pt>
                <pt idx="61">
                  <v>149.5</v>
                </pt>
                <pt idx="62">
                  <v>151.395</v>
                </pt>
                <pt idx="63">
                  <v>153.246</v>
                </pt>
                <pt idx="64">
                  <v>149.699</v>
                </pt>
                <pt idx="65">
                  <v>153.223</v>
                </pt>
                <pt idx="66">
                  <v>157.114</v>
                </pt>
                <pt idx="67">
                  <v>156.598</v>
                </pt>
                <pt idx="68">
                  <v>156.451</v>
                </pt>
                <pt idx="69">
                  <v>159.973</v>
                </pt>
                <pt idx="70">
                  <v>164.266</v>
                </pt>
                <pt idx="71">
                  <v>168.709</v>
                </pt>
                <pt idx="72">
                  <v>162.635</v>
                </pt>
                <pt idx="73">
                  <v>181.828</v>
                </pt>
                <pt idx="74">
                  <v>182.574</v>
                </pt>
                <pt idx="75">
                  <v>191.482</v>
                </pt>
                <pt idx="76">
                  <v>196.417</v>
                </pt>
                <pt idx="77">
                  <v>201.302</v>
                </pt>
                <pt idx="78">
                  <v>212.593</v>
                </pt>
                <pt idx="79">
                  <v>214.987</v>
                </pt>
                <pt idx="80">
                  <v>218.343</v>
                </pt>
                <pt idx="81">
                  <v>216.608</v>
                </pt>
                <pt idx="82">
                  <v>219.452</v>
                </pt>
                <pt idx="83">
                  <v>231.026</v>
                </pt>
                <pt idx="84">
                  <v>244.637</v>
                </pt>
                <pt idx="85">
                  <v>248.369</v>
                </pt>
                <pt idx="86">
                  <v>263.296</v>
                </pt>
                <pt idx="87">
                  <v>261.077</v>
                </pt>
                <pt idx="88">
                  <v>236.452</v>
                </pt>
                <pt idx="89">
                  <v>283.101</v>
                </pt>
                <pt idx="90">
                  <v>279.433</v>
                </pt>
                <pt idx="91">
                  <v>276.363</v>
                </pt>
                <pt idx="92">
                  <v>275.458</v>
                </pt>
                <pt idx="93">
                  <v>280.902</v>
                </pt>
                <pt idx="94">
                  <v>280.258</v>
                </pt>
                <pt idx="95">
                  <v>284.604</v>
                </pt>
                <pt idx="96">
                  <v>281.249</v>
                </pt>
                <pt idx="97">
                  <v>302.466</v>
                </pt>
                <pt idx="98">
                  <v>309.152</v>
                </pt>
                <pt idx="99">
                  <v>288.197</v>
                </pt>
                <pt idx="100">
                  <v>330.317</v>
                </pt>
                <pt idx="101">
                  <v>318.581</v>
                </pt>
                <pt idx="102">
                  <v>325.212</v>
                </pt>
                <pt idx="103">
                  <v>339.862</v>
                </pt>
                <pt idx="104">
                  <v>355.566</v>
                </pt>
                <pt idx="105">
                  <v>345.318</v>
                </pt>
                <pt idx="106">
                  <v>335.778</v>
                </pt>
                <pt idx="107">
                  <v>338.284</v>
                </pt>
                <pt idx="108">
                  <v>326.81</v>
                </pt>
                <pt idx="109">
                  <v>344.123</v>
                </pt>
                <pt idx="110">
                  <v>338.109</v>
                </pt>
                <pt idx="111">
                  <v>334.754</v>
                </pt>
                <pt idx="112">
                  <v>301.164</v>
                </pt>
                <pt idx="113">
                  <v>277.065</v>
                </pt>
                <pt idx="114">
                  <v>300.098</v>
                </pt>
                <pt idx="115">
                  <v>316.117</v>
                </pt>
                <pt idx="116">
                  <v>335.921</v>
                </pt>
                <pt idx="117">
                  <v>350.47</v>
                </pt>
                <pt idx="118">
                  <v>364.768</v>
                </pt>
                <pt idx="119">
                  <v>376.841</v>
                </pt>
                <pt idx="120">
                  <v>394.68</v>
                </pt>
                <pt idx="121">
                  <v>398.319</v>
                </pt>
                <pt idx="122">
                  <v>392.768</v>
                </pt>
                <pt idx="123">
                  <v>398.342</v>
                </pt>
                <pt idx="124">
                  <v>425.07</v>
                </pt>
                <pt idx="125">
                  <v>426.419</v>
                </pt>
                <pt idx="126">
                  <v>431.993</v>
                </pt>
                <pt idx="127">
                  <v>437.924</v>
                </pt>
                <pt idx="128">
                  <v>436.734</v>
                </pt>
                <pt idx="129">
                  <v>439.092</v>
                </pt>
                <pt idx="130">
                  <v>432.386</v>
                </pt>
                <pt idx="131">
                  <v>441.816</v>
                </pt>
                <pt idx="132">
                  <v>442.117</v>
                </pt>
                <pt idx="133">
                  <v>410.012</v>
                </pt>
                <pt idx="134">
                  <v>380.507</v>
                </pt>
                <pt idx="135">
                  <v>400.911</v>
                </pt>
                <pt idx="136">
                  <v>418.022</v>
                </pt>
                <pt idx="137">
                  <v>418.639</v>
                </pt>
                <pt idx="138">
                  <v>413.847</v>
                </pt>
                <pt idx="139">
                  <v>425.696</v>
                </pt>
                <pt idx="140">
                  <v>413.539</v>
                </pt>
                <pt idx="141">
                  <v>406.768</v>
                </pt>
                <pt idx="142">
                  <v>425.635</v>
                </pt>
                <pt idx="143">
                  <v>408.929</v>
                </pt>
                <pt idx="144">
                  <v>418.301</v>
                </pt>
                <pt idx="145">
                  <v>450.465</v>
                </pt>
                <pt idx="146">
                  <v>485.556</v>
                </pt>
                <pt idx="147">
                  <v>509.375</v>
                </pt>
                <pt idx="148">
                  <v>550.324</v>
                </pt>
                <pt idx="149">
                  <v>573.377</v>
                </pt>
                <pt idx="150">
                  <v>588.22</v>
                </pt>
                <pt idx="151">
                  <v>605.461</v>
                </pt>
                <pt idx="152">
                  <v>592.1079999999999</v>
                </pt>
                <pt idx="153">
                  <v>621.201</v>
                </pt>
                <pt idx="154">
                  <v>615.192</v>
                </pt>
                <pt idx="155">
                  <v>639.2670000000001</v>
                </pt>
                <pt idx="156">
                  <v>638.629</v>
                </pt>
                <pt idx="157">
                  <v>665.801</v>
                </pt>
                <pt idx="158">
                  <v>684.256</v>
                </pt>
                <pt idx="159">
                  <v>689.567</v>
                </pt>
                <pt idx="160">
                  <v>685.524</v>
                </pt>
                <pt idx="161">
                  <v>702.675</v>
                </pt>
                <pt idx="162">
                  <v>716.372</v>
                </pt>
                <pt idx="163">
                  <v>732.845</v>
                </pt>
                <pt idx="164">
                  <v>729.393</v>
                </pt>
                <pt idx="165">
                  <v>720.992</v>
                </pt>
                <pt idx="166">
                  <v>738.003</v>
                </pt>
                <pt idx="167">
                  <v>760.484</v>
                </pt>
                <pt idx="168">
                  <v>764.021</v>
                </pt>
                <pt idx="169">
                  <v>767.643</v>
                </pt>
                <pt idx="170">
                  <v>766.599</v>
                </pt>
                <pt idx="171">
                  <v>780.4690000000001</v>
                </pt>
                <pt idx="172">
                  <v>805.2190000000001</v>
                </pt>
                <pt idx="173">
                  <v>803.8680000000001</v>
                </pt>
                <pt idx="174">
                  <v>800.622</v>
                </pt>
                <pt idx="175">
                  <v>779.151</v>
                </pt>
                <pt idx="176">
                  <v>770.272</v>
                </pt>
                <pt idx="177">
                  <v>783.963</v>
                </pt>
                <pt idx="178">
                  <v>806.025</v>
                </pt>
                <pt idx="179">
                  <v>823.831</v>
                </pt>
                <pt idx="180">
                  <v>829.8150000000001</v>
                </pt>
                <pt idx="181">
                  <v>843.457</v>
                </pt>
                <pt idx="182">
                  <v>856.753</v>
                </pt>
                <pt idx="183">
                  <v>877.263</v>
                </pt>
                <pt idx="184">
                  <v>896.2569999999999</v>
                </pt>
                <pt idx="185">
                  <v>914.774</v>
                </pt>
                <pt idx="186">
                  <v>926.821</v>
                </pt>
                <pt idx="187">
                  <v>964.0549999999999</v>
                </pt>
                <pt idx="188">
                  <v>986.514</v>
                </pt>
                <pt idx="189">
                  <v>1023.272</v>
                </pt>
                <pt idx="190">
                  <v>1052.047</v>
                </pt>
                <pt idx="191">
                  <v>1081.647</v>
                </pt>
                <pt idx="192">
                  <v>1105.38</v>
                </pt>
                <pt idx="193">
                  <v>1115.878</v>
                </pt>
                <pt idx="194">
                  <v>1119.712</v>
                </pt>
                <pt idx="195">
                  <v>1134.024</v>
                </pt>
                <pt idx="196">
                  <v>1170.888</v>
                </pt>
                <pt idx="197">
                  <v>1197.092</v>
                </pt>
                <pt idx="198">
                  <v>1235.904</v>
                </pt>
                <pt idx="199">
                  <v>1260.278</v>
                </pt>
                <pt idx="200">
                  <v>1314.106</v>
                </pt>
                <pt idx="201">
                  <v>1358.212</v>
                </pt>
                <pt idx="202">
                  <v>1408.264</v>
                </pt>
                <pt idx="203">
                  <v>1438.655</v>
                </pt>
                <pt idx="204">
                  <v>1492.613</v>
                </pt>
                <pt idx="205">
                  <v>1526.822</v>
                </pt>
                <pt idx="206">
                  <v>1547.423</v>
                </pt>
                <pt idx="207">
                  <v>1597.507</v>
                </pt>
                <pt idx="208">
                  <v>1642.647</v>
                </pt>
                <pt idx="209">
                  <v>1689.823</v>
                </pt>
                <pt idx="210">
                  <v>1750.911</v>
                </pt>
                <pt idx="211">
                  <v>1795.697</v>
                </pt>
                <pt idx="212">
                  <v>1863.488</v>
                </pt>
                <pt idx="213">
                  <v>1922.854</v>
                </pt>
                <pt idx="214">
                  <v>1992.04</v>
                </pt>
                <pt idx="215">
                  <v>1994.953</v>
                </pt>
                <pt idx="216">
                  <v>1969.218</v>
                </pt>
                <pt idx="217">
                  <v>1906.189</v>
                </pt>
                <pt idx="218">
                  <v>1862.95</v>
                </pt>
                <pt idx="219">
                  <v>1843.656</v>
                </pt>
                <pt idx="220">
                  <v>1896.04</v>
                </pt>
                <pt idx="221">
                  <v>1959.578</v>
                </pt>
                <pt idx="222">
                  <v>1984.492</v>
                </pt>
                <pt idx="223">
                  <v>2020.124</v>
                </pt>
                <pt idx="224">
                  <v>2011.331</v>
                </pt>
                <pt idx="225">
                  <v>2040.651</v>
                </pt>
                <pt idx="226">
                  <v>2072.609</v>
                </pt>
                <pt idx="227">
                  <v>2138.44</v>
                </pt>
                <pt idx="228">
                  <v>2198.333</v>
                </pt>
                <pt idx="229">
                  <v>2284.933</v>
                </pt>
                <pt idx="230">
                  <v>2316.604</v>
                </pt>
                <pt idx="231">
                  <v>2370.563</v>
                </pt>
                <pt idx="232">
                  <v>2390.985</v>
                </pt>
                <pt idx="233">
                  <v>2422.995</v>
                </pt>
                <pt idx="234">
                  <v>2436.601</v>
                </pt>
                <pt idx="235">
                  <v>2515.132</v>
                </pt>
                <pt idx="236">
                  <v>2566.893</v>
                </pt>
                <pt idx="237">
                  <v>2592.455</v>
                </pt>
                <pt idx="238">
                  <v>2618.357</v>
                </pt>
                <pt idx="239">
                  <v>2614.992</v>
                </pt>
                <pt idx="240">
                  <v>2653.058</v>
                </pt>
                <pt idx="241">
                  <v>2667.163</v>
                </pt>
                <pt idx="242">
                  <v>2682.099</v>
                </pt>
                <pt idx="243">
                  <v>2656.767</v>
                </pt>
                <pt idx="244">
                  <v>2666.73</v>
                </pt>
                <pt idx="245">
                  <v>2641.498</v>
                </pt>
                <pt idx="246">
                  <v>2608.161</v>
                </pt>
                <pt idx="247">
                  <v>2513.844</v>
                </pt>
                <pt idx="248">
                  <v>2274.895</v>
                </pt>
                <pt idx="249">
                  <v>2182.501</v>
                </pt>
                <pt idx="250">
                  <v>2272.535</v>
                </pt>
                <pt idx="251">
                  <v>2385.074</v>
                </pt>
                <pt idx="252">
                  <v>2448.044</v>
                </pt>
                <pt idx="253">
                  <v>2559.69</v>
                </pt>
                <pt idx="254">
                  <v>2649.148</v>
                </pt>
                <pt idx="255">
                  <v>2658.885</v>
                </pt>
                <pt idx="256">
                  <v>2671.872</v>
                </pt>
                <pt idx="257">
                  <v>2681.865</v>
                </pt>
                <pt idx="258">
                  <v>2711.619</v>
                </pt>
                <pt idx="259">
                  <v>2747.221</v>
                </pt>
                <pt idx="260">
                  <v>2760.748</v>
                </pt>
                <pt idx="261">
                  <v>2771.011</v>
                </pt>
                <pt idx="262">
                  <v>2785.883</v>
                </pt>
                <pt idx="263">
                  <v>2759.627</v>
                </pt>
                <pt idx="264">
                  <v>2757.265</v>
                </pt>
                <pt idx="265">
                  <v>2797.3</v>
                </pt>
                <pt idx="266">
                  <v>2817.399</v>
                </pt>
                <pt idx="267">
                  <v>2839.671</v>
                </pt>
                <pt idx="268">
                  <v>2876.337</v>
                </pt>
                <pt idx="269">
                  <v>2941.839</v>
                </pt>
                <pt idx="270">
                  <v>2947.352</v>
                </pt>
                <pt idx="271">
                  <v>3024.682</v>
                </pt>
                <pt idx="272">
                  <v>3068.49</v>
                </pt>
                <pt idx="273">
                  <v>3091.083</v>
                </pt>
                <pt idx="274">
                  <v>3117.762</v>
                </pt>
                <pt idx="275">
                  <v>3124.356</v>
                </pt>
                <pt idx="276">
                  <v>3119.978</v>
                </pt>
                <pt idx="277">
                  <v>3123.245</v>
                </pt>
                <pt idx="278">
                  <v>3145.977</v>
                </pt>
                <pt idx="279">
                  <v>3192.525</v>
                </pt>
                <pt idx="280">
                  <v>3238.754</v>
                </pt>
                <pt idx="281">
                  <v>3273.385</v>
                </pt>
                <pt idx="282">
                  <v>3272.203</v>
                </pt>
                <pt idx="283">
                  <v>3356.471</v>
                </pt>
                <pt idx="284">
                  <v>3378.004</v>
                </pt>
                <pt idx="285">
                  <v>3390.053</v>
                </pt>
                <pt idx="286">
                  <v>3439.376</v>
                </pt>
                <pt idx="287">
                  <v>3472.058</v>
                </pt>
                <pt idx="288">
                  <v>3472.01</v>
                </pt>
                <pt idx="289">
                  <v>3486.624</v>
                </pt>
                <pt idx="290">
                  <v>3477.376</v>
                </pt>
                <pt idx="291">
                  <v>3400.888</v>
                </pt>
                <pt idx="292">
                  <v>3283.928</v>
                </pt>
                <pt idx="293">
                  <v>2717.742</v>
                </pt>
                <pt idx="294">
                  <v>3187.514</v>
                </pt>
                <pt idx="295">
                  <v>3411.843</v>
                </pt>
                <pt idx="296">
                  <v>3488.445</v>
                </pt>
                <pt idx="297">
                  <v>3548.699</v>
                </pt>
                <pt idx="298">
                  <v>3601.184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022976"/>
        <axId val="2130024624"/>
      </lineChart>
      <dateAx>
        <axId val="213002297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4624"/>
        <crosses val="autoZero"/>
        <lblOffset val="100"/>
        <baseTimeUnit val="months"/>
      </dateAx>
      <valAx>
        <axId val="213002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22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Imports!$C$5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Imports!$C$6:$C$304</f>
              <numCache>
                <formatCode>0.00%</formatCode>
                <ptCount val="299"/>
                <pt idx="1">
                  <v>0.01925624213524069</v>
                </pt>
                <pt idx="2">
                  <v>-0.1131434883607595</v>
                </pt>
                <pt idx="3">
                  <v>0.05392533978092822</v>
                </pt>
                <pt idx="4">
                  <v>0.1276547672842295</v>
                </pt>
                <pt idx="5">
                  <v>0.039640583820107</v>
                </pt>
                <pt idx="6">
                  <v>0.0522125861685569</v>
                </pt>
                <pt idx="7">
                  <v>-0.01621652084478085</v>
                </pt>
                <pt idx="8">
                  <v>-0.03000315068885514</v>
                </pt>
                <pt idx="9">
                  <v>-0.01458711668216916</v>
                </pt>
                <pt idx="10">
                  <v>-0.04075333742864419</v>
                </pt>
                <pt idx="11">
                  <v>0.01505708885869139</v>
                </pt>
                <pt idx="12">
                  <v>0.02794405034853129</v>
                </pt>
                <pt idx="13">
                  <v>0.05519213208987617</v>
                </pt>
                <pt idx="14">
                  <v>0.2340190097886226</v>
                </pt>
                <pt idx="15">
                  <v>0.001873864759846374</v>
                </pt>
                <pt idx="16">
                  <v>5.737300485370403e-05</v>
                </pt>
                <pt idx="17">
                  <v>-0.03313674644881464</v>
                </pt>
                <pt idx="18">
                  <v>-0.08468421427384722</v>
                </pt>
                <pt idx="19">
                  <v>-0.0261506547387527</v>
                </pt>
                <pt idx="20">
                  <v>0.1160251887156684</v>
                </pt>
                <pt idx="21">
                  <v>-0.005177267738703029</v>
                </pt>
                <pt idx="22">
                  <v>0.06119145262249075</v>
                </pt>
                <pt idx="23">
                  <v>0.08965275659061886</v>
                </pt>
                <pt idx="24">
                  <v>-0.02464974956186284</v>
                </pt>
                <pt idx="25">
                  <v>0.05186382291024305</v>
                </pt>
                <pt idx="26">
                  <v>-0.003810698257388866</v>
                </pt>
                <pt idx="27">
                  <v>-0.04919080716351289</v>
                </pt>
                <pt idx="28">
                  <v>-0.05774381849808432</v>
                </pt>
                <pt idx="29">
                  <v>0.08993612394672451</v>
                </pt>
                <pt idx="30">
                  <v>-0.06031983540634053</v>
                </pt>
                <pt idx="31">
                  <v>0.009487791932059493</v>
                </pt>
                <pt idx="32">
                  <v>0.05908642786723618</v>
                </pt>
                <pt idx="33">
                  <v>0.05671052087211952</v>
                </pt>
                <pt idx="34">
                  <v>0.0168253937181281</v>
                </pt>
                <pt idx="35">
                  <v>0.03623202356429173</v>
                </pt>
                <pt idx="36">
                  <v>0.04197863446353917</v>
                </pt>
                <pt idx="37">
                  <v>-0.005206429583931417</v>
                </pt>
                <pt idx="38">
                  <v>0.008692924676255888</v>
                </pt>
                <pt idx="39">
                  <v>-0.0458709075563059</v>
                </pt>
                <pt idx="40">
                  <v>0.07955899880810499</v>
                </pt>
                <pt idx="41">
                  <v>0.007797405465084153</v>
                </pt>
                <pt idx="42">
                  <v>-0.01930845600821637</v>
                </pt>
                <pt idx="43">
                  <v>0.003377434894924252</v>
                </pt>
                <pt idx="44">
                  <v>0.01479503526976362</v>
                </pt>
                <pt idx="45">
                  <v>0.04276090235874935</v>
                </pt>
                <pt idx="46">
                  <v>-0.0150582355890549</v>
                </pt>
                <pt idx="47">
                  <v>0.05259995493578359</v>
                </pt>
                <pt idx="48">
                  <v>0.02627406209367958</v>
                </pt>
                <pt idx="49">
                  <v>0.04866121780510797</v>
                </pt>
                <pt idx="50">
                  <v>0.009547312976536831</v>
                </pt>
                <pt idx="51">
                  <v>-0.02539386023160944</v>
                </pt>
                <pt idx="52">
                  <v>0.03777300259806371</v>
                </pt>
                <pt idx="53">
                  <v>0.00743113573726968</v>
                </pt>
                <pt idx="54">
                  <v>-0.02946947778509847</v>
                </pt>
                <pt idx="55">
                  <v>-0.04717350078585607</v>
                </pt>
                <pt idx="56">
                  <v>-0.004840158602317081</v>
                </pt>
                <pt idx="57">
                  <v>0.0122176135965699</v>
                </pt>
                <pt idx="58">
                  <v>0.06623203893198419</v>
                </pt>
                <pt idx="59">
                  <v>0.02377999538532535</v>
                </pt>
                <pt idx="60">
                  <v>0.03043962080768529</v>
                </pt>
                <pt idx="61">
                  <v>0.02181698881810979</v>
                </pt>
                <pt idx="62">
                  <v>0.012675585284281</v>
                </pt>
                <pt idx="63">
                  <v>0.01222629545229366</v>
                </pt>
                <pt idx="64">
                  <v>-0.02314579173355257</v>
                </pt>
                <pt idx="65">
                  <v>0.0235405714133027</v>
                </pt>
                <pt idx="66">
                  <v>0.02539435985459096</v>
                </pt>
                <pt idx="67">
                  <v>-0.003284239469429784</v>
                </pt>
                <pt idx="68">
                  <v>-0.0009387093066323949</v>
                </pt>
                <pt idx="69">
                  <v>0.02251184076803613</v>
                </pt>
                <pt idx="70">
                  <v>0.02683577853762809</v>
                </pt>
                <pt idx="71">
                  <v>0.02704759353731151</v>
                </pt>
                <pt idx="72">
                  <v>-0.03600282142624289</v>
                </pt>
                <pt idx="73">
                  <v>0.1180127278876012</v>
                </pt>
                <pt idx="74">
                  <v>0.004102778449963753</v>
                </pt>
                <pt idx="75">
                  <v>0.04879117508517087</v>
                </pt>
                <pt idx="76">
                  <v>0.02577265748216544</v>
                </pt>
                <pt idx="77">
                  <v>0.02487055601093587</v>
                </pt>
                <pt idx="78">
                  <v>0.05608985504366572</v>
                </pt>
                <pt idx="79">
                  <v>0.01126095402953063</v>
                </pt>
                <pt idx="80">
                  <v>0.01561024620093305</v>
                </pt>
                <pt idx="81">
                  <v>-0.007946213068428964</v>
                </pt>
                <pt idx="82">
                  <v>0.01312970896735113</v>
                </pt>
                <pt idx="83">
                  <v>0.05274046260685714</v>
                </pt>
                <pt idx="84">
                  <v>0.05891544674625362</v>
                </pt>
                <pt idx="85">
                  <v>0.01525525574626896</v>
                </pt>
                <pt idx="86">
                  <v>0.06010009300677618</v>
                </pt>
                <pt idx="87">
                  <v>-0.008427777102576545</v>
                </pt>
                <pt idx="88">
                  <v>-0.09432083255131628</v>
                </pt>
                <pt idx="89">
                  <v>0.1972873987109434</v>
                </pt>
                <pt idx="90">
                  <v>-0.01295650668842571</v>
                </pt>
                <pt idx="91">
                  <v>-0.01098653344451083</v>
                </pt>
                <pt idx="92">
                  <v>-0.003274678593009819</v>
                </pt>
                <pt idx="93">
                  <v>0.01976344851120664</v>
                </pt>
                <pt idx="94">
                  <v>-0.002292614506126711</v>
                </pt>
                <pt idx="95">
                  <v>0.01550713984970992</v>
                </pt>
                <pt idx="96">
                  <v>-0.01178830937021251</v>
                </pt>
                <pt idx="97">
                  <v>0.07543849044796598</v>
                </pt>
                <pt idx="98">
                  <v>0.02210496386370692</v>
                </pt>
                <pt idx="99">
                  <v>-0.06778219128454606</v>
                </pt>
                <pt idx="100">
                  <v>0.1461500293202219</v>
                </pt>
                <pt idx="101">
                  <v>-0.03552950650435791</v>
                </pt>
                <pt idx="102">
                  <v>0.02081417284772153</v>
                </pt>
                <pt idx="103">
                  <v>0.04504753822122196</v>
                </pt>
                <pt idx="104">
                  <v>0.04620698989589878</v>
                </pt>
                <pt idx="105">
                  <v>-0.02882165336393241</v>
                </pt>
                <pt idx="106">
                  <v>-0.02762670929404191</v>
                </pt>
                <pt idx="107">
                  <v>0.007463264418752782</v>
                </pt>
                <pt idx="108">
                  <v>-0.03391824620732872</v>
                </pt>
                <pt idx="109">
                  <v>0.05297573513662369</v>
                </pt>
                <pt idx="110">
                  <v>-0.01747630934288034</v>
                </pt>
                <pt idx="111">
                  <v>-0.009922835535285845</v>
                </pt>
                <pt idx="112">
                  <v>-0.1003423409429014</v>
                </pt>
                <pt idx="113">
                  <v>-0.08001952424592577</v>
                </pt>
                <pt idx="114">
                  <v>0.0831321170122535</v>
                </pt>
                <pt idx="115">
                  <v>0.05337922945171246</v>
                </pt>
                <pt idx="116">
                  <v>0.06264769057026345</v>
                </pt>
                <pt idx="117">
                  <v>0.04331077842707075</v>
                </pt>
                <pt idx="118">
                  <v>0.04079664450594899</v>
                </pt>
                <pt idx="119">
                  <v>0.03309774980261437</v>
                </pt>
                <pt idx="120">
                  <v>0.04733826733290698</v>
                </pt>
                <pt idx="121">
                  <v>0.009220127698388593</v>
                </pt>
                <pt idx="122">
                  <v>-0.01393606631870447</v>
                </pt>
                <pt idx="123">
                  <v>0.0141915838357504</v>
                </pt>
                <pt idx="124">
                  <v>0.06709812171450666</v>
                </pt>
                <pt idx="125">
                  <v>0.003173594937304419</v>
                </pt>
                <pt idx="126">
                  <v>0.01307165018444303</v>
                </pt>
                <pt idx="127">
                  <v>0.01372938913362018</v>
                </pt>
                <pt idx="128">
                  <v>-0.002717366483682095</v>
                </pt>
                <pt idx="129">
                  <v>0.005399167456621203</v>
                </pt>
                <pt idx="130">
                  <v>-0.01527242582420076</v>
                </pt>
                <pt idx="131">
                  <v>0.02180921676464999</v>
                </pt>
                <pt idx="132">
                  <v>0.000681279084505868</v>
                </pt>
                <pt idx="133">
                  <v>-0.07261652458512118</v>
                </pt>
                <pt idx="134">
                  <v>-0.07196130844950878</v>
                </pt>
                <pt idx="135">
                  <v>0.05362319221459788</v>
                </pt>
                <pt idx="136">
                  <v>0.04268029562671014</v>
                </pt>
                <pt idx="137">
                  <v>0.00147599887087287</v>
                </pt>
                <pt idx="138">
                  <v>-0.01144661629709614</v>
                </pt>
                <pt idx="139">
                  <v>0.02863135409946199</v>
                </pt>
                <pt idx="140">
                  <v>-0.02855793805908451</v>
                </pt>
                <pt idx="141">
                  <v>-0.01637330457345018</v>
                </pt>
                <pt idx="142">
                  <v>0.04638270463753299</v>
                </pt>
                <pt idx="143">
                  <v>-0.03924959178638979</v>
                </pt>
                <pt idx="144">
                  <v>0.02291840392831033</v>
                </pt>
                <pt idx="145">
                  <v>0.07689199882381345</v>
                </pt>
                <pt idx="146">
                  <v>0.0778995038460258</v>
                </pt>
                <pt idx="147">
                  <v>0.04905510383972192</v>
                </pt>
                <pt idx="148">
                  <v>0.08039067484662568</v>
                </pt>
                <pt idx="149">
                  <v>0.04188986851382095</v>
                </pt>
                <pt idx="150">
                  <v>0.02588698186359075</v>
                </pt>
                <pt idx="151">
                  <v>0.02931046207201385</v>
                </pt>
                <pt idx="152">
                  <v>-0.02205426939142251</v>
                </pt>
                <pt idx="153">
                  <v>0.04913461733332446</v>
                </pt>
                <pt idx="154">
                  <v>-0.009673197564073487</v>
                </pt>
                <pt idx="155">
                  <v>0.03913412398080607</v>
                </pt>
                <pt idx="156">
                  <v>-0.0009980180425393985</v>
                </pt>
                <pt idx="157">
                  <v>0.04254739449664833</v>
                </pt>
                <pt idx="158">
                  <v>0.0277184924624624</v>
                </pt>
                <pt idx="159">
                  <v>0.007761714913716556</v>
                </pt>
                <pt idx="160">
                  <v>-0.005863099597283522</v>
                </pt>
                <pt idx="161">
                  <v>0.02501881772191776</v>
                </pt>
                <pt idx="162">
                  <v>0.01949265307574626</v>
                </pt>
                <pt idx="163">
                  <v>0.02299503609856341</v>
                </pt>
                <pt idx="164">
                  <v>-0.004710409431735221</v>
                </pt>
                <pt idx="165">
                  <v>-0.01151779630459857</v>
                </pt>
                <pt idx="166">
                  <v>0.02359388176290456</v>
                </pt>
                <pt idx="167">
                  <v>0.03046193579158891</v>
                </pt>
                <pt idx="168">
                  <v>0.004650985425071297</v>
                </pt>
                <pt idx="169">
                  <v>0.004740707388933119</v>
                </pt>
                <pt idx="170">
                  <v>-0.001360007190842596</v>
                </pt>
                <pt idx="171">
                  <v>0.01809290124302276</v>
                </pt>
                <pt idx="172">
                  <v>0.03171170155380931</v>
                </pt>
                <pt idx="173">
                  <v>-0.001677804423392889</v>
                </pt>
                <pt idx="174">
                  <v>-0.004037976384182595</v>
                </pt>
                <pt idx="175">
                  <v>-0.02681789908346261</v>
                </pt>
                <pt idx="176">
                  <v>-0.01139573715492877</v>
                </pt>
                <pt idx="177">
                  <v>0.0177742407876697</v>
                </pt>
                <pt idx="178">
                  <v>0.02814163423528918</v>
                </pt>
                <pt idx="179">
                  <v>0.0220911262057629</v>
                </pt>
                <pt idx="180">
                  <v>0.007263625670799032</v>
                </pt>
                <pt idx="181">
                  <v>0.01643980887306199</v>
                </pt>
                <pt idx="182">
                  <v>0.01576369631172668</v>
                </pt>
                <pt idx="183">
                  <v>0.02393922168933169</v>
                </pt>
                <pt idx="184">
                  <v>0.02165143178271501</v>
                </pt>
                <pt idx="185">
                  <v>0.02066036862194667</v>
                </pt>
                <pt idx="186">
                  <v>0.01316937298174197</v>
                </pt>
                <pt idx="187">
                  <v>0.0401738847091293</v>
                </pt>
                <pt idx="188">
                  <v>0.02329638869151663</v>
                </pt>
                <pt idx="189">
                  <v>0.03726049503605629</v>
                </pt>
                <pt idx="190">
                  <v>0.02812057791085848</v>
                </pt>
                <pt idx="191">
                  <v>0.02813562511940998</v>
                </pt>
                <pt idx="192">
                  <v>0.02194153915279215</v>
                </pt>
                <pt idx="193">
                  <v>0.009497186487904449</v>
                </pt>
                <pt idx="194">
                  <v>0.003435859475677502</v>
                </pt>
                <pt idx="195">
                  <v>0.01278185819210645</v>
                </pt>
                <pt idx="196">
                  <v>0.0325072485238408</v>
                </pt>
                <pt idx="197">
                  <v>0.02237959565731324</v>
                </pt>
                <pt idx="198">
                  <v>0.0324219024101739</v>
                </pt>
                <pt idx="199">
                  <v>0.0197215964994045</v>
                </pt>
                <pt idx="200">
                  <v>0.04271121133591158</v>
                </pt>
                <pt idx="201">
                  <v>0.03356350248762276</v>
                </pt>
                <pt idx="202">
                  <v>0.03685138991556539</v>
                </pt>
                <pt idx="203">
                  <v>0.021580470707197</v>
                </pt>
                <pt idx="204">
                  <v>0.03750586485293561</v>
                </pt>
                <pt idx="205">
                  <v>0.02291886778421455</v>
                </pt>
                <pt idx="206">
                  <v>0.01349273196220654</v>
                </pt>
                <pt idx="207">
                  <v>0.03236606926483583</v>
                </pt>
                <pt idx="208">
                  <v>0.02825652720144567</v>
                </pt>
                <pt idx="209">
                  <v>0.02871949968556857</v>
                </pt>
                <pt idx="210">
                  <v>0.03615053174208184</v>
                </pt>
                <pt idx="211">
                  <v>0.02557868446768558</v>
                </pt>
                <pt idx="212">
                  <v>0.03775191471612425</v>
                </pt>
                <pt idx="213">
                  <v>0.03185746299412713</v>
                </pt>
                <pt idx="214">
                  <v>0.03598089090487365</v>
                </pt>
                <pt idx="215">
                  <v>0.001462320033734268</v>
                </pt>
                <pt idx="216">
                  <v>-0.01290005328446329</v>
                </pt>
                <pt idx="217">
                  <v>-0.03200712160867918</v>
                </pt>
                <pt idx="218">
                  <v>-0.0226834799697197</v>
                </pt>
                <pt idx="219">
                  <v>-0.01035669234278971</v>
                </pt>
                <pt idx="220">
                  <v>0.02841310960396084</v>
                </pt>
                <pt idx="221">
                  <v>0.03351089639459084</v>
                </pt>
                <pt idx="222">
                  <v>0.01271396188363004</v>
                </pt>
                <pt idx="223">
                  <v>0.0179552248132016</v>
                </pt>
                <pt idx="224">
                  <v>-0.004352703101393835</v>
                </pt>
                <pt idx="225">
                  <v>0.01457741167416013</v>
                </pt>
                <pt idx="226">
                  <v>0.01566068867238928</v>
                </pt>
                <pt idx="227">
                  <v>0.03176238258156755</v>
                </pt>
                <pt idx="228">
                  <v>0.02800780007856195</v>
                </pt>
                <pt idx="229">
                  <v>0.03939348588225711</v>
                </pt>
                <pt idx="230">
                  <v>0.01386080029480069</v>
                </pt>
                <pt idx="231">
                  <v>0.02329228474093988</v>
                </pt>
                <pt idx="232">
                  <v>0.008614831160361495</v>
                </pt>
                <pt idx="233">
                  <v>0.01338778787821746</v>
                </pt>
                <pt idx="234">
                  <v>0.005615364455972968</v>
                </pt>
                <pt idx="235">
                  <v>0.0322297331405511</v>
                </pt>
                <pt idx="236">
                  <v>0.02057983437847396</v>
                </pt>
                <pt idx="237">
                  <v>0.009958342634461156</v>
                </pt>
                <pt idx="238">
                  <v>0.009991301681224956</v>
                </pt>
                <pt idx="239">
                  <v>-0.001285157066053171</v>
                </pt>
                <pt idx="240">
                  <v>0.01455683229623639</v>
                </pt>
                <pt idx="241">
                  <v>0.005316506461600168</v>
                </pt>
                <pt idx="242">
                  <v>0.005599957707871678</v>
                </pt>
                <pt idx="243">
                  <v>-0.009444841521509957</v>
                </pt>
                <pt idx="244">
                  <v>0.003750046579169417</v>
                </pt>
                <pt idx="245">
                  <v>-0.009461775282837022</v>
                </pt>
                <pt idx="246">
                  <v>-0.01262049034297962</v>
                </pt>
                <pt idx="247">
                  <v>-0.0361622614554853</v>
                </pt>
                <pt idx="248">
                  <v>-0.09505323321574452</v>
                </pt>
                <pt idx="249">
                  <v>-0.0406146217737521</v>
                </pt>
                <pt idx="250">
                  <v>0.04125267296555633</v>
                </pt>
                <pt idx="251">
                  <v>0.04952134950616832</v>
                </pt>
                <pt idx="252">
                  <v>0.02640169655113418</v>
                </pt>
                <pt idx="253">
                  <v>0.04560620642439441</v>
                </pt>
                <pt idx="254">
                  <v>0.03494876332680914</v>
                </pt>
                <pt idx="255">
                  <v>0.003675521337426252</v>
                </pt>
                <pt idx="256">
                  <v>0.004884378226211222</v>
                </pt>
                <pt idx="257">
                  <v>0.003740074374820328</v>
                </pt>
                <pt idx="258">
                  <v>0.01109451818044546</v>
                </pt>
                <pt idx="259">
                  <v>0.01312942563096064</v>
                </pt>
                <pt idx="260">
                  <v>0.004923884900413925</v>
                </pt>
                <pt idx="261">
                  <v>0.003717470772413824</v>
                </pt>
                <pt idx="262">
                  <v>0.005366994212581561</v>
                </pt>
                <pt idx="263">
                  <v>-0.009424659973157473</v>
                </pt>
                <pt idx="264">
                  <v>-0.000855912773719086</v>
                </pt>
                <pt idx="265">
                  <v>0.01451982308555772</v>
                </pt>
                <pt idx="266">
                  <v>0.007185142816287028</v>
                </pt>
                <pt idx="267">
                  <v>0.007905163592377201</v>
                </pt>
                <pt idx="268">
                  <v>0.01291205917868661</v>
                </pt>
                <pt idx="269">
                  <v>0.02277271404567683</v>
                </pt>
                <pt idx="270">
                  <v>0.001873997863241299</v>
                </pt>
                <pt idx="271">
                  <v>0.02623711046390113</v>
                </pt>
                <pt idx="272">
                  <v>0.01448350603468397</v>
                </pt>
                <pt idx="273">
                  <v>0.007362904881554218</v>
                </pt>
                <pt idx="274">
                  <v>0.008630955558294646</v>
                </pt>
                <pt idx="275">
                  <v>0.002114978628901132</v>
                </pt>
                <pt idx="276">
                  <v>-0.001401248769346437</v>
                </pt>
                <pt idx="277">
                  <v>0.001047122768173309</v>
                </pt>
                <pt idx="278">
                  <v>0.007278327508728893</v>
                </pt>
                <pt idx="279">
                  <v>0.01479603951332137</v>
                </pt>
                <pt idx="280">
                  <v>0.01448038778083173</v>
                </pt>
                <pt idx="281">
                  <v>0.01069269231315509</v>
                </pt>
                <pt idx="282">
                  <v>-0.0003610940967836792</v>
                </pt>
                <pt idx="283">
                  <v>0.02575268099198003</v>
                </pt>
                <pt idx="284">
                  <v>0.006415368999166059</v>
                </pt>
                <pt idx="285">
                  <v>0.003566899269509444</v>
                </pt>
                <pt idx="286">
                  <v>0.01454933005472195</v>
                </pt>
                <pt idx="287">
                  <v>0.009502305069291577</v>
                </pt>
                <pt idx="288">
                  <v>-1.382465385076357e-05</v>
                </pt>
                <pt idx="289">
                  <v>0.004209089259535421</v>
                </pt>
                <pt idx="290">
                  <v>-0.002652422515304086</v>
                </pt>
                <pt idx="291">
                  <v>-0.02199589575588038</v>
                </pt>
                <pt idx="292">
                  <v>-0.03439101787533139</v>
                </pt>
                <pt idx="293">
                  <v>-0.1724112099899875</v>
                </pt>
                <pt idx="294">
                  <v>0.1728537881815124</v>
                </pt>
                <pt idx="295">
                  <v>0.07037741638154364</v>
                </pt>
                <pt idx="296">
                  <v>0.02245179511483979</v>
                </pt>
                <pt idx="297">
                  <v>0.01727245233907942</v>
                </pt>
                <pt idx="298">
                  <v>0.01478992723812308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795615"/>
        <axId val="511797263"/>
      </barChart>
      <dateAx>
        <axId val="51179561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7263"/>
        <crosses val="autoZero"/>
        <lblOffset val="100"/>
        <baseTimeUnit val="months"/>
      </dateAx>
      <valAx>
        <axId val="5117972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79561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Imports!$D$5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Imports!$D$6:$D$304</f>
              <numCache>
                <formatCode>0.00%</formatCode>
                <ptCount val="299"/>
                <pt idx="4">
                  <v>0.07429299953639305</v>
                </pt>
                <pt idx="5">
                  <v>0.09577803408112544</v>
                </pt>
                <pt idx="6">
                  <v>0.3000879217496429</v>
                </pt>
                <pt idx="7">
                  <v>0.2135632104000834</v>
                </pt>
                <pt idx="8">
                  <v>0.04389439452553056</v>
                </pt>
                <pt idx="9">
                  <v>-0.01055518493810693</v>
                </pt>
                <pt idx="10">
                  <v>-0.09797540048184633</v>
                </pt>
                <pt idx="11">
                  <v>-0.0693008335004153</v>
                </pt>
                <pt idx="12">
                  <v>-0.01370125939377829</v>
                </pt>
                <pt idx="13">
                  <v>0.05614071887688597</v>
                </pt>
                <pt idx="14">
                  <v>0.3586679786951566</v>
                </pt>
                <pt idx="15">
                  <v>0.3410220505639591</v>
                </pt>
                <pt idx="16">
                  <v>0.3046420070954897</v>
                </pt>
                <pt idx="17">
                  <v>0.1954319761668323</v>
                </pt>
                <pt idx="18">
                  <v>-0.1133055894051917</v>
                </pt>
                <pt idx="19">
                  <v>-0.138108297283962</v>
                </pt>
                <pt idx="20">
                  <v>-0.03816233334098255</v>
                </pt>
                <pt idx="21">
                  <v>-0.01034818313436024</v>
                </pt>
                <pt idx="22">
                  <v>0.1473745624270713</v>
                </pt>
                <pt idx="23">
                  <v>0.2838123893334043</v>
                </pt>
                <pt idx="24">
                  <v>0.1219878799446485</v>
                </pt>
                <pt idx="25">
                  <v>0.186320358778809</v>
                </pt>
                <pt idx="26">
                  <v>0.1136535701775202</v>
                </pt>
                <pt idx="27">
                  <v>-0.02824817745330862</v>
                </pt>
                <pt idx="28">
                  <v>-0.06122015012652302</v>
                </pt>
                <pt idx="29">
                  <v>-0.02724093316621525</v>
                </pt>
                <pt idx="30">
                  <v>-0.0824209832073462</v>
                </pt>
                <pt idx="31">
                  <v>-0.02579316379779512</v>
                </pt>
                <pt idx="32">
                  <v>0.09499864093503659</v>
                </pt>
                <pt idx="33">
                  <v>0.06161871213774335</v>
                </pt>
                <pt idx="34">
                  <v>0.1487747699929228</v>
                </pt>
                <pt idx="35">
                  <v>0.179209113813123</v>
                </pt>
                <pt idx="36">
                  <v>0.1601609366596334</v>
                </pt>
                <pt idx="37">
                  <v>0.09218240723521286</v>
                </pt>
                <pt idx="38">
                  <v>0.08344724024411385</v>
                </pt>
                <pt idx="39">
                  <v>-0.002396655829075799</v>
                </pt>
                <pt idx="40">
                  <v>0.03358325384018766</v>
                </pt>
                <pt idx="41">
                  <v>0.04709414347806614</v>
                </pt>
                <pt idx="42">
                  <v>0.01802674248145348</v>
                </pt>
                <pt idx="43">
                  <v>0.07057322705601915</v>
                </pt>
                <pt idx="44">
                  <v>0.006348330113165798</v>
                </pt>
                <pt idx="45">
                  <v>0.04126155426223894</v>
                </pt>
                <pt idx="46">
                  <v>0.04577427913146678</v>
                </pt>
                <pt idx="47">
                  <v>0.09707665411277627</v>
                </pt>
                <pt idx="48">
                  <v>0.1094864234777839</v>
                </pt>
                <pt idx="49">
                  <v>0.1157642958713146</v>
                </pt>
                <pt idx="50">
                  <v>0.1436380175082827</v>
                </pt>
                <pt idx="51">
                  <v>0.0588986141502553</v>
                </pt>
                <pt idx="52">
                  <v>0.0707630981258594</v>
                </pt>
                <pt idx="53">
                  <v>0.02866403919113036</v>
                </pt>
                <pt idx="54">
                  <v>-0.01109157113564561</v>
                </pt>
                <pt idx="55">
                  <v>-0.03319082666347228</v>
                </pt>
                <pt idx="56">
                  <v>-0.07289006247925782</v>
                </pt>
                <pt idx="57">
                  <v>-0.06848520438855302</v>
                </pt>
                <pt idx="58">
                  <v>0.02336907195194842</v>
                </pt>
                <pt idx="59">
                  <v>0.09957561489374889</v>
                </pt>
                <pt idx="60">
                  <v>0.1385570764884867</v>
                </pt>
                <pt idx="61">
                  <v>0.1493545931899779</v>
                </pt>
                <pt idx="62">
                  <v>0.09162292339640073</v>
                </pt>
                <pt idx="63">
                  <v>0.07930359331201682</v>
                </pt>
                <pt idx="64">
                  <v>0.0231771331711186</v>
                </pt>
                <pt idx="65">
                  <v>0.0249030100334449</v>
                </pt>
                <pt idx="66">
                  <v>0.03777535585719471</v>
                </pt>
                <pt idx="67">
                  <v>0.02187332785195048</v>
                </pt>
                <pt idx="68">
                  <v>0.04510384170902932</v>
                </pt>
                <pt idx="69">
                  <v>0.04405343845245165</v>
                </pt>
                <pt idx="70">
                  <v>0.0455210865995391</v>
                </pt>
                <pt idx="71">
                  <v>0.07733815246682582</v>
                </pt>
                <pt idx="72">
                  <v>0.03952675278521708</v>
                </pt>
                <pt idx="73">
                  <v>0.1366168040856894</v>
                </pt>
                <pt idx="74">
                  <v>0.1114533744049287</v>
                </pt>
                <pt idx="75">
                  <v>0.134983907201157</v>
                </pt>
                <pt idx="76">
                  <v>0.2077166661542719</v>
                </pt>
                <pt idx="77">
                  <v>0.1071012165343071</v>
                </pt>
                <pt idx="78">
                  <v>0.1644210018951218</v>
                </pt>
                <pt idx="79">
                  <v>0.1227530525062408</v>
                </pt>
                <pt idx="80">
                  <v>0.1116298487401803</v>
                </pt>
                <pt idx="81">
                  <v>0.07603501207141515</v>
                </pt>
                <pt idx="82">
                  <v>0.03226352702111551</v>
                </pt>
                <pt idx="83">
                  <v>0.07460451097043085</v>
                </pt>
                <pt idx="84">
                  <v>0.1204252025482842</v>
                </pt>
                <pt idx="85">
                  <v>0.1466289333727286</v>
                </pt>
                <pt idx="86">
                  <v>0.1997885642418387</v>
                </pt>
                <pt idx="87">
                  <v>0.1300762684719468</v>
                </pt>
                <pt idx="88">
                  <v>-0.03345773533848111</v>
                </pt>
                <pt idx="89">
                  <v>0.1398403182361728</v>
                </pt>
                <pt idx="90">
                  <v>0.06128843582887701</v>
                </pt>
                <pt idx="91">
                  <v>0.05854977650271759</v>
                </pt>
                <pt idx="92">
                  <v>0.1649637135655441</v>
                </pt>
                <pt idx="93">
                  <v>-0.007767545858191996</v>
                </pt>
                <pt idx="94">
                  <v>0.002952407196000432</v>
                </pt>
                <pt idx="95">
                  <v>0.02981947655800518</v>
                </pt>
                <pt idx="96">
                  <v>0.02102316868633329</v>
                </pt>
                <pt idx="97">
                  <v>0.07676698635111186</v>
                </pt>
                <pt idx="98">
                  <v>0.1030978598291575</v>
                </pt>
                <pt idx="99">
                  <v>0.01262455903641557</v>
                </pt>
                <pt idx="100">
                  <v>0.17446462031865</v>
                </pt>
                <pt idx="101">
                  <v>0.05327871562423548</v>
                </pt>
                <pt idx="102">
                  <v>0.05194855605009834</v>
                </pt>
                <pt idx="103">
                  <v>0.1792697356322239</v>
                </pt>
                <pt idx="104">
                  <v>0.07643869373965</v>
                </pt>
                <pt idx="105">
                  <v>0.08392528116868227</v>
                </pt>
                <pt idx="106">
                  <v>0.03248957603040488</v>
                </pt>
                <pt idx="107">
                  <v>-0.004643061007114744</v>
                </pt>
                <pt idx="108">
                  <v>-0.08087387432994149</v>
                </pt>
                <pt idx="109">
                  <v>-0.003460578365448639</v>
                </pt>
                <pt idx="110">
                  <v>0.006942086735878945</v>
                </pt>
                <pt idx="111">
                  <v>-0.01043501909638048</v>
                </pt>
                <pt idx="112">
                  <v>-0.07847373091398677</v>
                </pt>
                <pt idx="113">
                  <v>-0.1948663704547502</v>
                </pt>
                <pt idx="114">
                  <v>-0.1124223253447852</v>
                </pt>
                <pt idx="115">
                  <v>-0.05567371861127873</v>
                </pt>
                <pt idx="116">
                  <v>0.1154088802114463</v>
                </pt>
                <pt idx="117">
                  <v>0.2649378304729938</v>
                </pt>
                <pt idx="118">
                  <v>0.2154962712180686</v>
                </pt>
                <pt idx="119">
                  <v>0.1920934337602849</v>
                </pt>
                <pt idx="120">
                  <v>0.1749191030033848</v>
                </pt>
                <pt idx="121">
                  <v>0.1365280908494307</v>
                </pt>
                <pt idx="122">
                  <v>0.07676111939643829</v>
                </pt>
                <pt idx="123">
                  <v>0.05705589359968787</v>
                </pt>
                <pt idx="124">
                  <v>0.07699908786865305</v>
                </pt>
                <pt idx="125">
                  <v>0.07054647154667482</v>
                </pt>
                <pt idx="126">
                  <v>0.09986811552876004</v>
                </pt>
                <pt idx="127">
                  <v>0.09936687569977556</v>
                </pt>
                <pt idx="128">
                  <v>0.02744018632225277</v>
                </pt>
                <pt idx="129">
                  <v>0.02971959504618697</v>
                </pt>
                <pt idx="130">
                  <v>0.0009097369633304917</v>
                </pt>
                <pt idx="131">
                  <v>0.008887386852513213</v>
                </pt>
                <pt idx="132">
                  <v>0.01232558033036136</v>
                </pt>
                <pt idx="133">
                  <v>-0.06622757873065323</v>
                </pt>
                <pt idx="134">
                  <v>-0.1199830706822145</v>
                </pt>
                <pt idx="135">
                  <v>-0.09258379053723717</v>
                </pt>
                <pt idx="136">
                  <v>-0.05449914841546474</v>
                </pt>
                <pt idx="137">
                  <v>0.02104084758494876</v>
                </pt>
                <pt idx="138">
                  <v>0.08761993866078673</v>
                </pt>
                <pt idx="139">
                  <v>0.06182170107579993</v>
                </pt>
                <pt idx="140">
                  <v>-0.01072431594509381</v>
                </pt>
                <pt idx="141">
                  <v>-0.02835617321845322</v>
                </pt>
                <pt idx="142">
                  <v>0.02848395663131547</v>
                </pt>
                <pt idx="143">
                  <v>-0.03938726227166817</v>
                </pt>
                <pt idx="144">
                  <v>0.01151523798239102</v>
                </pt>
                <pt idx="145">
                  <v>0.1074248711796405</v>
                </pt>
                <pt idx="146">
                  <v>0.14078024598541</v>
                </pt>
                <pt idx="147">
                  <v>0.2456318823071977</v>
                </pt>
                <pt idx="148">
                  <v>0.3156172230044871</v>
                </pt>
                <pt idx="149">
                  <v>0.2728558267567957</v>
                </pt>
                <pt idx="150">
                  <v>0.211435962072346</v>
                </pt>
                <pt idx="151">
                  <v>0.1886350920245399</v>
                </pt>
                <pt idx="152">
                  <v>0.07592618166752675</v>
                </pt>
                <pt idx="153">
                  <v>0.08340760093271979</v>
                </pt>
                <pt idx="154">
                  <v>0.04585359219339699</v>
                </pt>
                <pt idx="155">
                  <v>0.05583514049625003</v>
                </pt>
                <pt idx="156">
                  <v>0.0785684368392254</v>
                </pt>
                <pt idx="157">
                  <v>0.07179640728202308</v>
                </pt>
                <pt idx="158">
                  <v>0.1122641386754053</v>
                </pt>
                <pt idx="159">
                  <v>0.07868386761713017</v>
                </pt>
                <pt idx="160">
                  <v>0.07343073991315768</v>
                </pt>
                <pt idx="161">
                  <v>0.05538291471475697</v>
                </pt>
                <pt idx="162">
                  <v>0.0469356498152738</v>
                </pt>
                <pt idx="163">
                  <v>0.06276112400970467</v>
                </pt>
                <pt idx="164">
                  <v>0.06399338316382801</v>
                </pt>
                <pt idx="165">
                  <v>0.02606752766214823</v>
                </pt>
                <pt idx="166">
                  <v>0.03019520584277455</v>
                </pt>
                <pt idx="167">
                  <v>0.03771465998949301</v>
                </pt>
                <pt idx="168">
                  <v>0.04747509230277769</v>
                </pt>
                <pt idx="169">
                  <v>0.06470390794904808</v>
                </pt>
                <pt idx="170">
                  <v>0.03874780996825217</v>
                </pt>
                <pt idx="171">
                  <v>0.02627931685610744</v>
                </pt>
                <pt idx="172">
                  <v>0.05392260160388274</v>
                </pt>
                <pt idx="173">
                  <v>0.04718990468225467</v>
                </pt>
                <pt idx="174">
                  <v>0.04438174325820919</v>
                </pt>
                <pt idx="175">
                  <v>-0.001688728187794899</v>
                </pt>
                <pt idx="176">
                  <v>-0.04340061523635185</v>
                </pt>
                <pt idx="177">
                  <v>-0.02476152801206179</v>
                </pt>
                <pt idx="178">
                  <v>0.00674850303888729</v>
                </pt>
                <pt idx="179">
                  <v>0.05734446853049032</v>
                </pt>
                <pt idx="180">
                  <v>0.0773012650076856</v>
                </pt>
                <pt idx="181">
                  <v>0.07588878556768627</v>
                </pt>
                <pt idx="182">
                  <v>0.06293601315095694</v>
                </pt>
                <pt idx="183">
                  <v>0.06485796237335087</v>
                </pt>
                <pt idx="184">
                  <v>0.08006844899164259</v>
                </pt>
                <pt idx="185">
                  <v>0.08455321373822258</v>
                </pt>
                <pt idx="186">
                  <v>0.08178319772443164</v>
                </pt>
                <pt idx="187">
                  <v>0.09893498300965607</v>
                </pt>
                <pt idx="188">
                  <v>0.1007043738570522</v>
                </pt>
                <pt idx="189">
                  <v>0.1186063442992477</v>
                </pt>
                <pt idx="190">
                  <v>0.1351134685122586</v>
                </pt>
                <pt idx="191">
                  <v>0.121976443252719</v>
                </pt>
                <pt idx="192">
                  <v>0.1204909408280066</v>
                </pt>
                <pt idx="193">
                  <v>0.0904998866381567</v>
                </pt>
                <pt idx="194">
                  <v>0.06431746870624598</v>
                </pt>
                <pt idx="195">
                  <v>0.04842337657294844</v>
                </pt>
                <pt idx="196">
                  <v>0.05926287792433354</v>
                </pt>
                <pt idx="197">
                  <v>0.07278035770935548</v>
                </pt>
                <pt idx="198">
                  <v>0.1037695407390472</v>
                </pt>
                <pt idx="199">
                  <v>0.1113327407532822</v>
                </pt>
                <pt idx="200">
                  <v>0.1223157125190455</v>
                </pt>
                <pt idx="201">
                  <v>0.1345928299579313</v>
                </pt>
                <pt idx="202">
                  <v>0.1394606700844078</v>
                </pt>
                <pt idx="203">
                  <v>0.14153781943349</v>
                </pt>
                <pt idx="204">
                  <v>0.1358391180011354</v>
                </pt>
                <pt idx="205">
                  <v>0.1241411502769817</v>
                </pt>
                <pt idx="206">
                  <v>0.09881598904750823</v>
                </pt>
                <pt idx="207">
                  <v>0.1104170214540665</v>
                </pt>
                <pt idx="208">
                  <v>0.1005176827483077</v>
                </pt>
                <pt idx="209">
                  <v>0.106758351661163</v>
                </pt>
                <pt idx="210">
                  <v>0.1315012120150728</v>
                </pt>
                <pt idx="211">
                  <v>0.1240620541881819</v>
                </pt>
                <pt idx="212">
                  <v>0.1344421534267558</v>
                </pt>
                <pt idx="213">
                  <v>0.1379026087347609</v>
                </pt>
                <pt idx="214">
                  <v>0.1377163088243777</v>
                </pt>
                <pt idx="215">
                  <v>0.1109630410921219</v>
                </pt>
                <pt idx="216">
                  <v>0.05673768760517911</v>
                </pt>
                <pt idx="217">
                  <v>-0.008666804655995704</v>
                </pt>
                <pt idx="218">
                  <v>-0.0648029156041043</v>
                </pt>
                <pt idx="219">
                  <v>-0.07583988194208086</v>
                </pt>
                <pt idx="220">
                  <v>-0.03716094409049689</v>
                </pt>
                <pt idx="221">
                  <v>0.02800824052599186</v>
                </pt>
                <pt idx="222">
                  <v>0.06524168657237173</v>
                </pt>
                <pt idx="223">
                  <v>0.09571633753802232</v>
                </pt>
                <pt idx="224">
                  <v>0.06080620662011347</v>
                </pt>
                <pt idx="225">
                  <v>0.04137268330222124</v>
                </pt>
                <pt idx="226">
                  <v>0.04440279930581729</v>
                </pt>
                <pt idx="227">
                  <v>0.05856868192249586</v>
                </pt>
                <pt idx="228">
                  <v>0.09297425436191267</v>
                </pt>
                <pt idx="229">
                  <v>0.1197078775351591</v>
                </pt>
                <pt idx="230">
                  <v>0.1177236034389506</v>
                </pt>
                <pt idx="231">
                  <v>0.1085478199060998</v>
                </pt>
                <pt idx="232">
                  <v>0.08763549471349429</v>
                </pt>
                <pt idx="233">
                  <v>0.06042277826089426</v>
                </pt>
                <pt idx="234">
                  <v>0.05179866735963518</v>
                </pt>
                <pt idx="235">
                  <v>0.06098509088347365</v>
                </pt>
                <pt idx="236">
                  <v>0.073571352392424</v>
                </pt>
                <pt idx="237">
                  <v>0.06993823759438218</v>
                </pt>
                <pt idx="238">
                  <v>0.07459407592790114</v>
                </pt>
                <pt idx="239">
                  <v>0.03970368155627622</v>
                </pt>
                <pt idx="240">
                  <v>0.03356781914945421</v>
                </pt>
                <pt idx="241">
                  <v>0.02881747224156257</v>
                </pt>
                <pt idx="242">
                  <v>0.02434427390917289</v>
                </pt>
                <pt idx="243">
                  <v>0.01597519227592269</v>
                </pt>
                <pt idx="244">
                  <v>0.005153298570932119</v>
                </pt>
                <pt idx="245">
                  <v>-0.009622583996553628</v>
                </pt>
                <pt idx="246">
                  <v>-0.02756721508042772</v>
                </pt>
                <pt idx="247">
                  <v>-0.05379583531412419</v>
                </pt>
                <pt idx="248">
                  <v>-0.1469346353024116</v>
                </pt>
                <pt idx="249">
                  <v>-0.1737639021494621</v>
                </pt>
                <pt idx="250">
                  <v>-0.1286830069156008</v>
                </pt>
                <pt idx="251">
                  <v>-0.05122434009429383</v>
                </pt>
                <pt idx="252">
                  <v>0.07611296345545614</v>
                </pt>
                <pt idx="253">
                  <v>0.1728242048915441</v>
                </pt>
                <pt idx="254">
                  <v>0.1657237402284235</v>
                </pt>
                <pt idx="255">
                  <v>0.1148018887464289</v>
                </pt>
                <pt idx="256">
                  <v>0.09143136316177324</v>
                </pt>
                <pt idx="257">
                  <v>0.04773038922682032</v>
                </pt>
                <pt idx="258">
                  <v>0.02358154395299923</v>
                </pt>
                <pt idx="259">
                  <v>0.03322294871722537</v>
                </pt>
                <pt idx="260">
                  <v>0.03326356951231205</v>
                </pt>
                <pt idx="261">
                  <v>0.03324030105915107</v>
                </pt>
                <pt idx="262">
                  <v>0.02738732838204765</v>
                </pt>
                <pt idx="263">
                  <v>0.004515836185002935</v>
                </pt>
                <pt idx="264">
                  <v>-0.001261614605896726</v>
                </pt>
                <pt idx="265">
                  <v>0.009487151079515822</v>
                </pt>
                <pt idx="266">
                  <v>0.01131275075083917</v>
                </pt>
                <pt idx="267">
                  <v>0.02900536920388149</v>
                </pt>
                <pt idx="268">
                  <v>0.04318482264127681</v>
                </pt>
                <pt idx="269">
                  <v>0.05167089693633137</v>
                </pt>
                <pt idx="270">
                  <v>0.04612516721983644</v>
                </pt>
                <pt idx="271">
                  <v>0.06515226587868805</v>
                </pt>
                <pt idx="272">
                  <v>0.0668047589694809</v>
                </pt>
                <pt idx="273">
                  <v>0.05073153221505328</v>
                </pt>
                <pt idx="274">
                  <v>0.05781800070028972</v>
                </pt>
                <pt idx="275">
                  <v>0.03295354685219816</v>
                </pt>
                <pt idx="276">
                  <v>0.01677958865761345</v>
                </pt>
                <pt idx="277">
                  <v>0.01040476751999212</v>
                </pt>
                <pt idx="278">
                  <v>0.009049760693728287</v>
                </pt>
                <pt idx="279">
                  <v>0.02181857637221874</v>
                </pt>
                <pt idx="280">
                  <v>0.03806949920800718</v>
                </pt>
                <pt idx="281">
                  <v>0.04807179712126341</v>
                </pt>
                <pt idx="282">
                  <v>0.04012298882032517</v>
                </pt>
                <pt idx="283">
                  <v>0.05135308259136574</v>
                </pt>
                <pt idx="284">
                  <v>0.04299492953154207</v>
                </pt>
                <pt idx="285">
                  <v>0.03564139262567637</v>
                </pt>
                <pt idx="286">
                  <v>0.05108882303451229</v>
                </pt>
                <pt idx="287">
                  <v>0.03443706202139091</v>
                </pt>
                <pt idx="288">
                  <v>0.02782885988293688</v>
                </pt>
                <pt idx="289">
                  <v>0.02848657528363123</v>
                </pt>
                <pt idx="290">
                  <v>0.01104851577728053</v>
                </pt>
                <pt idx="291">
                  <v>-0.02049792947007224</v>
                </pt>
                <pt idx="292">
                  <v>-0.05417092692705387</v>
                </pt>
                <pt idx="293">
                  <v>-0.2205233486604807</v>
                </pt>
                <pt idx="294">
                  <v>-0.08335653090146135</v>
                </pt>
                <pt idx="295">
                  <v>0.003221217517307223</v>
                </pt>
                <pt idx="296">
                  <v>0.06227816200598804</v>
                </pt>
                <pt idx="297">
                  <v>0.3057527167773835</v>
                </pt>
                <pt idx="298">
                  <v>0.1297782535229649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06342527"/>
        <axId val="606340319"/>
      </barChart>
      <dateAx>
        <axId val="606342527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0319"/>
        <crosses val="autoZero"/>
        <lblOffset val="100"/>
        <baseTimeUnit val="months"/>
      </dateAx>
      <valAx>
        <axId val="6063403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063425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Imports!$E$5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Imports!$A$6:$A$304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Imports!$E$6:$E$304</f>
              <numCache>
                <formatCode>0.00%</formatCode>
                <ptCount val="299"/>
                <pt idx="0">
                  <v>0</v>
                </pt>
                <pt idx="1">
                  <v>0.07927848428146733</v>
                </pt>
                <pt idx="2">
                  <v>-0.3813949849618757</v>
                </pt>
                <pt idx="3">
                  <v>0.2337847159748907</v>
                </pt>
                <pt idx="4">
                  <v>0.6169799733194687</v>
                </pt>
                <pt idx="5">
                  <v>0.1682422208462193</v>
                </pt>
                <pt idx="6">
                  <v>0.2257840597519387</v>
                </pt>
                <pt idx="7">
                  <v>-0.0633052191269724</v>
                </pt>
                <pt idx="8">
                  <v>-0.1147186921385573</v>
                </pt>
                <pt idx="9">
                  <v>-0.05708413323163697</v>
                </pt>
                <pt idx="10">
                  <v>-0.1533163224709173</v>
                </pt>
                <pt idx="11">
                  <v>0.06160235711157491</v>
                </pt>
                <pt idx="12">
                  <v>0.116549313528072</v>
                </pt>
                <pt idx="13">
                  <v>0.2397273349746942</v>
                </pt>
                <pt idx="14">
                  <v>1.318928722560882</v>
                </pt>
                <pt idx="15">
                  <v>0.007516553585867891</v>
                </pt>
                <pt idx="16">
                  <v>0.0002295117701398564</v>
                </pt>
                <pt idx="17">
                  <v>-0.1261030587212902</v>
                </pt>
                <pt idx="18">
                  <v>-0.2980861539693781</v>
                </pt>
                <pt idx="19">
                  <v>-0.1005705440417083</v>
                </pt>
                <pt idx="20">
                  <v>0.5513006947723513</v>
                </pt>
                <pt idx="21">
                  <v>-0.02054880071695719</v>
                </pt>
                <pt idx="22">
                  <v>0.2681626938211259</v>
                </pt>
                <pt idx="23">
                  <v>0.4097837082288587</v>
                </pt>
                <pt idx="24">
                  <v>-0.09501287788903379</v>
                </pt>
                <pt idx="25">
                  <v>0.2241596886154169</v>
                </pt>
                <pt idx="26">
                  <v>-0.01515588563844872</v>
                </pt>
                <pt idx="27">
                  <v>-0.1827150754490466</v>
                </pt>
                <pt idx="28">
                  <v>-0.2117282167391176</v>
                </pt>
                <pt idx="29">
                  <v>0.4112507537190331</v>
                </pt>
                <pt idx="30">
                  <v>-0.2203130984820537</v>
                </pt>
                <pt idx="31">
                  <v>0.03849470130163501</v>
                </pt>
                <pt idx="32">
                  <v>0.2581302672927017</v>
                </pt>
                <pt idx="33">
                  <v>0.2468784687536818</v>
                </pt>
                <pt idx="34">
                  <v>0.06901927092081594</v>
                </pt>
                <pt idx="35">
                  <v>0.1529966305212622</v>
                </pt>
                <pt idx="36">
                  <v>0.1787867776961618</v>
                </pt>
                <pt idx="37">
                  <v>-0.02066364066771886</v>
                </pt>
                <pt idx="38">
                  <v>0.03522773364279819</v>
                </pt>
                <pt idx="39">
                  <v>-0.1712404371342421</v>
                </pt>
                <pt idx="40">
                  <v>0.3582681827189347</v>
                </pt>
                <pt idx="41">
                  <v>0.03155631906325373</v>
                </pt>
                <pt idx="42">
                  <v>-0.07502558024212014</v>
                </pt>
                <pt idx="43">
                  <v>0.01357833621513227</v>
                </pt>
                <pt idx="44">
                  <v>0.06050650152771442</v>
                </pt>
                <pt idx="45">
                  <v>0.1823306737967156</v>
                </pt>
                <pt idx="46">
                  <v>-0.05888604603344572</v>
                </pt>
                <pt idx="47">
                  <v>0.2275901310410968</v>
                </pt>
                <pt idx="48">
                  <v>0.1093112336669608</v>
                </pt>
                <pt idx="49">
                  <v>0.2093188652859734</v>
                </pt>
                <pt idx="50">
                  <v>0.03873964832068588</v>
                </pt>
                <pt idx="51">
                  <v>-0.09777143700643576</v>
                </pt>
                <pt idx="52">
                  <v>0.159870422540269</v>
                </pt>
                <pt idx="53">
                  <v>0.03005751811071988</v>
                </pt>
                <pt idx="54">
                  <v>-0.1127688272954073</v>
                </pt>
                <pt idx="55">
                  <v>-0.1757569241081608</v>
                </pt>
                <pt idx="56">
                  <v>-0.01922052461286605</v>
                </pt>
                <pt idx="57">
                  <v>0.04977339205654108</v>
                </pt>
                <pt idx="58">
                  <v>0.2924296524339831</v>
                </pt>
                <pt idx="59">
                  <v>0.0985670196266335</v>
                </pt>
                <pt idx="60">
                  <v>0.1274315826736572</v>
                </pt>
                <pt idx="61">
                  <v>0.09016560572560373</v>
                </pt>
                <pt idx="62">
                  <v>0.05167453609450634</v>
                </pt>
                <pt idx="63">
                  <v>0.04980940841613579</v>
                </pt>
                <pt idx="64">
                  <v>-0.08941811324499394</v>
                </pt>
                <pt idx="65">
                  <v>0.09753972459085225</v>
                </pt>
                <pt idx="66">
                  <v>0.1055126009548983</v>
                </pt>
                <pt idx="67">
                  <v>-0.01307238208625561</v>
                </pt>
                <pt idx="68">
                  <v>-0.003749553483448298</v>
                </pt>
                <pt idx="69">
                  <v>0.09313395222024745</v>
                </pt>
                <pt idx="70">
                  <v>0.1117418909486221</v>
                </pt>
                <pt idx="71">
                  <v>0.1126594923268602</v>
                </pt>
                <pt idx="72">
                  <v>-0.1364190545407241</v>
                </pt>
                <pt idx="73">
                  <v>0.562381151556766</v>
                </pt>
                <pt idx="74">
                  <v>0.0165123870741033</v>
                </pt>
                <pt idx="75">
                  <v>0.2099184450346372</v>
                </pt>
                <pt idx="76">
                  <v>0.1071449262482416</v>
                </pt>
                <pt idx="77">
                  <v>0.1032554081670007</v>
                </pt>
                <pt idx="78">
                  <v>0.2439515998291797</v>
                </pt>
                <pt idx="79">
                  <v>0.04581039867773384</v>
                </pt>
                <pt idx="80">
                  <v>0.06391833850813611</v>
                </pt>
                <pt idx="81">
                  <v>-0.03140800144273748</v>
                </pt>
                <pt idx="82">
                  <v>0.05356225481598886</v>
                </pt>
                <pt idx="83">
                  <v>0.2282457281436892</v>
                </pt>
                <pt idx="84">
                  <v>0.2573180033259417</v>
                </pt>
                <pt idx="85">
                  <v>0.06243161509732365</v>
                </pt>
                <pt idx="86">
                  <v>0.2629538770359467</v>
                </pt>
                <pt idx="87">
                  <v>-0.03328733321735478</v>
                </pt>
                <pt idx="88">
                  <v>-0.3271821379653339</v>
                </pt>
                <pt idx="89">
                  <v>1.054913979034477</v>
                </pt>
                <pt idx="90">
                  <v>-0.05082747226994011</v>
                </pt>
                <pt idx="91">
                  <v>-0.04322720017633319</v>
                </pt>
                <pt idx="92">
                  <v>-0.01303451360204422</v>
                </pt>
                <pt idx="93">
                  <v>0.08142838792024265</v>
                </pt>
                <pt idx="94">
                  <v>-0.009138969709911016</v>
                </pt>
                <pt idx="95">
                  <v>0.06348636163690813</v>
                </pt>
                <pt idx="96">
                  <v>-0.04632598535665022</v>
                </pt>
                <pt idx="97">
                  <v>0.3376494154194392</v>
                </pt>
                <pt idx="98">
                  <v>0.09139507532138302</v>
                </pt>
                <pt idx="99">
                  <v>-0.2447867845611352</v>
                </pt>
                <pt idx="100">
                  <v>0.7257023058348491</v>
                </pt>
                <pt idx="101">
                  <v>-0.1347217596036299</v>
                </pt>
                <pt idx="102">
                  <v>0.08589232710598571</v>
                </pt>
                <pt idx="103">
                  <v>0.1927356114633425</v>
                </pt>
                <pt idx="104">
                  <v>0.1980376572401479</v>
                </pt>
                <pt idx="105">
                  <v>-0.1103975643699617</v>
                </pt>
                <pt idx="106">
                  <v>-0.1060111869431076</v>
                </pt>
                <pt idx="107">
                  <v>0.0301889254969816</v>
                </pt>
                <pt idx="108">
                  <v>-0.1289250613814946</v>
                </pt>
                <pt idx="109">
                  <v>0.2293440781214839</v>
                </pt>
                <pt idx="110">
                  <v>-0.06809396631445253</v>
                </pt>
                <pt idx="111">
                  <v>-0.03910446457121197</v>
                </pt>
                <pt idx="112">
                  <v>-0.3448976967549429</v>
                </pt>
                <pt idx="113">
                  <v>-0.2836678512482063</v>
                </pt>
                <pt idx="114">
                  <v>0.3763400097805336</v>
                </pt>
                <pt idx="115">
                  <v>0.2312294721294528</v>
                </pt>
                <pt idx="116">
                  <v>0.275138066481696</v>
                </pt>
                <pt idx="117">
                  <v>0.1848265470986947</v>
                </pt>
                <pt idx="118">
                  <v>0.1734471475815587</v>
                </pt>
                <pt idx="119">
                  <v>0.1391099946792766</v>
                </pt>
                <pt idx="120">
                  <v>0.2032278838215782</v>
                </pt>
                <pt idx="121">
                  <v>0.03739371778908906</v>
                </pt>
                <pt idx="122">
                  <v>-0.05458977020276468</v>
                </pt>
                <pt idx="123">
                  <v>0.05798621501563117</v>
                </pt>
                <pt idx="124">
                  <v>0.296634049274914</v>
                </pt>
                <pt idx="125">
                  <v>0.01275493793365934</v>
                </pt>
                <pt idx="126">
                  <v>0.05332077227383536</v>
                </pt>
                <pt idx="127">
                  <v>0.05605892056781925</v>
                </pt>
                <pt idx="128">
                  <v>-0.0108252416575767</v>
                </pt>
                <pt idx="129">
                  <v>0.02177220629633547</v>
                </pt>
                <pt idx="130">
                  <v>-0.05970441593875797</v>
                </pt>
                <pt idx="131">
                  <v>0.09013243842150476</v>
                </pt>
                <pt idx="132">
                  <v>0.002727902450223807</v>
                </pt>
                <pt idx="133">
                  <v>-0.2603310083783137</v>
                </pt>
                <pt idx="134">
                  <v>-0.2582384245483057</v>
                </pt>
                <pt idx="135">
                  <v>0.2323704800457393</v>
                </pt>
                <pt idx="136">
                  <v>0.1819651335793895</v>
                </pt>
                <pt idx="137">
                  <v>0.00591707978652134</v>
                </pt>
                <pt idx="138">
                  <v>-0.04500629704563974</v>
                </pt>
                <pt idx="139">
                  <v>0.1195384977389053</v>
                </pt>
                <pt idx="140">
                  <v>-0.109430914518985</v>
                </pt>
                <pt idx="141">
                  <v>-0.0639021935643983</v>
                </pt>
                <pt idx="142">
                  <v>0.1988427213245205</v>
                </pt>
                <pt idx="143">
                  <v>-0.1479946719451211</v>
                </pt>
                <pt idx="144">
                  <v>0.09487356289948301</v>
                </pt>
                <pt idx="145">
                  <v>0.3448956871301827</v>
                </pt>
                <pt idx="146">
                  <v>0.3499357166684376</v>
                </pt>
                <pt idx="147">
                  <v>0.2111368108495879</v>
                </pt>
                <pt idx="148">
                  <v>0.3624585795708317</v>
                </pt>
                <pt idx="149">
                  <v>0.1783851465907225</v>
                </pt>
                <pt idx="150">
                  <v>0.1076385826927388</v>
                </pt>
                <pt idx="151">
                  <v>0.1224979283130907</v>
                </pt>
                <pt idx="152">
                  <v>-0.08534140417413349</v>
                </pt>
                <pt idx="153">
                  <v>0.2115040467291713</v>
                </pt>
                <pt idx="154">
                  <v>-0.03813497750757378</v>
                </pt>
                <pt idx="155">
                  <v>0.1659674517711576</v>
                </pt>
                <pt idx="156">
                  <v>-0.003986099905349705</v>
                </pt>
                <pt idx="157">
                  <v>0.1813626306955332</v>
                </pt>
                <pt idx="158">
                  <v>0.1155696352185436</v>
                </pt>
                <pt idx="159">
                  <v>0.031410198988437</v>
                </pt>
                <pt idx="160">
                  <v>-0.02324694778426972</v>
                </pt>
                <pt idx="161">
                  <v>0.1038939513704953</v>
                </pt>
                <pt idx="162">
                  <v>0.08028016380746661</v>
                </pt>
                <pt idx="163">
                  <v>0.09520169060074779</v>
                </pt>
                <pt idx="164">
                  <v>-0.01870892754999576</v>
                </pt>
                <pt idx="165">
                  <v>-0.04528132161599474</v>
                </pt>
                <pt idx="166">
                  <v>0.09776840061759717</v>
                </pt>
                <pt idx="167">
                  <v>0.1275292475319103</v>
                </pt>
                <pt idx="168">
                  <v>0.01873413459500228</v>
                </pt>
                <pt idx="169">
                  <v>0.0190981020765566</v>
                </pt>
                <pt idx="170">
                  <v>-0.005428941104578033</v>
                </pt>
                <pt idx="171">
                  <v>0.07435952165192372</v>
                </pt>
                <pt idx="172">
                  <v>0.133009170813001</v>
                </pt>
                <pt idx="173">
                  <v>-0.006694346411811991</v>
                </pt>
                <pt idx="174">
                  <v>-0.01605433711210447</v>
                </pt>
                <pt idx="175">
                  <v>-0.10303303051923</v>
                </pt>
                <pt idx="176">
                  <v>-0.04480967433402994</v>
                </pt>
                <pt idx="177">
                  <v>0.07301506598296803</v>
                </pt>
                <pt idx="178">
                  <v>0.1174080208395512</v>
                </pt>
                <pt idx="179">
                  <v>0.09133597358299594</v>
                </pt>
                <pt idx="180">
                  <v>0.02937259993720787</v>
                </pt>
                <pt idx="181">
                  <v>0.06739868500343116</v>
                </pt>
                <pt idx="182">
                  <v>0.06456148046814558</v>
                </pt>
                <pt idx="183">
                  <v>0.09925061015911174</v>
                </pt>
                <pt idx="184">
                  <v>0.08945925330155324</v>
                </pt>
                <pt idx="185">
                  <v>0.0852380372610968</v>
                </pt>
                <pt idx="186">
                  <v>0.05372725229719966</v>
                </pt>
                <pt idx="187">
                  <v>0.1706411428385175</v>
                </pt>
                <pt idx="188">
                  <v>0.09649275349446351</v>
                </pt>
                <pt idx="189">
                  <v>0.157580896198602</v>
                </pt>
                <pt idx="190">
                  <v>0.1173164856570836</v>
                </pt>
                <pt idx="191">
                  <v>0.1173818976861205</v>
                </pt>
                <pt idx="192">
                  <v>0.09069722859033802</v>
                </pt>
                <pt idx="193">
                  <v>0.03853335984802109</v>
                </pt>
                <pt idx="194">
                  <v>0.01381443106716684</v>
                </pt>
                <pt idx="195">
                  <v>0.05211606784345268</v>
                </pt>
                <pt idx="196">
                  <v>0.1365078423901491</v>
                </pt>
                <pt idx="197">
                  <v>0.09256854623786137</v>
                </pt>
                <pt idx="198">
                  <v>0.1361321181447885</v>
                </pt>
                <pt idx="199">
                  <v>0.08125086766284229</v>
                </pt>
                <pt idx="200">
                  <v>0.1821053219601534</v>
                </pt>
                <pt idx="201">
                  <v>0.1411655694778775</v>
                </pt>
                <pt idx="202">
                  <v>0.1557557339523756</v>
                </pt>
                <pt idx="203">
                  <v>0.08915660156029737</v>
                </pt>
                <pt idx="204">
                  <v>0.1586766140632851</v>
                </pt>
                <pt idx="205">
                  <v>0.09487554884053084</v>
                </pt>
                <pt idx="206">
                  <v>0.05507310950059874</v>
                </pt>
                <pt idx="207">
                  <v>0.1358863709982696</v>
                </pt>
                <pt idx="208">
                  <v>0.1179075778616072</v>
                </pt>
                <pt idx="209">
                  <v>0.1199222895097254</v>
                </pt>
                <pt idx="210">
                  <v>0.152633975397602</v>
                </pt>
                <pt idx="211">
                  <v>0.1063077219047517</v>
                </pt>
                <pt idx="212">
                  <v>0.1597761496503183</v>
                </pt>
                <pt idx="213">
                  <v>0.1336495979802257</v>
                </pt>
                <pt idx="214">
                  <v>0.1518793137070402</v>
                </pt>
                <pt idx="215">
                  <v>0.005862122926779234</v>
                </pt>
                <pt idx="216">
                  <v>-0.05061030405906097</v>
                </pt>
                <pt idx="217">
                  <v>-0.1220118614527291</v>
                </pt>
                <pt idx="218">
                  <v>-0.08769309980102236</v>
                </pt>
                <pt idx="219">
                  <v>-0.04078763488839066</v>
                </pt>
                <pt idx="220">
                  <v>0.1185886710998447</v>
                </pt>
                <pt idx="221">
                  <v>0.1409332560153373</v>
                </pt>
                <pt idx="222">
                  <v>0.05183396320890621</v>
                </pt>
                <pt idx="223">
                  <v>0.07377849812349258</v>
                </pt>
                <pt idx="224">
                  <v>-0.01729746576656477</v>
                </pt>
                <pt idx="225">
                  <v>0.05959708829421029</v>
                </pt>
                <pt idx="226">
                  <v>0.06412972144351481</v>
                </pt>
                <pt idx="227">
                  <v>0.1332318155709356</v>
                </pt>
                <pt idx="228">
                  <v>0.1168263182504714</v>
                </pt>
                <pt idx="229">
                  <v>0.1671319627460268</v>
                </pt>
                <pt idx="230">
                  <v>0.05660662064562327</v>
                </pt>
                <pt idx="231">
                  <v>0.09647516357604902</v>
                </pt>
                <pt idx="232">
                  <v>0.03490717945455302</v>
                </pt>
                <pt idx="233">
                  <v>0.05463617894919293</v>
                </pt>
                <pt idx="234">
                  <v>0.02265136098784915</v>
                </pt>
                <pt idx="235">
                  <v>0.1352864610412907</v>
                </pt>
                <pt idx="236">
                  <v>0.08489555906417023</v>
                </pt>
                <pt idx="237">
                  <v>0.04043234211951807</v>
                </pt>
                <pt idx="238">
                  <v>0.04056816291695764</v>
                </pt>
                <pt idx="239">
                  <v>-0.005130726979787337</v>
                </pt>
                <pt idx="240">
                  <v>0.05951112073676113</v>
                </pt>
                <pt idx="241">
                  <v>0.02143621918040628</v>
                </pt>
                <pt idx="242">
                  <v>0.02258869142097053</v>
                </pt>
                <pt idx="243">
                  <v>-0.03724749804984018</v>
                </pt>
                <pt idx="244">
                  <v>0.01508477455587687</v>
                </pt>
                <pt idx="245">
                  <v>-0.03731333023654704</v>
                </pt>
                <pt idx="246">
                  <v>-0.04953431594792201</v>
                </pt>
                <pt idx="247">
                  <v>-0.1369902396785387</v>
                </pt>
                <pt idx="248">
                  <v>-0.3293558650409306</v>
                </pt>
                <pt idx="249">
                  <v>-0.1528264640686359</v>
                </pt>
                <pt idx="250">
                  <v>0.1755050984831663</v>
                </pt>
                <pt idx="251">
                  <v>0.2132913739659283</v>
                </pt>
                <pt idx="252">
                  <v>0.1098631827333751</v>
                </pt>
                <pt idx="253">
                  <v>0.1952881383263247</v>
                </pt>
                <pt idx="254">
                  <v>0.1472957894358116</v>
                </pt>
                <pt idx="255">
                  <v>0.01478334089201283</v>
                </pt>
                <pt idx="256">
                  <v>0.01968112248733722</v>
                </pt>
                <pt idx="257">
                  <v>0.01504443589990534</v>
                </pt>
                <pt idx="258">
                  <v>0.04512208029747899</v>
                </pt>
                <pt idx="259">
                  <v>0.0535610762407337</v>
                </pt>
                <pt idx="260">
                  <v>0.01984148555584997</v>
                </pt>
                <pt idx="261">
                  <v>0.01495300630997098</v>
                </pt>
                <pt idx="262">
                  <v>0.02164142381836331</v>
                </pt>
                <pt idx="263">
                  <v>-0.03716903526134874</v>
                </pt>
                <pt idx="264">
                  <v>-0.00341925808240362</v>
                </pt>
                <pt idx="265">
                  <v>0.05935653294618759</v>
                </pt>
                <pt idx="266">
                  <v>0.02905181536286494</v>
                </pt>
                <pt idx="267">
                  <v>0.03199758396888974</v>
                </pt>
                <pt idx="268">
                  <v>0.05265720300386612</v>
                </pt>
                <pt idx="269">
                  <v>0.09424994355473348</v>
                </pt>
                <pt idx="270">
                  <v>0.007517088998179933</v>
                </pt>
                <pt idx="271">
                  <v>0.1091514765582859</v>
                </pt>
                <pt idx="272">
                  <v>0.05920485275839016</v>
                </pt>
                <pt idx="273">
                  <v>0.0297784933170111</v>
                </pt>
                <pt idx="274">
                  <v>0.03497335994222661</v>
                </pt>
                <pt idx="275">
                  <v>0.008486791185554399</v>
                </pt>
                <pt idx="276">
                  <v>-0.005593225090246179</v>
                </pt>
                <pt idx="277">
                  <v>0.004195074462983284</v>
                </pt>
                <pt idx="278">
                  <v>0.02943269939909188</v>
                </pt>
                <pt idx="279">
                  <v>0.06051069945287524</v>
                </pt>
                <pt idx="280">
                  <v>0.05919182995668049</v>
                </pt>
                <pt idx="281">
                  <v>0.04346167447720184</v>
                </pt>
                <pt idx="282">
                  <v>-0.001443594241767876</v>
                </pt>
                <pt idx="283">
                  <v>0.1070586840442798</v>
                </pt>
                <pt idx="284">
                  <v>0.02590947559525736</v>
                </pt>
                <pt idx="285">
                  <v>0.01434411538566138</v>
                </pt>
                <pt idx="286">
                  <v>0.05947978244245888</v>
                </pt>
                <pt idx="287">
                  <v>0.03855442323691172</v>
                </pt>
                <pt idx="288">
                  <v>-5.529746868759844e-05</v>
                </pt>
                <pt idx="289">
                  <v>0.01694295422656333</v>
                </pt>
                <pt idx="290">
                  <v>-0.01056755258335396</v>
                </pt>
                <pt idx="291">
                  <v>-0.08512300052865596</v>
                </pt>
                <pt idx="292">
                  <v>-0.130628922779674</v>
                </pt>
                <pt idx="293">
                  <v>-0.5309075993009715</v>
                </pt>
                <pt idx="294">
                  <v>0.8922368666481464</v>
                </pt>
                <pt idx="295">
                  <v>0.3126463939140991</v>
                </pt>
                <pt idx="296">
                  <v>0.09287720346468364</v>
                </pt>
                <pt idx="297">
                  <v>0.07090053610906732</v>
                </pt>
                <pt idx="298">
                  <v>0.06048514919674797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30042192"/>
        <axId val="2130043840"/>
      </barChart>
      <dateAx>
        <axId val="2130042192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3840"/>
        <crosses val="autoZero"/>
        <lblOffset val="100"/>
        <baseTimeUnit val="months"/>
      </dateAx>
      <valAx>
        <axId val="2130043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421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Government!$A$2</f>
              <strCache>
                <ptCount val="1"/>
                <pt idx="0">
                  <v>Government Consumption Expenditures and Gross Investment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Government!$B$6:$B$304</f>
              <numCache>
                <formatCode>0.0</formatCode>
                <ptCount val="299"/>
                <pt idx="0">
                  <v>524.026</v>
                </pt>
                <pt idx="1">
                  <v>523.583</v>
                </pt>
                <pt idx="2">
                  <v>523.477</v>
                </pt>
                <pt idx="3">
                  <v>519.236</v>
                </pt>
                <pt idx="4">
                  <v>526.97</v>
                </pt>
                <pt idx="5">
                  <v>545.557</v>
                </pt>
                <pt idx="6">
                  <v>556.9400000000001</v>
                </pt>
                <pt idx="7">
                  <v>577.453</v>
                </pt>
                <pt idx="8">
                  <v>592.769</v>
                </pt>
                <pt idx="9">
                  <v>618.527</v>
                </pt>
                <pt idx="10">
                  <v>621.789</v>
                </pt>
                <pt idx="11">
                  <v>610.904</v>
                </pt>
                <pt idx="12">
                  <v>599.569</v>
                </pt>
                <pt idx="13">
                  <v>610.519</v>
                </pt>
                <pt idx="14">
                  <v>600.663</v>
                </pt>
                <pt idx="15">
                  <v>643.1</v>
                </pt>
                <pt idx="16">
                  <v>711.537</v>
                </pt>
                <pt idx="17">
                  <v>806.376</v>
                </pt>
                <pt idx="18">
                  <v>895.015</v>
                </pt>
                <pt idx="19">
                  <v>942.35</v>
                </pt>
                <pt idx="20">
                  <v>970.394</v>
                </pt>
                <pt idx="21">
                  <v>1003.463</v>
                </pt>
                <pt idx="22">
                  <v>1013.614</v>
                </pt>
                <pt idx="23">
                  <v>1030.52</v>
                </pt>
                <pt idx="24">
                  <v>1063.166</v>
                </pt>
                <pt idx="25">
                  <v>1084.966</v>
                </pt>
                <pt idx="26">
                  <v>1073.448</v>
                </pt>
                <pt idx="27">
                  <v>1070.774</v>
                </pt>
                <pt idx="28">
                  <v>1042.939</v>
                </pt>
                <pt idx="29">
                  <v>1007.623</v>
                </pt>
                <pt idx="30">
                  <v>985.832</v>
                </pt>
                <pt idx="31">
                  <v>979.897</v>
                </pt>
                <pt idx="32">
                  <v>980.472</v>
                </pt>
                <pt idx="33">
                  <v>970.852</v>
                </pt>
                <pt idx="34">
                  <v>977.063</v>
                </pt>
                <pt idx="35">
                  <v>957.677</v>
                </pt>
                <pt idx="36">
                  <v>957.429</v>
                </pt>
                <pt idx="37">
                  <v>976.761</v>
                </pt>
                <pt idx="38">
                  <v>968.179</v>
                </pt>
                <pt idx="39">
                  <v>992.811</v>
                </pt>
                <pt idx="40">
                  <v>1014.096</v>
                </pt>
                <pt idx="41">
                  <v>1008.852</v>
                </pt>
                <pt idx="42">
                  <v>1017.442</v>
                </pt>
                <pt idx="43">
                  <v>1034.18</v>
                </pt>
                <pt idx="44">
                  <v>1025.248</v>
                </pt>
                <pt idx="45">
                  <v>1050.823</v>
                </pt>
                <pt idx="46">
                  <v>1056.856</v>
                </pt>
                <pt idx="47">
                  <v>1078.163</v>
                </pt>
                <pt idx="48">
                  <v>1067.197</v>
                </pt>
                <pt idx="49">
                  <v>1080.416</v>
                </pt>
                <pt idx="50">
                  <v>1089.655</v>
                </pt>
                <pt idx="51">
                  <v>1080.744</v>
                </pt>
                <pt idx="52">
                  <v>1062.312</v>
                </pt>
                <pt idx="53">
                  <v>1074.24</v>
                </pt>
                <pt idx="54">
                  <v>1100.511</v>
                </pt>
                <pt idx="55">
                  <v>1108.142</v>
                </pt>
                <pt idx="56">
                  <v>1124.596</v>
                </pt>
                <pt idx="57">
                  <v>1127.411</v>
                </pt>
                <pt idx="58">
                  <v>1151.491</v>
                </pt>
                <pt idx="59">
                  <v>1176.737</v>
                </pt>
                <pt idx="60">
                  <v>1199.445</v>
                </pt>
                <pt idx="61">
                  <v>1205.504</v>
                </pt>
                <pt idx="62">
                  <v>1233.332</v>
                </pt>
                <pt idx="63">
                  <v>1241.851</v>
                </pt>
                <pt idx="64">
                  <v>1225.005</v>
                </pt>
                <pt idx="65">
                  <v>1225.904</v>
                </pt>
                <pt idx="66">
                  <v>1280.295</v>
                </pt>
                <pt idx="67">
                  <v>1267.045</v>
                </pt>
                <pt idx="68">
                  <v>1270.997</v>
                </pt>
                <pt idx="69">
                  <v>1282.412</v>
                </pt>
                <pt idx="70">
                  <v>1283.929</v>
                </pt>
                <pt idx="71">
                  <v>1283.386</v>
                </pt>
                <pt idx="72">
                  <v>1281.91</v>
                </pt>
                <pt idx="73">
                  <v>1297.074</v>
                </pt>
                <pt idx="74">
                  <v>1340.109</v>
                </pt>
                <pt idx="75">
                  <v>1365.498</v>
                </pt>
                <pt idx="76">
                  <v>1390.947</v>
                </pt>
                <pt idx="77">
                  <v>1417.226</v>
                </pt>
                <pt idx="78">
                  <v>1455.85</v>
                </pt>
                <pt idx="79">
                  <v>1480.985</v>
                </pt>
                <pt idx="80">
                  <v>1543.56</v>
                </pt>
                <pt idx="81">
                  <v>1537.155</v>
                </pt>
                <pt idx="82">
                  <v>1554.237</v>
                </pt>
                <pt idx="83">
                  <v>1566.046</v>
                </pt>
                <pt idx="84">
                  <v>1594.047</v>
                </pt>
                <pt idx="85">
                  <v>1602.315</v>
                </pt>
                <pt idx="86">
                  <v>1607.115</v>
                </pt>
                <pt idx="87">
                  <v>1608.573</v>
                </pt>
                <pt idx="88">
                  <v>1612.219</v>
                </pt>
                <pt idx="89">
                  <v>1607.192</v>
                </pt>
                <pt idx="90">
                  <v>1610.451</v>
                </pt>
                <pt idx="91">
                  <v>1588.788</v>
                </pt>
                <pt idx="92">
                  <v>1581.147</v>
                </pt>
                <pt idx="93">
                  <v>1562.764</v>
                </pt>
                <pt idx="94">
                  <v>1569.37</v>
                </pt>
                <pt idx="95">
                  <v>1570.101</v>
                </pt>
                <pt idx="96">
                  <v>1547.139</v>
                </pt>
                <pt idx="97">
                  <v>1543.584</v>
                </pt>
                <pt idx="98">
                  <v>1542.778</v>
                </pt>
                <pt idx="99">
                  <v>1531.936</v>
                </pt>
                <pt idx="100">
                  <v>1540.394</v>
                </pt>
                <pt idx="101">
                  <v>1546.593</v>
                </pt>
                <pt idx="102">
                  <v>1517.139</v>
                </pt>
                <pt idx="103">
                  <v>1529.691</v>
                </pt>
                <pt idx="104">
                  <v>1542.861</v>
                </pt>
                <pt idx="105">
                  <v>1531.988</v>
                </pt>
                <pt idx="106">
                  <v>1513.965</v>
                </pt>
                <pt idx="107">
                  <v>1525.325</v>
                </pt>
                <pt idx="108">
                  <v>1552.878</v>
                </pt>
                <pt idx="109">
                  <v>1560.657</v>
                </pt>
                <pt idx="110">
                  <v>1563.766</v>
                </pt>
                <pt idx="111">
                  <v>1571.26</v>
                </pt>
                <pt idx="112">
                  <v>1588.372</v>
                </pt>
                <pt idx="113">
                  <v>1574.948</v>
                </pt>
                <pt idx="114">
                  <v>1604.369</v>
                </pt>
                <pt idx="115">
                  <v>1618.424</v>
                </pt>
                <pt idx="116">
                  <v>1620.97</v>
                </pt>
                <pt idx="117">
                  <v>1602.934</v>
                </pt>
                <pt idx="118">
                  <v>1598.243</v>
                </pt>
                <pt idx="119">
                  <v>1597.264</v>
                </pt>
                <pt idx="120">
                  <v>1610.842</v>
                </pt>
                <pt idx="121">
                  <v>1625.58</v>
                </pt>
                <pt idx="122">
                  <v>1632.108</v>
                </pt>
                <pt idx="123">
                  <v>1628.216</v>
                </pt>
                <pt idx="124">
                  <v>1628.631</v>
                </pt>
                <pt idx="125">
                  <v>1669.477</v>
                </pt>
                <pt idx="126">
                  <v>1684.9</v>
                </pt>
                <pt idx="127">
                  <v>1700.067</v>
                </pt>
                <pt idx="128">
                  <v>1683.258</v>
                </pt>
                <pt idx="129">
                  <v>1699.659</v>
                </pt>
                <pt idx="130">
                  <v>1704.624</v>
                </pt>
                <pt idx="131">
                  <v>1715.85</v>
                </pt>
                <pt idx="132">
                  <v>1741.034</v>
                </pt>
                <pt idx="133">
                  <v>1744.456</v>
                </pt>
                <pt idx="134">
                  <v>1720.713</v>
                </pt>
                <pt idx="135">
                  <v>1720.334</v>
                </pt>
                <pt idx="136">
                  <v>1743.343</v>
                </pt>
                <pt idx="137">
                  <v>1746.695</v>
                </pt>
                <pt idx="138">
                  <v>1740.68</v>
                </pt>
                <pt idx="139">
                  <v>1762.804</v>
                </pt>
                <pt idx="140">
                  <v>1760.84</v>
                </pt>
                <pt idx="141">
                  <v>1767.532</v>
                </pt>
                <pt idx="142">
                  <v>1781.703</v>
                </pt>
                <pt idx="143">
                  <v>1809.171</v>
                </pt>
                <pt idx="144">
                  <v>1826.558</v>
                </pt>
                <pt idx="145">
                  <v>1841.608</v>
                </pt>
                <pt idx="146">
                  <v>1873.396</v>
                </pt>
                <pt idx="147">
                  <v>1843.417</v>
                </pt>
                <pt idx="148">
                  <v>1862.955</v>
                </pt>
                <pt idx="149">
                  <v>1903.424</v>
                </pt>
                <pt idx="150">
                  <v>1918.833</v>
                </pt>
                <pt idx="151">
                  <v>1959.121</v>
                </pt>
                <pt idx="152">
                  <v>1980.458</v>
                </pt>
                <pt idx="153">
                  <v>2024.41</v>
                </pt>
                <pt idx="154">
                  <v>2070.55</v>
                </pt>
                <pt idx="155">
                  <v>2079.086</v>
                </pt>
                <pt idx="156">
                  <v>2095.512</v>
                </pt>
                <pt idx="157">
                  <v>2139.194</v>
                </pt>
                <pt idx="158">
                  <v>2185.789</v>
                </pt>
                <pt idx="159">
                  <v>2176.757</v>
                </pt>
                <pt idx="160">
                  <v>2189.523</v>
                </pt>
                <pt idx="161">
                  <v>2206.5</v>
                </pt>
                <pt idx="162">
                  <v>2208.818</v>
                </pt>
                <pt idx="163">
                  <v>2241.934</v>
                </pt>
                <pt idx="164">
                  <v>2223.229</v>
                </pt>
                <pt idx="165">
                  <v>2229.868</v>
                </pt>
                <pt idx="166">
                  <v>2230.13</v>
                </pt>
                <pt idx="167">
                  <v>2273.404</v>
                </pt>
                <pt idx="168">
                  <v>2263.411</v>
                </pt>
                <pt idx="169">
                  <v>2298.225</v>
                </pt>
                <pt idx="170">
                  <v>2318.902</v>
                </pt>
                <pt idx="171">
                  <v>2330.534</v>
                </pt>
                <pt idx="172">
                  <v>2367.8</v>
                </pt>
                <pt idx="173">
                  <v>2371.533</v>
                </pt>
                <pt idx="174">
                  <v>2375.306</v>
                </pt>
                <pt idx="175">
                  <v>2391.188</v>
                </pt>
                <pt idx="176">
                  <v>2405.447</v>
                </pt>
                <pt idx="177">
                  <v>2415.232</v>
                </pt>
                <pt idx="178">
                  <v>2408.467</v>
                </pt>
                <pt idx="179">
                  <v>2390.844</v>
                </pt>
                <pt idx="180">
                  <v>2412.033</v>
                </pt>
                <pt idx="181">
                  <v>2407.369</v>
                </pt>
                <pt idx="182">
                  <v>2422.703</v>
                </pt>
                <pt idx="183">
                  <v>2422.424</v>
                </pt>
                <pt idx="184">
                  <v>2392.371</v>
                </pt>
                <pt idx="185">
                  <v>2392.585</v>
                </pt>
                <pt idx="186">
                  <v>2395.987</v>
                </pt>
                <pt idx="187">
                  <v>2404.447</v>
                </pt>
                <pt idx="188">
                  <v>2374.698</v>
                </pt>
                <pt idx="189">
                  <v>2386.451</v>
                </pt>
                <pt idx="190">
                  <v>2426.679</v>
                </pt>
                <pt idx="191">
                  <v>2405.565</v>
                </pt>
                <pt idx="192">
                  <v>2413.98</v>
                </pt>
                <pt idx="193">
                  <v>2422.091</v>
                </pt>
                <pt idx="194">
                  <v>2415.736</v>
                </pt>
                <pt idx="195">
                  <v>2390.46</v>
                </pt>
                <pt idx="196">
                  <v>2406.228</v>
                </pt>
                <pt idx="197">
                  <v>2436.198</v>
                </pt>
                <pt idx="198">
                  <v>2436.182</v>
                </pt>
                <pt idx="199">
                  <v>2452.994</v>
                </pt>
                <pt idx="200">
                  <v>2440.245</v>
                </pt>
                <pt idx="201">
                  <v>2471.867</v>
                </pt>
                <pt idx="202">
                  <v>2483.31</v>
                </pt>
                <pt idx="203">
                  <v>2495.772</v>
                </pt>
                <pt idx="204">
                  <v>2486.841</v>
                </pt>
                <pt idx="205">
                  <v>2530.365</v>
                </pt>
                <pt idx="206">
                  <v>2549.426</v>
                </pt>
                <pt idx="207">
                  <v>2564.473</v>
                </pt>
                <pt idx="208">
                  <v>2582.887</v>
                </pt>
                <pt idx="209">
                  <v>2592.218</v>
                </pt>
                <pt idx="210">
                  <v>2623.423</v>
                </pt>
                <pt idx="211">
                  <v>2664.236</v>
                </pt>
                <pt idx="212">
                  <v>2645.323</v>
                </pt>
                <pt idx="213">
                  <v>2671.398</v>
                </pt>
                <pt idx="214">
                  <v>2660.139</v>
                </pt>
                <pt idx="215">
                  <v>2676.446</v>
                </pt>
                <pt idx="216">
                  <v>2718.291</v>
                </pt>
                <pt idx="217">
                  <v>2765.415</v>
                </pt>
                <pt idx="218">
                  <v>2762.681</v>
                </pt>
                <pt idx="219">
                  <v>2808.498</v>
                </pt>
                <pt idx="220">
                  <v>2857.336</v>
                </pt>
                <pt idx="221">
                  <v>2879.282</v>
                </pt>
                <pt idx="222">
                  <v>2894.18</v>
                </pt>
                <pt idx="223">
                  <v>2915.62</v>
                </pt>
                <pt idx="224">
                  <v>2917.867</v>
                </pt>
                <pt idx="225">
                  <v>2944.719</v>
                </pt>
                <pt idx="226">
                  <v>2951.221</v>
                </pt>
                <pt idx="227">
                  <v>2969.138</v>
                </pt>
                <pt idx="228">
                  <v>2982.735</v>
                </pt>
                <pt idx="229">
                  <v>2990.824</v>
                </pt>
                <pt idx="230">
                  <v>2996.334</v>
                </pt>
                <pt idx="231">
                  <v>2994.627</v>
                </pt>
                <pt idx="232">
                  <v>3009.569</v>
                </pt>
                <pt idx="233">
                  <v>3007.831</v>
                </pt>
                <pt idx="234">
                  <v>3017.773</v>
                </pt>
                <pt idx="235">
                  <v>3020.133</v>
                </pt>
                <pt idx="236">
                  <v>3058.483</v>
                </pt>
                <pt idx="237">
                  <v>3057.551</v>
                </pt>
                <pt idx="238">
                  <v>3053.11</v>
                </pt>
                <pt idx="239">
                  <v>3078.215</v>
                </pt>
                <pt idx="240">
                  <v>3082.482</v>
                </pt>
                <pt idx="241">
                  <v>3110.661</v>
                </pt>
                <pt idx="242">
                  <v>3124.883</v>
                </pt>
                <pt idx="243">
                  <v>3149.542</v>
                </pt>
                <pt idx="244">
                  <v>3156.928</v>
                </pt>
                <pt idx="245">
                  <v>3184.258</v>
                </pt>
                <pt idx="246">
                  <v>3210.02</v>
                </pt>
                <pt idx="247">
                  <v>3231.944</v>
                </pt>
                <pt idx="248">
                  <v>3268.818</v>
                </pt>
                <pt idx="249">
                  <v>3316.62</v>
                </pt>
                <pt idx="250">
                  <v>3325.682</v>
                </pt>
                <pt idx="251">
                  <v>3331.645</v>
                </pt>
                <pt idx="252">
                  <v>3317.347</v>
                </pt>
                <pt idx="253">
                  <v>3327.564</v>
                </pt>
                <pt idx="254">
                  <v>3304.078</v>
                </pt>
                <pt idx="255">
                  <v>3283.046</v>
                </pt>
                <pt idx="256">
                  <v>3242.78</v>
                </pt>
                <pt idx="257">
                  <v>3220.816</v>
                </pt>
                <pt idx="258">
                  <v>3174.801</v>
                </pt>
                <pt idx="259">
                  <v>3172.535</v>
                </pt>
                <pt idx="260">
                  <v>3158.939</v>
                </pt>
                <pt idx="261">
                  <v>3142.418</v>
                </pt>
                <pt idx="262">
                  <v>3137.664</v>
                </pt>
                <pt idx="263">
                  <v>3106.86</v>
                </pt>
                <pt idx="264">
                  <v>3078.855</v>
                </pt>
                <pt idx="265">
                  <v>3073.677</v>
                </pt>
                <pt idx="266">
                  <v>3057.212</v>
                </pt>
                <pt idx="267">
                  <v>3033.118</v>
                </pt>
                <pt idx="268">
                  <v>3020.58</v>
                </pt>
                <pt idx="269">
                  <v>3024.424</v>
                </pt>
                <pt idx="270">
                  <v>3044.694</v>
                </pt>
                <pt idx="271">
                  <v>3043.215</v>
                </pt>
                <pt idx="272">
                  <v>3058.973</v>
                </pt>
                <pt idx="273">
                  <v>3085.089</v>
                </pt>
                <pt idx="274">
                  <v>3099.082</v>
                </pt>
                <pt idx="275">
                  <v>3110.257</v>
                </pt>
                <pt idx="276">
                  <v>3142.841</v>
                </pt>
                <pt idx="277">
                  <v>3137.91</v>
                </pt>
                <pt idx="278">
                  <v>3153.894</v>
                </pt>
                <pt idx="279">
                  <v>3160.471</v>
                </pt>
                <pt idx="280">
                  <v>3153.834</v>
                </pt>
                <pt idx="281">
                  <v>3163.234</v>
                </pt>
                <pt idx="282">
                  <v>3160.72</v>
                </pt>
                <pt idx="283">
                  <v>3182.962</v>
                </pt>
                <pt idx="284">
                  <v>3189.744</v>
                </pt>
                <pt idx="285">
                  <v>3212.179</v>
                </pt>
                <pt idx="286">
                  <v>3220.013</v>
                </pt>
                <pt idx="287">
                  <v>3213.368</v>
                </pt>
                <pt idx="288">
                  <v>3235.153</v>
                </pt>
                <pt idx="289">
                  <v>3274.933</v>
                </pt>
                <pt idx="290">
                  <v>3291.711</v>
                </pt>
                <pt idx="291">
                  <v>3316.263</v>
                </pt>
                <pt idx="292">
                  <v>3346.322</v>
                </pt>
                <pt idx="293">
                  <v>3378.132</v>
                </pt>
                <pt idx="294">
                  <v>3360.238</v>
                </pt>
                <pt idx="295">
                  <v>3356.03</v>
                </pt>
                <pt idx="296">
                  <v>3390.921</v>
                </pt>
                <pt idx="297">
                  <v>3373.765</v>
                </pt>
                <pt idx="298">
                  <v>3380.162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12229935"/>
        <axId val="512231583"/>
      </lineChart>
      <dateAx>
        <axId val="5122299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31583"/>
        <crosses val="autoZero"/>
        <lblOffset val="100"/>
        <baseTimeUnit val="months"/>
      </dateAx>
      <valAx>
        <axId val="512231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299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Government!$C$5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Government!$C$6:$C$304</f>
              <numCache>
                <formatCode>0.00%</formatCode>
                <ptCount val="299"/>
                <pt idx="1">
                  <v>-0.0008453779010964794</v>
                </pt>
                <pt idx="2">
                  <v>-0.0002024511872998064</v>
                </pt>
                <pt idx="3">
                  <v>-0.008101597586904459</v>
                </pt>
                <pt idx="4">
                  <v>0.01489496105817015</v>
                </pt>
                <pt idx="5">
                  <v>0.03527145757823024</v>
                </pt>
                <pt idx="6">
                  <v>0.0208649142069482</v>
                </pt>
                <pt idx="7">
                  <v>0.03683161561389004</v>
                </pt>
                <pt idx="8">
                  <v>0.02652337073320258</v>
                </pt>
                <pt idx="9">
                  <v>0.0434536893798428</v>
                </pt>
                <pt idx="10">
                  <v>0.005273819897918673</v>
                </pt>
                <pt idx="11">
                  <v>-0.01750593850968736</v>
                </pt>
                <pt idx="12">
                  <v>-0.01855447009677468</v>
                </pt>
                <pt idx="13">
                  <v>0.01826311900715355</v>
                </pt>
                <pt idx="14">
                  <v>-0.01614364172122406</v>
                </pt>
                <pt idx="15">
                  <v>0.07065026479073959</v>
                </pt>
                <pt idx="16">
                  <v>0.1064173534442544</v>
                </pt>
                <pt idx="17">
                  <v>0.1332875170230078</v>
                </pt>
                <pt idx="18">
                  <v>0.1099226663491969</v>
                </pt>
                <pt idx="19">
                  <v>0.05288738177572447</v>
                </pt>
                <pt idx="20">
                  <v>0.02975964344458002</v>
                </pt>
                <pt idx="21">
                  <v>0.03407791062187107</v>
                </pt>
                <pt idx="22">
                  <v>0.01011596840142593</v>
                </pt>
                <pt idx="23">
                  <v>0.01667893300605551</v>
                </pt>
                <pt idx="24">
                  <v>0.03167915227263902</v>
                </pt>
                <pt idx="25">
                  <v>0.02050479417137113</v>
                </pt>
                <pt idx="26">
                  <v>-0.01061600087007317</v>
                </pt>
                <pt idx="27">
                  <v>-0.00249103822448801</v>
                </pt>
                <pt idx="28">
                  <v>-0.02599521467648618</v>
                </pt>
                <pt idx="29">
                  <v>-0.03386199959920957</v>
                </pt>
                <pt idx="30">
                  <v>-0.02162614390501215</v>
                </pt>
                <pt idx="31">
                  <v>-0.006020295547314295</v>
                </pt>
                <pt idx="32">
                  <v>0.0005867963673732359</v>
                </pt>
                <pt idx="33">
                  <v>-0.009811600943219189</v>
                </pt>
                <pt idx="34">
                  <v>0.006397473559306684</v>
                </pt>
                <pt idx="35">
                  <v>-0.01984109520061651</v>
                </pt>
                <pt idx="36">
                  <v>-0.0002589599624926226</v>
                </pt>
                <pt idx="37">
                  <v>0.02019157556330547</v>
                </pt>
                <pt idx="38">
                  <v>-0.008786182085484569</v>
                </pt>
                <pt idx="39">
                  <v>0.02544157640271072</v>
                </pt>
                <pt idx="40">
                  <v>0.02143912587592197</v>
                </pt>
                <pt idx="41">
                  <v>-0.005171108060775339</v>
                </pt>
                <pt idx="42">
                  <v>0.008514628508443292</v>
                </pt>
                <pt idx="43">
                  <v>0.01645106060099746</v>
                </pt>
                <pt idx="44">
                  <v>-0.008636794368485192</v>
                </pt>
                <pt idx="45">
                  <v>0.02494518399450674</v>
                </pt>
                <pt idx="46">
                  <v>0.005741214267293256</v>
                </pt>
                <pt idx="47">
                  <v>0.0201607409145617</v>
                </pt>
                <pt idx="48">
                  <v>-0.01017100382780723</v>
                </pt>
                <pt idx="49">
                  <v>0.01238665401045922</v>
                </pt>
                <pt idx="50">
                  <v>0.008551335781772978</v>
                </pt>
                <pt idx="51">
                  <v>-0.008177817749654761</v>
                </pt>
                <pt idx="52">
                  <v>-0.01705491772334616</v>
                </pt>
                <pt idx="53">
                  <v>0.01122833969681234</v>
                </pt>
                <pt idx="54">
                  <v>0.02445542895442355</v>
                </pt>
                <pt idx="55">
                  <v>0.006934051545145924</v>
                </pt>
                <pt idx="56">
                  <v>0.01484827756731534</v>
                </pt>
                <pt idx="57">
                  <v>0.002503121120829217</v>
                </pt>
                <pt idx="58">
                  <v>0.02135867044050477</v>
                </pt>
                <pt idx="59">
                  <v>0.02192461773474573</v>
                </pt>
                <pt idx="60">
                  <v>0.01929743009695442</v>
                </pt>
                <pt idx="61">
                  <v>0.005051502986798035</v>
                </pt>
                <pt idx="62">
                  <v>0.02308412083244867</v>
                </pt>
                <pt idx="63">
                  <v>0.006907304764653803</v>
                </pt>
                <pt idx="64">
                  <v>-0.01356523447659985</v>
                </pt>
                <pt idx="65">
                  <v>0.0007338745556139665</v>
                </pt>
                <pt idx="66">
                  <v>0.0443680744984926</v>
                </pt>
                <pt idx="67">
                  <v>-0.01034917733803537</v>
                </pt>
                <pt idx="68">
                  <v>0.003119068383522289</v>
                </pt>
                <pt idx="69">
                  <v>0.008981138429122935</v>
                </pt>
                <pt idx="70">
                  <v>0.001182927171611037</v>
                </pt>
                <pt idx="71">
                  <v>-0.000422920582057201</v>
                </pt>
                <pt idx="72">
                  <v>-0.001150082671931816</v>
                </pt>
                <pt idx="73">
                  <v>0.01182922358043855</v>
                </pt>
                <pt idx="74">
                  <v>0.03317852335333208</v>
                </pt>
                <pt idx="75">
                  <v>0.0189454738383222</v>
                </pt>
                <pt idx="76">
                  <v>0.01863715655387254</v>
                </pt>
                <pt idx="77">
                  <v>0.01889288376911574</v>
                </pt>
                <pt idx="78">
                  <v>0.02725323977968213</v>
                </pt>
                <pt idx="79">
                  <v>0.01726482810729127</v>
                </pt>
                <pt idx="80">
                  <v>0.04225228479694261</v>
                </pt>
                <pt idx="81">
                  <v>-0.004149498561766289</v>
                </pt>
                <pt idx="82">
                  <v>0.01111273749231542</v>
                </pt>
                <pt idx="83">
                  <v>0.007597940339858058</v>
                </pt>
                <pt idx="84">
                  <v>0.0178800622714786</v>
                </pt>
                <pt idx="85">
                  <v>0.005186798130795409</v>
                </pt>
                <pt idx="86">
                  <v>0.002995665646268028</v>
                </pt>
                <pt idx="87">
                  <v>0.00090721572507262</v>
                </pt>
                <pt idx="88">
                  <v>0.002266605245767496</v>
                </pt>
                <pt idx="89">
                  <v>-0.003118062744577532</v>
                </pt>
                <pt idx="90">
                  <v>0.002027760217820904</v>
                </pt>
                <pt idx="91">
                  <v>-0.01345151140891589</v>
                </pt>
                <pt idx="92">
                  <v>-0.004809326354428707</v>
                </pt>
                <pt idx="93">
                  <v>-0.01162636997066056</v>
                </pt>
                <pt idx="94">
                  <v>0.004227125784827392</v>
                </pt>
                <pt idx="95">
                  <v>0.0004657920057094388</v>
                </pt>
                <pt idx="96">
                  <v>-0.0146245368928497</v>
                </pt>
                <pt idx="97">
                  <v>-0.002297789662079384</v>
                </pt>
                <pt idx="98">
                  <v>-0.0005221614113647459</v>
                </pt>
                <pt idx="99">
                  <v>-0.007027582711187285</v>
                </pt>
                <pt idx="100">
                  <v>0.005521118375702434</v>
                </pt>
                <pt idx="101">
                  <v>0.004024295082946356</v>
                </pt>
                <pt idx="102">
                  <v>-0.01904444155637597</v>
                </pt>
                <pt idx="103">
                  <v>0.00827346736192276</v>
                </pt>
                <pt idx="104">
                  <v>0.008609581935175191</v>
                </pt>
                <pt idx="105">
                  <v>-0.007047297196571854</v>
                </pt>
                <pt idx="106">
                  <v>-0.01176445246307421</v>
                </pt>
                <pt idx="107">
                  <v>0.007503475972033784</v>
                </pt>
                <pt idx="108">
                  <v>0.0180636913444675</v>
                </pt>
                <pt idx="109">
                  <v>0.00500940833729372</v>
                </pt>
                <pt idx="110">
                  <v>0.001992109733272687</v>
                </pt>
                <pt idx="111">
                  <v>0.004792277105398067</v>
                </pt>
                <pt idx="112">
                  <v>0.01089062281226537</v>
                </pt>
                <pt idx="113">
                  <v>-0.008451420699936776</v>
                </pt>
                <pt idx="114">
                  <v>0.01868061675687059</v>
                </pt>
                <pt idx="115">
                  <v>0.008760453486697926</v>
                </pt>
                <pt idx="116">
                  <v>0.001573135346485253</v>
                </pt>
                <pt idx="117">
                  <v>-0.01112667106732392</v>
                </pt>
                <pt idx="118">
                  <v>-0.002926508515010619</v>
                </pt>
                <pt idx="119">
                  <v>-0.0006125476538924569</v>
                </pt>
                <pt idx="120">
                  <v>0.008500786344649477</v>
                </pt>
                <pt idx="121">
                  <v>0.00914925237856961</v>
                </pt>
                <pt idx="122">
                  <v>0.00401579743845275</v>
                </pt>
                <pt idx="123">
                  <v>-0.002384646114105226</v>
                </pt>
                <pt idx="124">
                  <v>0.0002548801878867368</v>
                </pt>
                <pt idx="125">
                  <v>0.02507995979445313</v>
                </pt>
                <pt idx="126">
                  <v>0.009238222509204979</v>
                </pt>
                <pt idx="127">
                  <v>0.00900172117039582</v>
                </pt>
                <pt idx="128">
                  <v>-0.009887257384561884</v>
                </pt>
                <pt idx="129">
                  <v>0.009743604367244989</v>
                </pt>
                <pt idx="130">
                  <v>0.002921174188469521</v>
                </pt>
                <pt idx="131">
                  <v>0.00658561653479001</v>
                </pt>
                <pt idx="132">
                  <v>0.01467727365445709</v>
                </pt>
                <pt idx="133">
                  <v>0.001965498663437818</v>
                </pt>
                <pt idx="134">
                  <v>-0.01361054678363911</v>
                </pt>
                <pt idx="135">
                  <v>-0.0002202575327785083</v>
                </pt>
                <pt idx="136">
                  <v>0.01337472839576502</v>
                </pt>
                <pt idx="137">
                  <v>0.001922742684600713</v>
                </pt>
                <pt idx="138">
                  <v>-0.00344364642939945</v>
                </pt>
                <pt idx="139">
                  <v>0.012709975411908</v>
                </pt>
                <pt idx="140">
                  <v>-0.001114134072761447</v>
                </pt>
                <pt idx="141">
                  <v>0.003800458871902051</v>
                </pt>
                <pt idx="142">
                  <v>0.008017393744498006</v>
                </pt>
                <pt idx="143">
                  <v>0.01541671086595245</v>
                </pt>
                <pt idx="144">
                  <v>0.009610479053665985</v>
                </pt>
                <pt idx="145">
                  <v>0.008239541257381345</v>
                </pt>
                <pt idx="146">
                  <v>0.01726100234143206</v>
                </pt>
                <pt idx="147">
                  <v>-0.01600248959643345</v>
                </pt>
                <pt idx="148">
                  <v>0.01059879560620305</v>
                </pt>
                <pt idx="149">
                  <v>0.02172301531706351</v>
                </pt>
                <pt idx="150">
                  <v>0.008095411216838762</v>
                </pt>
                <pt idx="151">
                  <v>0.0209960950223391</v>
                </pt>
                <pt idx="152">
                  <v>0.01089110881869981</v>
                </pt>
                <pt idx="153">
                  <v>0.02219284630120911</v>
                </pt>
                <pt idx="154">
                  <v>0.02279182576651968</v>
                </pt>
                <pt idx="155">
                  <v>0.004122576127115792</v>
                </pt>
                <pt idx="156">
                  <v>0.007900587084901918</v>
                </pt>
                <pt idx="157">
                  <v>0.02084550219707632</v>
                </pt>
                <pt idx="158">
                  <v>0.02178156819811586</v>
                </pt>
                <pt idx="159">
                  <v>-0.004132146332514324</v>
                </pt>
                <pt idx="160">
                  <v>0.005864687698259418</v>
                </pt>
                <pt idx="161">
                  <v>0.007753743623611107</v>
                </pt>
                <pt idx="162">
                  <v>0.001050532517561845</v>
                </pt>
                <pt idx="163">
                  <v>0.01499263406944347</v>
                </pt>
                <pt idx="164">
                  <v>-0.008343242932218513</v>
                </pt>
                <pt idx="165">
                  <v>0.002986197103402359</v>
                </pt>
                <pt idx="166">
                  <v>0.0001174957441427793</v>
                </pt>
                <pt idx="167">
                  <v>0.01940424997645872</v>
                </pt>
                <pt idx="168">
                  <v>-0.004395611162820131</v>
                </pt>
                <pt idx="169">
                  <v>0.0153812100409514</v>
                </pt>
                <pt idx="170">
                  <v>0.00899694329319372</v>
                </pt>
                <pt idx="171">
                  <v>0.005016167134273057</v>
                </pt>
                <pt idx="172">
                  <v>0.01599032668049472</v>
                </pt>
                <pt idx="173">
                  <v>0.001576568966973444</v>
                </pt>
                <pt idx="174">
                  <v>0.001590954036903614</v>
                </pt>
                <pt idx="175">
                  <v>0.006686296418229929</v>
                </pt>
                <pt idx="176">
                  <v>0.005963144679548414</v>
                </pt>
                <pt idx="177">
                  <v>0.004067851006486468</v>
                </pt>
                <pt idx="178">
                  <v>-0.002800973157029997</v>
                </pt>
                <pt idx="179">
                  <v>-0.007317102538668807</v>
                </pt>
                <pt idx="180">
                  <v>0.00886256066895199</v>
                </pt>
                <pt idx="181">
                  <v>-0.001933638553037939</v>
                </pt>
                <pt idx="182">
                  <v>0.006369609312074647</v>
                </pt>
                <pt idx="183">
                  <v>-0.0001151606284385648</v>
                </pt>
                <pt idx="184">
                  <v>-0.01240616836689196</v>
                </pt>
                <pt idx="185">
                  <v>8.945100906169728e-05</v>
                </pt>
                <pt idx="186">
                  <v>0.001421893057090989</v>
                </pt>
                <pt idx="187">
                  <v>0.003530903965672617</v>
                </pt>
                <pt idx="188">
                  <v>-0.01237249147101194</v>
                </pt>
                <pt idx="189">
                  <v>0.004949260916546086</v>
                </pt>
                <pt idx="190">
                  <v>0.01685683049851016</v>
                </pt>
                <pt idx="191">
                  <v>-0.008700779954827166</v>
                </pt>
                <pt idx="192">
                  <v>0.003498138690910436</v>
                </pt>
                <pt idx="193">
                  <v>0.003360011267698935</v>
                </pt>
                <pt idx="194">
                  <v>-0.002623765993928394</v>
                </pt>
                <pt idx="195">
                  <v>-0.01046306384472469</v>
                </pt>
                <pt idx="196">
                  <v>0.006596219974398245</v>
                </pt>
                <pt idx="197">
                  <v>0.01245517881098541</v>
                </pt>
                <pt idx="198">
                  <v>-6.567610678637942e-06</v>
                </pt>
                <pt idx="199">
                  <v>0.006900962243379335</v>
                </pt>
                <pt idx="200">
                  <v>-0.005197322129609877</v>
                </pt>
                <pt idx="201">
                  <v>0.01295853490120881</v>
                </pt>
                <pt idx="202">
                  <v>0.004629294375465895</v>
                </pt>
                <pt idx="203">
                  <v>0.005018302185389657</v>
                </pt>
                <pt idx="204">
                  <v>-0.003578451877815778</v>
                </pt>
                <pt idx="205">
                  <v>0.01750172206425738</v>
                </pt>
                <pt idx="206">
                  <v>0.007532905331839537</v>
                </pt>
                <pt idx="207">
                  <v>0.005902112867759263</v>
                </pt>
                <pt idx="208">
                  <v>0.007180422644340656</v>
                </pt>
                <pt idx="209">
                  <v>0.003612624168227133</v>
                </pt>
                <pt idx="210">
                  <v>0.01203795359803841</v>
                </pt>
                <pt idx="211">
                  <v>0.01555715567028272</v>
                </pt>
                <pt idx="212">
                  <v>-0.007098845597762365</v>
                </pt>
                <pt idx="213">
                  <v>0.009857019350756136</v>
                </pt>
                <pt idx="214">
                  <v>-0.004214647162272343</v>
                </pt>
                <pt idx="215">
                  <v>0.006130130793917081</v>
                </pt>
                <pt idx="216">
                  <v>0.01563453923598692</v>
                </pt>
                <pt idx="217">
                  <v>0.01733589229409206</v>
                </pt>
                <pt idx="218">
                  <v>-0.0009886400413680852</v>
                </pt>
                <pt idx="219">
                  <v>0.01658425276027164</v>
                </pt>
                <pt idx="220">
                  <v>0.01738936613093537</v>
                </pt>
                <pt idx="221">
                  <v>0.00768058079273854</v>
                </pt>
                <pt idx="222">
                  <v>0.005174206625123792</v>
                </pt>
                <pt idx="223">
                  <v>0.007407970478684828</v>
                </pt>
                <pt idx="224">
                  <v>0.000770676562789492</v>
                </pt>
                <pt idx="225">
                  <v>0.009202612730463678</v>
                </pt>
                <pt idx="226">
                  <v>0.002208020527595317</v>
                </pt>
                <pt idx="227">
                  <v>0.006071046526166599</v>
                </pt>
                <pt idx="228">
                  <v>0.004579443596087554</v>
                </pt>
                <pt idx="229">
                  <v>0.002711940551205501</v>
                </pt>
                <pt idx="230">
                  <v>0.001842301653323553</v>
                </pt>
                <pt idx="231">
                  <v>-0.0005696961687181336</v>
                </pt>
                <pt idx="232">
                  <v>0.004989603045721556</v>
                </pt>
                <pt idx="233">
                  <v>-0.0005774913284924948</v>
                </pt>
                <pt idx="234">
                  <v>0.003305371877608817</v>
                </pt>
                <pt idx="235">
                  <v>0.0007820336387129425</v>
                </pt>
                <pt idx="236">
                  <v>0.01269811627501185</v>
                </pt>
                <pt idx="237">
                  <v>-0.0003047262319261685</v>
                </pt>
                <pt idx="238">
                  <v>-0.001452469639917635</v>
                </pt>
                <pt idx="239">
                  <v>0.00822276301869242</v>
                </pt>
                <pt idx="240">
                  <v>0.00138619297222573</v>
                </pt>
                <pt idx="241">
                  <v>0.009141659221367745</v>
                </pt>
                <pt idx="242">
                  <v>0.004572018615978968</v>
                </pt>
                <pt idx="243">
                  <v>0.007891175445608719</v>
                </pt>
                <pt idx="244">
                  <v>0.002345102875275188</v>
                </pt>
                <pt idx="245">
                  <v>0.008657150242260808</v>
                </pt>
                <pt idx="246">
                  <v>0.00809042483366617</v>
                </pt>
                <pt idx="247">
                  <v>0.006829863988386358</v>
                </pt>
                <pt idx="248">
                  <v>0.01140923233818416</v>
                </pt>
                <pt idx="249">
                  <v>0.01462363459819411</v>
                </pt>
                <pt idx="250">
                  <v>0.002732299750951239</v>
                </pt>
                <pt idx="251">
                  <v>0.001793015688210777</v>
                </pt>
                <pt idx="252">
                  <v>-0.0042915736820699</v>
                </pt>
                <pt idx="253">
                  <v>0.003079870752140081</v>
                </pt>
                <pt idx="254">
                  <v>-0.007058016014117197</v>
                </pt>
                <pt idx="255">
                  <v>-0.006365467159068325</v>
                </pt>
                <pt idx="256">
                  <v>-0.01226482967341902</v>
                </pt>
                <pt idx="257">
                  <v>-0.006773200772177081</v>
                </pt>
                <pt idx="258">
                  <v>-0.014286752177088</v>
                </pt>
                <pt idx="259">
                  <v>-0.0007137455229477616</v>
                </pt>
                <pt idx="260">
                  <v>-0.004285531916905568</v>
                </pt>
                <pt idx="261">
                  <v>-0.005229920552438566</v>
                </pt>
                <pt idx="262">
                  <v>-0.001512847749726454</v>
                </pt>
                <pt idx="263">
                  <v>-0.009817494798678279</v>
                </pt>
                <pt idx="264">
                  <v>-0.009013924026187246</v>
                </pt>
                <pt idx="265">
                  <v>-0.001681794043564859</v>
                </pt>
                <pt idx="266">
                  <v>-0.005356776265040258</v>
                </pt>
                <pt idx="267">
                  <v>-0.007881036709263227</v>
                </pt>
                <pt idx="268">
                  <v>-0.004133700040684211</v>
                </pt>
                <pt idx="269">
                  <v>0.001272603274867757</v>
                </pt>
                <pt idx="270">
                  <v>0.006702102615241772</v>
                </pt>
                <pt idx="271">
                  <v>-0.0004857631013165246</v>
                </pt>
                <pt idx="272">
                  <v>0.0051780764750436</v>
                </pt>
                <pt idx="273">
                  <v>0.008537505888414178</v>
                </pt>
                <pt idx="274">
                  <v>0.00453568762521922</v>
                </pt>
                <pt idx="275">
                  <v>0.003605906523286632</v>
                </pt>
                <pt idx="276">
                  <v>0.01047630469122</v>
                </pt>
                <pt idx="277">
                  <v>-0.001568962604217025</v>
                </pt>
                <pt idx="278">
                  <v>0.005093836343298541</v>
                </pt>
                <pt idx="279">
                  <v>0.002085358607486563</v>
                </pt>
                <pt idx="280">
                  <v>-0.002100003448853089</v>
                </pt>
                <pt idx="281">
                  <v>0.002980499290704613</v>
                </pt>
                <pt idx="282">
                  <v>-0.0007947562526199844</v>
                </pt>
                <pt idx="283">
                  <v>0.007037004226885074</v>
                </pt>
                <pt idx="284">
                  <v>0.002130719750974141</v>
                </pt>
                <pt idx="285">
                  <v>0.007033479802767854</v>
                </pt>
                <pt idx="286">
                  <v>0.002438842916288237</v>
                </pt>
                <pt idx="287">
                  <v>-0.002063656264741783</v>
                </pt>
                <pt idx="288">
                  <v>0.006779491175613828</v>
                </pt>
                <pt idx="289">
                  <v>0.01229617270033294</v>
                </pt>
                <pt idx="290">
                  <v>0.005123158244764028</v>
                </pt>
                <pt idx="291">
                  <v>0.00745873498615162</v>
                </pt>
                <pt idx="292">
                  <v>0.009064118256000866</v>
                </pt>
                <pt idx="293">
                  <v>0.009505959079849443</v>
                </pt>
                <pt idx="294">
                  <v>-0.005297010300367254</v>
                </pt>
                <pt idx="295">
                  <v>-0.001252292248346584</v>
                </pt>
                <pt idx="296">
                  <v>0.01039651016230475</v>
                </pt>
                <pt idx="297">
                  <v>-0.005059392418755833</v>
                </pt>
                <pt idx="298">
                  <v>0.001896101240009288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858783"/>
        <axId val="656860431"/>
      </barChart>
      <dateAx>
        <axId val="65685878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60431"/>
        <crosses val="autoZero"/>
        <lblOffset val="100"/>
        <baseTimeUnit val="months"/>
      </dateAx>
      <valAx>
        <axId val="656860431"/>
        <scaling>
          <orientation val="minMax"/>
          <max val="0.14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85878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Government!$D$5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Government!$D$6:$D$304</f>
              <numCache>
                <formatCode>0.00%</formatCode>
                <ptCount val="299"/>
                <pt idx="4">
                  <v>0.005618041852885303</v>
                </pt>
                <pt idx="5">
                  <v>0.04196851311062438</v>
                </pt>
                <pt idx="6">
                  <v>0.06392448951911943</v>
                </pt>
                <pt idx="7">
                  <v>0.1121205001194062</v>
                </pt>
                <pt idx="8">
                  <v>0.1248628954209917</v>
                </pt>
                <pt idx="9">
                  <v>0.1337532100220509</v>
                </pt>
                <pt idx="10">
                  <v>0.116438036413258</v>
                </pt>
                <pt idx="11">
                  <v>0.05792852405303985</v>
                </pt>
                <pt idx="12">
                  <v>0.0114715850525246</v>
                </pt>
                <pt idx="13">
                  <v>-0.01294688833308819</v>
                </pt>
                <pt idx="14">
                  <v>-0.03397615589854432</v>
                </pt>
                <pt idx="15">
                  <v>0.05270222489949326</v>
                </pt>
                <pt idx="16">
                  <v>0.1867474802733298</v>
                </pt>
                <pt idx="17">
                  <v>0.3208041027388173</v>
                </pt>
                <pt idx="18">
                  <v>0.4900451667573997</v>
                </pt>
                <pt idx="19">
                  <v>0.4653242108536775</v>
                </pt>
                <pt idx="20">
                  <v>0.3637997742914282</v>
                </pt>
                <pt idx="21">
                  <v>0.2444107959562289</v>
                </pt>
                <pt idx="22">
                  <v>0.132510628313492</v>
                </pt>
                <pt idx="23">
                  <v>0.09356396243433963</v>
                </pt>
                <pt idx="24">
                  <v>0.09560240479640222</v>
                </pt>
                <pt idx="25">
                  <v>0.08122172915194674</v>
                </pt>
                <pt idx="26">
                  <v>0.05903036066984085</v>
                </pt>
                <pt idx="27">
                  <v>0.03906183286107975</v>
                </pt>
                <pt idx="28">
                  <v>-0.01902525099561109</v>
                </pt>
                <pt idx="29">
                  <v>-0.07128610481803103</v>
                </pt>
                <pt idx="30">
                  <v>-0.08162109389555906</v>
                </pt>
                <pt idx="31">
                  <v>-0.08487038347961368</v>
                </pt>
                <pt idx="32">
                  <v>-0.05989516165374973</v>
                </pt>
                <pt idx="33">
                  <v>-0.03649281526920294</v>
                </pt>
                <pt idx="34">
                  <v>-0.008895024710092597</v>
                </pt>
                <pt idx="35">
                  <v>-0.02267585266614759</v>
                </pt>
                <pt idx="36">
                  <v>-0.02350194600151764</v>
                </pt>
                <pt idx="37">
                  <v>0.006086406578963624</v>
                </pt>
                <pt idx="38">
                  <v>-0.009092555955961912</v>
                </pt>
                <pt idx="39">
                  <v>0.03668669081537931</v>
                </pt>
                <pt idx="40">
                  <v>0.05918663420472958</v>
                </pt>
                <pt idx="41">
                  <v>0.03285450586172053</v>
                </pt>
                <pt idx="42">
                  <v>0.05088211993856512</v>
                </pt>
                <pt idx="43">
                  <v>0.0416685552436466</v>
                </pt>
                <pt idx="44">
                  <v>0.01099698647859773</v>
                </pt>
                <pt idx="45">
                  <v>0.04160273261092818</v>
                </pt>
                <pt idx="46">
                  <v>0.03873832611588669</v>
                </pt>
                <pt idx="47">
                  <v>0.04252934692219917</v>
                </pt>
                <pt idx="48">
                  <v>0.04091595399357018</v>
                </pt>
                <pt idx="49">
                  <v>0.02816173608685749</v>
                </pt>
                <pt idx="50">
                  <v>0.03103450233522824</v>
                </pt>
                <pt idx="51">
                  <v>0.002393886638662154</v>
                </pt>
                <pt idx="52">
                  <v>-0.004577411668136241</v>
                </pt>
                <pt idx="53">
                  <v>-0.005716316678020254</v>
                </pt>
                <pt idx="54">
                  <v>0.009962786386516828</v>
                </pt>
                <pt idx="55">
                  <v>0.02535105445878038</v>
                </pt>
                <pt idx="56">
                  <v>0.05863060946313334</v>
                </pt>
                <pt idx="57">
                  <v>0.0494963881441764</v>
                </pt>
                <pt idx="58">
                  <v>0.04632393497202665</v>
                </pt>
                <pt idx="59">
                  <v>0.06190091161602035</v>
                </pt>
                <pt idx="60">
                  <v>0.06655634556765268</v>
                </pt>
                <pt idx="61">
                  <v>0.06926755193979821</v>
                </pt>
                <pt idx="62">
                  <v>0.07107393805075343</v>
                </pt>
                <pt idx="63">
                  <v>0.0553343695320195</v>
                </pt>
                <pt idx="64">
                  <v>0.02130985580831149</v>
                </pt>
                <pt idx="65">
                  <v>0.01692238267148022</v>
                </pt>
                <pt idx="66">
                  <v>0.03807814927367486</v>
                </pt>
                <pt idx="67">
                  <v>0.02028745799616859</v>
                </pt>
                <pt idx="68">
                  <v>0.03754433655372832</v>
                </pt>
                <pt idx="69">
                  <v>0.04609496339028182</v>
                </pt>
                <pt idx="70">
                  <v>0.002838408335578921</v>
                </pt>
                <pt idx="71">
                  <v>0.01289693736212991</v>
                </pt>
                <pt idx="72">
                  <v>0.00858617290206036</v>
                </pt>
                <pt idx="73">
                  <v>0.01143314317083748</v>
                </pt>
                <pt idx="74">
                  <v>0.04375631362793413</v>
                </pt>
                <pt idx="75">
                  <v>0.06398075091983245</v>
                </pt>
                <pt idx="76">
                  <v>0.08505823341732244</v>
                </pt>
                <pt idx="77">
                  <v>0.09263311114092182</v>
                </pt>
                <pt idx="78">
                  <v>0.08636685523341757</v>
                </pt>
                <pt idx="79">
                  <v>0.08457500487001801</v>
                </pt>
                <pt idx="80">
                  <v>0.1097187743314447</v>
                </pt>
                <pt idx="81">
                  <v>0.08462235380948406</v>
                </pt>
                <pt idx="82">
                  <v>0.0675804512827559</v>
                </pt>
                <pt idx="83">
                  <v>0.05743542304614845</v>
                </pt>
                <pt idx="84">
                  <v>0.03270815517375423</v>
                </pt>
                <pt idx="85">
                  <v>0.04238999970725144</v>
                </pt>
                <pt idx="86">
                  <v>0.0340218383682797</v>
                </pt>
                <pt idx="87">
                  <v>0.02715565187740337</v>
                </pt>
                <pt idx="88">
                  <v>0.01139991480803265</v>
                </pt>
                <pt idx="89">
                  <v>0.003043721116010243</v>
                </pt>
                <pt idx="90">
                  <v>0.002075769313334773</v>
                </pt>
                <pt idx="91">
                  <v>-0.01229972155444613</v>
                </pt>
                <pt idx="92">
                  <v>-0.0192728159139671</v>
                </pt>
                <pt idx="93">
                  <v>-0.02764324361992849</v>
                </pt>
                <pt idx="94">
                  <v>-0.02550900337855677</v>
                </pt>
                <pt idx="95">
                  <v>-0.01176179578395601</v>
                </pt>
                <pt idx="96">
                  <v>-0.02150843659697678</v>
                </pt>
                <pt idx="97">
                  <v>-0.01227312633257474</v>
                </pt>
                <pt idx="98">
                  <v>-0.01694437895461228</v>
                </pt>
                <pt idx="99">
                  <v>-0.0243073534759867</v>
                </pt>
                <pt idx="100">
                  <v>-0.004359659991765376</v>
                </pt>
                <pt idx="101">
                  <v>0.001949359412898821</v>
                </pt>
                <pt idx="102">
                  <v>-0.01661872284930179</v>
                </pt>
                <pt idx="103">
                  <v>-0.00146546592024725</v>
                </pt>
                <pt idx="104">
                  <v>0.001601538307731722</v>
                </pt>
                <pt idx="105">
                  <v>-0.009443337710697008</v>
                </pt>
                <pt idx="106">
                  <v>-0.002092095714367621</v>
                </pt>
                <pt idx="107">
                  <v>-0.002854171201896321</v>
                </pt>
                <pt idx="108">
                  <v>0.006492483768790465</v>
                </pt>
                <pt idx="109">
                  <v>0.01871359305686459</v>
                </pt>
                <pt idx="110">
                  <v>0.03289441962000453</v>
                </pt>
                <pt idx="111">
                  <v>0.03011489354727677</v>
                </pt>
                <pt idx="112">
                  <v>0.02285691470933334</v>
                </pt>
                <pt idx="113">
                  <v>0.009157040912897688</v>
                </pt>
                <pt idx="114">
                  <v>0.02596488221383496</v>
                </pt>
                <pt idx="115">
                  <v>0.03001667451599353</v>
                </pt>
                <pt idx="116">
                  <v>0.02052290017703658</v>
                </pt>
                <pt idx="117">
                  <v>0.01776947556363758</v>
                </pt>
                <pt idx="118">
                  <v>-0.003818323590146641</v>
                </pt>
                <pt idx="119">
                  <v>-0.01307444773433914</v>
                </pt>
                <pt idx="120">
                  <v>-0.006248110699149231</v>
                </pt>
                <pt idx="121">
                  <v>0.01412784306777444</v>
                </pt>
                <pt idx="122">
                  <v>0.02118889305318403</v>
                </pt>
                <pt idx="123">
                  <v>0.01937813661360927</v>
                </pt>
                <pt idx="124">
                  <v>0.01104329288657732</v>
                </pt>
                <pt idx="125">
                  <v>0.02700390014640938</v>
                </pt>
                <pt idx="126">
                  <v>0.03234589867827383</v>
                </pt>
                <pt idx="127">
                  <v>0.04412866597552174</v>
                </pt>
                <pt idx="128">
                  <v>0.03354166781794031</v>
                </pt>
                <pt idx="129">
                  <v>0.01807871566963786</v>
                </pt>
                <pt idx="130">
                  <v>0.01170633272004269</v>
                </pt>
                <pt idx="131">
                  <v>0.009283751758018891</v>
                </pt>
                <pt idx="132">
                  <v>0.03432391231766019</v>
                </pt>
                <pt idx="133">
                  <v>0.02635646326704345</v>
                </pt>
                <pt idx="134">
                  <v>0.009438445076450842</v>
                </pt>
                <pt idx="135">
                  <v>0.002613282046799051</v>
                </pt>
                <pt idx="136">
                  <v>0.001326223382196999</v>
                </pt>
                <pt idx="137">
                  <v>0.001283494682583013</v>
                </pt>
                <pt idx="138">
                  <v>0.01160391070445804</v>
                </pt>
                <pt idx="139">
                  <v>0.02468706658125691</v>
                </pt>
                <pt idx="140">
                  <v>0.01003646442495817</v>
                </pt>
                <pt idx="141">
                  <v>0.0119293866416289</v>
                </pt>
                <pt idx="142">
                  <v>0.02356722660109837</v>
                </pt>
                <pt idx="143">
                  <v>0.02630298093265046</v>
                </pt>
                <pt idx="144">
                  <v>0.03732195997364898</v>
                </pt>
                <pt idx="145">
                  <v>0.04190928367916395</v>
                </pt>
                <pt idx="146">
                  <v>0.05146368390242368</v>
                </pt>
                <pt idx="147">
                  <v>0.01892911173128459</v>
                </pt>
                <pt idx="148">
                  <v>0.01992655037507702</v>
                </pt>
                <pt idx="149">
                  <v>0.03356631813067712</v>
                </pt>
                <pt idx="150">
                  <v>0.02425381499693611</v>
                </pt>
                <pt idx="151">
                  <v>0.06276604805098368</v>
                </pt>
                <pt idx="152">
                  <v>0.06307345051276073</v>
                </pt>
                <pt idx="153">
                  <v>0.0635622961568206</v>
                </pt>
                <pt idx="154">
                  <v>0.07906732894420729</v>
                </pt>
                <pt idx="155">
                  <v>0.06123409426982799</v>
                </pt>
                <pt idx="156">
                  <v>0.05809464275435283</v>
                </pt>
                <pt idx="157">
                  <v>0.05669997678335904</v>
                </pt>
                <pt idx="158">
                  <v>0.05565622660645723</v>
                </pt>
                <pt idx="159">
                  <v>0.04697785469191764</v>
                </pt>
                <pt idx="160">
                  <v>0.0448630215431837</v>
                </pt>
                <pt idx="161">
                  <v>0.03146325204726642</v>
                </pt>
                <pt idx="162">
                  <v>0.01053578364608843</v>
                </pt>
                <pt idx="163">
                  <v>0.02994224895107728</v>
                </pt>
                <pt idx="164">
                  <v>0.01539422056767601</v>
                </pt>
                <pt idx="165">
                  <v>0.01059052798549737</v>
                </pt>
                <pt idx="166">
                  <v>0.009648599386640229</v>
                </pt>
                <pt idx="167">
                  <v>0.01403698770793422</v>
                </pt>
                <pt idx="168">
                  <v>0.0180737117049122</v>
                </pt>
                <pt idx="169">
                  <v>0.03065517779527755</v>
                </pt>
                <pt idx="170">
                  <v>0.03980575123423295</v>
                </pt>
                <pt idx="171">
                  <v>0.02512971737535436</v>
                </pt>
                <pt idx="172">
                  <v>0.0461202141369818</v>
                </pt>
                <pt idx="173">
                  <v>0.03189766015076852</v>
                </pt>
                <pt idx="174">
                  <v>0.02432358072915543</v>
                </pt>
                <pt idx="175">
                  <v>0.02602579494656589</v>
                </pt>
                <pt idx="176">
                  <v>0.01589956922037331</v>
                </pt>
                <pt idx="177">
                  <v>0.01842647772558934</v>
                </pt>
                <pt idx="178">
                  <v>0.01396072758625628</v>
                </pt>
                <pt idx="179">
                  <v>-0.0001438615449726458</v>
                </pt>
                <pt idx="180">
                  <v>0.002737952654953439</v>
                </pt>
                <pt idx="181">
                  <v>-0.003255587868991397</v>
                </pt>
                <pt idx="182">
                  <v>0.005910813808119387</v>
                </pt>
                <pt idx="183">
                  <v>0.01320872461775002</v>
                </pt>
                <pt idx="184">
                  <v>-0.008151629766259338</v>
                </pt>
                <pt idx="185">
                  <v>-0.006141144128714835</v>
                </pt>
                <pt idx="186">
                  <v>-0.01102735250668361</v>
                </pt>
                <pt idx="187">
                  <v>-0.007421079051396396</v>
                </pt>
                <pt idx="188">
                  <v>-0.00738723216424218</v>
                </pt>
                <pt idx="189">
                  <v>-0.002563754265783667</v>
                </pt>
                <pt idx="190">
                  <v>0.01280975230666945</v>
                </pt>
                <pt idx="191">
                  <v>0.0004649717793737762</v>
                </pt>
                <pt idx="192">
                  <v>0.01654189290596116</v>
                </pt>
                <pt idx="193">
                  <v>0.01493431040486474</v>
                </pt>
                <pt idx="194">
                  <v>-0.004509455103044206</v>
                </pt>
                <pt idx="195">
                  <v>-0.00627919012789096</v>
                </pt>
                <pt idx="196">
                  <v>-0.003211294211219626</v>
                </pt>
                <pt idx="197">
                  <v>0.005824306353477211</v>
                </pt>
                <pt idx="198">
                  <v>0.008463673182831201</v>
                </pt>
                <pt idx="199">
                  <v>0.02615981861231734</v>
                </pt>
                <pt idx="200">
                  <v>0.01413706431809447</v>
                </pt>
                <pt idx="201">
                  <v>0.01464125658095127</v>
                </pt>
                <pt idx="202">
                  <v>0.01934502430442396</v>
                </pt>
                <pt idx="203">
                  <v>0.017439096875084</v>
                </pt>
                <pt idx="204">
                  <v>0.01909480400533553</v>
                </pt>
                <pt idx="205">
                  <v>0.02366551274805626</v>
                </pt>
                <pt idx="206">
                  <v>0.02662414277718045</v>
                </pt>
                <pt idx="207">
                  <v>0.0275269535839011</v>
                </pt>
                <pt idx="208">
                  <v>0.03862168912286724</v>
                </pt>
                <pt idx="209">
                  <v>0.02444429953781374</v>
                </pt>
                <pt idx="210">
                  <v>0.02902496483522167</v>
                </pt>
                <pt idx="211">
                  <v>0.03890194983530727</v>
                </pt>
                <pt idx="212">
                  <v>0.02417295065560347</v>
                </pt>
                <pt idx="213">
                  <v>0.03054527049808322</v>
                </pt>
                <pt idx="214">
                  <v>0.01399545555558534</v>
                </pt>
                <pt idx="215">
                  <v>0.004582927338268846</v>
                </pt>
                <pt idx="216">
                  <v>0.02758377710396814</v>
                </pt>
                <pt idx="217">
                  <v>0.03519393216585467</v>
                </pt>
                <pt idx="218">
                  <v>0.0385476097301682</v>
                </pt>
                <pt idx="219">
                  <v>0.04933856315427255</v>
                </pt>
                <pt idx="220">
                  <v>0.05115162431100997</v>
                </pt>
                <pt idx="221">
                  <v>0.0411753751245293</v>
                </pt>
                <pt idx="222">
                  <v>0.04759832930403467</v>
                </pt>
                <pt idx="223">
                  <v>0.03814209588185565</v>
                </pt>
                <pt idx="224">
                  <v>0.02118441793334785</v>
                </pt>
                <pt idx="225">
                  <v>0.0227268464846444</v>
                </pt>
                <pt idx="226">
                  <v>0.01970886399601966</v>
                </pt>
                <pt idx="227">
                  <v>0.01835561561520364</v>
                </pt>
                <pt idx="228">
                  <v>0.02223130800684196</v>
                </pt>
                <pt idx="229">
                  <v>0.0156568419601327</v>
                </pt>
                <pt idx="230">
                  <v>0.01528621543422191</v>
                </pt>
                <pt idx="231">
                  <v>0.008584646452943594</v>
                </pt>
                <pt idx="232">
                  <v>0.008996441185690257</v>
                </pt>
                <pt idx="233">
                  <v>0.005686392780049933</v>
                </pt>
                <pt idx="234">
                  <v>0.007155076837228528</v>
                </pt>
                <pt idx="235">
                  <v>0.008517254402635073</v>
                </pt>
                <pt idx="236">
                  <v>0.01625282557070471</v>
                </pt>
                <pt idx="237">
                  <v>0.0165301840429199</v>
                </pt>
                <pt idx="238">
                  <v>0.01170962825898435</v>
                </pt>
                <pt idx="239">
                  <v>0.01923160337640771</v>
                </pt>
                <pt idx="240">
                  <v>0.007846700472096721</v>
                </pt>
                <pt idx="241">
                  <v>0.01737011091556613</v>
                </pt>
                <pt idx="242">
                  <v>0.02350816053139248</v>
                </pt>
                <pt idx="243">
                  <v>0.02317154584718734</v>
                </pt>
                <pt idx="244">
                  <v>0.02415131702310019</v>
                </pt>
                <pt idx="245">
                  <v>0.02365960160878982</v>
                </pt>
                <pt idx="246">
                  <v>0.02724486004756024</v>
                </pt>
                <pt idx="247">
                  <v>0.02616316912109762</v>
                </pt>
                <pt idx="248">
                  <v>0.03544268352018175</v>
                </pt>
                <pt idx="249">
                  <v>0.04156761166965745</v>
                </pt>
                <pt idx="250">
                  <v>0.03603155120528838</v>
                </pt>
                <pt idx="251">
                  <v>0.03084861618889437</v>
                </pt>
                <pt idx="252">
                  <v>0.01484603914931942</v>
                </pt>
                <pt idx="253">
                  <v>0.003299744921034053</v>
                </pt>
                <pt idx="254">
                  <v>-0.006496111173587798</v>
                </pt>
                <pt idx="255">
                  <v>-0.01458708836025452</v>
                </pt>
                <pt idx="256">
                  <v>-0.0224779017690944</v>
                </pt>
                <pt idx="257">
                  <v>-0.03207992393234212</v>
                </pt>
                <pt idx="258">
                  <v>-0.03912649761900296</v>
                </pt>
                <pt idx="259">
                  <v>-0.03366111836386087</v>
                </pt>
                <pt idx="260">
                  <v>-0.02585466790839969</v>
                </pt>
                <pt idx="261">
                  <v>-0.02434103655719535</v>
                </pt>
                <pt idx="262">
                  <v>-0.01169742607489405</v>
                </pt>
                <pt idx="263">
                  <v>-0.02070111125645572</v>
                </pt>
                <pt idx="264">
                  <v>-0.02535154999827469</v>
                </pt>
                <pt idx="265">
                  <v>-0.02187519292468411</v>
                </pt>
                <pt idx="266">
                  <v>-0.02564073144861917</v>
                </pt>
                <pt idx="267">
                  <v>-0.02373521819457593</v>
                </pt>
                <pt idx="268">
                  <v>-0.01892749090165016</v>
                </pt>
                <pt idx="269">
                  <v>-0.01602413005660652</v>
                </pt>
                <pt idx="270">
                  <v>-0.004094580290800909</v>
                </pt>
                <pt idx="271">
                  <v>0.003328917635251978</v>
                </pt>
                <pt idx="272">
                  <v>0.01271047282310021</v>
                </pt>
                <pt idx="273">
                  <v>0.02005836483244412</v>
                </pt>
                <pt idx="274">
                  <v>0.01786320727140393</v>
                </pt>
                <pt idx="275">
                  <v>0.02202999130853387</v>
                </pt>
                <pt idx="276">
                  <v>0.02741704487094196</v>
                </pt>
                <pt idx="277">
                  <v>0.01712138612532731</v>
                </pt>
                <pt idx="278">
                  <v>0.01768652781694705</v>
                </pt>
                <pt idx="279">
                  <v>0.01614464656779165</v>
                </pt>
                <pt idx="280">
                  <v>0.003497790693197632</v>
                </pt>
                <pt idx="281">
                  <v>0.008070339812167994</v>
                </pt>
                <pt idx="282">
                  <v>0.002164308629269095</v>
                </pt>
                <pt idx="283">
                  <v>0.007116344367659119</v>
                </pt>
                <pt idx="284">
                  <v>0.01138614143927686</v>
                </pt>
                <pt idx="285">
                  <v>0.01547308861753514</v>
                </pt>
                <pt idx="286">
                  <v>0.01875933331645958</v>
                </pt>
                <pt idx="287">
                  <v>0.009552737355959622</v>
                </pt>
                <pt idx="288">
                  <v>0.01423593868348045</v>
                </pt>
                <pt idx="289">
                  <v>0.01953627117293273</v>
                </pt>
                <pt idx="290">
                  <v>0.02226636973204763</v>
                </pt>
                <pt idx="291">
                  <v>0.03202092010625611</v>
                </pt>
                <pt idx="292">
                  <v>0.03436282611672472</v>
                </pt>
                <pt idx="293">
                  <v>0.03151178970684288</v>
                </pt>
                <pt idx="294">
                  <v>0.02081804872906523</v>
                </pt>
                <pt idx="295">
                  <v>0.01199150972042938</v>
                </pt>
                <pt idx="296">
                  <v>0.01332776702301802</v>
                </pt>
                <pt idx="297">
                  <v>-0.001292726275941908</v>
                </pt>
                <pt idx="298">
                  <v>0.00592934190970996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136226975"/>
        <axId val="1224250175"/>
      </barChart>
      <dateAx>
        <axId val="113622697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24250175"/>
        <crosses val="autoZero"/>
        <lblOffset val="100"/>
        <baseTimeUnit val="months"/>
      </dateAx>
      <valAx>
        <axId val="1224250175"/>
        <scaling>
          <orientation val="minMax"/>
          <max val="0.5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6226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Government!$E$5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Government!$A$6:$A$304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Government!$E$6:$E$304</f>
              <numCache>
                <formatCode>0.00%</formatCode>
                <ptCount val="299"/>
                <pt idx="0">
                  <v>0</v>
                </pt>
                <pt idx="1">
                  <v>-0.003377226037745151</v>
                </pt>
                <pt idx="2">
                  <v>-0.0008095588634891016</v>
                </pt>
                <pt idx="3">
                  <v>-0.03201469776084798</v>
                </pt>
                <pt idx="4">
                  <v>0.06092427102022024</v>
                </pt>
                <pt idx="5">
                  <v>0.1487273538113598</v>
                </pt>
                <pt idx="6">
                  <v>0.08610824793659422</v>
                </pt>
                <pt idx="7">
                  <v>0.1556675685355013</v>
                </pt>
                <pt idx="8">
                  <v>0.110389548619072</v>
                </pt>
                <pt idx="9">
                  <v>0.185475862674114</v>
                </pt>
                <pt idx="10">
                  <v>0.02126274614987245</v>
                </pt>
                <pt idx="11">
                  <v>-0.0682063721551156</v>
                </pt>
                <pt idx="12">
                  <v>-0.07217770257096801</v>
                </pt>
                <pt idx="13">
                  <v>0.0750782024073664</v>
                </pt>
                <pt idx="14">
                  <v>-0.06302762519619631</v>
                </pt>
                <pt idx="15">
                  <v>0.3139853251838003</v>
                </pt>
                <pt idx="16">
                  <v>0.4985661386819458</v>
                </pt>
                <pt idx="17">
                  <v>0.6495307671505666</v>
                </pt>
                <pt idx="18">
                  <v>0.5176473986166179</v>
                </pt>
                <pt idx="19">
                  <v>0.2289315215643311</v>
                </pt>
                <pt idx="20">
                  <v>0.1244586012891222</v>
                </pt>
                <pt idx="21">
                  <v>0.1434391143231852</v>
                </pt>
                <pt idx="22">
                  <v>0.04108202176006204</v>
                </pt>
                <pt idx="23">
                  <v>0.06840348968586052</v>
                </pt>
                <pt idx="24">
                  <v>0.1328661971941703</v>
                </pt>
                <pt idx="25">
                  <v>0.08457651764753726</v>
                </pt>
                <pt idx="26">
                  <v>-0.04179257960315719</v>
                </pt>
                <pt idx="27">
                  <v>-0.009926983061104844</v>
                </pt>
                <pt idx="28">
                  <v>-0.09999616013841939</v>
                </pt>
                <pt idx="29">
                  <v>-0.1287221829417601</v>
                </pt>
                <pt idx="30">
                  <v>-0.08373867361845655</v>
                </pt>
                <pt idx="31">
                  <v>-0.02386458992213802</v>
                </pt>
                <pt idx="32">
                  <v>0.002349252257678014</v>
                </pt>
                <pt idx="33">
                  <v>-0.03867256758071691</v>
                </pt>
                <pt idx="34">
                  <v>0.02583650925464687</v>
                </pt>
                <pt idx="35">
                  <v>-0.07703345477566814</v>
                </pt>
                <pt idx="36">
                  <v>-0.001035437557856622</v>
                </pt>
                <pt idx="37">
                  <v>0.08324559521377428</v>
                </pt>
                <pt idx="38">
                  <v>-0.03468425347616699</v>
                </pt>
                <pt idx="39">
                  <v>0.1057162380977055</v>
                </pt>
                <pt idx="40">
                  <v>0.08855394826538188</v>
                </pt>
                <pt idx="41">
                  <v>-0.02052454248573254</v>
                </pt>
                <pt idx="42">
                  <v>0.03449598188644032</v>
                </pt>
                <pt idx="43">
                  <v>0.06744594910671342</v>
                </pt>
                <pt idx="44">
                  <v>-0.03410218362751449</v>
                </pt>
                <pt idx="45">
                  <v>0.1035767861961352</v>
                </pt>
                <pt idx="46">
                  <v>0.02316338436029763</v>
                </pt>
                <pt idx="47">
                  <v>0.08311463948368014</v>
                </pt>
                <pt idx="48">
                  <v>-0.0400675174299483</v>
                </pt>
                <pt idx="49">
                  <v>0.05047481666534614</v>
                </pt>
                <pt idx="50">
                  <v>0.03464660181379453</v>
                </pt>
                <pt idx="51">
                  <v>-0.03231219392920637</v>
                </pt>
                <pt idx="52">
                  <v>-0.06649420804718187</v>
                </pt>
                <pt idx="53">
                  <v>0.04567549083560296</v>
                </pt>
                <pt idx="54">
                  <v>0.1014689855735611</v>
                </pt>
                <pt idx="55">
                  <v>0.02802602850385161</v>
                </pt>
                <pt idx="56">
                  <v>0.06072908143617894</v>
                </pt>
                <pt idx="57">
                  <v>0.01005014094902457</v>
                </pt>
                <pt idx="58">
                  <v>0.08821102137875481</v>
                </pt>
                <pt idx="59">
                  <v>0.09062499085592024</v>
                </pt>
                <pt idx="60">
                  <v>0.07945294865518404</v>
                </pt>
                <pt idx="61">
                  <v>0.02035963430349419</v>
                </pt>
                <pt idx="62">
                  <v>0.09558323104943289</v>
                </pt>
                <pt idx="63">
                  <v>0.02791680470338953</v>
                </pt>
                <pt idx="64">
                  <v>-0.05316679538454028</v>
                </pt>
                <pt idx="65">
                  <v>0.002938731234902958</v>
                </pt>
                <pt idx="66">
                  <v>0.1896366881359826</v>
                </pt>
                <pt idx="67">
                  <v>-0.04075849886519178</v>
                </pt>
                <pt idx="68">
                  <v>0.0125347665307407</v>
                </pt>
                <pt idx="69">
                  <v>0.03641142301251077</v>
                </pt>
                <pt idx="70">
                  <v>0.004740111209721398</v>
                </pt>
                <pt idx="71">
                  <v>-0.001690609459861769</v>
                </pt>
                <pt idx="72">
                  <v>-0.004592400629876203</v>
                </pt>
                <pt idx="73">
                  <v>0.04816311816352825</v>
                </pt>
                <pt idx="74">
                  <v>0.1394662852638362</v>
                </pt>
                <pt idx="75">
                  <v>0.07796281052837384</v>
                </pt>
                <pt idx="76">
                  <v>0.07665870247808471</v>
                </pt>
                <pt idx="77">
                  <v>0.07774028340967942</v>
                </pt>
                <pt idx="78">
                  <v>0.1135509134357993</v>
                </pt>
                <pt idx="79">
                  <v>0.07086843182038449</v>
                </pt>
                <pt idx="80">
                  <v>0.1800255842558054</v>
                </pt>
                <pt idx="81">
                  <v>-0.0164949697105895</v>
                </pt>
                <pt idx="82">
                  <v>0.04519741220546147</v>
                </pt>
                <pt idx="83">
                  <v>0.03073989135327793</v>
                </pt>
                <pt idx="84">
                  <v>0.07346139583522193</v>
                </pt>
                <pt idx="85">
                  <v>0.0209091686551679</v>
                </pt>
                <pt idx="86">
                  <v>0.01203661427415614</v>
                </pt>
                <pt idx="87">
                  <v>0.003633804129899776</v>
                </pt>
                <pt idx="88">
                  <v>0.009097292584236971</v>
                </pt>
                <pt idx="89">
                  <v>-0.01241403825126819</v>
                </pt>
                <pt idx="90">
                  <v>0.008135745108267756</v>
                </pt>
                <pt idx="91">
                  <v>-0.05273008977601212</v>
                </pt>
                <pt idx="92">
                  <v>-0.0190989721143987</v>
                </pt>
                <pt idx="93">
                  <v>-0.04570071299986389</v>
                </pt>
                <pt idx="94">
                  <v>0.01701601714415157</v>
                </pt>
                <pt idx="95">
                  <v>0.001864470200277246</v>
                </pt>
                <pt idx="96">
                  <v>-0.05722735076496066</v>
                </pt>
                <pt idx="97">
                  <v>-0.009159528124276561</v>
                </pt>
                <pt idx="98">
                  <v>-0.002087010299621994</v>
                </pt>
                <pt idx="99">
                  <v>-0.02781539517573184</v>
                </pt>
                <pt idx="100">
                  <v>0.02226804411616201</v>
                </pt>
                <pt idx="101">
                  <v>0.01619461099259456</v>
                </pt>
                <pt idx="102">
                  <v>-0.07402911912724042</v>
                </pt>
                <pt idx="103">
                  <v>0.03350684099030254</v>
                </pt>
                <pt idx="104">
                  <v>0.03488563537943068</v>
                </pt>
                <pt idx="105">
                  <v>-0.02789259993215898</v>
                </pt>
                <pt idx="106">
                  <v>-0.04623388955763463</v>
                </pt>
                <pt idx="107">
                  <v>0.03035340981541346</v>
                </pt>
                <pt idx="108">
                  <v>0.07423623002669877</v>
                </pt>
                <pt idx="109">
                  <v>0.02018870183804666</v>
                </pt>
                <pt idx="110">
                  <v>0.00799228157873566</v>
                </pt>
                <pt idx="111">
                  <v>0.01930734470436324</v>
                </pt>
                <pt idx="112">
                  <v>0.04427930606605379</v>
                </pt>
                <pt idx="113">
                  <v>-0.03337953324891951</v>
                </pt>
                <pt idx="114">
                  <v>0.07684245701762937</v>
                </pt>
                <pt idx="115">
                  <v>0.03550498241154498</v>
                </pt>
                <pt idx="116">
                  <v>0.006307405493472418</v>
                </pt>
                <pt idx="117">
                  <v>-0.04376936214045113</v>
                </pt>
                <pt idx="118">
                  <v>-0.01165474752993001</v>
                </pt>
                <pt idx="119">
                  <v>-0.002447940247006564</v>
                </pt>
                <pt idx="120">
                  <v>0.03443918799328083</v>
                </pt>
                <pt idx="121">
                  <v>0.03710233292841436</v>
                </pt>
                <pt idx="122">
                  <v>0.01616020883338165</v>
                </pt>
                <pt idx="123">
                  <v>-0.009504519443061521</v>
                </pt>
                <pt idx="124">
                  <v>0.001019910601244511</v>
                </pt>
                <pt idx="125">
                  <v>0.1041573627426486</v>
                </pt>
                <pt idx="126">
                  <v>0.03746811958667617</v>
                </pt>
                <pt idx="127">
                  <v>0.03649599482507893</v>
                </pt>
                <pt idx="128">
                  <v>-0.03896633905855407</v>
                </pt>
                <pt idx="129">
                  <v>0.03954775358502949</v>
                </pt>
                <pt idx="130">
                  <v>0.01173599608707088</v>
                </pt>
                <pt idx="131">
                  <v>0.02660383257285459</v>
                </pt>
                <pt idx="132">
                  <v>0.06001432244801852</v>
                </pt>
                <pt idx="133">
                  <v>0.007885204150991143</v>
                </pt>
                <pt idx="134">
                  <v>-0.05334075616656919</v>
                </pt>
                <pt idx="135">
                  <v>-0.0008807390935691162</v>
                </pt>
                <pt idx="136">
                  <v>0.05458181580567945</v>
                </pt>
                <pt idx="137">
                  <v>0.007713180821710353</v>
                </pt>
                <pt idx="138">
                  <v>-0.0137035967212743</v>
                </pt>
                <pt idx="139">
                  <v>0.0518174014481334</v>
                </pt>
                <pt idx="140">
                  <v>-0.004449094052987212</v>
                </pt>
                <pt idx="141">
                  <v>0.01528871618956762</v>
                </pt>
                <pt idx="142">
                  <v>0.0324573121119176</v>
                </pt>
                <pt idx="143">
                  <v>0.0631076064621614</v>
                </pt>
                <pt idx="144">
                  <v>0.03899964313677051</v>
                </pt>
                <pt idx="145">
                  <v>0.03336774741052162</v>
                </pt>
                <pt idx="146">
                  <v>0.0708523224704436</v>
                </pt>
                <pt idx="147">
                  <v>-0.06248980641846125</v>
                </pt>
                <pt idx="148">
                  <v>0.04307396429393351</v>
                </pt>
                <pt idx="149">
                  <v>0.08976462375682259</v>
                </pt>
                <pt idx="150">
                  <v>0.0327769854121045</v>
                </pt>
                <pt idx="151">
                  <v>0.08666661380156415</v>
                </pt>
                <pt idx="152">
                  <v>0.04428131430242122</v>
                </pt>
                <pt idx="153">
                  <v>0.09177048424295697</v>
                </pt>
                <pt idx="154">
                  <v>0.09433173527776217</v>
                </pt>
                <pt idx="155">
                  <v>0.01659255886403632</v>
                </pt>
                <pt idx="156">
                  <v>0.0319788404892023</v>
                </pt>
                <pt idx="157">
                  <v>0.08602563977803634</v>
                </pt>
                <pt idx="158">
                  <v>0.09001445406416808</v>
                </pt>
                <pt idx="159">
                  <v>-0.01642641945816803</v>
                </pt>
                <pt idx="160">
                  <v>0.02366592620026586</v>
                </pt>
                <pt idx="161">
                  <v>0.0313775659870279</v>
                </pt>
                <pt idx="162">
                  <v>0.004208756420436943</v>
                </pt>
                <pt idx="163">
                  <v>0.06133274138320099</v>
                </pt>
                <pt idx="164">
                  <v>-0.03295763175024513</v>
                </pt>
                <pt idx="165">
                  <v>0.01199839924810675</v>
                </pt>
                <pt idx="166">
                  <v>0.0004700658145586623</v>
                </pt>
                <pt idx="167">
                  <v>0.0799055159141997</v>
                </pt>
                <pt idx="168">
                  <v>-0.01746685561039807</v>
                </pt>
                <pt idx="169">
                  <v>0.06295894151511172</v>
                </pt>
                <pt idx="170">
                  <v>0.03647636268648213</v>
                </pt>
                <pt idx="171">
                  <v>0.0202161456323684</v>
                </pt>
                <pt idx="172">
                  <v>0.06551186968525302</v>
                </pt>
                <pt idx="173">
                  <v>0.006321204967005389</v>
                </pt>
                <pt idx="174">
                  <v>0.006379019070182901</v>
                </pt>
                <pt idx="175">
                  <v>0.02701462271559318</v>
                </pt>
                <pt idx="176">
                  <v>0.02406678272555851</v>
                </pt>
                <pt idx="177">
                  <v>0.01637095802025157</v>
                </pt>
                <pt idx="178">
                  <v>-0.01115690776239697</v>
                </pt>
                <pt idx="179">
                  <v>-0.02894873438115053</v>
                </pt>
                <pt idx="180">
                  <v>0.03592430317344641</v>
                </pt>
                <pt idx="181">
                  <v>-0.00771214936902298</v>
                </pt>
                <pt idx="182">
                  <v>0.0257229041402991</v>
                </pt>
                <pt idx="183">
                  <v>-0.0004605629480409767</v>
                </pt>
                <pt idx="184">
                  <v>-0.04870880958010593</v>
                </pt>
                <pt idx="185">
                  <v>0.0003578520480078673</v>
                </pt>
                <pt idx="186">
                  <v>0.005699714410665635</v>
                </pt>
                <pt idx="187">
                  <v>0.01419859579812544</v>
                </pt>
                <pt idx="188">
                  <v>-0.04857904703178462</v>
                </pt>
                <pt idx="189">
                  <v>0.01994450030013839</v>
                </pt>
                <pt idx="190">
                  <v>0.06915147880147177</v>
                </pt>
                <pt idx="191">
                  <v>-0.0343515273778251</v>
                </pt>
                <pt idx="192">
                  <v>0.01406614798572359</v>
                </pt>
                <pt idx="193">
                  <v>0.01350793498631808</v>
                </pt>
                <pt idx="194">
                  <v>-0.01045383128995048</v>
                </pt>
                <pt idx="195">
                  <v>-0.04119997096902051</v>
                </pt>
                <pt idx="196">
                  <v>0.02664709050766367</v>
                </pt>
                <pt idx="197">
                  <v>0.05075925694625072</v>
                </pt>
                <pt idx="198">
                  <v>-2.627018391465619e-05</v>
                </pt>
                <pt idx="199">
                  <v>0.02789090550662676</v>
                </pt>
                <pt idx="200">
                  <v>-0.0206277764084013</v>
                </pt>
                <pt idx="201">
                  <v>0.05285041374060873</v>
                </pt>
                <pt idx="202">
                  <v>0.01864615698951178</v>
                </pt>
                <pt idx="203">
                  <v>0.0202248150274813</v>
                </pt>
                <pt idx="204">
                  <v>-0.01423715873309062</v>
                </pt>
                <pt idx="205">
                  <v>0.07186628756351077</v>
                </pt>
                <pt idx="206">
                  <v>0.0304738023324358</v>
                </pt>
                <pt idx="207">
                  <v>0.02381828470123537</v>
                </pt>
                <pt idx="208">
                  <v>0.02903252489814978</v>
                </pt>
                <pt idx="209">
                  <v>0.01452899175772693</v>
                </pt>
                <pt idx="210">
                  <v>0.04902828714417162</v>
                </pt>
                <pt idx="211">
                  <v>0.0636958927007365</v>
                </pt>
                <pt idx="212">
                  <v>-0.02809444914440118</v>
                </pt>
                <pt idx="213">
                  <v>0.04001488269088327</v>
                </pt>
                <pt idx="214">
                  <v>-0.01675230829267838</v>
                </pt>
                <pt idx="215">
                  <v>0.02474691705368226</v>
                </pt>
                <pt idx="216">
                  <v>0.06402013635012094</v>
                </pt>
                <pt idx="217">
                  <v>0.07116769850842708</v>
                </pt>
                <pt idx="218">
                  <v>-0.003948699574951919</v>
                </pt>
                <pt idx="219">
                  <v>0.06800555648604734</v>
                </pt>
                <pt idx="220">
                  <v>0.07139292977558487</v>
                </pt>
                <pt idx="221">
                  <v>0.0310780869292504</v>
                </pt>
                <pt idx="222">
                  <v>0.02085801580646574</v>
                </pt>
                <pt idx="223">
                  <v>0.02996277922521995</v>
                </pt>
                <pt idx="224">
                  <v>0.003086271736647106</v>
                </pt>
                <pt idx="225">
                  <v>0.03732170398677903</v>
                </pt>
                <pt idx="226">
                  <v>0.008861377321584873</v>
                </pt>
                <pt idx="227">
                  <v>0.02450622815564851</v>
                </pt>
                <pt idx="228">
                  <v>0.01844398679365278</v>
                </pt>
                <pt idx="229">
                  <v>0.01089196976941786</v>
                </pt>
                <pt idx="230">
                  <v>0.007389596088747785</v>
                </pt>
                <pt idx="231">
                  <v>-0.002276838092007405</v>
                </pt>
                <pt idx="232">
                  <v>0.02010828652142194</v>
                </pt>
                <pt idx="233">
                  <v>-0.002307965106816523</v>
                </pt>
                <pt idx="234">
                  <v>0.01328718498043746</v>
                </pt>
                <pt idx="235">
                  <v>0.003131805927992337</v>
                </pt>
                <pt idx="236">
                  <v>0.05176813392731194</v>
                </pt>
                <pt idx="237">
                  <v>-0.001218347892422478</v>
                </pt>
                <pt idx="238">
                  <v>-0.005797232803805619</v>
                </pt>
                <pt idx="239">
                  <v>0.03329896352642736</v>
                </pt>
                <pt idx="240">
                  <v>0.005556311732783259</v>
                </pt>
                <pt idx="241">
                  <v>0.03707111934072893</v>
                </pt>
                <pt idx="242">
                  <v>0.01841387730831401</v>
                </pt>
                <pt idx="243">
                  <v>0.03194029511404373</v>
                </pt>
                <pt idx="244">
                  <v>0.009413460163962606</v>
                </pt>
                <pt idx="245">
                  <v>0.03508087937168236</v>
                </pt>
                <pt idx="246">
                  <v>0.03275655169714153</v>
                </pt>
                <pt idx="247">
                  <v>0.02760061475390319</v>
                </pt>
                <pt idx="248">
                  <v>0.04642391037807725</v>
                </pt>
                <pt idx="249">
                  <v>0.05979019735539248</v>
                </pt>
                <pt idx="250">
                  <v>0.01097407342263113</v>
                </pt>
                <pt idx="251">
                  <v>0.00719137525223057</v>
                </pt>
                <pt idx="252">
                  <v>-0.01705610492308962</v>
                </pt>
                <pt idx="253">
                  <v>0.01237651357937164</v>
                </pt>
                <pt idx="254">
                  <v>-0.02793457443147174</v>
                </pt>
                <pt idx="255">
                  <v>-0.02521978365538924</v>
                </pt>
                <pt idx="256">
                  <v>-0.04816411958354827</v>
                </pt>
                <pt idx="257">
                  <v>-0.02681878640804947</v>
                </pt>
                <pt idx="258">
                  <v>-0.05593396366985648</v>
                </pt>
                <pt idx="259">
                  <v>-0.002851926949923644</v>
                </pt>
                <pt idx="260">
                  <v>-0.01703224745606624</v>
                </pt>
                <pt idx="261">
                  <v>-0.02075614124430047</v>
                </pt>
                <pt idx="262">
                  <v>-0.006037672593653509</v>
                </pt>
                <pt idx="263">
                  <v>-0.03869545564667942</v>
                </pt>
                <pt idx="264">
                  <v>-0.0355711141000562</v>
                </pt>
                <pt idx="265">
                  <v>-0.006710224606384596</v>
                </pt>
                <pt idx="266">
                  <v>-0.02125554877692581</v>
                </pt>
                <pt idx="267">
                  <v>-0.03115343652970815</v>
                </pt>
                <pt idx="268">
                  <v>-0.01643255755259843</v>
                </pt>
                <pt idx="269">
                  <v>0.005100138460686576</v>
                </pt>
                <pt idx="270">
                  <v>0.02707912574039395</v>
                </pt>
                <pt idx="271">
                  <v>-0.001941637068960778</v>
                </pt>
                <pt idx="272">
                  <v>0.02087373682317595</v>
                </pt>
                <pt idx="273">
                  <v>0.03458985206853149</v>
                </pt>
                <pt idx="274">
                  <v>0.01826655893855378</v>
                </pt>
                <pt idx="275">
                  <v>0.01450182917743237</v>
                </pt>
                <pt idx="276">
                  <v>0.0425683477922898</v>
                </pt>
                <pt idx="277">
                  <v>-0.006261095997795008</v>
                </pt>
                <pt idx="278">
                  <v>0.02053155774112758</v>
                </pt>
                <pt idx="279">
                  <v>0.008367563046555393</v>
                </pt>
                <pt idx="280">
                  <v>-0.008373590733235514</v>
                </pt>
                <pt idx="281">
                  <v>0.01197540340544756</v>
                </pt>
                <pt idx="282">
                  <v>-0.003175237193065672</v>
                </pt>
                <pt idx="283">
                  <v>0.02844652980435969</v>
                </pt>
                <pt idx="284">
                  <v>0.00855015751803756</v>
                </pt>
                <pt idx="285">
                  <v>0.02843213246758114</v>
                </pt>
                <pt idx="286">
                  <v>0.009791117453662457</v>
                </pt>
                <pt idx="287">
                  <v>-0.008229108131540208</v>
                </pt>
                <pt idx="288">
                  <v>0.02739498220086745</v>
                </pt>
                <pt idx="289">
                  <v>0.05009932536175543</v>
                </pt>
                <pt idx="290">
                  <v>0.02065065203537575</v>
                </pt>
                <pt idx="291">
                  <v>0.03017039920425546</v>
                </pt>
                <pt idx="292">
                  <v>0.03675240798053636</v>
                </pt>
                <pt idx="293">
                  <v>0.03856945999081529</v>
                </pt>
                <pt idx="294">
                  <v>-0.02102028500626685</v>
                </pt>
                <pt idx="295">
                  <v>-0.004999767431233759</v>
                </pt>
                <pt idx="296">
                  <v>0.04223907180142872</v>
                </pt>
                <pt idx="297">
                  <v>-0.02008450234012327</v>
                </pt>
                <pt idx="298">
                  <v>0.007606003439889486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11757216"/>
        <axId val="411545664"/>
      </barChart>
      <dateAx>
        <axId val="411757216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545664"/>
        <crosses val="autoZero"/>
        <lblOffset val="100"/>
        <baseTimeUnit val="months"/>
      </dateAx>
      <valAx>
        <axId val="4115456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1757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GDPPriceIndex!$A$2</f>
              <strCache>
                <ptCount val="1"/>
                <pt idx="0">
                  <v xml:space="preserve">Gross Domestic Product: Chain-type Price Index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GDPPriceIndex!$B$6:$B$304</f>
              <numCache>
                <formatCode>0.0</formatCode>
                <ptCount val="299"/>
                <pt idx="0">
                  <v>11.961</v>
                </pt>
                <pt idx="1">
                  <v>12.124</v>
                </pt>
                <pt idx="2">
                  <v>12.315</v>
                </pt>
                <pt idx="3">
                  <v>12.569</v>
                </pt>
                <pt idx="4">
                  <v>12.713</v>
                </pt>
                <pt idx="5">
                  <v>12.864</v>
                </pt>
                <pt idx="6">
                  <v>13.088</v>
                </pt>
                <pt idx="7">
                  <v>13.083</v>
                </pt>
                <pt idx="8">
                  <v>13.041</v>
                </pt>
                <pt idx="9">
                  <v>12.96</v>
                </pt>
                <pt idx="10">
                  <v>12.867</v>
                </pt>
                <pt idx="11">
                  <v>12.864</v>
                </pt>
                <pt idx="12">
                  <v>12.828</v>
                </pt>
                <pt idx="13">
                  <v>12.882</v>
                </pt>
                <pt idx="14">
                  <v>13.15</v>
                </pt>
                <pt idx="15">
                  <v>13.36</v>
                </pt>
                <pt idx="16">
                  <v>13.812</v>
                </pt>
                <pt idx="17">
                  <v>13.892</v>
                </pt>
                <pt idx="18">
                  <v>13.937</v>
                </pt>
                <pt idx="19">
                  <v>14.12</v>
                </pt>
                <pt idx="20">
                  <v>14.137</v>
                </pt>
                <pt idx="21">
                  <v>14.192</v>
                </pt>
                <pt idx="22">
                  <v>14.299</v>
                </pt>
                <pt idx="23">
                  <v>14.349</v>
                </pt>
                <pt idx="24">
                  <v>14.363</v>
                </pt>
                <pt idx="25">
                  <v>14.397</v>
                </pt>
                <pt idx="26">
                  <v>14.451</v>
                </pt>
                <pt idx="27">
                  <v>14.494</v>
                </pt>
                <pt idx="28">
                  <v>14.555</v>
                </pt>
                <pt idx="29">
                  <v>14.582</v>
                </pt>
                <pt idx="30">
                  <v>14.569</v>
                </pt>
                <pt idx="31">
                  <v>14.588</v>
                </pt>
                <pt idx="32">
                  <v>14.643</v>
                </pt>
                <pt idx="33">
                  <v>14.725</v>
                </pt>
                <pt idx="34">
                  <v>14.826</v>
                </pt>
                <pt idx="35">
                  <v>14.924</v>
                </pt>
                <pt idx="36">
                  <v>15.071</v>
                </pt>
                <pt idx="37">
                  <v>15.214</v>
                </pt>
                <pt idx="38">
                  <v>15.381</v>
                </pt>
                <pt idx="39">
                  <v>15.476</v>
                </pt>
                <pt idx="40">
                  <v>15.653</v>
                </pt>
                <pt idx="41">
                  <v>15.764</v>
                </pt>
                <pt idx="42">
                  <v>15.885</v>
                </pt>
                <pt idx="43">
                  <v>15.978</v>
                </pt>
                <pt idx="44">
                  <v>16.112</v>
                </pt>
                <pt idx="45">
                  <v>16.181</v>
                </pt>
                <pt idx="46">
                  <v>16.22</v>
                </pt>
                <pt idx="47">
                  <v>16.24</v>
                </pt>
                <pt idx="48">
                  <v>16.316</v>
                </pt>
                <pt idx="49">
                  <v>16.363</v>
                </pt>
                <pt idx="50">
                  <v>16.432</v>
                </pt>
                <pt idx="51">
                  <v>16.496</v>
                </pt>
                <pt idx="52">
                  <v>16.527</v>
                </pt>
                <pt idx="53">
                  <v>16.586</v>
                </pt>
                <pt idx="54">
                  <v>16.658</v>
                </pt>
                <pt idx="55">
                  <v>16.731</v>
                </pt>
                <pt idx="56">
                  <v>16.751</v>
                </pt>
                <pt idx="57">
                  <v>16.784</v>
                </pt>
                <pt idx="58">
                  <v>16.819</v>
                </pt>
                <pt idx="59">
                  <v>16.858</v>
                </pt>
                <pt idx="60">
                  <v>16.942</v>
                </pt>
                <pt idx="61">
                  <v>16.989</v>
                </pt>
                <pt idx="62">
                  <v>17.029</v>
                </pt>
                <pt idx="63">
                  <v>17.07</v>
                </pt>
                <pt idx="64">
                  <v>17.154</v>
                </pt>
                <pt idx="65">
                  <v>17.169</v>
                </pt>
                <pt idx="66">
                  <v>17.188</v>
                </pt>
                <pt idx="67">
                  <v>17.3</v>
                </pt>
                <pt idx="68">
                  <v>17.365</v>
                </pt>
                <pt idx="69">
                  <v>17.416</v>
                </pt>
                <pt idx="70">
                  <v>17.502</v>
                </pt>
                <pt idx="71">
                  <v>17.577</v>
                </pt>
                <pt idx="72">
                  <v>17.653</v>
                </pt>
                <pt idx="73">
                  <v>17.736</v>
                </pt>
                <pt idx="74">
                  <v>17.816</v>
                </pt>
                <pt idx="75">
                  <v>17.934</v>
                </pt>
                <pt idx="76">
                  <v>18.043</v>
                </pt>
                <pt idx="77">
                  <v>18.206</v>
                </pt>
                <pt idx="78">
                  <v>18.366</v>
                </pt>
                <pt idx="79">
                  <v>18.516</v>
                </pt>
                <pt idx="80">
                  <v>18.593</v>
                </pt>
                <pt idx="81">
                  <v>18.705</v>
                </pt>
                <pt idx="82">
                  <v>18.873</v>
                </pt>
                <pt idx="83">
                  <v>19.082</v>
                </pt>
                <pt idx="84">
                  <v>19.29</v>
                </pt>
                <pt idx="85">
                  <v>19.506</v>
                </pt>
                <pt idx="86">
                  <v>19.693</v>
                </pt>
                <pt idx="87">
                  <v>19.967</v>
                </pt>
                <pt idx="88">
                  <v>20.167</v>
                </pt>
                <pt idx="89">
                  <v>20.433</v>
                </pt>
                <pt idx="90">
                  <v>20.724</v>
                </pt>
                <pt idx="91">
                  <v>20.983</v>
                </pt>
                <pt idx="92">
                  <v>21.272</v>
                </pt>
                <pt idx="93">
                  <v>21.579</v>
                </pt>
                <pt idx="94">
                  <v>21.756</v>
                </pt>
                <pt idx="95">
                  <v>22.041</v>
                </pt>
                <pt idx="96">
                  <v>22.375</v>
                </pt>
                <pt idx="97">
                  <v>22.674</v>
                </pt>
                <pt idx="98">
                  <v>22.903</v>
                </pt>
                <pt idx="99">
                  <v>23.092</v>
                </pt>
                <pt idx="100">
                  <v>23.463</v>
                </pt>
                <pt idx="101">
                  <v>23.606</v>
                </pt>
                <pt idx="102">
                  <v>23.82</v>
                </pt>
                <pt idx="103">
                  <v>24.09</v>
                </pt>
                <pt idx="104">
                  <v>24.396</v>
                </pt>
                <pt idx="105">
                  <v>24.8</v>
                </pt>
                <pt idx="106">
                  <v>25.273</v>
                </pt>
                <pt idx="107">
                  <v>25.711</v>
                </pt>
                <pt idx="108">
                  <v>26.232</v>
                </pt>
                <pt idx="109">
                  <v>26.815</v>
                </pt>
                <pt idx="110">
                  <v>27.641</v>
                </pt>
                <pt idx="111">
                  <v>28.479</v>
                </pt>
                <pt idx="112">
                  <v>29.124</v>
                </pt>
                <pt idx="113">
                  <v>29.546</v>
                </pt>
                <pt idx="114">
                  <v>30.068</v>
                </pt>
                <pt idx="115">
                  <v>30.57</v>
                </pt>
                <pt idx="116">
                  <v>30.905</v>
                </pt>
                <pt idx="117">
                  <v>31.213</v>
                </pt>
                <pt idx="118">
                  <v>31.611</v>
                </pt>
                <pt idx="119">
                  <v>32.148</v>
                </pt>
                <pt idx="120">
                  <v>32.668</v>
                </pt>
                <pt idx="121">
                  <v>33.184</v>
                </pt>
                <pt idx="122">
                  <v>33.641</v>
                </pt>
                <pt idx="123">
                  <v>34.203</v>
                </pt>
                <pt idx="124">
                  <v>34.763</v>
                </pt>
                <pt idx="125">
                  <v>35.457</v>
                </pt>
                <pt idx="126">
                  <v>36.083</v>
                </pt>
                <pt idx="127">
                  <v>36.796</v>
                </pt>
                <pt idx="128">
                  <v>37.483</v>
                </pt>
                <pt idx="129">
                  <v>38.388</v>
                </pt>
                <pt idx="130">
                  <v>39.19</v>
                </pt>
                <pt idx="131">
                  <v>39.905</v>
                </pt>
                <pt idx="132">
                  <v>40.777</v>
                </pt>
                <pt idx="133">
                  <v>41.745</v>
                </pt>
                <pt idx="134">
                  <v>42.676</v>
                </pt>
                <pt idx="135">
                  <v>43.807</v>
                </pt>
                <pt idx="136">
                  <v>44.968</v>
                </pt>
                <pt idx="137">
                  <v>45.813</v>
                </pt>
                <pt idx="138">
                  <v>46.703</v>
                </pt>
                <pt idx="139">
                  <v>47.475</v>
                </pt>
                <pt idx="140">
                  <v>48.155</v>
                </pt>
                <pt idx="141">
                  <v>48.795</v>
                </pt>
                <pt idx="142">
                  <v>49.472</v>
                </pt>
                <pt idx="143">
                  <v>49.973</v>
                </pt>
                <pt idx="144">
                  <v>50.372</v>
                </pt>
                <pt idx="145">
                  <v>50.746</v>
                </pt>
                <pt idx="146">
                  <v>51.285</v>
                </pt>
                <pt idx="147">
                  <v>51.669</v>
                </pt>
                <pt idx="148">
                  <v>52.178</v>
                </pt>
                <pt idx="149">
                  <v>52.647</v>
                </pt>
                <pt idx="150">
                  <v>53.122</v>
                </pt>
                <pt idx="151">
                  <v>53.494</v>
                </pt>
                <pt idx="152">
                  <v>54.041</v>
                </pt>
                <pt idx="153">
                  <v>54.361</v>
                </pt>
                <pt idx="154">
                  <v>54.722</v>
                </pt>
                <pt idx="155">
                  <v>55.006</v>
                </pt>
                <pt idx="156">
                  <v>55.278</v>
                </pt>
                <pt idx="157">
                  <v>55.472</v>
                </pt>
                <pt idx="158">
                  <v>55.735</v>
                </pt>
                <pt idx="159">
                  <v>56.066</v>
                </pt>
                <pt idx="160">
                  <v>56.391</v>
                </pt>
                <pt idx="161">
                  <v>56.774</v>
                </pt>
                <pt idx="162">
                  <v>57.212</v>
                </pt>
                <pt idx="163">
                  <v>57.641</v>
                </pt>
                <pt idx="164">
                  <v>58.087</v>
                </pt>
                <pt idx="165">
                  <v>58.667</v>
                </pt>
                <pt idx="166">
                  <v>59.385</v>
                </pt>
                <pt idx="167">
                  <v>59.932</v>
                </pt>
                <pt idx="168">
                  <v>60.508</v>
                </pt>
                <pt idx="169">
                  <v>61.163</v>
                </pt>
                <pt idx="170">
                  <v>61.617</v>
                </pt>
                <pt idx="171">
                  <v>62.037</v>
                </pt>
                <pt idx="172">
                  <v>62.713</v>
                </pt>
                <pt idx="173">
                  <v>63.415</v>
                </pt>
                <pt idx="174">
                  <v>63.963</v>
                </pt>
                <pt idx="175">
                  <v>64.452</v>
                </pt>
                <pt idx="176">
                  <v>65.078</v>
                </pt>
                <pt idx="177">
                  <v>65.547</v>
                </pt>
                <pt idx="178">
                  <v>66.05</v>
                </pt>
                <pt idx="179">
                  <v>66.434</v>
                </pt>
                <pt idx="180">
                  <v>66.7</v>
                </pt>
                <pt idx="181">
                  <v>67.098</v>
                </pt>
                <pt idx="182">
                  <v>67.419</v>
                </pt>
                <pt idx="183">
                  <v>67.89400000000001</v>
                </pt>
                <pt idx="184">
                  <v>68.298</v>
                </pt>
                <pt idx="185">
                  <v>68.70099999999999</v>
                </pt>
                <pt idx="186">
                  <v>69.04600000000001</v>
                </pt>
                <pt idx="187">
                  <v>69.452</v>
                </pt>
                <pt idx="188">
                  <v>69.807</v>
                </pt>
                <pt idx="189">
                  <v>70.14</v>
                </pt>
                <pt idx="190">
                  <v>70.514</v>
                </pt>
                <pt idx="191">
                  <v>70.907</v>
                </pt>
                <pt idx="192">
                  <v>71.31100000000001</v>
                </pt>
                <pt idx="193">
                  <v>71.661</v>
                </pt>
                <pt idx="194">
                  <v>71.982</v>
                </pt>
                <pt idx="195">
                  <v>72.322</v>
                </pt>
                <pt idx="196">
                  <v>72.655</v>
                </pt>
                <pt idx="197">
                  <v>72.952</v>
                </pt>
                <pt idx="198">
                  <v>73.306</v>
                </pt>
                <pt idx="199">
                  <v>73.616</v>
                </pt>
                <pt idx="200">
                  <v>73.946</v>
                </pt>
                <pt idx="201">
                  <v>74.31399999999999</v>
                </pt>
                <pt idx="202">
                  <v>74.535</v>
                </pt>
                <pt idx="203">
                  <v>74.80200000000001</v>
                </pt>
                <pt idx="204">
                  <v>74.878</v>
                </pt>
                <pt idx="205">
                  <v>75.072</v>
                </pt>
                <pt idx="206">
                  <v>75.363</v>
                </pt>
                <pt idx="207">
                  <v>75.565</v>
                </pt>
                <pt idx="208">
                  <v>75.76900000000001</v>
                </pt>
                <pt idx="209">
                  <v>76.11199999999999</v>
                </pt>
                <pt idx="210">
                  <v>76.404</v>
                </pt>
                <pt idx="211">
                  <v>76.806</v>
                </pt>
                <pt idx="212">
                  <v>77.318</v>
                </pt>
                <pt idx="213">
                  <v>77.783</v>
                </pt>
                <pt idx="214">
                  <v>78.27</v>
                </pt>
                <pt idx="215">
                  <v>78.694</v>
                </pt>
                <pt idx="216">
                  <v>79.233</v>
                </pt>
                <pt idx="217">
                  <v>79.761</v>
                </pt>
                <pt idx="218">
                  <v>80.003</v>
                </pt>
                <pt idx="219">
                  <v>80.261</v>
                </pt>
                <pt idx="220">
                  <v>80.47499999999999</v>
                </pt>
                <pt idx="221">
                  <v>80.794</v>
                </pt>
                <pt idx="222">
                  <v>81.155</v>
                </pt>
                <pt idx="223">
                  <v>81.627</v>
                </pt>
                <pt idx="224">
                  <v>82.068</v>
                </pt>
                <pt idx="225">
                  <v>82.349</v>
                </pt>
                <pt idx="226">
                  <v>82.822</v>
                </pt>
                <pt idx="227">
                  <v>83.30200000000001</v>
                </pt>
                <pt idx="228">
                  <v>83.899</v>
                </pt>
                <pt idx="229">
                  <v>84.58</v>
                </pt>
                <pt idx="230">
                  <v>85.116</v>
                </pt>
                <pt idx="231">
                  <v>85.77200000000001</v>
                </pt>
                <pt idx="232">
                  <v>86.43000000000001</v>
                </pt>
                <pt idx="233">
                  <v>87.062</v>
                </pt>
                <pt idx="234">
                  <v>87.884</v>
                </pt>
                <pt idx="235">
                  <v>88.584</v>
                </pt>
                <pt idx="236">
                  <v>89.20399999999999</v>
                </pt>
                <pt idx="237">
                  <v>89.99299999999999</v>
                </pt>
                <pt idx="238">
                  <v>90.652</v>
                </pt>
                <pt idx="239">
                  <v>90.997</v>
                </pt>
                <pt idx="240">
                  <v>91.908</v>
                </pt>
                <pt idx="241">
                  <v>92.491</v>
                </pt>
                <pt idx="242">
                  <v>92.88200000000001</v>
                </pt>
                <pt idx="243">
                  <v>93.33199999999999</v>
                </pt>
                <pt idx="244">
                  <v>93.735</v>
                </pt>
                <pt idx="245">
                  <v>94.075</v>
                </pt>
                <pt idx="246">
                  <v>94.804</v>
                </pt>
                <pt idx="247">
                  <v>94.97499999999999</v>
                </pt>
                <pt idx="248">
                  <v>95.001</v>
                </pt>
                <pt idx="249">
                  <v>94.87</v>
                </pt>
                <pt idx="250">
                  <v>94.928</v>
                </pt>
                <pt idx="251">
                  <v>95.277</v>
                </pt>
                <pt idx="252">
                  <v>95.518</v>
                </pt>
                <pt idx="253">
                  <v>95.96299999999999</v>
                </pt>
                <pt idx="254">
                  <v>96.312</v>
                </pt>
                <pt idx="255">
                  <v>96.864</v>
                </pt>
                <pt idx="256">
                  <v>97.339</v>
                </pt>
                <pt idx="257">
                  <v>98.042</v>
                </pt>
                <pt idx="258">
                  <v>98.56100000000001</v>
                </pt>
                <pt idx="259">
                  <v>98.687</v>
                </pt>
                <pt idx="260">
                  <v>99.277</v>
                </pt>
                <pt idx="261">
                  <v>99.69</v>
                </pt>
                <pt idx="262">
                  <v>100.304</v>
                </pt>
                <pt idx="263">
                  <v>100.73</v>
                </pt>
                <pt idx="264">
                  <v>101.124</v>
                </pt>
                <pt idx="265">
                  <v>101.428</v>
                </pt>
                <pt idx="266">
                  <v>101.973</v>
                </pt>
                <pt idx="267">
                  <v>102.55</v>
                </pt>
                <pt idx="268">
                  <v>102.965</v>
                </pt>
                <pt idx="269">
                  <v>103.552</v>
                </pt>
                <pt idx="270">
                  <v>104.029</v>
                </pt>
                <pt idx="271">
                  <v>104.104</v>
                </pt>
                <pt idx="272">
                  <v>104.092</v>
                </pt>
                <pt idx="273">
                  <v>104.683</v>
                </pt>
                <pt idx="274">
                  <v>104.939</v>
                </pt>
                <pt idx="275">
                  <v>104.932</v>
                </pt>
                <pt idx="276">
                  <v>104.873</v>
                </pt>
                <pt idx="277">
                  <v>105.576</v>
                </pt>
                <pt idx="278">
                  <v>105.894</v>
                </pt>
                <pt idx="279">
                  <v>106.47</v>
                </pt>
                <pt idx="280">
                  <v>107.007</v>
                </pt>
                <pt idx="281">
                  <v>107.361</v>
                </pt>
                <pt idx="282">
                  <v>107.942</v>
                </pt>
                <pt idx="283">
                  <v>108.658</v>
                </pt>
                <pt idx="284">
                  <v>109.312</v>
                </pt>
                <pt idx="285">
                  <v>110.156</v>
                </pt>
                <pt idx="286">
                  <v>110.647</v>
                </pt>
                <pt idx="287">
                  <v>111.191</v>
                </pt>
                <pt idx="288">
                  <v>111.502</v>
                </pt>
                <pt idx="289">
                  <v>112.142</v>
                </pt>
                <pt idx="290">
                  <v>112.524</v>
                </pt>
                <pt idx="291">
                  <v>112.947</v>
                </pt>
                <pt idx="292">
                  <v>113.397</v>
                </pt>
                <pt idx="293">
                  <v>112.969</v>
                </pt>
                <pt idx="294">
                  <v>113.984</v>
                </pt>
                <pt idx="295">
                  <v>114.611</v>
                </pt>
                <pt idx="296">
                  <v>115.826</v>
                </pt>
                <pt idx="297">
                  <v>117.546</v>
                </pt>
                <pt idx="298">
                  <v>119.19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56637343"/>
        <axId val="656442607"/>
      </lineChart>
      <dateAx>
        <axId val="65663734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42607"/>
        <crosses val="autoZero"/>
        <lblOffset val="100"/>
        <baseTimeUnit val="months"/>
      </dateAx>
      <valAx>
        <axId val="65644260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63734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GDPPriceIndex!$C$5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GDPPriceIndex!$C$6:$C$304</f>
              <numCache>
                <formatCode>0.00%</formatCode>
                <ptCount val="299"/>
                <pt idx="1">
                  <v>0.01362762310843577</v>
                </pt>
                <pt idx="2">
                  <v>0.01575387660837999</v>
                </pt>
                <pt idx="3">
                  <v>0.02062525375558273</v>
                </pt>
                <pt idx="4">
                  <v>0.01145675869201992</v>
                </pt>
                <pt idx="5">
                  <v>0.01187760560056647</v>
                </pt>
                <pt idx="6">
                  <v>0.01741293532338296</v>
                </pt>
                <pt idx="7">
                  <v>-0.0003820293398532248</v>
                </pt>
                <pt idx="8">
                  <v>-0.003210272873194207</v>
                </pt>
                <pt idx="9">
                  <v>-0.006211180124223566</v>
                </pt>
                <pt idx="10">
                  <v>-0.007175925925925923</v>
                </pt>
                <pt idx="11">
                  <v>-0.0002331545814875351</v>
                </pt>
                <pt idx="12">
                  <v>-0.002798507462686673</v>
                </pt>
                <pt idx="13">
                  <v>0.004209541627689451</v>
                </pt>
                <pt idx="14">
                  <v>0.02080422294674745</v>
                </pt>
                <pt idx="15">
                  <v>0.01596958174904936</v>
                </pt>
                <pt idx="16">
                  <v>0.03383233532934132</v>
                </pt>
                <pt idx="17">
                  <v>0.005792064871126562</v>
                </pt>
                <pt idx="18">
                  <v>0.003239274402533827</v>
                </pt>
                <pt idx="19">
                  <v>0.01313051589294682</v>
                </pt>
                <pt idx="20">
                  <v>0.00120396600566581</v>
                </pt>
                <pt idx="21">
                  <v>0.003890500106104528</v>
                </pt>
                <pt idx="22">
                  <v>0.007539458850056322</v>
                </pt>
                <pt idx="23">
                  <v>0.003496748024337416</v>
                </pt>
                <pt idx="24">
                  <v>0.0009756777475781828</v>
                </pt>
                <pt idx="25">
                  <v>0.002367193483255636</v>
                </pt>
                <pt idx="26">
                  <v>0.003750781412794351</v>
                </pt>
                <pt idx="27">
                  <v>0.002975572624731801</v>
                </pt>
                <pt idx="28">
                  <v>0.004208638057127083</v>
                </pt>
                <pt idx="29">
                  <v>0.001855032634833461</v>
                </pt>
                <pt idx="30">
                  <v>-0.0008915100809216774</v>
                </pt>
                <pt idx="31">
                  <v>0.001304138925114857</v>
                </pt>
                <pt idx="32">
                  <v>0.00377022210035656</v>
                </pt>
                <pt idx="33">
                  <v>0.005599945366386598</v>
                </pt>
                <pt idx="34">
                  <v>0.006859083191850654</v>
                </pt>
                <pt idx="35">
                  <v>0.006610009442870563</v>
                </pt>
                <pt idx="36">
                  <v>0.009849906191369622</v>
                </pt>
                <pt idx="37">
                  <v>0.009488421471700663</v>
                </pt>
                <pt idx="38">
                  <v>0.01097673195740764</v>
                </pt>
                <pt idx="39">
                  <v>0.006176451466094574</v>
                </pt>
                <pt idx="40">
                  <v>0.01143706384078571</v>
                </pt>
                <pt idx="41">
                  <v>0.007091292404011938</v>
                </pt>
                <pt idx="42">
                  <v>0.007675716823141363</v>
                </pt>
                <pt idx="43">
                  <v>0.005854579792256845</v>
                </pt>
                <pt idx="44">
                  <v>0.008386531480785992</v>
                </pt>
                <pt idx="45">
                  <v>0.004282522343594999</v>
                </pt>
                <pt idx="46">
                  <v>0.002410234225325871</v>
                </pt>
                <pt idx="47">
                  <v>0.001233045622688013</v>
                </pt>
                <pt idx="48">
                  <v>0.004679802955665057</v>
                </pt>
                <pt idx="49">
                  <v>0.002880607992154977</v>
                </pt>
                <pt idx="50">
                  <v>0.004216830654525397</v>
                </pt>
                <pt idx="51">
                  <v>0.003894839337877316</v>
                </pt>
                <pt idx="52">
                  <v>0.001879243452958436</v>
                </pt>
                <pt idx="53">
                  <v>0.003569915895201639</v>
                </pt>
                <pt idx="54">
                  <v>0.004341010490775518</v>
                </pt>
                <pt idx="55">
                  <v>0.004382278784968207</v>
                </pt>
                <pt idx="56">
                  <v>0.0011953858107704</v>
                </pt>
                <pt idx="57">
                  <v>0.001970031639901958</v>
                </pt>
                <pt idx="58">
                  <v>0.002085319351763593</v>
                </pt>
                <pt idx="59">
                  <v>0.002318806112135173</v>
                </pt>
                <pt idx="60">
                  <v>0.004982797484873629</v>
                </pt>
                <pt idx="61">
                  <v>0.00277417070003545</v>
                </pt>
                <pt idx="62">
                  <v>0.002354464653599338</v>
                </pt>
                <pt idx="63">
                  <v>0.002407657525397872</v>
                </pt>
                <pt idx="64">
                  <v>0.004920913884007008</v>
                </pt>
                <pt idx="65">
                  <v>0.0008744316194473923</v>
                </pt>
                <pt idx="66">
                  <v>0.001106645698642807</v>
                </pt>
                <pt idx="67">
                  <v>0.006516174074936112</v>
                </pt>
                <pt idx="68">
                  <v>0.00375722543352588</v>
                </pt>
                <pt idx="69">
                  <v>0.002936942124964119</v>
                </pt>
                <pt idx="70">
                  <v>0.004937988056959033</v>
                </pt>
                <pt idx="71">
                  <v>0.004285224545766361</v>
                </pt>
                <pt idx="72">
                  <v>0.004323832280821355</v>
                </pt>
                <pt idx="73">
                  <v>0.004701750410695178</v>
                </pt>
                <pt idx="74">
                  <v>0.004510599909787905</v>
                </pt>
                <pt idx="75">
                  <v>0.006623259991019427</v>
                </pt>
                <pt idx="76">
                  <v>0.006077840972454456</v>
                </pt>
                <pt idx="77">
                  <v>0.009033974394502037</v>
                </pt>
                <pt idx="78">
                  <v>0.008788311545644301</v>
                </pt>
                <pt idx="79">
                  <v>0.008167265599477218</v>
                </pt>
                <pt idx="80">
                  <v>0.004158565564916923</v>
                </pt>
                <pt idx="81">
                  <v>0.006023772387457555</v>
                </pt>
                <pt idx="82">
                  <v>0.008981555733761177</v>
                </pt>
                <pt idx="83">
                  <v>0.01107402108832722</v>
                </pt>
                <pt idx="84">
                  <v>0.01090032491353099</v>
                </pt>
                <pt idx="85">
                  <v>0.01119751166407471</v>
                </pt>
                <pt idx="86">
                  <v>0.009586793807033794</v>
                </pt>
                <pt idx="87">
                  <v>0.01391357335093675</v>
                </pt>
                <pt idx="88">
                  <v>0.01001652726999564</v>
                </pt>
                <pt idx="89">
                  <v>0.0131898646303366</v>
                </pt>
                <pt idx="90">
                  <v>0.01424166789017767</v>
                </pt>
                <pt idx="91">
                  <v>0.01249758733835169</v>
                </pt>
                <pt idx="92">
                  <v>0.013773054377353</v>
                </pt>
                <pt idx="93">
                  <v>0.01443211733734497</v>
                </pt>
                <pt idx="94">
                  <v>0.008202419018490181</v>
                </pt>
                <pt idx="95">
                  <v>0.01309983452840596</v>
                </pt>
                <pt idx="96">
                  <v>0.01515357742389182</v>
                </pt>
                <pt idx="97">
                  <v>0.01336312849162009</v>
                </pt>
                <pt idx="98">
                  <v>0.01009967363500041</v>
                </pt>
                <pt idx="99">
                  <v>0.008252194035715848</v>
                </pt>
                <pt idx="100">
                  <v>0.01606617010219999</v>
                </pt>
                <pt idx="101">
                  <v>0.006094702297233971</v>
                </pt>
                <pt idx="102">
                  <v>0.009065491824112456</v>
                </pt>
                <pt idx="103">
                  <v>0.01133501259445842</v>
                </pt>
                <pt idx="104">
                  <v>0.0127023661270237</v>
                </pt>
                <pt idx="105">
                  <v>0.01656009181833087</v>
                </pt>
                <pt idx="106">
                  <v>0.01907258064516125</v>
                </pt>
                <pt idx="107">
                  <v>0.01733074822933561</v>
                </pt>
                <pt idx="108">
                  <v>0.02026370036171292</v>
                </pt>
                <pt idx="109">
                  <v>0.02222476364745357</v>
                </pt>
                <pt idx="110">
                  <v>0.03080365467089304</v>
                </pt>
                <pt idx="111">
                  <v>0.03031728229803556</v>
                </pt>
                <pt idx="112">
                  <v>0.02264826714421151</v>
                </pt>
                <pt idx="113">
                  <v>0.01448976788902625</v>
                </pt>
                <pt idx="114">
                  <v>0.01766736614093285</v>
                </pt>
                <pt idx="115">
                  <v>0.01669549022216306</v>
                </pt>
                <pt idx="116">
                  <v>0.01095845600261697</v>
                </pt>
                <pt idx="117">
                  <v>0.009966024915062282</v>
                </pt>
                <pt idx="118">
                  <v>0.01275109729920225</v>
                </pt>
                <pt idx="119">
                  <v>0.01698775742621247</v>
                </pt>
                <pt idx="120">
                  <v>0.01617518974741806</v>
                </pt>
                <pt idx="121">
                  <v>0.01579527366229944</v>
                </pt>
                <pt idx="122">
                  <v>0.01377169720347158</v>
                </pt>
                <pt idx="123">
                  <v>0.01670580541601037</v>
                </pt>
                <pt idx="124">
                  <v>0.01637283279244496</v>
                </pt>
                <pt idx="125">
                  <v>0.01996375456663702</v>
                </pt>
                <pt idx="126">
                  <v>0.01765518797416582</v>
                </pt>
                <pt idx="127">
                  <v>0.01975999778288948</v>
                </pt>
                <pt idx="128">
                  <v>0.01867050766387644</v>
                </pt>
                <pt idx="129">
                  <v>0.02414427873969536</v>
                </pt>
                <pt idx="130">
                  <v>0.02089194539960403</v>
                </pt>
                <pt idx="131">
                  <v>0.0182444501148253</v>
                </pt>
                <pt idx="132">
                  <v>0.02185189825836361</v>
                </pt>
                <pt idx="133">
                  <v>0.02373887240356074</v>
                </pt>
                <pt idx="134">
                  <v>0.02230207210444375</v>
                </pt>
                <pt idx="135">
                  <v>0.02650201518417846</v>
                </pt>
                <pt idx="136">
                  <v>0.02650261373753056</v>
                </pt>
                <pt idx="137">
                  <v>0.0187911403664828</v>
                </pt>
                <pt idx="138">
                  <v>0.01942680025320325</v>
                </pt>
                <pt idx="139">
                  <v>0.01652998736697853</v>
                </pt>
                <pt idx="140">
                  <v>0.01432332806740389</v>
                </pt>
                <pt idx="141">
                  <v>0.01329041636382516</v>
                </pt>
                <pt idx="142">
                  <v>0.01387437237421866</v>
                </pt>
                <pt idx="143">
                  <v>0.01012694049159116</v>
                </pt>
                <pt idx="144">
                  <v>0.00798431152822526</v>
                </pt>
                <pt idx="145">
                  <v>0.007424759787183402</v>
                </pt>
                <pt idx="146">
                  <v>0.01062152681984776</v>
                </pt>
                <pt idx="147">
                  <v>0.007487569464755784</v>
                </pt>
                <pt idx="148">
                  <v>0.009851168011767218</v>
                </pt>
                <pt idx="149">
                  <v>0.008988462570432006</v>
                </pt>
                <pt idx="150">
                  <v>0.009022356449560306</v>
                </pt>
                <pt idx="151">
                  <v>0.007002748390497343</v>
                </pt>
                <pt idx="152">
                  <v>0.01022544584439371</v>
                </pt>
                <pt idx="153">
                  <v>0.005921430025351128</v>
                </pt>
                <pt idx="154">
                  <v>0.006640790272438039</v>
                </pt>
                <pt idx="155">
                  <v>0.005189868791345325</v>
                </pt>
                <pt idx="156">
                  <v>0.004944915100170862</v>
                </pt>
                <pt idx="157">
                  <v>0.003509533630015605</v>
                </pt>
                <pt idx="158">
                  <v>0.004741130660513378</v>
                </pt>
                <pt idx="159">
                  <v>0.005938817619090393</v>
                </pt>
                <pt idx="160">
                  <v>0.00579673955695066</v>
                </pt>
                <pt idx="161">
                  <v>0.006791863949921134</v>
                </pt>
                <pt idx="162">
                  <v>0.007714799027724</v>
                </pt>
                <pt idx="163">
                  <v>0.007498426903446741</v>
                </pt>
                <pt idx="164">
                  <v>0.007737547925955571</v>
                </pt>
                <pt idx="165">
                  <v>0.009985022466300519</v>
                </pt>
                <pt idx="166">
                  <v>0.01223856682632479</v>
                </pt>
                <pt idx="167">
                  <v>0.009211080239117693</v>
                </pt>
                <pt idx="168">
                  <v>0.009610892344657286</v>
                </pt>
                <pt idx="169">
                  <v>0.01082501487406614</v>
                </pt>
                <pt idx="170">
                  <v>0.007422788287036291</v>
                </pt>
                <pt idx="171">
                  <v>0.006816300696236456</v>
                </pt>
                <pt idx="172">
                  <v>0.0108967229234167</v>
                </pt>
                <pt idx="173">
                  <v>0.01119385135458355</v>
                </pt>
                <pt idx="174">
                  <v>0.008641488606796527</v>
                </pt>
                <pt idx="175">
                  <v>0.007645044791520054</v>
                </pt>
                <pt idx="176">
                  <v>0.009712654378452255</v>
                </pt>
                <pt idx="177">
                  <v>0.007206736531546668</v>
                </pt>
                <pt idx="178">
                  <v>0.007673882862678691</v>
                </pt>
                <pt idx="179">
                  <v>0.005813777441332329</v>
                </pt>
                <pt idx="180">
                  <v>0.0040039738688022</v>
                </pt>
                <pt idx="181">
                  <v>0.005967016491754065</v>
                </pt>
                <pt idx="182">
                  <v>0.004784047214522012</v>
                </pt>
                <pt idx="183">
                  <v>0.007045491626989552</v>
                </pt>
                <pt idx="184">
                  <v>0.005950452175449912</v>
                </pt>
                <pt idx="185">
                  <v>0.005900612023778025</v>
                </pt>
                <pt idx="186">
                  <v>0.005021760964178295</v>
                </pt>
                <pt idx="187">
                  <v>0.005880137879094975</v>
                </pt>
                <pt idx="188">
                  <v>0.005111443874906468</v>
                </pt>
                <pt idx="189">
                  <v>0.004770295242597425</v>
                </pt>
                <pt idx="190">
                  <v>0.00533219275734239</v>
                </pt>
                <pt idx="191">
                  <v>0.005573361318319777</v>
                </pt>
                <pt idx="192">
                  <v>0.005697603903705002</v>
                </pt>
                <pt idx="193">
                  <v>0.004908078697536064</v>
                </pt>
                <pt idx="194">
                  <v>0.004479423954452184</v>
                </pt>
                <pt idx="195">
                  <v>0.004723403072990517</v>
                </pt>
                <pt idx="196">
                  <v>0.004604408063936262</v>
                </pt>
                <pt idx="197">
                  <v>0.00408781226343675</v>
                </pt>
                <pt idx="198">
                  <v>0.004852505757210209</v>
                </pt>
                <pt idx="199">
                  <v>0.004228848934602928</v>
                </pt>
                <pt idx="200">
                  <v>0.004482721147576591</v>
                </pt>
                <pt idx="201">
                  <v>0.004976604549265613</v>
                </pt>
                <pt idx="202">
                  <v>0.002973867642705327</v>
                </pt>
                <pt idx="203">
                  <v>0.003582209700141009</v>
                </pt>
                <pt idx="204">
                  <v>0.001016015614555672</v>
                </pt>
                <pt idx="205">
                  <v>0.002590881166697864</v>
                </pt>
                <pt idx="206">
                  <v>0.003876278772378474</v>
                </pt>
                <pt idx="207">
                  <v>0.002680360389050306</v>
                </pt>
                <pt idx="208">
                  <v>0.00269966254218233</v>
                </pt>
                <pt idx="209">
                  <v>0.004526917340864856</v>
                </pt>
                <pt idx="210">
                  <v>0.003836451545091465</v>
                </pt>
                <pt idx="211">
                  <v>0.005261504633265288</v>
                </pt>
                <pt idx="212">
                  <v>0.006666145874020265</v>
                </pt>
                <pt idx="213">
                  <v>0.006014123490002373</v>
                </pt>
                <pt idx="214">
                  <v>0.00626100818945007</v>
                </pt>
                <pt idx="215">
                  <v>0.005417145777437161</v>
                </pt>
                <pt idx="216">
                  <v>0.006849315068493169</v>
                </pt>
                <pt idx="217">
                  <v>0.006663890045814138</v>
                </pt>
                <pt idx="218">
                  <v>0.003034064266997711</v>
                </pt>
                <pt idx="219">
                  <v>0.003224879067034931</v>
                </pt>
                <pt idx="220">
                  <v>0.002666301192359909</v>
                </pt>
                <pt idx="221">
                  <v>0.003963963963963996</v>
                </pt>
                <pt idx="222">
                  <v>0.004468153575760628</v>
                </pt>
                <pt idx="223">
                  <v>0.005816031051691137</v>
                </pt>
                <pt idx="224">
                  <v>0.005402624131721153</v>
                </pt>
                <pt idx="225">
                  <v>0.003423989862065676</v>
                </pt>
                <pt idx="226">
                  <v>0.005743846312644949</v>
                </pt>
                <pt idx="227">
                  <v>0.005795561565767597</v>
                </pt>
                <pt idx="228">
                  <v>0.007166694677198556</v>
                </pt>
                <pt idx="229">
                  <v>0.008116902466060351</v>
                </pt>
                <pt idx="230">
                  <v>0.006337195554504627</v>
                </pt>
                <pt idx="231">
                  <v>0.007707129094412401</v>
                </pt>
                <pt idx="232">
                  <v>0.007671501189199286</v>
                </pt>
                <pt idx="233">
                  <v>0.007312275830151461</v>
                </pt>
                <pt idx="234">
                  <v>0.009441547403000192</v>
                </pt>
                <pt idx="235">
                  <v>0.0079650448318238</v>
                </pt>
                <pt idx="236">
                  <v>0.006999006592612552</v>
                </pt>
                <pt idx="237">
                  <v>0.008844894847764691</v>
                </pt>
                <pt idx="238">
                  <v>0.007322791772693499</v>
                </pt>
                <pt idx="239">
                  <v>0.00380576269690684</v>
                </pt>
                <pt idx="240">
                  <v>0.01001131905447434</v>
                </pt>
                <pt idx="241">
                  <v>0.006343299821560674</v>
                </pt>
                <pt idx="242">
                  <v>0.004227438345352578</v>
                </pt>
                <pt idx="243">
                  <v>0.004844856915225648</v>
                </pt>
                <pt idx="244">
                  <v>0.004317918827411883</v>
                </pt>
                <pt idx="245">
                  <v>0.003627247026190894</v>
                </pt>
                <pt idx="246">
                  <v>0.007749136327398344</v>
                </pt>
                <pt idx="247">
                  <v>0.001803721361967768</v>
                </pt>
                <pt idx="248">
                  <v>0.0002737562516452799</v>
                </pt>
                <pt idx="249">
                  <v>-0.001378932853338388</v>
                </pt>
                <pt idx="250">
                  <v>0.0006113629176767442</v>
                </pt>
                <pt idx="251">
                  <v>0.003676470588235334</v>
                </pt>
                <pt idx="252">
                  <v>0.002529466712847798</v>
                </pt>
                <pt idx="253">
                  <v>0.004658807763981586</v>
                </pt>
                <pt idx="254">
                  <v>0.003636818357075162</v>
                </pt>
                <pt idx="255">
                  <v>0.00573137303762778</v>
                </pt>
                <pt idx="256">
                  <v>0.004903782623059075</v>
                </pt>
                <pt idx="257">
                  <v>0.007222182270210326</v>
                </pt>
                <pt idx="258">
                  <v>0.005293649660349701</v>
                </pt>
                <pt idx="259">
                  <v>0.001278396120169139</v>
                </pt>
                <pt idx="260">
                  <v>0.00597849767446577</v>
                </pt>
                <pt idx="261">
                  <v>0.004160077359307762</v>
                </pt>
                <pt idx="262">
                  <v>0.006159093188885589</v>
                </pt>
                <pt idx="263">
                  <v>0.004247088849896334</v>
                </pt>
                <pt idx="264">
                  <v>0.003911446440980753</v>
                </pt>
                <pt idx="265">
                  <v>0.003006210197381453</v>
                </pt>
                <pt idx="266">
                  <v>0.005373269708561755</v>
                </pt>
                <pt idx="267">
                  <v>0.005658360546419132</v>
                </pt>
                <pt idx="268">
                  <v>0.004046806435884996</v>
                </pt>
                <pt idx="269">
                  <v>0.005700966347788115</v>
                </pt>
                <pt idx="270">
                  <v>0.004606381334981358</v>
                </pt>
                <pt idx="271">
                  <v>0.000720952811235356</v>
                </pt>
                <pt idx="272">
                  <v>-0.0001152693460385812</v>
                </pt>
                <pt idx="273">
                  <v>0.005677669753679516</v>
                </pt>
                <pt idx="274">
                  <v>0.002445478253393445</v>
                </pt>
                <pt idx="275">
                  <v>-6.670541933876626e-05</v>
                </pt>
                <pt idx="276">
                  <v>-0.0005622688979529362</v>
                </pt>
                <pt idx="277">
                  <v>0.006703345951770129</v>
                </pt>
                <pt idx="278">
                  <v>0.003012048192771199</v>
                </pt>
                <pt idx="279">
                  <v>0.005439401665816698</v>
                </pt>
                <pt idx="280">
                  <v>0.005043674274443563</v>
                </pt>
                <pt idx="281">
                  <v>0.003308194790994974</v>
                </pt>
                <pt idx="282">
                  <v>0.005411648550218318</v>
                </pt>
                <pt idx="283">
                  <v>0.006633191899353433</v>
                </pt>
                <pt idx="284">
                  <v>0.006018884941743787</v>
                </pt>
                <pt idx="285">
                  <v>0.007721018735363074</v>
                </pt>
                <pt idx="286">
                  <v>0.004457315080431385</v>
                </pt>
                <pt idx="287">
                  <v>0.004916536372427603</v>
                </pt>
                <pt idx="288">
                  <v>0.002796988964934148</v>
                </pt>
                <pt idx="289">
                  <v>0.005739807357715562</v>
                </pt>
                <pt idx="290">
                  <v>0.003406395462895302</v>
                </pt>
                <pt idx="291">
                  <v>0.003759198037751962</v>
                </pt>
                <pt idx="292">
                  <v>0.003984169566256765</v>
                </pt>
                <pt idx="293">
                  <v>-0.003774350291454019</v>
                </pt>
                <pt idx="294">
                  <v>0.008984765732192023</v>
                </pt>
                <pt idx="295">
                  <v>0.005500772038180881</v>
                </pt>
                <pt idx="296">
                  <v>0.01060107668548385</v>
                </pt>
                <pt idx="297">
                  <v>0.01484986099839426</v>
                </pt>
                <pt idx="298">
                  <v>0.01398601398601391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88223"/>
        <axId val="656489871"/>
      </barChart>
      <dateAx>
        <axId val="656488223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9871"/>
        <crosses val="autoZero"/>
        <lblOffset val="100"/>
        <baseTimeUnit val="months"/>
      </dateAx>
      <valAx>
        <axId val="656489871"/>
        <scaling>
          <orientation val="minMax"/>
          <max val="0.03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8822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GDPPriceIndex!$D$5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GDPPriceIndex!$D$6:$D$304</f>
              <numCache>
                <formatCode>0.00%</formatCode>
                <ptCount val="299"/>
                <pt idx="4">
                  <v>0.06287099740824337</v>
                </pt>
                <pt idx="5">
                  <v>0.06103596172880239</v>
                </pt>
                <pt idx="6">
                  <v>0.06276898091758017</v>
                </pt>
                <pt idx="7">
                  <v>0.04089426366457151</v>
                </pt>
                <pt idx="8">
                  <v>0.02580036183434289</v>
                </pt>
                <pt idx="9">
                  <v>0.007462686567164185</v>
                </pt>
                <pt idx="10">
                  <v>-0.01688569682151576</v>
                </pt>
                <pt idx="11">
                  <v>-0.01673927998165554</v>
                </pt>
                <pt idx="12">
                  <v>-0.0163331032896251</v>
                </pt>
                <pt idx="13">
                  <v>-0.006018518518518609</v>
                </pt>
                <pt idx="14">
                  <v>0.0219942488536566</v>
                </pt>
                <pt idx="15">
                  <v>0.03855721393034815</v>
                </pt>
                <pt idx="16">
                  <v>0.07670720299345182</v>
                </pt>
                <pt idx="17">
                  <v>0.07840397453811518</v>
                </pt>
                <pt idx="18">
                  <v>0.05984790874524707</v>
                </pt>
                <pt idx="19">
                  <v>0.05688622754491016</v>
                </pt>
                <pt idx="20">
                  <v>0.02353026353895172</v>
                </pt>
                <pt idx="21">
                  <v>0.02159516268355894</v>
                </pt>
                <pt idx="22">
                  <v>0.02597402597402598</v>
                </pt>
                <pt idx="23">
                  <v>0.0162181303116148</v>
                </pt>
                <pt idx="24">
                  <v>0.01598641861781135</v>
                </pt>
                <pt idx="25">
                  <v>0.01444475760992109</v>
                </pt>
                <pt idx="26">
                  <v>0.01063011399398566</v>
                </pt>
                <pt idx="27">
                  <v>0.01010523381420305</v>
                </pt>
                <pt idx="28">
                  <v>0.0133676808466198</v>
                </pt>
                <pt idx="29">
                  <v>0.01284989928457321</v>
                </pt>
                <pt idx="30">
                  <v>0.008165524877171152</v>
                </pt>
                <pt idx="31">
                  <v>0.006485442251966291</v>
                </pt>
                <pt idx="32">
                  <v>0.006046032291308895</v>
                </pt>
                <pt idx="33">
                  <v>0.009806610890138451</v>
                </pt>
                <pt idx="34">
                  <v>0.01764019493444983</v>
                </pt>
                <pt idx="35">
                  <v>0.02303262955854129</v>
                </pt>
                <pt idx="36">
                  <v>0.02922898313187182</v>
                </pt>
                <pt idx="37">
                  <v>0.03320882852292026</v>
                </pt>
                <pt idx="38">
                  <v>0.03743423715095101</v>
                </pt>
                <pt idx="39">
                  <v>0.03698740284106147</v>
                </pt>
                <pt idx="40">
                  <v>0.03861721186384452</v>
                </pt>
                <pt idx="41">
                  <v>0.03615091363218081</v>
                </pt>
                <pt idx="42">
                  <v>0.03276770040959623</v>
                </pt>
                <pt idx="43">
                  <v>0.03243732230550522</v>
                </pt>
                <pt idx="44">
                  <v>0.02932345237334683</v>
                </pt>
                <pt idx="45">
                  <v>0.02645267698553677</v>
                </pt>
                <pt idx="46">
                  <v>0.02108907774630148</v>
                </pt>
                <pt idx="47">
                  <v>0.01639754662661151</v>
                </pt>
                <pt idx="48">
                  <v>0.01266137040714999</v>
                </pt>
                <pt idx="49">
                  <v>0.01124775971818791</v>
                </pt>
                <pt idx="50">
                  <v>0.0130702836004932</v>
                </pt>
                <pt idx="51">
                  <v>0.01576354679802957</v>
                </pt>
                <pt idx="52">
                  <v>0.01293209119882337</v>
                </pt>
                <pt idx="53">
                  <v>0.01362830776752423</v>
                </pt>
                <pt idx="54">
                  <v>0.01375365141187942</v>
                </pt>
                <pt idx="55">
                  <v>0.01424587778855498</v>
                </pt>
                <pt idx="56">
                  <v>0.01355357899195257</v>
                </pt>
                <pt idx="57">
                  <v>0.01193777884963224</v>
                </pt>
                <pt idx="58">
                  <v>0.009665025813422847</v>
                </pt>
                <pt idx="59">
                  <v>0.007590699898392139</v>
                </pt>
                <pt idx="60">
                  <v>0.01140230434003934</v>
                </pt>
                <pt idx="61">
                  <v>0.01221401334604396</v>
                </pt>
                <pt idx="62">
                  <v>0.01248587906534282</v>
                </pt>
                <pt idx="63">
                  <v>0.01257563174753825</v>
                </pt>
                <pt idx="64">
                  <v>0.01251328060441505</v>
                </pt>
                <pt idx="65">
                  <v>0.01059509094119723</v>
                </pt>
                <pt idx="66">
                  <v>0.009337013330201357</v>
                </pt>
                <pt idx="67">
                  <v>0.01347393087287642</v>
                </pt>
                <pt idx="68">
                  <v>0.01230033811355943</v>
                </pt>
                <pt idx="69">
                  <v>0.01438639408235773</v>
                </pt>
                <pt idx="70">
                  <v>0.01826855946008844</v>
                </pt>
                <pt idx="71">
                  <v>0.01601156069364168</v>
                </pt>
                <pt idx="72">
                  <v>0.01658508494097324</v>
                </pt>
                <pt idx="73">
                  <v>0.01837390904915022</v>
                </pt>
                <pt idx="74">
                  <v>0.01794080676494116</v>
                </pt>
                <pt idx="75">
                  <v>0.02031063321385898</v>
                </pt>
                <pt idx="76">
                  <v>0.02209256217073589</v>
                </pt>
                <pt idx="77">
                  <v>0.02649977447000445</v>
                </pt>
                <pt idx="78">
                  <v>0.03087112707678496</v>
                </pt>
                <pt idx="79">
                  <v>0.03245232519237187</v>
                </pt>
                <pt idx="80">
                  <v>0.03048273568697006</v>
                </pt>
                <pt idx="81">
                  <v>0.02740854663297807</v>
                </pt>
                <pt idx="82">
                  <v>0.02760535772623334</v>
                </pt>
                <pt idx="83">
                  <v>0.03056815726938877</v>
                </pt>
                <pt idx="84">
                  <v>0.03748722637551762</v>
                </pt>
                <pt idx="85">
                  <v>0.04282277465918215</v>
                </pt>
                <pt idx="86">
                  <v>0.04344831240396334</v>
                </pt>
                <pt idx="87">
                  <v>0.0463787862907451</v>
                </pt>
                <pt idx="88">
                  <v>0.04546397096941433</v>
                </pt>
                <pt idx="89">
                  <v>0.04752383881882496</v>
                </pt>
                <pt idx="90">
                  <v>0.05235362819275879</v>
                </pt>
                <pt idx="91">
                  <v>0.05088395853157719</v>
                </pt>
                <pt idx="92">
                  <v>0.05479248276887969</v>
                </pt>
                <pt idx="93">
                  <v>0.05608574364997802</v>
                </pt>
                <pt idx="94">
                  <v>0.04979733642154024</v>
                </pt>
                <pt idx="95">
                  <v>0.05042177000428918</v>
                </pt>
                <pt idx="96">
                  <v>0.05185220007521632</v>
                </pt>
                <pt idx="97">
                  <v>0.0507437786737105</v>
                </pt>
                <pt idx="98">
                  <v>0.05272108843537408</v>
                </pt>
                <pt idx="99">
                  <v>0.04768386189374341</v>
                </pt>
                <pt idx="100">
                  <v>0.04862569832402239</v>
                </pt>
                <pt idx="101">
                  <v>0.04110434859310233</v>
                </pt>
                <pt idx="102">
                  <v>0.0400384229140288</v>
                </pt>
                <pt idx="103">
                  <v>0.04321843062532484</v>
                </pt>
                <pt idx="104">
                  <v>0.0397647359672676</v>
                </pt>
                <pt idx="105">
                  <v>0.05058036092518847</v>
                </pt>
                <pt idx="106">
                  <v>0.06099916036943742</v>
                </pt>
                <pt idx="107">
                  <v>0.06728933167289326</v>
                </pt>
                <pt idx="108">
                  <v>0.07525823905558282</v>
                </pt>
                <pt idx="109">
                  <v>0.08125000000000002</v>
                </pt>
                <pt idx="110">
                  <v>0.09369683060974157</v>
                </pt>
                <pt idx="111">
                  <v>0.1076582007700984</v>
                </pt>
                <pt idx="112">
                  <v>0.1102470265324794</v>
                </pt>
                <pt idx="113">
                  <v>0.1018459817266455</v>
                </pt>
                <pt idx="114">
                  <v>0.0878043486125684</v>
                </pt>
                <pt idx="115">
                  <v>0.07342252185821135</v>
                </pt>
                <pt idx="116">
                  <v>0.06115231424254918</v>
                </pt>
                <pt idx="117">
                  <v>0.05642049685236586</v>
                </pt>
                <pt idx="118">
                  <v>0.05131701476652917</v>
                </pt>
                <pt idx="119">
                  <v>0.05161923454367036</v>
                </pt>
                <pt idx="120">
                  <v>0.05704578547160647</v>
                </pt>
                <pt idx="121">
                  <v>0.06314676577067237</v>
                </pt>
                <pt idx="122">
                  <v>0.06421815190914547</v>
                </pt>
                <pt idx="123">
                  <v>0.06392310563643148</v>
                </pt>
                <pt idx="124">
                  <v>0.06413003550875471</v>
                </pt>
                <pt idx="125">
                  <v>0.06849686595949865</v>
                </pt>
                <pt idx="126">
                  <v>0.07258999435212984</v>
                </pt>
                <pt idx="127">
                  <v>0.07581206326930374</v>
                </pt>
                <pt idx="128">
                  <v>0.07824411011707848</v>
                </pt>
                <pt idx="129">
                  <v>0.0826635079109907</v>
                </pt>
                <pt idx="130">
                  <v>0.08610703101183381</v>
                </pt>
                <pt idx="131">
                  <v>0.08449287966083274</v>
                </pt>
                <pt idx="132">
                  <v>0.08787983886028344</v>
                </pt>
                <pt idx="133">
                  <v>0.0874492028758987</v>
                </pt>
                <pt idx="134">
                  <v>0.08895126307731575</v>
                </pt>
                <pt idx="135">
                  <v>0.09778223280290693</v>
                </pt>
                <pt idx="136">
                  <v>0.1027785271108714</v>
                </pt>
                <pt idx="137">
                  <v>0.09744879626302563</v>
                </pt>
                <pt idx="138">
                  <v>0.09436217077514296</v>
                </pt>
                <pt idx="139">
                  <v>0.08373091058506629</v>
                </pt>
                <pt idx="140">
                  <v>0.07087262053015472</v>
                </pt>
                <pt idx="141">
                  <v>0.06509069478095736</v>
                </pt>
                <pt idx="142">
                  <v>0.05928955313363164</v>
                </pt>
                <pt idx="143">
                  <v>0.05261716692996309</v>
                </pt>
                <pt idx="144">
                  <v>0.04603883293531302</v>
                </pt>
                <pt idx="145">
                  <v>0.03998360487754894</v>
                </pt>
                <pt idx="146">
                  <v>0.03664699223803354</v>
                </pt>
                <pt idx="147">
                  <v>0.03393832669641603</v>
                </pt>
                <pt idx="148">
                  <v>0.03585325180655915</v>
                </pt>
                <pt idx="149">
                  <v>0.03746108067630938</v>
                </pt>
                <pt idx="150">
                  <v>0.03581944038217809</v>
                </pt>
                <pt idx="151">
                  <v>0.03532098550388053</v>
                </pt>
                <pt idx="152">
                  <v>0.03570470313158802</v>
                </pt>
                <pt idx="153">
                  <v>0.03255646095693959</v>
                </pt>
                <pt idx="154">
                  <v>0.03011934791611764</v>
                </pt>
                <pt idx="155">
                  <v>0.0282648521329495</v>
                </pt>
                <pt idx="156">
                  <v>0.02289002794174797</v>
                </pt>
                <pt idx="157">
                  <v>0.02043744596309862</v>
                </pt>
                <pt idx="158">
                  <v>0.01851175030152403</v>
                </pt>
                <pt idx="159">
                  <v>0.01927062502272484</v>
                </pt>
                <pt idx="160">
                  <v>0.02013459242374904</v>
                </pt>
                <pt idx="161">
                  <v>0.02347130083645802</v>
                </pt>
                <pt idx="162">
                  <v>0.02650040369606179</v>
                </pt>
                <pt idx="163">
                  <v>0.02809189169906888</v>
                </pt>
                <pt idx="164">
                  <v>0.0300757213030449</v>
                </pt>
                <pt idx="165">
                  <v>0.03334272730475218</v>
                </pt>
                <pt idx="166">
                  <v>0.03798154233377603</v>
                </pt>
                <pt idx="167">
                  <v>0.03974601412189247</v>
                </pt>
                <pt idx="168">
                  <v>0.04167886101881659</v>
                </pt>
                <pt idx="169">
                  <v>0.04254521281129076</v>
                </pt>
                <pt idx="170">
                  <v>0.03758524880020206</v>
                </pt>
                <pt idx="171">
                  <v>0.03512313955816587</v>
                </pt>
                <pt idx="172">
                  <v>0.03644146228597869</v>
                </pt>
                <pt idx="173">
                  <v>0.03681964586432979</v>
                </pt>
                <pt idx="174">
                  <v>0.03807390817469211</v>
                </pt>
                <pt idx="175">
                  <v>0.03892838144977995</v>
                </pt>
                <pt idx="176">
                  <v>0.0377114792786185</v>
                </pt>
                <pt idx="177">
                  <v>0.03361980603958051</v>
                </pt>
                <pt idx="178">
                  <v>0.03262823820020944</v>
                </pt>
                <pt idx="179">
                  <v>0.0307515670576553</v>
                </pt>
                <pt idx="180">
                  <v>0.02492393742893143</v>
                </pt>
                <pt idx="181">
                  <v>0.02366241017895559</v>
                </pt>
                <pt idx="182">
                  <v>0.02072672218016654</v>
                </pt>
                <pt idx="183">
                  <v>0.02197669867838769</v>
                </pt>
                <pt idx="184">
                  <v>0.02395802098950523</v>
                </pt>
                <pt idx="185">
                  <v>0.0238904289248561</v>
                </pt>
                <pt idx="186">
                  <v>0.02413266289918287</v>
                </pt>
                <pt idx="187">
                  <v>0.02294753586473021</v>
                </pt>
                <pt idx="188">
                  <v>0.02209435122551173</v>
                </pt>
                <pt idx="189">
                  <v>0.02094583776073139</v>
                </pt>
                <pt idx="190">
                  <v>0.02126118819337817</v>
                </pt>
                <pt idx="191">
                  <v>0.02094972067039104</v>
                </pt>
                <pt idx="192">
                  <v>0.0215451172518516</v>
                </pt>
                <pt idx="193">
                  <v>0.0216852010265184</v>
                </pt>
                <pt idx="194">
                  <v>0.02081856085316396</v>
                </pt>
                <pt idx="195">
                  <v>0.01995571664292674</v>
                </pt>
                <pt idx="196">
                  <v>0.01884702219853871</v>
                </pt>
                <pt idx="197">
                  <v>0.01801537796011773</v>
                </pt>
                <pt idx="198">
                  <v>0.01839348726070404</v>
                </pt>
                <pt idx="199">
                  <v>0.01789220430850912</v>
                </pt>
                <pt idx="200">
                  <v>0.01776890785217806</v>
                </pt>
                <pt idx="201">
                  <v>0.01866981028621552</v>
                </pt>
                <pt idx="202">
                  <v>0.01676533980847406</v>
                </pt>
                <pt idx="203">
                  <v>0.0161106281243209</v>
                </pt>
                <pt idx="204">
                  <v>0.01260379195629246</v>
                </pt>
                <pt idx="205">
                  <v>0.01019996232203905</v>
                </pt>
                <pt idx="206">
                  <v>0.01110887502515601</v>
                </pt>
                <pt idx="207">
                  <v>0.01020026202507942</v>
                </pt>
                <pt idx="208">
                  <v>0.01189935628622566</v>
                </pt>
                <pt idx="209">
                  <v>0.01385336743392999</v>
                </pt>
                <pt idx="210">
                  <v>0.01381314438119497</v>
                </pt>
                <pt idx="211">
                  <v>0.01642294713160854</v>
                </pt>
                <pt idx="212">
                  <v>0.02044371708746311</v>
                </pt>
                <pt idx="213">
                  <v>0.02195448812276654</v>
                </pt>
                <pt idx="214">
                  <v>0.02442280508873881</v>
                </pt>
                <pt idx="215">
                  <v>0.02458141291044978</v>
                </pt>
                <pt idx="216">
                  <v>0.02476784189968709</v>
                </pt>
                <pt idx="217">
                  <v>0.02542972114729432</v>
                </pt>
                <pt idx="218">
                  <v>0.02214130573655301</v>
                </pt>
                <pt idx="219">
                  <v>0.01991257275014605</v>
                </pt>
                <pt idx="220">
                  <v>0.01567528681231293</v>
                </pt>
                <pt idx="221">
                  <v>0.01295119168515943</v>
                </pt>
                <pt idx="222">
                  <v>0.01439946002024925</v>
                </pt>
                <pt idx="223">
                  <v>0.01701947396618532</v>
                </pt>
                <pt idx="224">
                  <v>0.01979496738117432</v>
                </pt>
                <pt idx="225">
                  <v>0.01924647869891337</v>
                </pt>
                <pt idx="226">
                  <v>0.02054094017620604</v>
                </pt>
                <pt idx="227">
                  <v>0.0205201710218434</v>
                </pt>
                <pt idx="228">
                  <v>0.02231076668128873</v>
                </pt>
                <pt idx="229">
                  <v>0.02709201083194689</v>
                </pt>
                <pt idx="230">
                  <v>0.02769795464973071</v>
                </pt>
                <pt idx="231">
                  <v>0.0296511488319608</v>
                </pt>
                <pt idx="232">
                  <v>0.03016722487753139</v>
                </pt>
                <pt idx="233">
                  <v>0.02934499881768739</v>
                </pt>
                <pt idx="234">
                  <v>0.03252032520325204</v>
                </pt>
                <pt idx="235">
                  <v>0.03278459170824975</v>
                </pt>
                <pt idx="236">
                  <v>0.03209533726715245</v>
                </pt>
                <pt idx="237">
                  <v>0.03366566355011368</v>
                </pt>
                <pt idx="238">
                  <v>0.03149606299212599</v>
                </pt>
                <pt idx="239">
                  <v>0.02723968210963601</v>
                </pt>
                <pt idx="240">
                  <v>0.0303125420384737</v>
                </pt>
                <pt idx="241">
                  <v>0.02775771448890475</v>
                </pt>
                <pt idx="242">
                  <v>0.0245995675771081</v>
                </pt>
                <pt idx="243">
                  <v>0.02566018659955816</v>
                </pt>
                <pt idx="244">
                  <v>0.01987857422640029</v>
                </pt>
                <pt idx="245">
                  <v>0.01712599063692687</v>
                </pt>
                <pt idx="246">
                  <v>0.02069292220236426</v>
                </pt>
                <pt idx="247">
                  <v>0.01760382291175589</v>
                </pt>
                <pt idx="248">
                  <v>0.01350616098575778</v>
                </pt>
                <pt idx="249">
                  <v>0.008450704225352131</v>
                </pt>
                <pt idx="250">
                  <v>0.001307961689380145</v>
                </pt>
                <pt idx="251">
                  <v>0.003179784153724735</v>
                </pt>
                <pt idx="252">
                  <v>0.005442047978442289</v>
                </pt>
                <pt idx="253">
                  <v>0.01152102877621998</v>
                </pt>
                <pt idx="254">
                  <v>0.01457947075678409</v>
                </pt>
                <pt idx="255">
                  <v>0.01665669573979033</v>
                </pt>
                <pt idx="256">
                  <v>0.01906446952406874</v>
                </pt>
                <pt idx="257">
                  <v>0.02166459989787739</v>
                </pt>
                <pt idx="258">
                  <v>0.02335119195946517</v>
                </pt>
                <pt idx="259">
                  <v>0.01882020151965635</v>
                </pt>
                <pt idx="260">
                  <v>0.01990979977193111</v>
                </pt>
                <pt idx="261">
                  <v>0.01680912262091752</v>
                </pt>
                <pt idx="262">
                  <v>0.01768447966234104</v>
                </pt>
                <pt idx="263">
                  <v>0.02070181482870091</v>
                </pt>
                <pt idx="264">
                  <v>0.0186045106117227</v>
                </pt>
                <pt idx="265">
                  <v>0.01743404554117765</v>
                </pt>
                <pt idx="266">
                  <v>0.01663941617482849</v>
                </pt>
                <pt idx="267">
                  <v>0.01806810284920076</v>
                </pt>
                <pt idx="268">
                  <v>0.01820537162295803</v>
                </pt>
                <pt idx="269">
                  <v>0.02094096304767924</v>
                </pt>
                <pt idx="270">
                  <v>0.02016219979798571</v>
                </pt>
                <pt idx="271">
                  <v>0.01515358361774746</v>
                </pt>
                <pt idx="272">
                  <v>0.01094546690623023</v>
                </pt>
                <pt idx="273">
                  <v>0.01092204882571076</v>
                </pt>
                <pt idx="274">
                  <v>0.008747560776321954</v>
                </pt>
                <pt idx="275">
                  <v>0.007953584876661828</v>
                </pt>
                <pt idx="276">
                  <v>0.007502978134727029</v>
                </pt>
                <pt idx="277">
                  <v>0.00853051593859544</v>
                </pt>
                <pt idx="278">
                  <v>0.009100525066943773</v>
                </pt>
                <pt idx="279">
                  <v>0.01465711127206188</v>
                </pt>
                <pt idx="280">
                  <v>0.02034842142400809</v>
                </pt>
                <pt idx="281">
                  <v>0.01690725164810195</v>
                </pt>
                <pt idx="282">
                  <v>0.01934009481179281</v>
                </pt>
                <pt idx="283">
                  <v>0.02055038978115904</v>
                </pt>
                <pt idx="284">
                  <v>0.02154064687356895</v>
                </pt>
                <pt idx="285">
                  <v>0.02603366213056884</v>
                </pt>
                <pt idx="286">
                  <v>0.02505975431250127</v>
                </pt>
                <pt idx="287">
                  <v>0.02331167516427692</v>
                </pt>
                <pt idx="288">
                  <v>0.02003439695550349</v>
                </pt>
                <pt idx="289">
                  <v>0.01802897708704011</v>
                </pt>
                <pt idx="290">
                  <v>0.0169638580350122</v>
                </pt>
                <pt idx="291">
                  <v>0.0157926450881816</v>
                </pt>
                <pt idx="292">
                  <v>0.016995210848236</v>
                </pt>
                <pt idx="293">
                  <v>0.007374578659199927</v>
                </pt>
                <pt idx="294">
                  <v>0.01297500977569224</v>
                </pt>
                <pt idx="295">
                  <v>0.01473257368500271</v>
                </pt>
                <pt idx="296">
                  <v>0.02142031976154561</v>
                </pt>
                <pt idx="297">
                  <v>0.04051553966132313</v>
                </pt>
                <pt idx="298">
                  <v>0.04567307692307696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656494911"/>
        <axId val="656796223"/>
      </barChart>
      <dateAx>
        <axId val="656494911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796223"/>
        <crosses val="autoZero"/>
        <lblOffset val="100"/>
        <baseTimeUnit val="months"/>
      </dateAx>
      <valAx>
        <axId val="6567962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5649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GDPPriceIndex!$E$5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GDPPriceIndex!$A$6:$A$304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GDPPriceIndex!$E$6:$E$304</f>
              <numCache>
                <formatCode>0.00%</formatCode>
                <ptCount val="299"/>
                <pt idx="0">
                  <v>0</v>
                </pt>
                <pt idx="1">
                  <v>0.05563492285089855</v>
                </pt>
                <pt idx="2">
                  <v>0.0645203152783167</v>
                </pt>
                <pt idx="3">
                  <v>0.0850886985652346</v>
                </pt>
                <pt idx="4">
                  <v>0.04662061104868176</v>
                </pt>
                <pt idx="5">
                  <v>0.04836361004626633</v>
                </pt>
                <pt idx="6">
                  <v>0.07149221425601349</v>
                </pt>
                <pt idx="7">
                  <v>-0.001527241903915733</v>
                </pt>
                <pt idx="8">
                  <v>-0.01277938861343131</v>
                </pt>
                <pt idx="9">
                  <v>-0.02461420493583355</v>
                </pt>
                <pt idx="10">
                  <v>-0.0283962156407328</v>
                </pt>
                <pt idx="11">
                  <v>-0.0009322922102921183</v>
                </pt>
                <pt idx="12">
                  <v>-0.01114712759295688</v>
                </pt>
                <pt idx="13">
                  <v>0.01694478664542021</v>
                </pt>
                <pt idx="14">
                  <v>0.0858499908475614</v>
                </pt>
                <pt idx="15">
                  <v>0.06542484801535386</v>
                </pt>
                <pt idx="16">
                  <v>0.1423533145774629</v>
                </pt>
                <pt idx="17">
                  <v>0.02337032595193111</v>
                </pt>
                <pt idx="18">
                  <v>0.01302019106967744</v>
                </pt>
                <pt idx="19">
                  <v>0.05356561133532955</v>
                </pt>
                <pt idx="20">
                  <v>0.00482456821038002</v>
                </pt>
                <pt idx="21">
                  <v>0.01565305214626922</v>
                </pt>
                <pt idx="22">
                  <v>0.03050061354501166</v>
                </pt>
                <pt idx="23">
                  <v>0.01406052674973357</v>
                </pt>
                <pt idx="24">
                  <v>0.003908426388796293</v>
                </pt>
                <pt idx="25">
                  <v>0.009502448653614826</v>
                </pt>
                <pt idx="26">
                  <v>0.01508774708572691</v>
                </pt>
                <pt idx="27">
                  <v>0.01195552015525747</v>
                </pt>
                <pt idx="28">
                  <v>0.01694112653228852</v>
                </pt>
                <pt idx="29">
                  <v>0.007440802961386161</v>
                </pt>
                <pt idx="30">
                  <v>-0.003561274415962767</v>
                </pt>
                <pt idx="31">
                  <v>0.005226769245573193</v>
                </pt>
                <pt idx="32">
                  <v>0.015166390420011</v>
                </pt>
                <pt idx="33">
                  <v>0.02258864122103721</v>
                </pt>
                <pt idx="34">
                  <v>0.02771990791197898</v>
                </pt>
                <pt idx="35">
                  <v>0.02670334825357634</v>
                </pt>
                <pt idx="36">
                  <v>0.03998558066764102</v>
                </pt>
                <pt idx="37">
                  <v>0.03849729182010719</v>
                </pt>
                <pt idx="38">
                  <v>0.0446351645001497</v>
                </pt>
                <pt idx="39">
                  <v>0.02493564112670543</v>
                </pt>
                <pt idx="40">
                  <v>0.04653909521518451</v>
                </pt>
                <pt idx="41">
                  <v>0.02866831709558593</v>
                </pt>
                <pt idx="42">
                  <v>0.0310581794456628</v>
                </pt>
                <pt idx="43">
                  <v>0.02362477965989851</v>
                </pt>
                <pt idx="44">
                  <v>0.03397049376188299</v>
                </pt>
                <pt idx="45">
                  <v>0.01724044386227419</v>
                </pt>
                <pt idx="46">
                  <v>0.009675848315586544</v>
                </pt>
                <pt idx="47">
                  <v>0.004941312401007369</v>
                </pt>
                <pt idx="48">
                  <v>0.01885102559765839</v>
                </pt>
                <pt idx="49">
                  <v>0.0115723150639182</v>
                </pt>
                <pt idx="50">
                  <v>0.01697431282791162</v>
                </pt>
                <pt idx="51">
                  <v>0.01567061255776014</v>
                </pt>
                <pt idx="52">
                  <v>0.007538189706651988</v>
                </pt>
                <pt idx="53">
                  <v>0.01435631152452599</v>
                </pt>
                <pt idx="54">
                  <v>0.01747743576516614</v>
                </pt>
                <pt idx="55">
                  <v>0.01764467834834194</v>
                </pt>
                <pt idx="56">
                  <v>0.004790123761116316</v>
                </pt>
                <pt idx="57">
                  <v>0.007903443305609548</v>
                </pt>
                <pt idx="58">
                  <v>0.00836740503927591</v>
                </pt>
                <pt idx="59">
                  <v>0.009307535519764709</v>
                </pt>
                <pt idx="60">
                  <v>0.02008065503757028</v>
                </pt>
                <pt idx="61">
                  <v>0.01114294439813546</v>
                </pt>
                <pt idx="62">
                  <v>0.009451171875893172</v>
                </pt>
                <pt idx="63">
                  <v>0.009665466850730997</v>
                </pt>
                <pt idx="64">
                  <v>0.01982942513059927</v>
                </pt>
                <pt idx="65">
                  <v>0.003502316936785377</v>
                </pt>
                <pt idx="66">
                  <v>0.004433936205364697</v>
                </pt>
                <pt idx="67">
                  <v>0.02632056797076787</v>
                </pt>
                <pt idx="68">
                  <v>0.01511381455027871</v>
                </pt>
                <pt idx="69">
                  <v>0.01179962368042342</v>
                </pt>
                <pt idx="70">
                  <v>0.01989873680489884</v>
                </pt>
                <pt idx="71">
                  <v>0.01725139217759075</v>
                </pt>
                <pt idx="72">
                  <v>0.01740782597163282</v>
                </pt>
                <pt idx="73">
                  <v>0.01894005662919507</v>
                </pt>
                <pt idx="74">
                  <v>0.01816484020421849</v>
                </pt>
                <pt idx="75">
                  <v>0.02675740951125571</v>
                </pt>
                <pt idx="76">
                  <v>0.02453390422516155</v>
                </pt>
                <pt idx="77">
                  <v>0.03662852954673124</v>
                </pt>
                <pt idx="78">
                  <v>0.03561937370724677</v>
                </pt>
                <pt idx="79">
                  <v>0.03307147137616284</v>
                </pt>
                <pt idx="80">
                  <v>0.01673831223148703</v>
                </pt>
                <pt idx="81">
                  <v>0.02431368017956204</v>
                </pt>
                <pt idx="82">
                  <v>0.03641313761170695</v>
                </pt>
                <pt idx="83">
                  <v>0.04503733525426723</v>
                </pt>
                <pt idx="84">
                  <v>0.04431939685019626</v>
                </pt>
                <pt idx="85">
                  <v>0.0455479839495061</v>
                </pt>
                <pt idx="86">
                  <v>0.03890214772704148</v>
                </pt>
                <pt idx="87">
                  <v>0.05682662999705368</v>
                </pt>
                <pt idx="88">
                  <v>0.0406721239230794</v>
                </pt>
                <pt idx="89">
                  <v>0.05381250265801274</v>
                </pt>
                <pt idx="90">
                  <v>0.05819521759559909</v>
                </pt>
                <pt idx="91">
                  <v>0.05093531986143662</v>
                </pt>
                <pt idx="92">
                  <v>0.0562408864855295</v>
                </pt>
                <pt idx="93">
                  <v>0.05899025283006831</v>
                </pt>
                <pt idx="94">
                  <v>0.0332155660914788</v>
                </pt>
                <pt idx="95">
                  <v>0.05343799357340284</v>
                </pt>
                <pt idx="96">
                  <v>0.06200606679739096</v>
                </pt>
                <pt idx="97">
                  <v>0.05453353026000185</v>
                </pt>
                <pt idx="98">
                  <v>0.04101484619440021</v>
                </pt>
                <pt idx="99">
                  <v>0.03341962087367101</v>
                </pt>
                <pt idx="100">
                  <v>0.06583006608257325</v>
                </pt>
                <pt idx="101">
                  <v>0.02460258850579122</v>
                </pt>
                <pt idx="102">
                  <v>0.03675805302500468</v>
                </pt>
                <pt idx="103">
                  <v>0.04611678735218816</v>
                </pt>
                <pt idx="104">
                  <v>0.05178578928574606</v>
                </pt>
                <pt idx="105">
                  <v>0.06790402786106964</v>
                </pt>
                <pt idx="106">
                  <v>0.07850078652118109</v>
                </pt>
                <pt idx="107">
                  <v>0.07114603363154415</v>
                </pt>
                <pt idx="108">
                  <v>0.08355195789189818</v>
                </pt>
                <pt idx="109">
                  <v>0.09190685009138622</v>
                </pt>
                <pt idx="110">
                  <v>0.1290256239316703</v>
                </pt>
                <pt idx="111">
                  <v>0.1268962626587935</v>
                </pt>
                <pt idx="112">
                  <v>0.09371746488759913</v>
                </pt>
                <pt idx="113">
                  <v>0.05923100457998842</v>
                </pt>
                <pt idx="114">
                  <v>0.07256443542237179</v>
                </pt>
                <pt idx="115">
                  <v>0.06847308971014399</v>
                </pt>
                <pt idx="116">
                  <v>0.04455962888495368</v>
                </pt>
                <pt idx="117">
                  <v>0.04046399880894413</v>
                </pt>
                <pt idx="118">
                  <v>0.05198825135471674</v>
                </pt>
                <pt idx="119">
                  <v>0.06970222597307218</v>
                </pt>
                <pt idx="120">
                  <v>0.06628757612082725</v>
                </pt>
                <pt idx="121">
                  <v>0.0646938640088337</v>
                </pt>
                <pt idx="122">
                  <v>0.05623523038859979</v>
                </pt>
                <pt idx="123">
                  <v>0.06851645244709381</v>
                </pt>
                <pt idx="124">
                  <v>0.06711737719147948</v>
                </pt>
                <pt idx="125">
                  <v>0.08227831242525019</v>
                </pt>
                <pt idx="126">
                  <v>0.07251309591975108</v>
                </pt>
                <pt idx="127">
                  <v>0.08141375042122179</v>
                </pt>
                <pt idx="128">
                  <v>0.0767997125565405</v>
                </pt>
                <pt idx="129">
                  <v>0.1001314312219814</v>
                </pt>
                <pt idx="130">
                  <v>0.08622328751521868</v>
                </pt>
                <pt idx="131">
                  <v>0.07499936240274963</v>
                </pt>
                <pt idx="132">
                  <v>0.09031459139257936</v>
                </pt>
                <pt idx="133">
                  <v>0.09839052221570421</v>
                </pt>
                <pt idx="134">
                  <v>0.09223720096234866</v>
                </pt>
                <pt idx="135">
                  <v>0.1102971503779835</v>
                </pt>
                <pt idx="136">
                  <v>0.1102997400374395</v>
                </pt>
                <pt idx="137">
                  <v>0.07730986901760994</v>
                </pt>
                <pt idx="138">
                  <v>0.08000107359427489</v>
                </pt>
                <pt idx="139">
                  <v>0.0677775336692763</v>
                </pt>
                <pt idx="140">
                  <v>0.05853605488658098</v>
                </pt>
                <pt idx="141">
                  <v>0.0542308978776882</v>
                </pt>
                <pt idx="142">
                  <v>0.056663198972426</v>
                </pt>
                <pt idx="143">
                  <v>0.04112725629663672</v>
                </pt>
                <pt idx="144">
                  <v>0.03232178153521015</v>
                </pt>
                <pt idx="145">
                  <v>0.03003144175576145</v>
                </pt>
                <pt idx="146">
                  <v>0.0431678141469638</v>
                </pt>
                <pt idx="147">
                  <v>0.03028834230438604</v>
                </pt>
                <pt idx="148">
                  <v>0.0399907785786191</v>
                </pt>
                <pt idx="149">
                  <v>0.03644151636541793</v>
                </pt>
                <pt idx="150">
                  <v>0.03658078770458695</v>
                </pt>
                <pt idx="151">
                  <v>0.02830660049357436</v>
                </pt>
                <pt idx="152">
                  <v>0.04153342944656147</v>
                </pt>
                <pt idx="153">
                  <v>0.02389693183241692</v>
                </pt>
                <pt idx="154">
                  <v>0.02682893504516537</v>
                </pt>
                <pt idx="155">
                  <v>0.02092164347031633</v>
                </pt>
                <pt idx="156">
                  <v>0.01992685776660208</v>
                </pt>
                <pt idx="157">
                  <v>0.01411220853483286</v>
                </pt>
                <pt idx="158">
                  <v>0.01909981935757621</v>
                </pt>
                <pt idx="159">
                  <v>0.02396772688639182</v>
                </pt>
                <pt idx="160">
                  <v>0.02338935162642075</v>
                </pt>
                <pt idx="161">
                  <v>0.02744548764196098</v>
                </pt>
                <pt idx="162">
                  <v>0.0312181450789939</v>
                </pt>
                <pt idx="163">
                  <v>0.03033275564973681</v>
                </pt>
                <pt idx="164">
                  <v>0.03131126615271573</v>
                </pt>
                <pt idx="165">
                  <v>0.04054228590120679</v>
                </pt>
                <pt idx="166">
                  <v>0.04986031734129814</v>
                </pt>
                <pt idx="167">
                  <v>0.03735651816954011</v>
                </pt>
                <pt idx="168">
                  <v>0.03900134442440639</v>
                </pt>
                <pt idx="169">
                  <v>0.04400823285175903</v>
                </pt>
                <pt idx="170">
                  <v>0.03002337881643724</v>
                </pt>
                <pt idx="171">
                  <v>0.02754524346937814</v>
                </pt>
                <pt idx="172">
                  <v>0.04430451266054414</v>
                </pt>
                <pt idx="173">
                  <v>0.0455328454295405</v>
                </pt>
                <pt idx="174">
                  <v>0.03501659317953099</v>
                </pt>
                <pt idx="175">
                  <v>0.03093265015214297</v>
                </pt>
                <pt idx="176">
                  <v>0.03942030534192975</v>
                </pt>
                <pt idx="177">
                  <v>0.02914006831883853</v>
                </pt>
                <pt idx="178">
                  <v>0.03105067340084289</v>
                </pt>
                <pt idx="179">
                  <v>0.02345869697949277</v>
                </pt>
                <pt idx="180">
                  <v>0.01611234333642142</v>
                </pt>
                <pt idx="181">
                  <v>0.02408254877894001</v>
                </pt>
                <pt idx="182">
                  <v>0.01927395000042864</v>
                </pt>
                <pt idx="183">
                  <v>0.0284812016088698</v>
                </pt>
                <pt idx="184">
                  <v>0.02401510001368368</v>
                </pt>
                <pt idx="185">
                  <v>0.02381217441256323</v>
                </pt>
                <pt idx="186">
                  <v>0.02023885954849591</v>
                </pt>
                <pt idx="187">
                  <v>0.02372882208783844</v>
                </pt>
                <pt idx="188">
                  <v>0.02060307151703955</v>
                </pt>
                <pt idx="189">
                  <v>0.01921814999437021</v>
                </pt>
                <pt idx="190">
                  <v>0.02149997194095432</v>
                </pt>
                <pt idx="191">
                  <v>0.02248051286339847</v>
                </pt>
                <pt idx="192">
                  <v>0.02298593264831039</v>
                </pt>
                <pt idx="193">
                  <v>0.01977732371691632</v>
                </pt>
                <pt idx="194">
                  <v>0.01803844717705272</v>
                </pt>
                <pt idx="195">
                  <v>0.0190278975358904</v>
                </pt>
                <pt idx="196">
                  <v>0.01854522661129354</v>
                </pt>
                <pt idx="197">
                  <v>0.01645178382037527</v>
                </pt>
                <pt idx="198">
                  <v>0.01955176150020121</v>
                </pt>
                <pt idx="199">
                  <v>0.01702299753887404</v>
                </pt>
                <pt idx="200">
                  <v>0.01805181404476897</v>
                </pt>
                <pt idx="201">
                  <v>0.02005551138163941</v>
                </pt>
                <pt idx="202">
                  <v>0.01194863918379241</v>
                </pt>
                <pt idx="203">
                  <v>0.01440601619414728</v>
                </pt>
                <pt idx="204">
                  <v>0.004070260380944823</v>
                </pt>
                <pt idx="205">
                  <v>0.01040387027004286</v>
                </pt>
                <pt idx="206">
                  <v>0.01559550151069033</v>
                </pt>
                <pt idx="207">
                  <v>0.01076462462510119</v>
                </pt>
                <pt idx="208">
                  <v>0.01084245799137928</v>
                </pt>
                <pt idx="209">
                  <v>0.01823099874720513</v>
                </pt>
                <pt idx="210">
                  <v>0.01543434242484976</v>
                </pt>
                <pt idx="211">
                  <v>0.02121270251147078</v>
                </pt>
                <pt idx="212">
                  <v>0.02693239538310555</v>
                </pt>
                <pt idx="213">
                  <v>0.02427438347209421</v>
                </pt>
                <pt idx="214">
                  <v>0.02528021736743047</v>
                </pt>
                <pt idx="215">
                  <v>0.02184529265586987</v>
                </pt>
                <pt idx="216">
                  <v>0.02768002646713219</v>
                </pt>
                <pt idx="217">
                  <v>0.02692319044347058</v>
                </pt>
                <pt idx="218">
                  <v>0.0121916021494628</v>
                </pt>
                <pt idx="219">
                  <v>0.01296204959924774</v>
                </pt>
                <pt idx="220">
                  <v>0.01070793561293937</v>
                </pt>
                <pt idx="221">
                  <v>0.0159503833078265</v>
                </pt>
                <pt idx="222">
                  <v>0.01799275789583543</v>
                </pt>
                <pt idx="223">
                  <v>0.02346786959146074</v>
                </pt>
                <pt idx="224">
                  <v>0.0217862582385786</v>
                </pt>
                <pt idx="225">
                  <v>0.01376646239257084</v>
                </pt>
                <pt idx="226">
                  <v>0.02317409496045286</v>
                </pt>
                <pt idx="227">
                  <v>0.02338455725209965</v>
                </pt>
                <pt idx="228">
                  <v>0.02897642279149237</v>
                </pt>
                <pt idx="229">
                  <v>0.03286505793825634</v>
                </pt>
                <pt idx="230">
                  <v>0.02559076212412181</v>
                </pt>
                <pt idx="231">
                  <v>0.03118675014816397</v>
                </pt>
                <pt idx="232">
                  <v>0.03104092573394102</v>
                </pt>
                <pt idx="233">
                  <v>0.02957148637783336</v>
                </pt>
                <pt idx="234">
                  <v>0.03830442104716458</v>
                </pt>
                <pt idx="235">
                  <v>0.03224285625877155</v>
                </pt>
                <pt idx="236">
                  <v>0.02829131674574814</v>
                </pt>
                <pt idx="237">
                  <v>0.03585174632162613</v>
                </pt>
                <pt idx="238">
                  <v>0.02961448033074254</v>
                </pt>
                <pt idx="239">
                  <v>0.01531017446371474</v>
                </pt>
                <pt idx="240">
                  <v>0.04065065891675923</v>
                </pt>
                <pt idx="241">
                  <v>0.02561564657395698</v>
                </pt>
                <pt idx="242">
                  <v>0.01701728330874985</v>
                </pt>
                <pt idx="243">
                  <v>0.01952071892934226</v>
                </pt>
                <pt idx="244">
                  <v>0.01738386421568294</v>
                </pt>
                <pt idx="245">
                  <v>0.01458812069741211</v>
                </pt>
                <pt idx="246">
                  <v>0.03135870491349002</v>
                </pt>
                <pt idx="247">
                  <v>0.007234429395951203</v>
                </pt>
                <pt idx="248">
                  <v>0.00109547474356253</v>
                </pt>
                <pt idx="249">
                  <v>-0.005504333162773323</v>
                </pt>
                <pt idx="250">
                  <v>0.002447695172572484</v>
                </pt>
                <pt idx="251">
                  <v>0.01478717992266976</v>
                </pt>
                <pt idx="252">
                  <v>0.01015632083959073</v>
                </pt>
                <pt idx="253">
                  <v>0.01876586293388338</v>
                </pt>
                <pt idx="254">
                  <v>0.01462682469856591</v>
                </pt>
                <pt idx="255">
                  <v>0.02312333812209011</v>
                </pt>
                <pt idx="256">
                  <v>0.01975988526127503</v>
                </pt>
                <pt idx="257">
                  <v>0.02920319813566685</v>
                </pt>
                <pt idx="258">
                  <v>0.02134332915702242</v>
                </pt>
                <pt idx="259">
                  <v>0.005123398620302089</v>
                </pt>
                <pt idx="260">
                  <v>0.02412930132629043</v>
                </pt>
                <pt idx="261">
                  <v>0.01674443517979918</v>
                </pt>
                <pt idx="262">
                  <v>0.02486491533475021</v>
                </pt>
                <pt idx="263">
                  <v>0.01709688873908055</v>
                </pt>
                <pt idx="264">
                  <v>0.01573782184890171</v>
                </pt>
                <pt idx="265">
                  <v>0.01207917334179376</v>
                </pt>
                <pt idx="266">
                  <v>0.02166693238076678</v>
                </pt>
                <pt idx="267">
                  <v>0.02282627013112326</v>
                </pt>
                <pt idx="268">
                  <v>0.0162857509581178</v>
                </pt>
                <pt idx="269">
                  <v>0.02299961370008341</v>
                </pt>
                <pt idx="270">
                  <v>0.01855322925077729</v>
                </pt>
                <pt idx="271">
                  <v>0.00288693138187468</v>
                </pt>
                <pt idx="272">
                  <v>-0.0004609976681475558</v>
                </pt>
                <pt idx="273">
                  <v>0.02290482775681069</v>
                </pt>
                <pt idx="274">
                  <v>0.009817853732064563</v>
                </pt>
                <pt idx="275">
                  <v>-0.0002667949808642378</v>
                </pt>
                <pt idx="276">
                  <v>-0.002247179424867296</v>
                </pt>
                <pt idx="277">
                  <v>0.02708419976321275</v>
                </pt>
                <pt idx="278">
                  <v>0.01210273676572449</v>
                </pt>
                <pt idx="279">
                  <v>0.02193577382583256</v>
                </pt>
                <pt idx="280">
                  <v>0.02032784286308131</v>
                </pt>
                <pt idx="281">
                  <v>0.01329858902196213</v>
                </pt>
                <pt idx="282">
                  <v>0.02182294463958523</v>
                </pt>
                <pt idx="283">
                  <v>0.02679793236345884</v>
                </pt>
                <pt idx="284">
                  <v>0.02429377511902042</v>
                </pt>
                <pt idx="285">
                  <v>0.03124360440443597</v>
                </pt>
                <pt idx="286">
                  <v>0.01794882088844885</v>
                </pt>
                <pt idx="287">
                  <v>0.01981165542997676</v>
                </pt>
                <pt idx="288">
                  <v>0.01123498232958453</v>
                </pt>
                <pt idx="289">
                  <v>0.02315765924801627</v>
                </pt>
                <pt idx="290">
                  <v>0.01369536127136972</v>
                </pt>
                <pt idx="291">
                  <v>0.01512179426351068</v>
                </pt>
                <pt idx="292">
                  <v>0.01603217313236449</v>
                </pt>
                <pt idx="293">
                  <v>-0.01501214171549137</v>
                </pt>
                <pt idx="294">
                  <v>0.03642632675437429</v>
                </pt>
                <pt idx="295">
                  <v>0.02218530580668499</v>
                </pt>
                <pt idx="296">
                  <v>0.04308338184904792</v>
                </pt>
                <pt idx="297">
                  <v>0.06073570152062691</v>
                </pt>
                <pt idx="298">
                  <v>0.05712868886782352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68519135"/>
        <axId val="1468517583"/>
      </barChart>
      <dateAx>
        <axId val="1468519135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7583"/>
        <crosses val="autoZero"/>
        <lblOffset val="100"/>
        <baseTimeUnit val="months"/>
      </dateAx>
      <valAx>
        <axId val="14685175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6851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CorePCE!$A$2</f>
              <strCache>
                <ptCount val="1"/>
                <pt idx="0">
                  <v>Personal Consumption Expenditures: Chain-type Price Index Less Food and Energy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CorePCE!$B$6:$B$304</f>
              <numCache>
                <formatCode>0.0</formatCode>
                <ptCount val="299"/>
                <pt idx="48">
                  <v>16.703</v>
                </pt>
                <pt idx="49">
                  <v>16.792</v>
                </pt>
                <pt idx="50">
                  <v>16.904</v>
                </pt>
                <pt idx="51">
                  <v>17.002</v>
                </pt>
                <pt idx="52">
                  <v>17.055</v>
                </pt>
                <pt idx="53">
                  <v>17.12</v>
                </pt>
                <pt idx="54">
                  <v>17.187</v>
                </pt>
                <pt idx="55">
                  <v>17.243</v>
                </pt>
                <pt idx="56">
                  <v>17.273</v>
                </pt>
                <pt idx="57">
                  <v>17.329</v>
                </pt>
                <pt idx="58">
                  <v>17.405</v>
                </pt>
                <pt idx="59">
                  <v>17.447</v>
                </pt>
                <pt idx="60">
                  <v>17.511</v>
                </pt>
                <pt idx="61">
                  <v>17.578</v>
                </pt>
                <pt idx="62">
                  <v>17.636</v>
                </pt>
                <pt idx="63">
                  <v>17.669</v>
                </pt>
                <pt idx="64">
                  <v>17.728</v>
                </pt>
                <pt idx="65">
                  <v>17.795</v>
                </pt>
                <pt idx="66">
                  <v>17.863</v>
                </pt>
                <pt idx="67">
                  <v>17.95</v>
                </pt>
                <pt idx="68">
                  <v>18.026</v>
                </pt>
                <pt idx="69">
                  <v>18.079</v>
                </pt>
                <pt idx="70">
                  <v>18.129</v>
                </pt>
                <pt idx="71">
                  <v>18.175</v>
                </pt>
                <pt idx="72">
                  <v>18.244</v>
                </pt>
                <pt idx="73">
                  <v>18.301</v>
                </pt>
                <pt idx="74">
                  <v>18.358</v>
                </pt>
                <pt idx="75">
                  <v>18.419</v>
                </pt>
                <pt idx="76">
                  <v>18.511</v>
                </pt>
                <pt idx="77">
                  <v>18.661</v>
                </pt>
                <pt idx="78">
                  <v>18.815</v>
                </pt>
                <pt idx="79">
                  <v>18.978</v>
                </pt>
                <pt idx="80">
                  <v>19.082</v>
                </pt>
                <pt idx="81">
                  <v>19.21</v>
                </pt>
                <pt idx="82">
                  <v>19.385</v>
                </pt>
                <pt idx="83">
                  <v>19.58</v>
                </pt>
                <pt idx="84">
                  <v>19.803</v>
                </pt>
                <pt idx="85">
                  <v>20.033</v>
                </pt>
                <pt idx="86">
                  <v>20.258</v>
                </pt>
                <pt idx="87">
                  <v>20.493</v>
                </pt>
                <pt idx="88">
                  <v>20.717</v>
                </pt>
                <pt idx="89">
                  <v>20.965</v>
                </pt>
                <pt idx="90">
                  <v>21.207</v>
                </pt>
                <pt idx="91">
                  <v>21.456</v>
                </pt>
                <pt idx="92">
                  <v>21.69</v>
                </pt>
                <pt idx="93">
                  <v>21.935</v>
                </pt>
                <pt idx="94">
                  <v>22.179</v>
                </pt>
                <pt idx="95">
                  <v>22.491</v>
                </pt>
                <pt idx="96">
                  <v>22.776</v>
                </pt>
                <pt idx="97">
                  <v>23.036</v>
                </pt>
                <pt idx="98">
                  <v>23.253</v>
                </pt>
                <pt idx="99">
                  <v>23.385</v>
                </pt>
                <pt idx="100">
                  <v>23.609</v>
                </pt>
                <pt idx="101">
                  <v>23.769</v>
                </pt>
                <pt idx="102">
                  <v>23.948</v>
                </pt>
                <pt idx="103">
                  <v>24.098</v>
                </pt>
                <pt idx="104">
                  <v>24.266</v>
                </pt>
                <pt idx="105">
                  <v>24.597</v>
                </pt>
                <pt idx="106">
                  <v>24.924</v>
                </pt>
                <pt idx="107">
                  <v>25.271</v>
                </pt>
                <pt idx="108">
                  <v>25.704</v>
                </pt>
                <pt idx="109">
                  <v>26.343</v>
                </pt>
                <pt idx="110">
                  <v>27.096</v>
                </pt>
                <pt idx="111">
                  <v>27.758</v>
                </pt>
                <pt idx="112">
                  <v>28.301</v>
                </pt>
                <pt idx="113">
                  <v>28.732</v>
                </pt>
                <pt idx="114">
                  <v>29.163</v>
                </pt>
                <pt idx="115">
                  <v>29.638</v>
                </pt>
                <pt idx="116">
                  <v>30.088</v>
                </pt>
                <pt idx="117">
                  <v>30.449</v>
                </pt>
                <pt idx="118">
                  <v>30.926</v>
                </pt>
                <pt idx="119">
                  <v>31.41</v>
                </pt>
                <pt idx="120">
                  <v>31.939</v>
                </pt>
                <pt idx="121">
                  <v>32.427</v>
                </pt>
                <pt idx="122">
                  <v>32.966</v>
                </pt>
                <pt idx="123">
                  <v>33.445</v>
                </pt>
                <pt idx="124">
                  <v>33.967</v>
                </pt>
                <pt idx="125">
                  <v>34.553</v>
                </pt>
                <pt idx="126">
                  <v>35.146</v>
                </pt>
                <pt idx="127">
                  <v>35.777</v>
                </pt>
                <pt idx="128">
                  <v>36.266</v>
                </pt>
                <pt idx="129">
                  <v>37.063</v>
                </pt>
                <pt idx="130">
                  <v>37.747</v>
                </pt>
                <pt idx="131">
                  <v>38.534</v>
                </pt>
                <pt idx="132">
                  <v>39.477</v>
                </pt>
                <pt idx="133">
                  <v>40.36</v>
                </pt>
                <pt idx="134">
                  <v>41.259</v>
                </pt>
                <pt idx="135">
                  <v>42.264</v>
                </pt>
                <pt idx="136">
                  <v>43.202</v>
                </pt>
                <pt idx="137">
                  <v>44.018</v>
                </pt>
                <pt idx="138">
                  <v>44.829</v>
                </pt>
                <pt idx="139">
                  <v>45.626</v>
                </pt>
                <pt idx="140">
                  <v>46.294</v>
                </pt>
                <pt idx="141">
                  <v>46.92</v>
                </pt>
                <pt idx="142">
                  <v>47.672</v>
                </pt>
                <pt idx="143">
                  <v>48.336</v>
                </pt>
                <pt idx="144">
                  <v>48.971</v>
                </pt>
                <pt idx="145">
                  <v>49.346</v>
                </pt>
                <pt idx="146">
                  <v>50.095</v>
                </pt>
                <pt idx="147">
                  <v>50.496</v>
                </pt>
                <pt idx="148">
                  <v>51.006</v>
                </pt>
                <pt idx="149">
                  <v>51.603</v>
                </pt>
                <pt idx="150">
                  <v>52.088</v>
                </pt>
                <pt idx="151">
                  <v>52.458</v>
                </pt>
                <pt idx="152">
                  <v>53.174</v>
                </pt>
                <pt idx="153">
                  <v>53.635</v>
                </pt>
                <pt idx="154">
                  <v>54.186</v>
                </pt>
                <pt idx="155">
                  <v>54.575</v>
                </pt>
                <pt idx="156">
                  <v>55.165</v>
                </pt>
                <pt idx="157">
                  <v>55.542</v>
                </pt>
                <pt idx="158">
                  <v>55.924</v>
                </pt>
                <pt idx="159">
                  <v>56.378</v>
                </pt>
                <pt idx="160">
                  <v>56.732</v>
                </pt>
                <pt idx="161">
                  <v>57.282</v>
                </pt>
                <pt idx="162">
                  <v>57.795</v>
                </pt>
                <pt idx="163">
                  <v>58.382</v>
                </pt>
                <pt idx="164">
                  <v>58.945</v>
                </pt>
                <pt idx="165">
                  <v>59.66</v>
                </pt>
                <pt idx="166">
                  <v>60.347</v>
                </pt>
                <pt idx="167">
                  <v>61.022</v>
                </pt>
                <pt idx="168">
                  <v>61.687</v>
                </pt>
                <pt idx="169">
                  <v>62.249</v>
                </pt>
                <pt idx="170">
                  <v>62.712</v>
                </pt>
                <pt idx="171">
                  <v>63.286</v>
                </pt>
                <pt idx="172">
                  <v>64.015</v>
                </pt>
                <pt idx="173">
                  <v>64.73</v>
                </pt>
                <pt idx="174">
                  <v>65.384</v>
                </pt>
                <pt idx="175">
                  <v>65.93300000000001</v>
                </pt>
                <pt idx="176">
                  <v>66.518</v>
                </pt>
                <pt idx="177">
                  <v>67.03100000000001</v>
                </pt>
                <pt idx="178">
                  <v>67.63500000000001</v>
                </pt>
                <pt idx="179">
                  <v>68.167</v>
                </pt>
                <pt idx="180">
                  <v>68.688</v>
                </pt>
                <pt idx="181">
                  <v>69.173</v>
                </pt>
                <pt idx="182">
                  <v>69.583</v>
                </pt>
                <pt idx="183">
                  <v>70.093</v>
                </pt>
                <pt idx="184">
                  <v>70.57599999999999</v>
                </pt>
                <pt idx="185">
                  <v>71.11199999999999</v>
                </pt>
                <pt idx="186">
                  <v>71.509</v>
                </pt>
                <pt idx="187">
                  <v>71.877</v>
                </pt>
                <pt idx="188">
                  <v>72.203</v>
                </pt>
                <pt idx="189">
                  <v>72.68899999999999</v>
                </pt>
                <pt idx="190">
                  <v>73.095</v>
                </pt>
                <pt idx="191">
                  <v>73.467</v>
                </pt>
                <pt idx="192">
                  <v>73.852</v>
                </pt>
                <pt idx="193">
                  <v>74.29000000000001</v>
                </pt>
                <pt idx="194">
                  <v>74.64400000000001</v>
                </pt>
                <pt idx="195">
                  <v>75.01900000000001</v>
                </pt>
                <pt idx="196">
                  <v>75.313</v>
                </pt>
                <pt idx="197">
                  <v>75.672</v>
                </pt>
                <pt idx="198">
                  <v>76.017</v>
                </pt>
                <pt idx="199">
                  <v>76.45</v>
                </pt>
                <pt idx="200">
                  <v>76.75</v>
                </pt>
                <pt idx="201">
                  <v>77.15000000000001</v>
                </pt>
                <pt idx="202">
                  <v>77.33</v>
                </pt>
                <pt idx="203">
                  <v>77.575</v>
                </pt>
                <pt idx="204">
                  <v>77.804</v>
                </pt>
                <pt idx="205">
                  <v>78.042</v>
                </pt>
                <pt idx="206">
                  <v>78.319</v>
                </pt>
                <pt idx="207">
                  <v>78.568</v>
                </pt>
                <pt idx="208">
                  <v>78.76600000000001</v>
                </pt>
                <pt idx="209">
                  <v>79.039</v>
                </pt>
                <pt idx="210">
                  <v>79.33</v>
                </pt>
                <pt idx="211">
                  <v>79.703</v>
                </pt>
                <pt idx="212">
                  <v>80.121</v>
                </pt>
                <pt idx="213">
                  <v>80.40000000000001</v>
                </pt>
                <pt idx="214">
                  <v>80.788</v>
                </pt>
                <pt idx="215">
                  <v>81.18899999999999</v>
                </pt>
                <pt idx="216">
                  <v>81.71599999999999</v>
                </pt>
                <pt idx="217">
                  <v>82.02500000000001</v>
                </pt>
                <pt idx="218">
                  <v>82.23699999999999</v>
                </pt>
                <pt idx="219">
                  <v>82.634</v>
                </pt>
                <pt idx="220">
                  <v>82.88800000000001</v>
                </pt>
                <pt idx="221">
                  <v>83.34399999999999</v>
                </pt>
                <pt idx="222">
                  <v>83.788</v>
                </pt>
                <pt idx="223">
                  <v>84.086</v>
                </pt>
                <pt idx="224">
                  <v>84.345</v>
                </pt>
                <pt idx="225">
                  <v>84.66500000000001</v>
                </pt>
                <pt idx="226">
                  <v>85.053</v>
                </pt>
                <pt idx="227">
                  <v>85.434</v>
                </pt>
                <pt idx="228">
                  <v>85.90300000000001</v>
                </pt>
                <pt idx="229">
                  <v>86.395</v>
                </pt>
                <pt idx="230">
                  <v>86.70399999999999</v>
                </pt>
                <pt idx="231">
                  <v>87.17400000000001</v>
                </pt>
                <pt idx="232">
                  <v>87.794</v>
                </pt>
                <pt idx="233">
                  <v>88.229</v>
                </pt>
                <pt idx="234">
                  <v>88.57299999999999</v>
                </pt>
                <pt idx="235">
                  <v>89.16500000000001</v>
                </pt>
                <pt idx="236">
                  <v>89.681</v>
                </pt>
                <pt idx="237">
                  <v>90.396</v>
                </pt>
                <pt idx="238">
                  <v>90.883</v>
                </pt>
                <pt idx="239">
                  <v>91.274</v>
                </pt>
                <pt idx="240">
                  <v>91.904</v>
                </pt>
                <pt idx="241">
                  <v>92.286</v>
                </pt>
                <pt idx="242">
                  <v>92.739</v>
                </pt>
                <pt idx="243">
                  <v>93.381</v>
                </pt>
                <pt idx="244">
                  <v>93.875</v>
                </pt>
                <pt idx="245">
                  <v>94.26900000000001</v>
                </pt>
                <pt idx="246">
                  <v>94.751</v>
                </pt>
                <pt idx="247">
                  <v>94.676</v>
                </pt>
                <pt idx="248">
                  <v>94.675</v>
                </pt>
                <pt idx="249">
                  <v>95.04600000000001</v>
                </pt>
                <pt idx="250">
                  <v>95.383</v>
                </pt>
                <pt idx="251">
                  <v>95.977</v>
                </pt>
                <pt idx="252">
                  <v>96.30500000000001</v>
                </pt>
                <pt idx="253">
                  <v>96.565</v>
                </pt>
                <pt idx="254">
                  <v>96.71299999999999</v>
                </pt>
                <pt idx="255">
                  <v>97.01900000000001</v>
                </pt>
                <pt idx="256">
                  <v>97.44499999999999</v>
                </pt>
                <pt idx="257">
                  <v>98.015</v>
                </pt>
                <pt idx="258">
                  <v>98.462</v>
                </pt>
                <pt idx="259">
                  <v>98.813</v>
                </pt>
                <pt idx="260">
                  <v>99.437</v>
                </pt>
                <pt idx="261">
                  <v>99.848</v>
                </pt>
                <pt idx="262">
                  <v>100.136</v>
                </pt>
                <pt idx="263">
                  <v>100.579</v>
                </pt>
                <pt idx="264">
                  <v>100.983</v>
                </pt>
                <pt idx="265">
                  <v>101.291</v>
                </pt>
                <pt idx="266">
                  <v>101.684</v>
                </pt>
                <pt idx="267">
                  <v>102.181</v>
                </pt>
                <pt idx="268">
                  <v>102.533</v>
                </pt>
                <pt idx="269">
                  <v>103.04</v>
                </pt>
                <pt idx="270">
                  <v>103.438</v>
                </pt>
                <pt idx="271">
                  <v>103.735</v>
                </pt>
                <pt idx="272">
                  <v>103.938</v>
                </pt>
                <pt idx="273">
                  <v>104.384</v>
                </pt>
                <pt idx="274">
                  <v>104.699</v>
                </pt>
                <pt idx="275">
                  <v>104.926</v>
                </pt>
                <pt idx="276">
                  <v>105.365</v>
                </pt>
                <pt idx="277">
                  <v>105.937</v>
                </pt>
                <pt idx="278">
                  <v>106.43</v>
                </pt>
                <pt idx="279">
                  <v>106.818</v>
                </pt>
                <pt idx="280">
                  <v>107.289</v>
                </pt>
                <pt idx="281">
                  <v>107.721</v>
                </pt>
                <pt idx="282">
                  <v>108.09</v>
                </pt>
                <pt idx="283">
                  <v>108.639</v>
                </pt>
                <pt idx="284">
                  <v>109.292</v>
                </pt>
                <pt idx="285">
                  <v>109.943</v>
                </pt>
                <pt idx="286">
                  <v>110.32</v>
                </pt>
                <pt idx="287">
                  <v>110.829</v>
                </pt>
                <pt idx="288">
                  <v>111.136</v>
                </pt>
                <pt idx="289">
                  <v>111.783</v>
                </pt>
                <pt idx="290">
                  <v>112.269</v>
                </pt>
                <pt idx="291">
                  <v>112.647</v>
                </pt>
                <pt idx="292">
                  <v>113.135</v>
                </pt>
                <pt idx="293">
                  <v>112.919</v>
                </pt>
                <pt idx="294">
                  <v>113.904</v>
                </pt>
                <pt idx="295">
                  <v>114.255</v>
                </pt>
                <pt idx="296">
                  <v>115.01</v>
                </pt>
                <pt idx="297">
                  <v>116.731</v>
                </pt>
                <pt idx="298">
                  <v>118.016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130186672"/>
        <axId val="2130007360"/>
      </lineChart>
      <dateAx>
        <axId val="2130186672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007360"/>
        <crosses val="autoZero"/>
        <lblOffset val="100"/>
        <baseTimeUnit val="months"/>
      </dateAx>
      <valAx>
        <axId val="21300073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1301866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1"/>
          <order val="0"/>
          <tx>
            <strRef>
              <f>CorePCE!$C$5</f>
              <strCache>
                <ptCount val="1"/>
                <pt idx="0">
                  <v>qoq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CorePCE!$C$6:$C$304</f>
              <numCache>
                <formatCode>0.00%</formatCode>
                <ptCount val="299"/>
                <pt idx="49">
                  <v>0.005328384122612836</v>
                </pt>
                <pt idx="50">
                  <v>0.006669842782277174</v>
                </pt>
                <pt idx="51">
                  <v>0.005797444391859854</v>
                </pt>
                <pt idx="52">
                  <v>0.003117280319962406</v>
                </pt>
                <pt idx="53">
                  <v>0.003811199061858768</v>
                </pt>
                <pt idx="54">
                  <v>0.003913551401869169</v>
                </pt>
                <pt idx="55">
                  <v>0.003258276604410158</v>
                </pt>
                <pt idx="56">
                  <v>0.001739836455373261</v>
                </pt>
                <pt idx="57">
                  <v>0.003242054072830483</v>
                </pt>
                <pt idx="58">
                  <v>0.004385711812568556</v>
                </pt>
                <pt idx="59">
                  <v>0.002413099683998738</v>
                </pt>
                <pt idx="60">
                  <v>0.003668252421619766</v>
                </pt>
                <pt idx="61">
                  <v>0.003826166409685351</v>
                </pt>
                <pt idx="62">
                  <v>0.003299579019228571</v>
                </pt>
                <pt idx="63">
                  <v>0.001871172601497009</v>
                </pt>
                <pt idx="64">
                  <v>0.003339181617522273</v>
                </pt>
                <pt idx="65">
                  <v>0.003779332129963908</v>
                </pt>
                <pt idx="66">
                  <v>0.0038212981174486</v>
                </pt>
                <pt idx="67">
                  <v>0.00487040250797737</v>
                </pt>
                <pt idx="68">
                  <v>0.004233983286908107</v>
                </pt>
                <pt idx="69">
                  <v>0.002940197492510864</v>
                </pt>
                <pt idx="70">
                  <v>0.002765639692460905</v>
                </pt>
                <pt idx="71">
                  <v>0.0025373710629378</v>
                </pt>
                <pt idx="72">
                  <v>0.003796423658872025</v>
                </pt>
                <pt idx="73">
                  <v>0.003124314843236056</v>
                </pt>
                <pt idx="74">
                  <v>0.003114583902519107</v>
                </pt>
                <pt idx="75">
                  <v>0.00332280204815339</v>
                </pt>
                <pt idx="76">
                  <v>0.004994842282425688</v>
                </pt>
                <pt idx="77">
                  <v>0.008103289935714015</v>
                </pt>
                <pt idx="78">
                  <v>0.00825250522480038</v>
                </pt>
                <pt idx="79">
                  <v>0.008663300558065386</v>
                </pt>
                <pt idx="80">
                  <v>0.005480029507851153</v>
                </pt>
                <pt idx="81">
                  <v>0.006707892254480668</v>
                </pt>
                <pt idx="82">
                  <v>0.009109838625715809</v>
                </pt>
                <pt idx="83">
                  <v>0.01005932421975738</v>
                </pt>
                <pt idx="84">
                  <v>0.01138917262512781</v>
                </pt>
                <pt idx="85">
                  <v>0.01161440185830432</v>
                </pt>
                <pt idx="86">
                  <v>0.01123146807767174</v>
                </pt>
                <pt idx="87">
                  <v>0.01160035541514461</v>
                </pt>
                <pt idx="88">
                  <v>0.01093056165519935</v>
                </pt>
                <pt idx="89">
                  <v>0.01197084519959459</v>
                </pt>
                <pt idx="90">
                  <v>0.01154304793703796</v>
                </pt>
                <pt idx="91">
                  <v>0.01174140613948219</v>
                </pt>
                <pt idx="92">
                  <v>0.01090604026845646</v>
                </pt>
                <pt idx="93">
                  <v>0.01129552789303815</v>
                </pt>
                <pt idx="94">
                  <v>0.01112377478914975</v>
                </pt>
                <pt idx="95">
                  <v>0.01406736101717847</v>
                </pt>
                <pt idx="96">
                  <v>0.012671735360811</v>
                </pt>
                <pt idx="97">
                  <v>0.01141552511415532</v>
                </pt>
                <pt idx="98">
                  <v>0.00942003820107652</v>
                </pt>
                <pt idx="99">
                  <v>0.005676686879112435</v>
                </pt>
                <pt idx="100">
                  <v>0.009578789822535821</v>
                </pt>
                <pt idx="101">
                  <v>0.006777076538608013</v>
                </pt>
                <pt idx="102">
                  <v>0.007530817451302203</v>
                </pt>
                <pt idx="103">
                  <v>0.006263571070653022</v>
                </pt>
                <pt idx="104">
                  <v>0.006971532907295181</v>
                </pt>
                <pt idx="105">
                  <v>0.01364048462869872</v>
                </pt>
                <pt idx="106">
                  <v>0.01329430418343693</v>
                </pt>
                <pt idx="107">
                  <v>0.01392232386454828</v>
                </pt>
                <pt idx="108">
                  <v>0.01713426457203909</v>
                </pt>
                <pt idx="109">
                  <v>0.02485994397759101</v>
                </pt>
                <pt idx="110">
                  <v>0.02858444368522948</v>
                </pt>
                <pt idx="111">
                  <v>0.02443165042810743</v>
                </pt>
                <pt idx="112">
                  <v>0.01956192809280205</v>
                </pt>
                <pt idx="113">
                  <v>0.01522914384650722</v>
                </pt>
                <pt idx="114">
                  <v>0.01500069608798555</v>
                </pt>
                <pt idx="115">
                  <v>0.01628776189006623</v>
                </pt>
                <pt idx="116">
                  <v>0.01518321074296509</v>
                </pt>
                <pt idx="117">
                  <v>0.01199813879287426</v>
                </pt>
                <pt idx="118">
                  <v>0.01566553909816404</v>
                </pt>
                <pt idx="119">
                  <v>0.01565026191554038</v>
                </pt>
                <pt idx="120">
                  <v>0.01684177013689907</v>
                </pt>
                <pt idx="121">
                  <v>0.01527912583362032</v>
                </pt>
                <pt idx="122">
                  <v>0.01662195084343299</v>
                </pt>
                <pt idx="123">
                  <v>0.01453012194382088</v>
                </pt>
                <pt idx="124">
                  <v>0.01560771415757209</v>
                </pt>
                <pt idx="125">
                  <v>0.01725203874348628</v>
                </pt>
                <pt idx="126">
                  <v>0.01716204092264069</v>
                </pt>
                <pt idx="127">
                  <v>0.01795367893928186</v>
                </pt>
                <pt idx="128">
                  <v>0.01366799899376687</v>
                </pt>
                <pt idx="129">
                  <v>0.02197650692108322</v>
                </pt>
                <pt idx="130">
                  <v>0.01845506300083635</v>
                </pt>
                <pt idx="131">
                  <v>0.02084933902031947</v>
                </pt>
                <pt idx="132">
                  <v>0.0244718949499143</v>
                </pt>
                <pt idx="133">
                  <v>0.02236745446715816</v>
                </pt>
                <pt idx="134">
                  <v>0.02227452923686821</v>
                </pt>
                <pt idx="135">
                  <v>0.02435832182069373</v>
                </pt>
                <pt idx="136">
                  <v>0.02219382926367583</v>
                </pt>
                <pt idx="137">
                  <v>0.01888801444377581</v>
                </pt>
                <pt idx="138">
                  <v>0.01842428097596438</v>
                </pt>
                <pt idx="139">
                  <v>0.01777867005732889</v>
                </pt>
                <pt idx="140">
                  <v>0.01464077499671238</v>
                </pt>
                <pt idx="141">
                  <v>0.01352227070462705</v>
                </pt>
                <pt idx="142">
                  <v>0.01602728047740825</v>
                </pt>
                <pt idx="143">
                  <v>0.01392851149521735</v>
                </pt>
                <pt idx="144">
                  <v>0.01313720622310489</v>
                </pt>
                <pt idx="145">
                  <v>0.007657593269486023</v>
                </pt>
                <pt idx="146">
                  <v>0.0151785352409517</v>
                </pt>
                <pt idx="147">
                  <v>0.008004790897295206</v>
                </pt>
                <pt idx="148">
                  <v>0.01009980988593152</v>
                </pt>
                <pt idx="149">
                  <v>0.01170450535231152</v>
                </pt>
                <pt idx="150">
                  <v>0.009398678371412504</v>
                </pt>
                <pt idx="151">
                  <v>0.00710336353862689</v>
                </pt>
                <pt idx="152">
                  <v>0.01364901444965498</v>
                </pt>
                <pt idx="153">
                  <v>0.008669650581111042</v>
                </pt>
                <pt idx="154">
                  <v>0.01027314253752218</v>
                </pt>
                <pt idx="155">
                  <v>0.00717897611929286</v>
                </pt>
                <pt idx="156">
                  <v>0.01081081081081074</v>
                </pt>
                <pt idx="157">
                  <v>0.006834043324571784</v>
                </pt>
                <pt idx="158">
                  <v>0.006877678153469408</v>
                </pt>
                <pt idx="159">
                  <v>0.008118160360489247</v>
                </pt>
                <pt idx="160">
                  <v>0.006279045017560027</v>
                </pt>
                <pt idx="161">
                  <v>0.009694704928435402</v>
                </pt>
                <pt idx="162">
                  <v>0.008955692887818254</v>
                </pt>
                <pt idx="163">
                  <v>0.01015658794013316</v>
                </pt>
                <pt idx="164">
                  <v>0.009643383234558638</v>
                </pt>
                <pt idx="165">
                  <v>0.01212995164984301</v>
                </pt>
                <pt idx="166">
                  <v>0.01151525310090521</v>
                </pt>
                <pt idx="167">
                  <v>0.01118531161449612</v>
                </pt>
                <pt idx="168">
                  <v>0.01089770902297531</v>
                </pt>
                <pt idx="169">
                  <v>0.009110509507675925</v>
                </pt>
                <pt idx="170">
                  <v>0.007437870487879339</v>
                </pt>
                <pt idx="171">
                  <v>0.009152953182803897</v>
                </pt>
                <pt idx="172">
                  <v>0.01151913535379072</v>
                </pt>
                <pt idx="173">
                  <v>0.01116925720534255</v>
                </pt>
                <pt idx="174">
                  <v>0.01010350687471028</v>
                </pt>
                <pt idx="175">
                  <v>0.008396549614584709</v>
                </pt>
                <pt idx="176">
                  <v>0.008872643441068868</v>
                </pt>
                <pt idx="177">
                  <v>0.007712198201990517</v>
                </pt>
                <pt idx="178">
                  <v>0.009010756217272592</v>
                </pt>
                <pt idx="179">
                  <v>0.007865749981518393</v>
                </pt>
                <pt idx="180">
                  <v>0.007642994410785289</v>
                </pt>
                <pt idx="181">
                  <v>0.007060913114372225</v>
                </pt>
                <pt idx="182">
                  <v>0.005927168114726795</v>
                </pt>
                <pt idx="183">
                  <v>0.007329376428150628</v>
                </pt>
                <pt idx="184">
                  <v>0.00689084502018732</v>
                </pt>
                <pt idx="185">
                  <v>0.007594649739288163</v>
                </pt>
                <pt idx="186">
                  <v>0.005582742715716132</v>
                </pt>
                <pt idx="187">
                  <v>0.005146205372750214</v>
                </pt>
                <pt idx="188">
                  <v>0.004535525967973172</v>
                </pt>
                <pt idx="189">
                  <v>0.006731022256692796</v>
                </pt>
                <pt idx="190">
                  <v>0.005585439337451416</v>
                </pt>
                <pt idx="191">
                  <v>0.00508926739175046</v>
                </pt>
                <pt idx="192">
                  <v>0.005240448092340848</v>
                </pt>
                <pt idx="193">
                  <v>0.005930780479878708</v>
                </pt>
                <pt idx="194">
                  <v>0.004765109705209304</v>
                </pt>
                <pt idx="195">
                  <v>0.005023846524837896</v>
                </pt>
                <pt idx="196">
                  <v>0.003919007184846464</v>
                </pt>
                <pt idx="197">
                  <v>0.004766773332625106</v>
                </pt>
                <pt idx="198">
                  <v>0.004559150015857898</v>
                </pt>
                <pt idx="199">
                  <v>0.00569609429469733</v>
                </pt>
                <pt idx="200">
                  <v>0.003924133420536261</v>
                </pt>
                <pt idx="201">
                  <v>0.005211726384364895</v>
                </pt>
                <pt idx="202">
                  <v>0.002333117303953241</v>
                </pt>
                <pt idx="203">
                  <v>0.003168240010345332</v>
                </pt>
                <pt idx="204">
                  <v>0.002951981952948749</v>
                </pt>
                <pt idx="205">
                  <v>0.00305896869055575</v>
                </pt>
                <pt idx="206">
                  <v>0.003549370851592745</v>
                </pt>
                <pt idx="207">
                  <v>0.003179305149452818</v>
                </pt>
                <pt idx="208">
                  <v>0.002520109968435082</v>
                </pt>
                <pt idx="209">
                  <v>0.00346596247111693</v>
                </pt>
                <pt idx="210">
                  <v>0.003681726742494171</v>
                </pt>
                <pt idx="211">
                  <v>0.004701878230177797</v>
                </pt>
                <pt idx="212">
                  <v>0.005244470095228437</v>
                </pt>
                <pt idx="213">
                  <v>0.003482233122402499</v>
                </pt>
                <pt idx="214">
                  <v>0.004825870646766057</v>
                </pt>
                <pt idx="215">
                  <v>0.004963608456701444</v>
                </pt>
                <pt idx="216">
                  <v>0.006491027109583824</v>
                </pt>
                <pt idx="217">
                  <v>0.003781389201625284</v>
                </pt>
                <pt idx="218">
                  <v>0.002584577872599684</v>
                </pt>
                <pt idx="219">
                  <v>0.004827510731179464</v>
                </pt>
                <pt idx="220">
                  <v>0.003073795290074363</v>
                </pt>
                <pt idx="221">
                  <v>0.005501399478814652</v>
                </pt>
                <pt idx="222">
                  <v>0.005327318103282811</v>
                </pt>
                <pt idx="223">
                  <v>0.003556595216498805</v>
                </pt>
                <pt idx="224">
                  <v>0.00308017981590277</v>
                </pt>
                <pt idx="225">
                  <v>0.003793941549588089</v>
                </pt>
                <pt idx="226">
                  <v>0.004582767377310471</v>
                </pt>
                <pt idx="227">
                  <v>0.004479559803886991</v>
                </pt>
                <pt idx="228">
                  <v>0.005489617716600045</v>
                </pt>
                <pt idx="229">
                  <v>0.005727390195918538</v>
                </pt>
                <pt idx="230">
                  <v>0.003576595867816396</v>
                </pt>
                <pt idx="231">
                  <v>0.00542074183428692</v>
                </pt>
                <pt idx="232">
                  <v>0.007112212356895293</v>
                </pt>
                <pt idx="233">
                  <v>0.004954780508918631</v>
                </pt>
                <pt idx="234">
                  <v>0.003898944791395052</v>
                </pt>
                <pt idx="235">
                  <v>0.006683752385038477</v>
                </pt>
                <pt idx="236">
                  <v>0.005787024056524321</v>
                </pt>
                <pt idx="237">
                  <v>0.007972703248179697</v>
                </pt>
                <pt idx="238">
                  <v>0.005387406522412438</v>
                </pt>
                <pt idx="239">
                  <v>0.004302234741370832</v>
                </pt>
                <pt idx="240">
                  <v>0.006902294191116807</v>
                </pt>
                <pt idx="241">
                  <v>0.004156511142061336</v>
                </pt>
                <pt idx="242">
                  <v>0.004908653533580424</v>
                </pt>
                <pt idx="243">
                  <v>0.006922653899653823</v>
                </pt>
                <pt idx="244">
                  <v>0.005290155384928409</v>
                </pt>
                <pt idx="245">
                  <v>0.004197070572569965</v>
                </pt>
                <pt idx="246">
                  <v>0.005113027612470688</v>
                </pt>
                <pt idx="247">
                  <v>-0.0007915483741596694</v>
                </pt>
                <pt idx="248">
                  <v>-1.056233892438184e-05</v>
                </pt>
                <pt idx="249">
                  <v>0.003918669131238546</v>
                </pt>
                <pt idx="250">
                  <v>0.003545651579235203</v>
                </pt>
                <pt idx="251">
                  <v>0.006227524820984959</v>
                </pt>
                <pt idx="252">
                  <v>0.003417485439219844</v>
                </pt>
                <pt idx="253">
                  <v>0.002699755983593696</v>
                </pt>
                <pt idx="254">
                  <v>0.001532646403976556</v>
                </pt>
                <pt idx="255">
                  <v>0.003164000703111387</v>
                </pt>
                <pt idx="256">
                  <v>0.004390892505591561</v>
                </pt>
                <pt idx="257">
                  <v>0.005849453537893247</v>
                </pt>
                <pt idx="258">
                  <v>0.004560526450033186</v>
                </pt>
                <pt idx="259">
                  <v>0.003564827039873241</v>
                </pt>
                <pt idx="260">
                  <v>0.006314958558084414</v>
                </pt>
                <pt idx="261">
                  <v>0.004133270311855761</v>
                </pt>
                <pt idx="262">
                  <v>0.002884384264081371</v>
                </pt>
                <pt idx="263">
                  <v>0.004423983382599643</v>
                </pt>
                <pt idx="264">
                  <v>0.004016743057696046</v>
                </pt>
                <pt idx="265">
                  <v>0.003050018319915161</v>
                </pt>
                <pt idx="266">
                  <v>0.003879910357287426</v>
                </pt>
                <pt idx="267">
                  <v>0.004887691278863931</v>
                </pt>
                <pt idx="268">
                  <v>0.003444867441109442</v>
                </pt>
                <pt idx="269">
                  <v>0.004944749495284494</v>
                </pt>
                <pt idx="270">
                  <v>0.003862577639751515</v>
                </pt>
                <pt idx="271">
                  <v>0.002871285214331261</v>
                </pt>
                <pt idx="272">
                  <v>0.001956909432689092</v>
                </pt>
                <pt idx="273">
                  <v>0.004291019646327598</v>
                </pt>
                <pt idx="274">
                  <v>0.003017703862660922</v>
                </pt>
                <pt idx="275">
                  <v>0.002168120039350938</v>
                </pt>
                <pt idx="276">
                  <v>0.004183901035015087</v>
                </pt>
                <pt idx="277">
                  <v>0.005428747686613227</v>
                </pt>
                <pt idx="278">
                  <v>0.004653709280043886</v>
                </pt>
                <pt idx="279">
                  <v>0.003645588649816696</v>
                </pt>
                <pt idx="280">
                  <v>0.004409369207436983</v>
                </pt>
                <pt idx="281">
                  <v>0.004026507843301757</v>
                </pt>
                <pt idx="282">
                  <v>0.003425515916116632</v>
                </pt>
                <pt idx="283">
                  <v>0.00507910074937545</v>
                </pt>
                <pt idx="284">
                  <v>0.006010732793932251</v>
                </pt>
                <pt idx="285">
                  <v>0.005956520147860743</v>
                </pt>
                <pt idx="286">
                  <v>0.003429049598428234</v>
                </pt>
                <pt idx="287">
                  <v>0.004613850616388691</v>
                </pt>
                <pt idx="288">
                  <v>0.00277003311407666</v>
                </pt>
                <pt idx="289">
                  <v>0.005821695940109466</v>
                </pt>
                <pt idx="290">
                  <v>0.004347709401250675</v>
                </pt>
                <pt idx="291">
                  <v>0.003366913395505439</v>
                </pt>
                <pt idx="292">
                  <v>0.004332117144708688</v>
                </pt>
                <pt idx="293">
                  <v>-0.001909223494055846</v>
                </pt>
                <pt idx="294">
                  <v>0.008723066977213751</v>
                </pt>
                <pt idx="295">
                  <v>0.003081542351453848</v>
                </pt>
                <pt idx="296">
                  <v>0.006608025906962581</v>
                </pt>
                <pt idx="297">
                  <v>0.01496391618120154</v>
                </pt>
                <pt idx="298">
                  <v>0.01100821546975534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1832111"/>
        <axId val="511833759"/>
      </barChart>
      <dateAx>
        <axId val="511832111"/>
        <scaling>
          <orientation val="minMax"/>
          <min val="2118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3759"/>
        <crosses val="autoZero"/>
        <lblOffset val="100"/>
        <baseTimeUnit val="months"/>
      </dateAx>
      <valAx>
        <axId val="5118337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18321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CorePCE!$D$5</f>
              <strCache>
                <ptCount val="1"/>
                <pt idx="0">
                  <v>yoy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CorePCE!$D$6:$D$304</f>
              <numCache>
                <formatCode>0.00%</formatCode>
                <ptCount val="299"/>
                <pt idx="52">
                  <v>0.02107405855235588</v>
                </pt>
                <pt idx="53">
                  <v>0.01953311100524055</v>
                </pt>
                <pt idx="54">
                  <v>0.01674159962139146</v>
                </pt>
                <pt idx="55">
                  <v>0.01417480296435712</v>
                </pt>
                <pt idx="56">
                  <v>0.01278217531515684</v>
                </pt>
                <pt idx="57">
                  <v>0.01220794392523362</v>
                </pt>
                <pt idx="58">
                  <v>0.01268400535288299</v>
                </pt>
                <pt idx="59">
                  <v>0.01183088789653776</v>
                </pt>
                <pt idx="60">
                  <v>0.0137787298095293</v>
                </pt>
                <pt idx="61">
                  <v>0.01436897685959944</v>
                </pt>
                <pt idx="62">
                  <v>0.01327204826199357</v>
                </pt>
                <pt idx="63">
                  <v>0.01272425058749363</v>
                </pt>
                <pt idx="64">
                  <v>0.01239221061047355</v>
                </pt>
                <pt idx="65">
                  <v>0.01234497667538982</v>
                </pt>
                <pt idx="66">
                  <v>0.01287139941029714</v>
                </pt>
                <pt idx="67">
                  <v>0.015903559907182</v>
                </pt>
                <pt idx="68">
                  <v>0.01680956678700351</v>
                </pt>
                <pt idx="69">
                  <v>0.01595953919640342</v>
                </pt>
                <pt idx="70">
                  <v>0.01489111571404589</v>
                </pt>
                <pt idx="71">
                  <v>0.01253481894150426</v>
                </pt>
                <pt idx="72">
                  <v>0.01209364251636525</v>
                </pt>
                <pt idx="73">
                  <v>0.01227944023452612</v>
                </pt>
                <pt idx="74">
                  <v>0.01263169507419048</v>
                </pt>
                <pt idx="75">
                  <v>0.01342503438789545</v>
                </pt>
                <pt idx="76">
                  <v>0.01463494847621133</v>
                </pt>
                <pt idx="77">
                  <v>0.01967105622643588</v>
                </pt>
                <pt idx="78">
                  <v>0.02489377927878858</v>
                </pt>
                <pt idx="79">
                  <v>0.03034909604213046</v>
                </pt>
                <pt idx="80">
                  <v>0.03084652368861766</v>
                </pt>
                <pt idx="81">
                  <v>0.0294196452494507</v>
                </pt>
                <pt idx="82">
                  <v>0.03029497741163966</v>
                </pt>
                <pt idx="83">
                  <v>0.03172094003583079</v>
                </pt>
                <pt idx="84">
                  <v>0.03778429933969186</v>
                </pt>
                <pt idx="85">
                  <v>0.04284226965122334</v>
                </pt>
                <pt idx="86">
                  <v>0.04503482073768365</v>
                </pt>
                <pt idx="87">
                  <v>0.04662921348314608</v>
                </pt>
                <pt idx="88">
                  <v>0.04615462303691349</v>
                </pt>
                <pt idx="89">
                  <v>0.04652323665951173</v>
                </pt>
                <pt idx="90">
                  <v>0.04684569059137139</v>
                </pt>
                <pt idx="91">
                  <v>0.04699165568730791</v>
                </pt>
                <pt idx="92">
                  <v>0.04696625959357062</v>
                </pt>
                <pt idx="93">
                  <v>0.04626758883854037</v>
                </pt>
                <pt idx="94">
                  <v>0.04583392276135228</v>
                </pt>
                <pt idx="95">
                  <v>0.04823825503355705</v>
                </pt>
                <pt idx="96">
                  <v>0.05006915629322261</v>
                </pt>
                <pt idx="97">
                  <v>0.05019375427399146</v>
                </pt>
                <pt idx="98">
                  <v>0.04842418503990269</v>
                </pt>
                <pt idx="99">
                  <v>0.03974923302654403</v>
                </pt>
                <pt idx="100">
                  <v>0.03657358623112057</v>
                </pt>
                <pt idx="101">
                  <v>0.03181976037506498</v>
                </pt>
                <pt idx="102">
                  <v>0.02988861652259924</v>
                </pt>
                <pt idx="103">
                  <v>0.0304896301047679</v>
                </pt>
                <pt idx="104">
                  <v>0.0278283705366596</v>
                </pt>
                <pt idx="105">
                  <v>0.03483528966300656</v>
                </pt>
                <pt idx="106">
                  <v>0.04075496909971602</v>
                </pt>
                <pt idx="107">
                  <v>0.04867623869200771</v>
                </pt>
                <pt idx="108">
                  <v>0.05925986977664232</v>
                </pt>
                <pt idx="109">
                  <v>0.07098426637394799</v>
                </pt>
                <pt idx="110">
                  <v>0.08714492055849786</v>
                </pt>
                <pt idx="111">
                  <v>0.09841320090221986</v>
                </pt>
                <pt idx="112">
                  <v>0.1010348583877995</v>
                </pt>
                <pt idx="113">
                  <v>0.09068822837186347</v>
                </pt>
                <pt idx="114">
                  <v>0.07628432240921169</v>
                </pt>
                <pt idx="115">
                  <v>0.06772822249441612</v>
                </pt>
                <pt idx="116">
                  <v>0.06314264513621436</v>
                </pt>
                <pt idx="117">
                  <v>0.05975915355700969</v>
                </pt>
                <pt idx="118">
                  <v>0.06045331413091925</v>
                </pt>
                <pt idx="119">
                  <v>0.05978810985896479</v>
                </pt>
                <pt idx="120">
                  <v>0.06151954267482049</v>
                </pt>
                <pt idx="121">
                  <v>0.06496108246576235</v>
                </pt>
                <pt idx="122">
                  <v>0.06596391385888906</v>
                </pt>
                <pt idx="123">
                  <v>0.06478828398599172</v>
                </pt>
                <pt idx="124">
                  <v>0.06349603932496317</v>
                </pt>
                <pt idx="125">
                  <v>0.06556264841027531</v>
                </pt>
                <pt idx="126">
                  <v>0.06612873870047926</v>
                </pt>
                <pt idx="127">
                  <v>0.06972641650470925</v>
                </pt>
                <pt idx="128">
                  <v>0.06768333971207346</v>
                </pt>
                <pt idx="129">
                  <v>0.07264202818858001</v>
                </pt>
                <pt idx="130">
                  <v>0.07400557673703975</v>
                </pt>
                <pt idx="131">
                  <v>0.07706068144338535</v>
                </pt>
                <pt idx="132">
                  <v>0.08854023051894333</v>
                </pt>
                <pt idx="133">
                  <v>0.08895664139438245</v>
                </pt>
                <pt idx="134">
                  <v>0.0930405065303203</v>
                </pt>
                <pt idx="135">
                  <v>0.09679763325894027</v>
                </pt>
                <pt idx="136">
                  <v>0.09435874053246199</v>
                </pt>
                <pt idx="137">
                  <v>0.09063429137760162</v>
                </pt>
                <pt idx="138">
                  <v>0.08652657601977751</v>
                </pt>
                <pt idx="139">
                  <v>0.07954760552716247</v>
                </pt>
                <pt idx="140">
                  <v>0.07157076061293456</v>
                </pt>
                <pt idx="141">
                  <v>0.06592757508292064</v>
                </pt>
                <pt idx="142">
                  <v>0.06341876910035907</v>
                </pt>
                <pt idx="143">
                  <v>0.05939595844474644</v>
                </pt>
                <pt idx="144">
                  <v>0.05782606817298137</v>
                </pt>
                <pt idx="145">
                  <v>0.05170502983802205</v>
                </pt>
                <pt idx="146">
                  <v>0.0508264809531801</v>
                </pt>
                <pt idx="147">
                  <v>0.04468718967229402</v>
                </pt>
                <pt idx="148">
                  <v>0.04155520614241089</v>
                </pt>
                <pt idx="149">
                  <v>0.04573825639362877</v>
                </pt>
                <pt idx="150">
                  <v>0.03978440962171878</v>
                </pt>
                <pt idx="151">
                  <v>0.03885456273764251</v>
                </pt>
                <pt idx="152">
                  <v>0.04250480335646785</v>
                </pt>
                <pt idx="153">
                  <v>0.03937755556847463</v>
                </pt>
                <pt idx="154">
                  <v>0.04027799109199814</v>
                </pt>
                <pt idx="155">
                  <v>0.04035609439932907</v>
                </pt>
                <pt idx="156">
                  <v>0.03744311129499379</v>
                </pt>
                <pt idx="157">
                  <v>0.03555514123240428</v>
                </pt>
                <pt idx="158">
                  <v>0.03207470564352415</v>
                </pt>
                <pt idx="159">
                  <v>0.03303710490151163</v>
                </pt>
                <pt idx="160">
                  <v>0.0284056920148645</v>
                </pt>
                <pt idx="161">
                  <v>0.03132764394512252</v>
                </pt>
                <pt idx="162">
                  <v>0.03345611901866823</v>
                </pt>
                <pt idx="163">
                  <v>0.03554578026889918</v>
                </pt>
                <pt idx="164">
                  <v>0.03900796728477757</v>
                </pt>
                <pt idx="165">
                  <v>0.04151391362033449</v>
                </pt>
                <pt idx="166">
                  <v>0.04415606886408858</v>
                </pt>
                <pt idx="167">
                  <v>0.04521941694357851</v>
                </pt>
                <pt idx="168">
                  <v>0.04651794045296458</v>
                </pt>
                <pt idx="169">
                  <v>0.0433959101575596</v>
                </pt>
                <pt idx="170">
                  <v>0.0391900177307903</v>
                </pt>
                <pt idx="171">
                  <v>0.03710137327521227</v>
                </pt>
                <pt idx="172">
                  <v>0.03773890771151139</v>
                </pt>
                <pt idx="173">
                  <v>0.03985606194477023</v>
                </pt>
                <pt idx="174">
                  <v>0.04260747544329629</v>
                </pt>
                <pt idx="175">
                  <v>0.04182599627089728</v>
                </pt>
                <pt idx="176">
                  <v>0.03910021088807311</v>
                </pt>
                <pt idx="177">
                  <v>0.03554765950872859</v>
                </pt>
                <pt idx="178">
                  <v>0.03442738284595627</v>
                </pt>
                <pt idx="179">
                  <v>0.03388288110657781</v>
                </pt>
                <pt idx="180">
                  <v>0.03262274872966718</v>
                </pt>
                <pt idx="181">
                  <v>0.03195536393608921</v>
                </pt>
                <pt idx="182">
                  <v>0.02880165594736443</v>
                </pt>
                <pt idx="183">
                  <v>0.02825414056654982</v>
                </pt>
                <pt idx="184">
                  <v>0.02748660610295817</v>
                </pt>
                <pt idx="185">
                  <v>0.0280311682303788</v>
                </pt>
                <pt idx="186">
                  <v>0.02767917451101565</v>
                </pt>
                <pt idx="187">
                  <v>0.02545189961907739</v>
                </pt>
                <pt idx="188">
                  <v>0.02305316254817515</v>
                </pt>
                <pt idx="189">
                  <v>0.02217628529643377</v>
                </pt>
                <pt idx="190">
                  <v>0.02217902641625527</v>
                </pt>
                <pt idx="191">
                  <v>0.02212112358612635</v>
                </pt>
                <pt idx="192">
                  <v>0.02283838621663921</v>
                </pt>
                <pt idx="193">
                  <v>0.02202534083561493</v>
                </pt>
                <pt idx="194">
                  <v>0.02119159997263844</v>
                </pt>
                <pt idx="195">
                  <v>0.0211251310112024</v>
                </pt>
                <pt idx="196">
                  <v>0.01978280886096515</v>
                </pt>
                <pt idx="197">
                  <v>0.01860277291694697</v>
                </pt>
                <pt idx="198">
                  <v>0.01839397674293969</v>
                </pt>
                <pt idx="199">
                  <v>0.01907516762420183</v>
                </pt>
                <pt idx="200">
                  <v>0.01908037125064727</v>
                </pt>
                <pt idx="201">
                  <v>0.01953166296648706</v>
                </pt>
                <pt idx="202">
                  <v>0.01727245221463623</v>
                </pt>
                <pt idx="203">
                  <v>0.01471550032701112</v>
                </pt>
                <pt idx="204">
                  <v>0.01373289902280133</v>
                </pt>
                <pt idx="205">
                  <v>0.01156189241736871</v>
                </pt>
                <pt idx="206">
                  <v>0.01278934436829179</v>
                </pt>
                <pt idx="207">
                  <v>0.01280051563003539</v>
                </pt>
                <pt idx="208">
                  <v>0.0123644028584649</v>
                </pt>
                <pt idx="209">
                  <v>0.01277517234309731</v>
                </pt>
                <pt idx="210">
                  <v>0.01290874500440501</v>
                </pt>
                <pt idx="211">
                  <v>0.01444608492006931</v>
                </pt>
                <pt idx="212">
                  <v>0.01720285402330942</v>
                </pt>
                <pt idx="213">
                  <v>0.01721934741077195</v>
                </pt>
                <pt idx="214">
                  <v>0.01837892348417999</v>
                </pt>
                <pt idx="215">
                  <v>0.01864421665432907</v>
                </pt>
                <pt idx="216">
                  <v>0.01990739007251531</v>
                </pt>
                <pt idx="217">
                  <v>0.02021144278606965</v>
                </pt>
                <pt idx="218">
                  <v>0.01793583205426546</v>
                </pt>
                <pt idx="219">
                  <v>0.01779797755853635</v>
                </pt>
                <pt idx="220">
                  <v>0.01434235645406054</v>
                </pt>
                <pt idx="221">
                  <v>0.01608046327339212</v>
                </pt>
                <pt idx="222">
                  <v>0.01886012378856235</v>
                </pt>
                <pt idx="223">
                  <v>0.01757145968971608</v>
                </pt>
                <pt idx="224">
                  <v>0.01757793649261646</v>
                </pt>
                <pt idx="225">
                  <v>0.01584997120368608</v>
                </pt>
                <pt idx="226">
                  <v>0.01509762734520457</v>
                </pt>
                <pt idx="227">
                  <v>0.01603120614608852</v>
                </pt>
                <pt idx="228">
                  <v>0.01847175291955666</v>
                </pt>
                <pt idx="229">
                  <v>0.02043347309986405</v>
                </pt>
                <pt idx="230">
                  <v>0.01941142581684357</v>
                </pt>
                <pt idx="231">
                  <v>0.02036659877800418</v>
                </pt>
                <pt idx="232">
                  <v>0.02201320093593927</v>
                </pt>
                <pt idx="233">
                  <v>0.02122808032872276</v>
                </pt>
                <pt idx="234">
                  <v>0.02155609891123823</v>
                </pt>
                <pt idx="235">
                  <v>0.02283937871383669</v>
                </pt>
                <pt idx="236">
                  <v>0.0214934961386883</v>
                </pt>
                <pt idx="237">
                  <v>0.02456108535742218</v>
                </pt>
                <pt idx="238">
                  <v>0.02608018244837594</v>
                </pt>
                <pt idx="239">
                  <v>0.02365277855660847</v>
                </pt>
                <pt idx="240">
                  <v>0.02478785918979493</v>
                </pt>
                <pt idx="241">
                  <v>0.02090800477897253</v>
                </pt>
                <pt idx="242">
                  <v>0.02042186107412837</v>
                </pt>
                <pt idx="243">
                  <v>0.02308433946140193</v>
                </pt>
                <pt idx="244">
                  <v>0.02144629178272985</v>
                </pt>
                <pt idx="245">
                  <v>0.02148754957414997</v>
                </pt>
                <pt idx="246">
                  <v>0.02169529539891524</v>
                </pt>
                <pt idx="247">
                  <v>0.01386791745644191</v>
                </pt>
                <pt idx="248">
                  <v>0.008521970705725669</v>
                </pt>
                <pt idx="249">
                  <v>0.008242370238360447</v>
                </pt>
                <pt idx="250">
                  <v>0.006670114299585131</v>
                </pt>
                <pt idx="251">
                  <v>0.01374160294055518</v>
                </pt>
                <pt idx="252">
                  <v>0.01721679429627684</v>
                </pt>
                <pt idx="253">
                  <v>0.01598173515981726</v>
                </pt>
                <pt idx="254">
                  <v>0.0139437845318348</v>
                </pt>
                <pt idx="255">
                  <v>0.01085676776727759</v>
                </pt>
                <pt idx="256">
                  <v>0.01183739162037263</v>
                </pt>
                <pt idx="257">
                  <v>0.01501579247139236</v>
                </pt>
                <pt idx="258">
                  <v>0.01808443539131254</v>
                </pt>
                <pt idx="259">
                  <v>0.01849122336861848</v>
                </pt>
                <pt idx="260">
                  <v>0.02044230078505829</v>
                </pt>
                <pt idx="261">
                  <v>0.01870121920114267</v>
                </pt>
                <pt idx="262">
                  <v>0.01700148280554927</v>
                </pt>
                <pt idx="263">
                  <v>0.01787214232945049</v>
                </pt>
                <pt idx="264">
                  <v>0.01554753260858641</v>
                </pt>
                <pt idx="265">
                  <v>0.01445196698982451</v>
                </pt>
                <pt idx="266">
                  <v>0.01545897579292164</v>
                </pt>
                <pt idx="267">
                  <v>0.015927778164428</v>
                </pt>
                <pt idx="268">
                  <v>0.01534911816840455</v>
                </pt>
                <pt idx="269">
                  <v>0.01726708197174487</v>
                </pt>
                <pt idx="270">
                  <v>0.01724951811494439</v>
                </pt>
                <pt idx="271">
                  <v>0.0152083068280796</v>
                </pt>
                <pt idx="272">
                  <v>0.0137029054060644</v>
                </pt>
                <pt idx="273">
                  <v>0.01304347826086951</v>
                </pt>
                <pt idx="274">
                  <v>0.01219087762717759</v>
                </pt>
                <pt idx="275">
                  <v>0.01148117800163882</v>
                </pt>
                <pt idx="276">
                  <v>0.01372933864419166</v>
                </pt>
                <pt idx="277">
                  <v>0.01487775904353155</v>
                </pt>
                <pt idx="278">
                  <v>0.01653310919875079</v>
                </pt>
                <pt idx="279">
                  <v>0.01803175571355046</v>
                </pt>
                <pt idx="280">
                  <v>0.01826033312769901</v>
                </pt>
                <pt idx="281">
                  <v>0.01684019747585835</v>
                </pt>
                <pt idx="282">
                  <v>0.015597106079113</v>
                </pt>
                <pt idx="283">
                  <v>0.01704768859181035</v>
                </pt>
                <pt idx="284">
                  <v>0.01866920187530875</v>
                </pt>
                <pt idx="285">
                  <v>0.02062736142442044</v>
                </pt>
                <pt idx="286">
                  <v>0.02063095568507715</v>
                </pt>
                <pt idx="287">
                  <v>0.02015850661364701</v>
                </pt>
                <pt idx="288">
                  <v>0.0168722321853383</v>
                </pt>
                <pt idx="289">
                  <v>0.0167359449896765</v>
                </pt>
                <pt idx="290">
                  <v>0.01766678752719373</v>
                </pt>
                <pt idx="291">
                  <v>0.01640364886446699</v>
                </pt>
                <pt idx="292">
                  <v>0.01798697091851434</v>
                </pt>
                <pt idx="293">
                  <v>0.01016254707782038</v>
                </pt>
                <pt idx="294">
                  <v>0.01456323651230518</v>
                </pt>
                <pt idx="295">
                  <v>0.01427468108338429</v>
                </pt>
                <pt idx="296">
                  <v>0.01657312060812304</v>
                </pt>
                <pt idx="297">
                  <v>0.03375871199709524</v>
                </pt>
                <pt idx="298">
                  <v>0.03610057592358485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512265151"/>
        <axId val="512266799"/>
      </barChart>
      <dateAx>
        <axId val="512265151"/>
        <scaling>
          <orientation val="minMax"/>
          <min val="21916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6799"/>
        <crosses val="autoZero"/>
        <lblOffset val="100"/>
        <baseTimeUnit val="months"/>
      </dateAx>
      <valAx>
        <axId val="5122667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1226515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r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barChart>
        <barDir val="col"/>
        <grouping val="clustered"/>
        <varyColors val="0"/>
        <ser>
          <idx val="3"/>
          <order val="0"/>
          <tx>
            <strRef>
              <f>CorePCE!$E$5</f>
              <strCache>
                <ptCount val="1"/>
                <pt idx="0">
                  <v>qoq annualized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CorePCE!$A$6:$A$304</f>
              <numCache>
                <formatCode>m/d/yy</formatCode>
                <ptCount val="299"/>
                <pt idx="0">
                  <v>17168</v>
                </pt>
                <pt idx="1">
                  <v>17258</v>
                </pt>
                <pt idx="2">
                  <v>17349</v>
                </pt>
                <pt idx="3">
                  <v>17441</v>
                </pt>
                <pt idx="4">
                  <v>17533</v>
                </pt>
                <pt idx="5">
                  <v>17624</v>
                </pt>
                <pt idx="6">
                  <v>17715</v>
                </pt>
                <pt idx="7">
                  <v>17807</v>
                </pt>
                <pt idx="8">
                  <v>17899</v>
                </pt>
                <pt idx="9">
                  <v>17989</v>
                </pt>
                <pt idx="10">
                  <v>18080</v>
                </pt>
                <pt idx="11">
                  <v>18172</v>
                </pt>
                <pt idx="12">
                  <v>18264</v>
                </pt>
                <pt idx="13">
                  <v>18354</v>
                </pt>
                <pt idx="14">
                  <v>18445</v>
                </pt>
                <pt idx="15">
                  <v>18537</v>
                </pt>
                <pt idx="16">
                  <v>18629</v>
                </pt>
                <pt idx="17">
                  <v>18719</v>
                </pt>
                <pt idx="18">
                  <v>18810</v>
                </pt>
                <pt idx="19">
                  <v>18902</v>
                </pt>
                <pt idx="20">
                  <v>18994</v>
                </pt>
                <pt idx="21">
                  <v>19085</v>
                </pt>
                <pt idx="22">
                  <v>19176</v>
                </pt>
                <pt idx="23">
                  <v>19268</v>
                </pt>
                <pt idx="24">
                  <v>19360</v>
                </pt>
                <pt idx="25">
                  <v>19450</v>
                </pt>
                <pt idx="26">
                  <v>19541</v>
                </pt>
                <pt idx="27">
                  <v>19633</v>
                </pt>
                <pt idx="28">
                  <v>19725</v>
                </pt>
                <pt idx="29">
                  <v>19815</v>
                </pt>
                <pt idx="30">
                  <v>19906</v>
                </pt>
                <pt idx="31">
                  <v>19998</v>
                </pt>
                <pt idx="32">
                  <v>20090</v>
                </pt>
                <pt idx="33">
                  <v>20180</v>
                </pt>
                <pt idx="34">
                  <v>20271</v>
                </pt>
                <pt idx="35">
                  <v>20363</v>
                </pt>
                <pt idx="36">
                  <v>20455</v>
                </pt>
                <pt idx="37">
                  <v>20546</v>
                </pt>
                <pt idx="38">
                  <v>20637</v>
                </pt>
                <pt idx="39">
                  <v>20729</v>
                </pt>
                <pt idx="40">
                  <v>20821</v>
                </pt>
                <pt idx="41">
                  <v>20911</v>
                </pt>
                <pt idx="42">
                  <v>21002</v>
                </pt>
                <pt idx="43">
                  <v>21094</v>
                </pt>
                <pt idx="44">
                  <v>21186</v>
                </pt>
                <pt idx="45">
                  <v>21276</v>
                </pt>
                <pt idx="46">
                  <v>21367</v>
                </pt>
                <pt idx="47">
                  <v>21459</v>
                </pt>
                <pt idx="48">
                  <v>21551</v>
                </pt>
                <pt idx="49">
                  <v>21641</v>
                </pt>
                <pt idx="50">
                  <v>21732</v>
                </pt>
                <pt idx="51">
                  <v>21824</v>
                </pt>
                <pt idx="52">
                  <v>21916</v>
                </pt>
                <pt idx="53">
                  <v>22007</v>
                </pt>
                <pt idx="54">
                  <v>22098</v>
                </pt>
                <pt idx="55">
                  <v>22190</v>
                </pt>
                <pt idx="56">
                  <v>22282</v>
                </pt>
                <pt idx="57">
                  <v>22372</v>
                </pt>
                <pt idx="58">
                  <v>22463</v>
                </pt>
                <pt idx="59">
                  <v>22555</v>
                </pt>
                <pt idx="60">
                  <v>22647</v>
                </pt>
                <pt idx="61">
                  <v>22737</v>
                </pt>
                <pt idx="62">
                  <v>22828</v>
                </pt>
                <pt idx="63">
                  <v>22920</v>
                </pt>
                <pt idx="64">
                  <v>23012</v>
                </pt>
                <pt idx="65">
                  <v>23102</v>
                </pt>
                <pt idx="66">
                  <v>23193</v>
                </pt>
                <pt idx="67">
                  <v>23285</v>
                </pt>
                <pt idx="68">
                  <v>23377</v>
                </pt>
                <pt idx="69">
                  <v>23468</v>
                </pt>
                <pt idx="70">
                  <v>23559</v>
                </pt>
                <pt idx="71">
                  <v>23651</v>
                </pt>
                <pt idx="72">
                  <v>23743</v>
                </pt>
                <pt idx="73">
                  <v>23833</v>
                </pt>
                <pt idx="74">
                  <v>23924</v>
                </pt>
                <pt idx="75">
                  <v>24016</v>
                </pt>
                <pt idx="76">
                  <v>24108</v>
                </pt>
                <pt idx="77">
                  <v>24198</v>
                </pt>
                <pt idx="78">
                  <v>24289</v>
                </pt>
                <pt idx="79">
                  <v>24381</v>
                </pt>
                <pt idx="80">
                  <v>24473</v>
                </pt>
                <pt idx="81">
                  <v>24563</v>
                </pt>
                <pt idx="82">
                  <v>24654</v>
                </pt>
                <pt idx="83">
                  <v>24746</v>
                </pt>
                <pt idx="84">
                  <v>24838</v>
                </pt>
                <pt idx="85">
                  <v>24929</v>
                </pt>
                <pt idx="86">
                  <v>25020</v>
                </pt>
                <pt idx="87">
                  <v>25112</v>
                </pt>
                <pt idx="88">
                  <v>25204</v>
                </pt>
                <pt idx="89">
                  <v>25294</v>
                </pt>
                <pt idx="90">
                  <v>25385</v>
                </pt>
                <pt idx="91">
                  <v>25477</v>
                </pt>
                <pt idx="92">
                  <v>25569</v>
                </pt>
                <pt idx="93">
                  <v>25659</v>
                </pt>
                <pt idx="94">
                  <v>25750</v>
                </pt>
                <pt idx="95">
                  <v>25842</v>
                </pt>
                <pt idx="96">
                  <v>25934</v>
                </pt>
                <pt idx="97">
                  <v>26024</v>
                </pt>
                <pt idx="98">
                  <v>26115</v>
                </pt>
                <pt idx="99">
                  <v>26207</v>
                </pt>
                <pt idx="100">
                  <v>26299</v>
                </pt>
                <pt idx="101">
                  <v>26390</v>
                </pt>
                <pt idx="102">
                  <v>26481</v>
                </pt>
                <pt idx="103">
                  <v>26573</v>
                </pt>
                <pt idx="104">
                  <v>26665</v>
                </pt>
                <pt idx="105">
                  <v>26755</v>
                </pt>
                <pt idx="106">
                  <v>26846</v>
                </pt>
                <pt idx="107">
                  <v>26938</v>
                </pt>
                <pt idx="108">
                  <v>27030</v>
                </pt>
                <pt idx="109">
                  <v>27120</v>
                </pt>
                <pt idx="110">
                  <v>27211</v>
                </pt>
                <pt idx="111">
                  <v>27303</v>
                </pt>
                <pt idx="112">
                  <v>27395</v>
                </pt>
                <pt idx="113">
                  <v>27485</v>
                </pt>
                <pt idx="114">
                  <v>27576</v>
                </pt>
                <pt idx="115">
                  <v>27668</v>
                </pt>
                <pt idx="116">
                  <v>27760</v>
                </pt>
                <pt idx="117">
                  <v>27851</v>
                </pt>
                <pt idx="118">
                  <v>27942</v>
                </pt>
                <pt idx="119">
                  <v>28034</v>
                </pt>
                <pt idx="120">
                  <v>28126</v>
                </pt>
                <pt idx="121">
                  <v>28216</v>
                </pt>
                <pt idx="122">
                  <v>28307</v>
                </pt>
                <pt idx="123">
                  <v>28399</v>
                </pt>
                <pt idx="124">
                  <v>28491</v>
                </pt>
                <pt idx="125">
                  <v>28581</v>
                </pt>
                <pt idx="126">
                  <v>28672</v>
                </pt>
                <pt idx="127">
                  <v>28764</v>
                </pt>
                <pt idx="128">
                  <v>28856</v>
                </pt>
                <pt idx="129">
                  <v>28946</v>
                </pt>
                <pt idx="130">
                  <v>29037</v>
                </pt>
                <pt idx="131">
                  <v>29129</v>
                </pt>
                <pt idx="132">
                  <v>29221</v>
                </pt>
                <pt idx="133">
                  <v>29312</v>
                </pt>
                <pt idx="134">
                  <v>29403</v>
                </pt>
                <pt idx="135">
                  <v>29495</v>
                </pt>
                <pt idx="136">
                  <v>29587</v>
                </pt>
                <pt idx="137">
                  <v>29677</v>
                </pt>
                <pt idx="138">
                  <v>29768</v>
                </pt>
                <pt idx="139">
                  <v>29860</v>
                </pt>
                <pt idx="140">
                  <v>29952</v>
                </pt>
                <pt idx="141">
                  <v>30042</v>
                </pt>
                <pt idx="142">
                  <v>30133</v>
                </pt>
                <pt idx="143">
                  <v>30225</v>
                </pt>
                <pt idx="144">
                  <v>30317</v>
                </pt>
                <pt idx="145">
                  <v>30407</v>
                </pt>
                <pt idx="146">
                  <v>30498</v>
                </pt>
                <pt idx="147">
                  <v>30590</v>
                </pt>
                <pt idx="148">
                  <v>30682</v>
                </pt>
                <pt idx="149">
                  <v>30773</v>
                </pt>
                <pt idx="150">
                  <v>30864</v>
                </pt>
                <pt idx="151">
                  <v>30956</v>
                </pt>
                <pt idx="152">
                  <v>31048</v>
                </pt>
                <pt idx="153">
                  <v>31138</v>
                </pt>
                <pt idx="154">
                  <v>31229</v>
                </pt>
                <pt idx="155">
                  <v>31321</v>
                </pt>
                <pt idx="156">
                  <v>31413</v>
                </pt>
                <pt idx="157">
                  <v>31503</v>
                </pt>
                <pt idx="158">
                  <v>31594</v>
                </pt>
                <pt idx="159">
                  <v>31686</v>
                </pt>
                <pt idx="160">
                  <v>31778</v>
                </pt>
                <pt idx="161">
                  <v>31868</v>
                </pt>
                <pt idx="162">
                  <v>31959</v>
                </pt>
                <pt idx="163">
                  <v>32051</v>
                </pt>
                <pt idx="164">
                  <v>32143</v>
                </pt>
                <pt idx="165">
                  <v>32234</v>
                </pt>
                <pt idx="166">
                  <v>32325</v>
                </pt>
                <pt idx="167">
                  <v>32417</v>
                </pt>
                <pt idx="168">
                  <v>32509</v>
                </pt>
                <pt idx="169">
                  <v>32599</v>
                </pt>
                <pt idx="170">
                  <v>32690</v>
                </pt>
                <pt idx="171">
                  <v>32782</v>
                </pt>
                <pt idx="172">
                  <v>32874</v>
                </pt>
                <pt idx="173">
                  <v>32964</v>
                </pt>
                <pt idx="174">
                  <v>33055</v>
                </pt>
                <pt idx="175">
                  <v>33147</v>
                </pt>
                <pt idx="176">
                  <v>33239</v>
                </pt>
                <pt idx="177">
                  <v>33329</v>
                </pt>
                <pt idx="178">
                  <v>33420</v>
                </pt>
                <pt idx="179">
                  <v>33512</v>
                </pt>
                <pt idx="180">
                  <v>33604</v>
                </pt>
                <pt idx="181">
                  <v>33695</v>
                </pt>
                <pt idx="182">
                  <v>33786</v>
                </pt>
                <pt idx="183">
                  <v>33878</v>
                </pt>
                <pt idx="184">
                  <v>33970</v>
                </pt>
                <pt idx="185">
                  <v>34060</v>
                </pt>
                <pt idx="186">
                  <v>34151</v>
                </pt>
                <pt idx="187">
                  <v>34243</v>
                </pt>
                <pt idx="188">
                  <v>34335</v>
                </pt>
                <pt idx="189">
                  <v>34425</v>
                </pt>
                <pt idx="190">
                  <v>34516</v>
                </pt>
                <pt idx="191">
                  <v>34608</v>
                </pt>
                <pt idx="192">
                  <v>34700</v>
                </pt>
                <pt idx="193">
                  <v>34790</v>
                </pt>
                <pt idx="194">
                  <v>34881</v>
                </pt>
                <pt idx="195">
                  <v>34973</v>
                </pt>
                <pt idx="196">
                  <v>35065</v>
                </pt>
                <pt idx="197">
                  <v>35156</v>
                </pt>
                <pt idx="198">
                  <v>35247</v>
                </pt>
                <pt idx="199">
                  <v>35339</v>
                </pt>
                <pt idx="200">
                  <v>35431</v>
                </pt>
                <pt idx="201">
                  <v>35521</v>
                </pt>
                <pt idx="202">
                  <v>35612</v>
                </pt>
                <pt idx="203">
                  <v>35704</v>
                </pt>
                <pt idx="204">
                  <v>35796</v>
                </pt>
                <pt idx="205">
                  <v>35886</v>
                </pt>
                <pt idx="206">
                  <v>35977</v>
                </pt>
                <pt idx="207">
                  <v>36069</v>
                </pt>
                <pt idx="208">
                  <v>36161</v>
                </pt>
                <pt idx="209">
                  <v>36251</v>
                </pt>
                <pt idx="210">
                  <v>36342</v>
                </pt>
                <pt idx="211">
                  <v>36434</v>
                </pt>
                <pt idx="212">
                  <v>36526</v>
                </pt>
                <pt idx="213">
                  <v>36617</v>
                </pt>
                <pt idx="214">
                  <v>36708</v>
                </pt>
                <pt idx="215">
                  <v>36800</v>
                </pt>
                <pt idx="216">
                  <v>36892</v>
                </pt>
                <pt idx="217">
                  <v>36982</v>
                </pt>
                <pt idx="218">
                  <v>37073</v>
                </pt>
                <pt idx="219">
                  <v>37165</v>
                </pt>
                <pt idx="220">
                  <v>37257</v>
                </pt>
                <pt idx="221">
                  <v>37347</v>
                </pt>
                <pt idx="222">
                  <v>37438</v>
                </pt>
                <pt idx="223">
                  <v>37530</v>
                </pt>
                <pt idx="224">
                  <v>37622</v>
                </pt>
                <pt idx="225">
                  <v>37712</v>
                </pt>
                <pt idx="226">
                  <v>37803</v>
                </pt>
                <pt idx="227">
                  <v>37895</v>
                </pt>
                <pt idx="228">
                  <v>37987</v>
                </pt>
                <pt idx="229">
                  <v>38078</v>
                </pt>
                <pt idx="230">
                  <v>38169</v>
                </pt>
                <pt idx="231">
                  <v>38261</v>
                </pt>
                <pt idx="232">
                  <v>38353</v>
                </pt>
                <pt idx="233">
                  <v>38443</v>
                </pt>
                <pt idx="234">
                  <v>38534</v>
                </pt>
                <pt idx="235">
                  <v>38626</v>
                </pt>
                <pt idx="236">
                  <v>38718</v>
                </pt>
                <pt idx="237">
                  <v>38808</v>
                </pt>
                <pt idx="238">
                  <v>38899</v>
                </pt>
                <pt idx="239">
                  <v>38991</v>
                </pt>
                <pt idx="240">
                  <v>39083</v>
                </pt>
                <pt idx="241">
                  <v>39173</v>
                </pt>
                <pt idx="242">
                  <v>39264</v>
                </pt>
                <pt idx="243">
                  <v>39356</v>
                </pt>
                <pt idx="244">
                  <v>39448</v>
                </pt>
                <pt idx="245">
                  <v>39539</v>
                </pt>
                <pt idx="246">
                  <v>39630</v>
                </pt>
                <pt idx="247">
                  <v>39722</v>
                </pt>
                <pt idx="248">
                  <v>39814</v>
                </pt>
                <pt idx="249">
                  <v>39904</v>
                </pt>
                <pt idx="250">
                  <v>39995</v>
                </pt>
                <pt idx="251">
                  <v>40087</v>
                </pt>
                <pt idx="252">
                  <v>40179</v>
                </pt>
                <pt idx="253">
                  <v>40269</v>
                </pt>
                <pt idx="254">
                  <v>40360</v>
                </pt>
                <pt idx="255">
                  <v>40452</v>
                </pt>
                <pt idx="256">
                  <v>40544</v>
                </pt>
                <pt idx="257">
                  <v>40634</v>
                </pt>
                <pt idx="258">
                  <v>40725</v>
                </pt>
                <pt idx="259">
                  <v>40817</v>
                </pt>
                <pt idx="260">
                  <v>40909</v>
                </pt>
                <pt idx="261">
                  <v>41000</v>
                </pt>
                <pt idx="262">
                  <v>41091</v>
                </pt>
                <pt idx="263">
                  <v>41183</v>
                </pt>
                <pt idx="264">
                  <v>41275</v>
                </pt>
                <pt idx="265">
                  <v>41365</v>
                </pt>
                <pt idx="266">
                  <v>41456</v>
                </pt>
                <pt idx="267">
                  <v>41548</v>
                </pt>
                <pt idx="268">
                  <v>41640</v>
                </pt>
                <pt idx="269">
                  <v>41730</v>
                </pt>
                <pt idx="270">
                  <v>41821</v>
                </pt>
                <pt idx="271">
                  <v>41913</v>
                </pt>
                <pt idx="272">
                  <v>42005</v>
                </pt>
                <pt idx="273">
                  <v>42095</v>
                </pt>
                <pt idx="274">
                  <v>42186</v>
                </pt>
                <pt idx="275">
                  <v>42278</v>
                </pt>
                <pt idx="276">
                  <v>42370</v>
                </pt>
                <pt idx="277">
                  <v>42461</v>
                </pt>
                <pt idx="278">
                  <v>42552</v>
                </pt>
                <pt idx="279">
                  <v>42644</v>
                </pt>
                <pt idx="280">
                  <v>42736</v>
                </pt>
                <pt idx="281">
                  <v>42826</v>
                </pt>
                <pt idx="282">
                  <v>42917</v>
                </pt>
                <pt idx="283">
                  <v>43009</v>
                </pt>
                <pt idx="284">
                  <v>43101</v>
                </pt>
                <pt idx="285">
                  <v>43191</v>
                </pt>
                <pt idx="286">
                  <v>43282</v>
                </pt>
                <pt idx="287">
                  <v>43374</v>
                </pt>
                <pt idx="288">
                  <v>43466</v>
                </pt>
                <pt idx="289">
                  <v>43556</v>
                </pt>
                <pt idx="290">
                  <v>43647</v>
                </pt>
                <pt idx="291">
                  <v>43739</v>
                </pt>
                <pt idx="292">
                  <v>43831</v>
                </pt>
                <pt idx="293">
                  <v>43922</v>
                </pt>
                <pt idx="294">
                  <v>44013</v>
                </pt>
                <pt idx="295">
                  <v>44105</v>
                </pt>
                <pt idx="296">
                  <v>44197</v>
                </pt>
                <pt idx="297">
                  <v>44287</v>
                </pt>
                <pt idx="298">
                  <v>44378</v>
                </pt>
              </numCache>
            </numRef>
          </cat>
          <val>
            <numRef>
              <f>CorePCE!$E$6:$E$304</f>
              <numCache>
                <formatCode>0.00%</formatCode>
                <ptCount val="299"/>
                <pt idx="49">
                  <v>0.02148449248773865</v>
                </pt>
                <pt idx="50">
                  <v>0.02694748080454645</v>
                </pt>
                <pt idx="51">
                  <v>0.02339222028276233</v>
                </pt>
                <pt idx="52">
                  <v>0.01252754716173277</v>
                </pt>
                <pt idx="53">
                  <v>0.01533216932245041</v>
                </pt>
                <pt idx="54">
                  <v>0.01574634090750937</v>
                </pt>
                <pt idx="55">
                  <v>0.01309694309316667</v>
                </pt>
                <pt idx="56">
                  <v>0.006977529082159872</v>
                </pt>
                <pt idx="57">
                  <v>0.01303141819728193</v>
                </pt>
                <pt idx="58">
                  <v>0.01765859185619223</v>
                </pt>
                <pt idx="59">
                  <v>0.009687393276814227</v>
                </pt>
                <pt idx="60">
                  <v>0.01475394376364858</v>
                </pt>
                <pt idx="61">
                  <v>0.01539272720283336</v>
                </pt>
                <pt idx="62">
                  <v>0.01326378321866373</v>
                </pt>
                <pt idx="63">
                  <v>0.007505724345723275</v>
                </pt>
                <pt idx="64">
                  <v>0.01342377632695202</v>
                </pt>
                <pt idx="65">
                  <v>0.01520324475807611</v>
                </pt>
                <pt idx="66">
                  <v>0.01537302979809763</v>
                </pt>
                <pt idx="67">
                  <v>0.01962439763790136</v>
                </pt>
                <pt idx="68">
                  <v>0.01704379675978274</v>
                </pt>
                <pt idx="69">
                  <v>0.01181276028176748</v>
                </pt>
                <pt idx="70">
                  <v>0.01110853602068773</v>
                </pt>
                <pt idx="71">
                  <v>0.01018817914960435</v>
                </pt>
                <pt idx="72">
                  <v>0.01527239070767861</v>
                </pt>
                <pt idx="73">
                  <v>0.01255594951770433</v>
                </pt>
                <pt idx="74">
                  <v>0.0125166603552338</v>
                </pt>
                <pt idx="75">
                  <v>0.01335760114363382</v>
                </pt>
                <pt idx="76">
                  <v>0.02012955890296642</v>
                </pt>
                <pt idx="77">
                  <v>0.0328092722565041</v>
                </pt>
                <pt idx="78">
                  <v>0.03342089670151083</v>
                </pt>
                <pt idx="79">
                  <v>0.03510612534358137</v>
                </pt>
                <pt idx="80">
                  <v>0.02210096155069219</v>
                </pt>
                <pt idx="81">
                  <v>0.02710275326194278</v>
                </pt>
                <pt idx="82">
                  <v>0.03694032042019679</v>
                </pt>
                <pt idx="83">
                  <v>0.04084851875321771</v>
                </pt>
                <pt idx="84">
                  <v>0.04634089615107362</v>
                </pt>
                <pt idx="85">
                  <v>0.04727325848070763</v>
                </pt>
                <pt idx="86">
                  <v>0.04568843068802808</v>
                </pt>
                <pt idx="87">
                  <v>0.04721509340165109</v>
                </pt>
                <pt idx="88">
                  <v>0.04444434777482864</v>
                </pt>
                <pt idx="89">
                  <v>0.04875006988515551</v>
                </pt>
                <pt idx="90">
                  <v>0.04697781330875772</v>
                </pt>
                <pt idx="91">
                  <v>0.04779928198230543</v>
                </pt>
                <pt idx="92">
                  <v>0.04434301423948495</v>
                </pt>
                <pt idx="93">
                  <v>0.04595342629157928</v>
                </pt>
                <pt idx="94">
                  <v>0.0452430504119854</v>
                </pt>
                <pt idx="95">
                  <v>0.05746796230198337</v>
                </pt>
                <pt idx="96">
                  <v>0.05165854343723608</v>
                </pt>
                <pt idx="97">
                  <v>0.0464499531409206</v>
                </pt>
                <pt idx="98">
                  <v>0.03821592702507104</v>
                </pt>
                <pt idx="99">
                  <v>0.0229008289182322</v>
                </pt>
                <pt idx="100">
                  <v>0.03886920253460957</v>
                </pt>
                <pt idx="101">
                  <v>0.02738512591340525</v>
                </pt>
                <pt idx="102">
                  <v>0.03046526067787747</v>
                </pt>
                <pt idx="103">
                  <v>0.02529066269489277</v>
                </pt>
                <pt idx="104">
                  <v>0.02817910294715542</v>
                </pt>
                <pt idx="105">
                  <v>0.05568850200779751</v>
                </pt>
                <pt idx="106">
                  <v>0.0542470775753654</v>
                </pt>
                <pt idx="107">
                  <v>0.05686311395692178</v>
                </pt>
                <pt idx="108">
                  <v>0.07031876393041592</v>
                </pt>
                <pt idx="109">
                  <v>0.1032097141961099</v>
                </pt>
                <pt idx="110">
                  <v>0.1193342868834748</v>
                </pt>
                <pt idx="111">
                  <v>0.1013667248147296</v>
                </pt>
                <pt idx="112">
                  <v>0.08057381596729174</v>
                </pt>
                <pt idx="113">
                  <v>0.06232231829762047</v>
                </pt>
                <pt idx="114">
                  <v>0.0613664621646095</v>
                </pt>
                <pt idx="115">
                  <v>0.06676014906277117</v>
                </pt>
                <pt idx="116">
                  <v>0.06213007618219768</v>
                </pt>
                <pt idx="117">
                  <v>0.04886321668592664</v>
                </pt>
                <pt idx="118">
                  <v>0.06415004917406542</v>
                </pt>
                <pt idx="119">
                  <v>0.06408602475965908</v>
                </pt>
                <pt idx="120">
                  <v>0.06908814068074576</v>
                </pt>
                <pt idx="121">
                  <v>0.06253153570236902</v>
                </pt>
                <pt idx="122">
                  <v>0.06816398507384891</v>
                </pt>
                <pt idx="123">
                  <v>0.05939954966667793</v>
                </pt>
                <pt idx="124">
                  <v>0.06390772862190697</v>
                </pt>
                <pt idx="125">
                  <v>0.07081457969729743</v>
                </pt>
                <pt idx="126">
                  <v>0.07043568366501352</v>
                </pt>
                <pt idx="127">
                  <v>0.0737719755482189</v>
                </pt>
                <pt idx="128">
                  <v>0.05580312955857214</v>
                </pt>
                <pt idx="129">
                  <v>0.0908465177778861</v>
                </pt>
                <pt idx="130">
                  <v>0.07588904649831374</v>
                </pt>
                <pt idx="131">
                  <v>0.08604196707496836</v>
                </pt>
                <pt idx="132">
                  <v>0.1015398025953989</v>
                </pt>
                <pt idx="133">
                  <v>0.0925166483078057</v>
                </pt>
                <pt idx="134">
                  <v>0.0921194974785291</v>
                </pt>
                <pt idx="135">
                  <v>0.1010514162543008</v>
                </pt>
                <pt idx="136">
                  <v>0.09177468372825004</v>
                </pt>
                <pt idx="137">
                  <v>0.07771968132074103</v>
                </pt>
                <pt idx="138">
                  <v>0.07575898070289067</v>
                </pt>
                <pt idx="139">
                  <v>0.07303374479762015</v>
                </pt>
                <pt idx="140">
                  <v>0.05986181282351932</v>
                </pt>
                <pt idx="141">
                  <v>0.05519611736977059</v>
                </pt>
                <pt idx="142">
                  <v>0.06566689815934845</v>
                </pt>
                <pt idx="143">
                  <v>0.05688891292919318</v>
                </pt>
                <pt idx="144">
                  <v>0.05359344100383989</v>
                </pt>
                <pt idx="145">
                  <v>0.03098400505085053</v>
                </pt>
                <pt idx="146">
                  <v>0.06211050944015462</v>
                </pt>
                <pt idx="147">
                  <v>0.03240567944047057</v>
                </pt>
                <pt idx="148">
                  <v>0.04101540787865621</v>
                </pt>
                <pt idx="149">
                  <v>0.0476464267059542</v>
                </pt>
                <pt idx="150">
                  <v>0.03812805315437262</v>
                </pt>
                <pt idx="151">
                  <v>0.02871763702150143</v>
                </pt>
                <pt idx="152">
                  <v>0.055724037082447</v>
                </pt>
                <pt idx="153">
                  <v>0.03513219156336755</v>
                </pt>
                <pt idx="154">
                  <v>0.04173014283920096</v>
                </pt>
                <pt idx="155">
                  <v>0.0290266132736503</v>
                </pt>
                <pt idx="156">
                  <v>0.0439495526798388</v>
                </pt>
                <pt idx="157">
                  <v>0.02761767708122509</v>
                </pt>
                <pt idx="158">
                  <v>0.0277958309163906</v>
                </pt>
                <pt idx="159">
                  <v>0.03287021304529048</v>
                </pt>
                <pt idx="160">
                  <v>0.02535373030339794</v>
                </pt>
                <pt idx="161">
                  <v>0.03934639708595533</v>
                </pt>
                <pt idx="162">
                  <v>0.03630687773978614</v>
                </pt>
                <pt idx="163">
                  <v>0.04124949093652397</v>
                </pt>
                <pt idx="164">
                  <v>0.03913509776705815</v>
                </pt>
                <pt idx="165">
                  <v>0.04940978160747855</v>
                </pt>
                <pt idx="166">
                  <v>0.04686274404932012</v>
                </pt>
                <pt idx="167">
                  <v>0.04549752691712738</v>
                </pt>
                <pt idx="168">
                  <v>0.04430858741794519</v>
                </pt>
                <pt idx="169">
                  <v>0.03694307796044405</v>
                </pt>
                <pt idx="170">
                  <v>0.03008506242542519</v>
                </pt>
                <pt idx="171">
                  <v>0.03711754627295738</v>
                </pt>
                <pt idx="172">
                  <v>0.04687881581608444</v>
                </pt>
                <pt idx="173">
                  <v>0.04543113178601677</v>
                </pt>
                <pt idx="174">
                  <v>0.04103064852467098</v>
                </pt>
                <pt idx="175">
                  <v>0.03401158359714818</v>
                </pt>
                <pt idx="176">
                  <v>0.03596571672439541</v>
                </pt>
                <pt idx="177">
                  <v>0.03120749917676813</v>
                </pt>
                <pt idx="178">
                  <v>0.03653312029469746</v>
                </pt>
                <pt idx="179">
                  <v>0.03183617050712595</v>
                </pt>
                <pt idx="180">
                  <v>0.03092425911006402</v>
                </pt>
                <pt idx="181">
                  <v>0.02854420203670061</v>
                </pt>
                <pt idx="182">
                  <v>0.02392029454128153</v>
                </pt>
                <pt idx="183">
                  <v>0.02964140208070409</v>
                </pt>
                <pt idx="184">
                  <v>0.02784959361852213</v>
                </pt>
                <pt idx="185">
                  <v>0.0307264267101981</v>
                </pt>
                <pt idx="186">
                  <v>0.02251866992135843</v>
                </pt>
                <pt idx="187">
                  <v>0.02074426792747786</v>
                </pt>
                <pt idx="188">
                  <v>0.01826590347103796</v>
                </pt>
                <pt idx="189">
                  <v>0.02719715088374919</v>
                </pt>
                <pt idx="190">
                  <v>0.02252963811738762</v>
                </pt>
                <pt idx="191">
                  <v>0.02051300135453626</v>
                </pt>
                <pt idx="192">
                  <v>0.02112714255974346</v>
                </pt>
                <pt idx="193">
                  <v>0.02393500254015657</v>
                </pt>
                <pt idx="194">
                  <v>0.0191971097509076</v>
                </pt>
                <pt idx="195">
                  <v>0.02024732812792251</v>
                </pt>
                <pt idx="196">
                  <v>0.01576842144128876</v>
                </pt>
                <pt idx="197">
                  <v>0.01920385985975881</v>
                </pt>
                <pt idx="198">
                  <v>0.01836169465189852</v>
                </pt>
                <pt idx="199">
                  <v>0.02297979042307041</v>
                </pt>
                <pt idx="200">
                  <v>0.01578916856602719</v>
                </pt>
                <pt idx="201">
                  <v>0.02101044507223615</v>
                </pt>
                <pt idx="202">
                  <v>0.009365180664270056</v>
                </pt>
                <pt idx="203">
                  <v>0.01273331381865539</v>
                </pt>
                <pt idx="204">
                  <v>0.01186031596904957</v>
                </pt>
                <pt idx="205">
                  <v>0.01229213308110255</v>
                </pt>
                <pt idx="206">
                  <v>0.0142732506261054</v>
                </pt>
                <pt idx="207">
                  <v>0.01277799713280992</v>
                </pt>
                <pt idx="208">
                  <v>0.01011860966000544</v>
                </pt>
                <pt idx="209">
                  <v>0.01393609394886908</v>
                </pt>
                <pt idx="210">
                  <v>0.01480843744942684</v>
                </pt>
                <pt idx="211">
                  <v>0.01894057515288816</v>
                </pt>
                <pt idx="212">
                  <v>0.02114348492229756</v>
                </pt>
                <pt idx="213">
                  <v>0.01400185722326541</v>
                </pt>
                <pt idx="214">
                  <v>0.01944366685377608</v>
                </pt>
                <pt idx="215">
                  <v>0.02000274804908164</v>
                </pt>
                <pt idx="216">
                  <v>0.02621800476820657</v>
                </pt>
                <pt idx="217">
                  <v>0.01521156671561363</v>
                </pt>
                <pt idx="218">
                  <v>0.01037846085206207</v>
                </pt>
                <pt idx="219">
                  <v>0.01945032264483659</v>
                </pt>
                <pt idx="220">
                  <v>0.01235198672202342</v>
                </pt>
                <pt idx="221">
                  <v>0.02218785721674577</v>
                </pt>
                <pt idx="222">
                  <v>0.02148015989154661</v>
                </pt>
                <pt idx="223">
                  <v>0.01430245719795487</v>
                </pt>
                <pt idx="224">
                  <v>0.01237776129273271</v>
                </pt>
                <pt idx="225">
                  <v>0.01526234880029387</v>
                </pt>
                <pt idx="226">
                  <v>0.01845746547598703</v>
                </pt>
                <pt idx="227">
                  <v>0.01803899790998931</v>
                </pt>
                <pt idx="228">
                  <v>0.02213994892895976</v>
                </pt>
                <pt idx="229">
                  <v>0.02310713135273534</v>
                </pt>
                <pt idx="230">
                  <v>0.0143833188707132</v>
                </pt>
                <pt idx="231">
                  <v>0.02185991199469384</v>
                </pt>
                <pt idx="232">
                  <v>0.02875379241814846</v>
                </pt>
                <pt idx="233">
                  <v>0.01996690829419046</v>
                </pt>
                <pt idx="234">
                  <v>0.01568722710304771</v>
                </pt>
                <pt idx="235">
                  <v>0.02700424113239919</v>
                </pt>
                <pt idx="236">
                  <v>0.02334981045381967</v>
                </pt>
                <pt idx="237">
                  <v>0.03227422812314629</v>
                </pt>
                <pt idx="238">
                  <v>0.02172439728583675</v>
                </pt>
                <pt idx="239">
                  <v>0.0173203131747961</v>
                </pt>
                <pt idx="240">
                  <v>0.02789634437195287</v>
                </pt>
                <pt idx="241">
                  <v>0.01672999161724054</v>
                </pt>
                <pt idx="242">
                  <v>0.01977965708562346</v>
                </pt>
                <pt idx="243">
                  <v>0.0279794837384939</v>
                </pt>
                <pt idx="244">
                  <v>0.02132912898263317</v>
                </pt>
                <pt idx="245">
                  <v>0.01689427074126049</v>
                </pt>
                <pt idx="246">
                  <v>0.02060950412211127</v>
                </pt>
                <pt idx="247">
                  <v>-0.003162436187049034</v>
                </pt>
                <pt idx="248">
                  <v>-4.224868632429768e-05</v>
                </pt>
                <pt idx="249">
                  <v>0.01576705326714767</v>
                </pt>
                <pt idx="250">
                  <v>0.01425821464440835</v>
                </pt>
                <pt idx="251">
                  <v>0.02514375924546353</v>
                </pt>
                <pt idx="252">
                  <v>0.01374017678772299</v>
                </pt>
                <pt idx="253">
                  <v>0.01084283479238102</v>
                </pt>
                <pt idx="254">
                  <v>0.006144694052198529</v>
                </pt>
                <pt idx="255">
                  <v>0.0127161950133432</v>
                </pt>
                <pt idx="256">
                  <v>0.01767958864057939</v>
                </pt>
                <pt idx="257">
                  <v>0.02360391254457217</v>
                </pt>
                <pt idx="258">
                  <v>0.01836727604835597</v>
                </pt>
                <pt idx="259">
                  <v>0.01433573747910244</v>
                </pt>
                <pt idx="260">
                  <v>0.02550011536158192</v>
                </pt>
                <pt idx="261">
                  <v>0.01663586753000312</v>
                </pt>
                <pt idx="262">
                  <v>0.01158755114957022</v>
                </pt>
                <pt idx="263">
                  <v>0.01781371002550958</v>
                </pt>
                <pt idx="264">
                  <v>0.0161640370679883</v>
                </pt>
                <pt idx="265">
                  <v>0.01225600252925507</v>
                </pt>
                <pt idx="266">
                  <v>0.0156101975101417</v>
                </pt>
                <pt idx="267">
                  <v>0.01969456990090257</v>
                </pt>
                <pt idx="268">
                  <v>0.0138508360978935</v>
                </pt>
                <pt idx="269">
                  <v>0.0199261854717252</v>
                </pt>
                <pt idx="270">
                  <v>0.01554005832873817</v>
                </pt>
                <pt idx="271">
                  <v>0.01153470128468892</v>
                </pt>
                <pt idx="272">
                  <v>0.007850644688483399</v>
                </pt>
                <pt idx="273">
                  <v>0.01727487206157186</v>
                </pt>
                <pt idx="274">
                  <v>0.01212556467651171</v>
                </pt>
                <pt idx="275">
                  <v>0.008700725413643973</v>
                </pt>
                <pt idx="276">
                  <v>0.01684092757092803</v>
                </pt>
                <pt idx="277">
                  <v>0.02189245939271811</v>
                </pt>
                <pt idx="278">
                  <v>0.018745182791295</v>
                </pt>
                <pt idx="279">
                  <v>0.01466229047963119</v>
                </pt>
                <pt idx="280">
                  <v>0.01775447534589736</v>
                </pt>
                <pt idx="281">
                  <v>0.01620356935184208</v>
                </pt>
                <pt idx="282">
                  <v>0.01377262954010439</v>
                </pt>
                <pt idx="283">
                  <v>0.02047171135715398</v>
                </pt>
                <pt idx="284">
                  <v>0.0242605745782134</v>
                </pt>
                <pt idx="285">
                  <v>0.02403980799640459</v>
                </pt>
                <pt idx="286">
                  <v>0.01378691009915167</v>
                </pt>
                <pt idx="287">
                  <v>0.01858352149532783</v>
                </pt>
                <pt idx="288">
                  <v>0.01112625603468276</v>
                </pt>
                <pt idx="289">
                  <v>0.02349092700984934</v>
                </pt>
                <pt idx="290">
                  <v>0.01750458215618411</v>
                </pt>
                <pt idx="291">
                  <v>0.01353582301615242</v>
                </pt>
                <pt idx="292">
                  <v>0.01744139757228713</v>
                </pt>
                <pt idx="293">
                  <v>-0.007615050994339456</v>
                </pt>
                <pt idx="294">
                  <v>0.03535148010263867</v>
                </pt>
                <pt idx="295">
                  <v>0.01238326196368256</v>
                </pt>
                <pt idx="296">
                  <v>0.02669525575729881</v>
                </pt>
                <pt idx="297">
                  <v>0.06121263039716673</v>
                </pt>
                <pt idx="298">
                  <v>0.04476529734855417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49289135"/>
        <axId val="1348870879"/>
      </barChart>
      <dateAx>
        <axId val="1349289135"/>
        <scaling>
          <orientation val="minMax"/>
          <min val="21551"/>
        </scaling>
        <delete val="0"/>
        <axPos val="b"/>
        <numFmt formatCode="m/d/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8870879"/>
        <crosses val="autoZero"/>
        <lblOffset val="100"/>
        <baseTimeUnit val="months"/>
      </dateAx>
      <valAx>
        <axId val="134887087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4928913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Relationship Type="http://schemas.openxmlformats.org/officeDocument/2006/relationships/chart" Target="/xl/charts/chart4.xml" Id="rId3"/><Relationship Type="http://schemas.openxmlformats.org/officeDocument/2006/relationships/chart" Target="/xl/charts/chart5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Relationship Type="http://schemas.openxmlformats.org/officeDocument/2006/relationships/chart" Target="/xl/charts/chart8.xml" Id="rId3"/><Relationship Type="http://schemas.openxmlformats.org/officeDocument/2006/relationships/chart" Target="/xl/charts/chart9.xml" Id="rId4"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Relationship Type="http://schemas.openxmlformats.org/officeDocument/2006/relationships/chart" Target="/xl/charts/chart12.xml" Id="rId3"/><Relationship Type="http://schemas.openxmlformats.org/officeDocument/2006/relationships/chart" Target="/xl/charts/chart13.xml" Id="rId4"/></Relationships>
</file>

<file path=xl/drawings/_rels/drawing5.xml.rels><Relationships xmlns="http://schemas.openxmlformats.org/package/2006/relationships"><Relationship Type="http://schemas.openxmlformats.org/officeDocument/2006/relationships/chart" Target="/xl/charts/chart14.xml" Id="rId1"/><Relationship Type="http://schemas.openxmlformats.org/officeDocument/2006/relationships/chart" Target="/xl/charts/chart15.xml" Id="rId2"/><Relationship Type="http://schemas.openxmlformats.org/officeDocument/2006/relationships/chart" Target="/xl/charts/chart16.xml" Id="rId3"/><Relationship Type="http://schemas.openxmlformats.org/officeDocument/2006/relationships/chart" Target="/xl/charts/chart17.xml" Id="rId4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8.xml" Id="rId1"/><Relationship Type="http://schemas.openxmlformats.org/officeDocument/2006/relationships/chart" Target="/xl/charts/chart19.xml" Id="rId2"/><Relationship Type="http://schemas.openxmlformats.org/officeDocument/2006/relationships/chart" Target="/xl/charts/chart20.xml" Id="rId3"/><Relationship Type="http://schemas.openxmlformats.org/officeDocument/2006/relationships/chart" Target="/xl/charts/chart21.xml" Id="rId4"/></Relationships>
</file>

<file path=xl/drawings/_rels/drawing7.xml.rels><Relationships xmlns="http://schemas.openxmlformats.org/package/2006/relationships"><Relationship Type="http://schemas.openxmlformats.org/officeDocument/2006/relationships/chart" Target="/xl/charts/chart22.xml" Id="rId1"/><Relationship Type="http://schemas.openxmlformats.org/officeDocument/2006/relationships/chart" Target="/xl/charts/chart23.xml" Id="rId2"/><Relationship Type="http://schemas.openxmlformats.org/officeDocument/2006/relationships/chart" Target="/xl/charts/chart24.xml" Id="rId3"/><Relationship Type="http://schemas.openxmlformats.org/officeDocument/2006/relationships/chart" Target="/xl/charts/chart25.xml" Id="rId4"/></Relationships>
</file>

<file path=xl/drawings/_rels/drawing8.xml.rels><Relationships xmlns="http://schemas.openxmlformats.org/package/2006/relationships"><Relationship Type="http://schemas.openxmlformats.org/officeDocument/2006/relationships/chart" Target="/xl/charts/chart26.xml" Id="rId1"/><Relationship Type="http://schemas.openxmlformats.org/officeDocument/2006/relationships/chart" Target="/xl/charts/chart27.xml" Id="rId2"/><Relationship Type="http://schemas.openxmlformats.org/officeDocument/2006/relationships/chart" Target="/xl/charts/chart28.xml" Id="rId3"/><Relationship Type="http://schemas.openxmlformats.org/officeDocument/2006/relationships/chart" Target="/xl/charts/chart29.xml" Id="rId4"/></Relationships>
</file>

<file path=xl/drawings/_rels/drawing9.xml.rels><Relationships xmlns="http://schemas.openxmlformats.org/package/2006/relationships"><Relationship Type="http://schemas.openxmlformats.org/officeDocument/2006/relationships/chart" Target="/xl/charts/chart30.xml" Id="rId1"/><Relationship Type="http://schemas.openxmlformats.org/officeDocument/2006/relationships/chart" Target="/xl/charts/chart31.xml" Id="rId2"/><Relationship Type="http://schemas.openxmlformats.org/officeDocument/2006/relationships/chart" Target="/xl/charts/chart32.xml" Id="rId3"/><Relationship Type="http://schemas.openxmlformats.org/officeDocument/2006/relationships/chart" Target="/xl/charts/chart33.xml" Id="rId4"/></Relationships>
</file>

<file path=xl/drawings/drawing1.xml><?xml version="1.0" encoding="utf-8"?>
<wsDr xmlns="http://schemas.openxmlformats.org/drawingml/2006/spreadsheetDrawing">
  <twoCellAnchor>
    <from>
      <col>12</col>
      <colOff>0</colOff>
      <row>0</row>
      <rowOff>133350</rowOff>
    </from>
    <to>
      <col>15</col>
      <colOff>19050</colOff>
      <row>7</row>
      <rowOff>381000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5</col>
      <colOff>781627</colOff>
      <row>253</row>
      <rowOff>42718</rowOff>
    </from>
    <to>
      <col>18</col>
      <colOff>750454</colOff>
      <row>288</row>
      <rowOff>50800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37439</colOff>
      <row>252</row>
      <rowOff>171862</rowOff>
    </from>
    <to>
      <col>33</col>
      <colOff>663863</colOff>
      <row>286</row>
      <rowOff>123537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763588</colOff>
      <row>288</row>
      <rowOff>146730</rowOff>
    </from>
    <to>
      <col>18</col>
      <colOff>750454</colOff>
      <row>318</row>
      <rowOff>161636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173625</colOff>
      <row>288</row>
      <rowOff>13855</rowOff>
    </from>
    <to>
      <col>34</col>
      <colOff>-1</colOff>
      <row>319</row>
      <rowOff>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137583</colOff>
      <row>236</row>
      <rowOff>95250</rowOff>
    </from>
    <to>
      <col>17</col>
      <colOff>516955</colOff>
      <row>263</row>
      <rowOff>86948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727807</colOff>
      <row>236</row>
      <rowOff>95251</rowOff>
    </from>
    <to>
      <col>29</col>
      <colOff>656167</colOff>
      <row>263</row>
      <rowOff>109743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112346</colOff>
      <row>263</row>
      <rowOff>171940</rowOff>
    </from>
    <to>
      <col>17</col>
      <colOff>508000</colOff>
      <row>292</row>
      <rowOff>169334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17</col>
      <colOff>734646</colOff>
      <row>263</row>
      <rowOff>171938</rowOff>
    </from>
    <to>
      <col>29</col>
      <colOff>656167</colOff>
      <row>292</row>
      <rowOff>179917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7</col>
      <colOff>392546</colOff>
      <row>241</row>
      <rowOff>69274</rowOff>
    </from>
    <to>
      <col>18</col>
      <colOff>782871</colOff>
      <row>271</row>
      <rowOff>188192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19</col>
      <colOff>57727</colOff>
      <row>241</row>
      <rowOff>92364</rowOff>
    </from>
    <to>
      <col>32</col>
      <colOff>128333</colOff>
      <row>271</row>
      <rowOff>186413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357910</colOff>
      <row>272</row>
      <rowOff>92363</rowOff>
    </from>
    <to>
      <col>18</col>
      <colOff>819728</colOff>
      <row>304</row>
      <rowOff>69273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19</col>
      <colOff>57728</colOff>
      <row>272</row>
      <rowOff>92363</rowOff>
    </from>
    <to>
      <col>32</col>
      <colOff>103911</colOff>
      <row>304</row>
      <rowOff>80819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6</col>
      <colOff>211666</colOff>
      <row>254</row>
      <rowOff>33866</rowOff>
    </from>
    <to>
      <col>14</col>
      <colOff>823708</colOff>
      <row>278</row>
      <rowOff>97692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110067</colOff>
      <row>254</row>
      <rowOff>33866</rowOff>
    </from>
    <to>
      <col>24</col>
      <colOff>754999</colOff>
      <row>278</row>
      <rowOff>29958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203200</colOff>
      <row>278</row>
      <rowOff>152400</rowOff>
    </from>
    <to>
      <col>14</col>
      <colOff>808078</colOff>
      <row>303</row>
      <rowOff>170961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101601</colOff>
      <row>278</row>
      <rowOff>118534</rowOff>
    </from>
    <to>
      <col>24</col>
      <colOff>742951</colOff>
      <row>304</row>
      <rowOff>12700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6</col>
      <colOff>254000</colOff>
      <row>242</row>
      <rowOff>158750</rowOff>
    </from>
    <to>
      <col>18</col>
      <colOff>163636</colOff>
      <row>271</row>
      <rowOff>152888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18</col>
      <colOff>245860</colOff>
      <row>242</row>
      <rowOff>169333</rowOff>
    </from>
    <to>
      <col>29</col>
      <colOff>582083</colOff>
      <row>271</row>
      <rowOff>143121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285750</colOff>
      <row>272</row>
      <rowOff>56336</rowOff>
    </from>
    <to>
      <col>18</col>
      <colOff>152237</colOff>
      <row>302</row>
      <rowOff>179917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18</col>
      <colOff>234461</colOff>
      <row>272</row>
      <rowOff>44123</rowOff>
    </from>
    <to>
      <col>29</col>
      <colOff>582082</colOff>
      <row>303</row>
      <rowOff>10582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6</col>
      <colOff>146539</colOff>
      <row>249</row>
      <rowOff>87923</rowOff>
    </from>
    <to>
      <col>15</col>
      <colOff>79782</colOff>
      <row>272</row>
      <rowOff>126022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175847</colOff>
      <row>249</row>
      <rowOff>97694</rowOff>
    </from>
    <to>
      <col>24</col>
      <colOff>620345</colOff>
      <row>272</row>
      <rowOff>116254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127000</colOff>
      <row>273</row>
      <rowOff>39077</rowOff>
    </from>
    <to>
      <col>15</col>
      <colOff>99320</colOff>
      <row>299</row>
      <rowOff>139048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185616</colOff>
      <row>273</row>
      <rowOff>29307</rowOff>
    </from>
    <to>
      <col>24</col>
      <colOff>620346</colOff>
      <row>299</row>
      <rowOff>139047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5</col>
      <colOff>830384</colOff>
      <row>254</row>
      <rowOff>107462</rowOff>
    </from>
    <to>
      <col>15</col>
      <colOff>412751</colOff>
      <row>277</row>
      <rowOff>96715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488462</colOff>
      <row>254</row>
      <rowOff>127000</rowOff>
    </from>
    <to>
      <col>24</col>
      <colOff>744903</colOff>
      <row>277</row>
      <rowOff>121139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6</col>
      <colOff>19539</colOff>
      <row>278</row>
      <rowOff>9769</rowOff>
    </from>
    <to>
      <col>15</col>
      <colOff>412750</colOff>
      <row>304</row>
      <rowOff>8793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478693</colOff>
      <row>277</row>
      <rowOff>185618</rowOff>
    </from>
    <to>
      <col>24</col>
      <colOff>725366</colOff>
      <row>304</row>
      <rowOff>8795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7</col>
      <colOff>575733</colOff>
      <row>260</row>
      <rowOff>152400</rowOff>
    </from>
    <to>
      <col>15</col>
      <colOff>650955</colOff>
      <row>280</row>
      <rowOff>132211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15</col>
      <colOff>711201</colOff>
      <row>260</row>
      <rowOff>160866</rowOff>
    </from>
    <to>
      <col>24</col>
      <colOff>213947</colOff>
      <row>280</row>
      <rowOff>166077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567267</colOff>
      <row>281</row>
      <rowOff>76200</rowOff>
    </from>
    <to>
      <col>15</col>
      <colOff>617089</colOff>
      <row>303</row>
      <rowOff>187570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15</col>
      <colOff>702733</colOff>
      <row>281</row>
      <rowOff>93134</rowOff>
    </from>
    <to>
      <col>24</col>
      <colOff>197013</colOff>
      <row>303</row>
      <rowOff>188873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5:E304" headerRowCount="1" totalsRowShown="0" dataDxfId="85" headerRowBorderDxfId="86" tableBorderDxfId="84" totalsRowBorderDxfId="83">
  <autoFilter ref="A5:E304"/>
  <tableColumns count="5">
    <tableColumn id="1" name="Date" dataDxfId="82"/>
    <tableColumn id="2" name="Value" dataDxfId="81">
      <calculatedColumnFormula>VLOOKUP(A6,Database!A:L,MATCH($A$1,Database!$A$1:$L$1,),)</calculatedColumnFormula>
    </tableColumn>
    <tableColumn id="3" name="GDP q/q %" dataDxfId="80">
      <calculatedColumnFormula>(B6-B5)/B5</calculatedColumnFormula>
    </tableColumn>
    <tableColumn id="4" name="GDP y/y %" dataDxfId="79">
      <calculatedColumnFormula>(B6-B2)/B2</calculatedColumnFormula>
    </tableColumn>
    <tableColumn id="5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58" displayName="Table58" ref="A5:L304" headerRowCount="1" totalsRowShown="0" headerRowDxfId="77" dataDxfId="75" headerRowBorderDxfId="76">
  <autoFilter ref="A5:L304"/>
  <tableColumns count="12">
    <tableColumn id="1" name="Date" dataDxfId="74"/>
    <tableColumn id="2" name="GDP" dataDxfId="73">
      <calculatedColumnFormula>VLOOKUP(A6,'U.S. GDP'!A:B,2,)</calculatedColumnFormula>
    </tableColumn>
    <tableColumn id="9" name="Personal Consumption" dataDxfId="72">
      <calculatedColumnFormula>VLOOKUP(A6,PersonalConsumption!A:B,2,)</calculatedColumnFormula>
    </tableColumn>
    <tableColumn id="5" name="Private Investment" dataDxfId="71">
      <calculatedColumnFormula>VLOOKUP(A6,PrivateInvestment!A:B,2,)</calculatedColumnFormula>
    </tableColumn>
    <tableColumn id="3" name="Exports" dataDxfId="70">
      <calculatedColumnFormula>VLOOKUP(A6,Exports!A:B,2,)</calculatedColumnFormula>
    </tableColumn>
    <tableColumn id="10" name="Imports" dataDxfId="69">
      <calculatedColumnFormula>VLOOKUP(A6,Imports!A:B,2,)</calculatedColumnFormula>
    </tableColumn>
    <tableColumn id="11" name="Government" dataDxfId="68">
      <calculatedColumnFormula>VLOOKUP(A6,Government!A:B,2,)</calculatedColumnFormula>
    </tableColumn>
    <tableColumn id="15" name="PC%" dataDxfId="67">
      <calculatedColumnFormula>Table58[[#This Row],[Personal Consumption]]/Table58[[#This Row],[GDP]]</calculatedColumnFormula>
    </tableColumn>
    <tableColumn id="14" name="I%" dataDxfId="66">
      <calculatedColumnFormula>Table58[[#This Row],[Private Investment]]/Table58[[#This Row],[GDP]]</calculatedColumnFormula>
    </tableColumn>
    <tableColumn id="13" name="E%" dataDxfId="65">
      <calculatedColumnFormula>Table58[[#This Row],[Exports]]/Table58[[#This Row],[GDP]]</calculatedColumnFormula>
    </tableColumn>
    <tableColumn id="12" name="I%2" dataDxfId="64">
      <calculatedColumnFormula>-Table58[[#This Row],[Imports]]/Table58[[#This Row],[GDP]]</calculatedColumnFormula>
    </tableColumn>
    <tableColumn id="8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" displayName="Table2" ref="A5:E304" headerRowCount="1" totalsRowShown="0" dataDxfId="61" headerRowBorderDxfId="62" tableBorderDxfId="60" totalsRowBorderDxfId="59">
  <autoFilter ref="A5:E304"/>
  <tableColumns count="5">
    <tableColumn id="1" name="Date" dataDxfId="58"/>
    <tableColumn id="2" name="Value" dataDxfId="57">
      <calculatedColumnFormula>VLOOKUP(A6,Database!A:L,MATCH($A$1,Database!$A$1:$L$1,),)</calculatedColumnFormula>
    </tableColumn>
    <tableColumn id="3" name="qoq" dataDxfId="56">
      <calculatedColumnFormula>(B6-B5)/B5</calculatedColumnFormula>
    </tableColumn>
    <tableColumn id="4" name="yoy" dataDxfId="55">
      <calculatedColumnFormula>(B6-B2)/B2</calculatedColumnFormula>
    </tableColumn>
    <tableColumn id="5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3" displayName="Table3" ref="A5:E304" headerRowCount="1" totalsRowShown="0" dataDxfId="52" headerRowBorderDxfId="53" tableBorderDxfId="51" totalsRowBorderDxfId="50">
  <autoFilter ref="A5:E304"/>
  <tableColumns count="5">
    <tableColumn id="1" name="Date" dataDxfId="49"/>
    <tableColumn id="2" name="Value" dataDxfId="48">
      <calculatedColumnFormula>VLOOKUP(A6,Database!A:L,MATCH($A$1,Database!$A$1:$L$1,),)</calculatedColumnFormula>
    </tableColumn>
    <tableColumn id="3" name="qoq" dataDxfId="47">
      <calculatedColumnFormula>(B6-B5)/B5</calculatedColumnFormula>
    </tableColumn>
    <tableColumn id="4" name="yoy" dataDxfId="46">
      <calculatedColumnFormula>(B6-B2)/B2</calculatedColumnFormula>
    </tableColumn>
    <tableColumn id="5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5:E304" headerRowCount="1" totalsRowShown="0" dataDxfId="43" headerRowBorderDxfId="44" tableBorderDxfId="42" totalsRowBorderDxfId="41">
  <autoFilter ref="A5:E304"/>
  <tableColumns count="5">
    <tableColumn id="1" name="Date" dataDxfId="40"/>
    <tableColumn id="2" name="Value" dataDxfId="39">
      <calculatedColumnFormula>VLOOKUP(A6,Database!A:L,MATCH($A$1,Database!$A$1:$L$1,),)</calculatedColumnFormula>
    </tableColumn>
    <tableColumn id="3" name="qoq" dataDxfId="38">
      <calculatedColumnFormula>(B6-B5)/B5</calculatedColumnFormula>
    </tableColumn>
    <tableColumn id="4" name="yoy" dataDxfId="37">
      <calculatedColumnFormula>(B6-B2)/B2</calculatedColumnFormula>
    </tableColumn>
    <tableColumn id="5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E304" headerRowCount="1" totalsRowShown="0" dataDxfId="34" headerRowBorderDxfId="35" tableBorderDxfId="33" totalsRowBorderDxfId="32">
  <autoFilter ref="A5:E304"/>
  <tableColumns count="5">
    <tableColumn id="1" name="Date" dataDxfId="31"/>
    <tableColumn id="2" name="Value" dataDxfId="30">
      <calculatedColumnFormula>VLOOKUP(A6,Database!A:L,MATCH($A$1,Database!$A$1:$L$1,),)</calculatedColumnFormula>
    </tableColumn>
    <tableColumn id="3" name="qoq" dataDxfId="29">
      <calculatedColumnFormula>(B6-B5)/B5</calculatedColumnFormula>
    </tableColumn>
    <tableColumn id="4" name="yoy" dataDxfId="28">
      <calculatedColumnFormula>(B6-B2)/B2</calculatedColumnFormula>
    </tableColumn>
    <tableColumn id="5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6" displayName="Table6" ref="A5:E304" headerRowCount="1" totalsRowShown="0" dataDxfId="25" headerRowBorderDxfId="26" tableBorderDxfId="24" totalsRowBorderDxfId="23">
  <autoFilter ref="A5:E304"/>
  <tableColumns count="5">
    <tableColumn id="1" name="Date" dataDxfId="22"/>
    <tableColumn id="2" name="Value" dataDxfId="21">
      <calculatedColumnFormula>VLOOKUP(A6,Database!A:L,MATCH($A$1,Database!$A$1:$L$1,),)</calculatedColumnFormula>
    </tableColumn>
    <tableColumn id="3" name="qoq" dataDxfId="20">
      <calculatedColumnFormula>(B6-B5)/B5</calculatedColumnFormula>
    </tableColumn>
    <tableColumn id="4" name="yoy" dataDxfId="19">
      <calculatedColumnFormula>(B6-B2)/B2</calculatedColumnFormula>
    </tableColumn>
    <tableColumn id="5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able8" displayName="Table8" ref="A5:E304" headerRowCount="1" totalsRowShown="0" dataDxfId="16" headerRowBorderDxfId="17" tableBorderDxfId="15" totalsRowBorderDxfId="14">
  <autoFilter ref="A5:E304"/>
  <tableColumns count="5">
    <tableColumn id="1" name="Date" dataDxfId="13"/>
    <tableColumn id="2" name="Value" dataDxfId="12">
      <calculatedColumnFormula>VLOOKUP(A6,Database!A:L,MATCH($A$1,Database!$A$1:$L$1,),)</calculatedColumnFormula>
    </tableColumn>
    <tableColumn id="3" name="qoq" dataDxfId="11">
      <calculatedColumnFormula>(B6-B5)/B5</calculatedColumnFormula>
    </tableColumn>
    <tableColumn id="4" name="yoy" dataDxfId="10">
      <calculatedColumnFormula>(B6-B2)/B2</calculatedColumnFormula>
    </tableColumn>
    <tableColumn id="5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able9" displayName="Table9" ref="A5:E304" headerRowCount="1" totalsRowShown="0" dataDxfId="7" headerRowBorderDxfId="8" tableBorderDxfId="6" totalsRowBorderDxfId="5">
  <autoFilter ref="A5:E304"/>
  <tableColumns count="5">
    <tableColumn id="1" name="Date" dataDxfId="4"/>
    <tableColumn id="2" name="Value" dataDxfId="3">
      <calculatedColumnFormula>VLOOKUP(A6,Database!A:L,MATCH($A$1,Database!$A$1:$L$1,),)</calculatedColumnFormula>
    </tableColumn>
    <tableColumn id="3" name="qoq" dataDxfId="2">
      <calculatedColumnFormula>(B6-B5)/B5</calculatedColumnFormula>
    </tableColumn>
    <tableColumn id="4" name="yoy" dataDxfId="1">
      <calculatedColumnFormula>(B6-B2)/B2</calculatedColumnFormula>
    </tableColumn>
    <tableColumn id="5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apps.bea.gov/iTable/iTable.cfm?reqid=19&amp;step=2" TargetMode="External" Id="rId1"/><Relationship Type="http://schemas.openxmlformats.org/officeDocument/2006/relationships/hyperlink" Target="https://fred.stlouisfed.org/" TargetMode="External" Id="rId2"/><Relationship Type="http://schemas.openxmlformats.org/officeDocument/2006/relationships/drawing" Target="/xl/drawings/drawing1.xml" Id="rId3"/></Relationships>
</file>

<file path=xl/worksheets/_rels/sheet3.xml.rels><Relationships xmlns="http://schemas.openxmlformats.org/package/2006/relationships"><Relationship Type="http://schemas.openxmlformats.org/officeDocument/2006/relationships/hyperlink" Target="https://fred.stlouisfed.org/series/GDPC1" TargetMode="External" Id="rId1"/><Relationship Type="http://schemas.openxmlformats.org/officeDocument/2006/relationships/hyperlink" Target="https://tradingeconomics.com/united-states/gdp-constant-prices" TargetMode="External" Id="rId2"/><Relationship Type="http://schemas.openxmlformats.org/officeDocument/2006/relationships/drawing" Target="/xl/drawings/drawing2.xml" Id="rId3"/><Relationship Type="http://schemas.openxmlformats.org/officeDocument/2006/relationships/table" Target="/xl/tables/table1.xml" Id="rId4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GPDIC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EXPGSC1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IMPGSC1" TargetMode="External" Id="rId1"/><Relationship Type="http://schemas.openxmlformats.org/officeDocument/2006/relationships/drawing" Target="/xl/drawings/drawing6.xml" Id="rId2"/><Relationship Type="http://schemas.openxmlformats.org/officeDocument/2006/relationships/table" Target="/xl/tables/table6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GCEC1" TargetMode="External" Id="rId1"/><Relationship Type="http://schemas.openxmlformats.org/officeDocument/2006/relationships/drawing" Target="/xl/drawings/drawing7.xml" Id="rId2"/><Relationship Type="http://schemas.openxmlformats.org/officeDocument/2006/relationships/table" Target="/xl/tables/table7.xml" Id="rId3"/></Relationships>
</file>

<file path=xl/worksheets/_rels/sheet11.xml.rels><Relationships xmlns="http://schemas.openxmlformats.org/package/2006/relationships"><Relationship Type="http://schemas.openxmlformats.org/officeDocument/2006/relationships/hyperlink" Target="https://fred.stlouisfed.org/series/GDPCTPI" TargetMode="External" Id="rId1"/><Relationship Type="http://schemas.openxmlformats.org/officeDocument/2006/relationships/drawing" Target="/xl/drawings/drawing8.xml" Id="rId2"/><Relationship Type="http://schemas.openxmlformats.org/officeDocument/2006/relationships/table" Target="/xl/tables/table8.xml" Id="rId3"/></Relationships>
</file>

<file path=xl/worksheets/_rels/sheet12.xml.rels><Relationships xmlns="http://schemas.openxmlformats.org/package/2006/relationships"><Relationship Type="http://schemas.openxmlformats.org/officeDocument/2006/relationships/hyperlink" Target="https://fred.stlouisfed.org/series/JCXFE" TargetMode="External" Id="rId1"/><Relationship Type="http://schemas.openxmlformats.org/officeDocument/2006/relationships/drawing" Target="/xl/drawings/drawing9.xml" Id="rId2"/><Relationship Type="http://schemas.openxmlformats.org/officeDocument/2006/relationships/table" Target="/xl/tables/table9.xml" Id="rId3"/></Relationships>
</file>

<file path=xl/worksheets/sheet1.xml><?xml version="1.0" encoding="utf-8"?>
<worksheet xmlns="http://schemas.openxmlformats.org/spreadsheetml/2006/main">
  <sheetPr codeName="Sheet4">
    <tabColor rgb="FFFFFF00"/>
    <outlinePr summaryBelow="1" summaryRight="1"/>
    <pageSetUpPr/>
  </sheetPr>
  <dimension ref="B1:O30"/>
  <sheetViews>
    <sheetView tabSelected="1" zoomScale="150" zoomScaleNormal="150" workbookViewId="0">
      <selection activeCell="H27" sqref="H27"/>
    </sheetView>
  </sheetViews>
  <sheetFormatPr baseColWidth="10" defaultColWidth="9.1640625" defaultRowHeight="15"/>
  <cols>
    <col width="5.1640625" customWidth="1" style="125" min="1" max="1"/>
    <col width="12.83203125" customWidth="1" style="125" min="2" max="10"/>
    <col width="6.6640625" customWidth="1" style="125" min="11" max="12"/>
    <col width="24.1640625" customWidth="1" style="125" min="13" max="15"/>
    <col width="9.1640625" customWidth="1" style="125" min="16" max="16384"/>
  </cols>
  <sheetData>
    <row r="1">
      <c r="B1" s="132" t="n"/>
    </row>
    <row r="2" ht="16" customHeight="1" s="126" thickBot="1">
      <c r="B2" s="153" t="n"/>
      <c r="C2" s="153" t="n"/>
      <c r="D2" s="153" t="n"/>
      <c r="E2" s="153" t="n"/>
      <c r="F2" s="153" t="n"/>
      <c r="G2" s="153" t="n"/>
      <c r="H2" s="153" t="n"/>
      <c r="I2" s="153" t="n"/>
      <c r="J2" s="153" t="n"/>
    </row>
    <row r="3" ht="16" customHeight="1" s="126" thickBot="1">
      <c r="B3" s="154" t="inlineStr">
        <is>
          <t>U.S. GDP</t>
        </is>
      </c>
      <c r="C3" s="155" t="n"/>
      <c r="D3" s="155" t="n"/>
      <c r="E3" s="155" t="n"/>
      <c r="F3" s="155" t="n"/>
      <c r="G3" s="155" t="n"/>
      <c r="H3" s="155" t="n"/>
      <c r="I3" s="155" t="n"/>
      <c r="J3" s="156" t="n"/>
    </row>
    <row r="5">
      <c r="B5" s="157" t="inlineStr">
        <is>
          <t>Definition</t>
        </is>
      </c>
      <c r="C5" s="158" t="n"/>
      <c r="D5" s="158" t="n"/>
      <c r="E5" s="158" t="n"/>
      <c r="F5" s="158" t="n"/>
      <c r="G5" s="158" t="n"/>
      <c r="H5" s="158" t="n"/>
      <c r="I5" s="158" t="n"/>
      <c r="J5" s="159" t="n"/>
    </row>
    <row r="7" ht="182" customHeight="1" s="126">
      <c r="B7" s="138" t="inlineStr">
        <is>
      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      </is>
      </c>
      <c r="N7" s="27" t="n"/>
    </row>
    <row r="8" ht="30.75" customHeight="1" s="126">
      <c r="B8" s="1" t="inlineStr">
        <is>
          <t>https://apps.bea.gov/iTable/iTable.cfm?reqid=19&amp;step=2#reqid=19&amp;step=2&amp;isuri=1&amp;1921=survey</t>
        </is>
      </c>
      <c r="C8" s="122" t="n"/>
      <c r="D8" s="122" t="n"/>
      <c r="E8" s="122" t="n"/>
      <c r="F8" s="122" t="n"/>
      <c r="G8" s="122" t="n"/>
      <c r="H8" s="122" t="n"/>
      <c r="I8" s="122" t="n"/>
      <c r="J8" s="122" t="n"/>
    </row>
    <row r="9">
      <c r="B9" s="18" t="n"/>
      <c r="C9" s="19" t="n"/>
      <c r="D9" s="19" t="n"/>
      <c r="E9" s="19" t="n"/>
    </row>
    <row r="10">
      <c r="B10" s="157" t="inlineStr">
        <is>
          <t>Process / TO DO LIST</t>
        </is>
      </c>
      <c r="C10" s="158" t="n"/>
      <c r="D10" s="158" t="n"/>
      <c r="E10" s="158" t="n"/>
      <c r="F10" s="158" t="n"/>
      <c r="G10" s="158" t="n"/>
      <c r="H10" s="158" t="n"/>
      <c r="I10" s="158" t="n"/>
      <c r="J10" s="159" t="n"/>
      <c r="M10" s="157" t="inlineStr">
        <is>
          <t>Summary</t>
        </is>
      </c>
      <c r="N10" s="158" t="n"/>
      <c r="O10" s="159" t="n"/>
    </row>
    <row r="12">
      <c r="B12" s="157" t="inlineStr">
        <is>
          <t>TO DO LIST</t>
        </is>
      </c>
      <c r="C12" s="158" t="n"/>
      <c r="D12" s="158" t="n"/>
      <c r="E12" s="158" t="n"/>
      <c r="F12" s="159" t="n"/>
      <c r="G12" s="157" t="inlineStr">
        <is>
          <t>Comments</t>
        </is>
      </c>
      <c r="H12" s="158" t="n"/>
      <c r="I12" s="158" t="n"/>
      <c r="J12" s="159" t="n"/>
    </row>
    <row r="13" ht="16" customHeight="1" s="126" thickBot="1"/>
    <row r="14" ht="16" customHeight="1" s="126" thickBot="1">
      <c r="B14" s="130" t="inlineStr">
        <is>
          <t>https://fred.stlouisfed.org/</t>
        </is>
      </c>
      <c r="N14" s="61" t="inlineStr">
        <is>
          <t>GDP yoy%</t>
        </is>
      </c>
      <c r="O14" s="62" t="inlineStr">
        <is>
          <t>GDP qoq annualized%</t>
        </is>
      </c>
    </row>
    <row r="15" ht="16" customHeight="1" s="126" thickBot="1">
      <c r="B15" s="125" t="inlineStr">
        <is>
          <t>Create List on fred</t>
        </is>
      </c>
      <c r="G15" s="125" t="inlineStr">
        <is>
          <t>Create account on Fred</t>
        </is>
      </c>
      <c r="M15" s="70" t="n">
        <v>44287</v>
      </c>
      <c r="N15" s="73">
        <f>VLOOKUP(M15,'U.S. GDP'!A:E,4,)</f>
        <v/>
      </c>
      <c r="O15" s="63">
        <f>VLOOKUP(M15,'U.S. GDP'!A:F,5,)</f>
        <v/>
      </c>
    </row>
    <row r="16" ht="16" customHeight="1" s="126" thickBot="1">
      <c r="B16" s="56" t="inlineStr">
        <is>
          <t>DPCCRV1Q225SBEA</t>
        </is>
      </c>
      <c r="G16" s="125" t="inlineStr">
        <is>
          <t>Create Different Lists with required data</t>
        </is>
      </c>
      <c r="M16" s="71" t="n">
        <v>44197</v>
      </c>
      <c r="N16" s="73">
        <f>VLOOKUP(M16,'U.S. GDP'!A:E,4,)</f>
        <v/>
      </c>
      <c r="O16" s="63">
        <f>VLOOKUP(M16,'U.S. GDP'!A:F,5,)</f>
        <v/>
      </c>
    </row>
    <row r="17" ht="16" customHeight="1" s="126" thickBot="1">
      <c r="B17" s="56" t="inlineStr">
        <is>
          <t>EXPGSC1</t>
        </is>
      </c>
      <c r="M17" s="71" t="n">
        <v>44105</v>
      </c>
      <c r="N17" s="73">
        <f>VLOOKUP(M17,'U.S. GDP'!A:E,4,)</f>
        <v/>
      </c>
      <c r="O17" s="63">
        <f>VLOOKUP(M17,'U.S. GDP'!A:F,5,)</f>
        <v/>
      </c>
    </row>
    <row r="18" ht="16" customHeight="1" s="126" thickBot="1">
      <c r="B18" s="56" t="inlineStr">
        <is>
          <t>GCEC1</t>
        </is>
      </c>
      <c r="G18" s="125" t="inlineStr">
        <is>
          <t>Add row for new quarter</t>
        </is>
      </c>
      <c r="M18" s="71" t="n">
        <v>44013</v>
      </c>
      <c r="N18" s="73">
        <f>VLOOKUP(M18,'U.S. GDP'!A:E,4,)</f>
        <v/>
      </c>
      <c r="O18" s="63">
        <f>VLOOKUP(M18,'U.S. GDP'!A:F,5,)</f>
        <v/>
      </c>
    </row>
    <row r="19" ht="16" customHeight="1" s="126" thickBot="1">
      <c r="B19" s="56" t="inlineStr">
        <is>
          <t>GDPC1</t>
        </is>
      </c>
      <c r="M19" s="71" t="n">
        <v>43922</v>
      </c>
      <c r="N19" s="73">
        <f>VLOOKUP(M19,'U.S. GDP'!A:E,4,)</f>
        <v/>
      </c>
      <c r="O19" s="63">
        <f>VLOOKUP(M19,'U.S. GDP'!A:F,5,)</f>
        <v/>
      </c>
    </row>
    <row r="20" ht="16" customHeight="1" s="126" thickBot="1">
      <c r="B20" s="56" t="inlineStr">
        <is>
          <t>GDPCTPI</t>
        </is>
      </c>
      <c r="G20" s="125" t="n"/>
      <c r="M20" s="71" t="n">
        <v>43831</v>
      </c>
      <c r="N20" s="73">
        <f>VLOOKUP(M20,'U.S. GDP'!A:E,4,)</f>
        <v/>
      </c>
      <c r="O20" s="63">
        <f>VLOOKUP(M20,'U.S. GDP'!A:F,5,)</f>
        <v/>
      </c>
    </row>
    <row r="21" ht="16" customHeight="1" s="126" thickBot="1">
      <c r="B21" s="56" t="inlineStr">
        <is>
          <t>GPDIC1</t>
        </is>
      </c>
      <c r="G21" s="125" t="n"/>
      <c r="M21" s="71" t="n">
        <v>43739</v>
      </c>
      <c r="N21" s="73">
        <f>VLOOKUP(M21,'U.S. GDP'!A:E,4,)</f>
        <v/>
      </c>
      <c r="O21" s="63">
        <f>VLOOKUP(M21,'U.S. GDP'!A:F,5,)</f>
        <v/>
      </c>
    </row>
    <row r="22" ht="16" customHeight="1" s="126" thickBot="1">
      <c r="B22" s="56" t="inlineStr">
        <is>
          <t>IMPGSC1</t>
        </is>
      </c>
      <c r="G22" s="125" t="n"/>
      <c r="M22" s="71" t="n">
        <v>43647</v>
      </c>
      <c r="N22" s="73">
        <f>VLOOKUP(M22,'U.S. GDP'!A:E,4,)</f>
        <v/>
      </c>
      <c r="O22" s="63">
        <f>VLOOKUP(M22,'U.S. GDP'!A:F,5,)</f>
        <v/>
      </c>
    </row>
    <row r="23" ht="16" customHeight="1" s="126" thickBot="1">
      <c r="B23" s="56" t="inlineStr">
        <is>
          <t>JCXFE</t>
        </is>
      </c>
      <c r="M23" s="71" t="n">
        <v>43556</v>
      </c>
      <c r="N23" s="73">
        <f>VLOOKUP(M23,'U.S. GDP'!A:E,4,)</f>
        <v/>
      </c>
      <c r="O23" s="63">
        <f>VLOOKUP(M23,'U.S. GDP'!A:F,5,)</f>
        <v/>
      </c>
    </row>
    <row r="24" ht="16" customHeight="1" s="126" thickBot="1">
      <c r="B24" s="56" t="inlineStr">
        <is>
          <t>PCECC96</t>
        </is>
      </c>
      <c r="M24" s="71" t="n">
        <v>43466</v>
      </c>
      <c r="N24" s="73">
        <f>VLOOKUP(M24,'U.S. GDP'!A:E,4,)</f>
        <v/>
      </c>
      <c r="O24" s="63">
        <f>VLOOKUP(M24,'U.S. GDP'!A:F,5,)</f>
        <v/>
      </c>
    </row>
    <row r="25" ht="16" customHeight="1" s="126" thickBot="1">
      <c r="M25" s="71" t="n">
        <v>43374</v>
      </c>
      <c r="N25" s="73">
        <f>VLOOKUP(M25,'U.S. GDP'!A:E,4,)</f>
        <v/>
      </c>
      <c r="O25" s="63">
        <f>VLOOKUP(M25,'U.S. GDP'!A:F,5,)</f>
        <v/>
      </c>
    </row>
    <row r="26" ht="16" customHeight="1" s="126" thickBot="1">
      <c r="M26" s="71" t="n">
        <v>43282</v>
      </c>
      <c r="N26" s="73">
        <f>VLOOKUP(M26,'U.S. GDP'!A:E,4,)</f>
        <v/>
      </c>
      <c r="O26" s="63">
        <f>VLOOKUP(M26,'U.S. GDP'!A:F,5,)</f>
        <v/>
      </c>
    </row>
    <row r="27" ht="16" customHeight="1" s="126" thickBot="1">
      <c r="M27" s="72" t="n">
        <v>43191</v>
      </c>
      <c r="N27" s="73">
        <f>VLOOKUP(M27,'U.S. GDP'!A:E,4,)</f>
        <v/>
      </c>
      <c r="O27" s="63">
        <f>VLOOKUP(M27,'U.S. GDP'!A:F,5,)</f>
        <v/>
      </c>
    </row>
    <row r="28">
      <c r="B28" s="20" t="n"/>
    </row>
    <row r="29">
      <c r="B29" s="122" t="n"/>
    </row>
    <row r="30">
      <c r="B30" s="21" t="n"/>
    </row>
  </sheetData>
  <mergeCells count="16">
    <mergeCell ref="M10:O10"/>
    <mergeCell ref="B1:J2"/>
    <mergeCell ref="B3:J3"/>
    <mergeCell ref="B5:J5"/>
    <mergeCell ref="B7:J7"/>
    <mergeCell ref="B10:J10"/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8" location="reqid=19&amp;step=2&amp;isuri=1&amp;1921=survey" display="https://apps.bea.gov/iTable/iTable.cfm?reqid=19&amp;step=2 - reqid=19&amp;step=2&amp;isuri=1&amp;1921=survey" r:id="rId1"/>
    <hyperlink xmlns:r="http://schemas.openxmlformats.org/officeDocument/2006/relationships" ref="B14" r:id="rId2"/>
  </hyperlinks>
  <pageMargins left="0.7" right="0.7" top="0.75" bottom="0.75" header="0.3" footer="0.3"/>
  <drawing xmlns:r="http://schemas.openxmlformats.org/officeDocument/2006/relationships" r:id="rId3"/>
</worksheet>
</file>

<file path=xl/worksheets/sheet2.xml><?xml version="1.0" encoding="utf-8"?>
<worksheet xmlns="http://schemas.openxmlformats.org/spreadsheetml/2006/main">
  <sheetPr codeName="Sheet7">
    <tabColor theme="1" tint="0.499984740745262"/>
    <outlinePr summaryBelow="1" summaryRight="1"/>
    <pageSetUpPr/>
  </sheetPr>
  <dimension ref="A1:J300"/>
  <sheetViews>
    <sheetView zoomScale="120" zoomScaleNormal="120" workbookViewId="0">
      <pane ySplit="1" topLeftCell="A238" activePane="bottomLeft" state="frozen"/>
      <selection pane="bottomLeft" activeCell="S301" sqref="S301"/>
    </sheetView>
  </sheetViews>
  <sheetFormatPr baseColWidth="10" defaultColWidth="8.83203125" defaultRowHeight="15"/>
  <cols>
    <col width="12.6640625" customWidth="1" style="126" min="1" max="1"/>
    <col width="15.6640625" customWidth="1" style="126" min="2" max="2"/>
    <col width="11.6640625" customWidth="1" style="126" min="3" max="4"/>
    <col width="12.6640625" customWidth="1" style="126" min="5" max="5"/>
    <col width="10.6640625" customWidth="1" style="126" min="6" max="6"/>
    <col width="11.6640625" customWidth="1" style="126" min="7" max="8"/>
    <col width="10.6640625" customWidth="1" style="126" min="9" max="9"/>
    <col width="12.6640625" customWidth="1" style="126" min="10" max="10"/>
    <col width="9.1640625" customWidth="1" style="126" min="11" max="256"/>
    <col width="12.6640625" customWidth="1" style="126" min="257" max="257"/>
    <col width="15.6640625" customWidth="1" style="126" min="258" max="258"/>
    <col width="11.6640625" customWidth="1" style="126" min="259" max="260"/>
    <col width="12.6640625" customWidth="1" style="126" min="261" max="261"/>
    <col width="10.6640625" customWidth="1" style="126" min="262" max="262"/>
    <col width="11.6640625" customWidth="1" style="126" min="263" max="264"/>
    <col width="10.6640625" customWidth="1" style="126" min="265" max="265"/>
    <col width="12.6640625" customWidth="1" style="126" min="266" max="266"/>
    <col width="9.1640625" customWidth="1" style="126" min="267" max="512"/>
    <col width="12.6640625" customWidth="1" style="126" min="513" max="513"/>
    <col width="15.6640625" customWidth="1" style="126" min="514" max="514"/>
    <col width="11.6640625" customWidth="1" style="126" min="515" max="516"/>
    <col width="12.6640625" customWidth="1" style="126" min="517" max="517"/>
    <col width="10.6640625" customWidth="1" style="126" min="518" max="518"/>
    <col width="11.6640625" customWidth="1" style="126" min="519" max="520"/>
    <col width="10.6640625" customWidth="1" style="126" min="521" max="521"/>
    <col width="12.6640625" customWidth="1" style="126" min="522" max="522"/>
    <col width="9.1640625" customWidth="1" style="126" min="523" max="768"/>
    <col width="12.6640625" customWidth="1" style="126" min="769" max="769"/>
    <col width="15.6640625" customWidth="1" style="126" min="770" max="770"/>
    <col width="11.6640625" customWidth="1" style="126" min="771" max="772"/>
    <col width="12.6640625" customWidth="1" style="126" min="773" max="773"/>
    <col width="10.6640625" customWidth="1" style="126" min="774" max="774"/>
    <col width="11.6640625" customWidth="1" style="126" min="775" max="776"/>
    <col width="10.6640625" customWidth="1" style="126" min="777" max="777"/>
    <col width="12.6640625" customWidth="1" style="126" min="778" max="778"/>
    <col width="9.1640625" customWidth="1" style="126" min="779" max="1024"/>
    <col width="12.6640625" customWidth="1" style="126" min="1025" max="1025"/>
    <col width="15.6640625" customWidth="1" style="126" min="1026" max="1026"/>
    <col width="11.6640625" customWidth="1" style="126" min="1027" max="1028"/>
    <col width="12.6640625" customWidth="1" style="126" min="1029" max="1029"/>
    <col width="10.6640625" customWidth="1" style="126" min="1030" max="1030"/>
    <col width="11.6640625" customWidth="1" style="126" min="1031" max="1032"/>
    <col width="10.6640625" customWidth="1" style="126" min="1033" max="1033"/>
    <col width="12.6640625" customWidth="1" style="126" min="1034" max="1034"/>
    <col width="9.1640625" customWidth="1" style="126" min="1035" max="1280"/>
    <col width="12.6640625" customWidth="1" style="126" min="1281" max="1281"/>
    <col width="15.6640625" customWidth="1" style="126" min="1282" max="1282"/>
    <col width="11.6640625" customWidth="1" style="126" min="1283" max="1284"/>
    <col width="12.6640625" customWidth="1" style="126" min="1285" max="1285"/>
    <col width="10.6640625" customWidth="1" style="126" min="1286" max="1286"/>
    <col width="11.6640625" customWidth="1" style="126" min="1287" max="1288"/>
    <col width="10.6640625" customWidth="1" style="126" min="1289" max="1289"/>
    <col width="12.6640625" customWidth="1" style="126" min="1290" max="1290"/>
    <col width="9.1640625" customWidth="1" style="126" min="1291" max="1536"/>
    <col width="12.6640625" customWidth="1" style="126" min="1537" max="1537"/>
    <col width="15.6640625" customWidth="1" style="126" min="1538" max="1538"/>
    <col width="11.6640625" customWidth="1" style="126" min="1539" max="1540"/>
    <col width="12.6640625" customWidth="1" style="126" min="1541" max="1541"/>
    <col width="10.6640625" customWidth="1" style="126" min="1542" max="1542"/>
    <col width="11.6640625" customWidth="1" style="126" min="1543" max="1544"/>
    <col width="10.6640625" customWidth="1" style="126" min="1545" max="1545"/>
    <col width="12.6640625" customWidth="1" style="126" min="1546" max="1546"/>
    <col width="9.1640625" customWidth="1" style="126" min="1547" max="1792"/>
    <col width="12.6640625" customWidth="1" style="126" min="1793" max="1793"/>
    <col width="15.6640625" customWidth="1" style="126" min="1794" max="1794"/>
    <col width="11.6640625" customWidth="1" style="126" min="1795" max="1796"/>
    <col width="12.6640625" customWidth="1" style="126" min="1797" max="1797"/>
    <col width="10.6640625" customWidth="1" style="126" min="1798" max="1798"/>
    <col width="11.6640625" customWidth="1" style="126" min="1799" max="1800"/>
    <col width="10.6640625" customWidth="1" style="126" min="1801" max="1801"/>
    <col width="12.6640625" customWidth="1" style="126" min="1802" max="1802"/>
    <col width="9.1640625" customWidth="1" style="126" min="1803" max="2048"/>
    <col width="12.6640625" customWidth="1" style="126" min="2049" max="2049"/>
    <col width="15.6640625" customWidth="1" style="126" min="2050" max="2050"/>
    <col width="11.6640625" customWidth="1" style="126" min="2051" max="2052"/>
    <col width="12.6640625" customWidth="1" style="126" min="2053" max="2053"/>
    <col width="10.6640625" customWidth="1" style="126" min="2054" max="2054"/>
    <col width="11.6640625" customWidth="1" style="126" min="2055" max="2056"/>
    <col width="10.6640625" customWidth="1" style="126" min="2057" max="2057"/>
    <col width="12.6640625" customWidth="1" style="126" min="2058" max="2058"/>
    <col width="9.1640625" customWidth="1" style="126" min="2059" max="2304"/>
    <col width="12.6640625" customWidth="1" style="126" min="2305" max="2305"/>
    <col width="15.6640625" customWidth="1" style="126" min="2306" max="2306"/>
    <col width="11.6640625" customWidth="1" style="126" min="2307" max="2308"/>
    <col width="12.6640625" customWidth="1" style="126" min="2309" max="2309"/>
    <col width="10.6640625" customWidth="1" style="126" min="2310" max="2310"/>
    <col width="11.6640625" customWidth="1" style="126" min="2311" max="2312"/>
    <col width="10.6640625" customWidth="1" style="126" min="2313" max="2313"/>
    <col width="12.6640625" customWidth="1" style="126" min="2314" max="2314"/>
    <col width="9.1640625" customWidth="1" style="126" min="2315" max="2560"/>
    <col width="12.6640625" customWidth="1" style="126" min="2561" max="2561"/>
    <col width="15.6640625" customWidth="1" style="126" min="2562" max="2562"/>
    <col width="11.6640625" customWidth="1" style="126" min="2563" max="2564"/>
    <col width="12.6640625" customWidth="1" style="126" min="2565" max="2565"/>
    <col width="10.6640625" customWidth="1" style="126" min="2566" max="2566"/>
    <col width="11.6640625" customWidth="1" style="126" min="2567" max="2568"/>
    <col width="10.6640625" customWidth="1" style="126" min="2569" max="2569"/>
    <col width="12.6640625" customWidth="1" style="126" min="2570" max="2570"/>
    <col width="9.1640625" customWidth="1" style="126" min="2571" max="2816"/>
    <col width="12.6640625" customWidth="1" style="126" min="2817" max="2817"/>
    <col width="15.6640625" customWidth="1" style="126" min="2818" max="2818"/>
    <col width="11.6640625" customWidth="1" style="126" min="2819" max="2820"/>
    <col width="12.6640625" customWidth="1" style="126" min="2821" max="2821"/>
    <col width="10.6640625" customWidth="1" style="126" min="2822" max="2822"/>
    <col width="11.6640625" customWidth="1" style="126" min="2823" max="2824"/>
    <col width="10.6640625" customWidth="1" style="126" min="2825" max="2825"/>
    <col width="12.6640625" customWidth="1" style="126" min="2826" max="2826"/>
    <col width="9.1640625" customWidth="1" style="126" min="2827" max="3072"/>
    <col width="12.6640625" customWidth="1" style="126" min="3073" max="3073"/>
    <col width="15.6640625" customWidth="1" style="126" min="3074" max="3074"/>
    <col width="11.6640625" customWidth="1" style="126" min="3075" max="3076"/>
    <col width="12.6640625" customWidth="1" style="126" min="3077" max="3077"/>
    <col width="10.6640625" customWidth="1" style="126" min="3078" max="3078"/>
    <col width="11.6640625" customWidth="1" style="126" min="3079" max="3080"/>
    <col width="10.6640625" customWidth="1" style="126" min="3081" max="3081"/>
    <col width="12.6640625" customWidth="1" style="126" min="3082" max="3082"/>
    <col width="9.1640625" customWidth="1" style="126" min="3083" max="3328"/>
    <col width="12.6640625" customWidth="1" style="126" min="3329" max="3329"/>
    <col width="15.6640625" customWidth="1" style="126" min="3330" max="3330"/>
    <col width="11.6640625" customWidth="1" style="126" min="3331" max="3332"/>
    <col width="12.6640625" customWidth="1" style="126" min="3333" max="3333"/>
    <col width="10.6640625" customWidth="1" style="126" min="3334" max="3334"/>
    <col width="11.6640625" customWidth="1" style="126" min="3335" max="3336"/>
    <col width="10.6640625" customWidth="1" style="126" min="3337" max="3337"/>
    <col width="12.6640625" customWidth="1" style="126" min="3338" max="3338"/>
    <col width="9.1640625" customWidth="1" style="126" min="3339" max="3584"/>
    <col width="12.6640625" customWidth="1" style="126" min="3585" max="3585"/>
    <col width="15.6640625" customWidth="1" style="126" min="3586" max="3586"/>
    <col width="11.6640625" customWidth="1" style="126" min="3587" max="3588"/>
    <col width="12.6640625" customWidth="1" style="126" min="3589" max="3589"/>
    <col width="10.6640625" customWidth="1" style="126" min="3590" max="3590"/>
    <col width="11.6640625" customWidth="1" style="126" min="3591" max="3592"/>
    <col width="10.6640625" customWidth="1" style="126" min="3593" max="3593"/>
    <col width="12.6640625" customWidth="1" style="126" min="3594" max="3594"/>
    <col width="9.1640625" customWidth="1" style="126" min="3595" max="3840"/>
    <col width="12.6640625" customWidth="1" style="126" min="3841" max="3841"/>
    <col width="15.6640625" customWidth="1" style="126" min="3842" max="3842"/>
    <col width="11.6640625" customWidth="1" style="126" min="3843" max="3844"/>
    <col width="12.6640625" customWidth="1" style="126" min="3845" max="3845"/>
    <col width="10.6640625" customWidth="1" style="126" min="3846" max="3846"/>
    <col width="11.6640625" customWidth="1" style="126" min="3847" max="3848"/>
    <col width="10.6640625" customWidth="1" style="126" min="3849" max="3849"/>
    <col width="12.6640625" customWidth="1" style="126" min="3850" max="3850"/>
    <col width="9.1640625" customWidth="1" style="126" min="3851" max="4096"/>
    <col width="12.6640625" customWidth="1" style="126" min="4097" max="4097"/>
    <col width="15.6640625" customWidth="1" style="126" min="4098" max="4098"/>
    <col width="11.6640625" customWidth="1" style="126" min="4099" max="4100"/>
    <col width="12.6640625" customWidth="1" style="126" min="4101" max="4101"/>
    <col width="10.6640625" customWidth="1" style="126" min="4102" max="4102"/>
    <col width="11.6640625" customWidth="1" style="126" min="4103" max="4104"/>
    <col width="10.6640625" customWidth="1" style="126" min="4105" max="4105"/>
    <col width="12.6640625" customWidth="1" style="126" min="4106" max="4106"/>
    <col width="9.1640625" customWidth="1" style="126" min="4107" max="4352"/>
    <col width="12.6640625" customWidth="1" style="126" min="4353" max="4353"/>
    <col width="15.6640625" customWidth="1" style="126" min="4354" max="4354"/>
    <col width="11.6640625" customWidth="1" style="126" min="4355" max="4356"/>
    <col width="12.6640625" customWidth="1" style="126" min="4357" max="4357"/>
    <col width="10.6640625" customWidth="1" style="126" min="4358" max="4358"/>
    <col width="11.6640625" customWidth="1" style="126" min="4359" max="4360"/>
    <col width="10.6640625" customWidth="1" style="126" min="4361" max="4361"/>
    <col width="12.6640625" customWidth="1" style="126" min="4362" max="4362"/>
    <col width="9.1640625" customWidth="1" style="126" min="4363" max="4608"/>
    <col width="12.6640625" customWidth="1" style="126" min="4609" max="4609"/>
    <col width="15.6640625" customWidth="1" style="126" min="4610" max="4610"/>
    <col width="11.6640625" customWidth="1" style="126" min="4611" max="4612"/>
    <col width="12.6640625" customWidth="1" style="126" min="4613" max="4613"/>
    <col width="10.6640625" customWidth="1" style="126" min="4614" max="4614"/>
    <col width="11.6640625" customWidth="1" style="126" min="4615" max="4616"/>
    <col width="10.6640625" customWidth="1" style="126" min="4617" max="4617"/>
    <col width="12.6640625" customWidth="1" style="126" min="4618" max="4618"/>
    <col width="9.1640625" customWidth="1" style="126" min="4619" max="4864"/>
    <col width="12.6640625" customWidth="1" style="126" min="4865" max="4865"/>
    <col width="15.6640625" customWidth="1" style="126" min="4866" max="4866"/>
    <col width="11.6640625" customWidth="1" style="126" min="4867" max="4868"/>
    <col width="12.6640625" customWidth="1" style="126" min="4869" max="4869"/>
    <col width="10.6640625" customWidth="1" style="126" min="4870" max="4870"/>
    <col width="11.6640625" customWidth="1" style="126" min="4871" max="4872"/>
    <col width="10.6640625" customWidth="1" style="126" min="4873" max="4873"/>
    <col width="12.6640625" customWidth="1" style="126" min="4874" max="4874"/>
    <col width="9.1640625" customWidth="1" style="126" min="4875" max="5120"/>
    <col width="12.6640625" customWidth="1" style="126" min="5121" max="5121"/>
    <col width="15.6640625" customWidth="1" style="126" min="5122" max="5122"/>
    <col width="11.6640625" customWidth="1" style="126" min="5123" max="5124"/>
    <col width="12.6640625" customWidth="1" style="126" min="5125" max="5125"/>
    <col width="10.6640625" customWidth="1" style="126" min="5126" max="5126"/>
    <col width="11.6640625" customWidth="1" style="126" min="5127" max="5128"/>
    <col width="10.6640625" customWidth="1" style="126" min="5129" max="5129"/>
    <col width="12.6640625" customWidth="1" style="126" min="5130" max="5130"/>
    <col width="9.1640625" customWidth="1" style="126" min="5131" max="5376"/>
    <col width="12.6640625" customWidth="1" style="126" min="5377" max="5377"/>
    <col width="15.6640625" customWidth="1" style="126" min="5378" max="5378"/>
    <col width="11.6640625" customWidth="1" style="126" min="5379" max="5380"/>
    <col width="12.6640625" customWidth="1" style="126" min="5381" max="5381"/>
    <col width="10.6640625" customWidth="1" style="126" min="5382" max="5382"/>
    <col width="11.6640625" customWidth="1" style="126" min="5383" max="5384"/>
    <col width="10.6640625" customWidth="1" style="126" min="5385" max="5385"/>
    <col width="12.6640625" customWidth="1" style="126" min="5386" max="5386"/>
    <col width="9.1640625" customWidth="1" style="126" min="5387" max="5632"/>
    <col width="12.6640625" customWidth="1" style="126" min="5633" max="5633"/>
    <col width="15.6640625" customWidth="1" style="126" min="5634" max="5634"/>
    <col width="11.6640625" customWidth="1" style="126" min="5635" max="5636"/>
    <col width="12.6640625" customWidth="1" style="126" min="5637" max="5637"/>
    <col width="10.6640625" customWidth="1" style="126" min="5638" max="5638"/>
    <col width="11.6640625" customWidth="1" style="126" min="5639" max="5640"/>
    <col width="10.6640625" customWidth="1" style="126" min="5641" max="5641"/>
    <col width="12.6640625" customWidth="1" style="126" min="5642" max="5642"/>
    <col width="9.1640625" customWidth="1" style="126" min="5643" max="5888"/>
    <col width="12.6640625" customWidth="1" style="126" min="5889" max="5889"/>
    <col width="15.6640625" customWidth="1" style="126" min="5890" max="5890"/>
    <col width="11.6640625" customWidth="1" style="126" min="5891" max="5892"/>
    <col width="12.6640625" customWidth="1" style="126" min="5893" max="5893"/>
    <col width="10.6640625" customWidth="1" style="126" min="5894" max="5894"/>
    <col width="11.6640625" customWidth="1" style="126" min="5895" max="5896"/>
    <col width="10.6640625" customWidth="1" style="126" min="5897" max="5897"/>
    <col width="12.6640625" customWidth="1" style="126" min="5898" max="5898"/>
    <col width="9.1640625" customWidth="1" style="126" min="5899" max="6144"/>
    <col width="12.6640625" customWidth="1" style="126" min="6145" max="6145"/>
    <col width="15.6640625" customWidth="1" style="126" min="6146" max="6146"/>
    <col width="11.6640625" customWidth="1" style="126" min="6147" max="6148"/>
    <col width="12.6640625" customWidth="1" style="126" min="6149" max="6149"/>
    <col width="10.6640625" customWidth="1" style="126" min="6150" max="6150"/>
    <col width="11.6640625" customWidth="1" style="126" min="6151" max="6152"/>
    <col width="10.6640625" customWidth="1" style="126" min="6153" max="6153"/>
    <col width="12.6640625" customWidth="1" style="126" min="6154" max="6154"/>
    <col width="9.1640625" customWidth="1" style="126" min="6155" max="6400"/>
    <col width="12.6640625" customWidth="1" style="126" min="6401" max="6401"/>
    <col width="15.6640625" customWidth="1" style="126" min="6402" max="6402"/>
    <col width="11.6640625" customWidth="1" style="126" min="6403" max="6404"/>
    <col width="12.6640625" customWidth="1" style="126" min="6405" max="6405"/>
    <col width="10.6640625" customWidth="1" style="126" min="6406" max="6406"/>
    <col width="11.6640625" customWidth="1" style="126" min="6407" max="6408"/>
    <col width="10.6640625" customWidth="1" style="126" min="6409" max="6409"/>
    <col width="12.6640625" customWidth="1" style="126" min="6410" max="6410"/>
    <col width="9.1640625" customWidth="1" style="126" min="6411" max="6656"/>
    <col width="12.6640625" customWidth="1" style="126" min="6657" max="6657"/>
    <col width="15.6640625" customWidth="1" style="126" min="6658" max="6658"/>
    <col width="11.6640625" customWidth="1" style="126" min="6659" max="6660"/>
    <col width="12.6640625" customWidth="1" style="126" min="6661" max="6661"/>
    <col width="10.6640625" customWidth="1" style="126" min="6662" max="6662"/>
    <col width="11.6640625" customWidth="1" style="126" min="6663" max="6664"/>
    <col width="10.6640625" customWidth="1" style="126" min="6665" max="6665"/>
    <col width="12.6640625" customWidth="1" style="126" min="6666" max="6666"/>
    <col width="9.1640625" customWidth="1" style="126" min="6667" max="6912"/>
    <col width="12.6640625" customWidth="1" style="126" min="6913" max="6913"/>
    <col width="15.6640625" customWidth="1" style="126" min="6914" max="6914"/>
    <col width="11.6640625" customWidth="1" style="126" min="6915" max="6916"/>
    <col width="12.6640625" customWidth="1" style="126" min="6917" max="6917"/>
    <col width="10.6640625" customWidth="1" style="126" min="6918" max="6918"/>
    <col width="11.6640625" customWidth="1" style="126" min="6919" max="6920"/>
    <col width="10.6640625" customWidth="1" style="126" min="6921" max="6921"/>
    <col width="12.6640625" customWidth="1" style="126" min="6922" max="6922"/>
    <col width="9.1640625" customWidth="1" style="126" min="6923" max="7168"/>
    <col width="12.6640625" customWidth="1" style="126" min="7169" max="7169"/>
    <col width="15.6640625" customWidth="1" style="126" min="7170" max="7170"/>
    <col width="11.6640625" customWidth="1" style="126" min="7171" max="7172"/>
    <col width="12.6640625" customWidth="1" style="126" min="7173" max="7173"/>
    <col width="10.6640625" customWidth="1" style="126" min="7174" max="7174"/>
    <col width="11.6640625" customWidth="1" style="126" min="7175" max="7176"/>
    <col width="10.6640625" customWidth="1" style="126" min="7177" max="7177"/>
    <col width="12.6640625" customWidth="1" style="126" min="7178" max="7178"/>
    <col width="9.1640625" customWidth="1" style="126" min="7179" max="7424"/>
    <col width="12.6640625" customWidth="1" style="126" min="7425" max="7425"/>
    <col width="15.6640625" customWidth="1" style="126" min="7426" max="7426"/>
    <col width="11.6640625" customWidth="1" style="126" min="7427" max="7428"/>
    <col width="12.6640625" customWidth="1" style="126" min="7429" max="7429"/>
    <col width="10.6640625" customWidth="1" style="126" min="7430" max="7430"/>
    <col width="11.6640625" customWidth="1" style="126" min="7431" max="7432"/>
    <col width="10.6640625" customWidth="1" style="126" min="7433" max="7433"/>
    <col width="12.6640625" customWidth="1" style="126" min="7434" max="7434"/>
    <col width="9.1640625" customWidth="1" style="126" min="7435" max="7680"/>
    <col width="12.6640625" customWidth="1" style="126" min="7681" max="7681"/>
    <col width="15.6640625" customWidth="1" style="126" min="7682" max="7682"/>
    <col width="11.6640625" customWidth="1" style="126" min="7683" max="7684"/>
    <col width="12.6640625" customWidth="1" style="126" min="7685" max="7685"/>
    <col width="10.6640625" customWidth="1" style="126" min="7686" max="7686"/>
    <col width="11.6640625" customWidth="1" style="126" min="7687" max="7688"/>
    <col width="10.6640625" customWidth="1" style="126" min="7689" max="7689"/>
    <col width="12.6640625" customWidth="1" style="126" min="7690" max="7690"/>
    <col width="9.1640625" customWidth="1" style="126" min="7691" max="7936"/>
    <col width="12.6640625" customWidth="1" style="126" min="7937" max="7937"/>
    <col width="15.6640625" customWidth="1" style="126" min="7938" max="7938"/>
    <col width="11.6640625" customWidth="1" style="126" min="7939" max="7940"/>
    <col width="12.6640625" customWidth="1" style="126" min="7941" max="7941"/>
    <col width="10.6640625" customWidth="1" style="126" min="7942" max="7942"/>
    <col width="11.6640625" customWidth="1" style="126" min="7943" max="7944"/>
    <col width="10.6640625" customWidth="1" style="126" min="7945" max="7945"/>
    <col width="12.6640625" customWidth="1" style="126" min="7946" max="7946"/>
    <col width="9.1640625" customWidth="1" style="126" min="7947" max="8192"/>
    <col width="12.6640625" customWidth="1" style="126" min="8193" max="8193"/>
    <col width="15.6640625" customWidth="1" style="126" min="8194" max="8194"/>
    <col width="11.6640625" customWidth="1" style="126" min="8195" max="8196"/>
    <col width="12.6640625" customWidth="1" style="126" min="8197" max="8197"/>
    <col width="10.6640625" customWidth="1" style="126" min="8198" max="8198"/>
    <col width="11.6640625" customWidth="1" style="126" min="8199" max="8200"/>
    <col width="10.6640625" customWidth="1" style="126" min="8201" max="8201"/>
    <col width="12.6640625" customWidth="1" style="126" min="8202" max="8202"/>
    <col width="9.1640625" customWidth="1" style="126" min="8203" max="8448"/>
    <col width="12.6640625" customWidth="1" style="126" min="8449" max="8449"/>
    <col width="15.6640625" customWidth="1" style="126" min="8450" max="8450"/>
    <col width="11.6640625" customWidth="1" style="126" min="8451" max="8452"/>
    <col width="12.6640625" customWidth="1" style="126" min="8453" max="8453"/>
    <col width="10.6640625" customWidth="1" style="126" min="8454" max="8454"/>
    <col width="11.6640625" customWidth="1" style="126" min="8455" max="8456"/>
    <col width="10.6640625" customWidth="1" style="126" min="8457" max="8457"/>
    <col width="12.6640625" customWidth="1" style="126" min="8458" max="8458"/>
    <col width="9.1640625" customWidth="1" style="126" min="8459" max="8704"/>
    <col width="12.6640625" customWidth="1" style="126" min="8705" max="8705"/>
    <col width="15.6640625" customWidth="1" style="126" min="8706" max="8706"/>
    <col width="11.6640625" customWidth="1" style="126" min="8707" max="8708"/>
    <col width="12.6640625" customWidth="1" style="126" min="8709" max="8709"/>
    <col width="10.6640625" customWidth="1" style="126" min="8710" max="8710"/>
    <col width="11.6640625" customWidth="1" style="126" min="8711" max="8712"/>
    <col width="10.6640625" customWidth="1" style="126" min="8713" max="8713"/>
    <col width="12.6640625" customWidth="1" style="126" min="8714" max="8714"/>
    <col width="9.1640625" customWidth="1" style="126" min="8715" max="8960"/>
    <col width="12.6640625" customWidth="1" style="126" min="8961" max="8961"/>
    <col width="15.6640625" customWidth="1" style="126" min="8962" max="8962"/>
    <col width="11.6640625" customWidth="1" style="126" min="8963" max="8964"/>
    <col width="12.6640625" customWidth="1" style="126" min="8965" max="8965"/>
    <col width="10.6640625" customWidth="1" style="126" min="8966" max="8966"/>
    <col width="11.6640625" customWidth="1" style="126" min="8967" max="8968"/>
    <col width="10.6640625" customWidth="1" style="126" min="8969" max="8969"/>
    <col width="12.6640625" customWidth="1" style="126" min="8970" max="8970"/>
    <col width="9.1640625" customWidth="1" style="126" min="8971" max="9216"/>
    <col width="12.6640625" customWidth="1" style="126" min="9217" max="9217"/>
    <col width="15.6640625" customWidth="1" style="126" min="9218" max="9218"/>
    <col width="11.6640625" customWidth="1" style="126" min="9219" max="9220"/>
    <col width="12.6640625" customWidth="1" style="126" min="9221" max="9221"/>
    <col width="10.6640625" customWidth="1" style="126" min="9222" max="9222"/>
    <col width="11.6640625" customWidth="1" style="126" min="9223" max="9224"/>
    <col width="10.6640625" customWidth="1" style="126" min="9225" max="9225"/>
    <col width="12.6640625" customWidth="1" style="126" min="9226" max="9226"/>
    <col width="9.1640625" customWidth="1" style="126" min="9227" max="9472"/>
    <col width="12.6640625" customWidth="1" style="126" min="9473" max="9473"/>
    <col width="15.6640625" customWidth="1" style="126" min="9474" max="9474"/>
    <col width="11.6640625" customWidth="1" style="126" min="9475" max="9476"/>
    <col width="12.6640625" customWidth="1" style="126" min="9477" max="9477"/>
    <col width="10.6640625" customWidth="1" style="126" min="9478" max="9478"/>
    <col width="11.6640625" customWidth="1" style="126" min="9479" max="9480"/>
    <col width="10.6640625" customWidth="1" style="126" min="9481" max="9481"/>
    <col width="12.6640625" customWidth="1" style="126" min="9482" max="9482"/>
    <col width="9.1640625" customWidth="1" style="126" min="9483" max="9728"/>
    <col width="12.6640625" customWidth="1" style="126" min="9729" max="9729"/>
    <col width="15.6640625" customWidth="1" style="126" min="9730" max="9730"/>
    <col width="11.6640625" customWidth="1" style="126" min="9731" max="9732"/>
    <col width="12.6640625" customWidth="1" style="126" min="9733" max="9733"/>
    <col width="10.6640625" customWidth="1" style="126" min="9734" max="9734"/>
    <col width="11.6640625" customWidth="1" style="126" min="9735" max="9736"/>
    <col width="10.6640625" customWidth="1" style="126" min="9737" max="9737"/>
    <col width="12.6640625" customWidth="1" style="126" min="9738" max="9738"/>
    <col width="9.1640625" customWidth="1" style="126" min="9739" max="9984"/>
    <col width="12.6640625" customWidth="1" style="126" min="9985" max="9985"/>
    <col width="15.6640625" customWidth="1" style="126" min="9986" max="9986"/>
    <col width="11.6640625" customWidth="1" style="126" min="9987" max="9988"/>
    <col width="12.6640625" customWidth="1" style="126" min="9989" max="9989"/>
    <col width="10.6640625" customWidth="1" style="126" min="9990" max="9990"/>
    <col width="11.6640625" customWidth="1" style="126" min="9991" max="9992"/>
    <col width="10.6640625" customWidth="1" style="126" min="9993" max="9993"/>
    <col width="12.6640625" customWidth="1" style="126" min="9994" max="9994"/>
    <col width="9.1640625" customWidth="1" style="126" min="9995" max="10240"/>
    <col width="12.6640625" customWidth="1" style="126" min="10241" max="10241"/>
    <col width="15.6640625" customWidth="1" style="126" min="10242" max="10242"/>
    <col width="11.6640625" customWidth="1" style="126" min="10243" max="10244"/>
    <col width="12.6640625" customWidth="1" style="126" min="10245" max="10245"/>
    <col width="10.6640625" customWidth="1" style="126" min="10246" max="10246"/>
    <col width="11.6640625" customWidth="1" style="126" min="10247" max="10248"/>
    <col width="10.6640625" customWidth="1" style="126" min="10249" max="10249"/>
    <col width="12.6640625" customWidth="1" style="126" min="10250" max="10250"/>
    <col width="9.1640625" customWidth="1" style="126" min="10251" max="10496"/>
    <col width="12.6640625" customWidth="1" style="126" min="10497" max="10497"/>
    <col width="15.6640625" customWidth="1" style="126" min="10498" max="10498"/>
    <col width="11.6640625" customWidth="1" style="126" min="10499" max="10500"/>
    <col width="12.6640625" customWidth="1" style="126" min="10501" max="10501"/>
    <col width="10.6640625" customWidth="1" style="126" min="10502" max="10502"/>
    <col width="11.6640625" customWidth="1" style="126" min="10503" max="10504"/>
    <col width="10.6640625" customWidth="1" style="126" min="10505" max="10505"/>
    <col width="12.6640625" customWidth="1" style="126" min="10506" max="10506"/>
    <col width="9.1640625" customWidth="1" style="126" min="10507" max="10752"/>
    <col width="12.6640625" customWidth="1" style="126" min="10753" max="10753"/>
    <col width="15.6640625" customWidth="1" style="126" min="10754" max="10754"/>
    <col width="11.6640625" customWidth="1" style="126" min="10755" max="10756"/>
    <col width="12.6640625" customWidth="1" style="126" min="10757" max="10757"/>
    <col width="10.6640625" customWidth="1" style="126" min="10758" max="10758"/>
    <col width="11.6640625" customWidth="1" style="126" min="10759" max="10760"/>
    <col width="10.6640625" customWidth="1" style="126" min="10761" max="10761"/>
    <col width="12.6640625" customWidth="1" style="126" min="10762" max="10762"/>
    <col width="9.1640625" customWidth="1" style="126" min="10763" max="11008"/>
    <col width="12.6640625" customWidth="1" style="126" min="11009" max="11009"/>
    <col width="15.6640625" customWidth="1" style="126" min="11010" max="11010"/>
    <col width="11.6640625" customWidth="1" style="126" min="11011" max="11012"/>
    <col width="12.6640625" customWidth="1" style="126" min="11013" max="11013"/>
    <col width="10.6640625" customWidth="1" style="126" min="11014" max="11014"/>
    <col width="11.6640625" customWidth="1" style="126" min="11015" max="11016"/>
    <col width="10.6640625" customWidth="1" style="126" min="11017" max="11017"/>
    <col width="12.6640625" customWidth="1" style="126" min="11018" max="11018"/>
    <col width="9.1640625" customWidth="1" style="126" min="11019" max="11264"/>
    <col width="12.6640625" customWidth="1" style="126" min="11265" max="11265"/>
    <col width="15.6640625" customWidth="1" style="126" min="11266" max="11266"/>
    <col width="11.6640625" customWidth="1" style="126" min="11267" max="11268"/>
    <col width="12.6640625" customWidth="1" style="126" min="11269" max="11269"/>
    <col width="10.6640625" customWidth="1" style="126" min="11270" max="11270"/>
    <col width="11.6640625" customWidth="1" style="126" min="11271" max="11272"/>
    <col width="10.6640625" customWidth="1" style="126" min="11273" max="11273"/>
    <col width="12.6640625" customWidth="1" style="126" min="11274" max="11274"/>
    <col width="9.1640625" customWidth="1" style="126" min="11275" max="11520"/>
    <col width="12.6640625" customWidth="1" style="126" min="11521" max="11521"/>
    <col width="15.6640625" customWidth="1" style="126" min="11522" max="11522"/>
    <col width="11.6640625" customWidth="1" style="126" min="11523" max="11524"/>
    <col width="12.6640625" customWidth="1" style="126" min="11525" max="11525"/>
    <col width="10.6640625" customWidth="1" style="126" min="11526" max="11526"/>
    <col width="11.6640625" customWidth="1" style="126" min="11527" max="11528"/>
    <col width="10.6640625" customWidth="1" style="126" min="11529" max="11529"/>
    <col width="12.6640625" customWidth="1" style="126" min="11530" max="11530"/>
    <col width="9.1640625" customWidth="1" style="126" min="11531" max="11776"/>
    <col width="12.6640625" customWidth="1" style="126" min="11777" max="11777"/>
    <col width="15.6640625" customWidth="1" style="126" min="11778" max="11778"/>
    <col width="11.6640625" customWidth="1" style="126" min="11779" max="11780"/>
    <col width="12.6640625" customWidth="1" style="126" min="11781" max="11781"/>
    <col width="10.6640625" customWidth="1" style="126" min="11782" max="11782"/>
    <col width="11.6640625" customWidth="1" style="126" min="11783" max="11784"/>
    <col width="10.6640625" customWidth="1" style="126" min="11785" max="11785"/>
    <col width="12.6640625" customWidth="1" style="126" min="11786" max="11786"/>
    <col width="9.1640625" customWidth="1" style="126" min="11787" max="12032"/>
    <col width="12.6640625" customWidth="1" style="126" min="12033" max="12033"/>
    <col width="15.6640625" customWidth="1" style="126" min="12034" max="12034"/>
    <col width="11.6640625" customWidth="1" style="126" min="12035" max="12036"/>
    <col width="12.6640625" customWidth="1" style="126" min="12037" max="12037"/>
    <col width="10.6640625" customWidth="1" style="126" min="12038" max="12038"/>
    <col width="11.6640625" customWidth="1" style="126" min="12039" max="12040"/>
    <col width="10.6640625" customWidth="1" style="126" min="12041" max="12041"/>
    <col width="12.6640625" customWidth="1" style="126" min="12042" max="12042"/>
    <col width="9.1640625" customWidth="1" style="126" min="12043" max="12288"/>
    <col width="12.6640625" customWidth="1" style="126" min="12289" max="12289"/>
    <col width="15.6640625" customWidth="1" style="126" min="12290" max="12290"/>
    <col width="11.6640625" customWidth="1" style="126" min="12291" max="12292"/>
    <col width="12.6640625" customWidth="1" style="126" min="12293" max="12293"/>
    <col width="10.6640625" customWidth="1" style="126" min="12294" max="12294"/>
    <col width="11.6640625" customWidth="1" style="126" min="12295" max="12296"/>
    <col width="10.6640625" customWidth="1" style="126" min="12297" max="12297"/>
    <col width="12.6640625" customWidth="1" style="126" min="12298" max="12298"/>
    <col width="9.1640625" customWidth="1" style="126" min="12299" max="12544"/>
    <col width="12.6640625" customWidth="1" style="126" min="12545" max="12545"/>
    <col width="15.6640625" customWidth="1" style="126" min="12546" max="12546"/>
    <col width="11.6640625" customWidth="1" style="126" min="12547" max="12548"/>
    <col width="12.6640625" customWidth="1" style="126" min="12549" max="12549"/>
    <col width="10.6640625" customWidth="1" style="126" min="12550" max="12550"/>
    <col width="11.6640625" customWidth="1" style="126" min="12551" max="12552"/>
    <col width="10.6640625" customWidth="1" style="126" min="12553" max="12553"/>
    <col width="12.6640625" customWidth="1" style="126" min="12554" max="12554"/>
    <col width="9.1640625" customWidth="1" style="126" min="12555" max="12800"/>
    <col width="12.6640625" customWidth="1" style="126" min="12801" max="12801"/>
    <col width="15.6640625" customWidth="1" style="126" min="12802" max="12802"/>
    <col width="11.6640625" customWidth="1" style="126" min="12803" max="12804"/>
    <col width="12.6640625" customWidth="1" style="126" min="12805" max="12805"/>
    <col width="10.6640625" customWidth="1" style="126" min="12806" max="12806"/>
    <col width="11.6640625" customWidth="1" style="126" min="12807" max="12808"/>
    <col width="10.6640625" customWidth="1" style="126" min="12809" max="12809"/>
    <col width="12.6640625" customWidth="1" style="126" min="12810" max="12810"/>
    <col width="9.1640625" customWidth="1" style="126" min="12811" max="13056"/>
    <col width="12.6640625" customWidth="1" style="126" min="13057" max="13057"/>
    <col width="15.6640625" customWidth="1" style="126" min="13058" max="13058"/>
    <col width="11.6640625" customWidth="1" style="126" min="13059" max="13060"/>
    <col width="12.6640625" customWidth="1" style="126" min="13061" max="13061"/>
    <col width="10.6640625" customWidth="1" style="126" min="13062" max="13062"/>
    <col width="11.6640625" customWidth="1" style="126" min="13063" max="13064"/>
    <col width="10.6640625" customWidth="1" style="126" min="13065" max="13065"/>
    <col width="12.6640625" customWidth="1" style="126" min="13066" max="13066"/>
    <col width="9.1640625" customWidth="1" style="126" min="13067" max="13312"/>
    <col width="12.6640625" customWidth="1" style="126" min="13313" max="13313"/>
    <col width="15.6640625" customWidth="1" style="126" min="13314" max="13314"/>
    <col width="11.6640625" customWidth="1" style="126" min="13315" max="13316"/>
    <col width="12.6640625" customWidth="1" style="126" min="13317" max="13317"/>
    <col width="10.6640625" customWidth="1" style="126" min="13318" max="13318"/>
    <col width="11.6640625" customWidth="1" style="126" min="13319" max="13320"/>
    <col width="10.6640625" customWidth="1" style="126" min="13321" max="13321"/>
    <col width="12.6640625" customWidth="1" style="126" min="13322" max="13322"/>
    <col width="9.1640625" customWidth="1" style="126" min="13323" max="13568"/>
    <col width="12.6640625" customWidth="1" style="126" min="13569" max="13569"/>
    <col width="15.6640625" customWidth="1" style="126" min="13570" max="13570"/>
    <col width="11.6640625" customWidth="1" style="126" min="13571" max="13572"/>
    <col width="12.6640625" customWidth="1" style="126" min="13573" max="13573"/>
    <col width="10.6640625" customWidth="1" style="126" min="13574" max="13574"/>
    <col width="11.6640625" customWidth="1" style="126" min="13575" max="13576"/>
    <col width="10.6640625" customWidth="1" style="126" min="13577" max="13577"/>
    <col width="12.6640625" customWidth="1" style="126" min="13578" max="13578"/>
    <col width="9.1640625" customWidth="1" style="126" min="13579" max="13824"/>
    <col width="12.6640625" customWidth="1" style="126" min="13825" max="13825"/>
    <col width="15.6640625" customWidth="1" style="126" min="13826" max="13826"/>
    <col width="11.6640625" customWidth="1" style="126" min="13827" max="13828"/>
    <col width="12.6640625" customWidth="1" style="126" min="13829" max="13829"/>
    <col width="10.6640625" customWidth="1" style="126" min="13830" max="13830"/>
    <col width="11.6640625" customWidth="1" style="126" min="13831" max="13832"/>
    <col width="10.6640625" customWidth="1" style="126" min="13833" max="13833"/>
    <col width="12.6640625" customWidth="1" style="126" min="13834" max="13834"/>
    <col width="9.1640625" customWidth="1" style="126" min="13835" max="14080"/>
    <col width="12.6640625" customWidth="1" style="126" min="14081" max="14081"/>
    <col width="15.6640625" customWidth="1" style="126" min="14082" max="14082"/>
    <col width="11.6640625" customWidth="1" style="126" min="14083" max="14084"/>
    <col width="12.6640625" customWidth="1" style="126" min="14085" max="14085"/>
    <col width="10.6640625" customWidth="1" style="126" min="14086" max="14086"/>
    <col width="11.6640625" customWidth="1" style="126" min="14087" max="14088"/>
    <col width="10.6640625" customWidth="1" style="126" min="14089" max="14089"/>
    <col width="12.6640625" customWidth="1" style="126" min="14090" max="14090"/>
    <col width="9.1640625" customWidth="1" style="126" min="14091" max="14336"/>
    <col width="12.6640625" customWidth="1" style="126" min="14337" max="14337"/>
    <col width="15.6640625" customWidth="1" style="126" min="14338" max="14338"/>
    <col width="11.6640625" customWidth="1" style="126" min="14339" max="14340"/>
    <col width="12.6640625" customWidth="1" style="126" min="14341" max="14341"/>
    <col width="10.6640625" customWidth="1" style="126" min="14342" max="14342"/>
    <col width="11.6640625" customWidth="1" style="126" min="14343" max="14344"/>
    <col width="10.6640625" customWidth="1" style="126" min="14345" max="14345"/>
    <col width="12.6640625" customWidth="1" style="126" min="14346" max="14346"/>
    <col width="9.1640625" customWidth="1" style="126" min="14347" max="14592"/>
    <col width="12.6640625" customWidth="1" style="126" min="14593" max="14593"/>
    <col width="15.6640625" customWidth="1" style="126" min="14594" max="14594"/>
    <col width="11.6640625" customWidth="1" style="126" min="14595" max="14596"/>
    <col width="12.6640625" customWidth="1" style="126" min="14597" max="14597"/>
    <col width="10.6640625" customWidth="1" style="126" min="14598" max="14598"/>
    <col width="11.6640625" customWidth="1" style="126" min="14599" max="14600"/>
    <col width="10.6640625" customWidth="1" style="126" min="14601" max="14601"/>
    <col width="12.6640625" customWidth="1" style="126" min="14602" max="14602"/>
    <col width="9.1640625" customWidth="1" style="126" min="14603" max="14848"/>
    <col width="12.6640625" customWidth="1" style="126" min="14849" max="14849"/>
    <col width="15.6640625" customWidth="1" style="126" min="14850" max="14850"/>
    <col width="11.6640625" customWidth="1" style="126" min="14851" max="14852"/>
    <col width="12.6640625" customWidth="1" style="126" min="14853" max="14853"/>
    <col width="10.6640625" customWidth="1" style="126" min="14854" max="14854"/>
    <col width="11.6640625" customWidth="1" style="126" min="14855" max="14856"/>
    <col width="10.6640625" customWidth="1" style="126" min="14857" max="14857"/>
    <col width="12.6640625" customWidth="1" style="126" min="14858" max="14858"/>
    <col width="9.1640625" customWidth="1" style="126" min="14859" max="15104"/>
    <col width="12.6640625" customWidth="1" style="126" min="15105" max="15105"/>
    <col width="15.6640625" customWidth="1" style="126" min="15106" max="15106"/>
    <col width="11.6640625" customWidth="1" style="126" min="15107" max="15108"/>
    <col width="12.6640625" customWidth="1" style="126" min="15109" max="15109"/>
    <col width="10.6640625" customWidth="1" style="126" min="15110" max="15110"/>
    <col width="11.6640625" customWidth="1" style="126" min="15111" max="15112"/>
    <col width="10.6640625" customWidth="1" style="126" min="15113" max="15113"/>
    <col width="12.6640625" customWidth="1" style="126" min="15114" max="15114"/>
    <col width="9.1640625" customWidth="1" style="126" min="15115" max="15360"/>
    <col width="12.6640625" customWidth="1" style="126" min="15361" max="15361"/>
    <col width="15.6640625" customWidth="1" style="126" min="15362" max="15362"/>
    <col width="11.6640625" customWidth="1" style="126" min="15363" max="15364"/>
    <col width="12.6640625" customWidth="1" style="126" min="15365" max="15365"/>
    <col width="10.6640625" customWidth="1" style="126" min="15366" max="15366"/>
    <col width="11.6640625" customWidth="1" style="126" min="15367" max="15368"/>
    <col width="10.6640625" customWidth="1" style="126" min="15369" max="15369"/>
    <col width="12.6640625" customWidth="1" style="126" min="15370" max="15370"/>
    <col width="9.1640625" customWidth="1" style="126" min="15371" max="15616"/>
    <col width="12.6640625" customWidth="1" style="126" min="15617" max="15617"/>
    <col width="15.6640625" customWidth="1" style="126" min="15618" max="15618"/>
    <col width="11.6640625" customWidth="1" style="126" min="15619" max="15620"/>
    <col width="12.6640625" customWidth="1" style="126" min="15621" max="15621"/>
    <col width="10.6640625" customWidth="1" style="126" min="15622" max="15622"/>
    <col width="11.6640625" customWidth="1" style="126" min="15623" max="15624"/>
    <col width="10.6640625" customWidth="1" style="126" min="15625" max="15625"/>
    <col width="12.6640625" customWidth="1" style="126" min="15626" max="15626"/>
    <col width="9.1640625" customWidth="1" style="126" min="15627" max="15872"/>
    <col width="12.6640625" customWidth="1" style="126" min="15873" max="15873"/>
    <col width="15.6640625" customWidth="1" style="126" min="15874" max="15874"/>
    <col width="11.6640625" customWidth="1" style="126" min="15875" max="15876"/>
    <col width="12.6640625" customWidth="1" style="126" min="15877" max="15877"/>
    <col width="10.6640625" customWidth="1" style="126" min="15878" max="15878"/>
    <col width="11.6640625" customWidth="1" style="126" min="15879" max="15880"/>
    <col width="10.6640625" customWidth="1" style="126" min="15881" max="15881"/>
    <col width="12.6640625" customWidth="1" style="126" min="15882" max="15882"/>
    <col width="9.1640625" customWidth="1" style="126" min="15883" max="16128"/>
    <col width="12.6640625" customWidth="1" style="126" min="16129" max="16129"/>
    <col width="15.6640625" customWidth="1" style="126" min="16130" max="16130"/>
    <col width="11.6640625" customWidth="1" style="126" min="16131" max="16132"/>
    <col width="12.6640625" customWidth="1" style="126" min="16133" max="16133"/>
    <col width="10.6640625" customWidth="1" style="126" min="16134" max="16134"/>
    <col width="11.6640625" customWidth="1" style="126" min="16135" max="16136"/>
    <col width="10.6640625" customWidth="1" style="126" min="16137" max="16137"/>
    <col width="12.6640625" customWidth="1" style="126" min="16138" max="16138"/>
    <col width="9.1640625" customWidth="1" style="126" min="16139" max="16384"/>
  </cols>
  <sheetData>
    <row r="1">
      <c r="A1" t="inlineStr">
        <is>
          <t>DATE</t>
        </is>
      </c>
      <c r="B1" t="inlineStr">
        <is>
          <t>DPCCRV1Q225SBEA</t>
        </is>
      </c>
      <c r="C1" t="inlineStr">
        <is>
          <t>EXPGSC1</t>
        </is>
      </c>
      <c r="D1" t="inlineStr">
        <is>
          <t>GCEC1</t>
        </is>
      </c>
      <c r="E1" t="inlineStr">
        <is>
          <t>GDPC1</t>
        </is>
      </c>
      <c r="F1" t="inlineStr">
        <is>
          <t>GDPCTPI</t>
        </is>
      </c>
      <c r="G1" t="inlineStr">
        <is>
          <t>GPDIC1</t>
        </is>
      </c>
      <c r="H1" t="inlineStr">
        <is>
          <t>IMPGSC1</t>
        </is>
      </c>
      <c r="I1" t="inlineStr">
        <is>
          <t>JCXFE</t>
        </is>
      </c>
      <c r="J1" t="inlineStr">
        <is>
          <t>PCECC96</t>
        </is>
      </c>
    </row>
    <row r="2">
      <c r="A2" t="inlineStr">
        <is>
          <t>01/01/1947</t>
        </is>
      </c>
      <c r="B2" t="n">
        <v/>
      </c>
      <c r="C2" t="n">
        <v>97.63</v>
      </c>
      <c r="D2" t="n">
        <v>524.026</v>
      </c>
      <c r="E2" t="n">
        <v>2034.45</v>
      </c>
      <c r="F2" t="n">
        <v>11.961</v>
      </c>
      <c r="G2" t="n">
        <v>218.091</v>
      </c>
      <c r="H2" t="n">
        <v>60.396</v>
      </c>
      <c r="I2" t="n">
        <v/>
      </c>
      <c r="J2" t="n">
        <v>1277.44</v>
      </c>
    </row>
    <row r="3">
      <c r="A3" t="inlineStr">
        <is>
          <t>01/04/1947</t>
        </is>
      </c>
      <c r="B3" t="n">
        <v/>
      </c>
      <c r="C3" t="n">
        <v>96.399</v>
      </c>
      <c r="D3" t="n">
        <v>523.583</v>
      </c>
      <c r="E3" t="n">
        <v>2029.024</v>
      </c>
      <c r="F3" t="n">
        <v>12.124</v>
      </c>
      <c r="G3" t="n">
        <v>201.386</v>
      </c>
      <c r="H3" t="n">
        <v>61.559</v>
      </c>
      <c r="I3" t="n">
        <v/>
      </c>
      <c r="J3" t="n">
        <v>1298.692</v>
      </c>
    </row>
    <row r="4">
      <c r="A4" t="inlineStr">
        <is>
          <t>01/07/1947</t>
        </is>
      </c>
      <c r="B4" t="n">
        <v/>
      </c>
      <c r="C4" t="n">
        <v>91.506</v>
      </c>
      <c r="D4" t="n">
        <v>523.477</v>
      </c>
      <c r="E4" t="n">
        <v>2024.834</v>
      </c>
      <c r="F4" t="n">
        <v>12.315</v>
      </c>
      <c r="G4" t="n">
        <v>195.461</v>
      </c>
      <c r="H4" t="n">
        <v>54.594</v>
      </c>
      <c r="I4" t="n">
        <v/>
      </c>
      <c r="J4" t="n">
        <v>1302.925</v>
      </c>
    </row>
    <row r="5">
      <c r="A5" t="inlineStr">
        <is>
          <t>01/10/1947</t>
        </is>
      </c>
      <c r="B5" t="n">
        <v/>
      </c>
      <c r="C5" t="n">
        <v>81.139</v>
      </c>
      <c r="D5" t="n">
        <v>519.236</v>
      </c>
      <c r="E5" t="n">
        <v>2056.508</v>
      </c>
      <c r="F5" t="n">
        <v>12.569</v>
      </c>
      <c r="G5" t="n">
        <v>233.284</v>
      </c>
      <c r="H5" t="n">
        <v>57.538</v>
      </c>
      <c r="I5" t="n">
        <v/>
      </c>
      <c r="J5" t="n">
        <v>1303.34</v>
      </c>
    </row>
    <row r="6">
      <c r="A6" t="inlineStr">
        <is>
          <t>01/01/1948</t>
        </is>
      </c>
      <c r="B6" t="n">
        <v/>
      </c>
      <c r="C6" t="n">
        <v>77.437</v>
      </c>
      <c r="D6" t="n">
        <v>526.97</v>
      </c>
      <c r="E6" t="n">
        <v>2087.442</v>
      </c>
      <c r="F6" t="n">
        <v>12.713</v>
      </c>
      <c r="G6" t="n">
        <v>257.22</v>
      </c>
      <c r="H6" t="n">
        <v>64.883</v>
      </c>
      <c r="I6" t="n">
        <v/>
      </c>
      <c r="J6" t="n">
        <v>1309.834</v>
      </c>
    </row>
    <row r="7">
      <c r="A7" t="inlineStr">
        <is>
          <t>01/04/1948</t>
        </is>
      </c>
      <c r="B7" t="n">
        <v/>
      </c>
      <c r="C7" t="n">
        <v>70.19799999999999</v>
      </c>
      <c r="D7" t="n">
        <v>545.557</v>
      </c>
      <c r="E7" t="n">
        <v>2121.899</v>
      </c>
      <c r="F7" t="n">
        <v>12.864</v>
      </c>
      <c r="G7" t="n">
        <v>273.138</v>
      </c>
      <c r="H7" t="n">
        <v>67.455</v>
      </c>
      <c r="I7" t="n">
        <v/>
      </c>
      <c r="J7" t="n">
        <v>1325.075</v>
      </c>
    </row>
    <row r="8">
      <c r="A8" t="inlineStr">
        <is>
          <t>01/07/1948</t>
        </is>
      </c>
      <c r="B8" t="n">
        <v/>
      </c>
      <c r="C8" t="n">
        <v>71.848</v>
      </c>
      <c r="D8" t="n">
        <v>556.9400000000001</v>
      </c>
      <c r="E8" t="n">
        <v>2134.056</v>
      </c>
      <c r="F8" t="n">
        <v>13.088</v>
      </c>
      <c r="G8" t="n">
        <v>275.936</v>
      </c>
      <c r="H8" t="n">
        <v>70.977</v>
      </c>
      <c r="I8" t="n">
        <v/>
      </c>
      <c r="J8" t="n">
        <v>1327.031</v>
      </c>
    </row>
    <row r="9">
      <c r="A9" t="inlineStr">
        <is>
          <t>01/10/1948</t>
        </is>
      </c>
      <c r="B9" t="n">
        <v/>
      </c>
      <c r="C9" t="n">
        <v>69.316</v>
      </c>
      <c r="D9" t="n">
        <v>577.453</v>
      </c>
      <c r="E9" t="n">
        <v>2136.44</v>
      </c>
      <c r="F9" t="n">
        <v>13.083</v>
      </c>
      <c r="G9" t="n">
        <v>262.741</v>
      </c>
      <c r="H9" t="n">
        <v>69.82599999999999</v>
      </c>
      <c r="I9" t="n">
        <v/>
      </c>
      <c r="J9" t="n">
        <v>1337.622</v>
      </c>
    </row>
    <row r="10">
      <c r="A10" t="inlineStr">
        <is>
          <t>01/01/1949</t>
        </is>
      </c>
      <c r="B10" t="n">
        <v/>
      </c>
      <c r="C10" t="n">
        <v>77.61199999999999</v>
      </c>
      <c r="D10" t="n">
        <v>592.769</v>
      </c>
      <c r="E10" t="n">
        <v>2107.001</v>
      </c>
      <c r="F10" t="n">
        <v>13.041</v>
      </c>
      <c r="G10" t="n">
        <v>223.507</v>
      </c>
      <c r="H10" t="n">
        <v>67.73099999999999</v>
      </c>
      <c r="I10" t="n">
        <v/>
      </c>
      <c r="J10" t="n">
        <v>1339.787</v>
      </c>
    </row>
    <row r="11">
      <c r="A11" t="inlineStr">
        <is>
          <t>01/04/1949</t>
        </is>
      </c>
      <c r="B11" t="n">
        <v/>
      </c>
      <c r="C11" t="n">
        <v>76.947</v>
      </c>
      <c r="D11" t="n">
        <v>618.527</v>
      </c>
      <c r="E11" t="n">
        <v>2099.814</v>
      </c>
      <c r="F11" t="n">
        <v>12.96</v>
      </c>
      <c r="G11" t="n">
        <v>193.795</v>
      </c>
      <c r="H11" t="n">
        <v>66.74299999999999</v>
      </c>
      <c r="I11" t="n">
        <v/>
      </c>
      <c r="J11" t="n">
        <v>1360.322</v>
      </c>
    </row>
    <row r="12">
      <c r="A12" t="inlineStr">
        <is>
          <t>01/07/1949</t>
        </is>
      </c>
      <c r="B12" t="n">
        <v/>
      </c>
      <c r="C12" t="n">
        <v>70.52</v>
      </c>
      <c r="D12" t="n">
        <v>621.789</v>
      </c>
      <c r="E12" t="n">
        <v>2121.493</v>
      </c>
      <c r="F12" t="n">
        <v>12.867</v>
      </c>
      <c r="G12" t="n">
        <v>209.862</v>
      </c>
      <c r="H12" t="n">
        <v>64.023</v>
      </c>
      <c r="I12" t="n">
        <v/>
      </c>
      <c r="J12" t="n">
        <v>1363.407</v>
      </c>
    </row>
    <row r="13">
      <c r="A13" t="inlineStr">
        <is>
          <t>01/10/1949</t>
        </is>
      </c>
      <c r="B13" t="n">
        <v/>
      </c>
      <c r="C13" t="n">
        <v>61.047</v>
      </c>
      <c r="D13" t="n">
        <v>610.904</v>
      </c>
      <c r="E13" t="n">
        <v>2103.688</v>
      </c>
      <c r="F13" t="n">
        <v>12.864</v>
      </c>
      <c r="G13" t="n">
        <v>199.54</v>
      </c>
      <c r="H13" t="n">
        <v>64.98699999999999</v>
      </c>
      <c r="I13" t="n">
        <v/>
      </c>
      <c r="J13" t="n">
        <v>1383.396</v>
      </c>
    </row>
    <row r="14">
      <c r="A14" t="inlineStr">
        <is>
          <t>01/01/1950</t>
        </is>
      </c>
      <c r="B14" t="n">
        <v/>
      </c>
      <c r="C14" t="n">
        <v>60.041</v>
      </c>
      <c r="D14" t="n">
        <v>599.569</v>
      </c>
      <c r="E14" t="n">
        <v>2186.365</v>
      </c>
      <c r="F14" t="n">
        <v>12.828</v>
      </c>
      <c r="G14" t="n">
        <v>246.911</v>
      </c>
      <c r="H14" t="n">
        <v>66.803</v>
      </c>
      <c r="I14" t="n">
        <v/>
      </c>
      <c r="J14" t="n">
        <v>1406.429</v>
      </c>
    </row>
    <row r="15">
      <c r="A15" t="inlineStr">
        <is>
          <t>01/04/1950</t>
        </is>
      </c>
      <c r="B15" t="n">
        <v/>
      </c>
      <c r="C15" t="n">
        <v>60.766</v>
      </c>
      <c r="D15" t="n">
        <v>610.519</v>
      </c>
      <c r="E15" t="n">
        <v>2253.045</v>
      </c>
      <c r="F15" t="n">
        <v>12.882</v>
      </c>
      <c r="G15" t="n">
        <v>273.335</v>
      </c>
      <c r="H15" t="n">
        <v>70.48999999999999</v>
      </c>
      <c r="I15" t="n">
        <v/>
      </c>
      <c r="J15" t="n">
        <v>1429.591</v>
      </c>
    </row>
    <row r="16">
      <c r="A16" t="inlineStr">
        <is>
          <t>01/07/1950</t>
        </is>
      </c>
      <c r="B16" t="n">
        <v/>
      </c>
      <c r="C16" t="n">
        <v>62.342</v>
      </c>
      <c r="D16" t="n">
        <v>600.663</v>
      </c>
      <c r="E16" t="n">
        <v>2340.112</v>
      </c>
      <c r="F16" t="n">
        <v>13.15</v>
      </c>
      <c r="G16" t="n">
        <v>296.831</v>
      </c>
      <c r="H16" t="n">
        <v>86.986</v>
      </c>
      <c r="I16" t="n">
        <v/>
      </c>
      <c r="J16" t="n">
        <v>1503.003</v>
      </c>
    </row>
    <row r="17">
      <c r="A17" t="inlineStr">
        <is>
          <t>01/10/1950</t>
        </is>
      </c>
      <c r="B17" t="n">
        <v/>
      </c>
      <c r="C17" t="n">
        <v>67.395</v>
      </c>
      <c r="D17" t="n">
        <v>643.1</v>
      </c>
      <c r="E17" t="n">
        <v>2384.92</v>
      </c>
      <c r="F17" t="n">
        <v>13.36</v>
      </c>
      <c r="G17" t="n">
        <v>334.548</v>
      </c>
      <c r="H17" t="n">
        <v>87.149</v>
      </c>
      <c r="I17" t="n">
        <v/>
      </c>
      <c r="J17" t="n">
        <v>1457.694</v>
      </c>
    </row>
    <row r="18">
      <c r="A18" t="inlineStr">
        <is>
          <t>01/01/1951</t>
        </is>
      </c>
      <c r="B18" t="n">
        <v/>
      </c>
      <c r="C18" t="n">
        <v>70.76300000000001</v>
      </c>
      <c r="D18" t="n">
        <v>711.537</v>
      </c>
      <c r="E18" t="n">
        <v>2417.311</v>
      </c>
      <c r="F18" t="n">
        <v>13.812</v>
      </c>
      <c r="G18" t="n">
        <v>300.363</v>
      </c>
      <c r="H18" t="n">
        <v>87.154</v>
      </c>
      <c r="I18" t="n">
        <v/>
      </c>
      <c r="J18" t="n">
        <v>1492.942</v>
      </c>
    </row>
    <row r="19">
      <c r="A19" t="inlineStr">
        <is>
          <t>01/04/1951</t>
        </is>
      </c>
      <c r="B19" t="n">
        <v/>
      </c>
      <c r="C19" t="n">
        <v>77.727</v>
      </c>
      <c r="D19" t="n">
        <v>806.376</v>
      </c>
      <c r="E19" t="n">
        <v>2459.196</v>
      </c>
      <c r="F19" t="n">
        <v>13.892</v>
      </c>
      <c r="G19" t="n">
        <v>307.326</v>
      </c>
      <c r="H19" t="n">
        <v>84.26600000000001</v>
      </c>
      <c r="I19" t="n">
        <v/>
      </c>
      <c r="J19" t="n">
        <v>1450.753</v>
      </c>
    </row>
    <row r="20">
      <c r="A20" t="inlineStr">
        <is>
          <t>01/07/1951</t>
        </is>
      </c>
      <c r="B20" t="n">
        <v/>
      </c>
      <c r="C20" t="n">
        <v>79.636</v>
      </c>
      <c r="D20" t="n">
        <v>895.015</v>
      </c>
      <c r="E20" t="n">
        <v>2509.88</v>
      </c>
      <c r="F20" t="n">
        <v>13.937</v>
      </c>
      <c r="G20" t="n">
        <v>284.697</v>
      </c>
      <c r="H20" t="n">
        <v>77.13</v>
      </c>
      <c r="I20" t="n">
        <v/>
      </c>
      <c r="J20" t="n">
        <v>1467.654</v>
      </c>
    </row>
    <row r="21">
      <c r="A21" t="inlineStr">
        <is>
          <t>01/10/1951</t>
        </is>
      </c>
      <c r="B21" t="n">
        <v/>
      </c>
      <c r="C21" t="n">
        <v>78.889</v>
      </c>
      <c r="D21" t="n">
        <v>942.35</v>
      </c>
      <c r="E21" t="n">
        <v>2515.408</v>
      </c>
      <c r="F21" t="n">
        <v>14.12</v>
      </c>
      <c r="G21" t="n">
        <v>262.013</v>
      </c>
      <c r="H21" t="n">
        <v>75.113</v>
      </c>
      <c r="I21" t="n">
        <v/>
      </c>
      <c r="J21" t="n">
        <v>1476.205</v>
      </c>
    </row>
    <row r="22">
      <c r="A22" t="inlineStr">
        <is>
          <t>01/01/1952</t>
        </is>
      </c>
      <c r="B22" t="n">
        <v/>
      </c>
      <c r="C22" t="n">
        <v>83.08799999999999</v>
      </c>
      <c r="D22" t="n">
        <v>970.394</v>
      </c>
      <c r="E22" t="n">
        <v>2542.286</v>
      </c>
      <c r="F22" t="n">
        <v>14.137</v>
      </c>
      <c r="G22" t="n">
        <v>268.85</v>
      </c>
      <c r="H22" t="n">
        <v>83.828</v>
      </c>
      <c r="I22" t="n">
        <v/>
      </c>
      <c r="J22" t="n">
        <v>1479.625</v>
      </c>
    </row>
    <row r="23">
      <c r="A23" t="inlineStr">
        <is>
          <t>01/04/1952</t>
        </is>
      </c>
      <c r="B23" t="n">
        <v/>
      </c>
      <c r="C23" t="n">
        <v>73.95399999999999</v>
      </c>
      <c r="D23" t="n">
        <v>1003.463</v>
      </c>
      <c r="E23" t="n">
        <v>2547.762</v>
      </c>
      <c r="F23" t="n">
        <v>14.192</v>
      </c>
      <c r="G23" t="n">
        <v>248.58</v>
      </c>
      <c r="H23" t="n">
        <v>83.39400000000001</v>
      </c>
      <c r="I23" t="n">
        <v/>
      </c>
      <c r="J23" t="n">
        <v>1508.601</v>
      </c>
    </row>
    <row r="24">
      <c r="A24" t="inlineStr">
        <is>
          <t>01/07/1952</t>
        </is>
      </c>
      <c r="B24" t="n">
        <v/>
      </c>
      <c r="C24" t="n">
        <v>68.114</v>
      </c>
      <c r="D24" t="n">
        <v>1013.614</v>
      </c>
      <c r="E24" t="n">
        <v>2566.153</v>
      </c>
      <c r="F24" t="n">
        <v>14.299</v>
      </c>
      <c r="G24" t="n">
        <v>261.906</v>
      </c>
      <c r="H24" t="n">
        <v>88.497</v>
      </c>
      <c r="I24" t="n">
        <v/>
      </c>
      <c r="J24" t="n">
        <v>1515.837</v>
      </c>
    </row>
    <row r="25">
      <c r="A25" t="inlineStr">
        <is>
          <t>01/10/1952</t>
        </is>
      </c>
      <c r="B25" t="n">
        <v/>
      </c>
      <c r="C25" t="n">
        <v>68.58</v>
      </c>
      <c r="D25" t="n">
        <v>1030.52</v>
      </c>
      <c r="E25" t="n">
        <v>2650.431</v>
      </c>
      <c r="F25" t="n">
        <v>14.349</v>
      </c>
      <c r="G25" t="n">
        <v>280.772</v>
      </c>
      <c r="H25" t="n">
        <v>96.431</v>
      </c>
      <c r="I25" t="n">
        <v/>
      </c>
      <c r="J25" t="n">
        <v>1569.313</v>
      </c>
    </row>
    <row r="26">
      <c r="A26" t="inlineStr">
        <is>
          <t>01/01/1953</t>
        </is>
      </c>
      <c r="B26" t="n">
        <v/>
      </c>
      <c r="C26" t="n">
        <v>67.42</v>
      </c>
      <c r="D26" t="n">
        <v>1063.166</v>
      </c>
      <c r="E26" t="n">
        <v>2699.699</v>
      </c>
      <c r="F26" t="n">
        <v>14.363</v>
      </c>
      <c r="G26" t="n">
        <v>286.813</v>
      </c>
      <c r="H26" t="n">
        <v>94.054</v>
      </c>
      <c r="I26" t="n">
        <v/>
      </c>
      <c r="J26" t="n">
        <v>1587.743</v>
      </c>
    </row>
    <row r="27">
      <c r="A27" t="inlineStr">
        <is>
          <t>01/04/1953</t>
        </is>
      </c>
      <c r="B27" t="n">
        <v/>
      </c>
      <c r="C27" t="n">
        <v>67.84</v>
      </c>
      <c r="D27" t="n">
        <v>1084.966</v>
      </c>
      <c r="E27" t="n">
        <v>2720.566</v>
      </c>
      <c r="F27" t="n">
        <v>14.397</v>
      </c>
      <c r="G27" t="n">
        <v>288.445</v>
      </c>
      <c r="H27" t="n">
        <v>98.932</v>
      </c>
      <c r="I27" t="n">
        <v/>
      </c>
      <c r="J27" t="n">
        <v>1597.302</v>
      </c>
    </row>
    <row r="28">
      <c r="A28" t="inlineStr">
        <is>
          <t>01/07/1953</t>
        </is>
      </c>
      <c r="B28" t="n">
        <v/>
      </c>
      <c r="C28" t="n">
        <v>70.56</v>
      </c>
      <c r="D28" t="n">
        <v>1073.448</v>
      </c>
      <c r="E28" t="n">
        <v>2705.258</v>
      </c>
      <c r="F28" t="n">
        <v>14.451</v>
      </c>
      <c r="G28" t="n">
        <v>282.411</v>
      </c>
      <c r="H28" t="n">
        <v>98.55500000000001</v>
      </c>
      <c r="I28" t="n">
        <v/>
      </c>
      <c r="J28" t="n">
        <v>1593.497</v>
      </c>
    </row>
    <row r="29">
      <c r="A29" t="inlineStr">
        <is>
          <t>01/10/1953</t>
        </is>
      </c>
      <c r="B29" t="n">
        <v/>
      </c>
      <c r="C29" t="n">
        <v>68.23399999999999</v>
      </c>
      <c r="D29" t="n">
        <v>1070.774</v>
      </c>
      <c r="E29" t="n">
        <v>2664.302</v>
      </c>
      <c r="F29" t="n">
        <v>14.494</v>
      </c>
      <c r="G29" t="n">
        <v>262.005</v>
      </c>
      <c r="H29" t="n">
        <v>93.70699999999999</v>
      </c>
      <c r="I29" t="n">
        <v/>
      </c>
      <c r="J29" t="n">
        <v>1582.812</v>
      </c>
    </row>
    <row r="30">
      <c r="A30" t="inlineStr">
        <is>
          <t>01/01/1954</t>
        </is>
      </c>
      <c r="B30" t="n">
        <v/>
      </c>
      <c r="C30" t="n">
        <v>65.17400000000001</v>
      </c>
      <c r="D30" t="n">
        <v>1042.939</v>
      </c>
      <c r="E30" t="n">
        <v>2651.566</v>
      </c>
      <c r="F30" t="n">
        <v>14.555</v>
      </c>
      <c r="G30" t="n">
        <v>260.127</v>
      </c>
      <c r="H30" t="n">
        <v>88.29600000000001</v>
      </c>
      <c r="I30" t="n">
        <v/>
      </c>
      <c r="J30" t="n">
        <v>1588.65</v>
      </c>
    </row>
    <row r="31">
      <c r="A31" t="inlineStr">
        <is>
          <t>01/04/1954</t>
        </is>
      </c>
      <c r="B31" t="n">
        <v/>
      </c>
      <c r="C31" t="n">
        <v>74.538</v>
      </c>
      <c r="D31" t="n">
        <v>1007.623</v>
      </c>
      <c r="E31" t="n">
        <v>2654.456</v>
      </c>
      <c r="F31" t="n">
        <v>14.582</v>
      </c>
      <c r="G31" t="n">
        <v>259.513</v>
      </c>
      <c r="H31" t="n">
        <v>96.23699999999999</v>
      </c>
      <c r="I31" t="n">
        <v/>
      </c>
      <c r="J31" t="n">
        <v>1609.28</v>
      </c>
    </row>
    <row r="32">
      <c r="A32" t="inlineStr">
        <is>
          <t>01/07/1954</t>
        </is>
      </c>
      <c r="B32" t="n">
        <v/>
      </c>
      <c r="C32" t="n">
        <v>72.143</v>
      </c>
      <c r="D32" t="n">
        <v>985.832</v>
      </c>
      <c r="E32" t="n">
        <v>2684.434</v>
      </c>
      <c r="F32" t="n">
        <v>14.569</v>
      </c>
      <c r="G32" t="n">
        <v>272.037</v>
      </c>
      <c r="H32" t="n">
        <v>90.432</v>
      </c>
      <c r="I32" t="n">
        <v/>
      </c>
      <c r="J32" t="n">
        <v>1631.059</v>
      </c>
    </row>
    <row r="33">
      <c r="A33" t="inlineStr">
        <is>
          <t>01/10/1954</t>
        </is>
      </c>
      <c r="B33" t="n">
        <v/>
      </c>
      <c r="C33" t="n">
        <v>75.465</v>
      </c>
      <c r="D33" t="n">
        <v>979.897</v>
      </c>
      <c r="E33" t="n">
        <v>2736.96</v>
      </c>
      <c r="F33" t="n">
        <v>14.588</v>
      </c>
      <c r="G33" t="n">
        <v>283.968</v>
      </c>
      <c r="H33" t="n">
        <v>91.29000000000001</v>
      </c>
      <c r="I33" t="n">
        <v/>
      </c>
      <c r="J33" t="n">
        <v>1665.291</v>
      </c>
    </row>
    <row r="34">
      <c r="A34" t="inlineStr">
        <is>
          <t>01/01/1955</t>
        </is>
      </c>
      <c r="B34" t="n">
        <v/>
      </c>
      <c r="C34" t="n">
        <v>78.26900000000001</v>
      </c>
      <c r="D34" t="n">
        <v>980.472</v>
      </c>
      <c r="E34" t="n">
        <v>2815.134</v>
      </c>
      <c r="F34" t="n">
        <v>14.643</v>
      </c>
      <c r="G34" t="n">
        <v>312.337</v>
      </c>
      <c r="H34" t="n">
        <v>96.684</v>
      </c>
      <c r="I34" t="n">
        <v/>
      </c>
      <c r="J34" t="n">
        <v>1702.656</v>
      </c>
    </row>
    <row r="35">
      <c r="A35" t="inlineStr">
        <is>
          <t>01/04/1955</t>
        </is>
      </c>
      <c r="B35" t="n">
        <v/>
      </c>
      <c r="C35" t="n">
        <v>76.444</v>
      </c>
      <c r="D35" t="n">
        <v>970.852</v>
      </c>
      <c r="E35" t="n">
        <v>2860.942</v>
      </c>
      <c r="F35" t="n">
        <v>14.725</v>
      </c>
      <c r="G35" t="n">
        <v>331.333</v>
      </c>
      <c r="H35" t="n">
        <v>102.167</v>
      </c>
      <c r="I35" t="n">
        <v/>
      </c>
      <c r="J35" t="n">
        <v>1735.274</v>
      </c>
    </row>
    <row r="36">
      <c r="A36" t="inlineStr">
        <is>
          <t>01/07/1955</t>
        </is>
      </c>
      <c r="B36" t="n">
        <v/>
      </c>
      <c r="C36" t="n">
        <v>81.461</v>
      </c>
      <c r="D36" t="n">
        <v>977.063</v>
      </c>
      <c r="E36" t="n">
        <v>2899.578</v>
      </c>
      <c r="F36" t="n">
        <v>14.826</v>
      </c>
      <c r="G36" t="n">
        <v>336.418</v>
      </c>
      <c r="H36" t="n">
        <v>103.886</v>
      </c>
      <c r="I36" t="n">
        <v/>
      </c>
      <c r="J36" t="n">
        <v>1756.707</v>
      </c>
    </row>
    <row r="37">
      <c r="A37" t="inlineStr">
        <is>
          <t>01/10/1955</t>
        </is>
      </c>
      <c r="B37" t="n">
        <v/>
      </c>
      <c r="C37" t="n">
        <v>81.82899999999999</v>
      </c>
      <c r="D37" t="n">
        <v>957.677</v>
      </c>
      <c r="E37" t="n">
        <v>2916.985</v>
      </c>
      <c r="F37" t="n">
        <v>14.924</v>
      </c>
      <c r="G37" t="n">
        <v>344.218</v>
      </c>
      <c r="H37" t="n">
        <v>107.65</v>
      </c>
      <c r="I37" t="n">
        <v/>
      </c>
      <c r="J37" t="n">
        <v>1778.767</v>
      </c>
    </row>
    <row r="38">
      <c r="A38" t="inlineStr">
        <is>
          <t>01/01/1956</t>
        </is>
      </c>
      <c r="B38" t="n">
        <v/>
      </c>
      <c r="C38" t="n">
        <v>85.71299999999999</v>
      </c>
      <c r="D38" t="n">
        <v>957.429</v>
      </c>
      <c r="E38" t="n">
        <v>2905.656</v>
      </c>
      <c r="F38" t="n">
        <v>15.071</v>
      </c>
      <c r="G38" t="n">
        <v>334.39</v>
      </c>
      <c r="H38" t="n">
        <v>112.169</v>
      </c>
      <c r="I38" t="n">
        <v/>
      </c>
      <c r="J38" t="n">
        <v>1781.657</v>
      </c>
    </row>
    <row r="39">
      <c r="A39" t="inlineStr">
        <is>
          <t>01/04/1956</t>
        </is>
      </c>
      <c r="B39" t="n">
        <v/>
      </c>
      <c r="C39" t="n">
        <v>91.488</v>
      </c>
      <c r="D39" t="n">
        <v>976.761</v>
      </c>
      <c r="E39" t="n">
        <v>2929.666</v>
      </c>
      <c r="F39" t="n">
        <v>15.214</v>
      </c>
      <c r="G39" t="n">
        <v>331.759</v>
      </c>
      <c r="H39" t="n">
        <v>111.585</v>
      </c>
      <c r="I39" t="n">
        <v/>
      </c>
      <c r="J39" t="n">
        <v>1787.583</v>
      </c>
    </row>
    <row r="40">
      <c r="A40" t="inlineStr">
        <is>
          <t>01/07/1956</t>
        </is>
      </c>
      <c r="B40" t="n">
        <v/>
      </c>
      <c r="C40" t="n">
        <v>94.532</v>
      </c>
      <c r="D40" t="n">
        <v>968.179</v>
      </c>
      <c r="E40" t="n">
        <v>2927.034</v>
      </c>
      <c r="F40" t="n">
        <v>15.381</v>
      </c>
      <c r="G40" t="n">
        <v>328.788</v>
      </c>
      <c r="H40" t="n">
        <v>112.555</v>
      </c>
      <c r="I40" t="n">
        <v/>
      </c>
      <c r="J40" t="n">
        <v>1791.625</v>
      </c>
    </row>
    <row r="41">
      <c r="A41" t="inlineStr">
        <is>
          <t>01/10/1956</t>
        </is>
      </c>
      <c r="B41" t="n">
        <v/>
      </c>
      <c r="C41" t="n">
        <v>98.76900000000001</v>
      </c>
      <c r="D41" t="n">
        <v>992.811</v>
      </c>
      <c r="E41" t="n">
        <v>2975.209</v>
      </c>
      <c r="F41" t="n">
        <v>15.476</v>
      </c>
      <c r="G41" t="n">
        <v>325.739</v>
      </c>
      <c r="H41" t="n">
        <v>107.392</v>
      </c>
      <c r="I41" t="n">
        <v/>
      </c>
      <c r="J41" t="n">
        <v>1816.324</v>
      </c>
    </row>
    <row r="42">
      <c r="A42" t="inlineStr">
        <is>
          <t>01/01/1957</t>
        </is>
      </c>
      <c r="B42" t="n">
        <v/>
      </c>
      <c r="C42" t="n">
        <v>105.205</v>
      </c>
      <c r="D42" t="n">
        <v>1014.096</v>
      </c>
      <c r="E42" t="n">
        <v>2994.259</v>
      </c>
      <c r="F42" t="n">
        <v>15.653</v>
      </c>
      <c r="G42" t="n">
        <v>320.682</v>
      </c>
      <c r="H42" t="n">
        <v>115.936</v>
      </c>
      <c r="I42" t="n">
        <v/>
      </c>
      <c r="J42" t="n">
        <v>1828.956</v>
      </c>
    </row>
    <row r="43">
      <c r="A43" t="inlineStr">
        <is>
          <t>01/04/1957</t>
        </is>
      </c>
      <c r="B43" t="n">
        <v/>
      </c>
      <c r="C43" t="n">
        <v>102.088</v>
      </c>
      <c r="D43" t="n">
        <v>1008.852</v>
      </c>
      <c r="E43" t="n">
        <v>2987.699</v>
      </c>
      <c r="F43" t="n">
        <v>15.764</v>
      </c>
      <c r="G43" t="n">
        <v>320.357</v>
      </c>
      <c r="H43" t="n">
        <v>116.84</v>
      </c>
      <c r="I43" t="n">
        <v/>
      </c>
      <c r="J43" t="n">
        <v>1832.145</v>
      </c>
    </row>
    <row r="44">
      <c r="A44" t="inlineStr">
        <is>
          <t>01/07/1957</t>
        </is>
      </c>
      <c r="B44" t="n">
        <v/>
      </c>
      <c r="C44" t="n">
        <v>99.23399999999999</v>
      </c>
      <c r="D44" t="n">
        <v>1017.442</v>
      </c>
      <c r="E44" t="n">
        <v>3016.979</v>
      </c>
      <c r="F44" t="n">
        <v>15.885</v>
      </c>
      <c r="G44" t="n">
        <v>327.701</v>
      </c>
      <c r="H44" t="n">
        <v>114.584</v>
      </c>
      <c r="I44" t="n">
        <v/>
      </c>
      <c r="J44" t="n">
        <v>1846.623</v>
      </c>
    </row>
    <row r="45">
      <c r="A45" t="inlineStr">
        <is>
          <t>01/10/1957</t>
        </is>
      </c>
      <c r="B45" t="n">
        <v/>
      </c>
      <c r="C45" t="n">
        <v>96.277</v>
      </c>
      <c r="D45" t="n">
        <v>1034.18</v>
      </c>
      <c r="E45" t="n">
        <v>2985.775</v>
      </c>
      <c r="F45" t="n">
        <v>15.978</v>
      </c>
      <c r="G45" t="n">
        <v>302.503</v>
      </c>
      <c r="H45" t="n">
        <v>114.971</v>
      </c>
      <c r="I45" t="n">
        <v/>
      </c>
      <c r="J45" t="n">
        <v>1847.391</v>
      </c>
    </row>
    <row r="46">
      <c r="A46" t="inlineStr">
        <is>
          <t>01/01/1958</t>
        </is>
      </c>
      <c r="B46" t="n">
        <v/>
      </c>
      <c r="C46" t="n">
        <v>86.73399999999999</v>
      </c>
      <c r="D46" t="n">
        <v>1025.248</v>
      </c>
      <c r="E46" t="n">
        <v>2908.281</v>
      </c>
      <c r="F46" t="n">
        <v>16.112</v>
      </c>
      <c r="G46" t="n">
        <v>282.096</v>
      </c>
      <c r="H46" t="n">
        <v>116.672</v>
      </c>
      <c r="I46" t="n">
        <v/>
      </c>
      <c r="J46" t="n">
        <v>1821.834</v>
      </c>
    </row>
    <row r="47">
      <c r="A47" t="inlineStr">
        <is>
          <t>01/04/1958</t>
        </is>
      </c>
      <c r="B47" t="n">
        <v/>
      </c>
      <c r="C47" t="n">
        <v>87.14</v>
      </c>
      <c r="D47" t="n">
        <v>1050.823</v>
      </c>
      <c r="E47" t="n">
        <v>2927.395</v>
      </c>
      <c r="F47" t="n">
        <v>16.181</v>
      </c>
      <c r="G47" t="n">
        <v>276.413</v>
      </c>
      <c r="H47" t="n">
        <v>121.661</v>
      </c>
      <c r="I47" t="n">
        <v/>
      </c>
      <c r="J47" t="n">
        <v>1836.897</v>
      </c>
    </row>
    <row r="48">
      <c r="A48" t="inlineStr">
        <is>
          <t>01/07/1958</t>
        </is>
      </c>
      <c r="B48" t="n">
        <v/>
      </c>
      <c r="C48" t="n">
        <v>87.39400000000001</v>
      </c>
      <c r="D48" t="n">
        <v>1056.856</v>
      </c>
      <c r="E48" t="n">
        <v>2995.112</v>
      </c>
      <c r="F48" t="n">
        <v>16.22</v>
      </c>
      <c r="G48" t="n">
        <v>297.627</v>
      </c>
      <c r="H48" t="n">
        <v>119.829</v>
      </c>
      <c r="I48" t="n">
        <v/>
      </c>
      <c r="J48" t="n">
        <v>1867.373</v>
      </c>
    </row>
    <row r="49">
      <c r="A49" t="inlineStr">
        <is>
          <t>01/10/1958</t>
        </is>
      </c>
      <c r="B49" t="n">
        <v/>
      </c>
      <c r="C49" t="n">
        <v>87.08</v>
      </c>
      <c r="D49" t="n">
        <v>1078.163</v>
      </c>
      <c r="E49" t="n">
        <v>3065.141</v>
      </c>
      <c r="F49" t="n">
        <v>16.24</v>
      </c>
      <c r="G49" t="n">
        <v>323.004</v>
      </c>
      <c r="H49" t="n">
        <v>126.132</v>
      </c>
      <c r="I49" t="n">
        <v/>
      </c>
      <c r="J49" t="n">
        <v>1892.738</v>
      </c>
    </row>
    <row r="50">
      <c r="A50" t="inlineStr">
        <is>
          <t>01/01/1959</t>
        </is>
      </c>
      <c r="B50" t="n">
        <v/>
      </c>
      <c r="C50" t="n">
        <v>93.393</v>
      </c>
      <c r="D50" t="n">
        <v>1067.197</v>
      </c>
      <c r="E50" t="n">
        <v>3123.978</v>
      </c>
      <c r="F50" t="n">
        <v>16.316</v>
      </c>
      <c r="G50" t="n">
        <v>340.604</v>
      </c>
      <c r="H50" t="n">
        <v>129.446</v>
      </c>
      <c r="I50" t="n">
        <v>16.703</v>
      </c>
      <c r="J50" t="n">
        <v>1927.43</v>
      </c>
    </row>
    <row r="51">
      <c r="A51" t="inlineStr">
        <is>
          <t>01/04/1959</t>
        </is>
      </c>
      <c r="B51" t="n">
        <v>2.1</v>
      </c>
      <c r="C51" t="n">
        <v>92.64700000000001</v>
      </c>
      <c r="D51" t="n">
        <v>1080.416</v>
      </c>
      <c r="E51" t="n">
        <v>3194.429</v>
      </c>
      <c r="F51" t="n">
        <v>16.363</v>
      </c>
      <c r="G51" t="n">
        <v>367.099</v>
      </c>
      <c r="H51" t="n">
        <v>135.745</v>
      </c>
      <c r="I51" t="n">
        <v>16.792</v>
      </c>
      <c r="J51" t="n">
        <v>1957.197</v>
      </c>
    </row>
    <row r="52">
      <c r="A52" t="inlineStr">
        <is>
          <t>01/07/1959</t>
        </is>
      </c>
      <c r="B52" t="n">
        <v>2.7</v>
      </c>
      <c r="C52" t="n">
        <v>101.582</v>
      </c>
      <c r="D52" t="n">
        <v>1089.655</v>
      </c>
      <c r="E52" t="n">
        <v>3196.683</v>
      </c>
      <c r="F52" t="n">
        <v>16.432</v>
      </c>
      <c r="G52" t="n">
        <v>343.391</v>
      </c>
      <c r="H52" t="n">
        <v>137.041</v>
      </c>
      <c r="I52" t="n">
        <v>16.904</v>
      </c>
      <c r="J52" t="n">
        <v>1977.643</v>
      </c>
    </row>
    <row r="53">
      <c r="A53" t="inlineStr">
        <is>
          <t>01/10/1959</t>
        </is>
      </c>
      <c r="B53" t="n">
        <v>2.3</v>
      </c>
      <c r="C53" t="n">
        <v>96.55500000000001</v>
      </c>
      <c r="D53" t="n">
        <v>1080.744</v>
      </c>
      <c r="E53" t="n">
        <v>3205.79</v>
      </c>
      <c r="F53" t="n">
        <v>16.496</v>
      </c>
      <c r="G53" t="n">
        <v>354.567</v>
      </c>
      <c r="H53" t="n">
        <v>133.561</v>
      </c>
      <c r="I53" t="n">
        <v>17.002</v>
      </c>
      <c r="J53" t="n">
        <v>1979.871</v>
      </c>
    </row>
    <row r="54">
      <c r="A54" t="inlineStr">
        <is>
          <t>01/01/1960</t>
        </is>
      </c>
      <c r="B54" t="n">
        <v>1.3</v>
      </c>
      <c r="C54" t="n">
        <v>108.999</v>
      </c>
      <c r="D54" t="n">
        <v>1062.312</v>
      </c>
      <c r="E54" t="n">
        <v>3277.847</v>
      </c>
      <c r="F54" t="n">
        <v>16.527</v>
      </c>
      <c r="G54" t="n">
        <v>390.21</v>
      </c>
      <c r="H54" t="n">
        <v>138.606</v>
      </c>
      <c r="I54" t="n">
        <v>17.055</v>
      </c>
      <c r="J54" t="n">
        <v>1998.811</v>
      </c>
    </row>
    <row r="55">
      <c r="A55" t="inlineStr">
        <is>
          <t>01/04/1960</t>
        </is>
      </c>
      <c r="B55" t="n">
        <v>1.5</v>
      </c>
      <c r="C55" t="n">
        <v>112.126</v>
      </c>
      <c r="D55" t="n">
        <v>1074.24</v>
      </c>
      <c r="E55" t="n">
        <v>3260.177</v>
      </c>
      <c r="F55" t="n">
        <v>16.586</v>
      </c>
      <c r="G55" t="n">
        <v>353.841</v>
      </c>
      <c r="H55" t="n">
        <v>139.636</v>
      </c>
      <c r="I55" t="n">
        <v>17.12</v>
      </c>
      <c r="J55" t="n">
        <v>2024.025</v>
      </c>
    </row>
    <row r="56">
      <c r="A56" t="inlineStr">
        <is>
          <t>01/07/1960</t>
        </is>
      </c>
      <c r="B56" t="n">
        <v>1.6</v>
      </c>
      <c r="C56" t="n">
        <v>114.57</v>
      </c>
      <c r="D56" t="n">
        <v>1100.511</v>
      </c>
      <c r="E56" t="n">
        <v>3276.133</v>
      </c>
      <c r="F56" t="n">
        <v>16.658</v>
      </c>
      <c r="G56" t="n">
        <v>352.942</v>
      </c>
      <c r="H56" t="n">
        <v>135.521</v>
      </c>
      <c r="I56" t="n">
        <v>17.187</v>
      </c>
      <c r="J56" t="n">
        <v>2015.934</v>
      </c>
    </row>
    <row r="57">
      <c r="A57" t="inlineStr">
        <is>
          <t>01/10/1960</t>
        </is>
      </c>
      <c r="B57" t="n">
        <v>1.3</v>
      </c>
      <c r="C57" t="n">
        <v>115.18</v>
      </c>
      <c r="D57" t="n">
        <v>1108.142</v>
      </c>
      <c r="E57" t="n">
        <v>3234.087</v>
      </c>
      <c r="F57" t="n">
        <v>16.731</v>
      </c>
      <c r="G57" t="n">
        <v>313.843</v>
      </c>
      <c r="H57" t="n">
        <v>129.128</v>
      </c>
      <c r="I57" t="n">
        <v>17.243</v>
      </c>
      <c r="J57" t="n">
        <v>2018.545</v>
      </c>
    </row>
    <row r="58">
      <c r="A58" t="inlineStr">
        <is>
          <t>01/01/1961</t>
        </is>
      </c>
      <c r="B58" t="n">
        <v>0.7</v>
      </c>
      <c r="C58" t="n">
        <v>114.388</v>
      </c>
      <c r="D58" t="n">
        <v>1124.596</v>
      </c>
      <c r="E58" t="n">
        <v>3255.914</v>
      </c>
      <c r="F58" t="n">
        <v>16.751</v>
      </c>
      <c r="G58" t="n">
        <v>321.988</v>
      </c>
      <c r="H58" t="n">
        <v>128.503</v>
      </c>
      <c r="I58" t="n">
        <v>17.273</v>
      </c>
      <c r="J58" t="n">
        <v>2017.795</v>
      </c>
    </row>
    <row r="59">
      <c r="A59" t="inlineStr">
        <is>
          <t>01/04/1961</t>
        </is>
      </c>
      <c r="B59" t="n">
        <v>1.3</v>
      </c>
      <c r="C59" t="n">
        <v>109.064</v>
      </c>
      <c r="D59" t="n">
        <v>1127.411</v>
      </c>
      <c r="E59" t="n">
        <v>3311.181</v>
      </c>
      <c r="F59" t="n">
        <v>16.784</v>
      </c>
      <c r="G59" t="n">
        <v>344.549</v>
      </c>
      <c r="H59" t="n">
        <v>130.073</v>
      </c>
      <c r="I59" t="n">
        <v>17.329</v>
      </c>
      <c r="J59" t="n">
        <v>2047.823</v>
      </c>
    </row>
    <row r="60">
      <c r="A60" t="inlineStr">
        <is>
          <t>01/07/1961</t>
        </is>
      </c>
      <c r="B60" t="n">
        <v>1.8</v>
      </c>
      <c r="C60" t="n">
        <v>113.993</v>
      </c>
      <c r="D60" t="n">
        <v>1151.491</v>
      </c>
      <c r="E60" t="n">
        <v>3374.742</v>
      </c>
      <c r="F60" t="n">
        <v>16.819</v>
      </c>
      <c r="G60" t="n">
        <v>371.335</v>
      </c>
      <c r="H60" t="n">
        <v>138.688</v>
      </c>
      <c r="I60" t="n">
        <v>17.405</v>
      </c>
      <c r="J60" t="n">
        <v>2057.782</v>
      </c>
    </row>
    <row r="61">
      <c r="A61" t="inlineStr">
        <is>
          <t>01/10/1961</t>
        </is>
      </c>
      <c r="B61" t="n">
        <v>1</v>
      </c>
      <c r="C61" t="n">
        <v>115.852</v>
      </c>
      <c r="D61" t="n">
        <v>1176.737</v>
      </c>
      <c r="E61" t="n">
        <v>3440.924</v>
      </c>
      <c r="F61" t="n">
        <v>16.858</v>
      </c>
      <c r="G61" t="n">
        <v>377.479</v>
      </c>
      <c r="H61" t="n">
        <v>141.986</v>
      </c>
      <c r="I61" t="n">
        <v>17.447</v>
      </c>
      <c r="J61" t="n">
        <v>2099.173</v>
      </c>
    </row>
    <row r="62">
      <c r="A62" t="inlineStr">
        <is>
          <t>01/01/1962</t>
        </is>
      </c>
      <c r="B62" t="n">
        <v>1.5</v>
      </c>
      <c r="C62" t="n">
        <v>115.17</v>
      </c>
      <c r="D62" t="n">
        <v>1199.445</v>
      </c>
      <c r="E62" t="n">
        <v>3502.298</v>
      </c>
      <c r="F62" t="n">
        <v>16.942</v>
      </c>
      <c r="G62" t="n">
        <v>397.831</v>
      </c>
      <c r="H62" t="n">
        <v>146.308</v>
      </c>
      <c r="I62" t="n">
        <v>17.511</v>
      </c>
      <c r="J62" t="n">
        <v>2121.409</v>
      </c>
    </row>
    <row r="63">
      <c r="A63" t="inlineStr">
        <is>
          <t>01/04/1962</t>
        </is>
      </c>
      <c r="B63" t="n">
        <v>1.5</v>
      </c>
      <c r="C63" t="n">
        <v>121.789</v>
      </c>
      <c r="D63" t="n">
        <v>1205.504</v>
      </c>
      <c r="E63" t="n">
        <v>3533.947</v>
      </c>
      <c r="F63" t="n">
        <v>16.989</v>
      </c>
      <c r="G63" t="n">
        <v>394.694</v>
      </c>
      <c r="H63" t="n">
        <v>149.5</v>
      </c>
      <c r="I63" t="n">
        <v>17.578</v>
      </c>
      <c r="J63" t="n">
        <v>2147.489</v>
      </c>
    </row>
    <row r="64">
      <c r="A64" t="inlineStr">
        <is>
          <t>01/07/1962</t>
        </is>
      </c>
      <c r="B64" t="n">
        <v>1.3</v>
      </c>
      <c r="C64" t="n">
        <v>121.576</v>
      </c>
      <c r="D64" t="n">
        <v>1233.332</v>
      </c>
      <c r="E64" t="n">
        <v>3577.362</v>
      </c>
      <c r="F64" t="n">
        <v>17.029</v>
      </c>
      <c r="G64" t="n">
        <v>401.401</v>
      </c>
      <c r="H64" t="n">
        <v>151.395</v>
      </c>
      <c r="I64" t="n">
        <v>17.636</v>
      </c>
      <c r="J64" t="n">
        <v>2164.796</v>
      </c>
    </row>
    <row r="65">
      <c r="A65" t="inlineStr">
        <is>
          <t>01/10/1962</t>
        </is>
      </c>
      <c r="B65" t="n">
        <v>0.8</v>
      </c>
      <c r="C65" t="n">
        <v>117.644</v>
      </c>
      <c r="D65" t="n">
        <v>1241.851</v>
      </c>
      <c r="E65" t="n">
        <v>3589.128</v>
      </c>
      <c r="F65" t="n">
        <v>17.07</v>
      </c>
      <c r="G65" t="n">
        <v>389.657</v>
      </c>
      <c r="H65" t="n">
        <v>153.246</v>
      </c>
      <c r="I65" t="n">
        <v>17.669</v>
      </c>
      <c r="J65" t="n">
        <v>2195.427</v>
      </c>
    </row>
    <row r="66">
      <c r="A66" t="inlineStr">
        <is>
          <t>01/01/1963</t>
        </is>
      </c>
      <c r="B66" t="n">
        <v>1.3</v>
      </c>
      <c r="C66" t="n">
        <v>119.43</v>
      </c>
      <c r="D66" t="n">
        <v>1225.005</v>
      </c>
      <c r="E66" t="n">
        <v>3628.306</v>
      </c>
      <c r="F66" t="n">
        <v>17.154</v>
      </c>
      <c r="G66" t="n">
        <v>410.158</v>
      </c>
      <c r="H66" t="n">
        <v>149.699</v>
      </c>
      <c r="I66" t="n">
        <v>17.728</v>
      </c>
      <c r="J66" t="n">
        <v>2210.805</v>
      </c>
    </row>
    <row r="67">
      <c r="A67" t="inlineStr">
        <is>
          <t>01/04/1963</t>
        </is>
      </c>
      <c r="B67" t="n">
        <v>1.5</v>
      </c>
      <c r="C67" t="n">
        <v>128.977</v>
      </c>
      <c r="D67" t="n">
        <v>1225.904</v>
      </c>
      <c r="E67" t="n">
        <v>3669.02</v>
      </c>
      <c r="F67" t="n">
        <v>17.169</v>
      </c>
      <c r="G67" t="n">
        <v>416.683</v>
      </c>
      <c r="H67" t="n">
        <v>153.223</v>
      </c>
      <c r="I67" t="n">
        <v>17.795</v>
      </c>
      <c r="J67" t="n">
        <v>2231.667</v>
      </c>
    </row>
    <row r="68">
      <c r="A68" t="inlineStr">
        <is>
          <t>01/07/1963</t>
        </is>
      </c>
      <c r="B68" t="n">
        <v>1.5</v>
      </c>
      <c r="C68" t="n">
        <v>128.331</v>
      </c>
      <c r="D68" t="n">
        <v>1280.295</v>
      </c>
      <c r="E68" t="n">
        <v>3749.681</v>
      </c>
      <c r="F68" t="n">
        <v>17.188</v>
      </c>
      <c r="G68" t="n">
        <v>429.512</v>
      </c>
      <c r="H68" t="n">
        <v>157.114</v>
      </c>
      <c r="I68" t="n">
        <v>17.863</v>
      </c>
      <c r="J68" t="n">
        <v>2261.942</v>
      </c>
    </row>
    <row r="69">
      <c r="A69" t="inlineStr">
        <is>
          <t>01/10/1963</t>
        </is>
      </c>
      <c r="B69" t="n">
        <v>2</v>
      </c>
      <c r="C69" t="n">
        <v>133.347</v>
      </c>
      <c r="D69" t="n">
        <v>1267.045</v>
      </c>
      <c r="E69" t="n">
        <v>3774.264</v>
      </c>
      <c r="F69" t="n">
        <v>17.3</v>
      </c>
      <c r="G69" t="n">
        <v>434.727</v>
      </c>
      <c r="H69" t="n">
        <v>156.598</v>
      </c>
      <c r="I69" t="n">
        <v>17.95</v>
      </c>
      <c r="J69" t="n">
        <v>2280.79</v>
      </c>
    </row>
    <row r="70">
      <c r="A70" t="inlineStr">
        <is>
          <t>01/01/1964</t>
        </is>
      </c>
      <c r="B70" t="n">
        <v>1.7</v>
      </c>
      <c r="C70" t="n">
        <v>140.091</v>
      </c>
      <c r="D70" t="n">
        <v>1270.997</v>
      </c>
      <c r="E70" t="n">
        <v>3853.835</v>
      </c>
      <c r="F70" t="n">
        <v>17.365</v>
      </c>
      <c r="G70" t="n">
        <v>450.997</v>
      </c>
      <c r="H70" t="n">
        <v>156.451</v>
      </c>
      <c r="I70" t="n">
        <v>18.026</v>
      </c>
      <c r="J70" t="n">
        <v>2325.554</v>
      </c>
    </row>
    <row r="71">
      <c r="A71" t="inlineStr">
        <is>
          <t>01/04/1964</t>
        </is>
      </c>
      <c r="B71" t="n">
        <v>1.2</v>
      </c>
      <c r="C71" t="n">
        <v>139.519</v>
      </c>
      <c r="D71" t="n">
        <v>1282.412</v>
      </c>
      <c r="E71" t="n">
        <v>3895.793</v>
      </c>
      <c r="F71" t="n">
        <v>17.416</v>
      </c>
      <c r="G71" t="n">
        <v>449.373</v>
      </c>
      <c r="H71" t="n">
        <v>159.973</v>
      </c>
      <c r="I71" t="n">
        <v>18.079</v>
      </c>
      <c r="J71" t="n">
        <v>2366.691</v>
      </c>
    </row>
    <row r="72">
      <c r="A72" t="inlineStr">
        <is>
          <t>01/07/1964</t>
        </is>
      </c>
      <c r="B72" t="n">
        <v>1.1</v>
      </c>
      <c r="C72" t="n">
        <v>143.887</v>
      </c>
      <c r="D72" t="n">
        <v>1283.929</v>
      </c>
      <c r="E72" t="n">
        <v>3956.657</v>
      </c>
      <c r="F72" t="n">
        <v>17.502</v>
      </c>
      <c r="G72" t="n">
        <v>459.861</v>
      </c>
      <c r="H72" t="n">
        <v>164.266</v>
      </c>
      <c r="I72" t="n">
        <v>18.129</v>
      </c>
      <c r="J72" t="n">
        <v>2410.408</v>
      </c>
    </row>
    <row r="73">
      <c r="A73" t="inlineStr">
        <is>
          <t>01/10/1964</t>
        </is>
      </c>
      <c r="B73" t="n">
        <v>1</v>
      </c>
      <c r="C73" t="n">
        <v>146.784</v>
      </c>
      <c r="D73" t="n">
        <v>1283.386</v>
      </c>
      <c r="E73" t="n">
        <v>3968.878</v>
      </c>
      <c r="F73" t="n">
        <v>17.577</v>
      </c>
      <c r="G73" t="n">
        <v>464.229</v>
      </c>
      <c r="H73" t="n">
        <v>168.709</v>
      </c>
      <c r="I73" t="n">
        <v>18.175</v>
      </c>
      <c r="J73" t="n">
        <v>2417.288</v>
      </c>
    </row>
    <row r="74">
      <c r="A74" t="inlineStr">
        <is>
          <t>01/01/1965</t>
        </is>
      </c>
      <c r="B74" t="n">
        <v>1.5</v>
      </c>
      <c r="C74" t="n">
        <v>129.7</v>
      </c>
      <c r="D74" t="n">
        <v>1281.91</v>
      </c>
      <c r="E74" t="n">
        <v>4064.915</v>
      </c>
      <c r="F74" t="n">
        <v>17.653</v>
      </c>
      <c r="G74" t="n">
        <v>508.491</v>
      </c>
      <c r="H74" t="n">
        <v>162.635</v>
      </c>
      <c r="I74" t="n">
        <v>18.244</v>
      </c>
      <c r="J74" t="n">
        <v>2471.196</v>
      </c>
    </row>
    <row r="75">
      <c r="A75" t="inlineStr">
        <is>
          <t>01/04/1965</t>
        </is>
      </c>
      <c r="B75" t="n">
        <v>1.3</v>
      </c>
      <c r="C75" t="n">
        <v>151.411</v>
      </c>
      <c r="D75" t="n">
        <v>1297.074</v>
      </c>
      <c r="E75" t="n">
        <v>4116.267</v>
      </c>
      <c r="F75" t="n">
        <v>17.736</v>
      </c>
      <c r="G75" t="n">
        <v>509.827</v>
      </c>
      <c r="H75" t="n">
        <v>181.828</v>
      </c>
      <c r="I75" t="n">
        <v>18.301</v>
      </c>
      <c r="J75" t="n">
        <v>2498.45</v>
      </c>
    </row>
    <row r="76">
      <c r="A76" t="inlineStr">
        <is>
          <t>01/07/1965</t>
        </is>
      </c>
      <c r="B76" t="n">
        <v>1.3</v>
      </c>
      <c r="C76" t="n">
        <v>148.046</v>
      </c>
      <c r="D76" t="n">
        <v>1340.109</v>
      </c>
      <c r="E76" t="n">
        <v>4207.782</v>
      </c>
      <c r="F76" t="n">
        <v>17.816</v>
      </c>
      <c r="G76" t="n">
        <v>527.578</v>
      </c>
      <c r="H76" t="n">
        <v>182.574</v>
      </c>
      <c r="I76" t="n">
        <v>18.358</v>
      </c>
      <c r="J76" t="n">
        <v>2541.38</v>
      </c>
    </row>
    <row r="77">
      <c r="A77" t="inlineStr">
        <is>
          <t>01/10/1965</t>
        </is>
      </c>
      <c r="B77" t="n">
        <v>1.3</v>
      </c>
      <c r="C77" t="n">
        <v>157.095</v>
      </c>
      <c r="D77" t="n">
        <v>1365.498</v>
      </c>
      <c r="E77" t="n">
        <v>4304.731</v>
      </c>
      <c r="F77" t="n">
        <v>17.934</v>
      </c>
      <c r="G77" t="n">
        <v>531.072</v>
      </c>
      <c r="H77" t="n">
        <v>191.482</v>
      </c>
      <c r="I77" t="n">
        <v>18.419</v>
      </c>
      <c r="J77" t="n">
        <v>2612.826</v>
      </c>
    </row>
    <row r="78">
      <c r="A78" t="inlineStr">
        <is>
          <t>01/01/1966</t>
        </is>
      </c>
      <c r="B78" t="n">
        <v>2</v>
      </c>
      <c r="C78" t="n">
        <v>153.224</v>
      </c>
      <c r="D78" t="n">
        <v>1390.947</v>
      </c>
      <c r="E78" t="n">
        <v>4409.518</v>
      </c>
      <c r="F78" t="n">
        <v>18.043</v>
      </c>
      <c r="G78" t="n">
        <v>573.502</v>
      </c>
      <c r="H78" t="n">
        <v>196.417</v>
      </c>
      <c r="I78" t="n">
        <v>18.511</v>
      </c>
      <c r="J78" t="n">
        <v>2651.397</v>
      </c>
    </row>
    <row r="79">
      <c r="A79" t="inlineStr">
        <is>
          <t>01/04/1966</t>
        </is>
      </c>
      <c r="B79" t="n">
        <v>3.3</v>
      </c>
      <c r="C79" t="n">
        <v>157.828</v>
      </c>
      <c r="D79" t="n">
        <v>1417.226</v>
      </c>
      <c r="E79" t="n">
        <v>4424.581</v>
      </c>
      <c r="F79" t="n">
        <v>18.206</v>
      </c>
      <c r="G79" t="n">
        <v>565.0119999999999</v>
      </c>
      <c r="H79" t="n">
        <v>201.302</v>
      </c>
      <c r="I79" t="n">
        <v>18.661</v>
      </c>
      <c r="J79" t="n">
        <v>2658.191</v>
      </c>
    </row>
    <row r="80">
      <c r="A80" t="inlineStr">
        <is>
          <t>01/07/1966</t>
        </is>
      </c>
      <c r="B80" t="n">
        <v>3.3</v>
      </c>
      <c r="C80" t="n">
        <v>155.942</v>
      </c>
      <c r="D80" t="n">
        <v>1455.85</v>
      </c>
      <c r="E80" t="n">
        <v>4462.053</v>
      </c>
      <c r="F80" t="n">
        <v>18.366</v>
      </c>
      <c r="G80" t="n">
        <v>560.8440000000001</v>
      </c>
      <c r="H80" t="n">
        <v>212.593</v>
      </c>
      <c r="I80" t="n">
        <v>18.815</v>
      </c>
      <c r="J80" t="n">
        <v>2688.546</v>
      </c>
    </row>
    <row r="81">
      <c r="A81" t="inlineStr">
        <is>
          <t>01/10/1966</t>
        </is>
      </c>
      <c r="B81" t="n">
        <v>3.5</v>
      </c>
      <c r="C81" t="n">
        <v>159.819</v>
      </c>
      <c r="D81" t="n">
        <v>1480.985</v>
      </c>
      <c r="E81" t="n">
        <v>4498.66</v>
      </c>
      <c r="F81" t="n">
        <v>18.516</v>
      </c>
      <c r="G81" t="n">
        <v>564.131</v>
      </c>
      <c r="H81" t="n">
        <v>214.987</v>
      </c>
      <c r="I81" t="n">
        <v>18.978</v>
      </c>
      <c r="J81" t="n">
        <v>2699.747</v>
      </c>
    </row>
    <row r="82">
      <c r="A82" t="inlineStr">
        <is>
          <t>01/01/1967</t>
        </is>
      </c>
      <c r="B82" t="n">
        <v>2.2</v>
      </c>
      <c r="C82" t="n">
        <v>161.782</v>
      </c>
      <c r="D82" t="n">
        <v>1543.56</v>
      </c>
      <c r="E82" t="n">
        <v>4538.498</v>
      </c>
      <c r="F82" t="n">
        <v>18.593</v>
      </c>
      <c r="G82" t="n">
        <v>550.2859999999999</v>
      </c>
      <c r="H82" t="n">
        <v>218.343</v>
      </c>
      <c r="I82" t="n">
        <v>19.082</v>
      </c>
      <c r="J82" t="n">
        <v>2715.303</v>
      </c>
    </row>
    <row r="83">
      <c r="A83" t="inlineStr">
        <is>
          <t>01/04/1967</t>
        </is>
      </c>
      <c r="B83" t="n">
        <v>2.7</v>
      </c>
      <c r="C83" t="n">
        <v>159.631</v>
      </c>
      <c r="D83" t="n">
        <v>1537.155</v>
      </c>
      <c r="E83" t="n">
        <v>4541.28</v>
      </c>
      <c r="F83" t="n">
        <v>18.705</v>
      </c>
      <c r="G83" t="n">
        <v>530.378</v>
      </c>
      <c r="H83" t="n">
        <v>216.608</v>
      </c>
      <c r="I83" t="n">
        <v>19.21</v>
      </c>
      <c r="J83" t="n">
        <v>2752.426</v>
      </c>
    </row>
    <row r="84">
      <c r="A84" t="inlineStr">
        <is>
          <t>01/07/1967</t>
        </is>
      </c>
      <c r="B84" t="n">
        <v>3.7</v>
      </c>
      <c r="C84" t="n">
        <v>158.35</v>
      </c>
      <c r="D84" t="n">
        <v>1554.237</v>
      </c>
      <c r="E84" t="n">
        <v>4584.246</v>
      </c>
      <c r="F84" t="n">
        <v>18.873</v>
      </c>
      <c r="G84" t="n">
        <v>545.9299999999999</v>
      </c>
      <c r="H84" t="n">
        <v>219.452</v>
      </c>
      <c r="I84" t="n">
        <v>19.385</v>
      </c>
      <c r="J84" t="n">
        <v>2766.518</v>
      </c>
    </row>
    <row r="85">
      <c r="A85" t="inlineStr">
        <is>
          <t>01/10/1967</t>
        </is>
      </c>
      <c r="B85" t="n">
        <v>4.1</v>
      </c>
      <c r="C85" t="n">
        <v>161.337</v>
      </c>
      <c r="D85" t="n">
        <v>1566.046</v>
      </c>
      <c r="E85" t="n">
        <v>4618.812</v>
      </c>
      <c r="F85" t="n">
        <v>19.082</v>
      </c>
      <c r="G85" t="n">
        <v>557.706</v>
      </c>
      <c r="H85" t="n">
        <v>231.026</v>
      </c>
      <c r="I85" t="n">
        <v>19.58</v>
      </c>
      <c r="J85" t="n">
        <v>2783.447</v>
      </c>
    </row>
    <row r="86">
      <c r="A86" t="inlineStr">
        <is>
          <t>01/01/1968</t>
        </is>
      </c>
      <c r="B86" t="n">
        <v>4.6</v>
      </c>
      <c r="C86" t="n">
        <v>165.868</v>
      </c>
      <c r="D86" t="n">
        <v>1594.047</v>
      </c>
      <c r="E86" t="n">
        <v>4713.013</v>
      </c>
      <c r="F86" t="n">
        <v>19.29</v>
      </c>
      <c r="G86" t="n">
        <v>568.8869999999999</v>
      </c>
      <c r="H86" t="n">
        <v>244.637</v>
      </c>
      <c r="I86" t="n">
        <v>19.803</v>
      </c>
      <c r="J86" t="n">
        <v>2850.153</v>
      </c>
    </row>
    <row r="87">
      <c r="A87" t="inlineStr">
        <is>
          <t>01/04/1968</t>
        </is>
      </c>
      <c r="B87" t="n">
        <v>4.7</v>
      </c>
      <c r="C87" t="n">
        <v>168.643</v>
      </c>
      <c r="D87" t="n">
        <v>1602.315</v>
      </c>
      <c r="E87" t="n">
        <v>4791.758</v>
      </c>
      <c r="F87" t="n">
        <v>19.506</v>
      </c>
      <c r="G87" t="n">
        <v>590.647</v>
      </c>
      <c r="H87" t="n">
        <v>248.369</v>
      </c>
      <c r="I87" t="n">
        <v>20.033</v>
      </c>
      <c r="J87" t="n">
        <v>2893.553</v>
      </c>
    </row>
    <row r="88">
      <c r="A88" t="inlineStr">
        <is>
          <t>01/07/1968</t>
        </is>
      </c>
      <c r="B88" t="n">
        <v>4.6</v>
      </c>
      <c r="C88" t="n">
        <v>180.635</v>
      </c>
      <c r="D88" t="n">
        <v>1607.115</v>
      </c>
      <c r="E88" t="n">
        <v>4828.892</v>
      </c>
      <c r="F88" t="n">
        <v>19.693</v>
      </c>
      <c r="G88" t="n">
        <v>574.539</v>
      </c>
      <c r="H88" t="n">
        <v>263.296</v>
      </c>
      <c r="I88" t="n">
        <v>20.258</v>
      </c>
      <c r="J88" t="n">
        <v>2947.784</v>
      </c>
    </row>
    <row r="89">
      <c r="A89" t="inlineStr">
        <is>
          <t>01/10/1968</t>
        </is>
      </c>
      <c r="B89" t="n">
        <v>4.7</v>
      </c>
      <c r="C89" t="n">
        <v>176.621</v>
      </c>
      <c r="D89" t="n">
        <v>1608.573</v>
      </c>
      <c r="E89" t="n">
        <v>4847.885</v>
      </c>
      <c r="F89" t="n">
        <v>19.967</v>
      </c>
      <c r="G89" t="n">
        <v>580.789</v>
      </c>
      <c r="H89" t="n">
        <v>261.077</v>
      </c>
      <c r="I89" t="n">
        <v>20.493</v>
      </c>
      <c r="J89" t="n">
        <v>2961.081</v>
      </c>
    </row>
    <row r="90">
      <c r="A90" t="inlineStr">
        <is>
          <t>01/01/1969</t>
        </is>
      </c>
      <c r="B90" t="n">
        <v>4.4</v>
      </c>
      <c r="C90" t="n">
        <v>156.09</v>
      </c>
      <c r="D90" t="n">
        <v>1612.219</v>
      </c>
      <c r="E90" t="n">
        <v>4923.76</v>
      </c>
      <c r="F90" t="n">
        <v>20.167</v>
      </c>
      <c r="G90" t="n">
        <v>614.989</v>
      </c>
      <c r="H90" t="n">
        <v>236.452</v>
      </c>
      <c r="I90" t="n">
        <v>20.717</v>
      </c>
      <c r="J90" t="n">
        <v>2993.913</v>
      </c>
    </row>
    <row r="91">
      <c r="A91" t="inlineStr">
        <is>
          <t>01/04/1969</t>
        </is>
      </c>
      <c r="B91" t="n">
        <v>4.9</v>
      </c>
      <c r="C91" t="n">
        <v>190.297</v>
      </c>
      <c r="D91" t="n">
        <v>1607.192</v>
      </c>
      <c r="E91" t="n">
        <v>4938.728</v>
      </c>
      <c r="F91" t="n">
        <v>20.433</v>
      </c>
      <c r="G91" t="n">
        <v>611.366</v>
      </c>
      <c r="H91" t="n">
        <v>283.101</v>
      </c>
      <c r="I91" t="n">
        <v>20.965</v>
      </c>
      <c r="J91" t="n">
        <v>3013.227</v>
      </c>
    </row>
    <row r="92">
      <c r="A92" t="inlineStr">
        <is>
          <t>01/07/1969</t>
        </is>
      </c>
      <c r="B92" t="n">
        <v>4.7</v>
      </c>
      <c r="C92" t="n">
        <v>187.112</v>
      </c>
      <c r="D92" t="n">
        <v>1610.451</v>
      </c>
      <c r="E92" t="n">
        <v>4971.349</v>
      </c>
      <c r="F92" t="n">
        <v>20.724</v>
      </c>
      <c r="G92" t="n">
        <v>623.778</v>
      </c>
      <c r="H92" t="n">
        <v>279.433</v>
      </c>
      <c r="I92" t="n">
        <v>21.207</v>
      </c>
      <c r="J92" t="n">
        <v>3027.918</v>
      </c>
    </row>
    <row r="93">
      <c r="A93" t="inlineStr">
        <is>
          <t>01/10/1969</t>
        </is>
      </c>
      <c r="B93" t="n">
        <v>4.8</v>
      </c>
      <c r="C93" t="n">
        <v>192.007</v>
      </c>
      <c r="D93" t="n">
        <v>1588.788</v>
      </c>
      <c r="E93" t="n">
        <v>4947.104</v>
      </c>
      <c r="F93" t="n">
        <v>20.983</v>
      </c>
      <c r="G93" t="n">
        <v>593.659</v>
      </c>
      <c r="H93" t="n">
        <v>276.363</v>
      </c>
      <c r="I93" t="n">
        <v>21.456</v>
      </c>
      <c r="J93" t="n">
        <v>3052.118</v>
      </c>
    </row>
    <row r="94">
      <c r="A94" t="inlineStr">
        <is>
          <t>01/01/1970</t>
        </is>
      </c>
      <c r="B94" t="n">
        <v>4.4</v>
      </c>
      <c r="C94" t="n">
        <v>194.54</v>
      </c>
      <c r="D94" t="n">
        <v>1581.147</v>
      </c>
      <c r="E94" t="n">
        <v>4939.759</v>
      </c>
      <c r="F94" t="n">
        <v>21.272</v>
      </c>
      <c r="G94" t="n">
        <v>575.953</v>
      </c>
      <c r="H94" t="n">
        <v>275.458</v>
      </c>
      <c r="I94" t="n">
        <v>21.69</v>
      </c>
      <c r="J94" t="n">
        <v>3071.056</v>
      </c>
    </row>
    <row r="95">
      <c r="A95" t="inlineStr">
        <is>
          <t>01/04/1970</t>
        </is>
      </c>
      <c r="B95" t="n">
        <v>4.6</v>
      </c>
      <c r="C95" t="n">
        <v>202.078</v>
      </c>
      <c r="D95" t="n">
        <v>1562.764</v>
      </c>
      <c r="E95" t="n">
        <v>4946.77</v>
      </c>
      <c r="F95" t="n">
        <v>21.579</v>
      </c>
      <c r="G95" t="n">
        <v>577.205</v>
      </c>
      <c r="H95" t="n">
        <v>280.902</v>
      </c>
      <c r="I95" t="n">
        <v>21.935</v>
      </c>
      <c r="J95" t="n">
        <v>3084.968</v>
      </c>
    </row>
    <row r="96">
      <c r="A96" t="inlineStr">
        <is>
          <t>01/07/1970</t>
        </is>
      </c>
      <c r="B96" t="n">
        <v>4.5</v>
      </c>
      <c r="C96" t="n">
        <v>202.887</v>
      </c>
      <c r="D96" t="n">
        <v>1569.37</v>
      </c>
      <c r="E96" t="n">
        <v>4992.357</v>
      </c>
      <c r="F96" t="n">
        <v>21.756</v>
      </c>
      <c r="G96" t="n">
        <v>586.598</v>
      </c>
      <c r="H96" t="n">
        <v>280.258</v>
      </c>
      <c r="I96" t="n">
        <v>22.179</v>
      </c>
      <c r="J96" t="n">
        <v>3112.014</v>
      </c>
    </row>
    <row r="97">
      <c r="A97" t="inlineStr">
        <is>
          <t>01/10/1970</t>
        </is>
      </c>
      <c r="B97" t="n">
        <v>5.7</v>
      </c>
      <c r="C97" t="n">
        <v>203.308</v>
      </c>
      <c r="D97" t="n">
        <v>1570.101</v>
      </c>
      <c r="E97" t="n">
        <v>4938.857</v>
      </c>
      <c r="F97" t="n">
        <v>22.041</v>
      </c>
      <c r="G97" t="n">
        <v>555.454</v>
      </c>
      <c r="H97" t="n">
        <v>284.604</v>
      </c>
      <c r="I97" t="n">
        <v>22.491</v>
      </c>
      <c r="J97" t="n">
        <v>3103.565</v>
      </c>
    </row>
    <row r="98">
      <c r="A98" t="inlineStr">
        <is>
          <t>01/01/1971</t>
        </is>
      </c>
      <c r="B98" t="n">
        <v>5.2</v>
      </c>
      <c r="C98" t="n">
        <v>205.164</v>
      </c>
      <c r="D98" t="n">
        <v>1547.139</v>
      </c>
      <c r="E98" t="n">
        <v>5072.996</v>
      </c>
      <c r="F98" t="n">
        <v>22.375</v>
      </c>
      <c r="G98" t="n">
        <v>620.212</v>
      </c>
      <c r="H98" t="n">
        <v>281.249</v>
      </c>
      <c r="I98" t="n">
        <v>22.776</v>
      </c>
      <c r="J98" t="n">
        <v>3163.139</v>
      </c>
    </row>
    <row r="99">
      <c r="A99" t="inlineStr">
        <is>
          <t>01/04/1971</t>
        </is>
      </c>
      <c r="B99" t="n">
        <v>4.6</v>
      </c>
      <c r="C99" t="n">
        <v>203.647</v>
      </c>
      <c r="D99" t="n">
        <v>1543.584</v>
      </c>
      <c r="E99" t="n">
        <v>5100.447</v>
      </c>
      <c r="F99" t="n">
        <v>22.674</v>
      </c>
      <c r="G99" t="n">
        <v>637.811</v>
      </c>
      <c r="H99" t="n">
        <v>302.466</v>
      </c>
      <c r="I99" t="n">
        <v>23.036</v>
      </c>
      <c r="J99" t="n">
        <v>3192.21</v>
      </c>
    </row>
    <row r="100">
      <c r="A100" t="inlineStr">
        <is>
          <t>01/07/1971</t>
        </is>
      </c>
      <c r="B100" t="n">
        <v>3.8</v>
      </c>
      <c r="C100" t="n">
        <v>213.827</v>
      </c>
      <c r="D100" t="n">
        <v>1542.778</v>
      </c>
      <c r="E100" t="n">
        <v>5142.422</v>
      </c>
      <c r="F100" t="n">
        <v>22.903</v>
      </c>
      <c r="G100" t="n">
        <v>645.549</v>
      </c>
      <c r="H100" t="n">
        <v>309.152</v>
      </c>
      <c r="I100" t="n">
        <v>23.253</v>
      </c>
      <c r="J100" t="n">
        <v>3217.661</v>
      </c>
    </row>
    <row r="101">
      <c r="A101" t="inlineStr">
        <is>
          <t>01/10/1971</t>
        </is>
      </c>
      <c r="B101" t="n">
        <v>2.3</v>
      </c>
      <c r="C101" t="n">
        <v>194.088</v>
      </c>
      <c r="D101" t="n">
        <v>1531.936</v>
      </c>
      <c r="E101" t="n">
        <v>5154.547</v>
      </c>
      <c r="F101" t="n">
        <v>23.092</v>
      </c>
      <c r="G101" t="n">
        <v>628.165</v>
      </c>
      <c r="H101" t="n">
        <v>288.197</v>
      </c>
      <c r="I101" t="n">
        <v>23.385</v>
      </c>
      <c r="J101" t="n">
        <v>3271.05</v>
      </c>
    </row>
    <row r="102">
      <c r="A102" t="inlineStr">
        <is>
          <t>01/01/1972</t>
        </is>
      </c>
      <c r="B102" t="n">
        <v>3.9</v>
      </c>
      <c r="C102" t="n">
        <v>216.149</v>
      </c>
      <c r="D102" t="n">
        <v>1540.394</v>
      </c>
      <c r="E102" t="n">
        <v>5249.337</v>
      </c>
      <c r="F102" t="n">
        <v>23.463</v>
      </c>
      <c r="G102" t="n">
        <v>669.558</v>
      </c>
      <c r="H102" t="n">
        <v>330.317</v>
      </c>
      <c r="I102" t="n">
        <v>23.609</v>
      </c>
      <c r="J102" t="n">
        <v>3314.222</v>
      </c>
    </row>
    <row r="103">
      <c r="A103" t="inlineStr">
        <is>
          <t>01/04/1972</t>
        </is>
      </c>
      <c r="B103" t="n">
        <v>2.7</v>
      </c>
      <c r="C103" t="n">
        <v>209.842</v>
      </c>
      <c r="D103" t="n">
        <v>1546.593</v>
      </c>
      <c r="E103" t="n">
        <v>5368.485</v>
      </c>
      <c r="F103" t="n">
        <v>23.606</v>
      </c>
      <c r="G103" t="n">
        <v>707.5890000000001</v>
      </c>
      <c r="H103" t="n">
        <v>318.581</v>
      </c>
      <c r="I103" t="n">
        <v>23.769</v>
      </c>
      <c r="J103" t="n">
        <v>3377.314</v>
      </c>
    </row>
    <row r="104">
      <c r="A104" t="inlineStr">
        <is>
          <t>01/07/1972</t>
        </is>
      </c>
      <c r="B104" t="n">
        <v>3</v>
      </c>
      <c r="C104" t="n">
        <v>222.493</v>
      </c>
      <c r="D104" t="n">
        <v>1517.139</v>
      </c>
      <c r="E104" t="n">
        <v>5419.184</v>
      </c>
      <c r="F104" t="n">
        <v>23.82</v>
      </c>
      <c r="G104" t="n">
        <v>717.638</v>
      </c>
      <c r="H104" t="n">
        <v>325.212</v>
      </c>
      <c r="I104" t="n">
        <v>23.948</v>
      </c>
      <c r="J104" t="n">
        <v>3429.362</v>
      </c>
    </row>
    <row r="105">
      <c r="A105" t="inlineStr">
        <is>
          <t>01/10/1972</t>
        </is>
      </c>
      <c r="B105" t="n">
        <v>2.5</v>
      </c>
      <c r="C105" t="n">
        <v>231.902</v>
      </c>
      <c r="D105" t="n">
        <v>1529.691</v>
      </c>
      <c r="E105" t="n">
        <v>5509.926</v>
      </c>
      <c r="F105" t="n">
        <v>24.09</v>
      </c>
      <c r="G105" t="n">
        <v>722.138</v>
      </c>
      <c r="H105" t="n">
        <v>339.862</v>
      </c>
      <c r="I105" t="n">
        <v>24.098</v>
      </c>
      <c r="J105" t="n">
        <v>3509.838</v>
      </c>
    </row>
    <row r="106">
      <c r="A106" t="inlineStr">
        <is>
          <t>01/01/1973</t>
        </is>
      </c>
      <c r="B106" t="n">
        <v>2.8</v>
      </c>
      <c r="C106" t="n">
        <v>248.867</v>
      </c>
      <c r="D106" t="n">
        <v>1542.861</v>
      </c>
      <c r="E106" t="n">
        <v>5646.286</v>
      </c>
      <c r="F106" t="n">
        <v>24.396</v>
      </c>
      <c r="G106" t="n">
        <v>764.458</v>
      </c>
      <c r="H106" t="n">
        <v>355.566</v>
      </c>
      <c r="I106" t="n">
        <v>24.266</v>
      </c>
      <c r="J106" t="n">
        <v>3573.918</v>
      </c>
    </row>
    <row r="107">
      <c r="A107" t="inlineStr">
        <is>
          <t>01/04/1973</t>
        </is>
      </c>
      <c r="B107" t="n">
        <v>5.6</v>
      </c>
      <c r="C107" t="n">
        <v>260.856</v>
      </c>
      <c r="D107" t="n">
        <v>1531.988</v>
      </c>
      <c r="E107" t="n">
        <v>5707.755</v>
      </c>
      <c r="F107" t="n">
        <v>24.8</v>
      </c>
      <c r="G107" t="n">
        <v>797.044</v>
      </c>
      <c r="H107" t="n">
        <v>345.318</v>
      </c>
      <c r="I107" t="n">
        <v>24.597</v>
      </c>
      <c r="J107" t="n">
        <v>3572.307</v>
      </c>
    </row>
    <row r="108">
      <c r="A108" t="inlineStr">
        <is>
          <t>01/07/1973</t>
        </is>
      </c>
      <c r="B108" t="n">
        <v>5.4</v>
      </c>
      <c r="C108" t="n">
        <v>261.735</v>
      </c>
      <c r="D108" t="n">
        <v>1513.965</v>
      </c>
      <c r="E108" t="n">
        <v>5677.738</v>
      </c>
      <c r="F108" t="n">
        <v>25.273</v>
      </c>
      <c r="G108" t="n">
        <v>768.143</v>
      </c>
      <c r="H108" t="n">
        <v>335.778</v>
      </c>
      <c r="I108" t="n">
        <v>24.924</v>
      </c>
      <c r="J108" t="n">
        <v>3584.881</v>
      </c>
    </row>
    <row r="109">
      <c r="A109" t="inlineStr">
        <is>
          <t>01/10/1973</t>
        </is>
      </c>
      <c r="B109" t="n">
        <v>5.7</v>
      </c>
      <c r="C109" t="n">
        <v>274.61</v>
      </c>
      <c r="D109" t="n">
        <v>1525.325</v>
      </c>
      <c r="E109" t="n">
        <v>5731.632</v>
      </c>
      <c r="F109" t="n">
        <v>25.711</v>
      </c>
      <c r="G109" t="n">
        <v>795.504</v>
      </c>
      <c r="H109" t="n">
        <v>338.284</v>
      </c>
      <c r="I109" t="n">
        <v>25.271</v>
      </c>
      <c r="J109" t="n">
        <v>3574.188</v>
      </c>
    </row>
    <row r="110">
      <c r="A110" t="inlineStr">
        <is>
          <t>01/01/1974</t>
        </is>
      </c>
      <c r="B110" t="n">
        <v>7</v>
      </c>
      <c r="C110" t="n">
        <v>278.171</v>
      </c>
      <c r="D110" t="n">
        <v>1552.878</v>
      </c>
      <c r="E110" t="n">
        <v>5682.353</v>
      </c>
      <c r="F110" t="n">
        <v>26.232</v>
      </c>
      <c r="G110" t="n">
        <v>750.076</v>
      </c>
      <c r="H110" t="n">
        <v>326.81</v>
      </c>
      <c r="I110" t="n">
        <v>25.704</v>
      </c>
      <c r="J110" t="n">
        <v>3542.211</v>
      </c>
    </row>
    <row r="111">
      <c r="A111" t="inlineStr">
        <is>
          <t>01/04/1974</t>
        </is>
      </c>
      <c r="B111" t="n">
        <v>10.3</v>
      </c>
      <c r="C111" t="n">
        <v>291.735</v>
      </c>
      <c r="D111" t="n">
        <v>1560.657</v>
      </c>
      <c r="E111" t="n">
        <v>5695.859</v>
      </c>
      <c r="F111" t="n">
        <v>26.815</v>
      </c>
      <c r="G111" t="n">
        <v>747.082</v>
      </c>
      <c r="H111" t="n">
        <v>344.123</v>
      </c>
      <c r="I111" t="n">
        <v>26.343</v>
      </c>
      <c r="J111" t="n">
        <v>3554.966</v>
      </c>
    </row>
    <row r="112">
      <c r="A112" t="inlineStr">
        <is>
          <t>01/07/1974</t>
        </is>
      </c>
      <c r="B112" t="n">
        <v>11.9</v>
      </c>
      <c r="C112" t="n">
        <v>276.018</v>
      </c>
      <c r="D112" t="n">
        <v>1563.766</v>
      </c>
      <c r="E112" t="n">
        <v>5642.025</v>
      </c>
      <c r="F112" t="n">
        <v>27.641</v>
      </c>
      <c r="G112" t="n">
        <v>708.362</v>
      </c>
      <c r="H112" t="n">
        <v>338.109</v>
      </c>
      <c r="I112" t="n">
        <v>27.096</v>
      </c>
      <c r="J112" t="n">
        <v>3570.236</v>
      </c>
    </row>
    <row r="113">
      <c r="A113" t="inlineStr">
        <is>
          <t>01/10/1974</t>
        </is>
      </c>
      <c r="B113" t="n">
        <v>10.1</v>
      </c>
      <c r="C113" t="n">
        <v>283.228</v>
      </c>
      <c r="D113" t="n">
        <v>1571.26</v>
      </c>
      <c r="E113" t="n">
        <v>5620.126</v>
      </c>
      <c r="F113" t="n">
        <v>28.479</v>
      </c>
      <c r="G113" t="n">
        <v>712.6609999999999</v>
      </c>
      <c r="H113" t="n">
        <v>334.754</v>
      </c>
      <c r="I113" t="n">
        <v>27.758</v>
      </c>
      <c r="J113" t="n">
        <v>3518.05</v>
      </c>
    </row>
    <row r="114">
      <c r="A114" t="inlineStr">
        <is>
          <t>01/01/1975</t>
        </is>
      </c>
      <c r="B114" t="n">
        <v>8.1</v>
      </c>
      <c r="C114" t="n">
        <v>285.204</v>
      </c>
      <c r="D114" t="n">
        <v>1588.372</v>
      </c>
      <c r="E114" t="n">
        <v>5551.713</v>
      </c>
      <c r="F114" t="n">
        <v>29.124</v>
      </c>
      <c r="G114" t="n">
        <v>597.866</v>
      </c>
      <c r="H114" t="n">
        <v>301.164</v>
      </c>
      <c r="I114" t="n">
        <v>28.301</v>
      </c>
      <c r="J114" t="n">
        <v>3547.557</v>
      </c>
    </row>
    <row r="115">
      <c r="A115" t="inlineStr">
        <is>
          <t>01/04/1975</t>
        </is>
      </c>
      <c r="B115" t="n">
        <v>6.2</v>
      </c>
      <c r="C115" t="n">
        <v>276.889</v>
      </c>
      <c r="D115" t="n">
        <v>1574.948</v>
      </c>
      <c r="E115" t="n">
        <v>5591.382</v>
      </c>
      <c r="F115" t="n">
        <v>29.546</v>
      </c>
      <c r="G115" t="n">
        <v>580.067</v>
      </c>
      <c r="H115" t="n">
        <v>277.065</v>
      </c>
      <c r="I115" t="n">
        <v>28.732</v>
      </c>
      <c r="J115" t="n">
        <v>3605.909</v>
      </c>
    </row>
    <row r="116">
      <c r="A116" t="inlineStr">
        <is>
          <t>01/07/1975</t>
        </is>
      </c>
      <c r="B116" t="n">
        <v>6.1</v>
      </c>
      <c r="C116" t="n">
        <v>272.218</v>
      </c>
      <c r="D116" t="n">
        <v>1604.369</v>
      </c>
      <c r="E116" t="n">
        <v>5687.087</v>
      </c>
      <c r="F116" t="n">
        <v>30.068</v>
      </c>
      <c r="G116" t="n">
        <v>625.037</v>
      </c>
      <c r="H116" t="n">
        <v>300.098</v>
      </c>
      <c r="I116" t="n">
        <v>29.163</v>
      </c>
      <c r="J116" t="n">
        <v>3657.158</v>
      </c>
    </row>
    <row r="117">
      <c r="A117" t="inlineStr">
        <is>
          <t>01/10/1975</t>
        </is>
      </c>
      <c r="B117" t="n">
        <v>6.7</v>
      </c>
      <c r="C117" t="n">
        <v>287.609</v>
      </c>
      <c r="D117" t="n">
        <v>1618.424</v>
      </c>
      <c r="E117" t="n">
        <v>5763.665</v>
      </c>
      <c r="F117" t="n">
        <v>30.57</v>
      </c>
      <c r="G117" t="n">
        <v>642.484</v>
      </c>
      <c r="H117" t="n">
        <v>316.117</v>
      </c>
      <c r="I117" t="n">
        <v>29.638</v>
      </c>
      <c r="J117" t="n">
        <v>3696.485</v>
      </c>
    </row>
    <row r="118">
      <c r="A118" t="inlineStr">
        <is>
          <t>01/01/1976</t>
        </is>
      </c>
      <c r="B118" t="n">
        <v>6.2</v>
      </c>
      <c r="C118" t="n">
        <v>285.624</v>
      </c>
      <c r="D118" t="n">
        <v>1620.97</v>
      </c>
      <c r="E118" t="n">
        <v>5893.276</v>
      </c>
      <c r="F118" t="n">
        <v>30.905</v>
      </c>
      <c r="G118" t="n">
        <v>704.475</v>
      </c>
      <c r="H118" t="n">
        <v>335.921</v>
      </c>
      <c r="I118" t="n">
        <v>30.088</v>
      </c>
      <c r="J118" t="n">
        <v>3770.391</v>
      </c>
    </row>
    <row r="119">
      <c r="A119" t="inlineStr">
        <is>
          <t>01/04/1976</t>
        </is>
      </c>
      <c r="B119" t="n">
        <v>4.9</v>
      </c>
      <c r="C119" t="n">
        <v>288.503</v>
      </c>
      <c r="D119" t="n">
        <v>1602.934</v>
      </c>
      <c r="E119" t="n">
        <v>5936.515</v>
      </c>
      <c r="F119" t="n">
        <v>31.213</v>
      </c>
      <c r="G119" t="n">
        <v>732.3579999999999</v>
      </c>
      <c r="H119" t="n">
        <v>350.47</v>
      </c>
      <c r="I119" t="n">
        <v>30.449</v>
      </c>
      <c r="J119" t="n">
        <v>3805.081</v>
      </c>
    </row>
    <row r="120">
      <c r="A120" t="inlineStr">
        <is>
          <t>01/07/1976</t>
        </is>
      </c>
      <c r="B120" t="n">
        <v>6.4</v>
      </c>
      <c r="C120" t="n">
        <v>296.886</v>
      </c>
      <c r="D120" t="n">
        <v>1598.243</v>
      </c>
      <c r="E120" t="n">
        <v>5969.089</v>
      </c>
      <c r="F120" t="n">
        <v>31.611</v>
      </c>
      <c r="G120" t="n">
        <v>734.91</v>
      </c>
      <c r="H120" t="n">
        <v>364.768</v>
      </c>
      <c r="I120" t="n">
        <v>30.926</v>
      </c>
      <c r="J120" t="n">
        <v>3845.144</v>
      </c>
    </row>
    <row r="121">
      <c r="A121" t="inlineStr">
        <is>
          <t>01/10/1976</t>
        </is>
      </c>
      <c r="B121" t="n">
        <v>6.4</v>
      </c>
      <c r="C121" t="n">
        <v>299.898</v>
      </c>
      <c r="D121" t="n">
        <v>1597.264</v>
      </c>
      <c r="E121" t="n">
        <v>6012.356</v>
      </c>
      <c r="F121" t="n">
        <v>32.148</v>
      </c>
      <c r="G121" t="n">
        <v>740.408</v>
      </c>
      <c r="H121" t="n">
        <v>376.841</v>
      </c>
      <c r="I121" t="n">
        <v>31.41</v>
      </c>
      <c r="J121" t="n">
        <v>3895.034</v>
      </c>
    </row>
    <row r="122">
      <c r="A122" t="inlineStr">
        <is>
          <t>01/01/1977</t>
        </is>
      </c>
      <c r="B122" t="n">
        <v>6.9</v>
      </c>
      <c r="C122" t="n">
        <v>295.072</v>
      </c>
      <c r="D122" t="n">
        <v>1610.842</v>
      </c>
      <c r="E122" t="n">
        <v>6083.391</v>
      </c>
      <c r="F122" t="n">
        <v>32.668</v>
      </c>
      <c r="G122" t="n">
        <v>774.711</v>
      </c>
      <c r="H122" t="n">
        <v>394.68</v>
      </c>
      <c r="I122" t="n">
        <v>31.939</v>
      </c>
      <c r="J122" t="n">
        <v>3940.944</v>
      </c>
    </row>
    <row r="123">
      <c r="A123" t="inlineStr">
        <is>
          <t>01/04/1977</t>
        </is>
      </c>
      <c r="B123" t="n">
        <v>6.3</v>
      </c>
      <c r="C123" t="n">
        <v>303.024</v>
      </c>
      <c r="D123" t="n">
        <v>1625.58</v>
      </c>
      <c r="E123" t="n">
        <v>6201.659</v>
      </c>
      <c r="F123" t="n">
        <v>33.184</v>
      </c>
      <c r="G123" t="n">
        <v>830.251</v>
      </c>
      <c r="H123" t="n">
        <v>398.319</v>
      </c>
      <c r="I123" t="n">
        <v>32.427</v>
      </c>
      <c r="J123" t="n">
        <v>3962.314</v>
      </c>
    </row>
    <row r="124">
      <c r="A124" t="inlineStr">
        <is>
          <t>01/07/1977</t>
        </is>
      </c>
      <c r="B124" t="n">
        <v>6.8</v>
      </c>
      <c r="C124" t="n">
        <v>305.375</v>
      </c>
      <c r="D124" t="n">
        <v>1632.108</v>
      </c>
      <c r="E124" t="n">
        <v>6313.559</v>
      </c>
      <c r="F124" t="n">
        <v>33.641</v>
      </c>
      <c r="G124" t="n">
        <v>872.264</v>
      </c>
      <c r="H124" t="n">
        <v>392.768</v>
      </c>
      <c r="I124" t="n">
        <v>32.966</v>
      </c>
      <c r="J124" t="n">
        <v>3999.779</v>
      </c>
    </row>
    <row r="125">
      <c r="A125" t="inlineStr">
        <is>
          <t>01/10/1977</t>
        </is>
      </c>
      <c r="B125" t="n">
        <v>5.9</v>
      </c>
      <c r="C125" t="n">
        <v>295.584</v>
      </c>
      <c r="D125" t="n">
        <v>1628.216</v>
      </c>
      <c r="E125" t="n">
        <v>6313.697</v>
      </c>
      <c r="F125" t="n">
        <v>34.203</v>
      </c>
      <c r="G125" t="n">
        <v>850.383</v>
      </c>
      <c r="H125" t="n">
        <v>398.342</v>
      </c>
      <c r="I125" t="n">
        <v>33.445</v>
      </c>
      <c r="J125" t="n">
        <v>4059.918</v>
      </c>
    </row>
    <row r="126">
      <c r="A126" t="inlineStr">
        <is>
          <t>01/01/1978</t>
        </is>
      </c>
      <c r="B126" t="n">
        <v>6.4</v>
      </c>
      <c r="C126" t="n">
        <v>302.563</v>
      </c>
      <c r="D126" t="n">
        <v>1628.631</v>
      </c>
      <c r="E126" t="n">
        <v>6333.848</v>
      </c>
      <c r="F126" t="n">
        <v>34.763</v>
      </c>
      <c r="G126" t="n">
        <v>866.957</v>
      </c>
      <c r="H126" t="n">
        <v>425.07</v>
      </c>
      <c r="I126" t="n">
        <v>33.967</v>
      </c>
      <c r="J126" t="n">
        <v>4082.726</v>
      </c>
    </row>
    <row r="127">
      <c r="A127" t="inlineStr">
        <is>
          <t>01/04/1978</t>
        </is>
      </c>
      <c r="B127" t="n">
        <v>7.1</v>
      </c>
      <c r="C127" t="n">
        <v>334.106</v>
      </c>
      <c r="D127" t="n">
        <v>1669.477</v>
      </c>
      <c r="E127" t="n">
        <v>6578.605</v>
      </c>
      <c r="F127" t="n">
        <v>35.457</v>
      </c>
      <c r="G127" t="n">
        <v>923.266</v>
      </c>
      <c r="H127" t="n">
        <v>426.419</v>
      </c>
      <c r="I127" t="n">
        <v>34.553</v>
      </c>
      <c r="J127" t="n">
        <v>4170.01</v>
      </c>
    </row>
    <row r="128">
      <c r="A128" t="inlineStr">
        <is>
          <t>01/07/1978</t>
        </is>
      </c>
      <c r="B128" t="n">
        <v>7</v>
      </c>
      <c r="C128" t="n">
        <v>337.772</v>
      </c>
      <c r="D128" t="n">
        <v>1684.9</v>
      </c>
      <c r="E128" t="n">
        <v>6644.754</v>
      </c>
      <c r="F128" t="n">
        <v>36.083</v>
      </c>
      <c r="G128" t="n">
        <v>950.1660000000001</v>
      </c>
      <c r="H128" t="n">
        <v>431.993</v>
      </c>
      <c r="I128" t="n">
        <v>35.146</v>
      </c>
      <c r="J128" t="n">
        <v>4187.52</v>
      </c>
    </row>
    <row r="129">
      <c r="A129" t="inlineStr">
        <is>
          <t>01/10/1978</t>
        </is>
      </c>
      <c r="B129" t="n">
        <v>7.4</v>
      </c>
      <c r="C129" t="n">
        <v>351.178</v>
      </c>
      <c r="D129" t="n">
        <v>1700.067</v>
      </c>
      <c r="E129" t="n">
        <v>6734.069</v>
      </c>
      <c r="F129" t="n">
        <v>36.796</v>
      </c>
      <c r="G129" t="n">
        <v>972.139</v>
      </c>
      <c r="H129" t="n">
        <v>437.924</v>
      </c>
      <c r="I129" t="n">
        <v>35.777</v>
      </c>
      <c r="J129" t="n">
        <v>4221.31</v>
      </c>
    </row>
    <row r="130">
      <c r="A130" t="inlineStr">
        <is>
          <t>01/01/1979</t>
        </is>
      </c>
      <c r="B130" t="n">
        <v>5.6</v>
      </c>
      <c r="C130" t="n">
        <v>351.453</v>
      </c>
      <c r="D130" t="n">
        <v>1683.258</v>
      </c>
      <c r="E130" t="n">
        <v>6746.176</v>
      </c>
      <c r="F130" t="n">
        <v>37.483</v>
      </c>
      <c r="G130" t="n">
        <v>973.754</v>
      </c>
      <c r="H130" t="n">
        <v>436.734</v>
      </c>
      <c r="I130" t="n">
        <v>36.266</v>
      </c>
      <c r="J130" t="n">
        <v>4243.173</v>
      </c>
    </row>
    <row r="131">
      <c r="A131" t="inlineStr">
        <is>
          <t>01/04/1979</t>
        </is>
      </c>
      <c r="B131" t="n">
        <v>9.1</v>
      </c>
      <c r="C131" t="n">
        <v>352.369</v>
      </c>
      <c r="D131" t="n">
        <v>1699.659</v>
      </c>
      <c r="E131" t="n">
        <v>6753.389</v>
      </c>
      <c r="F131" t="n">
        <v>38.388</v>
      </c>
      <c r="G131" t="n">
        <v>972.877</v>
      </c>
      <c r="H131" t="n">
        <v>439.092</v>
      </c>
      <c r="I131" t="n">
        <v>37.063</v>
      </c>
      <c r="J131" t="n">
        <v>4240.419</v>
      </c>
    </row>
    <row r="132">
      <c r="A132" t="inlineStr">
        <is>
          <t>01/07/1979</t>
        </is>
      </c>
      <c r="B132" t="n">
        <v>7.6</v>
      </c>
      <c r="C132" t="n">
        <v>365.05</v>
      </c>
      <c r="D132" t="n">
        <v>1704.624</v>
      </c>
      <c r="E132" t="n">
        <v>6803.558</v>
      </c>
      <c r="F132" t="n">
        <v>39.19</v>
      </c>
      <c r="G132" t="n">
        <v>956.4930000000001</v>
      </c>
      <c r="H132" t="n">
        <v>432.386</v>
      </c>
      <c r="I132" t="n">
        <v>37.747</v>
      </c>
      <c r="J132" t="n">
        <v>4281.682</v>
      </c>
    </row>
    <row r="133">
      <c r="A133" t="inlineStr">
        <is>
          <t>01/10/1979</t>
        </is>
      </c>
      <c r="B133" t="n">
        <v>8.6</v>
      </c>
      <c r="C133" t="n">
        <v>388.019</v>
      </c>
      <c r="D133" t="n">
        <v>1715.85</v>
      </c>
      <c r="E133" t="n">
        <v>6820.572</v>
      </c>
      <c r="F133" t="n">
        <v>39.905</v>
      </c>
      <c r="G133" t="n">
        <v>939.526</v>
      </c>
      <c r="H133" t="n">
        <v>441.816</v>
      </c>
      <c r="I133" t="n">
        <v>38.534</v>
      </c>
      <c r="J133" t="n">
        <v>4292.335</v>
      </c>
    </row>
    <row r="134">
      <c r="A134" t="inlineStr">
        <is>
          <t>01/01/1980</t>
        </is>
      </c>
      <c r="B134" t="n">
        <v>10.2</v>
      </c>
      <c r="C134" t="n">
        <v>398.848</v>
      </c>
      <c r="D134" t="n">
        <v>1741.034</v>
      </c>
      <c r="E134" t="n">
        <v>6842.024</v>
      </c>
      <c r="F134" t="n">
        <v>40.777</v>
      </c>
      <c r="G134" t="n">
        <v>933.101</v>
      </c>
      <c r="H134" t="n">
        <v>442.117</v>
      </c>
      <c r="I134" t="n">
        <v>39.477</v>
      </c>
      <c r="J134" t="n">
        <v>4286.2</v>
      </c>
    </row>
    <row r="135">
      <c r="A135" t="inlineStr">
        <is>
          <t>01/04/1980</t>
        </is>
      </c>
      <c r="B135" t="n">
        <v>9.300000000000001</v>
      </c>
      <c r="C135" t="n">
        <v>406.367</v>
      </c>
      <c r="D135" t="n">
        <v>1744.456</v>
      </c>
      <c r="E135" t="n">
        <v>6701.046</v>
      </c>
      <c r="F135" t="n">
        <v>41.745</v>
      </c>
      <c r="G135" t="n">
        <v>853.76</v>
      </c>
      <c r="H135" t="n">
        <v>410.012</v>
      </c>
      <c r="I135" t="n">
        <v>40.36</v>
      </c>
      <c r="J135" t="n">
        <v>4189.671</v>
      </c>
    </row>
    <row r="136">
      <c r="A136" t="inlineStr">
        <is>
          <t>01/07/1980</t>
        </is>
      </c>
      <c r="B136" t="n">
        <v>9.199999999999999</v>
      </c>
      <c r="C136" t="n">
        <v>405.501</v>
      </c>
      <c r="D136" t="n">
        <v>1720.713</v>
      </c>
      <c r="E136" t="n">
        <v>6693.082</v>
      </c>
      <c r="F136" t="n">
        <v>42.676</v>
      </c>
      <c r="G136" t="n">
        <v>797.4109999999999</v>
      </c>
      <c r="H136" t="n">
        <v>380.507</v>
      </c>
      <c r="I136" t="n">
        <v>41.259</v>
      </c>
      <c r="J136" t="n">
        <v>4235.629</v>
      </c>
    </row>
    <row r="137">
      <c r="A137" t="inlineStr">
        <is>
          <t>01/10/1980</t>
        </is>
      </c>
      <c r="B137" t="n">
        <v>10.1</v>
      </c>
      <c r="C137" t="n">
        <v>403.045</v>
      </c>
      <c r="D137" t="n">
        <v>1720.334</v>
      </c>
      <c r="E137" t="n">
        <v>6817.903</v>
      </c>
      <c r="F137" t="n">
        <v>43.807</v>
      </c>
      <c r="G137" t="n">
        <v>871.7329999999999</v>
      </c>
      <c r="H137" t="n">
        <v>400.911</v>
      </c>
      <c r="I137" t="n">
        <v>42.264</v>
      </c>
      <c r="J137" t="n">
        <v>4292.856</v>
      </c>
    </row>
    <row r="138">
      <c r="A138" t="inlineStr">
        <is>
          <t>01/01/1981</t>
        </is>
      </c>
      <c r="B138" t="n">
        <v>9.199999999999999</v>
      </c>
      <c r="C138" t="n">
        <v>410.625</v>
      </c>
      <c r="D138" t="n">
        <v>1743.343</v>
      </c>
      <c r="E138" t="n">
        <v>6951.495</v>
      </c>
      <c r="F138" t="n">
        <v>44.968</v>
      </c>
      <c r="G138" t="n">
        <v>952.418</v>
      </c>
      <c r="H138" t="n">
        <v>418.022</v>
      </c>
      <c r="I138" t="n">
        <v>43.202</v>
      </c>
      <c r="J138" t="n">
        <v>4307.237</v>
      </c>
    </row>
    <row r="139">
      <c r="A139" t="inlineStr">
        <is>
          <t>01/04/1981</t>
        </is>
      </c>
      <c r="B139" t="n">
        <v>7.8</v>
      </c>
      <c r="C139" t="n">
        <v>412.845</v>
      </c>
      <c r="D139" t="n">
        <v>1746.695</v>
      </c>
      <c r="E139" t="n">
        <v>6899.98</v>
      </c>
      <c r="F139" t="n">
        <v>45.813</v>
      </c>
      <c r="G139" t="n">
        <v>912.9450000000001</v>
      </c>
      <c r="H139" t="n">
        <v>418.639</v>
      </c>
      <c r="I139" t="n">
        <v>44.018</v>
      </c>
      <c r="J139" t="n">
        <v>4307.55</v>
      </c>
    </row>
    <row r="140">
      <c r="A140" t="inlineStr">
        <is>
          <t>01/07/1981</t>
        </is>
      </c>
      <c r="B140" t="n">
        <v>7.6</v>
      </c>
      <c r="C140" t="n">
        <v>404.05</v>
      </c>
      <c r="D140" t="n">
        <v>1740.68</v>
      </c>
      <c r="E140" t="n">
        <v>6982.609</v>
      </c>
      <c r="F140" t="n">
        <v>46.703</v>
      </c>
      <c r="G140" t="n">
        <v>964.401</v>
      </c>
      <c r="H140" t="n">
        <v>413.847</v>
      </c>
      <c r="I140" t="n">
        <v>44.829</v>
      </c>
      <c r="J140" t="n">
        <v>4327.476</v>
      </c>
    </row>
    <row r="141">
      <c r="A141" t="inlineStr">
        <is>
          <t>01/10/1981</t>
        </is>
      </c>
      <c r="B141" t="n">
        <v>7.3</v>
      </c>
      <c r="C141" t="n">
        <v>405.905</v>
      </c>
      <c r="D141" t="n">
        <v>1762.804</v>
      </c>
      <c r="E141" t="n">
        <v>6906.529</v>
      </c>
      <c r="F141" t="n">
        <v>47.475</v>
      </c>
      <c r="G141" t="n">
        <v>930.4400000000001</v>
      </c>
      <c r="H141" t="n">
        <v>425.696</v>
      </c>
      <c r="I141" t="n">
        <v>45.626</v>
      </c>
      <c r="J141" t="n">
        <v>4297.875</v>
      </c>
    </row>
    <row r="142">
      <c r="A142" t="inlineStr">
        <is>
          <t>01/01/1982</t>
        </is>
      </c>
      <c r="B142" t="n">
        <v>6</v>
      </c>
      <c r="C142" t="n">
        <v>388.289</v>
      </c>
      <c r="D142" t="n">
        <v>1760.84</v>
      </c>
      <c r="E142" t="n">
        <v>6799.233</v>
      </c>
      <c r="F142" t="n">
        <v>48.155</v>
      </c>
      <c r="G142" t="n">
        <v>842.429</v>
      </c>
      <c r="H142" t="n">
        <v>413.539</v>
      </c>
      <c r="I142" t="n">
        <v>46.294</v>
      </c>
      <c r="J142" t="n">
        <v>4329.533</v>
      </c>
    </row>
    <row r="143">
      <c r="A143" t="inlineStr">
        <is>
          <t>01/04/1982</t>
        </is>
      </c>
      <c r="B143" t="n">
        <v>5.5</v>
      </c>
      <c r="C143" t="n">
        <v>390.605</v>
      </c>
      <c r="D143" t="n">
        <v>1767.532</v>
      </c>
      <c r="E143" t="n">
        <v>6830.251</v>
      </c>
      <c r="F143" t="n">
        <v>48.795</v>
      </c>
      <c r="G143" t="n">
        <v>841.789</v>
      </c>
      <c r="H143" t="n">
        <v>406.768</v>
      </c>
      <c r="I143" t="n">
        <v>46.92</v>
      </c>
      <c r="J143" t="n">
        <v>4342.721</v>
      </c>
    </row>
    <row r="144">
      <c r="A144" t="inlineStr">
        <is>
          <t>01/07/1982</t>
        </is>
      </c>
      <c r="B144" t="n">
        <v>6.6</v>
      </c>
      <c r="C144" t="n">
        <v>373.283</v>
      </c>
      <c r="D144" t="n">
        <v>1781.703</v>
      </c>
      <c r="E144" t="n">
        <v>6804.139</v>
      </c>
      <c r="F144" t="n">
        <v>49.472</v>
      </c>
      <c r="G144" t="n">
        <v>834.075</v>
      </c>
      <c r="H144" t="n">
        <v>425.635</v>
      </c>
      <c r="I144" t="n">
        <v>47.672</v>
      </c>
      <c r="J144" t="n">
        <v>4371.833</v>
      </c>
    </row>
    <row r="145">
      <c r="A145" t="inlineStr">
        <is>
          <t>01/10/1982</t>
        </is>
      </c>
      <c r="B145" t="n">
        <v>5.7</v>
      </c>
      <c r="C145" t="n">
        <v>356.178</v>
      </c>
      <c r="D145" t="n">
        <v>1809.171</v>
      </c>
      <c r="E145" t="n">
        <v>6806.857</v>
      </c>
      <c r="F145" t="n">
        <v>49.973</v>
      </c>
      <c r="G145" t="n">
        <v>769.602</v>
      </c>
      <c r="H145" t="n">
        <v>408.929</v>
      </c>
      <c r="I145" t="n">
        <v>48.336</v>
      </c>
      <c r="J145" t="n">
        <v>4448.414</v>
      </c>
    </row>
    <row r="146">
      <c r="A146" t="inlineStr">
        <is>
          <t>01/01/1983</t>
        </is>
      </c>
      <c r="B146" t="n">
        <v>5.4</v>
      </c>
      <c r="C146" t="n">
        <v>361.923</v>
      </c>
      <c r="D146" t="n">
        <v>1826.558</v>
      </c>
      <c r="E146" t="n">
        <v>6896.561</v>
      </c>
      <c r="F146" t="n">
        <v>50.372</v>
      </c>
      <c r="G146" t="n">
        <v>796.266</v>
      </c>
      <c r="H146" t="n">
        <v>418.301</v>
      </c>
      <c r="I146" t="n">
        <v>48.971</v>
      </c>
      <c r="J146" t="n">
        <v>4492.395</v>
      </c>
    </row>
    <row r="147">
      <c r="A147" t="inlineStr">
        <is>
          <t>01/04/1983</t>
        </is>
      </c>
      <c r="B147" t="n">
        <v>3.1</v>
      </c>
      <c r="C147" t="n">
        <v>363.006</v>
      </c>
      <c r="D147" t="n">
        <v>1841.608</v>
      </c>
      <c r="E147" t="n">
        <v>7053.5</v>
      </c>
      <c r="F147" t="n">
        <v>50.746</v>
      </c>
      <c r="G147" t="n">
        <v>866.784</v>
      </c>
      <c r="H147" t="n">
        <v>450.465</v>
      </c>
      <c r="I147" t="n">
        <v>49.346</v>
      </c>
      <c r="J147" t="n">
        <v>4583.873</v>
      </c>
    </row>
    <row r="148">
      <c r="A148" t="inlineStr">
        <is>
          <t>01/07/1983</t>
        </is>
      </c>
      <c r="B148" t="n">
        <v>6.2</v>
      </c>
      <c r="C148" t="n">
        <v>368.463</v>
      </c>
      <c r="D148" t="n">
        <v>1873.396</v>
      </c>
      <c r="E148" t="n">
        <v>7194.504</v>
      </c>
      <c r="F148" t="n">
        <v>51.285</v>
      </c>
      <c r="G148" t="n">
        <v>921.051</v>
      </c>
      <c r="H148" t="n">
        <v>485.556</v>
      </c>
      <c r="I148" t="n">
        <v>50.095</v>
      </c>
      <c r="J148" t="n">
        <v>4666.07</v>
      </c>
    </row>
    <row r="149">
      <c r="A149" t="inlineStr">
        <is>
          <t>01/10/1983</t>
        </is>
      </c>
      <c r="B149" t="n">
        <v>3.2</v>
      </c>
      <c r="C149" t="n">
        <v>375.878</v>
      </c>
      <c r="D149" t="n">
        <v>1843.417</v>
      </c>
      <c r="E149" t="n">
        <v>7344.597</v>
      </c>
      <c r="F149" t="n">
        <v>51.669</v>
      </c>
      <c r="G149" t="n">
        <v>1010.654</v>
      </c>
      <c r="H149" t="n">
        <v>509.375</v>
      </c>
      <c r="I149" t="n">
        <v>50.496</v>
      </c>
      <c r="J149" t="n">
        <v>4740.427</v>
      </c>
    </row>
    <row r="150">
      <c r="A150" t="inlineStr">
        <is>
          <t>01/01/1984</t>
        </is>
      </c>
      <c r="B150" t="n">
        <v>4.1</v>
      </c>
      <c r="C150" t="n">
        <v>383.723</v>
      </c>
      <c r="D150" t="n">
        <v>1862.955</v>
      </c>
      <c r="E150" t="n">
        <v>7488.167</v>
      </c>
      <c r="F150" t="n">
        <v>52.178</v>
      </c>
      <c r="G150" t="n">
        <v>1108.328</v>
      </c>
      <c r="H150" t="n">
        <v>550.324</v>
      </c>
      <c r="I150" t="n">
        <v>51.006</v>
      </c>
      <c r="J150" t="n">
        <v>4779.767</v>
      </c>
    </row>
    <row r="151">
      <c r="A151" t="inlineStr">
        <is>
          <t>01/04/1984</t>
        </is>
      </c>
      <c r="B151" t="n">
        <v>4.8</v>
      </c>
      <c r="C151" t="n">
        <v>393.26</v>
      </c>
      <c r="D151" t="n">
        <v>1903.424</v>
      </c>
      <c r="E151" t="n">
        <v>7617.547</v>
      </c>
      <c r="F151" t="n">
        <v>52.647</v>
      </c>
      <c r="G151" t="n">
        <v>1144.371</v>
      </c>
      <c r="H151" t="n">
        <v>573.377</v>
      </c>
      <c r="I151" t="n">
        <v>51.603</v>
      </c>
      <c r="J151" t="n">
        <v>4846.731</v>
      </c>
    </row>
    <row r="152">
      <c r="A152" t="inlineStr">
        <is>
          <t>01/07/1984</t>
        </is>
      </c>
      <c r="B152" t="n">
        <v>3.8</v>
      </c>
      <c r="C152" t="n">
        <v>401.948</v>
      </c>
      <c r="D152" t="n">
        <v>1918.833</v>
      </c>
      <c r="E152" t="n">
        <v>7690.985</v>
      </c>
      <c r="F152" t="n">
        <v>53.122</v>
      </c>
      <c r="G152" t="n">
        <v>1169.136</v>
      </c>
      <c r="H152" t="n">
        <v>588.22</v>
      </c>
      <c r="I152" t="n">
        <v>52.088</v>
      </c>
      <c r="J152" t="n">
        <v>4882.676</v>
      </c>
    </row>
    <row r="153">
      <c r="A153" t="inlineStr">
        <is>
          <t>01/10/1984</t>
        </is>
      </c>
      <c r="B153" t="n">
        <v>2.9</v>
      </c>
      <c r="C153" t="n">
        <v>410.126</v>
      </c>
      <c r="D153" t="n">
        <v>1959.121</v>
      </c>
      <c r="E153" t="n">
        <v>7754.117</v>
      </c>
      <c r="F153" t="n">
        <v>53.494</v>
      </c>
      <c r="G153" t="n">
        <v>1153.971</v>
      </c>
      <c r="H153" t="n">
        <v>605.461</v>
      </c>
      <c r="I153" t="n">
        <v>52.458</v>
      </c>
      <c r="J153" t="n">
        <v>4945.926</v>
      </c>
    </row>
    <row r="154">
      <c r="A154" t="inlineStr">
        <is>
          <t>01/01/1985</t>
        </is>
      </c>
      <c r="B154" t="n">
        <v>5.6</v>
      </c>
      <c r="C154" t="n">
        <v>411.214</v>
      </c>
      <c r="D154" t="n">
        <v>1980.458</v>
      </c>
      <c r="E154" t="n">
        <v>7829.26</v>
      </c>
      <c r="F154" t="n">
        <v>54.041</v>
      </c>
      <c r="G154" t="n">
        <v>1122.331</v>
      </c>
      <c r="H154" t="n">
        <v>592.1079999999999</v>
      </c>
      <c r="I154" t="n">
        <v>53.174</v>
      </c>
      <c r="J154" t="n">
        <v>5029.959</v>
      </c>
    </row>
    <row r="155">
      <c r="A155" t="inlineStr">
        <is>
          <t>01/04/1985</t>
        </is>
      </c>
      <c r="B155" t="n">
        <v>3.5</v>
      </c>
      <c r="C155" t="n">
        <v>410.332</v>
      </c>
      <c r="D155" t="n">
        <v>2024.41</v>
      </c>
      <c r="E155" t="n">
        <v>7898.194</v>
      </c>
      <c r="F155" t="n">
        <v>54.361</v>
      </c>
      <c r="G155" t="n">
        <v>1141.447</v>
      </c>
      <c r="H155" t="n">
        <v>621.201</v>
      </c>
      <c r="I155" t="n">
        <v>53.635</v>
      </c>
      <c r="J155" t="n">
        <v>5076.136</v>
      </c>
    </row>
    <row r="156">
      <c r="A156" t="inlineStr">
        <is>
          <t>01/07/1985</t>
        </is>
      </c>
      <c r="B156" t="n">
        <v>4.2</v>
      </c>
      <c r="C156" t="n">
        <v>404.347</v>
      </c>
      <c r="D156" t="n">
        <v>2070.55</v>
      </c>
      <c r="E156" t="n">
        <v>8018.809</v>
      </c>
      <c r="F156" t="n">
        <v>54.722</v>
      </c>
      <c r="G156" t="n">
        <v>1133.665</v>
      </c>
      <c r="H156" t="n">
        <v>615.192</v>
      </c>
      <c r="I156" t="n">
        <v>54.186</v>
      </c>
      <c r="J156" t="n">
        <v>5172.55</v>
      </c>
    </row>
    <row r="157">
      <c r="A157" t="inlineStr">
        <is>
          <t>01/10/1985</t>
        </is>
      </c>
      <c r="B157" t="n">
        <v>2.9</v>
      </c>
      <c r="C157" t="n">
        <v>416.411</v>
      </c>
      <c r="D157" t="n">
        <v>2079.086</v>
      </c>
      <c r="E157" t="n">
        <v>8078.415</v>
      </c>
      <c r="F157" t="n">
        <v>55.006</v>
      </c>
      <c r="G157" t="n">
        <v>1175.45</v>
      </c>
      <c r="H157" t="n">
        <v>639.2670000000001</v>
      </c>
      <c r="I157" t="n">
        <v>54.575</v>
      </c>
      <c r="J157" t="n">
        <v>5183.741</v>
      </c>
    </row>
    <row r="158">
      <c r="A158" t="inlineStr">
        <is>
          <t>01/01/1986</t>
        </is>
      </c>
      <c r="B158" t="n">
        <v>4.4</v>
      </c>
      <c r="C158" t="n">
        <v>429.453</v>
      </c>
      <c r="D158" t="n">
        <v>2095.512</v>
      </c>
      <c r="E158" t="n">
        <v>8153.829</v>
      </c>
      <c r="F158" t="n">
        <v>55.278</v>
      </c>
      <c r="G158" t="n">
        <v>1175.105</v>
      </c>
      <c r="H158" t="n">
        <v>638.629</v>
      </c>
      <c r="I158" t="n">
        <v>55.165</v>
      </c>
      <c r="J158" t="n">
        <v>5229.041</v>
      </c>
    </row>
    <row r="159">
      <c r="A159" t="inlineStr">
        <is>
          <t>01/04/1986</t>
        </is>
      </c>
      <c r="B159" t="n">
        <v>2.8</v>
      </c>
      <c r="C159" t="n">
        <v>434.077</v>
      </c>
      <c r="D159" t="n">
        <v>2139.194</v>
      </c>
      <c r="E159" t="n">
        <v>8190.552</v>
      </c>
      <c r="F159" t="n">
        <v>55.472</v>
      </c>
      <c r="G159" t="n">
        <v>1154.589</v>
      </c>
      <c r="H159" t="n">
        <v>665.801</v>
      </c>
      <c r="I159" t="n">
        <v>55.542</v>
      </c>
      <c r="J159" t="n">
        <v>5286.019</v>
      </c>
    </row>
    <row r="160">
      <c r="A160" t="inlineStr">
        <is>
          <t>01/07/1986</t>
        </is>
      </c>
      <c r="B160" t="n">
        <v>2.8</v>
      </c>
      <c r="C160" t="n">
        <v>444.012</v>
      </c>
      <c r="D160" t="n">
        <v>2185.789</v>
      </c>
      <c r="E160" t="n">
        <v>8268.934999999999</v>
      </c>
      <c r="F160" t="n">
        <v>55.735</v>
      </c>
      <c r="G160" t="n">
        <v>1123.532</v>
      </c>
      <c r="H160" t="n">
        <v>684.256</v>
      </c>
      <c r="I160" t="n">
        <v>55.924</v>
      </c>
      <c r="J160" t="n">
        <v>5379.527</v>
      </c>
    </row>
    <row r="161">
      <c r="A161" t="inlineStr">
        <is>
          <t>01/10/1986</t>
        </is>
      </c>
      <c r="B161" t="n">
        <v>3.3</v>
      </c>
      <c r="C161" t="n">
        <v>460.6</v>
      </c>
      <c r="D161" t="n">
        <v>2176.757</v>
      </c>
      <c r="E161" t="n">
        <v>8313.338</v>
      </c>
      <c r="F161" t="n">
        <v>56.066</v>
      </c>
      <c r="G161" t="n">
        <v>1126.895</v>
      </c>
      <c r="H161" t="n">
        <v>689.567</v>
      </c>
      <c r="I161" t="n">
        <v>56.378</v>
      </c>
      <c r="J161" t="n">
        <v>5412.515</v>
      </c>
    </row>
    <row r="162">
      <c r="A162" t="inlineStr">
        <is>
          <t>01/01/1987</t>
        </is>
      </c>
      <c r="B162" t="n">
        <v>2.5</v>
      </c>
      <c r="C162" t="n">
        <v>461.01</v>
      </c>
      <c r="D162" t="n">
        <v>2189.523</v>
      </c>
      <c r="E162" t="n">
        <v>8375.273999999999</v>
      </c>
      <c r="F162" t="n">
        <v>56.391</v>
      </c>
      <c r="G162" t="n">
        <v>1157.306</v>
      </c>
      <c r="H162" t="n">
        <v>685.524</v>
      </c>
      <c r="I162" t="n">
        <v>56.732</v>
      </c>
      <c r="J162" t="n">
        <v>5417.904</v>
      </c>
    </row>
    <row r="163">
      <c r="A163" t="inlineStr">
        <is>
          <t>01/04/1987</t>
        </is>
      </c>
      <c r="B163" t="n">
        <v>3.9</v>
      </c>
      <c r="C163" t="n">
        <v>480.003</v>
      </c>
      <c r="D163" t="n">
        <v>2206.5</v>
      </c>
      <c r="E163" t="n">
        <v>8465.629999999999</v>
      </c>
      <c r="F163" t="n">
        <v>56.774</v>
      </c>
      <c r="G163" t="n">
        <v>1157.909</v>
      </c>
      <c r="H163" t="n">
        <v>702.675</v>
      </c>
      <c r="I163" t="n">
        <v>57.282</v>
      </c>
      <c r="J163" t="n">
        <v>5491.837</v>
      </c>
    </row>
    <row r="164">
      <c r="A164" t="inlineStr">
        <is>
          <t>01/07/1987</t>
        </is>
      </c>
      <c r="B164" t="n">
        <v>3.6</v>
      </c>
      <c r="C164" t="n">
        <v>500.839</v>
      </c>
      <c r="D164" t="n">
        <v>2208.818</v>
      </c>
      <c r="E164" t="n">
        <v>8539.075000000001</v>
      </c>
      <c r="F164" t="n">
        <v>57.212</v>
      </c>
      <c r="G164" t="n">
        <v>1158.077</v>
      </c>
      <c r="H164" t="n">
        <v>716.372</v>
      </c>
      <c r="I164" t="n">
        <v>57.795</v>
      </c>
      <c r="J164" t="n">
        <v>5554.512</v>
      </c>
    </row>
    <row r="165">
      <c r="A165" t="inlineStr">
        <is>
          <t>01/10/1987</t>
        </is>
      </c>
      <c r="B165" t="n">
        <v>4.1</v>
      </c>
      <c r="C165" t="n">
        <v>519.523</v>
      </c>
      <c r="D165" t="n">
        <v>2241.934</v>
      </c>
      <c r="E165" t="n">
        <v>8685.694</v>
      </c>
      <c r="F165" t="n">
        <v>57.641</v>
      </c>
      <c r="G165" t="n">
        <v>1236.986</v>
      </c>
      <c r="H165" t="n">
        <v>732.845</v>
      </c>
      <c r="I165" t="n">
        <v>58.382</v>
      </c>
      <c r="J165" t="n">
        <v>5566.263</v>
      </c>
    </row>
    <row r="166">
      <c r="A166" t="inlineStr">
        <is>
          <t>01/01/1988</t>
        </is>
      </c>
      <c r="B166" t="n">
        <v>3.9</v>
      </c>
      <c r="C166" t="n">
        <v>548.373</v>
      </c>
      <c r="D166" t="n">
        <v>2223.229</v>
      </c>
      <c r="E166" t="n">
        <v>8730.569</v>
      </c>
      <c r="F166" t="n">
        <v>58.087</v>
      </c>
      <c r="G166" t="n">
        <v>1177.604</v>
      </c>
      <c r="H166" t="n">
        <v>729.393</v>
      </c>
      <c r="I166" t="n">
        <v>58.945</v>
      </c>
      <c r="J166" t="n">
        <v>5664.593</v>
      </c>
    </row>
    <row r="167">
      <c r="A167" t="inlineStr">
        <is>
          <t>01/04/1988</t>
        </is>
      </c>
      <c r="B167" t="n">
        <v>4.9</v>
      </c>
      <c r="C167" t="n">
        <v>563.741</v>
      </c>
      <c r="D167" t="n">
        <v>2229.868</v>
      </c>
      <c r="E167" t="n">
        <v>8845.280000000001</v>
      </c>
      <c r="F167" t="n">
        <v>58.667</v>
      </c>
      <c r="G167" t="n">
        <v>1205.662</v>
      </c>
      <c r="H167" t="n">
        <v>720.992</v>
      </c>
      <c r="I167" t="n">
        <v>59.66</v>
      </c>
      <c r="J167" t="n">
        <v>5706.414</v>
      </c>
    </row>
    <row r="168">
      <c r="A168" t="inlineStr">
        <is>
          <t>01/07/1988</t>
        </is>
      </c>
      <c r="B168" t="n">
        <v>4.7</v>
      </c>
      <c r="C168" t="n">
        <v>574.85</v>
      </c>
      <c r="D168" t="n">
        <v>2230.13</v>
      </c>
      <c r="E168" t="n">
        <v>8897.107</v>
      </c>
      <c r="F168" t="n">
        <v>59.385</v>
      </c>
      <c r="G168" t="n">
        <v>1212.36</v>
      </c>
      <c r="H168" t="n">
        <v>738.003</v>
      </c>
      <c r="I168" t="n">
        <v>60.347</v>
      </c>
      <c r="J168" t="n">
        <v>5757.12</v>
      </c>
    </row>
    <row r="169">
      <c r="A169" t="inlineStr">
        <is>
          <t>01/10/1988</t>
        </is>
      </c>
      <c r="B169" t="n">
        <v>4.5</v>
      </c>
      <c r="C169" t="n">
        <v>592.395</v>
      </c>
      <c r="D169" t="n">
        <v>2273.404</v>
      </c>
      <c r="E169" t="n">
        <v>9015.661</v>
      </c>
      <c r="F169" t="n">
        <v>59.932</v>
      </c>
      <c r="G169" t="n">
        <v>1230.861</v>
      </c>
      <c r="H169" t="n">
        <v>760.484</v>
      </c>
      <c r="I169" t="n">
        <v>61.022</v>
      </c>
      <c r="J169" t="n">
        <v>5822.579</v>
      </c>
    </row>
    <row r="170">
      <c r="A170" t="inlineStr">
        <is>
          <t>01/01/1989</t>
        </is>
      </c>
      <c r="B170" t="n">
        <v>4.4</v>
      </c>
      <c r="C170" t="n">
        <v>610.088</v>
      </c>
      <c r="D170" t="n">
        <v>2263.411</v>
      </c>
      <c r="E170" t="n">
        <v>9107.314</v>
      </c>
      <c r="F170" t="n">
        <v>60.508</v>
      </c>
      <c r="G170" t="n">
        <v>1272.638</v>
      </c>
      <c r="H170" t="n">
        <v>764.021</v>
      </c>
      <c r="I170" t="n">
        <v>61.687</v>
      </c>
      <c r="J170" t="n">
        <v>5849.592</v>
      </c>
    </row>
    <row r="171">
      <c r="A171" t="inlineStr">
        <is>
          <t>01/04/1989</t>
        </is>
      </c>
      <c r="B171" t="n">
        <v>3.7</v>
      </c>
      <c r="C171" t="n">
        <v>636.8</v>
      </c>
      <c r="D171" t="n">
        <v>2298.225</v>
      </c>
      <c r="E171" t="n">
        <v>9176.826999999999</v>
      </c>
      <c r="F171" t="n">
        <v>61.163</v>
      </c>
      <c r="G171" t="n">
        <v>1260.328</v>
      </c>
      <c r="H171" t="n">
        <v>767.643</v>
      </c>
      <c r="I171" t="n">
        <v>62.249</v>
      </c>
      <c r="J171" t="n">
        <v>5876.896</v>
      </c>
    </row>
    <row r="172">
      <c r="A172" t="inlineStr">
        <is>
          <t>01/07/1989</t>
        </is>
      </c>
      <c r="B172" t="n">
        <v>3</v>
      </c>
      <c r="C172" t="n">
        <v>643.3049999999999</v>
      </c>
      <c r="D172" t="n">
        <v>2318.902</v>
      </c>
      <c r="E172" t="n">
        <v>9244.816000000001</v>
      </c>
      <c r="F172" t="n">
        <v>61.617</v>
      </c>
      <c r="G172" t="n">
        <v>1249.012</v>
      </c>
      <c r="H172" t="n">
        <v>766.599</v>
      </c>
      <c r="I172" t="n">
        <v>62.712</v>
      </c>
      <c r="J172" t="n">
        <v>5933.79</v>
      </c>
    </row>
    <row r="173">
      <c r="A173" t="inlineStr">
        <is>
          <t>01/10/1989</t>
        </is>
      </c>
      <c r="B173" t="n">
        <v>3.7</v>
      </c>
      <c r="C173" t="n">
        <v>653.043</v>
      </c>
      <c r="D173" t="n">
        <v>2330.534</v>
      </c>
      <c r="E173" t="n">
        <v>9263.032999999999</v>
      </c>
      <c r="F173" t="n">
        <v>62.037</v>
      </c>
      <c r="G173" t="n">
        <v>1239.747</v>
      </c>
      <c r="H173" t="n">
        <v>780.4690000000001</v>
      </c>
      <c r="I173" t="n">
        <v>63.286</v>
      </c>
      <c r="J173" t="n">
        <v>5959.58</v>
      </c>
    </row>
    <row r="174">
      <c r="A174" t="inlineStr">
        <is>
          <t>01/01/1990</t>
        </is>
      </c>
      <c r="B174" t="n">
        <v>4.7</v>
      </c>
      <c r="C174" t="n">
        <v>681.404</v>
      </c>
      <c r="D174" t="n">
        <v>2367.8</v>
      </c>
      <c r="E174" t="n">
        <v>9364.259</v>
      </c>
      <c r="F174" t="n">
        <v>62.713</v>
      </c>
      <c r="G174" t="n">
        <v>1252.058</v>
      </c>
      <c r="H174" t="n">
        <v>805.2190000000001</v>
      </c>
      <c r="I174" t="n">
        <v>64.015</v>
      </c>
      <c r="J174" t="n">
        <v>6009.735</v>
      </c>
    </row>
    <row r="175">
      <c r="A175" t="inlineStr">
        <is>
          <t>01/04/1990</t>
        </is>
      </c>
      <c r="B175" t="n">
        <v>4.5</v>
      </c>
      <c r="C175" t="n">
        <v>689.878</v>
      </c>
      <c r="D175" t="n">
        <v>2371.533</v>
      </c>
      <c r="E175" t="n">
        <v>9398.243</v>
      </c>
      <c r="F175" t="n">
        <v>63.415</v>
      </c>
      <c r="G175" t="n">
        <v>1252.449</v>
      </c>
      <c r="H175" t="n">
        <v>803.8680000000001</v>
      </c>
      <c r="I175" t="n">
        <v>64.73</v>
      </c>
      <c r="J175" t="n">
        <v>6028.041</v>
      </c>
    </row>
    <row r="176">
      <c r="A176" t="inlineStr">
        <is>
          <t>01/07/1990</t>
        </is>
      </c>
      <c r="B176" t="n">
        <v>4.1</v>
      </c>
      <c r="C176" t="n">
        <v>695.099</v>
      </c>
      <c r="D176" t="n">
        <v>2375.306</v>
      </c>
      <c r="E176" t="n">
        <v>9404.494000000001</v>
      </c>
      <c r="F176" t="n">
        <v>63.963</v>
      </c>
      <c r="G176" t="n">
        <v>1228.17</v>
      </c>
      <c r="H176" t="n">
        <v>800.622</v>
      </c>
      <c r="I176" t="n">
        <v>65.384</v>
      </c>
      <c r="J176" t="n">
        <v>6051.922</v>
      </c>
    </row>
    <row r="177">
      <c r="A177" t="inlineStr">
        <is>
          <t>01/10/1990</t>
        </is>
      </c>
      <c r="B177" t="n">
        <v>3.4</v>
      </c>
      <c r="C177" t="n">
        <v>701.2190000000001</v>
      </c>
      <c r="D177" t="n">
        <v>2391.188</v>
      </c>
      <c r="E177" t="n">
        <v>9318.876</v>
      </c>
      <c r="F177" t="n">
        <v>64.452</v>
      </c>
      <c r="G177" t="n">
        <v>1159.464</v>
      </c>
      <c r="H177" t="n">
        <v>779.151</v>
      </c>
      <c r="I177" t="n">
        <v>65.93300000000001</v>
      </c>
      <c r="J177" t="n">
        <v>6005.882</v>
      </c>
    </row>
    <row r="178">
      <c r="A178" t="inlineStr">
        <is>
          <t>01/01/1991</t>
        </is>
      </c>
      <c r="B178" t="n">
        <v>3.6</v>
      </c>
      <c r="C178" t="n">
        <v>705.503</v>
      </c>
      <c r="D178" t="n">
        <v>2405.447</v>
      </c>
      <c r="E178" t="n">
        <v>9275.276</v>
      </c>
      <c r="F178" t="n">
        <v>65.078</v>
      </c>
      <c r="G178" t="n">
        <v>1120.884</v>
      </c>
      <c r="H178" t="n">
        <v>770.272</v>
      </c>
      <c r="I178" t="n">
        <v>66.518</v>
      </c>
      <c r="J178" t="n">
        <v>5983.298</v>
      </c>
    </row>
    <row r="179">
      <c r="A179" t="inlineStr">
        <is>
          <t>01/04/1991</t>
        </is>
      </c>
      <c r="B179" t="n">
        <v>3.1</v>
      </c>
      <c r="C179" t="n">
        <v>731.225</v>
      </c>
      <c r="D179" t="n">
        <v>2415.232</v>
      </c>
      <c r="E179" t="n">
        <v>9347.597</v>
      </c>
      <c r="F179" t="n">
        <v>65.547</v>
      </c>
      <c r="G179" t="n">
        <v>1120.88</v>
      </c>
      <c r="H179" t="n">
        <v>783.963</v>
      </c>
      <c r="I179" t="n">
        <v>67.03100000000001</v>
      </c>
      <c r="J179" t="n">
        <v>6032.885</v>
      </c>
    </row>
    <row r="180">
      <c r="A180" t="inlineStr">
        <is>
          <t>01/07/1991</t>
        </is>
      </c>
      <c r="B180" t="n">
        <v>3.7</v>
      </c>
      <c r="C180" t="n">
        <v>748.5359999999999</v>
      </c>
      <c r="D180" t="n">
        <v>2408.467</v>
      </c>
      <c r="E180" t="n">
        <v>9394.834000000001</v>
      </c>
      <c r="F180" t="n">
        <v>66.05</v>
      </c>
      <c r="G180" t="n">
        <v>1143.073</v>
      </c>
      <c r="H180" t="n">
        <v>806.025</v>
      </c>
      <c r="I180" t="n">
        <v>67.63500000000001</v>
      </c>
      <c r="J180" t="n">
        <v>6062.964</v>
      </c>
    </row>
    <row r="181">
      <c r="A181" t="inlineStr">
        <is>
          <t>01/10/1991</t>
        </is>
      </c>
      <c r="B181" t="n">
        <v>3.2</v>
      </c>
      <c r="C181" t="n">
        <v>765.391</v>
      </c>
      <c r="D181" t="n">
        <v>2390.844</v>
      </c>
      <c r="E181" t="n">
        <v>9427.581</v>
      </c>
      <c r="F181" t="n">
        <v>66.434</v>
      </c>
      <c r="G181" t="n">
        <v>1183.605</v>
      </c>
      <c r="H181" t="n">
        <v>823.831</v>
      </c>
      <c r="I181" t="n">
        <v>68.167</v>
      </c>
      <c r="J181" t="n">
        <v>6059.93</v>
      </c>
    </row>
    <row r="182">
      <c r="A182" t="inlineStr">
        <is>
          <t>01/01/1992</t>
        </is>
      </c>
      <c r="B182" t="n">
        <v>3.1</v>
      </c>
      <c r="C182" t="n">
        <v>779.228</v>
      </c>
      <c r="D182" t="n">
        <v>2412.033</v>
      </c>
      <c r="E182" t="n">
        <v>9540.444</v>
      </c>
      <c r="F182" t="n">
        <v>66.7</v>
      </c>
      <c r="G182" t="n">
        <v>1161.74</v>
      </c>
      <c r="H182" t="n">
        <v>829.8150000000001</v>
      </c>
      <c r="I182" t="n">
        <v>68.688</v>
      </c>
      <c r="J182" t="n">
        <v>6173.393</v>
      </c>
    </row>
    <row r="183">
      <c r="A183" t="inlineStr">
        <is>
          <t>01/04/1992</t>
        </is>
      </c>
      <c r="B183" t="n">
        <v>2.9</v>
      </c>
      <c r="C183" t="n">
        <v>779.599</v>
      </c>
      <c r="D183" t="n">
        <v>2407.369</v>
      </c>
      <c r="E183" t="n">
        <v>9643.893</v>
      </c>
      <c r="F183" t="n">
        <v>67.098</v>
      </c>
      <c r="G183" t="n">
        <v>1227.44</v>
      </c>
      <c r="H183" t="n">
        <v>843.457</v>
      </c>
      <c r="I183" t="n">
        <v>69.173</v>
      </c>
      <c r="J183" t="n">
        <v>6215.3</v>
      </c>
    </row>
    <row r="184">
      <c r="A184" t="inlineStr">
        <is>
          <t>01/07/1992</t>
        </is>
      </c>
      <c r="B184" t="n">
        <v>2.4</v>
      </c>
      <c r="C184" t="n">
        <v>796.12</v>
      </c>
      <c r="D184" t="n">
        <v>2422.703</v>
      </c>
      <c r="E184" t="n">
        <v>9739.184999999999</v>
      </c>
      <c r="F184" t="n">
        <v>67.419</v>
      </c>
      <c r="G184" t="n">
        <v>1237.197</v>
      </c>
      <c r="H184" t="n">
        <v>856.753</v>
      </c>
      <c r="I184" t="n">
        <v>69.583</v>
      </c>
      <c r="J184" t="n">
        <v>6281.923</v>
      </c>
    </row>
    <row r="185">
      <c r="A185" t="inlineStr">
        <is>
          <t>01/10/1992</t>
        </is>
      </c>
      <c r="B185" t="n">
        <v>3</v>
      </c>
      <c r="C185" t="n">
        <v>800.11</v>
      </c>
      <c r="D185" t="n">
        <v>2422.424</v>
      </c>
      <c r="E185" t="n">
        <v>9840.753000000001</v>
      </c>
      <c r="F185" t="n">
        <v>67.89400000000001</v>
      </c>
      <c r="G185" t="n">
        <v>1274.945</v>
      </c>
      <c r="H185" t="n">
        <v>877.263</v>
      </c>
      <c r="I185" t="n">
        <v>70.093</v>
      </c>
      <c r="J185" t="n">
        <v>6356.796</v>
      </c>
    </row>
    <row r="186">
      <c r="A186" t="inlineStr">
        <is>
          <t>01/01/1993</t>
        </is>
      </c>
      <c r="B186" t="n">
        <v>2.8</v>
      </c>
      <c r="C186" t="n">
        <v>801.896</v>
      </c>
      <c r="D186" t="n">
        <v>2392.371</v>
      </c>
      <c r="E186" t="n">
        <v>9857.184999999999</v>
      </c>
      <c r="F186" t="n">
        <v>68.298</v>
      </c>
      <c r="G186" t="n">
        <v>1305.003</v>
      </c>
      <c r="H186" t="n">
        <v>896.2569999999999</v>
      </c>
      <c r="I186" t="n">
        <v>70.57599999999999</v>
      </c>
      <c r="J186" t="n">
        <v>6381.168</v>
      </c>
    </row>
    <row r="187">
      <c r="A187" t="inlineStr">
        <is>
          <t>01/04/1993</t>
        </is>
      </c>
      <c r="B187" t="n">
        <v>3.1</v>
      </c>
      <c r="C187" t="n">
        <v>811.48</v>
      </c>
      <c r="D187" t="n">
        <v>2392.585</v>
      </c>
      <c r="E187" t="n">
        <v>9914.565000000001</v>
      </c>
      <c r="F187" t="n">
        <v>68.70099999999999</v>
      </c>
      <c r="G187" t="n">
        <v>1312.511</v>
      </c>
      <c r="H187" t="n">
        <v>914.774</v>
      </c>
      <c r="I187" t="n">
        <v>71.11199999999999</v>
      </c>
      <c r="J187" t="n">
        <v>6439.211</v>
      </c>
    </row>
    <row r="188">
      <c r="A188" t="inlineStr">
        <is>
          <t>01/07/1993</t>
        </is>
      </c>
      <c r="B188" t="n">
        <v>2.3</v>
      </c>
      <c r="C188" t="n">
        <v>809.299</v>
      </c>
      <c r="D188" t="n">
        <v>2395.987</v>
      </c>
      <c r="E188" t="n">
        <v>9961.873</v>
      </c>
      <c r="F188" t="n">
        <v>69.04600000000001</v>
      </c>
      <c r="G188" t="n">
        <v>1303.597</v>
      </c>
      <c r="H188" t="n">
        <v>926.821</v>
      </c>
      <c r="I188" t="n">
        <v>71.509</v>
      </c>
      <c r="J188" t="n">
        <v>6510.874</v>
      </c>
    </row>
    <row r="189">
      <c r="A189" t="inlineStr">
        <is>
          <t>01/10/1993</t>
        </is>
      </c>
      <c r="B189" t="n">
        <v>2.1</v>
      </c>
      <c r="C189" t="n">
        <v>835.384</v>
      </c>
      <c r="D189" t="n">
        <v>2404.447</v>
      </c>
      <c r="E189" t="n">
        <v>10097.362</v>
      </c>
      <c r="F189" t="n">
        <v>69.452</v>
      </c>
      <c r="G189" t="n">
        <v>1372.097</v>
      </c>
      <c r="H189" t="n">
        <v>964.0549999999999</v>
      </c>
      <c r="I189" t="n">
        <v>71.877</v>
      </c>
      <c r="J189" t="n">
        <v>6568.028</v>
      </c>
    </row>
    <row r="190">
      <c r="A190" t="inlineStr">
        <is>
          <t>01/01/1994</t>
        </is>
      </c>
      <c r="B190" t="n">
        <v>1.8</v>
      </c>
      <c r="C190" t="n">
        <v>843.5839999999999</v>
      </c>
      <c r="D190" t="n">
        <v>2374.698</v>
      </c>
      <c r="E190" t="n">
        <v>10195.338</v>
      </c>
      <c r="F190" t="n">
        <v>69.807</v>
      </c>
      <c r="G190" t="n">
        <v>1424.36</v>
      </c>
      <c r="H190" t="n">
        <v>986.514</v>
      </c>
      <c r="I190" t="n">
        <v>72.203</v>
      </c>
      <c r="J190" t="n">
        <v>6643.151</v>
      </c>
    </row>
    <row r="191">
      <c r="A191" t="inlineStr">
        <is>
          <t>01/04/1994</t>
        </is>
      </c>
      <c r="B191" t="n">
        <v>2.7</v>
      </c>
      <c r="C191" t="n">
        <v>872.0650000000001</v>
      </c>
      <c r="D191" t="n">
        <v>2386.451</v>
      </c>
      <c r="E191" t="n">
        <v>10333.495</v>
      </c>
      <c r="F191" t="n">
        <v>70.14</v>
      </c>
      <c r="G191" t="n">
        <v>1494.411</v>
      </c>
      <c r="H191" t="n">
        <v>1023.272</v>
      </c>
      <c r="I191" t="n">
        <v>72.68899999999999</v>
      </c>
      <c r="J191" t="n">
        <v>6694.839</v>
      </c>
    </row>
    <row r="192">
      <c r="A192" t="inlineStr">
        <is>
          <t>01/07/1994</t>
        </is>
      </c>
      <c r="B192" t="n">
        <v>2.3</v>
      </c>
      <c r="C192" t="n">
        <v>904.705</v>
      </c>
      <c r="D192" t="n">
        <v>2426.679</v>
      </c>
      <c r="E192" t="n">
        <v>10393.898</v>
      </c>
      <c r="F192" t="n">
        <v>70.514</v>
      </c>
      <c r="G192" t="n">
        <v>1469.999</v>
      </c>
      <c r="H192" t="n">
        <v>1052.047</v>
      </c>
      <c r="I192" t="n">
        <v>73.095</v>
      </c>
      <c r="J192" t="n">
        <v>6745.887</v>
      </c>
    </row>
    <row r="193">
      <c r="A193" t="inlineStr">
        <is>
          <t>01/10/1994</t>
        </is>
      </c>
      <c r="B193" t="n">
        <v>2.1</v>
      </c>
      <c r="C193" t="n">
        <v>925.5890000000001</v>
      </c>
      <c r="D193" t="n">
        <v>2405.565</v>
      </c>
      <c r="E193" t="n">
        <v>10512.962</v>
      </c>
      <c r="F193" t="n">
        <v>70.907</v>
      </c>
      <c r="G193" t="n">
        <v>1530.476</v>
      </c>
      <c r="H193" t="n">
        <v>1081.647</v>
      </c>
      <c r="I193" t="n">
        <v>73.467</v>
      </c>
      <c r="J193" t="n">
        <v>6818.819</v>
      </c>
    </row>
    <row r="194">
      <c r="A194" t="inlineStr">
        <is>
          <t>01/01/1995</t>
        </is>
      </c>
      <c r="B194" t="n">
        <v>2.1</v>
      </c>
      <c r="C194" t="n">
        <v>943.418</v>
      </c>
      <c r="D194" t="n">
        <v>2413.98</v>
      </c>
      <c r="E194" t="n">
        <v>10550.251</v>
      </c>
      <c r="F194" t="n">
        <v>71.31100000000001</v>
      </c>
      <c r="G194" t="n">
        <v>1546.548</v>
      </c>
      <c r="H194" t="n">
        <v>1105.38</v>
      </c>
      <c r="I194" t="n">
        <v>73.852</v>
      </c>
      <c r="J194" t="n">
        <v>6835.791</v>
      </c>
    </row>
    <row r="195">
      <c r="A195" t="inlineStr">
        <is>
          <t>01/04/1995</t>
        </is>
      </c>
      <c r="B195" t="n">
        <v>2.4</v>
      </c>
      <c r="C195" t="n">
        <v>956.647</v>
      </c>
      <c r="D195" t="n">
        <v>2422.091</v>
      </c>
      <c r="E195" t="n">
        <v>10581.723</v>
      </c>
      <c r="F195" t="n">
        <v>71.661</v>
      </c>
      <c r="G195" t="n">
        <v>1514.426</v>
      </c>
      <c r="H195" t="n">
        <v>1115.878</v>
      </c>
      <c r="I195" t="n">
        <v>74.29000000000001</v>
      </c>
      <c r="J195" t="n">
        <v>6895.718</v>
      </c>
    </row>
    <row r="196">
      <c r="A196" t="inlineStr">
        <is>
          <t>01/07/1995</t>
        </is>
      </c>
      <c r="B196" t="n">
        <v>1.9</v>
      </c>
      <c r="C196" t="n">
        <v>998.046</v>
      </c>
      <c r="D196" t="n">
        <v>2415.736</v>
      </c>
      <c r="E196" t="n">
        <v>10671.738</v>
      </c>
      <c r="F196" t="n">
        <v>71.982</v>
      </c>
      <c r="G196" t="n">
        <v>1505.399</v>
      </c>
      <c r="H196" t="n">
        <v>1119.712</v>
      </c>
      <c r="I196" t="n">
        <v>74.64400000000001</v>
      </c>
      <c r="J196" t="n">
        <v>6958.21</v>
      </c>
    </row>
    <row r="197">
      <c r="A197" t="inlineStr">
        <is>
          <t>01/10/1995</t>
        </is>
      </c>
      <c r="B197" t="n">
        <v>2</v>
      </c>
      <c r="C197" t="n">
        <v>1012.295</v>
      </c>
      <c r="D197" t="n">
        <v>2390.46</v>
      </c>
      <c r="E197" t="n">
        <v>10744.203</v>
      </c>
      <c r="F197" t="n">
        <v>72.322</v>
      </c>
      <c r="G197" t="n">
        <v>1542.785</v>
      </c>
      <c r="H197" t="n">
        <v>1134.024</v>
      </c>
      <c r="I197" t="n">
        <v>75.01900000000001</v>
      </c>
      <c r="J197" t="n">
        <v>7006.747</v>
      </c>
    </row>
    <row r="198">
      <c r="A198" t="inlineStr">
        <is>
          <t>01/01/1996</t>
        </is>
      </c>
      <c r="B198" t="n">
        <v>1.6</v>
      </c>
      <c r="C198" t="n">
        <v>1024.482</v>
      </c>
      <c r="D198" t="n">
        <v>2406.228</v>
      </c>
      <c r="E198" t="n">
        <v>10824.674</v>
      </c>
      <c r="F198" t="n">
        <v>72.655</v>
      </c>
      <c r="G198" t="n">
        <v>1567.56</v>
      </c>
      <c r="H198" t="n">
        <v>1170.888</v>
      </c>
      <c r="I198" t="n">
        <v>75.313</v>
      </c>
      <c r="J198" t="n">
        <v>7071.369</v>
      </c>
    </row>
    <row r="199">
      <c r="A199" t="inlineStr">
        <is>
          <t>01/04/1996</t>
        </is>
      </c>
      <c r="B199" t="n">
        <v>1.9</v>
      </c>
      <c r="C199" t="n">
        <v>1041.134</v>
      </c>
      <c r="D199" t="n">
        <v>2436.198</v>
      </c>
      <c r="E199" t="n">
        <v>11005.217</v>
      </c>
      <c r="F199" t="n">
        <v>72.952</v>
      </c>
      <c r="G199" t="n">
        <v>1642.882</v>
      </c>
      <c r="H199" t="n">
        <v>1197.092</v>
      </c>
      <c r="I199" t="n">
        <v>75.672</v>
      </c>
      <c r="J199" t="n">
        <v>7147.441</v>
      </c>
    </row>
    <row r="200">
      <c r="A200" t="inlineStr">
        <is>
          <t>01/07/1996</t>
        </is>
      </c>
      <c r="B200" t="n">
        <v>1.8</v>
      </c>
      <c r="C200" t="n">
        <v>1049.548</v>
      </c>
      <c r="D200" t="n">
        <v>2436.182</v>
      </c>
      <c r="E200" t="n">
        <v>11103.935</v>
      </c>
      <c r="F200" t="n">
        <v>73.306</v>
      </c>
      <c r="G200" t="n">
        <v>1717.51</v>
      </c>
      <c r="H200" t="n">
        <v>1235.904</v>
      </c>
      <c r="I200" t="n">
        <v>76.017</v>
      </c>
      <c r="J200" t="n">
        <v>7190.713</v>
      </c>
    </row>
    <row r="201">
      <c r="A201" t="inlineStr">
        <is>
          <t>01/10/1996</t>
        </is>
      </c>
      <c r="B201" t="n">
        <v>2.3</v>
      </c>
      <c r="C201" t="n">
        <v>1114.975</v>
      </c>
      <c r="D201" t="n">
        <v>2452.994</v>
      </c>
      <c r="E201" t="n">
        <v>11219.238</v>
      </c>
      <c r="F201" t="n">
        <v>73.616</v>
      </c>
      <c r="G201" t="n">
        <v>1715.245</v>
      </c>
      <c r="H201" t="n">
        <v>1260.278</v>
      </c>
      <c r="I201" t="n">
        <v>76.45</v>
      </c>
      <c r="J201" t="n">
        <v>7247.987</v>
      </c>
    </row>
    <row r="202">
      <c r="A202" t="inlineStr">
        <is>
          <t>01/01/1997</t>
        </is>
      </c>
      <c r="B202" t="n">
        <v>1.6</v>
      </c>
      <c r="C202" t="n">
        <v>1136.155</v>
      </c>
      <c r="D202" t="n">
        <v>2440.245</v>
      </c>
      <c r="E202" t="n">
        <v>11291.665</v>
      </c>
      <c r="F202" t="n">
        <v>73.946</v>
      </c>
      <c r="G202" t="n">
        <v>1749.879</v>
      </c>
      <c r="H202" t="n">
        <v>1314.106</v>
      </c>
      <c r="I202" t="n">
        <v>76.75</v>
      </c>
      <c r="J202" t="n">
        <v>7324.388</v>
      </c>
    </row>
    <row r="203">
      <c r="A203" t="inlineStr">
        <is>
          <t>01/04/1997</t>
        </is>
      </c>
      <c r="B203" t="n">
        <v>2.1</v>
      </c>
      <c r="C203" t="n">
        <v>1181.574</v>
      </c>
      <c r="D203" t="n">
        <v>2471.867</v>
      </c>
      <c r="E203" t="n">
        <v>11479.33</v>
      </c>
      <c r="F203" t="n">
        <v>74.31399999999999</v>
      </c>
      <c r="G203" t="n">
        <v>1856.956</v>
      </c>
      <c r="H203" t="n">
        <v>1358.212</v>
      </c>
      <c r="I203" t="n">
        <v>77.15000000000001</v>
      </c>
      <c r="J203" t="n">
        <v>7357.362</v>
      </c>
    </row>
    <row r="204">
      <c r="A204" t="inlineStr">
        <is>
          <t>01/07/1997</t>
        </is>
      </c>
      <c r="B204" t="n">
        <v>0.9</v>
      </c>
      <c r="C204" t="n">
        <v>1208.942</v>
      </c>
      <c r="D204" t="n">
        <v>2483.31</v>
      </c>
      <c r="E204" t="n">
        <v>11622.911</v>
      </c>
      <c r="F204" t="n">
        <v>74.535</v>
      </c>
      <c r="G204" t="n">
        <v>1882.955</v>
      </c>
      <c r="H204" t="n">
        <v>1408.264</v>
      </c>
      <c r="I204" t="n">
        <v>77.33</v>
      </c>
      <c r="J204" t="n">
        <v>7482.713</v>
      </c>
    </row>
    <row r="205">
      <c r="A205" t="inlineStr">
        <is>
          <t>01/10/1997</t>
        </is>
      </c>
      <c r="B205" t="n">
        <v>1.3</v>
      </c>
      <c r="C205" t="n">
        <v>1207.259</v>
      </c>
      <c r="D205" t="n">
        <v>2495.772</v>
      </c>
      <c r="E205" t="n">
        <v>11722.722</v>
      </c>
      <c r="F205" t="n">
        <v>74.80200000000001</v>
      </c>
      <c r="G205" t="n">
        <v>1911.048</v>
      </c>
      <c r="H205" t="n">
        <v>1438.655</v>
      </c>
      <c r="I205" t="n">
        <v>77.575</v>
      </c>
      <c r="J205" t="n">
        <v>7572.147</v>
      </c>
    </row>
    <row r="206">
      <c r="A206" t="inlineStr">
        <is>
          <t>01/01/1998</t>
        </is>
      </c>
      <c r="B206" t="n">
        <v>1.2</v>
      </c>
      <c r="C206" t="n">
        <v>1212.914</v>
      </c>
      <c r="D206" t="n">
        <v>2486.841</v>
      </c>
      <c r="E206" t="n">
        <v>11839.876</v>
      </c>
      <c r="F206" t="n">
        <v>74.878</v>
      </c>
      <c r="G206" t="n">
        <v>1994.375</v>
      </c>
      <c r="H206" t="n">
        <v>1492.613</v>
      </c>
      <c r="I206" t="n">
        <v>77.804</v>
      </c>
      <c r="J206" t="n">
        <v>7648.741</v>
      </c>
    </row>
    <row r="207">
      <c r="A207" t="inlineStr">
        <is>
          <t>01/04/1998</t>
        </is>
      </c>
      <c r="B207" t="n">
        <v>1.2</v>
      </c>
      <c r="C207" t="n">
        <v>1199.525</v>
      </c>
      <c r="D207" t="n">
        <v>2530.365</v>
      </c>
      <c r="E207" t="n">
        <v>11949.492</v>
      </c>
      <c r="F207" t="n">
        <v>75.072</v>
      </c>
      <c r="G207" t="n">
        <v>1982.058</v>
      </c>
      <c r="H207" t="n">
        <v>1526.822</v>
      </c>
      <c r="I207" t="n">
        <v>78.042</v>
      </c>
      <c r="J207" t="n">
        <v>7783.43</v>
      </c>
    </row>
    <row r="208">
      <c r="A208" t="inlineStr">
        <is>
          <t>01/07/1998</t>
        </is>
      </c>
      <c r="B208" t="n">
        <v>1.4</v>
      </c>
      <c r="C208" t="n">
        <v>1193.945</v>
      </c>
      <c r="D208" t="n">
        <v>2549.426</v>
      </c>
      <c r="E208" t="n">
        <v>12099.191</v>
      </c>
      <c r="F208" t="n">
        <v>75.363</v>
      </c>
      <c r="G208" t="n">
        <v>2033.015</v>
      </c>
      <c r="H208" t="n">
        <v>1547.423</v>
      </c>
      <c r="I208" t="n">
        <v>78.319</v>
      </c>
      <c r="J208" t="n">
        <v>7884.929</v>
      </c>
    </row>
    <row r="209">
      <c r="A209" t="inlineStr">
        <is>
          <t>01/10/1998</t>
        </is>
      </c>
      <c r="B209" t="n">
        <v>1.3</v>
      </c>
      <c r="C209" t="n">
        <v>1238.119</v>
      </c>
      <c r="D209" t="n">
        <v>2564.473</v>
      </c>
      <c r="E209" t="n">
        <v>12294.737</v>
      </c>
      <c r="F209" t="n">
        <v>75.565</v>
      </c>
      <c r="G209" t="n">
        <v>2095.76</v>
      </c>
      <c r="H209" t="n">
        <v>1597.507</v>
      </c>
      <c r="I209" t="n">
        <v>78.568</v>
      </c>
      <c r="J209" t="n">
        <v>7998.842</v>
      </c>
    </row>
    <row r="210">
      <c r="A210" t="inlineStr">
        <is>
          <t>01/01/1999</t>
        </is>
      </c>
      <c r="B210" t="n">
        <v>1</v>
      </c>
      <c r="C210" t="n">
        <v>1234.528</v>
      </c>
      <c r="D210" t="n">
        <v>2582.887</v>
      </c>
      <c r="E210" t="n">
        <v>12410.778</v>
      </c>
      <c r="F210" t="n">
        <v>75.76900000000001</v>
      </c>
      <c r="G210" t="n">
        <v>2153.308</v>
      </c>
      <c r="H210" t="n">
        <v>1642.647</v>
      </c>
      <c r="I210" t="n">
        <v>78.76600000000001</v>
      </c>
      <c r="J210" t="n">
        <v>8080.996</v>
      </c>
    </row>
    <row r="211">
      <c r="A211" t="inlineStr">
        <is>
          <t>01/04/1999</t>
        </is>
      </c>
      <c r="B211" t="n">
        <v>1.4</v>
      </c>
      <c r="C211" t="n">
        <v>1249.611</v>
      </c>
      <c r="D211" t="n">
        <v>2592.218</v>
      </c>
      <c r="E211" t="n">
        <v>12514.408</v>
      </c>
      <c r="F211" t="n">
        <v>76.11199999999999</v>
      </c>
      <c r="G211" t="n">
        <v>2154.652</v>
      </c>
      <c r="H211" t="n">
        <v>1689.823</v>
      </c>
      <c r="I211" t="n">
        <v>79.039</v>
      </c>
      <c r="J211" t="n">
        <v>8204.75</v>
      </c>
    </row>
    <row r="212">
      <c r="A212" t="inlineStr">
        <is>
          <t>01/07/1999</t>
        </is>
      </c>
      <c r="B212" t="n">
        <v>1.5</v>
      </c>
      <c r="C212" t="n">
        <v>1287.16</v>
      </c>
      <c r="D212" t="n">
        <v>2623.423</v>
      </c>
      <c r="E212" t="n">
        <v>12679.977</v>
      </c>
      <c r="F212" t="n">
        <v>76.404</v>
      </c>
      <c r="G212" t="n">
        <v>2213.773</v>
      </c>
      <c r="H212" t="n">
        <v>1750.911</v>
      </c>
      <c r="I212" t="n">
        <v>79.33</v>
      </c>
      <c r="J212" t="n">
        <v>8296.987999999999</v>
      </c>
    </row>
    <row r="213">
      <c r="A213" t="inlineStr">
        <is>
          <t>01/10/1999</t>
        </is>
      </c>
      <c r="B213" t="n">
        <v>1.9</v>
      </c>
      <c r="C213" t="n">
        <v>1314.637</v>
      </c>
      <c r="D213" t="n">
        <v>2664.236</v>
      </c>
      <c r="E213" t="n">
        <v>12888.281</v>
      </c>
      <c r="F213" t="n">
        <v>76.806</v>
      </c>
      <c r="G213" t="n">
        <v>2273.095</v>
      </c>
      <c r="H213" t="n">
        <v>1795.697</v>
      </c>
      <c r="I213" t="n">
        <v>79.703</v>
      </c>
      <c r="J213" t="n">
        <v>8418.349</v>
      </c>
    </row>
    <row r="214">
      <c r="A214" t="inlineStr">
        <is>
          <t>01/01/2000</t>
        </is>
      </c>
      <c r="B214" t="n">
        <v>2.1</v>
      </c>
      <c r="C214" t="n">
        <v>1333.666</v>
      </c>
      <c r="D214" t="n">
        <v>2645.323</v>
      </c>
      <c r="E214" t="n">
        <v>12935.252</v>
      </c>
      <c r="F214" t="n">
        <v>77.318</v>
      </c>
      <c r="G214" t="n">
        <v>2257.109</v>
      </c>
      <c r="H214" t="n">
        <v>1863.488</v>
      </c>
      <c r="I214" t="n">
        <v>80.121</v>
      </c>
      <c r="J214" t="n">
        <v>8545.638999999999</v>
      </c>
    </row>
    <row r="215">
      <c r="A215" t="inlineStr">
        <is>
          <t>01/04/2000</t>
        </is>
      </c>
      <c r="B215" t="n">
        <v>1.4</v>
      </c>
      <c r="C215" t="n">
        <v>1374.292</v>
      </c>
      <c r="D215" t="n">
        <v>2671.398</v>
      </c>
      <c r="E215" t="n">
        <v>13170.749</v>
      </c>
      <c r="F215" t="n">
        <v>77.783</v>
      </c>
      <c r="G215" t="n">
        <v>2390.733</v>
      </c>
      <c r="H215" t="n">
        <v>1922.854</v>
      </c>
      <c r="I215" t="n">
        <v>80.40000000000001</v>
      </c>
      <c r="J215" t="n">
        <v>8625.434999999999</v>
      </c>
    </row>
    <row r="216">
      <c r="A216" t="inlineStr">
        <is>
          <t>01/07/2000</t>
        </is>
      </c>
      <c r="B216" t="n">
        <v>1.9</v>
      </c>
      <c r="C216" t="n">
        <v>1407.33</v>
      </c>
      <c r="D216" t="n">
        <v>2660.139</v>
      </c>
      <c r="E216" t="n">
        <v>13183.89</v>
      </c>
      <c r="F216" t="n">
        <v>78.27</v>
      </c>
      <c r="G216" t="n">
        <v>2367.274</v>
      </c>
      <c r="H216" t="n">
        <v>1992.04</v>
      </c>
      <c r="I216" t="n">
        <v>80.788</v>
      </c>
      <c r="J216" t="n">
        <v>8708.074000000001</v>
      </c>
    </row>
    <row r="217">
      <c r="A217" t="inlineStr">
        <is>
          <t>01/10/2000</t>
        </is>
      </c>
      <c r="B217" t="n">
        <v>2</v>
      </c>
      <c r="C217" t="n">
        <v>1393.349</v>
      </c>
      <c r="D217" t="n">
        <v>2676.446</v>
      </c>
      <c r="E217" t="n">
        <v>13262.25</v>
      </c>
      <c r="F217" t="n">
        <v>78.694</v>
      </c>
      <c r="G217" t="n">
        <v>2371.809</v>
      </c>
      <c r="H217" t="n">
        <v>1994.953</v>
      </c>
      <c r="I217" t="n">
        <v>81.18899999999999</v>
      </c>
      <c r="J217" t="n">
        <v>8784.155000000001</v>
      </c>
    </row>
    <row r="218">
      <c r="A218" t="inlineStr">
        <is>
          <t>01/01/2001</t>
        </is>
      </c>
      <c r="B218" t="n">
        <v>2.6</v>
      </c>
      <c r="C218" t="n">
        <v>1375.8</v>
      </c>
      <c r="D218" t="n">
        <v>2718.291</v>
      </c>
      <c r="E218" t="n">
        <v>13219.251</v>
      </c>
      <c r="F218" t="n">
        <v>79.233</v>
      </c>
      <c r="G218" t="n">
        <v>2264.202</v>
      </c>
      <c r="H218" t="n">
        <v>1969.218</v>
      </c>
      <c r="I218" t="n">
        <v>81.71599999999999</v>
      </c>
      <c r="J218" t="n">
        <v>8816.013999999999</v>
      </c>
    </row>
    <row r="219">
      <c r="A219" t="inlineStr">
        <is>
          <t>01/04/2001</t>
        </is>
      </c>
      <c r="B219" t="n">
        <v>1.5</v>
      </c>
      <c r="C219" t="n">
        <v>1335.433</v>
      </c>
      <c r="D219" t="n">
        <v>2765.415</v>
      </c>
      <c r="E219" t="n">
        <v>13301.394</v>
      </c>
      <c r="F219" t="n">
        <v>79.761</v>
      </c>
      <c r="G219" t="n">
        <v>2267.433</v>
      </c>
      <c r="H219" t="n">
        <v>1906.189</v>
      </c>
      <c r="I219" t="n">
        <v>82.02500000000001</v>
      </c>
      <c r="J219" t="n">
        <v>8833.726000000001</v>
      </c>
    </row>
    <row r="220">
      <c r="A220" t="inlineStr">
        <is>
          <t>01/07/2001</t>
        </is>
      </c>
      <c r="B220" t="n">
        <v>1</v>
      </c>
      <c r="C220" t="n">
        <v>1266.999</v>
      </c>
      <c r="D220" t="n">
        <v>2762.681</v>
      </c>
      <c r="E220" t="n">
        <v>13248.142</v>
      </c>
      <c r="F220" t="n">
        <v>80.003</v>
      </c>
      <c r="G220" t="n">
        <v>2218.37</v>
      </c>
      <c r="H220" t="n">
        <v>1862.95</v>
      </c>
      <c r="I220" t="n">
        <v>82.23699999999999</v>
      </c>
      <c r="J220" t="n">
        <v>8864.465</v>
      </c>
    </row>
    <row r="221">
      <c r="A221" t="inlineStr">
        <is>
          <t>01/10/2001</t>
        </is>
      </c>
      <c r="B221" t="n">
        <v>1.9</v>
      </c>
      <c r="C221" t="n">
        <v>1222.907</v>
      </c>
      <c r="D221" t="n">
        <v>2808.498</v>
      </c>
      <c r="E221" t="n">
        <v>13284.881</v>
      </c>
      <c r="F221" t="n">
        <v>80.261</v>
      </c>
      <c r="G221" t="n">
        <v>2108.5</v>
      </c>
      <c r="H221" t="n">
        <v>1843.656</v>
      </c>
      <c r="I221" t="n">
        <v>82.634</v>
      </c>
      <c r="J221" t="n">
        <v>9007.494000000001</v>
      </c>
    </row>
    <row r="222">
      <c r="A222" t="inlineStr">
        <is>
          <t>01/01/2002</t>
        </is>
      </c>
      <c r="B222" t="n">
        <v>1.2</v>
      </c>
      <c r="C222" t="n">
        <v>1249.62</v>
      </c>
      <c r="D222" t="n">
        <v>2857.336</v>
      </c>
      <c r="E222" t="n">
        <v>13394.91</v>
      </c>
      <c r="F222" t="n">
        <v>80.47499999999999</v>
      </c>
      <c r="G222" t="n">
        <v>2170.707</v>
      </c>
      <c r="H222" t="n">
        <v>1896.04</v>
      </c>
      <c r="I222" t="n">
        <v>82.88800000000001</v>
      </c>
      <c r="J222" t="n">
        <v>9027.548000000001</v>
      </c>
    </row>
    <row r="223">
      <c r="A223" t="inlineStr">
        <is>
          <t>01/04/2002</t>
        </is>
      </c>
      <c r="B223" t="n">
        <v>2.2</v>
      </c>
      <c r="C223" t="n">
        <v>1286.817</v>
      </c>
      <c r="D223" t="n">
        <v>2879.282</v>
      </c>
      <c r="E223" t="n">
        <v>13477.356</v>
      </c>
      <c r="F223" t="n">
        <v>80.794</v>
      </c>
      <c r="G223" t="n">
        <v>2206.375</v>
      </c>
      <c r="H223" t="n">
        <v>1959.578</v>
      </c>
      <c r="I223" t="n">
        <v>83.34399999999999</v>
      </c>
      <c r="J223" t="n">
        <v>9073.212</v>
      </c>
    </row>
    <row r="224">
      <c r="A224" t="inlineStr">
        <is>
          <t>01/07/2002</t>
        </is>
      </c>
      <c r="B224" t="n">
        <v>2.1</v>
      </c>
      <c r="C224" t="n">
        <v>1290.868</v>
      </c>
      <c r="D224" t="n">
        <v>2894.18</v>
      </c>
      <c r="E224" t="n">
        <v>13531.741</v>
      </c>
      <c r="F224" t="n">
        <v>81.155</v>
      </c>
      <c r="G224" t="n">
        <v>2203.109</v>
      </c>
      <c r="H224" t="n">
        <v>1984.492</v>
      </c>
      <c r="I224" t="n">
        <v>83.788</v>
      </c>
      <c r="J224" t="n">
        <v>9136.709000000001</v>
      </c>
    </row>
    <row r="225">
      <c r="A225" t="inlineStr">
        <is>
          <t>01/10/2002</t>
        </is>
      </c>
      <c r="B225" t="n">
        <v>1.4</v>
      </c>
      <c r="C225" t="n">
        <v>1271.796</v>
      </c>
      <c r="D225" t="n">
        <v>2915.62</v>
      </c>
      <c r="E225" t="n">
        <v>13549.421</v>
      </c>
      <c r="F225" t="n">
        <v>81.627</v>
      </c>
      <c r="G225" t="n">
        <v>2201.749</v>
      </c>
      <c r="H225" t="n">
        <v>2020.124</v>
      </c>
      <c r="I225" t="n">
        <v>84.086</v>
      </c>
      <c r="J225" t="n">
        <v>9187.527</v>
      </c>
    </row>
    <row r="226">
      <c r="A226" t="inlineStr">
        <is>
          <t>01/01/2003</t>
        </is>
      </c>
      <c r="B226" t="n">
        <v>1.2</v>
      </c>
      <c r="C226" t="n">
        <v>1267.886</v>
      </c>
      <c r="D226" t="n">
        <v>2917.867</v>
      </c>
      <c r="E226" t="n">
        <v>13619.434</v>
      </c>
      <c r="F226" t="n">
        <v>82.068</v>
      </c>
      <c r="G226" t="n">
        <v>2218.685</v>
      </c>
      <c r="H226" t="n">
        <v>2011.331</v>
      </c>
      <c r="I226" t="n">
        <v>84.345</v>
      </c>
      <c r="J226" t="n">
        <v>9232.781999999999</v>
      </c>
    </row>
    <row r="227">
      <c r="A227" t="inlineStr">
        <is>
          <t>01/04/2003</t>
        </is>
      </c>
      <c r="B227" t="n">
        <v>1.5</v>
      </c>
      <c r="C227" t="n">
        <v>1270.133</v>
      </c>
      <c r="D227" t="n">
        <v>2944.719</v>
      </c>
      <c r="E227" t="n">
        <v>13741.107</v>
      </c>
      <c r="F227" t="n">
        <v>82.349</v>
      </c>
      <c r="G227" t="n">
        <v>2233.997</v>
      </c>
      <c r="H227" t="n">
        <v>2040.651</v>
      </c>
      <c r="I227" t="n">
        <v>84.66500000000001</v>
      </c>
      <c r="J227" t="n">
        <v>9338.495000000001</v>
      </c>
    </row>
    <row r="228">
      <c r="A228" t="inlineStr">
        <is>
          <t>01/07/2003</t>
        </is>
      </c>
      <c r="B228" t="n">
        <v>1.8</v>
      </c>
      <c r="C228" t="n">
        <v>1304.816</v>
      </c>
      <c r="D228" t="n">
        <v>2951.221</v>
      </c>
      <c r="E228" t="n">
        <v>13970.157</v>
      </c>
      <c r="F228" t="n">
        <v>82.822</v>
      </c>
      <c r="G228" t="n">
        <v>2315.399</v>
      </c>
      <c r="H228" t="n">
        <v>2072.609</v>
      </c>
      <c r="I228" t="n">
        <v>85.053</v>
      </c>
      <c r="J228" t="n">
        <v>9470.540999999999</v>
      </c>
    </row>
    <row r="229">
      <c r="A229" t="inlineStr">
        <is>
          <t>01/10/2003</t>
        </is>
      </c>
      <c r="B229" t="n">
        <v>1.8</v>
      </c>
      <c r="C229" t="n">
        <v>1363.499</v>
      </c>
      <c r="D229" t="n">
        <v>2969.138</v>
      </c>
      <c r="E229" t="n">
        <v>14131.379</v>
      </c>
      <c r="F229" t="n">
        <v>83.30200000000001</v>
      </c>
      <c r="G229" t="n">
        <v>2393.402</v>
      </c>
      <c r="H229" t="n">
        <v>2138.44</v>
      </c>
      <c r="I229" t="n">
        <v>85.434</v>
      </c>
      <c r="J229" t="n">
        <v>9535.741</v>
      </c>
    </row>
    <row r="230">
      <c r="A230" t="inlineStr">
        <is>
          <t>01/01/2004</t>
        </is>
      </c>
      <c r="B230" t="n">
        <v>2.2</v>
      </c>
      <c r="C230" t="n">
        <v>1394.311</v>
      </c>
      <c r="D230" t="n">
        <v>2982.735</v>
      </c>
      <c r="E230" t="n">
        <v>14212.34</v>
      </c>
      <c r="F230" t="n">
        <v>83.899</v>
      </c>
      <c r="G230" t="n">
        <v>2398.151</v>
      </c>
      <c r="H230" t="n">
        <v>2198.333</v>
      </c>
      <c r="I230" t="n">
        <v>85.90300000000001</v>
      </c>
      <c r="J230" t="n">
        <v>9624.648999999999</v>
      </c>
    </row>
    <row r="231">
      <c r="A231" t="inlineStr">
        <is>
          <t>01/04/2004</t>
        </is>
      </c>
      <c r="B231" t="n">
        <v>2.3</v>
      </c>
      <c r="C231" t="n">
        <v>1423.51</v>
      </c>
      <c r="D231" t="n">
        <v>2990.824</v>
      </c>
      <c r="E231" t="n">
        <v>14323.017</v>
      </c>
      <c r="F231" t="n">
        <v>84.58</v>
      </c>
      <c r="G231" t="n">
        <v>2493.945</v>
      </c>
      <c r="H231" t="n">
        <v>2284.933</v>
      </c>
      <c r="I231" t="n">
        <v>86.395</v>
      </c>
      <c r="J231" t="n">
        <v>9677.165999999999</v>
      </c>
    </row>
    <row r="232">
      <c r="A232" t="inlineStr">
        <is>
          <t>01/07/2004</t>
        </is>
      </c>
      <c r="B232" t="n">
        <v>1.4</v>
      </c>
      <c r="C232" t="n">
        <v>1428.179</v>
      </c>
      <c r="D232" t="n">
        <v>2996.334</v>
      </c>
      <c r="E232" t="n">
        <v>14457.832</v>
      </c>
      <c r="F232" t="n">
        <v>85.116</v>
      </c>
      <c r="G232" t="n">
        <v>2532.635</v>
      </c>
      <c r="H232" t="n">
        <v>2316.604</v>
      </c>
      <c r="I232" t="n">
        <v>86.70399999999999</v>
      </c>
      <c r="J232" t="n">
        <v>9790.835999999999</v>
      </c>
    </row>
    <row r="233">
      <c r="A233" t="inlineStr">
        <is>
          <t>01/10/2004</t>
        </is>
      </c>
      <c r="B233" t="n">
        <v>2.2</v>
      </c>
      <c r="C233" t="n">
        <v>1462.081</v>
      </c>
      <c r="D233" t="n">
        <v>2994.627</v>
      </c>
      <c r="E233" t="n">
        <v>14605.595</v>
      </c>
      <c r="F233" t="n">
        <v>85.77200000000001</v>
      </c>
      <c r="G233" t="n">
        <v>2585.477</v>
      </c>
      <c r="H233" t="n">
        <v>2370.563</v>
      </c>
      <c r="I233" t="n">
        <v>87.17400000000001</v>
      </c>
      <c r="J233" t="n">
        <v>9901.58</v>
      </c>
    </row>
    <row r="234">
      <c r="A234" t="inlineStr">
        <is>
          <t>01/01/2005</t>
        </is>
      </c>
      <c r="B234" t="n">
        <v>2.9</v>
      </c>
      <c r="C234" t="n">
        <v>1489.521</v>
      </c>
      <c r="D234" t="n">
        <v>3009.569</v>
      </c>
      <c r="E234" t="n">
        <v>14767.846</v>
      </c>
      <c r="F234" t="n">
        <v>86.43000000000001</v>
      </c>
      <c r="G234" t="n">
        <v>2658.163</v>
      </c>
      <c r="H234" t="n">
        <v>2390.985</v>
      </c>
      <c r="I234" t="n">
        <v>87.794</v>
      </c>
      <c r="J234" t="n">
        <v>9964.495999999999</v>
      </c>
    </row>
    <row r="235">
      <c r="A235" t="inlineStr">
        <is>
          <t>01/04/2005</t>
        </is>
      </c>
      <c r="B235" t="n">
        <v>2</v>
      </c>
      <c r="C235" t="n">
        <v>1522.746</v>
      </c>
      <c r="D235" t="n">
        <v>3007.831</v>
      </c>
      <c r="E235" t="n">
        <v>14839.707</v>
      </c>
      <c r="F235" t="n">
        <v>87.062</v>
      </c>
      <c r="G235" t="n">
        <v>2622.793</v>
      </c>
      <c r="H235" t="n">
        <v>2422.995</v>
      </c>
      <c r="I235" t="n">
        <v>88.229</v>
      </c>
      <c r="J235" t="n">
        <v>10074.922</v>
      </c>
    </row>
    <row r="236">
      <c r="A236" t="inlineStr">
        <is>
          <t>01/07/2005</t>
        </is>
      </c>
      <c r="B236" t="n">
        <v>1.6</v>
      </c>
      <c r="C236" t="n">
        <v>1522.433</v>
      </c>
      <c r="D236" t="n">
        <v>3017.773</v>
      </c>
      <c r="E236" t="n">
        <v>14956.291</v>
      </c>
      <c r="F236" t="n">
        <v>87.884</v>
      </c>
      <c r="G236" t="n">
        <v>2657.458</v>
      </c>
      <c r="H236" t="n">
        <v>2436.601</v>
      </c>
      <c r="I236" t="n">
        <v>88.57299999999999</v>
      </c>
      <c r="J236" t="n">
        <v>10158.513</v>
      </c>
    </row>
    <row r="237">
      <c r="A237" t="inlineStr">
        <is>
          <t>01/10/2005</t>
        </is>
      </c>
      <c r="B237" t="n">
        <v>2.7</v>
      </c>
      <c r="C237" t="n">
        <v>1569.613</v>
      </c>
      <c r="D237" t="n">
        <v>3020.133</v>
      </c>
      <c r="E237" t="n">
        <v>15041.232</v>
      </c>
      <c r="F237" t="n">
        <v>88.584</v>
      </c>
      <c r="G237" t="n">
        <v>2743.846</v>
      </c>
      <c r="H237" t="n">
        <v>2515.132</v>
      </c>
      <c r="I237" t="n">
        <v>89.16500000000001</v>
      </c>
      <c r="J237" t="n">
        <v>10177.238</v>
      </c>
    </row>
    <row r="238">
      <c r="A238" t="inlineStr">
        <is>
          <t>01/01/2006</t>
        </is>
      </c>
      <c r="B238" t="n">
        <v>2.3</v>
      </c>
      <c r="C238" t="n">
        <v>1633.194</v>
      </c>
      <c r="D238" t="n">
        <v>3058.483</v>
      </c>
      <c r="E238" t="n">
        <v>15244.088</v>
      </c>
      <c r="F238" t="n">
        <v>89.20399999999999</v>
      </c>
      <c r="G238" t="n">
        <v>2784.583</v>
      </c>
      <c r="H238" t="n">
        <v>2566.893</v>
      </c>
      <c r="I238" t="n">
        <v>89.681</v>
      </c>
      <c r="J238" t="n">
        <v>10288.217</v>
      </c>
    </row>
    <row r="239">
      <c r="A239" t="inlineStr">
        <is>
          <t>01/04/2006</t>
        </is>
      </c>
      <c r="B239" t="n">
        <v>3.2</v>
      </c>
      <c r="C239" t="n">
        <v>1663.431</v>
      </c>
      <c r="D239" t="n">
        <v>3057.551</v>
      </c>
      <c r="E239" t="n">
        <v>15281.525</v>
      </c>
      <c r="F239" t="n">
        <v>89.99299999999999</v>
      </c>
      <c r="G239" t="n">
        <v>2766.628</v>
      </c>
      <c r="H239" t="n">
        <v>2592.455</v>
      </c>
      <c r="I239" t="n">
        <v>90.396</v>
      </c>
      <c r="J239" t="n">
        <v>10341.556</v>
      </c>
    </row>
    <row r="240">
      <c r="A240" t="inlineStr">
        <is>
          <t>01/07/2006</t>
        </is>
      </c>
      <c r="B240" t="n">
        <v>2.2</v>
      </c>
      <c r="C240" t="n">
        <v>1661.223</v>
      </c>
      <c r="D240" t="n">
        <v>3053.11</v>
      </c>
      <c r="E240" t="n">
        <v>15304.517</v>
      </c>
      <c r="F240" t="n">
        <v>90.652</v>
      </c>
      <c r="G240" t="n">
        <v>2755.954</v>
      </c>
      <c r="H240" t="n">
        <v>2618.357</v>
      </c>
      <c r="I240" t="n">
        <v>90.883</v>
      </c>
      <c r="J240" t="n">
        <v>10407.966</v>
      </c>
    </row>
    <row r="241">
      <c r="A241" t="inlineStr">
        <is>
          <t>01/10/2006</t>
        </is>
      </c>
      <c r="B241" t="n">
        <v>1.7</v>
      </c>
      <c r="C241" t="n">
        <v>1724.263</v>
      </c>
      <c r="D241" t="n">
        <v>3078.215</v>
      </c>
      <c r="E241" t="n">
        <v>15433.643</v>
      </c>
      <c r="F241" t="n">
        <v>90.997</v>
      </c>
      <c r="G241" t="n">
        <v>2702.487</v>
      </c>
      <c r="H241" t="n">
        <v>2614.992</v>
      </c>
      <c r="I241" t="n">
        <v>91.274</v>
      </c>
      <c r="J241" t="n">
        <v>10507.248</v>
      </c>
    </row>
    <row r="242">
      <c r="A242" t="inlineStr">
        <is>
          <t>01/01/2007</t>
        </is>
      </c>
      <c r="B242" t="n">
        <v>2.8</v>
      </c>
      <c r="C242" t="n">
        <v>1758.449</v>
      </c>
      <c r="D242" t="n">
        <v>3082.482</v>
      </c>
      <c r="E242" t="n">
        <v>15478.956</v>
      </c>
      <c r="F242" t="n">
        <v>91.908</v>
      </c>
      <c r="G242" t="n">
        <v>2683.893</v>
      </c>
      <c r="H242" t="n">
        <v>2653.058</v>
      </c>
      <c r="I242" t="n">
        <v>91.904</v>
      </c>
      <c r="J242" t="n">
        <v>10572.053</v>
      </c>
    </row>
    <row r="243">
      <c r="A243" t="inlineStr">
        <is>
          <t>01/04/2007</t>
        </is>
      </c>
      <c r="B243" t="n">
        <v>1.7</v>
      </c>
      <c r="C243" t="n">
        <v>1785.064</v>
      </c>
      <c r="D243" t="n">
        <v>3110.661</v>
      </c>
      <c r="E243" t="n">
        <v>15577.779</v>
      </c>
      <c r="F243" t="n">
        <v>92.491</v>
      </c>
      <c r="G243" t="n">
        <v>2713.495</v>
      </c>
      <c r="H243" t="n">
        <v>2667.163</v>
      </c>
      <c r="I243" t="n">
        <v>92.286</v>
      </c>
      <c r="J243" t="n">
        <v>10599.795</v>
      </c>
    </row>
    <row r="244">
      <c r="A244" t="inlineStr">
        <is>
          <t>01/07/2007</t>
        </is>
      </c>
      <c r="B244" t="n">
        <v>2</v>
      </c>
      <c r="C244" t="n">
        <v>1840.838</v>
      </c>
      <c r="D244" t="n">
        <v>3124.883</v>
      </c>
      <c r="E244" t="n">
        <v>15671.605</v>
      </c>
      <c r="F244" t="n">
        <v>92.88200000000001</v>
      </c>
      <c r="G244" t="n">
        <v>2686.106</v>
      </c>
      <c r="H244" t="n">
        <v>2682.099</v>
      </c>
      <c r="I244" t="n">
        <v>92.739</v>
      </c>
      <c r="J244" t="n">
        <v>10670.506</v>
      </c>
    </row>
    <row r="245">
      <c r="A245" t="inlineStr">
        <is>
          <t>01/10/2007</t>
        </is>
      </c>
      <c r="B245" t="n">
        <v>2.8</v>
      </c>
      <c r="C245" t="n">
        <v>1883.062</v>
      </c>
      <c r="D245" t="n">
        <v>3149.542</v>
      </c>
      <c r="E245" t="n">
        <v>15767.146</v>
      </c>
      <c r="F245" t="n">
        <v>93.33199999999999</v>
      </c>
      <c r="G245" t="n">
        <v>2653.056</v>
      </c>
      <c r="H245" t="n">
        <v>2656.767</v>
      </c>
      <c r="I245" t="n">
        <v>93.381</v>
      </c>
      <c r="J245" t="n">
        <v>10712.556</v>
      </c>
    </row>
    <row r="246">
      <c r="A246" t="inlineStr">
        <is>
          <t>01/01/2008</t>
        </is>
      </c>
      <c r="B246" t="n">
        <v>2.1</v>
      </c>
      <c r="C246" t="n">
        <v>1913.046</v>
      </c>
      <c r="D246" t="n">
        <v>3156.928</v>
      </c>
      <c r="E246" t="n">
        <v>15702.906</v>
      </c>
      <c r="F246" t="n">
        <v>93.735</v>
      </c>
      <c r="G246" t="n">
        <v>2583.253</v>
      </c>
      <c r="H246" t="n">
        <v>2666.73</v>
      </c>
      <c r="I246" t="n">
        <v>93.875</v>
      </c>
      <c r="J246" t="n">
        <v>10697.867</v>
      </c>
    </row>
    <row r="247">
      <c r="A247" t="inlineStr">
        <is>
          <t>01/04/2008</t>
        </is>
      </c>
      <c r="B247" t="n">
        <v>1.7</v>
      </c>
      <c r="C247" t="n">
        <v>1969.204</v>
      </c>
      <c r="D247" t="n">
        <v>3184.258</v>
      </c>
      <c r="E247" t="n">
        <v>15792.773</v>
      </c>
      <c r="F247" t="n">
        <v>94.075</v>
      </c>
      <c r="G247" t="n">
        <v>2536.403</v>
      </c>
      <c r="H247" t="n">
        <v>2641.498</v>
      </c>
      <c r="I247" t="n">
        <v>94.26900000000001</v>
      </c>
      <c r="J247" t="n">
        <v>10727.347</v>
      </c>
    </row>
    <row r="248">
      <c r="A248" t="inlineStr">
        <is>
          <t>01/07/2008</t>
        </is>
      </c>
      <c r="B248" t="n">
        <v>2.1</v>
      </c>
      <c r="C248" t="n">
        <v>1960.362</v>
      </c>
      <c r="D248" t="n">
        <v>3210.02</v>
      </c>
      <c r="E248" t="n">
        <v>15709.562</v>
      </c>
      <c r="F248" t="n">
        <v>94.804</v>
      </c>
      <c r="G248" t="n">
        <v>2485.549</v>
      </c>
      <c r="H248" t="n">
        <v>2608.161</v>
      </c>
      <c r="I248" t="n">
        <v>94.751</v>
      </c>
      <c r="J248" t="n">
        <v>10644.668</v>
      </c>
    </row>
    <row r="249">
      <c r="A249" t="inlineStr">
        <is>
          <t>01/10/2008</t>
        </is>
      </c>
      <c r="B249" t="n">
        <v>-0.3</v>
      </c>
      <c r="C249" t="n">
        <v>1844.981</v>
      </c>
      <c r="D249" t="n">
        <v>3231.944</v>
      </c>
      <c r="E249" t="n">
        <v>15366.607</v>
      </c>
      <c r="F249" t="n">
        <v>94.97499999999999</v>
      </c>
      <c r="G249" t="n">
        <v>2246.441</v>
      </c>
      <c r="H249" t="n">
        <v>2513.844</v>
      </c>
      <c r="I249" t="n">
        <v>94.676</v>
      </c>
      <c r="J249" t="n">
        <v>10548.872</v>
      </c>
    </row>
    <row r="250">
      <c r="A250" t="inlineStr">
        <is>
          <t>01/01/2009</t>
        </is>
      </c>
      <c r="B250" t="n">
        <v>0</v>
      </c>
      <c r="C250" t="n">
        <v>1697.637</v>
      </c>
      <c r="D250" t="n">
        <v>3268.818</v>
      </c>
      <c r="E250" t="n">
        <v>15187.475</v>
      </c>
      <c r="F250" t="n">
        <v>95.001</v>
      </c>
      <c r="G250" t="n">
        <v>1986.845</v>
      </c>
      <c r="H250" t="n">
        <v>2274.895</v>
      </c>
      <c r="I250" t="n">
        <v>94.675</v>
      </c>
      <c r="J250" t="n">
        <v>10522.083</v>
      </c>
    </row>
    <row r="251">
      <c r="A251" t="inlineStr">
        <is>
          <t>01/04/2009</t>
        </is>
      </c>
      <c r="B251" t="n">
        <v>1.6</v>
      </c>
      <c r="C251" t="n">
        <v>1708.832</v>
      </c>
      <c r="D251" t="n">
        <v>3316.62</v>
      </c>
      <c r="E251" t="n">
        <v>15161.772</v>
      </c>
      <c r="F251" t="n">
        <v>94.87</v>
      </c>
      <c r="G251" t="n">
        <v>1872.287</v>
      </c>
      <c r="H251" t="n">
        <v>2182.501</v>
      </c>
      <c r="I251" t="n">
        <v>95.04600000000001</v>
      </c>
      <c r="J251" t="n">
        <v>10470.358</v>
      </c>
    </row>
    <row r="252">
      <c r="A252" t="inlineStr">
        <is>
          <t>01/07/2009</t>
        </is>
      </c>
      <c r="B252" t="n">
        <v>1.4</v>
      </c>
      <c r="C252" t="n">
        <v>1772.004</v>
      </c>
      <c r="D252" t="n">
        <v>3325.682</v>
      </c>
      <c r="E252" t="n">
        <v>15216.647</v>
      </c>
      <c r="F252" t="n">
        <v>94.928</v>
      </c>
      <c r="G252" t="n">
        <v>1868.013</v>
      </c>
      <c r="H252" t="n">
        <v>2272.535</v>
      </c>
      <c r="I252" t="n">
        <v>95.383</v>
      </c>
      <c r="J252" t="n">
        <v>10540.769</v>
      </c>
    </row>
    <row r="253">
      <c r="A253" t="inlineStr">
        <is>
          <t>01/10/2009</t>
        </is>
      </c>
      <c r="B253" t="n">
        <v>2.5</v>
      </c>
      <c r="C253" t="n">
        <v>1871.485</v>
      </c>
      <c r="D253" t="n">
        <v>3331.645</v>
      </c>
      <c r="E253" t="n">
        <v>15379.155</v>
      </c>
      <c r="F253" t="n">
        <v>95.277</v>
      </c>
      <c r="G253" t="n">
        <v>2040.736</v>
      </c>
      <c r="H253" t="n">
        <v>2385.074</v>
      </c>
      <c r="I253" t="n">
        <v>95.977</v>
      </c>
      <c r="J253" t="n">
        <v>10529.156</v>
      </c>
    </row>
    <row r="254">
      <c r="A254" t="inlineStr">
        <is>
          <t>01/01/2010</t>
        </is>
      </c>
      <c r="B254" t="n">
        <v>1.4</v>
      </c>
      <c r="C254" t="n">
        <v>1916.239</v>
      </c>
      <c r="D254" t="n">
        <v>3317.347</v>
      </c>
      <c r="E254" t="n">
        <v>15456.059</v>
      </c>
      <c r="F254" t="n">
        <v>95.518</v>
      </c>
      <c r="G254" t="n">
        <v>2087.171</v>
      </c>
      <c r="H254" t="n">
        <v>2448.044</v>
      </c>
      <c r="I254" t="n">
        <v>96.30500000000001</v>
      </c>
      <c r="J254" t="n">
        <v>10590.177</v>
      </c>
    </row>
    <row r="255">
      <c r="A255" t="inlineStr">
        <is>
          <t>01/04/2010</t>
        </is>
      </c>
      <c r="B255" t="n">
        <v>1.1</v>
      </c>
      <c r="C255" t="n">
        <v>1958.367</v>
      </c>
      <c r="D255" t="n">
        <v>3327.564</v>
      </c>
      <c r="E255" t="n">
        <v>15605.628</v>
      </c>
      <c r="F255" t="n">
        <v>95.96299999999999</v>
      </c>
      <c r="G255" t="n">
        <v>2196.706</v>
      </c>
      <c r="H255" t="n">
        <v>2559.69</v>
      </c>
      <c r="I255" t="n">
        <v>96.565</v>
      </c>
      <c r="J255" t="n">
        <v>10685.145</v>
      </c>
    </row>
    <row r="256">
      <c r="A256" t="inlineStr">
        <is>
          <t>01/07/2010</t>
        </is>
      </c>
      <c r="B256" t="n">
        <v>0.6</v>
      </c>
      <c r="C256" t="n">
        <v>2014.232</v>
      </c>
      <c r="D256" t="n">
        <v>3304.078</v>
      </c>
      <c r="E256" t="n">
        <v>15726.282</v>
      </c>
      <c r="F256" t="n">
        <v>96.312</v>
      </c>
      <c r="G256" t="n">
        <v>2294.672</v>
      </c>
      <c r="H256" t="n">
        <v>2649.148</v>
      </c>
      <c r="I256" t="n">
        <v>96.71299999999999</v>
      </c>
      <c r="J256" t="n">
        <v>10761.376</v>
      </c>
    </row>
    <row r="257">
      <c r="A257" t="inlineStr">
        <is>
          <t>01/10/2010</t>
        </is>
      </c>
      <c r="B257" t="n">
        <v>1.3</v>
      </c>
      <c r="C257" t="n">
        <v>2069.349</v>
      </c>
      <c r="D257" t="n">
        <v>3283.046</v>
      </c>
      <c r="E257" t="n">
        <v>15807.995</v>
      </c>
      <c r="F257" t="n">
        <v>96.864</v>
      </c>
      <c r="G257" t="n">
        <v>2287.362</v>
      </c>
      <c r="H257" t="n">
        <v>2658.885</v>
      </c>
      <c r="I257" t="n">
        <v>97.01900000000001</v>
      </c>
      <c r="J257" t="n">
        <v>10827.332</v>
      </c>
    </row>
    <row r="258">
      <c r="A258" t="inlineStr">
        <is>
          <t>01/01/2011</t>
        </is>
      </c>
      <c r="B258" t="n">
        <v>1.8</v>
      </c>
      <c r="C258" t="n">
        <v>2087.06</v>
      </c>
      <c r="D258" t="n">
        <v>3242.78</v>
      </c>
      <c r="E258" t="n">
        <v>15769.911</v>
      </c>
      <c r="F258" t="n">
        <v>97.339</v>
      </c>
      <c r="G258" t="n">
        <v>2244.241</v>
      </c>
      <c r="H258" t="n">
        <v>2671.872</v>
      </c>
      <c r="I258" t="n">
        <v>97.44499999999999</v>
      </c>
      <c r="J258" t="n">
        <v>10868.689</v>
      </c>
    </row>
    <row r="259">
      <c r="A259" t="inlineStr">
        <is>
          <t>01/04/2011</t>
        </is>
      </c>
      <c r="B259" t="n">
        <v>2.4</v>
      </c>
      <c r="C259" t="n">
        <v>2122.321</v>
      </c>
      <c r="D259" t="n">
        <v>3220.816</v>
      </c>
      <c r="E259" t="n">
        <v>15876.839</v>
      </c>
      <c r="F259" t="n">
        <v>98.042</v>
      </c>
      <c r="G259" t="n">
        <v>2336.057</v>
      </c>
      <c r="H259" t="n">
        <v>2681.865</v>
      </c>
      <c r="I259" t="n">
        <v>98.015</v>
      </c>
      <c r="J259" t="n">
        <v>10879.873</v>
      </c>
    </row>
    <row r="260">
      <c r="A260" t="inlineStr">
        <is>
          <t>01/07/2011</t>
        </is>
      </c>
      <c r="B260" t="n">
        <v>1.8</v>
      </c>
      <c r="C260" t="n">
        <v>2151.474</v>
      </c>
      <c r="D260" t="n">
        <v>3174.801</v>
      </c>
      <c r="E260" t="n">
        <v>15870.684</v>
      </c>
      <c r="F260" t="n">
        <v>98.56100000000001</v>
      </c>
      <c r="G260" t="n">
        <v>2343.786</v>
      </c>
      <c r="H260" t="n">
        <v>2711.619</v>
      </c>
      <c r="I260" t="n">
        <v>98.462</v>
      </c>
      <c r="J260" t="n">
        <v>10912.991</v>
      </c>
    </row>
    <row r="261">
      <c r="A261" t="inlineStr">
        <is>
          <t>01/10/2011</t>
        </is>
      </c>
      <c r="B261" t="n">
        <v>1.4</v>
      </c>
      <c r="C261" t="n">
        <v>2167.652</v>
      </c>
      <c r="D261" t="n">
        <v>3172.535</v>
      </c>
      <c r="E261" t="n">
        <v>16048.702</v>
      </c>
      <c r="F261" t="n">
        <v>98.687</v>
      </c>
      <c r="G261" t="n">
        <v>2524.429</v>
      </c>
      <c r="H261" t="n">
        <v>2747.221</v>
      </c>
      <c r="I261" t="n">
        <v>98.813</v>
      </c>
      <c r="J261" t="n">
        <v>10931.828</v>
      </c>
    </row>
    <row r="262">
      <c r="A262" t="inlineStr">
        <is>
          <t>01/01/2012</t>
        </is>
      </c>
      <c r="B262" t="n">
        <v>2.6</v>
      </c>
      <c r="C262" t="n">
        <v>2194.087</v>
      </c>
      <c r="D262" t="n">
        <v>3158.939</v>
      </c>
      <c r="E262" t="n">
        <v>16179.968</v>
      </c>
      <c r="F262" t="n">
        <v>99.277</v>
      </c>
      <c r="G262" t="n">
        <v>2577.157</v>
      </c>
      <c r="H262" t="n">
        <v>2760.748</v>
      </c>
      <c r="I262" t="n">
        <v>99.437</v>
      </c>
      <c r="J262" t="n">
        <v>11010.694</v>
      </c>
    </row>
    <row r="263">
      <c r="A263" t="inlineStr">
        <is>
          <t>01/04/2012</t>
        </is>
      </c>
      <c r="B263" t="n">
        <v>1.7</v>
      </c>
      <c r="C263" t="n">
        <v>2215.753</v>
      </c>
      <c r="D263" t="n">
        <v>3142.418</v>
      </c>
      <c r="E263" t="n">
        <v>16253.726</v>
      </c>
      <c r="F263" t="n">
        <v>99.69</v>
      </c>
      <c r="G263" t="n">
        <v>2636.495</v>
      </c>
      <c r="H263" t="n">
        <v>2771.011</v>
      </c>
      <c r="I263" t="n">
        <v>99.848</v>
      </c>
      <c r="J263" t="n">
        <v>11030.026</v>
      </c>
    </row>
    <row r="264">
      <c r="A264" t="inlineStr">
        <is>
          <t>01/07/2012</t>
        </is>
      </c>
      <c r="B264" t="n">
        <v>1.2</v>
      </c>
      <c r="C264" t="n">
        <v>2229.353</v>
      </c>
      <c r="D264" t="n">
        <v>3137.664</v>
      </c>
      <c r="E264" t="n">
        <v>16282.151</v>
      </c>
      <c r="F264" t="n">
        <v>100.304</v>
      </c>
      <c r="G264" t="n">
        <v>2648.459</v>
      </c>
      <c r="H264" t="n">
        <v>2785.883</v>
      </c>
      <c r="I264" t="n">
        <v>100.136</v>
      </c>
      <c r="J264" t="n">
        <v>11052.368</v>
      </c>
    </row>
    <row r="265">
      <c r="A265" t="inlineStr">
        <is>
          <t>01/10/2012</t>
        </is>
      </c>
      <c r="B265" t="n">
        <v>1.8</v>
      </c>
      <c r="C265" t="n">
        <v>2231.607</v>
      </c>
      <c r="D265" t="n">
        <v>3106.86</v>
      </c>
      <c r="E265" t="n">
        <v>16300.035</v>
      </c>
      <c r="F265" t="n">
        <v>100.73</v>
      </c>
      <c r="G265" t="n">
        <v>2624.905</v>
      </c>
      <c r="H265" t="n">
        <v>2759.627</v>
      </c>
      <c r="I265" t="n">
        <v>100.579</v>
      </c>
      <c r="J265" t="n">
        <v>11096.365</v>
      </c>
    </row>
    <row r="266">
      <c r="A266" t="inlineStr">
        <is>
          <t>01/01/2013</t>
        </is>
      </c>
      <c r="B266" t="n">
        <v>1.6</v>
      </c>
      <c r="C266" t="n">
        <v>2242.308</v>
      </c>
      <c r="D266" t="n">
        <v>3078.855</v>
      </c>
      <c r="E266" t="n">
        <v>16441.485</v>
      </c>
      <c r="F266" t="n">
        <v>101.124</v>
      </c>
      <c r="G266" t="n">
        <v>2722.778</v>
      </c>
      <c r="H266" t="n">
        <v>2757.265</v>
      </c>
      <c r="I266" t="n">
        <v>100.983</v>
      </c>
      <c r="J266" t="n">
        <v>11155.481</v>
      </c>
    </row>
    <row r="267">
      <c r="A267" t="inlineStr">
        <is>
          <t>01/04/2013</t>
        </is>
      </c>
      <c r="B267" t="n">
        <v>1.2</v>
      </c>
      <c r="C267" t="n">
        <v>2262.524</v>
      </c>
      <c r="D267" t="n">
        <v>3073.677</v>
      </c>
      <c r="E267" t="n">
        <v>16464.402</v>
      </c>
      <c r="F267" t="n">
        <v>101.428</v>
      </c>
      <c r="G267" t="n">
        <v>2753.237</v>
      </c>
      <c r="H267" t="n">
        <v>2797.3</v>
      </c>
      <c r="I267" t="n">
        <v>101.291</v>
      </c>
      <c r="J267" t="n">
        <v>11172.647</v>
      </c>
    </row>
    <row r="268">
      <c r="A268" t="inlineStr">
        <is>
          <t>01/07/2013</t>
        </is>
      </c>
      <c r="B268" t="n">
        <v>1.6</v>
      </c>
      <c r="C268" t="n">
        <v>2281.979</v>
      </c>
      <c r="D268" t="n">
        <v>3057.212</v>
      </c>
      <c r="E268" t="n">
        <v>16594.743</v>
      </c>
      <c r="F268" t="n">
        <v>101.973</v>
      </c>
      <c r="G268" t="n">
        <v>2859.751</v>
      </c>
      <c r="H268" t="n">
        <v>2817.399</v>
      </c>
      <c r="I268" t="n">
        <v>101.684</v>
      </c>
      <c r="J268" t="n">
        <v>11214.417</v>
      </c>
    </row>
    <row r="269">
      <c r="A269" t="inlineStr">
        <is>
          <t>01/10/2013</t>
        </is>
      </c>
      <c r="B269" t="n">
        <v>2</v>
      </c>
      <c r="C269" t="n">
        <v>2347.579</v>
      </c>
      <c r="D269" t="n">
        <v>3033.118</v>
      </c>
      <c r="E269" t="n">
        <v>16712.76</v>
      </c>
      <c r="F269" t="n">
        <v>102.55</v>
      </c>
      <c r="G269" t="n">
        <v>2870.127</v>
      </c>
      <c r="H269" t="n">
        <v>2839.671</v>
      </c>
      <c r="I269" t="n">
        <v>102.181</v>
      </c>
      <c r="J269" t="n">
        <v>11304.3</v>
      </c>
    </row>
    <row r="270">
      <c r="A270" t="inlineStr">
        <is>
          <t>01/01/2014</t>
        </is>
      </c>
      <c r="B270" t="n">
        <v>1.4</v>
      </c>
      <c r="C270" t="n">
        <v>2324.808</v>
      </c>
      <c r="D270" t="n">
        <v>3020.58</v>
      </c>
      <c r="E270" t="n">
        <v>16654.247</v>
      </c>
      <c r="F270" t="n">
        <v>102.965</v>
      </c>
      <c r="G270" t="n">
        <v>2838.287</v>
      </c>
      <c r="H270" t="n">
        <v>2876.337</v>
      </c>
      <c r="I270" t="n">
        <v>102.533</v>
      </c>
      <c r="J270" t="n">
        <v>11347.636</v>
      </c>
    </row>
    <row r="271">
      <c r="A271" t="inlineStr">
        <is>
          <t>01/04/2014</t>
        </is>
      </c>
      <c r="B271" t="n">
        <v>2</v>
      </c>
      <c r="C271" t="n">
        <v>2375.121</v>
      </c>
      <c r="D271" t="n">
        <v>3024.424</v>
      </c>
      <c r="E271" t="n">
        <v>16868.109</v>
      </c>
      <c r="F271" t="n">
        <v>103.552</v>
      </c>
      <c r="G271" t="n">
        <v>2958.068</v>
      </c>
      <c r="H271" t="n">
        <v>2941.839</v>
      </c>
      <c r="I271" t="n">
        <v>103.04</v>
      </c>
      <c r="J271" t="n">
        <v>11453.014</v>
      </c>
    </row>
    <row r="272">
      <c r="A272" t="inlineStr">
        <is>
          <t>01/07/2014</t>
        </is>
      </c>
      <c r="B272" t="n">
        <v>1.6</v>
      </c>
      <c r="C272" t="n">
        <v>2384.779</v>
      </c>
      <c r="D272" t="n">
        <v>3044.694</v>
      </c>
      <c r="E272" t="n">
        <v>17064.616</v>
      </c>
      <c r="F272" t="n">
        <v>104.029</v>
      </c>
      <c r="G272" t="n">
        <v>3018.582</v>
      </c>
      <c r="H272" t="n">
        <v>2947.352</v>
      </c>
      <c r="I272" t="n">
        <v>103.438</v>
      </c>
      <c r="J272" t="n">
        <v>11565.682</v>
      </c>
    </row>
    <row r="273">
      <c r="A273" t="inlineStr">
        <is>
          <t>01/10/2014</t>
        </is>
      </c>
      <c r="B273" t="n">
        <v>1.2</v>
      </c>
      <c r="C273" t="n">
        <v>2404.43</v>
      </c>
      <c r="D273" t="n">
        <v>3043.215</v>
      </c>
      <c r="E273" t="n">
        <v>17141.235</v>
      </c>
      <c r="F273" t="n">
        <v>104.104</v>
      </c>
      <c r="G273" t="n">
        <v>3021.857</v>
      </c>
      <c r="H273" t="n">
        <v>3024.682</v>
      </c>
      <c r="I273" t="n">
        <v>103.735</v>
      </c>
      <c r="J273" t="n">
        <v>11694.917</v>
      </c>
    </row>
    <row r="274">
      <c r="A274" t="inlineStr">
        <is>
          <t>01/01/2015</t>
        </is>
      </c>
      <c r="B274" t="n">
        <v>0.8</v>
      </c>
      <c r="C274" t="n">
        <v>2384.843</v>
      </c>
      <c r="D274" t="n">
        <v>3058.973</v>
      </c>
      <c r="E274" t="n">
        <v>17280.647</v>
      </c>
      <c r="F274" t="n">
        <v>104.092</v>
      </c>
      <c r="G274" t="n">
        <v>3127.274</v>
      </c>
      <c r="H274" t="n">
        <v>3068.49</v>
      </c>
      <c r="I274" t="n">
        <v>103.938</v>
      </c>
      <c r="J274" t="n">
        <v>11772.949</v>
      </c>
    </row>
    <row r="275">
      <c r="A275" t="inlineStr">
        <is>
          <t>01/04/2015</t>
        </is>
      </c>
      <c r="B275" t="n">
        <v>1.7</v>
      </c>
      <c r="C275" t="n">
        <v>2391.145</v>
      </c>
      <c r="D275" t="n">
        <v>3085.089</v>
      </c>
      <c r="E275" t="n">
        <v>17380.875</v>
      </c>
      <c r="F275" t="n">
        <v>104.683</v>
      </c>
      <c r="G275" t="n">
        <v>3136.688</v>
      </c>
      <c r="H275" t="n">
        <v>3091.083</v>
      </c>
      <c r="I275" t="n">
        <v>104.384</v>
      </c>
      <c r="J275" t="n">
        <v>11852.652</v>
      </c>
    </row>
    <row r="276">
      <c r="A276" t="inlineStr">
        <is>
          <t>01/07/2015</t>
        </is>
      </c>
      <c r="B276" t="n">
        <v>1.2</v>
      </c>
      <c r="C276" t="n">
        <v>2371.205</v>
      </c>
      <c r="D276" t="n">
        <v>3099.082</v>
      </c>
      <c r="E276" t="n">
        <v>17437.08</v>
      </c>
      <c r="F276" t="n">
        <v>104.939</v>
      </c>
      <c r="G276" t="n">
        <v>3130.354</v>
      </c>
      <c r="H276" t="n">
        <v>3117.762</v>
      </c>
      <c r="I276" t="n">
        <v>104.699</v>
      </c>
      <c r="J276" t="n">
        <v>11943.043</v>
      </c>
    </row>
    <row r="277">
      <c r="A277" t="inlineStr">
        <is>
          <t>01/10/2015</t>
        </is>
      </c>
      <c r="B277" t="n">
        <v>0.9</v>
      </c>
      <c r="C277" t="n">
        <v>2367.667</v>
      </c>
      <c r="D277" t="n">
        <v>3110.257</v>
      </c>
      <c r="E277" t="n">
        <v>17462.579</v>
      </c>
      <c r="F277" t="n">
        <v>104.932</v>
      </c>
      <c r="G277" t="n">
        <v>3092.707</v>
      </c>
      <c r="H277" t="n">
        <v>3124.356</v>
      </c>
      <c r="I277" t="n">
        <v>104.926</v>
      </c>
      <c r="J277" t="n">
        <v>12003.146</v>
      </c>
    </row>
    <row r="278">
      <c r="A278" t="inlineStr">
        <is>
          <t>01/01/2016</t>
        </is>
      </c>
      <c r="B278" t="n">
        <v>1.7</v>
      </c>
      <c r="C278" t="n">
        <v>2360.705</v>
      </c>
      <c r="D278" t="n">
        <v>3142.841</v>
      </c>
      <c r="E278" t="n">
        <v>17565.465</v>
      </c>
      <c r="F278" t="n">
        <v>104.873</v>
      </c>
      <c r="G278" t="n">
        <v>3079.449</v>
      </c>
      <c r="H278" t="n">
        <v>3119.978</v>
      </c>
      <c r="I278" t="n">
        <v>105.365</v>
      </c>
      <c r="J278" t="n">
        <v>12091.178</v>
      </c>
    </row>
    <row r="279">
      <c r="A279" t="inlineStr">
        <is>
          <t>01/04/2016</t>
        </is>
      </c>
      <c r="B279" t="n">
        <v>2.2</v>
      </c>
      <c r="C279" t="n">
        <v>2378.612</v>
      </c>
      <c r="D279" t="n">
        <v>3137.91</v>
      </c>
      <c r="E279" t="n">
        <v>17618.581</v>
      </c>
      <c r="F279" t="n">
        <v>105.576</v>
      </c>
      <c r="G279" t="n">
        <v>3063.333</v>
      </c>
      <c r="H279" t="n">
        <v>3123.245</v>
      </c>
      <c r="I279" t="n">
        <v>105.937</v>
      </c>
      <c r="J279" t="n">
        <v>12152.627</v>
      </c>
    </row>
    <row r="280">
      <c r="A280" t="inlineStr">
        <is>
          <t>01/07/2016</t>
        </is>
      </c>
      <c r="B280" t="n">
        <v>1.9</v>
      </c>
      <c r="C280" t="n">
        <v>2415.552</v>
      </c>
      <c r="D280" t="n">
        <v>3153.894</v>
      </c>
      <c r="E280" t="n">
        <v>17724.489</v>
      </c>
      <c r="F280" t="n">
        <v>105.894</v>
      </c>
      <c r="G280" t="n">
        <v>3069.298</v>
      </c>
      <c r="H280" t="n">
        <v>3145.977</v>
      </c>
      <c r="I280" t="n">
        <v>106.43</v>
      </c>
      <c r="J280" t="n">
        <v>12223.822</v>
      </c>
    </row>
    <row r="281">
      <c r="A281" t="inlineStr">
        <is>
          <t>01/10/2016</t>
        </is>
      </c>
      <c r="B281" t="n">
        <v>1.5</v>
      </c>
      <c r="C281" t="n">
        <v>2398.552</v>
      </c>
      <c r="D281" t="n">
        <v>3160.471</v>
      </c>
      <c r="E281" t="n">
        <v>17812.56</v>
      </c>
      <c r="F281" t="n">
        <v>106.47</v>
      </c>
      <c r="G281" t="n">
        <v>3147.576</v>
      </c>
      <c r="H281" t="n">
        <v>3192.525</v>
      </c>
      <c r="I281" t="n">
        <v>106.818</v>
      </c>
      <c r="J281" t="n">
        <v>12283.076</v>
      </c>
    </row>
    <row r="282">
      <c r="A282" t="inlineStr">
        <is>
          <t>01/01/2017</t>
        </is>
      </c>
      <c r="B282" t="n">
        <v>1.8</v>
      </c>
      <c r="C282" t="n">
        <v>2455.577</v>
      </c>
      <c r="D282" t="n">
        <v>3153.834</v>
      </c>
      <c r="E282" t="n">
        <v>17896.623</v>
      </c>
      <c r="F282" t="n">
        <v>107.007</v>
      </c>
      <c r="G282" t="n">
        <v>3137.735</v>
      </c>
      <c r="H282" t="n">
        <v>3238.754</v>
      </c>
      <c r="I282" t="n">
        <v>107.289</v>
      </c>
      <c r="J282" t="n">
        <v>12372.247</v>
      </c>
    </row>
    <row r="283">
      <c r="A283" t="inlineStr">
        <is>
          <t>01/04/2017</t>
        </is>
      </c>
      <c r="B283" t="n">
        <v>1.6</v>
      </c>
      <c r="C283" t="n">
        <v>2465.39</v>
      </c>
      <c r="D283" t="n">
        <v>3163.234</v>
      </c>
      <c r="E283" t="n">
        <v>17996.802</v>
      </c>
      <c r="F283" t="n">
        <v>107.361</v>
      </c>
      <c r="G283" t="n">
        <v>3192.776</v>
      </c>
      <c r="H283" t="n">
        <v>3273.385</v>
      </c>
      <c r="I283" t="n">
        <v>107.721</v>
      </c>
      <c r="J283" t="n">
        <v>12430.081</v>
      </c>
    </row>
    <row r="284">
      <c r="A284" t="inlineStr">
        <is>
          <t>01/07/2017</t>
        </is>
      </c>
      <c r="B284" t="n">
        <v>1.4</v>
      </c>
      <c r="C284" t="n">
        <v>2481.889</v>
      </c>
      <c r="D284" t="n">
        <v>3160.72</v>
      </c>
      <c r="E284" t="n">
        <v>18126.226</v>
      </c>
      <c r="F284" t="n">
        <v>107.942</v>
      </c>
      <c r="G284" t="n">
        <v>3240.998</v>
      </c>
      <c r="H284" t="n">
        <v>3272.203</v>
      </c>
      <c r="I284" t="n">
        <v>108.09</v>
      </c>
      <c r="J284" t="n">
        <v>12500.402</v>
      </c>
    </row>
    <row r="285">
      <c r="A285" t="inlineStr">
        <is>
          <t>01/10/2017</t>
        </is>
      </c>
      <c r="B285" t="n">
        <v>2</v>
      </c>
      <c r="C285" t="n">
        <v>2540.146</v>
      </c>
      <c r="D285" t="n">
        <v>3182.962</v>
      </c>
      <c r="E285" t="n">
        <v>18296.685</v>
      </c>
      <c r="F285" t="n">
        <v>108.658</v>
      </c>
      <c r="G285" t="n">
        <v>3278.391</v>
      </c>
      <c r="H285" t="n">
        <v>3356.471</v>
      </c>
      <c r="I285" t="n">
        <v>108.639</v>
      </c>
      <c r="J285" t="n">
        <v>12631.98</v>
      </c>
    </row>
    <row r="286">
      <c r="A286" t="inlineStr">
        <is>
          <t>01/01/2018</t>
        </is>
      </c>
      <c r="B286" t="n">
        <v>2.4</v>
      </c>
      <c r="C286" t="n">
        <v>2551.569</v>
      </c>
      <c r="D286" t="n">
        <v>3189.744</v>
      </c>
      <c r="E286" t="n">
        <v>18436.262</v>
      </c>
      <c r="F286" t="n">
        <v>109.312</v>
      </c>
      <c r="G286" t="n">
        <v>3346.322</v>
      </c>
      <c r="H286" t="n">
        <v>3378.004</v>
      </c>
      <c r="I286" t="n">
        <v>109.292</v>
      </c>
      <c r="J286" t="n">
        <v>12707.641</v>
      </c>
    </row>
    <row r="287">
      <c r="A287" t="inlineStr">
        <is>
          <t>01/04/2018</t>
        </is>
      </c>
      <c r="B287" t="n">
        <v>2.4</v>
      </c>
      <c r="C287" t="n">
        <v>2582.895</v>
      </c>
      <c r="D287" t="n">
        <v>3212.179</v>
      </c>
      <c r="E287" t="n">
        <v>18590.004</v>
      </c>
      <c r="F287" t="n">
        <v>110.156</v>
      </c>
      <c r="G287" t="n">
        <v>3352.499</v>
      </c>
      <c r="H287" t="n">
        <v>3390.053</v>
      </c>
      <c r="I287" t="n">
        <v>109.943</v>
      </c>
      <c r="J287" t="n">
        <v>12816.396</v>
      </c>
    </row>
    <row r="288">
      <c r="A288" t="inlineStr">
        <is>
          <t>01/07/2018</t>
        </is>
      </c>
      <c r="B288" t="n">
        <v>1.4</v>
      </c>
      <c r="C288" t="n">
        <v>2542.472</v>
      </c>
      <c r="D288" t="n">
        <v>3220.013</v>
      </c>
      <c r="E288" t="n">
        <v>18679.599</v>
      </c>
      <c r="F288" t="n">
        <v>110.647</v>
      </c>
      <c r="G288" t="n">
        <v>3430.915</v>
      </c>
      <c r="H288" t="n">
        <v>3439.376</v>
      </c>
      <c r="I288" t="n">
        <v>110.32</v>
      </c>
      <c r="J288" t="n">
        <v>12900.579</v>
      </c>
    </row>
    <row r="289">
      <c r="A289" t="inlineStr">
        <is>
          <t>01/10/2018</t>
        </is>
      </c>
      <c r="B289" t="n">
        <v>1.9</v>
      </c>
      <c r="C289" t="n">
        <v>2545.573</v>
      </c>
      <c r="D289" t="n">
        <v>3213.368</v>
      </c>
      <c r="E289" t="n">
        <v>18721.281</v>
      </c>
      <c r="F289" t="n">
        <v>111.191</v>
      </c>
      <c r="G289" t="n">
        <v>3449.645</v>
      </c>
      <c r="H289" t="n">
        <v>3472.058</v>
      </c>
      <c r="I289" t="n">
        <v>110.829</v>
      </c>
      <c r="J289" t="n">
        <v>12955.501</v>
      </c>
    </row>
    <row r="290">
      <c r="A290" t="inlineStr">
        <is>
          <t>01/01/2019</t>
        </is>
      </c>
      <c r="B290" t="n">
        <v>1.1</v>
      </c>
      <c r="C290" t="n">
        <v>2565.316</v>
      </c>
      <c r="D290" t="n">
        <v>3235.153</v>
      </c>
      <c r="E290" t="n">
        <v>18833.195</v>
      </c>
      <c r="F290" t="n">
        <v>111.502</v>
      </c>
      <c r="G290" t="n">
        <v>3503.439</v>
      </c>
      <c r="H290" t="n">
        <v>3472.01</v>
      </c>
      <c r="I290" t="n">
        <v>111.136</v>
      </c>
      <c r="J290" t="n">
        <v>12975.144</v>
      </c>
    </row>
    <row r="291">
      <c r="A291" t="inlineStr">
        <is>
          <t>01/04/2019</t>
        </is>
      </c>
      <c r="B291" t="n">
        <v>2.3</v>
      </c>
      <c r="C291" t="n">
        <v>2551.325</v>
      </c>
      <c r="D291" t="n">
        <v>3274.933</v>
      </c>
      <c r="E291" t="n">
        <v>18982.528</v>
      </c>
      <c r="F291" t="n">
        <v>112.142</v>
      </c>
      <c r="G291" t="n">
        <v>3525.994</v>
      </c>
      <c r="H291" t="n">
        <v>3486.624</v>
      </c>
      <c r="I291" t="n">
        <v>111.783</v>
      </c>
      <c r="J291" t="n">
        <v>13088.759</v>
      </c>
    </row>
    <row r="292">
      <c r="A292" t="inlineStr">
        <is>
          <t>01/07/2019</t>
        </is>
      </c>
      <c r="B292" t="n">
        <v>1.8</v>
      </c>
      <c r="C292" t="n">
        <v>2545.891</v>
      </c>
      <c r="D292" t="n">
        <v>3291.711</v>
      </c>
      <c r="E292" t="n">
        <v>19112.653</v>
      </c>
      <c r="F292" t="n">
        <v>112.524</v>
      </c>
      <c r="G292" t="n">
        <v>3535.93</v>
      </c>
      <c r="H292" t="n">
        <v>3477.376</v>
      </c>
      <c r="I292" t="n">
        <v>112.269</v>
      </c>
      <c r="J292" t="n">
        <v>13192.261</v>
      </c>
    </row>
    <row r="293">
      <c r="A293" t="inlineStr">
        <is>
          <t>01/10/2019</t>
        </is>
      </c>
      <c r="B293" t="n">
        <v>1.4</v>
      </c>
      <c r="C293" t="n">
        <v>2553.312</v>
      </c>
      <c r="D293" t="n">
        <v>3316.263</v>
      </c>
      <c r="E293" t="n">
        <v>19202.31</v>
      </c>
      <c r="F293" t="n">
        <v>112.947</v>
      </c>
      <c r="G293" t="n">
        <v>3477.123</v>
      </c>
      <c r="H293" t="n">
        <v>3400.888</v>
      </c>
      <c r="I293" t="n">
        <v>112.647</v>
      </c>
      <c r="J293" t="n">
        <v>13248.981</v>
      </c>
    </row>
    <row r="294">
      <c r="A294" t="inlineStr">
        <is>
          <t>01/01/2020</t>
        </is>
      </c>
      <c r="B294" t="n">
        <v>1.7</v>
      </c>
      <c r="C294" t="n">
        <v>2442.052</v>
      </c>
      <c r="D294" t="n">
        <v>3346.322</v>
      </c>
      <c r="E294" t="n">
        <v>18951.992</v>
      </c>
      <c r="F294" t="n">
        <v>113.397</v>
      </c>
      <c r="G294" t="n">
        <v>3430.09</v>
      </c>
      <c r="H294" t="n">
        <v>3283.928</v>
      </c>
      <c r="I294" t="n">
        <v>113.135</v>
      </c>
      <c r="J294" t="n">
        <v>13014.489</v>
      </c>
    </row>
    <row r="295">
      <c r="A295" t="inlineStr">
        <is>
          <t>01/04/2020</t>
        </is>
      </c>
      <c r="B295" t="n">
        <v>-0.8</v>
      </c>
      <c r="C295" t="n">
        <v>1942.959</v>
      </c>
      <c r="D295" t="n">
        <v>3378.132</v>
      </c>
      <c r="E295" t="n">
        <v>17258.205</v>
      </c>
      <c r="F295" t="n">
        <v>112.969</v>
      </c>
      <c r="G295" t="n">
        <v>2901.934</v>
      </c>
      <c r="H295" t="n">
        <v>2717.742</v>
      </c>
      <c r="I295" t="n">
        <v>112.919</v>
      </c>
      <c r="J295" t="n">
        <v>11756.399</v>
      </c>
    </row>
    <row r="296">
      <c r="A296" t="inlineStr">
        <is>
          <t>01/07/2020</t>
        </is>
      </c>
      <c r="B296" t="n">
        <v>3.5</v>
      </c>
      <c r="C296" t="n">
        <v>2166.25</v>
      </c>
      <c r="D296" t="n">
        <v>3360.238</v>
      </c>
      <c r="E296" t="n">
        <v>18560.774</v>
      </c>
      <c r="F296" t="n">
        <v>113.984</v>
      </c>
      <c r="G296" t="n">
        <v>3370.975</v>
      </c>
      <c r="H296" t="n">
        <v>3187.514</v>
      </c>
      <c r="I296" t="n">
        <v>113.904</v>
      </c>
      <c r="J296" t="n">
        <v>12820.786</v>
      </c>
    </row>
    <row r="297">
      <c r="A297" t="inlineStr">
        <is>
          <t>01/10/2020</t>
        </is>
      </c>
      <c r="B297" t="n">
        <v>1.2</v>
      </c>
      <c r="C297" t="n">
        <v>2279.025</v>
      </c>
      <c r="D297" t="n">
        <v>3356.03</v>
      </c>
      <c r="E297" t="n">
        <v>18767.778</v>
      </c>
      <c r="F297" t="n">
        <v>114.611</v>
      </c>
      <c r="G297" t="n">
        <v>3561.893</v>
      </c>
      <c r="H297" t="n">
        <v>3411.843</v>
      </c>
      <c r="I297" t="n">
        <v>114.255</v>
      </c>
      <c r="J297" t="n">
        <v>12927.913</v>
      </c>
    </row>
    <row r="298">
      <c r="A298" t="inlineStr">
        <is>
          <t>01/01/2021</t>
        </is>
      </c>
      <c r="B298" t="n">
        <v>2.7</v>
      </c>
      <c r="C298" t="n">
        <v>2262.347</v>
      </c>
      <c r="D298" t="n">
        <v>3390.921</v>
      </c>
      <c r="E298" t="n">
        <v>19055.655</v>
      </c>
      <c r="F298" t="n">
        <v>115.826</v>
      </c>
      <c r="G298" t="n">
        <v>3541.305</v>
      </c>
      <c r="H298" t="n">
        <v>3488.445</v>
      </c>
      <c r="I298" t="n">
        <v>115.01</v>
      </c>
      <c r="J298" t="n">
        <v>13282.685</v>
      </c>
    </row>
    <row r="299">
      <c r="A299" t="inlineStr">
        <is>
          <t>01/04/2021</t>
        </is>
      </c>
      <c r="B299" t="n">
        <v>6.1</v>
      </c>
      <c r="C299" t="n">
        <v>2304.164</v>
      </c>
      <c r="D299" t="n">
        <v>3373.765</v>
      </c>
      <c r="E299" t="n">
        <v>19368.31</v>
      </c>
      <c r="F299" t="n">
        <v>117.546</v>
      </c>
      <c r="G299" t="n">
        <v>3506.014</v>
      </c>
      <c r="H299" t="n">
        <v>3548.699</v>
      </c>
      <c r="I299" t="n">
        <v>116.731</v>
      </c>
      <c r="J299" t="n">
        <v>13665.61</v>
      </c>
    </row>
    <row r="300">
      <c r="A300" t="inlineStr">
        <is>
          <t>01/07/2021</t>
        </is>
      </c>
      <c r="B300" t="n">
        <v>4.5</v>
      </c>
      <c r="C300" t="n">
        <v>2289.48</v>
      </c>
      <c r="D300" t="n">
        <v>3380.162</v>
      </c>
      <c r="E300" t="n">
        <v>19465.195</v>
      </c>
      <c r="F300" t="n">
        <v>119.19</v>
      </c>
      <c r="G300" t="n">
        <v>3604.304</v>
      </c>
      <c r="H300" t="n">
        <v>3601.184</v>
      </c>
      <c r="I300" t="n">
        <v>118.016</v>
      </c>
      <c r="J300" t="n">
        <v>13719.274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2">
    <tabColor rgb="FFC00000"/>
    <outlinePr summaryBelow="1" summaryRight="1"/>
    <pageSetUpPr/>
  </sheetPr>
  <dimension ref="A1:P304"/>
  <sheetViews>
    <sheetView zoomScale="120" zoomScaleNormal="120" workbookViewId="0">
      <pane ySplit="5" topLeftCell="A252" activePane="bottomLeft" state="frozen"/>
      <selection pane="bottomLeft" activeCell="AQ298" sqref="AQ298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21.33203125" customWidth="1" style="126" min="5" max="5"/>
    <col width="10.83203125" customWidth="1" style="126" min="6" max="16384"/>
  </cols>
  <sheetData>
    <row r="1" ht="16" customHeight="1" s="126">
      <c r="A1" s="86" t="inlineStr">
        <is>
          <t>GDPC1</t>
        </is>
      </c>
      <c r="B1" s="87" t="inlineStr">
        <is>
          <t>Real Gross Domestic Product</t>
        </is>
      </c>
      <c r="C1" s="25" t="n"/>
      <c r="D1" s="27" t="inlineStr">
        <is>
          <t>https://fred.stlouisfed.org/series/GDPC1</t>
        </is>
      </c>
      <c r="E1" s="26" t="n"/>
      <c r="F1" s="26" t="n"/>
      <c r="G1" s="26" t="n"/>
      <c r="H1" s="26" t="n"/>
      <c r="I1" s="27" t="inlineStr">
        <is>
          <t>https://tradingeconomics.com/united-states/gdp-constant-prices</t>
        </is>
      </c>
      <c r="J1" s="26" t="n"/>
      <c r="K1" s="26" t="n"/>
      <c r="L1" s="125" t="n"/>
      <c r="M1" s="125" t="n"/>
      <c r="N1" s="125" t="n"/>
      <c r="O1" s="125" t="n"/>
      <c r="P1" s="125" t="n"/>
    </row>
    <row r="2">
      <c r="A2" s="28" t="inlineStr">
        <is>
          <t xml:space="preserve"> Billions of Chained 2012 Dollars, Seasonally Adjusted Annual Rate</t>
        </is>
      </c>
      <c r="B2" s="24" t="n"/>
      <c r="C2" s="25" t="n"/>
      <c r="D2" s="25" t="n"/>
      <c r="E2" s="26" t="n"/>
      <c r="F2" s="161" t="n"/>
      <c r="G2" s="26" t="n"/>
      <c r="H2" s="30" t="n"/>
      <c r="I2" s="26" t="inlineStr">
        <is>
          <t>Column A Cell Format Date US Month day year</t>
        </is>
      </c>
      <c r="J2" s="26" t="n"/>
      <c r="K2" s="26" t="n"/>
      <c r="L2" s="125" t="n"/>
      <c r="M2" s="125" t="n"/>
      <c r="N2" s="125" t="n"/>
      <c r="O2" s="125" t="n"/>
      <c r="P2" s="125" t="n"/>
    </row>
    <row r="3">
      <c r="A3" s="162" t="n"/>
      <c r="B3" s="24" t="n"/>
      <c r="C3" s="25" t="n"/>
      <c r="D3" s="25" t="n"/>
      <c r="E3" s="26" t="n"/>
      <c r="F3" s="26" t="n"/>
      <c r="G3" s="26" t="n"/>
      <c r="H3" s="26" t="n"/>
      <c r="I3" s="26" t="n"/>
      <c r="J3" s="26" t="n"/>
      <c r="K3" s="26" t="n"/>
      <c r="L3" s="125" t="n"/>
      <c r="M3" s="125" t="n"/>
      <c r="N3" s="125" t="n"/>
      <c r="O3" s="125" t="n"/>
      <c r="P3" s="125" t="n"/>
    </row>
    <row r="4">
      <c r="A4" s="162" t="n"/>
      <c r="B4" s="24" t="n"/>
      <c r="C4" s="25" t="n"/>
      <c r="D4" s="25" t="n"/>
      <c r="E4" s="26" t="n"/>
      <c r="F4" s="26" t="n"/>
      <c r="G4" s="26" t="n"/>
      <c r="H4" s="26" t="n"/>
      <c r="I4" s="27">
        <f>C1&amp;A2</f>
        <v/>
      </c>
      <c r="J4" s="26" t="n"/>
      <c r="K4" s="26" t="n"/>
      <c r="L4" s="125" t="n"/>
      <c r="M4" s="125" t="n"/>
      <c r="N4" s="125" t="n"/>
      <c r="O4" s="125" t="n"/>
      <c r="P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GDP q/q %</t>
        </is>
      </c>
      <c r="D5" s="116" t="inlineStr">
        <is>
          <t>GDP y/y %</t>
        </is>
      </c>
      <c r="E5" s="117" t="inlineStr">
        <is>
          <t>GDP Annualized QoQ</t>
        </is>
      </c>
    </row>
    <row r="6">
      <c r="A6" s="79" t="n">
        <v>17168</v>
      </c>
      <c r="B6" s="164">
        <f>VLOOKUP(A6,Database!A:L,MATCH($A$1,Database!$A$1:$L$1,),)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D1" r:id="rId1"/>
    <hyperlink xmlns:r="http://schemas.openxmlformats.org/officeDocument/2006/relationships" ref="I1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4.xml><?xml version="1.0" encoding="utf-8"?>
<worksheet xmlns="http://schemas.openxmlformats.org/spreadsheetml/2006/main">
  <sheetPr codeName="Sheet5">
    <tabColor theme="0" tint="-0.1499984740745262"/>
    <outlinePr summaryBelow="1" summaryRight="1"/>
    <pageSetUpPr/>
  </sheetPr>
  <dimension ref="A1:EX42"/>
  <sheetViews>
    <sheetView topLeftCell="A5" zoomScale="180" zoomScaleNormal="180" workbookViewId="0">
      <selection activeCell="AS36" sqref="AS36"/>
    </sheetView>
  </sheetViews>
  <sheetFormatPr baseColWidth="10" defaultColWidth="8.83203125" defaultRowHeight="15"/>
  <cols>
    <col width="1" customWidth="1" style="125" min="1" max="2"/>
    <col width="6.33203125" customWidth="1" style="126" min="3" max="3"/>
    <col width="7.6640625" customWidth="1" style="126" min="4" max="4"/>
    <col width="5.6640625" customWidth="1" style="126" min="5" max="6"/>
    <col width="3.33203125" customWidth="1" style="125" min="7" max="7"/>
    <col width="6.5" customWidth="1" style="126" min="8" max="8"/>
    <col width="7.6640625" customWidth="1" style="126" min="9" max="9"/>
    <col width="5.6640625" customWidth="1" style="126" min="10" max="11"/>
    <col width="3.33203125" customWidth="1" style="125" min="12" max="12"/>
    <col width="6.33203125" customWidth="1" style="126" min="13" max="13"/>
    <col width="9.1640625" customWidth="1" style="126" min="14" max="14"/>
    <col width="5.6640625" customWidth="1" style="126" min="15" max="16"/>
    <col width="3.5" customWidth="1" style="125" min="17" max="17"/>
    <col width="5.6640625" customWidth="1" style="126" min="18" max="18"/>
    <col width="7.6640625" customWidth="1" style="126" min="19" max="19"/>
    <col width="5.6640625" customWidth="1" style="126" min="20" max="21"/>
    <col width="3.5" customWidth="1" style="125" min="22" max="22"/>
    <col width="6.5" customWidth="1" style="126" min="23" max="23"/>
    <col width="7.6640625" customWidth="1" style="126" min="24" max="24"/>
    <col width="5.6640625" customWidth="1" style="126" min="25" max="26"/>
    <col width="2.5" customWidth="1" style="125" min="27" max="27"/>
    <col width="6" customWidth="1" style="126" min="28" max="28"/>
    <col width="7.6640625" customWidth="1" style="126" min="29" max="29"/>
    <col width="5.6640625" customWidth="1" style="126" min="30" max="31"/>
    <col width="2.6640625" customWidth="1" style="125" min="32" max="32"/>
    <col width="6" customWidth="1" style="126" min="33" max="33"/>
    <col width="7.6640625" customWidth="1" style="126" min="34" max="34"/>
    <col width="5.6640625" customWidth="1" style="126" min="35" max="36"/>
    <col width="3.33203125" customWidth="1" style="125" min="37" max="37"/>
    <col width="6" customWidth="1" style="126" min="38" max="38"/>
    <col width="7.6640625" customWidth="1" style="126" min="39" max="39"/>
    <col width="5.6640625" customWidth="1" style="126" min="40" max="41"/>
    <col width="9.1640625" customWidth="1" style="125" min="42" max="154"/>
  </cols>
  <sheetData>
    <row r="1" ht="16" customFormat="1" customHeight="1" s="125" thickBot="1">
      <c r="F1" s="57" t="n"/>
      <c r="K1" s="57" t="n"/>
    </row>
    <row r="2" ht="16" customFormat="1" customHeight="1" s="125" thickBot="1">
      <c r="C2" s="166" t="inlineStr">
        <is>
          <t>US GDP</t>
        </is>
      </c>
      <c r="D2" s="155" t="n"/>
      <c r="E2" s="155" t="n"/>
      <c r="F2" s="156" t="n"/>
      <c r="H2" s="166" t="inlineStr">
        <is>
          <t>Personal Consumption</t>
        </is>
      </c>
      <c r="I2" s="155" t="n"/>
      <c r="J2" s="155" t="n"/>
      <c r="K2" s="156" t="n"/>
      <c r="M2" s="167" t="inlineStr">
        <is>
          <t>Private Investment</t>
        </is>
      </c>
      <c r="N2" s="155" t="n"/>
      <c r="O2" s="155" t="n"/>
      <c r="P2" s="156" t="n"/>
      <c r="R2" s="167" t="inlineStr">
        <is>
          <t>Exports</t>
        </is>
      </c>
      <c r="S2" s="155" t="n"/>
      <c r="T2" s="155" t="n"/>
      <c r="U2" s="156" t="n"/>
      <c r="W2" s="167" t="inlineStr">
        <is>
          <t>Imports</t>
        </is>
      </c>
      <c r="X2" s="155" t="n"/>
      <c r="Y2" s="155" t="n"/>
      <c r="Z2" s="156" t="n"/>
      <c r="AB2" s="167" t="inlineStr">
        <is>
          <t>Government</t>
        </is>
      </c>
      <c r="AC2" s="155" t="n"/>
      <c r="AD2" s="155" t="n"/>
      <c r="AE2" s="156" t="n"/>
      <c r="AG2" s="167" t="inlineStr">
        <is>
          <t>GDP Price index</t>
        </is>
      </c>
      <c r="AH2" s="155" t="n"/>
      <c r="AI2" s="155" t="n"/>
      <c r="AJ2" s="156" t="n"/>
      <c r="AL2" s="166" t="inlineStr">
        <is>
          <t>Core PCE QoQ</t>
        </is>
      </c>
      <c r="AM2" s="155" t="n"/>
      <c r="AN2" s="155" t="n"/>
      <c r="AO2" s="156" t="n"/>
    </row>
    <row r="3" ht="13" customFormat="1" customHeight="1" s="5">
      <c r="A3" s="10" t="n"/>
      <c r="B3" s="10" t="n"/>
      <c r="C3" s="168" t="inlineStr">
        <is>
          <t>Date</t>
        </is>
      </c>
      <c r="D3" s="59" t="inlineStr">
        <is>
          <t>Value mil$</t>
        </is>
      </c>
      <c r="E3" s="60" t="inlineStr">
        <is>
          <t>q/q</t>
        </is>
      </c>
      <c r="F3" s="60" t="inlineStr">
        <is>
          <t>y/y</t>
        </is>
      </c>
      <c r="G3" s="10" t="n"/>
      <c r="H3" s="169" t="inlineStr">
        <is>
          <t>Date</t>
        </is>
      </c>
      <c r="I3" s="3" t="inlineStr">
        <is>
          <t>Value mil$</t>
        </is>
      </c>
      <c r="J3" s="4" t="inlineStr">
        <is>
          <t>q/q</t>
        </is>
      </c>
      <c r="K3" s="4" t="inlineStr">
        <is>
          <t>y/y</t>
        </is>
      </c>
      <c r="L3" s="10" t="n"/>
      <c r="M3" s="169" t="inlineStr">
        <is>
          <t>Date</t>
        </is>
      </c>
      <c r="N3" s="3" t="inlineStr">
        <is>
          <t>Value mil$</t>
        </is>
      </c>
      <c r="O3" s="4" t="inlineStr">
        <is>
          <t>q/q</t>
        </is>
      </c>
      <c r="P3" s="4" t="inlineStr">
        <is>
          <t>y/y</t>
        </is>
      </c>
      <c r="Q3" s="10" t="n"/>
      <c r="R3" s="169" t="inlineStr">
        <is>
          <t>Date</t>
        </is>
      </c>
      <c r="S3" s="3" t="inlineStr">
        <is>
          <t>Value mil$</t>
        </is>
      </c>
      <c r="T3" s="4" t="inlineStr">
        <is>
          <t>q/q</t>
        </is>
      </c>
      <c r="U3" s="4" t="inlineStr">
        <is>
          <t>y/y</t>
        </is>
      </c>
      <c r="V3" s="10" t="n"/>
      <c r="W3" s="169" t="inlineStr">
        <is>
          <t>Date</t>
        </is>
      </c>
      <c r="X3" s="3" t="inlineStr">
        <is>
          <t>Value mil$</t>
        </is>
      </c>
      <c r="Y3" s="4" t="inlineStr">
        <is>
          <t>q/q</t>
        </is>
      </c>
      <c r="Z3" s="4" t="inlineStr">
        <is>
          <t>y/y</t>
        </is>
      </c>
      <c r="AA3" s="10" t="n"/>
      <c r="AB3" s="169" t="inlineStr">
        <is>
          <t>Date</t>
        </is>
      </c>
      <c r="AC3" s="3" t="inlineStr">
        <is>
          <t>Value mil$</t>
        </is>
      </c>
      <c r="AD3" s="4" t="inlineStr">
        <is>
          <t>q/q</t>
        </is>
      </c>
      <c r="AE3" s="4" t="inlineStr">
        <is>
          <t>y/y</t>
        </is>
      </c>
      <c r="AF3" s="10" t="n"/>
      <c r="AG3" s="169" t="inlineStr">
        <is>
          <t>Date</t>
        </is>
      </c>
      <c r="AH3" s="3" t="inlineStr">
        <is>
          <t>Value mil$</t>
        </is>
      </c>
      <c r="AI3" s="4" t="inlineStr">
        <is>
          <t>q/q</t>
        </is>
      </c>
      <c r="AJ3" s="4" t="inlineStr">
        <is>
          <t>y/y</t>
        </is>
      </c>
      <c r="AK3" s="10" t="n"/>
      <c r="AL3" s="169" t="inlineStr">
        <is>
          <t>Date</t>
        </is>
      </c>
      <c r="AM3" s="3" t="inlineStr">
        <is>
          <t>Value mil$</t>
        </is>
      </c>
      <c r="AN3" s="4" t="inlineStr">
        <is>
          <t>q/q</t>
        </is>
      </c>
      <c r="AO3" s="4" t="inlineStr">
        <is>
          <t>y/y</t>
        </is>
      </c>
      <c r="AP3" s="10" t="n"/>
      <c r="AQ3" s="10" t="n"/>
      <c r="AR3" s="10" t="n"/>
      <c r="AS3" s="10" t="n"/>
      <c r="AT3" s="10" t="n"/>
      <c r="AU3" s="10" t="n"/>
      <c r="AV3" s="10" t="n"/>
      <c r="AW3" s="10" t="n"/>
      <c r="AX3" s="10" t="n"/>
      <c r="AY3" s="10" t="n"/>
      <c r="AZ3" s="10" t="n"/>
      <c r="BA3" s="10" t="n"/>
      <c r="BB3" s="10" t="n"/>
      <c r="BC3" s="10" t="n"/>
      <c r="BD3" s="10" t="n"/>
      <c r="BE3" s="10" t="n"/>
      <c r="BF3" s="10" t="n"/>
      <c r="BG3" s="10" t="n"/>
      <c r="BH3" s="10" t="n"/>
      <c r="BI3" s="10" t="n"/>
      <c r="BJ3" s="10" t="n"/>
      <c r="BK3" s="10" t="n"/>
      <c r="BL3" s="10" t="n"/>
      <c r="BM3" s="10" t="n"/>
      <c r="BN3" s="10" t="n"/>
      <c r="BO3" s="10" t="n"/>
      <c r="BP3" s="10" t="n"/>
      <c r="BQ3" s="10" t="n"/>
      <c r="BR3" s="10" t="n"/>
      <c r="BS3" s="10" t="n"/>
      <c r="BT3" s="10" t="n"/>
      <c r="BU3" s="10" t="n"/>
      <c r="BV3" s="10" t="n"/>
      <c r="BW3" s="10" t="n"/>
      <c r="BX3" s="10" t="n"/>
      <c r="BY3" s="10" t="n"/>
      <c r="BZ3" s="10" t="n"/>
      <c r="CA3" s="10" t="n"/>
      <c r="CB3" s="10" t="n"/>
      <c r="CC3" s="10" t="n"/>
      <c r="CD3" s="10" t="n"/>
      <c r="CE3" s="10" t="n"/>
      <c r="CF3" s="10" t="n"/>
      <c r="CG3" s="10" t="n"/>
      <c r="CH3" s="10" t="n"/>
      <c r="CI3" s="10" t="n"/>
      <c r="CJ3" s="10" t="n"/>
      <c r="CK3" s="10" t="n"/>
      <c r="CL3" s="10" t="n"/>
      <c r="CM3" s="10" t="n"/>
      <c r="CN3" s="10" t="n"/>
      <c r="CO3" s="10" t="n"/>
      <c r="CP3" s="10" t="n"/>
      <c r="CQ3" s="10" t="n"/>
      <c r="CR3" s="10" t="n"/>
      <c r="CS3" s="10" t="n"/>
      <c r="CT3" s="10" t="n"/>
      <c r="CU3" s="10" t="n"/>
      <c r="CV3" s="10" t="n"/>
      <c r="CW3" s="10" t="n"/>
      <c r="CX3" s="10" t="n"/>
      <c r="CY3" s="10" t="n"/>
      <c r="CZ3" s="10" t="n"/>
      <c r="DA3" s="10" t="n"/>
      <c r="DB3" s="10" t="n"/>
      <c r="DC3" s="10" t="n"/>
      <c r="DD3" s="10" t="n"/>
      <c r="DE3" s="10" t="n"/>
      <c r="DF3" s="10" t="n"/>
      <c r="DG3" s="10" t="n"/>
      <c r="DH3" s="10" t="n"/>
      <c r="DI3" s="10" t="n"/>
      <c r="DJ3" s="10" t="n"/>
      <c r="DK3" s="10" t="n"/>
      <c r="DL3" s="10" t="n"/>
      <c r="DM3" s="10" t="n"/>
      <c r="DN3" s="10" t="n"/>
      <c r="DO3" s="10" t="n"/>
      <c r="DP3" s="10" t="n"/>
      <c r="DQ3" s="10" t="n"/>
      <c r="DR3" s="10" t="n"/>
      <c r="DS3" s="10" t="n"/>
      <c r="DT3" s="10" t="n"/>
      <c r="DU3" s="10" t="n"/>
      <c r="DV3" s="10" t="n"/>
      <c r="DW3" s="10" t="n"/>
      <c r="DX3" s="10" t="n"/>
      <c r="DY3" s="10" t="n"/>
      <c r="DZ3" s="10" t="n"/>
      <c r="EA3" s="10" t="n"/>
      <c r="EB3" s="10" t="n"/>
      <c r="EC3" s="10" t="n"/>
      <c r="ED3" s="10" t="n"/>
      <c r="EE3" s="10" t="n"/>
      <c r="EF3" s="10" t="n"/>
      <c r="EG3" s="10" t="n"/>
      <c r="EH3" s="10" t="n"/>
      <c r="EI3" s="10" t="n"/>
      <c r="EJ3" s="10" t="n"/>
      <c r="EK3" s="10" t="n"/>
      <c r="EL3" s="10" t="n"/>
      <c r="EM3" s="10" t="n"/>
      <c r="EN3" s="10" t="n"/>
      <c r="EO3" s="10" t="n"/>
      <c r="EP3" s="10" t="n"/>
      <c r="EQ3" s="10" t="n"/>
      <c r="ER3" s="10" t="n"/>
      <c r="ES3" s="10" t="n"/>
      <c r="ET3" s="10" t="n"/>
      <c r="EU3" s="10" t="n"/>
      <c r="EV3" s="10" t="n"/>
      <c r="EW3" s="10" t="n"/>
      <c r="EX3" s="10" t="n"/>
    </row>
    <row r="4">
      <c r="C4" s="170">
        <f>'U.S. GDP'!A266</f>
        <v/>
      </c>
      <c r="D4" s="7">
        <f>'U.S. GDP'!B266</f>
        <v/>
      </c>
      <c r="E4" s="8">
        <f>'U.S. GDP'!C266</f>
        <v/>
      </c>
      <c r="F4" s="8">
        <f>'U.S. GDP'!E266</f>
        <v/>
      </c>
      <c r="H4" s="170">
        <f>PersonalConsumption!A266</f>
        <v/>
      </c>
      <c r="I4" s="7">
        <f>PersonalConsumption!B266</f>
        <v/>
      </c>
      <c r="J4" s="8">
        <f>PersonalConsumption!C266</f>
        <v/>
      </c>
      <c r="K4" s="8">
        <f>PersonalConsumption!E266</f>
        <v/>
      </c>
      <c r="M4" s="170">
        <f>PrivateInvestment!A266</f>
        <v/>
      </c>
      <c r="N4" s="7">
        <f>PrivateInvestment!B266</f>
        <v/>
      </c>
      <c r="O4" s="8">
        <f>PrivateInvestment!C266</f>
        <v/>
      </c>
      <c r="P4" s="8">
        <f>PrivateInvestment!E266</f>
        <v/>
      </c>
      <c r="R4" s="170">
        <f>Exports!A266</f>
        <v/>
      </c>
      <c r="S4" s="7">
        <f>Exports!B266</f>
        <v/>
      </c>
      <c r="T4" s="8">
        <f>Exports!C266</f>
        <v/>
      </c>
      <c r="U4" s="8">
        <f>Exports!E266</f>
        <v/>
      </c>
      <c r="W4" s="170">
        <f>Imports!A266</f>
        <v/>
      </c>
      <c r="X4" s="7">
        <f>Imports!B266</f>
        <v/>
      </c>
      <c r="Y4" s="8">
        <f>Imports!C266</f>
        <v/>
      </c>
      <c r="Z4" s="8">
        <f>Imports!E266</f>
        <v/>
      </c>
      <c r="AB4" s="170">
        <f>Government!A266</f>
        <v/>
      </c>
      <c r="AC4" s="7">
        <f>Government!B266</f>
        <v/>
      </c>
      <c r="AD4" s="8">
        <f>Government!C266</f>
        <v/>
      </c>
      <c r="AE4" s="8">
        <f>Government!E266</f>
        <v/>
      </c>
      <c r="AG4" s="170">
        <f>GDPPriceIndex!A266</f>
        <v/>
      </c>
      <c r="AH4" s="7">
        <f>GDPPriceIndex!B266</f>
        <v/>
      </c>
      <c r="AI4" s="8">
        <f>GDPPriceIndex!C266</f>
        <v/>
      </c>
      <c r="AJ4" s="8">
        <f>GDPPriceIndex!D266</f>
        <v/>
      </c>
      <c r="AL4" s="170">
        <f>CorePCE!A266</f>
        <v/>
      </c>
      <c r="AM4" s="7">
        <f>CorePCE!B266</f>
        <v/>
      </c>
      <c r="AN4" s="8">
        <f>CorePCE!C266</f>
        <v/>
      </c>
      <c r="AO4" s="8">
        <f>CorePCE!D266</f>
        <v/>
      </c>
    </row>
    <row r="5">
      <c r="C5" s="170">
        <f>'U.S. GDP'!A267</f>
        <v/>
      </c>
      <c r="D5" s="7">
        <f>'U.S. GDP'!B267</f>
        <v/>
      </c>
      <c r="E5" s="8">
        <f>'U.S. GDP'!C267</f>
        <v/>
      </c>
      <c r="F5" s="8">
        <f>'U.S. GDP'!E267</f>
        <v/>
      </c>
      <c r="H5" s="170">
        <f>PersonalConsumption!A267</f>
        <v/>
      </c>
      <c r="I5" s="7">
        <f>PersonalConsumption!B267</f>
        <v/>
      </c>
      <c r="J5" s="8">
        <f>PersonalConsumption!C267</f>
        <v/>
      </c>
      <c r="K5" s="8">
        <f>PersonalConsumption!E267</f>
        <v/>
      </c>
      <c r="M5" s="170">
        <f>PrivateInvestment!A267</f>
        <v/>
      </c>
      <c r="N5" s="7">
        <f>PrivateInvestment!B267</f>
        <v/>
      </c>
      <c r="O5" s="8">
        <f>PrivateInvestment!C267</f>
        <v/>
      </c>
      <c r="P5" s="8">
        <f>PrivateInvestment!E267</f>
        <v/>
      </c>
      <c r="R5" s="170">
        <f>Exports!A267</f>
        <v/>
      </c>
      <c r="S5" s="7">
        <f>Exports!B267</f>
        <v/>
      </c>
      <c r="T5" s="8">
        <f>Exports!C267</f>
        <v/>
      </c>
      <c r="U5" s="8">
        <f>Exports!E267</f>
        <v/>
      </c>
      <c r="W5" s="170">
        <f>Imports!A267</f>
        <v/>
      </c>
      <c r="X5" s="7">
        <f>Imports!B267</f>
        <v/>
      </c>
      <c r="Y5" s="8">
        <f>Imports!C267</f>
        <v/>
      </c>
      <c r="Z5" s="8">
        <f>Imports!E267</f>
        <v/>
      </c>
      <c r="AB5" s="170">
        <f>Government!A267</f>
        <v/>
      </c>
      <c r="AC5" s="7">
        <f>Government!B267</f>
        <v/>
      </c>
      <c r="AD5" s="8">
        <f>Government!C267</f>
        <v/>
      </c>
      <c r="AE5" s="8">
        <f>Government!E267</f>
        <v/>
      </c>
      <c r="AG5" s="170">
        <f>GDPPriceIndex!A267</f>
        <v/>
      </c>
      <c r="AH5" s="7">
        <f>GDPPriceIndex!B267</f>
        <v/>
      </c>
      <c r="AI5" s="8">
        <f>GDPPriceIndex!C267</f>
        <v/>
      </c>
      <c r="AJ5" s="8">
        <f>GDPPriceIndex!D267</f>
        <v/>
      </c>
      <c r="AL5" s="170">
        <f>CorePCE!A267</f>
        <v/>
      </c>
      <c r="AM5" s="7">
        <f>CorePCE!B267</f>
        <v/>
      </c>
      <c r="AN5" s="8">
        <f>CorePCE!C267</f>
        <v/>
      </c>
      <c r="AO5" s="8">
        <f>CorePCE!D267</f>
        <v/>
      </c>
    </row>
    <row r="6">
      <c r="C6" s="170">
        <f>'U.S. GDP'!A268</f>
        <v/>
      </c>
      <c r="D6" s="7">
        <f>'U.S. GDP'!B268</f>
        <v/>
      </c>
      <c r="E6" s="8">
        <f>'U.S. GDP'!C268</f>
        <v/>
      </c>
      <c r="F6" s="8">
        <f>'U.S. GDP'!E268</f>
        <v/>
      </c>
      <c r="H6" s="170">
        <f>PersonalConsumption!A268</f>
        <v/>
      </c>
      <c r="I6" s="7">
        <f>PersonalConsumption!B268</f>
        <v/>
      </c>
      <c r="J6" s="8">
        <f>PersonalConsumption!C268</f>
        <v/>
      </c>
      <c r="K6" s="8">
        <f>PersonalConsumption!E268</f>
        <v/>
      </c>
      <c r="M6" s="170">
        <f>PrivateInvestment!A268</f>
        <v/>
      </c>
      <c r="N6" s="7">
        <f>PrivateInvestment!B268</f>
        <v/>
      </c>
      <c r="O6" s="8">
        <f>PrivateInvestment!C268</f>
        <v/>
      </c>
      <c r="P6" s="8">
        <f>PrivateInvestment!E268</f>
        <v/>
      </c>
      <c r="R6" s="170">
        <f>Exports!A268</f>
        <v/>
      </c>
      <c r="S6" s="7">
        <f>Exports!B268</f>
        <v/>
      </c>
      <c r="T6" s="8">
        <f>Exports!C268</f>
        <v/>
      </c>
      <c r="U6" s="8">
        <f>Exports!E268</f>
        <v/>
      </c>
      <c r="W6" s="170">
        <f>Imports!A268</f>
        <v/>
      </c>
      <c r="X6" s="7">
        <f>Imports!B268</f>
        <v/>
      </c>
      <c r="Y6" s="8">
        <f>Imports!C268</f>
        <v/>
      </c>
      <c r="Z6" s="8">
        <f>Imports!E268</f>
        <v/>
      </c>
      <c r="AB6" s="170">
        <f>Government!A268</f>
        <v/>
      </c>
      <c r="AC6" s="7">
        <f>Government!B268</f>
        <v/>
      </c>
      <c r="AD6" s="8">
        <f>Government!C268</f>
        <v/>
      </c>
      <c r="AE6" s="8">
        <f>Government!E268</f>
        <v/>
      </c>
      <c r="AG6" s="170">
        <f>GDPPriceIndex!A268</f>
        <v/>
      </c>
      <c r="AH6" s="7">
        <f>GDPPriceIndex!B268</f>
        <v/>
      </c>
      <c r="AI6" s="8">
        <f>GDPPriceIndex!C268</f>
        <v/>
      </c>
      <c r="AJ6" s="8">
        <f>GDPPriceIndex!D268</f>
        <v/>
      </c>
      <c r="AL6" s="170">
        <f>CorePCE!A268</f>
        <v/>
      </c>
      <c r="AM6" s="7">
        <f>CorePCE!B268</f>
        <v/>
      </c>
      <c r="AN6" s="8">
        <f>CorePCE!C268</f>
        <v/>
      </c>
      <c r="AO6" s="8">
        <f>CorePCE!D268</f>
        <v/>
      </c>
    </row>
    <row r="7">
      <c r="C7" s="170">
        <f>'U.S. GDP'!A269</f>
        <v/>
      </c>
      <c r="D7" s="7">
        <f>'U.S. GDP'!B269</f>
        <v/>
      </c>
      <c r="E7" s="8">
        <f>'U.S. GDP'!C269</f>
        <v/>
      </c>
      <c r="F7" s="8">
        <f>'U.S. GDP'!E269</f>
        <v/>
      </c>
      <c r="H7" s="170">
        <f>PersonalConsumption!A269</f>
        <v/>
      </c>
      <c r="I7" s="7">
        <f>PersonalConsumption!B269</f>
        <v/>
      </c>
      <c r="J7" s="8">
        <f>PersonalConsumption!C269</f>
        <v/>
      </c>
      <c r="K7" s="8">
        <f>PersonalConsumption!E269</f>
        <v/>
      </c>
      <c r="M7" s="170">
        <f>PrivateInvestment!A269</f>
        <v/>
      </c>
      <c r="N7" s="7">
        <f>PrivateInvestment!B269</f>
        <v/>
      </c>
      <c r="O7" s="8">
        <f>PrivateInvestment!C269</f>
        <v/>
      </c>
      <c r="P7" s="8">
        <f>PrivateInvestment!E269</f>
        <v/>
      </c>
      <c r="R7" s="170">
        <f>Exports!A269</f>
        <v/>
      </c>
      <c r="S7" s="7">
        <f>Exports!B269</f>
        <v/>
      </c>
      <c r="T7" s="8">
        <f>Exports!C269</f>
        <v/>
      </c>
      <c r="U7" s="8">
        <f>Exports!E269</f>
        <v/>
      </c>
      <c r="W7" s="170">
        <f>Imports!A269</f>
        <v/>
      </c>
      <c r="X7" s="7">
        <f>Imports!B269</f>
        <v/>
      </c>
      <c r="Y7" s="8">
        <f>Imports!C269</f>
        <v/>
      </c>
      <c r="Z7" s="8">
        <f>Imports!E269</f>
        <v/>
      </c>
      <c r="AB7" s="170">
        <f>Government!A269</f>
        <v/>
      </c>
      <c r="AC7" s="7">
        <f>Government!B269</f>
        <v/>
      </c>
      <c r="AD7" s="8">
        <f>Government!C269</f>
        <v/>
      </c>
      <c r="AE7" s="8">
        <f>Government!E269</f>
        <v/>
      </c>
      <c r="AG7" s="170">
        <f>GDPPriceIndex!A269</f>
        <v/>
      </c>
      <c r="AH7" s="7">
        <f>GDPPriceIndex!B269</f>
        <v/>
      </c>
      <c r="AI7" s="8">
        <f>GDPPriceIndex!C269</f>
        <v/>
      </c>
      <c r="AJ7" s="8">
        <f>GDPPriceIndex!D269</f>
        <v/>
      </c>
      <c r="AL7" s="170">
        <f>CorePCE!A269</f>
        <v/>
      </c>
      <c r="AM7" s="7">
        <f>CorePCE!B269</f>
        <v/>
      </c>
      <c r="AN7" s="8">
        <f>CorePCE!C269</f>
        <v/>
      </c>
      <c r="AO7" s="8">
        <f>CorePCE!D269</f>
        <v/>
      </c>
    </row>
    <row r="8">
      <c r="C8" s="170">
        <f>'U.S. GDP'!A270</f>
        <v/>
      </c>
      <c r="D8" s="7">
        <f>'U.S. GDP'!B270</f>
        <v/>
      </c>
      <c r="E8" s="8">
        <f>'U.S. GDP'!C270</f>
        <v/>
      </c>
      <c r="F8" s="8">
        <f>'U.S. GDP'!E270</f>
        <v/>
      </c>
      <c r="H8" s="170">
        <f>PersonalConsumption!A270</f>
        <v/>
      </c>
      <c r="I8" s="7">
        <f>PersonalConsumption!B270</f>
        <v/>
      </c>
      <c r="J8" s="8">
        <f>PersonalConsumption!C270</f>
        <v/>
      </c>
      <c r="K8" s="8">
        <f>PersonalConsumption!E270</f>
        <v/>
      </c>
      <c r="M8" s="170">
        <f>PrivateInvestment!A270</f>
        <v/>
      </c>
      <c r="N8" s="7">
        <f>PrivateInvestment!B270</f>
        <v/>
      </c>
      <c r="O8" s="8">
        <f>PrivateInvestment!C270</f>
        <v/>
      </c>
      <c r="P8" s="8">
        <f>PrivateInvestment!E270</f>
        <v/>
      </c>
      <c r="R8" s="170">
        <f>Exports!A270</f>
        <v/>
      </c>
      <c r="S8" s="7">
        <f>Exports!B270</f>
        <v/>
      </c>
      <c r="T8" s="8">
        <f>Exports!C270</f>
        <v/>
      </c>
      <c r="U8" s="8">
        <f>Exports!E270</f>
        <v/>
      </c>
      <c r="W8" s="170">
        <f>Imports!A270</f>
        <v/>
      </c>
      <c r="X8" s="7">
        <f>Imports!B270</f>
        <v/>
      </c>
      <c r="Y8" s="8">
        <f>Imports!C270</f>
        <v/>
      </c>
      <c r="Z8" s="8">
        <f>Imports!E270</f>
        <v/>
      </c>
      <c r="AB8" s="170">
        <f>Government!A270</f>
        <v/>
      </c>
      <c r="AC8" s="7">
        <f>Government!B270</f>
        <v/>
      </c>
      <c r="AD8" s="8">
        <f>Government!C270</f>
        <v/>
      </c>
      <c r="AE8" s="8">
        <f>Government!E270</f>
        <v/>
      </c>
      <c r="AG8" s="170">
        <f>GDPPriceIndex!A270</f>
        <v/>
      </c>
      <c r="AH8" s="7">
        <f>GDPPriceIndex!B270</f>
        <v/>
      </c>
      <c r="AI8" s="8">
        <f>GDPPriceIndex!C270</f>
        <v/>
      </c>
      <c r="AJ8" s="8">
        <f>GDPPriceIndex!D270</f>
        <v/>
      </c>
      <c r="AL8" s="170">
        <f>CorePCE!A270</f>
        <v/>
      </c>
      <c r="AM8" s="7">
        <f>CorePCE!B270</f>
        <v/>
      </c>
      <c r="AN8" s="8">
        <f>CorePCE!C270</f>
        <v/>
      </c>
      <c r="AO8" s="8">
        <f>CorePCE!D270</f>
        <v/>
      </c>
    </row>
    <row r="9">
      <c r="C9" s="170">
        <f>'U.S. GDP'!A271</f>
        <v/>
      </c>
      <c r="D9" s="7">
        <f>'U.S. GDP'!B271</f>
        <v/>
      </c>
      <c r="E9" s="8">
        <f>'U.S. GDP'!C271</f>
        <v/>
      </c>
      <c r="F9" s="8">
        <f>'U.S. GDP'!E271</f>
        <v/>
      </c>
      <c r="H9" s="170">
        <f>PersonalConsumption!A271</f>
        <v/>
      </c>
      <c r="I9" s="7">
        <f>PersonalConsumption!B271</f>
        <v/>
      </c>
      <c r="J9" s="8">
        <f>PersonalConsumption!C271</f>
        <v/>
      </c>
      <c r="K9" s="8">
        <f>PersonalConsumption!E271</f>
        <v/>
      </c>
      <c r="M9" s="170">
        <f>PrivateInvestment!A271</f>
        <v/>
      </c>
      <c r="N9" s="7">
        <f>PrivateInvestment!B271</f>
        <v/>
      </c>
      <c r="O9" s="8">
        <f>PrivateInvestment!C271</f>
        <v/>
      </c>
      <c r="P9" s="8">
        <f>PrivateInvestment!E271</f>
        <v/>
      </c>
      <c r="R9" s="170">
        <f>Exports!A271</f>
        <v/>
      </c>
      <c r="S9" s="7">
        <f>Exports!B271</f>
        <v/>
      </c>
      <c r="T9" s="8">
        <f>Exports!C271</f>
        <v/>
      </c>
      <c r="U9" s="8">
        <f>Exports!E271</f>
        <v/>
      </c>
      <c r="W9" s="170">
        <f>Imports!A271</f>
        <v/>
      </c>
      <c r="X9" s="7">
        <f>Imports!B271</f>
        <v/>
      </c>
      <c r="Y9" s="8">
        <f>Imports!C271</f>
        <v/>
      </c>
      <c r="Z9" s="8">
        <f>Imports!E271</f>
        <v/>
      </c>
      <c r="AB9" s="170">
        <f>Government!A271</f>
        <v/>
      </c>
      <c r="AC9" s="7">
        <f>Government!B271</f>
        <v/>
      </c>
      <c r="AD9" s="8">
        <f>Government!C271</f>
        <v/>
      </c>
      <c r="AE9" s="8">
        <f>Government!E271</f>
        <v/>
      </c>
      <c r="AG9" s="170">
        <f>GDPPriceIndex!A271</f>
        <v/>
      </c>
      <c r="AH9" s="7">
        <f>GDPPriceIndex!B271</f>
        <v/>
      </c>
      <c r="AI9" s="8">
        <f>GDPPriceIndex!C271</f>
        <v/>
      </c>
      <c r="AJ9" s="8">
        <f>GDPPriceIndex!D271</f>
        <v/>
      </c>
      <c r="AL9" s="170">
        <f>CorePCE!A271</f>
        <v/>
      </c>
      <c r="AM9" s="7">
        <f>CorePCE!B271</f>
        <v/>
      </c>
      <c r="AN9" s="8">
        <f>CorePCE!C271</f>
        <v/>
      </c>
      <c r="AO9" s="8">
        <f>CorePCE!D271</f>
        <v/>
      </c>
    </row>
    <row r="10">
      <c r="C10" s="170">
        <f>'U.S. GDP'!A272</f>
        <v/>
      </c>
      <c r="D10" s="7">
        <f>'U.S. GDP'!B272</f>
        <v/>
      </c>
      <c r="E10" s="8">
        <f>'U.S. GDP'!C272</f>
        <v/>
      </c>
      <c r="F10" s="8">
        <f>'U.S. GDP'!E272</f>
        <v/>
      </c>
      <c r="H10" s="170">
        <f>PersonalConsumption!A272</f>
        <v/>
      </c>
      <c r="I10" s="7">
        <f>PersonalConsumption!B272</f>
        <v/>
      </c>
      <c r="J10" s="8">
        <f>PersonalConsumption!C272</f>
        <v/>
      </c>
      <c r="K10" s="8">
        <f>PersonalConsumption!E272</f>
        <v/>
      </c>
      <c r="M10" s="170">
        <f>PrivateInvestment!A272</f>
        <v/>
      </c>
      <c r="N10" s="7">
        <f>PrivateInvestment!B272</f>
        <v/>
      </c>
      <c r="O10" s="8">
        <f>PrivateInvestment!C272</f>
        <v/>
      </c>
      <c r="P10" s="8">
        <f>PrivateInvestment!E272</f>
        <v/>
      </c>
      <c r="R10" s="170">
        <f>Exports!A272</f>
        <v/>
      </c>
      <c r="S10" s="7">
        <f>Exports!B272</f>
        <v/>
      </c>
      <c r="T10" s="8">
        <f>Exports!C272</f>
        <v/>
      </c>
      <c r="U10" s="8">
        <f>Exports!E272</f>
        <v/>
      </c>
      <c r="W10" s="170">
        <f>Imports!A272</f>
        <v/>
      </c>
      <c r="X10" s="7">
        <f>Imports!B272</f>
        <v/>
      </c>
      <c r="Y10" s="8">
        <f>Imports!C272</f>
        <v/>
      </c>
      <c r="Z10" s="8">
        <f>Imports!E272</f>
        <v/>
      </c>
      <c r="AB10" s="170">
        <f>Government!A272</f>
        <v/>
      </c>
      <c r="AC10" s="7">
        <f>Government!B272</f>
        <v/>
      </c>
      <c r="AD10" s="8">
        <f>Government!C272</f>
        <v/>
      </c>
      <c r="AE10" s="8">
        <f>Government!E272</f>
        <v/>
      </c>
      <c r="AG10" s="170">
        <f>GDPPriceIndex!A272</f>
        <v/>
      </c>
      <c r="AH10" s="7">
        <f>GDPPriceIndex!B272</f>
        <v/>
      </c>
      <c r="AI10" s="8">
        <f>GDPPriceIndex!C272</f>
        <v/>
      </c>
      <c r="AJ10" s="8">
        <f>GDPPriceIndex!D272</f>
        <v/>
      </c>
      <c r="AL10" s="170">
        <f>CorePCE!A272</f>
        <v/>
      </c>
      <c r="AM10" s="7">
        <f>CorePCE!B272</f>
        <v/>
      </c>
      <c r="AN10" s="8">
        <f>CorePCE!C272</f>
        <v/>
      </c>
      <c r="AO10" s="8">
        <f>CorePCE!D272</f>
        <v/>
      </c>
    </row>
    <row r="11">
      <c r="C11" s="170">
        <f>'U.S. GDP'!A273</f>
        <v/>
      </c>
      <c r="D11" s="7">
        <f>'U.S. GDP'!B273</f>
        <v/>
      </c>
      <c r="E11" s="8">
        <f>'U.S. GDP'!C273</f>
        <v/>
      </c>
      <c r="F11" s="8">
        <f>'U.S. GDP'!E273</f>
        <v/>
      </c>
      <c r="H11" s="170">
        <f>PersonalConsumption!A273</f>
        <v/>
      </c>
      <c r="I11" s="7">
        <f>PersonalConsumption!B273</f>
        <v/>
      </c>
      <c r="J11" s="8">
        <f>PersonalConsumption!C273</f>
        <v/>
      </c>
      <c r="K11" s="8">
        <f>PersonalConsumption!E273</f>
        <v/>
      </c>
      <c r="M11" s="170">
        <f>PrivateInvestment!A273</f>
        <v/>
      </c>
      <c r="N11" s="7">
        <f>PrivateInvestment!B273</f>
        <v/>
      </c>
      <c r="O11" s="8">
        <f>PrivateInvestment!C273</f>
        <v/>
      </c>
      <c r="P11" s="8">
        <f>PrivateInvestment!E273</f>
        <v/>
      </c>
      <c r="R11" s="170">
        <f>Exports!A273</f>
        <v/>
      </c>
      <c r="S11" s="7">
        <f>Exports!B273</f>
        <v/>
      </c>
      <c r="T11" s="8">
        <f>Exports!C273</f>
        <v/>
      </c>
      <c r="U11" s="8">
        <f>Exports!E273</f>
        <v/>
      </c>
      <c r="W11" s="170">
        <f>Imports!A273</f>
        <v/>
      </c>
      <c r="X11" s="7">
        <f>Imports!B273</f>
        <v/>
      </c>
      <c r="Y11" s="8">
        <f>Imports!C273</f>
        <v/>
      </c>
      <c r="Z11" s="8">
        <f>Imports!E273</f>
        <v/>
      </c>
      <c r="AB11" s="170">
        <f>Government!A273</f>
        <v/>
      </c>
      <c r="AC11" s="7">
        <f>Government!B273</f>
        <v/>
      </c>
      <c r="AD11" s="8">
        <f>Government!C273</f>
        <v/>
      </c>
      <c r="AE11" s="8">
        <f>Government!E273</f>
        <v/>
      </c>
      <c r="AG11" s="170">
        <f>GDPPriceIndex!A273</f>
        <v/>
      </c>
      <c r="AH11" s="7">
        <f>GDPPriceIndex!B273</f>
        <v/>
      </c>
      <c r="AI11" s="8">
        <f>GDPPriceIndex!C273</f>
        <v/>
      </c>
      <c r="AJ11" s="8">
        <f>GDPPriceIndex!D273</f>
        <v/>
      </c>
      <c r="AL11" s="170">
        <f>CorePCE!A273</f>
        <v/>
      </c>
      <c r="AM11" s="7">
        <f>CorePCE!B273</f>
        <v/>
      </c>
      <c r="AN11" s="8">
        <f>CorePCE!C273</f>
        <v/>
      </c>
      <c r="AO11" s="8">
        <f>CorePCE!D273</f>
        <v/>
      </c>
    </row>
    <row r="12">
      <c r="C12" s="170">
        <f>'U.S. GDP'!A274</f>
        <v/>
      </c>
      <c r="D12" s="7">
        <f>'U.S. GDP'!B274</f>
        <v/>
      </c>
      <c r="E12" s="8">
        <f>'U.S. GDP'!C274</f>
        <v/>
      </c>
      <c r="F12" s="8">
        <f>'U.S. GDP'!E274</f>
        <v/>
      </c>
      <c r="H12" s="170">
        <f>PersonalConsumption!A274</f>
        <v/>
      </c>
      <c r="I12" s="7">
        <f>PersonalConsumption!B274</f>
        <v/>
      </c>
      <c r="J12" s="8">
        <f>PersonalConsumption!C274</f>
        <v/>
      </c>
      <c r="K12" s="8">
        <f>PersonalConsumption!E274</f>
        <v/>
      </c>
      <c r="M12" s="170">
        <f>PrivateInvestment!A274</f>
        <v/>
      </c>
      <c r="N12" s="7">
        <f>PrivateInvestment!B274</f>
        <v/>
      </c>
      <c r="O12" s="8">
        <f>PrivateInvestment!C274</f>
        <v/>
      </c>
      <c r="P12" s="8">
        <f>PrivateInvestment!E274</f>
        <v/>
      </c>
      <c r="R12" s="170">
        <f>Exports!A274</f>
        <v/>
      </c>
      <c r="S12" s="7">
        <f>Exports!B274</f>
        <v/>
      </c>
      <c r="T12" s="8">
        <f>Exports!C274</f>
        <v/>
      </c>
      <c r="U12" s="8">
        <f>Exports!E274</f>
        <v/>
      </c>
      <c r="W12" s="170">
        <f>Imports!A274</f>
        <v/>
      </c>
      <c r="X12" s="7">
        <f>Imports!B274</f>
        <v/>
      </c>
      <c r="Y12" s="8">
        <f>Imports!C274</f>
        <v/>
      </c>
      <c r="Z12" s="8">
        <f>Imports!E274</f>
        <v/>
      </c>
      <c r="AB12" s="170">
        <f>Government!A274</f>
        <v/>
      </c>
      <c r="AC12" s="7">
        <f>Government!B274</f>
        <v/>
      </c>
      <c r="AD12" s="8">
        <f>Government!C274</f>
        <v/>
      </c>
      <c r="AE12" s="8">
        <f>Government!E274</f>
        <v/>
      </c>
      <c r="AG12" s="170">
        <f>GDPPriceIndex!A274</f>
        <v/>
      </c>
      <c r="AH12" s="7">
        <f>GDPPriceIndex!B274</f>
        <v/>
      </c>
      <c r="AI12" s="8">
        <f>GDPPriceIndex!C274</f>
        <v/>
      </c>
      <c r="AJ12" s="8">
        <f>GDPPriceIndex!D274</f>
        <v/>
      </c>
      <c r="AL12" s="170">
        <f>CorePCE!A274</f>
        <v/>
      </c>
      <c r="AM12" s="7">
        <f>CorePCE!B274</f>
        <v/>
      </c>
      <c r="AN12" s="8">
        <f>CorePCE!C274</f>
        <v/>
      </c>
      <c r="AO12" s="8">
        <f>CorePCE!D274</f>
        <v/>
      </c>
    </row>
    <row r="13">
      <c r="C13" s="170">
        <f>'U.S. GDP'!A275</f>
        <v/>
      </c>
      <c r="D13" s="7">
        <f>'U.S. GDP'!B275</f>
        <v/>
      </c>
      <c r="E13" s="8">
        <f>'U.S. GDP'!C275</f>
        <v/>
      </c>
      <c r="F13" s="8">
        <f>'U.S. GDP'!E275</f>
        <v/>
      </c>
      <c r="H13" s="170">
        <f>PersonalConsumption!A275</f>
        <v/>
      </c>
      <c r="I13" s="7">
        <f>PersonalConsumption!B275</f>
        <v/>
      </c>
      <c r="J13" s="8">
        <f>PersonalConsumption!C275</f>
        <v/>
      </c>
      <c r="K13" s="8">
        <f>PersonalConsumption!E275</f>
        <v/>
      </c>
      <c r="M13" s="170">
        <f>PrivateInvestment!A275</f>
        <v/>
      </c>
      <c r="N13" s="7">
        <f>PrivateInvestment!B275</f>
        <v/>
      </c>
      <c r="O13" s="8">
        <f>PrivateInvestment!C275</f>
        <v/>
      </c>
      <c r="P13" s="8">
        <f>PrivateInvestment!E275</f>
        <v/>
      </c>
      <c r="R13" s="170">
        <f>Exports!A275</f>
        <v/>
      </c>
      <c r="S13" s="7">
        <f>Exports!B275</f>
        <v/>
      </c>
      <c r="T13" s="8">
        <f>Exports!C275</f>
        <v/>
      </c>
      <c r="U13" s="8">
        <f>Exports!E275</f>
        <v/>
      </c>
      <c r="W13" s="170">
        <f>Imports!A275</f>
        <v/>
      </c>
      <c r="X13" s="7">
        <f>Imports!B275</f>
        <v/>
      </c>
      <c r="Y13" s="8">
        <f>Imports!C275</f>
        <v/>
      </c>
      <c r="Z13" s="8">
        <f>Imports!E275</f>
        <v/>
      </c>
      <c r="AB13" s="170">
        <f>Government!A275</f>
        <v/>
      </c>
      <c r="AC13" s="7">
        <f>Government!B275</f>
        <v/>
      </c>
      <c r="AD13" s="8">
        <f>Government!C275</f>
        <v/>
      </c>
      <c r="AE13" s="8">
        <f>Government!E275</f>
        <v/>
      </c>
      <c r="AG13" s="170">
        <f>GDPPriceIndex!A275</f>
        <v/>
      </c>
      <c r="AH13" s="7">
        <f>GDPPriceIndex!B275</f>
        <v/>
      </c>
      <c r="AI13" s="8">
        <f>GDPPriceIndex!C275</f>
        <v/>
      </c>
      <c r="AJ13" s="8">
        <f>GDPPriceIndex!D275</f>
        <v/>
      </c>
      <c r="AL13" s="170">
        <f>CorePCE!A275</f>
        <v/>
      </c>
      <c r="AM13" s="7">
        <f>CorePCE!B275</f>
        <v/>
      </c>
      <c r="AN13" s="8">
        <f>CorePCE!C275</f>
        <v/>
      </c>
      <c r="AO13" s="8">
        <f>CorePCE!D275</f>
        <v/>
      </c>
    </row>
    <row r="14">
      <c r="C14" s="170">
        <f>'U.S. GDP'!A276</f>
        <v/>
      </c>
      <c r="D14" s="7">
        <f>'U.S. GDP'!B276</f>
        <v/>
      </c>
      <c r="E14" s="8">
        <f>'U.S. GDP'!C276</f>
        <v/>
      </c>
      <c r="F14" s="8">
        <f>'U.S. GDP'!E276</f>
        <v/>
      </c>
      <c r="H14" s="170">
        <f>PersonalConsumption!A276</f>
        <v/>
      </c>
      <c r="I14" s="7">
        <f>PersonalConsumption!B276</f>
        <v/>
      </c>
      <c r="J14" s="8">
        <f>PersonalConsumption!C276</f>
        <v/>
      </c>
      <c r="K14" s="8">
        <f>PersonalConsumption!E276</f>
        <v/>
      </c>
      <c r="M14" s="170">
        <f>PrivateInvestment!A276</f>
        <v/>
      </c>
      <c r="N14" s="7">
        <f>PrivateInvestment!B276</f>
        <v/>
      </c>
      <c r="O14" s="8">
        <f>PrivateInvestment!C276</f>
        <v/>
      </c>
      <c r="P14" s="8">
        <f>PrivateInvestment!E276</f>
        <v/>
      </c>
      <c r="R14" s="170">
        <f>Exports!A276</f>
        <v/>
      </c>
      <c r="S14" s="7">
        <f>Exports!B276</f>
        <v/>
      </c>
      <c r="T14" s="8">
        <f>Exports!C276</f>
        <v/>
      </c>
      <c r="U14" s="8">
        <f>Exports!E276</f>
        <v/>
      </c>
      <c r="W14" s="170">
        <f>Imports!A276</f>
        <v/>
      </c>
      <c r="X14" s="7">
        <f>Imports!B276</f>
        <v/>
      </c>
      <c r="Y14" s="8">
        <f>Imports!C276</f>
        <v/>
      </c>
      <c r="Z14" s="8">
        <f>Imports!E276</f>
        <v/>
      </c>
      <c r="AB14" s="170">
        <f>Government!A276</f>
        <v/>
      </c>
      <c r="AC14" s="7">
        <f>Government!B276</f>
        <v/>
      </c>
      <c r="AD14" s="8">
        <f>Government!C276</f>
        <v/>
      </c>
      <c r="AE14" s="8">
        <f>Government!E276</f>
        <v/>
      </c>
      <c r="AG14" s="170">
        <f>GDPPriceIndex!A276</f>
        <v/>
      </c>
      <c r="AH14" s="7">
        <f>GDPPriceIndex!B276</f>
        <v/>
      </c>
      <c r="AI14" s="8">
        <f>GDPPriceIndex!C276</f>
        <v/>
      </c>
      <c r="AJ14" s="8">
        <f>GDPPriceIndex!D276</f>
        <v/>
      </c>
      <c r="AL14" s="170">
        <f>CorePCE!A276</f>
        <v/>
      </c>
      <c r="AM14" s="7">
        <f>CorePCE!B276</f>
        <v/>
      </c>
      <c r="AN14" s="8">
        <f>CorePCE!C276</f>
        <v/>
      </c>
      <c r="AO14" s="8">
        <f>CorePCE!D276</f>
        <v/>
      </c>
    </row>
    <row r="15">
      <c r="C15" s="170">
        <f>'U.S. GDP'!A277</f>
        <v/>
      </c>
      <c r="D15" s="7">
        <f>'U.S. GDP'!B277</f>
        <v/>
      </c>
      <c r="E15" s="8">
        <f>'U.S. GDP'!C277</f>
        <v/>
      </c>
      <c r="F15" s="8">
        <f>'U.S. GDP'!E277</f>
        <v/>
      </c>
      <c r="H15" s="170">
        <f>PersonalConsumption!A277</f>
        <v/>
      </c>
      <c r="I15" s="7">
        <f>PersonalConsumption!B277</f>
        <v/>
      </c>
      <c r="J15" s="8">
        <f>PersonalConsumption!C277</f>
        <v/>
      </c>
      <c r="K15" s="8">
        <f>PersonalConsumption!E277</f>
        <v/>
      </c>
      <c r="M15" s="170">
        <f>PrivateInvestment!A277</f>
        <v/>
      </c>
      <c r="N15" s="7">
        <f>PrivateInvestment!B277</f>
        <v/>
      </c>
      <c r="O15" s="8">
        <f>PrivateInvestment!C277</f>
        <v/>
      </c>
      <c r="P15" s="8">
        <f>PrivateInvestment!E277</f>
        <v/>
      </c>
      <c r="R15" s="170">
        <f>Exports!A277</f>
        <v/>
      </c>
      <c r="S15" s="7">
        <f>Exports!B277</f>
        <v/>
      </c>
      <c r="T15" s="8">
        <f>Exports!C277</f>
        <v/>
      </c>
      <c r="U15" s="8">
        <f>Exports!E277</f>
        <v/>
      </c>
      <c r="W15" s="170">
        <f>Imports!A277</f>
        <v/>
      </c>
      <c r="X15" s="7">
        <f>Imports!B277</f>
        <v/>
      </c>
      <c r="Y15" s="8">
        <f>Imports!C277</f>
        <v/>
      </c>
      <c r="Z15" s="8">
        <f>Imports!E277</f>
        <v/>
      </c>
      <c r="AB15" s="170">
        <f>Government!A277</f>
        <v/>
      </c>
      <c r="AC15" s="7">
        <f>Government!B277</f>
        <v/>
      </c>
      <c r="AD15" s="8">
        <f>Government!C277</f>
        <v/>
      </c>
      <c r="AE15" s="8">
        <f>Government!E277</f>
        <v/>
      </c>
      <c r="AG15" s="170">
        <f>GDPPriceIndex!A277</f>
        <v/>
      </c>
      <c r="AH15" s="7">
        <f>GDPPriceIndex!B277</f>
        <v/>
      </c>
      <c r="AI15" s="8">
        <f>GDPPriceIndex!C277</f>
        <v/>
      </c>
      <c r="AJ15" s="8">
        <f>GDPPriceIndex!D277</f>
        <v/>
      </c>
      <c r="AL15" s="170">
        <f>CorePCE!A277</f>
        <v/>
      </c>
      <c r="AM15" s="7">
        <f>CorePCE!B277</f>
        <v/>
      </c>
      <c r="AN15" s="8">
        <f>CorePCE!C277</f>
        <v/>
      </c>
      <c r="AO15" s="8">
        <f>CorePCE!D277</f>
        <v/>
      </c>
    </row>
    <row r="16">
      <c r="C16" s="170">
        <f>'U.S. GDP'!A278</f>
        <v/>
      </c>
      <c r="D16" s="7">
        <f>'U.S. GDP'!B278</f>
        <v/>
      </c>
      <c r="E16" s="8">
        <f>'U.S. GDP'!C278</f>
        <v/>
      </c>
      <c r="F16" s="8">
        <f>'U.S. GDP'!E278</f>
        <v/>
      </c>
      <c r="H16" s="170">
        <f>PersonalConsumption!A278</f>
        <v/>
      </c>
      <c r="I16" s="7">
        <f>PersonalConsumption!B278</f>
        <v/>
      </c>
      <c r="J16" s="8">
        <f>PersonalConsumption!C278</f>
        <v/>
      </c>
      <c r="K16" s="8">
        <f>PersonalConsumption!E278</f>
        <v/>
      </c>
      <c r="M16" s="170">
        <f>PrivateInvestment!A278</f>
        <v/>
      </c>
      <c r="N16" s="7">
        <f>PrivateInvestment!B278</f>
        <v/>
      </c>
      <c r="O16" s="8">
        <f>PrivateInvestment!C278</f>
        <v/>
      </c>
      <c r="P16" s="8">
        <f>PrivateInvestment!E278</f>
        <v/>
      </c>
      <c r="R16" s="170">
        <f>Exports!A278</f>
        <v/>
      </c>
      <c r="S16" s="7">
        <f>Exports!B278</f>
        <v/>
      </c>
      <c r="T16" s="8">
        <f>Exports!C278</f>
        <v/>
      </c>
      <c r="U16" s="8">
        <f>Exports!E278</f>
        <v/>
      </c>
      <c r="W16" s="170">
        <f>Imports!A278</f>
        <v/>
      </c>
      <c r="X16" s="7">
        <f>Imports!B278</f>
        <v/>
      </c>
      <c r="Y16" s="8">
        <f>Imports!C278</f>
        <v/>
      </c>
      <c r="Z16" s="8">
        <f>Imports!E278</f>
        <v/>
      </c>
      <c r="AB16" s="170">
        <f>Government!A278</f>
        <v/>
      </c>
      <c r="AC16" s="7">
        <f>Government!B278</f>
        <v/>
      </c>
      <c r="AD16" s="8">
        <f>Government!C278</f>
        <v/>
      </c>
      <c r="AE16" s="8">
        <f>Government!E278</f>
        <v/>
      </c>
      <c r="AG16" s="170">
        <f>GDPPriceIndex!A278</f>
        <v/>
      </c>
      <c r="AH16" s="7">
        <f>GDPPriceIndex!B278</f>
        <v/>
      </c>
      <c r="AI16" s="8">
        <f>GDPPriceIndex!C278</f>
        <v/>
      </c>
      <c r="AJ16" s="8">
        <f>GDPPriceIndex!D278</f>
        <v/>
      </c>
      <c r="AL16" s="170">
        <f>CorePCE!A278</f>
        <v/>
      </c>
      <c r="AM16" s="7">
        <f>CorePCE!B278</f>
        <v/>
      </c>
      <c r="AN16" s="8">
        <f>CorePCE!C278</f>
        <v/>
      </c>
      <c r="AO16" s="8">
        <f>CorePCE!D278</f>
        <v/>
      </c>
    </row>
    <row r="17">
      <c r="C17" s="170">
        <f>'U.S. GDP'!A279</f>
        <v/>
      </c>
      <c r="D17" s="7">
        <f>'U.S. GDP'!B279</f>
        <v/>
      </c>
      <c r="E17" s="8">
        <f>'U.S. GDP'!C279</f>
        <v/>
      </c>
      <c r="F17" s="8">
        <f>'U.S. GDP'!E279</f>
        <v/>
      </c>
      <c r="H17" s="170">
        <f>PersonalConsumption!A279</f>
        <v/>
      </c>
      <c r="I17" s="7">
        <f>PersonalConsumption!B279</f>
        <v/>
      </c>
      <c r="J17" s="8">
        <f>PersonalConsumption!C279</f>
        <v/>
      </c>
      <c r="K17" s="8">
        <f>PersonalConsumption!E279</f>
        <v/>
      </c>
      <c r="M17" s="170">
        <f>PrivateInvestment!A279</f>
        <v/>
      </c>
      <c r="N17" s="7">
        <f>PrivateInvestment!B279</f>
        <v/>
      </c>
      <c r="O17" s="8">
        <f>PrivateInvestment!C279</f>
        <v/>
      </c>
      <c r="P17" s="8">
        <f>PrivateInvestment!E279</f>
        <v/>
      </c>
      <c r="R17" s="170">
        <f>Exports!A279</f>
        <v/>
      </c>
      <c r="S17" s="7">
        <f>Exports!B279</f>
        <v/>
      </c>
      <c r="T17" s="8">
        <f>Exports!C279</f>
        <v/>
      </c>
      <c r="U17" s="8">
        <f>Exports!E279</f>
        <v/>
      </c>
      <c r="W17" s="170">
        <f>Imports!A279</f>
        <v/>
      </c>
      <c r="X17" s="7">
        <f>Imports!B279</f>
        <v/>
      </c>
      <c r="Y17" s="8">
        <f>Imports!C279</f>
        <v/>
      </c>
      <c r="Z17" s="8">
        <f>Imports!E279</f>
        <v/>
      </c>
      <c r="AB17" s="170">
        <f>Government!A279</f>
        <v/>
      </c>
      <c r="AC17" s="7">
        <f>Government!B279</f>
        <v/>
      </c>
      <c r="AD17" s="8">
        <f>Government!C279</f>
        <v/>
      </c>
      <c r="AE17" s="8">
        <f>Government!E279</f>
        <v/>
      </c>
      <c r="AG17" s="170">
        <f>GDPPriceIndex!A279</f>
        <v/>
      </c>
      <c r="AH17" s="7">
        <f>GDPPriceIndex!B279</f>
        <v/>
      </c>
      <c r="AI17" s="8">
        <f>GDPPriceIndex!C279</f>
        <v/>
      </c>
      <c r="AJ17" s="8">
        <f>GDPPriceIndex!D279</f>
        <v/>
      </c>
      <c r="AL17" s="170">
        <f>CorePCE!A279</f>
        <v/>
      </c>
      <c r="AM17" s="7">
        <f>CorePCE!B279</f>
        <v/>
      </c>
      <c r="AN17" s="8">
        <f>CorePCE!C279</f>
        <v/>
      </c>
      <c r="AO17" s="8">
        <f>CorePCE!D279</f>
        <v/>
      </c>
    </row>
    <row r="18">
      <c r="C18" s="170">
        <f>'U.S. GDP'!A280</f>
        <v/>
      </c>
      <c r="D18" s="7">
        <f>'U.S. GDP'!B280</f>
        <v/>
      </c>
      <c r="E18" s="8">
        <f>'U.S. GDP'!C280</f>
        <v/>
      </c>
      <c r="F18" s="8">
        <f>'U.S. GDP'!E280</f>
        <v/>
      </c>
      <c r="H18" s="170">
        <f>PersonalConsumption!A280</f>
        <v/>
      </c>
      <c r="I18" s="7">
        <f>PersonalConsumption!B280</f>
        <v/>
      </c>
      <c r="J18" s="8">
        <f>PersonalConsumption!C280</f>
        <v/>
      </c>
      <c r="K18" s="8">
        <f>PersonalConsumption!E280</f>
        <v/>
      </c>
      <c r="M18" s="170">
        <f>PrivateInvestment!A280</f>
        <v/>
      </c>
      <c r="N18" s="7">
        <f>PrivateInvestment!B280</f>
        <v/>
      </c>
      <c r="O18" s="8">
        <f>PrivateInvestment!C280</f>
        <v/>
      </c>
      <c r="P18" s="8">
        <f>PrivateInvestment!E280</f>
        <v/>
      </c>
      <c r="R18" s="170">
        <f>Exports!A280</f>
        <v/>
      </c>
      <c r="S18" s="7">
        <f>Exports!B280</f>
        <v/>
      </c>
      <c r="T18" s="8">
        <f>Exports!C280</f>
        <v/>
      </c>
      <c r="U18" s="8">
        <f>Exports!E280</f>
        <v/>
      </c>
      <c r="W18" s="170">
        <f>Imports!A280</f>
        <v/>
      </c>
      <c r="X18" s="7">
        <f>Imports!B280</f>
        <v/>
      </c>
      <c r="Y18" s="8">
        <f>Imports!C280</f>
        <v/>
      </c>
      <c r="Z18" s="8">
        <f>Imports!E280</f>
        <v/>
      </c>
      <c r="AB18" s="170">
        <f>Government!A280</f>
        <v/>
      </c>
      <c r="AC18" s="7">
        <f>Government!B280</f>
        <v/>
      </c>
      <c r="AD18" s="8">
        <f>Government!C280</f>
        <v/>
      </c>
      <c r="AE18" s="8">
        <f>Government!E280</f>
        <v/>
      </c>
      <c r="AG18" s="170">
        <f>GDPPriceIndex!A280</f>
        <v/>
      </c>
      <c r="AH18" s="7">
        <f>GDPPriceIndex!B280</f>
        <v/>
      </c>
      <c r="AI18" s="8">
        <f>GDPPriceIndex!C280</f>
        <v/>
      </c>
      <c r="AJ18" s="8">
        <f>GDPPriceIndex!D280</f>
        <v/>
      </c>
      <c r="AL18" s="170">
        <f>CorePCE!A280</f>
        <v/>
      </c>
      <c r="AM18" s="7">
        <f>CorePCE!B280</f>
        <v/>
      </c>
      <c r="AN18" s="8">
        <f>CorePCE!C280</f>
        <v/>
      </c>
      <c r="AO18" s="8">
        <f>CorePCE!D280</f>
        <v/>
      </c>
    </row>
    <row r="19">
      <c r="C19" s="170">
        <f>'U.S. GDP'!A281</f>
        <v/>
      </c>
      <c r="D19" s="7">
        <f>'U.S. GDP'!B281</f>
        <v/>
      </c>
      <c r="E19" s="8">
        <f>'U.S. GDP'!C281</f>
        <v/>
      </c>
      <c r="F19" s="8">
        <f>'U.S. GDP'!E281</f>
        <v/>
      </c>
      <c r="H19" s="170">
        <f>PersonalConsumption!A281</f>
        <v/>
      </c>
      <c r="I19" s="7">
        <f>PersonalConsumption!B281</f>
        <v/>
      </c>
      <c r="J19" s="8">
        <f>PersonalConsumption!C281</f>
        <v/>
      </c>
      <c r="K19" s="8">
        <f>PersonalConsumption!E281</f>
        <v/>
      </c>
      <c r="M19" s="170">
        <f>PrivateInvestment!A281</f>
        <v/>
      </c>
      <c r="N19" s="7">
        <f>PrivateInvestment!B281</f>
        <v/>
      </c>
      <c r="O19" s="8">
        <f>PrivateInvestment!C281</f>
        <v/>
      </c>
      <c r="P19" s="8">
        <f>PrivateInvestment!E281</f>
        <v/>
      </c>
      <c r="R19" s="170">
        <f>Exports!A281</f>
        <v/>
      </c>
      <c r="S19" s="7">
        <f>Exports!B281</f>
        <v/>
      </c>
      <c r="T19" s="8">
        <f>Exports!C281</f>
        <v/>
      </c>
      <c r="U19" s="8">
        <f>Exports!E281</f>
        <v/>
      </c>
      <c r="W19" s="170">
        <f>Imports!A281</f>
        <v/>
      </c>
      <c r="X19" s="7">
        <f>Imports!B281</f>
        <v/>
      </c>
      <c r="Y19" s="8">
        <f>Imports!C281</f>
        <v/>
      </c>
      <c r="Z19" s="8">
        <f>Imports!E281</f>
        <v/>
      </c>
      <c r="AB19" s="170">
        <f>Government!A281</f>
        <v/>
      </c>
      <c r="AC19" s="7">
        <f>Government!B281</f>
        <v/>
      </c>
      <c r="AD19" s="8">
        <f>Government!C281</f>
        <v/>
      </c>
      <c r="AE19" s="8">
        <f>Government!E281</f>
        <v/>
      </c>
      <c r="AG19" s="170">
        <f>GDPPriceIndex!A281</f>
        <v/>
      </c>
      <c r="AH19" s="7">
        <f>GDPPriceIndex!B281</f>
        <v/>
      </c>
      <c r="AI19" s="8">
        <f>GDPPriceIndex!C281</f>
        <v/>
      </c>
      <c r="AJ19" s="8">
        <f>GDPPriceIndex!D281</f>
        <v/>
      </c>
      <c r="AL19" s="170">
        <f>CorePCE!A281</f>
        <v/>
      </c>
      <c r="AM19" s="7">
        <f>CorePCE!B281</f>
        <v/>
      </c>
      <c r="AN19" s="8">
        <f>CorePCE!C281</f>
        <v/>
      </c>
      <c r="AO19" s="8">
        <f>CorePCE!D281</f>
        <v/>
      </c>
    </row>
    <row r="20">
      <c r="C20" s="170">
        <f>'U.S. GDP'!A282</f>
        <v/>
      </c>
      <c r="D20" s="7">
        <f>'U.S. GDP'!B282</f>
        <v/>
      </c>
      <c r="E20" s="8">
        <f>'U.S. GDP'!C282</f>
        <v/>
      </c>
      <c r="F20" s="8">
        <f>'U.S. GDP'!E282</f>
        <v/>
      </c>
      <c r="H20" s="170">
        <f>PersonalConsumption!A282</f>
        <v/>
      </c>
      <c r="I20" s="7">
        <f>PersonalConsumption!B282</f>
        <v/>
      </c>
      <c r="J20" s="8">
        <f>PersonalConsumption!C282</f>
        <v/>
      </c>
      <c r="K20" s="8">
        <f>PersonalConsumption!E282</f>
        <v/>
      </c>
      <c r="M20" s="170">
        <f>PrivateInvestment!A282</f>
        <v/>
      </c>
      <c r="N20" s="7">
        <f>PrivateInvestment!B282</f>
        <v/>
      </c>
      <c r="O20" s="8">
        <f>PrivateInvestment!C282</f>
        <v/>
      </c>
      <c r="P20" s="8">
        <f>PrivateInvestment!E282</f>
        <v/>
      </c>
      <c r="R20" s="170">
        <f>Exports!A282</f>
        <v/>
      </c>
      <c r="S20" s="7">
        <f>Exports!B282</f>
        <v/>
      </c>
      <c r="T20" s="8">
        <f>Exports!C282</f>
        <v/>
      </c>
      <c r="U20" s="8">
        <f>Exports!E282</f>
        <v/>
      </c>
      <c r="W20" s="170">
        <f>Imports!A282</f>
        <v/>
      </c>
      <c r="X20" s="7">
        <f>Imports!B282</f>
        <v/>
      </c>
      <c r="Y20" s="8">
        <f>Imports!C282</f>
        <v/>
      </c>
      <c r="Z20" s="8">
        <f>Imports!E282</f>
        <v/>
      </c>
      <c r="AB20" s="170">
        <f>Government!A282</f>
        <v/>
      </c>
      <c r="AC20" s="7">
        <f>Government!B282</f>
        <v/>
      </c>
      <c r="AD20" s="8">
        <f>Government!C282</f>
        <v/>
      </c>
      <c r="AE20" s="8">
        <f>Government!E282</f>
        <v/>
      </c>
      <c r="AG20" s="170">
        <f>GDPPriceIndex!A282</f>
        <v/>
      </c>
      <c r="AH20" s="7">
        <f>GDPPriceIndex!B282</f>
        <v/>
      </c>
      <c r="AI20" s="8">
        <f>GDPPriceIndex!C282</f>
        <v/>
      </c>
      <c r="AJ20" s="8">
        <f>GDPPriceIndex!D282</f>
        <v/>
      </c>
      <c r="AL20" s="170">
        <f>CorePCE!A282</f>
        <v/>
      </c>
      <c r="AM20" s="7">
        <f>CorePCE!B282</f>
        <v/>
      </c>
      <c r="AN20" s="8">
        <f>CorePCE!C282</f>
        <v/>
      </c>
      <c r="AO20" s="8">
        <f>CorePCE!D282</f>
        <v/>
      </c>
    </row>
    <row r="21">
      <c r="C21" s="170">
        <f>'U.S. GDP'!A283</f>
        <v/>
      </c>
      <c r="D21" s="7">
        <f>'U.S. GDP'!B283</f>
        <v/>
      </c>
      <c r="E21" s="8">
        <f>'U.S. GDP'!C283</f>
        <v/>
      </c>
      <c r="F21" s="8">
        <f>'U.S. GDP'!E283</f>
        <v/>
      </c>
      <c r="H21" s="170">
        <f>PersonalConsumption!A283</f>
        <v/>
      </c>
      <c r="I21" s="7">
        <f>PersonalConsumption!B283</f>
        <v/>
      </c>
      <c r="J21" s="8">
        <f>PersonalConsumption!C283</f>
        <v/>
      </c>
      <c r="K21" s="8">
        <f>PersonalConsumption!E283</f>
        <v/>
      </c>
      <c r="M21" s="170">
        <f>PrivateInvestment!A283</f>
        <v/>
      </c>
      <c r="N21" s="7">
        <f>PrivateInvestment!B283</f>
        <v/>
      </c>
      <c r="O21" s="8">
        <f>PrivateInvestment!C283</f>
        <v/>
      </c>
      <c r="P21" s="8">
        <f>PrivateInvestment!E283</f>
        <v/>
      </c>
      <c r="R21" s="170">
        <f>Exports!A283</f>
        <v/>
      </c>
      <c r="S21" s="7">
        <f>Exports!B283</f>
        <v/>
      </c>
      <c r="T21" s="8">
        <f>Exports!C283</f>
        <v/>
      </c>
      <c r="U21" s="8">
        <f>Exports!E283</f>
        <v/>
      </c>
      <c r="W21" s="170">
        <f>Imports!A283</f>
        <v/>
      </c>
      <c r="X21" s="7">
        <f>Imports!B283</f>
        <v/>
      </c>
      <c r="Y21" s="8">
        <f>Imports!C283</f>
        <v/>
      </c>
      <c r="Z21" s="8">
        <f>Imports!E283</f>
        <v/>
      </c>
      <c r="AB21" s="170">
        <f>Government!A283</f>
        <v/>
      </c>
      <c r="AC21" s="7">
        <f>Government!B283</f>
        <v/>
      </c>
      <c r="AD21" s="8">
        <f>Government!C283</f>
        <v/>
      </c>
      <c r="AE21" s="8">
        <f>Government!E283</f>
        <v/>
      </c>
      <c r="AG21" s="170">
        <f>GDPPriceIndex!A283</f>
        <v/>
      </c>
      <c r="AH21" s="7">
        <f>GDPPriceIndex!B283</f>
        <v/>
      </c>
      <c r="AI21" s="8">
        <f>GDPPriceIndex!C283</f>
        <v/>
      </c>
      <c r="AJ21" s="8">
        <f>GDPPriceIndex!D283</f>
        <v/>
      </c>
      <c r="AL21" s="170">
        <f>CorePCE!A283</f>
        <v/>
      </c>
      <c r="AM21" s="7">
        <f>CorePCE!B283</f>
        <v/>
      </c>
      <c r="AN21" s="8">
        <f>CorePCE!C283</f>
        <v/>
      </c>
      <c r="AO21" s="8">
        <f>CorePCE!D283</f>
        <v/>
      </c>
    </row>
    <row r="22">
      <c r="C22" s="170">
        <f>'U.S. GDP'!A284</f>
        <v/>
      </c>
      <c r="D22" s="7">
        <f>'U.S. GDP'!B284</f>
        <v/>
      </c>
      <c r="E22" s="8">
        <f>'U.S. GDP'!C284</f>
        <v/>
      </c>
      <c r="F22" s="8">
        <f>'U.S. GDP'!E284</f>
        <v/>
      </c>
      <c r="H22" s="170">
        <f>PersonalConsumption!A284</f>
        <v/>
      </c>
      <c r="I22" s="7">
        <f>PersonalConsumption!B284</f>
        <v/>
      </c>
      <c r="J22" s="8">
        <f>PersonalConsumption!C284</f>
        <v/>
      </c>
      <c r="K22" s="8">
        <f>PersonalConsumption!E284</f>
        <v/>
      </c>
      <c r="M22" s="170">
        <f>PrivateInvestment!A284</f>
        <v/>
      </c>
      <c r="N22" s="7">
        <f>PrivateInvestment!B284</f>
        <v/>
      </c>
      <c r="O22" s="8">
        <f>PrivateInvestment!C284</f>
        <v/>
      </c>
      <c r="P22" s="8">
        <f>PrivateInvestment!E284</f>
        <v/>
      </c>
      <c r="R22" s="170">
        <f>Exports!A284</f>
        <v/>
      </c>
      <c r="S22" s="7">
        <f>Exports!B284</f>
        <v/>
      </c>
      <c r="T22" s="8">
        <f>Exports!C284</f>
        <v/>
      </c>
      <c r="U22" s="8">
        <f>Exports!E284</f>
        <v/>
      </c>
      <c r="W22" s="170">
        <f>Imports!A284</f>
        <v/>
      </c>
      <c r="X22" s="7">
        <f>Imports!B284</f>
        <v/>
      </c>
      <c r="Y22" s="8">
        <f>Imports!C284</f>
        <v/>
      </c>
      <c r="Z22" s="8">
        <f>Imports!E284</f>
        <v/>
      </c>
      <c r="AB22" s="170">
        <f>Government!A284</f>
        <v/>
      </c>
      <c r="AC22" s="7">
        <f>Government!B284</f>
        <v/>
      </c>
      <c r="AD22" s="8">
        <f>Government!C284</f>
        <v/>
      </c>
      <c r="AE22" s="8">
        <f>Government!E284</f>
        <v/>
      </c>
      <c r="AG22" s="170">
        <f>GDPPriceIndex!A284</f>
        <v/>
      </c>
      <c r="AH22" s="7">
        <f>GDPPriceIndex!B284</f>
        <v/>
      </c>
      <c r="AI22" s="8">
        <f>GDPPriceIndex!C284</f>
        <v/>
      </c>
      <c r="AJ22" s="8">
        <f>GDPPriceIndex!D284</f>
        <v/>
      </c>
      <c r="AL22" s="170">
        <f>CorePCE!A284</f>
        <v/>
      </c>
      <c r="AM22" s="7">
        <f>CorePCE!B284</f>
        <v/>
      </c>
      <c r="AN22" s="8">
        <f>CorePCE!C284</f>
        <v/>
      </c>
      <c r="AO22" s="8">
        <f>CorePCE!D284</f>
        <v/>
      </c>
    </row>
    <row r="23">
      <c r="C23" s="170">
        <f>'U.S. GDP'!A285</f>
        <v/>
      </c>
      <c r="D23" s="7">
        <f>'U.S. GDP'!B285</f>
        <v/>
      </c>
      <c r="E23" s="8">
        <f>'U.S. GDP'!C285</f>
        <v/>
      </c>
      <c r="F23" s="8">
        <f>'U.S. GDP'!E285</f>
        <v/>
      </c>
      <c r="H23" s="170">
        <f>PersonalConsumption!A285</f>
        <v/>
      </c>
      <c r="I23" s="7">
        <f>PersonalConsumption!B285</f>
        <v/>
      </c>
      <c r="J23" s="8">
        <f>PersonalConsumption!C285</f>
        <v/>
      </c>
      <c r="K23" s="8">
        <f>PersonalConsumption!E285</f>
        <v/>
      </c>
      <c r="M23" s="170">
        <f>PrivateInvestment!A285</f>
        <v/>
      </c>
      <c r="N23" s="7">
        <f>PrivateInvestment!B285</f>
        <v/>
      </c>
      <c r="O23" s="8">
        <f>PrivateInvestment!C285</f>
        <v/>
      </c>
      <c r="P23" s="8">
        <f>PrivateInvestment!E285</f>
        <v/>
      </c>
      <c r="R23" s="170">
        <f>Exports!A285</f>
        <v/>
      </c>
      <c r="S23" s="7">
        <f>Exports!B285</f>
        <v/>
      </c>
      <c r="T23" s="8">
        <f>Exports!C285</f>
        <v/>
      </c>
      <c r="U23" s="8">
        <f>Exports!E285</f>
        <v/>
      </c>
      <c r="W23" s="170">
        <f>Imports!A285</f>
        <v/>
      </c>
      <c r="X23" s="7">
        <f>Imports!B285</f>
        <v/>
      </c>
      <c r="Y23" s="8">
        <f>Imports!C285</f>
        <v/>
      </c>
      <c r="Z23" s="8">
        <f>Imports!E285</f>
        <v/>
      </c>
      <c r="AB23" s="170">
        <f>Government!A285</f>
        <v/>
      </c>
      <c r="AC23" s="7">
        <f>Government!B285</f>
        <v/>
      </c>
      <c r="AD23" s="8">
        <f>Government!C285</f>
        <v/>
      </c>
      <c r="AE23" s="8">
        <f>Government!E285</f>
        <v/>
      </c>
      <c r="AG23" s="170">
        <f>GDPPriceIndex!A285</f>
        <v/>
      </c>
      <c r="AH23" s="7">
        <f>GDPPriceIndex!B285</f>
        <v/>
      </c>
      <c r="AI23" s="8">
        <f>GDPPriceIndex!C285</f>
        <v/>
      </c>
      <c r="AJ23" s="8">
        <f>GDPPriceIndex!D285</f>
        <v/>
      </c>
      <c r="AL23" s="170">
        <f>CorePCE!A285</f>
        <v/>
      </c>
      <c r="AM23" s="7">
        <f>CorePCE!B285</f>
        <v/>
      </c>
      <c r="AN23" s="8">
        <f>CorePCE!C285</f>
        <v/>
      </c>
      <c r="AO23" s="8">
        <f>CorePCE!D285</f>
        <v/>
      </c>
    </row>
    <row r="24">
      <c r="C24" s="170">
        <f>'U.S. GDP'!A286</f>
        <v/>
      </c>
      <c r="D24" s="7">
        <f>'U.S. GDP'!B286</f>
        <v/>
      </c>
      <c r="E24" s="8">
        <f>'U.S. GDP'!C286</f>
        <v/>
      </c>
      <c r="F24" s="8">
        <f>'U.S. GDP'!E286</f>
        <v/>
      </c>
      <c r="H24" s="170">
        <f>PersonalConsumption!A286</f>
        <v/>
      </c>
      <c r="I24" s="7">
        <f>PersonalConsumption!B286</f>
        <v/>
      </c>
      <c r="J24" s="8">
        <f>PersonalConsumption!C286</f>
        <v/>
      </c>
      <c r="K24" s="8">
        <f>PersonalConsumption!E286</f>
        <v/>
      </c>
      <c r="M24" s="170">
        <f>PrivateInvestment!A286</f>
        <v/>
      </c>
      <c r="N24" s="7">
        <f>PrivateInvestment!B286</f>
        <v/>
      </c>
      <c r="O24" s="8">
        <f>PrivateInvestment!C286</f>
        <v/>
      </c>
      <c r="P24" s="8">
        <f>PrivateInvestment!E286</f>
        <v/>
      </c>
      <c r="R24" s="170">
        <f>Exports!A286</f>
        <v/>
      </c>
      <c r="S24" s="7">
        <f>Exports!B286</f>
        <v/>
      </c>
      <c r="T24" s="8">
        <f>Exports!C286</f>
        <v/>
      </c>
      <c r="U24" s="8">
        <f>Exports!E286</f>
        <v/>
      </c>
      <c r="W24" s="170">
        <f>Imports!A286</f>
        <v/>
      </c>
      <c r="X24" s="7">
        <f>Imports!B286</f>
        <v/>
      </c>
      <c r="Y24" s="8">
        <f>Imports!C286</f>
        <v/>
      </c>
      <c r="Z24" s="8">
        <f>Imports!E286</f>
        <v/>
      </c>
      <c r="AB24" s="170">
        <f>Government!A286</f>
        <v/>
      </c>
      <c r="AC24" s="7">
        <f>Government!B286</f>
        <v/>
      </c>
      <c r="AD24" s="8">
        <f>Government!C286</f>
        <v/>
      </c>
      <c r="AE24" s="8">
        <f>Government!E286</f>
        <v/>
      </c>
      <c r="AG24" s="170">
        <f>GDPPriceIndex!A286</f>
        <v/>
      </c>
      <c r="AH24" s="7">
        <f>GDPPriceIndex!B286</f>
        <v/>
      </c>
      <c r="AI24" s="8">
        <f>GDPPriceIndex!C286</f>
        <v/>
      </c>
      <c r="AJ24" s="8">
        <f>GDPPriceIndex!D286</f>
        <v/>
      </c>
      <c r="AL24" s="170">
        <f>CorePCE!A286</f>
        <v/>
      </c>
      <c r="AM24" s="7">
        <f>CorePCE!B286</f>
        <v/>
      </c>
      <c r="AN24" s="8">
        <f>CorePCE!C286</f>
        <v/>
      </c>
      <c r="AO24" s="8">
        <f>CorePCE!D286</f>
        <v/>
      </c>
    </row>
    <row r="25">
      <c r="C25" s="170">
        <f>'U.S. GDP'!A287</f>
        <v/>
      </c>
      <c r="D25" s="7">
        <f>'U.S. GDP'!B287</f>
        <v/>
      </c>
      <c r="E25" s="8">
        <f>'U.S. GDP'!C287</f>
        <v/>
      </c>
      <c r="F25" s="8">
        <f>'U.S. GDP'!E287</f>
        <v/>
      </c>
      <c r="H25" s="170">
        <f>PersonalConsumption!A287</f>
        <v/>
      </c>
      <c r="I25" s="7">
        <f>PersonalConsumption!B287</f>
        <v/>
      </c>
      <c r="J25" s="8">
        <f>PersonalConsumption!C287</f>
        <v/>
      </c>
      <c r="K25" s="8">
        <f>PersonalConsumption!E287</f>
        <v/>
      </c>
      <c r="M25" s="170">
        <f>PrivateInvestment!A287</f>
        <v/>
      </c>
      <c r="N25" s="7">
        <f>PrivateInvestment!B287</f>
        <v/>
      </c>
      <c r="O25" s="8">
        <f>PrivateInvestment!C287</f>
        <v/>
      </c>
      <c r="P25" s="8">
        <f>PrivateInvestment!E287</f>
        <v/>
      </c>
      <c r="R25" s="170">
        <f>Exports!A287</f>
        <v/>
      </c>
      <c r="S25" s="7">
        <f>Exports!B287</f>
        <v/>
      </c>
      <c r="T25" s="8">
        <f>Exports!C287</f>
        <v/>
      </c>
      <c r="U25" s="8">
        <f>Exports!E287</f>
        <v/>
      </c>
      <c r="W25" s="170">
        <f>Imports!A287</f>
        <v/>
      </c>
      <c r="X25" s="7">
        <f>Imports!B287</f>
        <v/>
      </c>
      <c r="Y25" s="8">
        <f>Imports!C287</f>
        <v/>
      </c>
      <c r="Z25" s="8">
        <f>Imports!E287</f>
        <v/>
      </c>
      <c r="AB25" s="170">
        <f>Government!A287</f>
        <v/>
      </c>
      <c r="AC25" s="7">
        <f>Government!B287</f>
        <v/>
      </c>
      <c r="AD25" s="8">
        <f>Government!C287</f>
        <v/>
      </c>
      <c r="AE25" s="8">
        <f>Government!E287</f>
        <v/>
      </c>
      <c r="AG25" s="170">
        <f>GDPPriceIndex!A287</f>
        <v/>
      </c>
      <c r="AH25" s="7">
        <f>GDPPriceIndex!B287</f>
        <v/>
      </c>
      <c r="AI25" s="8">
        <f>GDPPriceIndex!C287</f>
        <v/>
      </c>
      <c r="AJ25" s="8">
        <f>GDPPriceIndex!D287</f>
        <v/>
      </c>
      <c r="AL25" s="170">
        <f>CorePCE!A287</f>
        <v/>
      </c>
      <c r="AM25" s="7">
        <f>CorePCE!B287</f>
        <v/>
      </c>
      <c r="AN25" s="8">
        <f>CorePCE!C287</f>
        <v/>
      </c>
      <c r="AO25" s="8">
        <f>CorePCE!D287</f>
        <v/>
      </c>
    </row>
    <row r="26">
      <c r="C26" s="170">
        <f>'U.S. GDP'!A288</f>
        <v/>
      </c>
      <c r="D26" s="7">
        <f>'U.S. GDP'!B288</f>
        <v/>
      </c>
      <c r="E26" s="8">
        <f>'U.S. GDP'!C288</f>
        <v/>
      </c>
      <c r="F26" s="8">
        <f>'U.S. GDP'!E288</f>
        <v/>
      </c>
      <c r="H26" s="170">
        <f>PersonalConsumption!A288</f>
        <v/>
      </c>
      <c r="I26" s="7">
        <f>PersonalConsumption!B288</f>
        <v/>
      </c>
      <c r="J26" s="8">
        <f>PersonalConsumption!C288</f>
        <v/>
      </c>
      <c r="K26" s="8">
        <f>PersonalConsumption!E288</f>
        <v/>
      </c>
      <c r="M26" s="170">
        <f>PrivateInvestment!A288</f>
        <v/>
      </c>
      <c r="N26" s="7">
        <f>PrivateInvestment!B288</f>
        <v/>
      </c>
      <c r="O26" s="8">
        <f>PrivateInvestment!C288</f>
        <v/>
      </c>
      <c r="P26" s="8">
        <f>PrivateInvestment!E288</f>
        <v/>
      </c>
      <c r="R26" s="170">
        <f>Exports!A288</f>
        <v/>
      </c>
      <c r="S26" s="7">
        <f>Exports!B288</f>
        <v/>
      </c>
      <c r="T26" s="8">
        <f>Exports!C288</f>
        <v/>
      </c>
      <c r="U26" s="8">
        <f>Exports!E288</f>
        <v/>
      </c>
      <c r="W26" s="170">
        <f>Imports!A288</f>
        <v/>
      </c>
      <c r="X26" s="7">
        <f>Imports!B288</f>
        <v/>
      </c>
      <c r="Y26" s="8">
        <f>Imports!C288</f>
        <v/>
      </c>
      <c r="Z26" s="8">
        <f>Imports!E288</f>
        <v/>
      </c>
      <c r="AB26" s="170">
        <f>Government!A288</f>
        <v/>
      </c>
      <c r="AC26" s="7">
        <f>Government!B288</f>
        <v/>
      </c>
      <c r="AD26" s="8">
        <f>Government!C288</f>
        <v/>
      </c>
      <c r="AE26" s="8">
        <f>Government!E288</f>
        <v/>
      </c>
      <c r="AG26" s="170">
        <f>GDPPriceIndex!A288</f>
        <v/>
      </c>
      <c r="AH26" s="7">
        <f>GDPPriceIndex!B288</f>
        <v/>
      </c>
      <c r="AI26" s="8">
        <f>GDPPriceIndex!C288</f>
        <v/>
      </c>
      <c r="AJ26" s="8">
        <f>GDPPriceIndex!D288</f>
        <v/>
      </c>
      <c r="AL26" s="170">
        <f>CorePCE!A288</f>
        <v/>
      </c>
      <c r="AM26" s="7">
        <f>CorePCE!B288</f>
        <v/>
      </c>
      <c r="AN26" s="8">
        <f>CorePCE!C288</f>
        <v/>
      </c>
      <c r="AO26" s="8">
        <f>CorePCE!D288</f>
        <v/>
      </c>
    </row>
    <row r="27">
      <c r="C27" s="170">
        <f>'U.S. GDP'!A289</f>
        <v/>
      </c>
      <c r="D27" s="7">
        <f>'U.S. GDP'!B289</f>
        <v/>
      </c>
      <c r="E27" s="8">
        <f>'U.S. GDP'!C289</f>
        <v/>
      </c>
      <c r="F27" s="8">
        <f>'U.S. GDP'!E289</f>
        <v/>
      </c>
      <c r="H27" s="170">
        <f>PersonalConsumption!A289</f>
        <v/>
      </c>
      <c r="I27" s="7">
        <f>PersonalConsumption!B289</f>
        <v/>
      </c>
      <c r="J27" s="8">
        <f>PersonalConsumption!C289</f>
        <v/>
      </c>
      <c r="K27" s="8">
        <f>PersonalConsumption!E289</f>
        <v/>
      </c>
      <c r="M27" s="170">
        <f>PrivateInvestment!A289</f>
        <v/>
      </c>
      <c r="N27" s="7">
        <f>PrivateInvestment!B289</f>
        <v/>
      </c>
      <c r="O27" s="8">
        <f>PrivateInvestment!C289</f>
        <v/>
      </c>
      <c r="P27" s="8">
        <f>PrivateInvestment!E289</f>
        <v/>
      </c>
      <c r="R27" s="170">
        <f>Exports!A289</f>
        <v/>
      </c>
      <c r="S27" s="7">
        <f>Exports!B289</f>
        <v/>
      </c>
      <c r="T27" s="8">
        <f>Exports!C289</f>
        <v/>
      </c>
      <c r="U27" s="8">
        <f>Exports!E289</f>
        <v/>
      </c>
      <c r="W27" s="170">
        <f>Imports!A289</f>
        <v/>
      </c>
      <c r="X27" s="7">
        <f>Imports!B289</f>
        <v/>
      </c>
      <c r="Y27" s="8">
        <f>Imports!C289</f>
        <v/>
      </c>
      <c r="Z27" s="8">
        <f>Imports!E289</f>
        <v/>
      </c>
      <c r="AB27" s="170">
        <f>Government!A289</f>
        <v/>
      </c>
      <c r="AC27" s="7">
        <f>Government!B289</f>
        <v/>
      </c>
      <c r="AD27" s="8">
        <f>Government!C289</f>
        <v/>
      </c>
      <c r="AE27" s="8">
        <f>Government!E289</f>
        <v/>
      </c>
      <c r="AG27" s="170">
        <f>GDPPriceIndex!A289</f>
        <v/>
      </c>
      <c r="AH27" s="7">
        <f>GDPPriceIndex!B289</f>
        <v/>
      </c>
      <c r="AI27" s="8">
        <f>GDPPriceIndex!C289</f>
        <v/>
      </c>
      <c r="AJ27" s="8">
        <f>GDPPriceIndex!D289</f>
        <v/>
      </c>
      <c r="AL27" s="170">
        <f>CorePCE!A289</f>
        <v/>
      </c>
      <c r="AM27" s="7">
        <f>CorePCE!B289</f>
        <v/>
      </c>
      <c r="AN27" s="8">
        <f>CorePCE!C289</f>
        <v/>
      </c>
      <c r="AO27" s="8">
        <f>CorePCE!D289</f>
        <v/>
      </c>
    </row>
    <row r="28">
      <c r="C28" s="170">
        <f>'U.S. GDP'!A290</f>
        <v/>
      </c>
      <c r="D28" s="7">
        <f>'U.S. GDP'!B290</f>
        <v/>
      </c>
      <c r="E28" s="8">
        <f>'U.S. GDP'!C290</f>
        <v/>
      </c>
      <c r="F28" s="8">
        <f>'U.S. GDP'!E290</f>
        <v/>
      </c>
      <c r="H28" s="170">
        <f>PersonalConsumption!A290</f>
        <v/>
      </c>
      <c r="I28" s="7">
        <f>PersonalConsumption!B290</f>
        <v/>
      </c>
      <c r="J28" s="8">
        <f>PersonalConsumption!C290</f>
        <v/>
      </c>
      <c r="K28" s="8">
        <f>PersonalConsumption!E290</f>
        <v/>
      </c>
      <c r="M28" s="170">
        <f>PrivateInvestment!A290</f>
        <v/>
      </c>
      <c r="N28" s="7">
        <f>PrivateInvestment!B290</f>
        <v/>
      </c>
      <c r="O28" s="8">
        <f>PrivateInvestment!C290</f>
        <v/>
      </c>
      <c r="P28" s="8">
        <f>PrivateInvestment!E290</f>
        <v/>
      </c>
      <c r="R28" s="170">
        <f>Exports!A290</f>
        <v/>
      </c>
      <c r="S28" s="7">
        <f>Exports!B290</f>
        <v/>
      </c>
      <c r="T28" s="8">
        <f>Exports!C290</f>
        <v/>
      </c>
      <c r="U28" s="8">
        <f>Exports!E290</f>
        <v/>
      </c>
      <c r="W28" s="170">
        <f>Imports!A290</f>
        <v/>
      </c>
      <c r="X28" s="7">
        <f>Imports!B290</f>
        <v/>
      </c>
      <c r="Y28" s="8">
        <f>Imports!C290</f>
        <v/>
      </c>
      <c r="Z28" s="8">
        <f>Imports!E290</f>
        <v/>
      </c>
      <c r="AB28" s="170">
        <f>Government!A290</f>
        <v/>
      </c>
      <c r="AC28" s="7">
        <f>Government!B290</f>
        <v/>
      </c>
      <c r="AD28" s="8">
        <f>Government!C290</f>
        <v/>
      </c>
      <c r="AE28" s="8">
        <f>Government!E290</f>
        <v/>
      </c>
      <c r="AG28" s="170">
        <f>GDPPriceIndex!A290</f>
        <v/>
      </c>
      <c r="AH28" s="7">
        <f>GDPPriceIndex!B290</f>
        <v/>
      </c>
      <c r="AI28" s="8">
        <f>GDPPriceIndex!C290</f>
        <v/>
      </c>
      <c r="AJ28" s="8">
        <f>GDPPriceIndex!D290</f>
        <v/>
      </c>
      <c r="AL28" s="170">
        <f>CorePCE!A290</f>
        <v/>
      </c>
      <c r="AM28" s="7">
        <f>CorePCE!B290</f>
        <v/>
      </c>
      <c r="AN28" s="8">
        <f>CorePCE!C290</f>
        <v/>
      </c>
      <c r="AO28" s="8">
        <f>CorePCE!D290</f>
        <v/>
      </c>
    </row>
    <row r="29" customFormat="1" s="125">
      <c r="C29" s="170">
        <f>'U.S. GDP'!A291</f>
        <v/>
      </c>
      <c r="D29" s="7">
        <f>'U.S. GDP'!B291</f>
        <v/>
      </c>
      <c r="E29" s="8">
        <f>'U.S. GDP'!C291</f>
        <v/>
      </c>
      <c r="F29" s="8">
        <f>'U.S. GDP'!E291</f>
        <v/>
      </c>
      <c r="H29" s="170">
        <f>PersonalConsumption!A291</f>
        <v/>
      </c>
      <c r="I29" s="7">
        <f>PersonalConsumption!B291</f>
        <v/>
      </c>
      <c r="J29" s="8">
        <f>PersonalConsumption!C291</f>
        <v/>
      </c>
      <c r="K29" s="8">
        <f>PersonalConsumption!E291</f>
        <v/>
      </c>
      <c r="M29" s="170">
        <f>PrivateInvestment!A291</f>
        <v/>
      </c>
      <c r="N29" s="7">
        <f>PrivateInvestment!B291</f>
        <v/>
      </c>
      <c r="O29" s="8">
        <f>PrivateInvestment!C291</f>
        <v/>
      </c>
      <c r="P29" s="8">
        <f>PrivateInvestment!E291</f>
        <v/>
      </c>
      <c r="R29" s="170">
        <f>Exports!A291</f>
        <v/>
      </c>
      <c r="S29" s="7">
        <f>Exports!B291</f>
        <v/>
      </c>
      <c r="T29" s="8">
        <f>Exports!C291</f>
        <v/>
      </c>
      <c r="U29" s="8">
        <f>Exports!E291</f>
        <v/>
      </c>
      <c r="W29" s="170">
        <f>Imports!A291</f>
        <v/>
      </c>
      <c r="X29" s="7">
        <f>Imports!B291</f>
        <v/>
      </c>
      <c r="Y29" s="8">
        <f>Imports!C291</f>
        <v/>
      </c>
      <c r="Z29" s="8">
        <f>Imports!E291</f>
        <v/>
      </c>
      <c r="AB29" s="170">
        <f>Government!A291</f>
        <v/>
      </c>
      <c r="AC29" s="7">
        <f>Government!B291</f>
        <v/>
      </c>
      <c r="AD29" s="8">
        <f>Government!C291</f>
        <v/>
      </c>
      <c r="AE29" s="8">
        <f>Government!E291</f>
        <v/>
      </c>
      <c r="AG29" s="170">
        <f>GDPPriceIndex!A291</f>
        <v/>
      </c>
      <c r="AH29" s="7">
        <f>GDPPriceIndex!B291</f>
        <v/>
      </c>
      <c r="AI29" s="8">
        <f>GDPPriceIndex!C291</f>
        <v/>
      </c>
      <c r="AJ29" s="8">
        <f>GDPPriceIndex!D291</f>
        <v/>
      </c>
      <c r="AL29" s="170">
        <f>CorePCE!A291</f>
        <v/>
      </c>
      <c r="AM29" s="7">
        <f>CorePCE!B291</f>
        <v/>
      </c>
      <c r="AN29" s="8">
        <f>CorePCE!C291</f>
        <v/>
      </c>
      <c r="AO29" s="8">
        <f>CorePCE!D291</f>
        <v/>
      </c>
    </row>
    <row r="30" customFormat="1" s="125">
      <c r="C30" s="170">
        <f>'U.S. GDP'!A292</f>
        <v/>
      </c>
      <c r="D30" s="7">
        <f>'U.S. GDP'!B292</f>
        <v/>
      </c>
      <c r="E30" s="8">
        <f>'U.S. GDP'!C292</f>
        <v/>
      </c>
      <c r="F30" s="8">
        <f>'U.S. GDP'!E292</f>
        <v/>
      </c>
      <c r="H30" s="170">
        <f>PersonalConsumption!A292</f>
        <v/>
      </c>
      <c r="I30" s="7">
        <f>PersonalConsumption!B292</f>
        <v/>
      </c>
      <c r="J30" s="8">
        <f>PersonalConsumption!C292</f>
        <v/>
      </c>
      <c r="K30" s="8">
        <f>PersonalConsumption!E292</f>
        <v/>
      </c>
      <c r="M30" s="170">
        <f>PrivateInvestment!A292</f>
        <v/>
      </c>
      <c r="N30" s="7">
        <f>PrivateInvestment!B292</f>
        <v/>
      </c>
      <c r="O30" s="8">
        <f>PrivateInvestment!C292</f>
        <v/>
      </c>
      <c r="P30" s="8">
        <f>PrivateInvestment!E292</f>
        <v/>
      </c>
      <c r="R30" s="170">
        <f>Exports!A292</f>
        <v/>
      </c>
      <c r="S30" s="7">
        <f>Exports!B292</f>
        <v/>
      </c>
      <c r="T30" s="8">
        <f>Exports!C292</f>
        <v/>
      </c>
      <c r="U30" s="8">
        <f>Exports!E292</f>
        <v/>
      </c>
      <c r="W30" s="170">
        <f>Imports!A292</f>
        <v/>
      </c>
      <c r="X30" s="7">
        <f>Imports!B292</f>
        <v/>
      </c>
      <c r="Y30" s="8">
        <f>Imports!C292</f>
        <v/>
      </c>
      <c r="Z30" s="8">
        <f>Imports!E292</f>
        <v/>
      </c>
      <c r="AB30" s="170">
        <f>Government!A292</f>
        <v/>
      </c>
      <c r="AC30" s="7">
        <f>Government!B292</f>
        <v/>
      </c>
      <c r="AD30" s="8">
        <f>Government!C292</f>
        <v/>
      </c>
      <c r="AE30" s="8">
        <f>Government!E292</f>
        <v/>
      </c>
      <c r="AG30" s="170">
        <f>GDPPriceIndex!A292</f>
        <v/>
      </c>
      <c r="AH30" s="7">
        <f>GDPPriceIndex!B292</f>
        <v/>
      </c>
      <c r="AI30" s="8">
        <f>GDPPriceIndex!C292</f>
        <v/>
      </c>
      <c r="AJ30" s="8">
        <f>GDPPriceIndex!D292</f>
        <v/>
      </c>
      <c r="AL30" s="170">
        <f>CorePCE!A292</f>
        <v/>
      </c>
      <c r="AM30" s="7">
        <f>CorePCE!B292</f>
        <v/>
      </c>
      <c r="AN30" s="8">
        <f>CorePCE!C292</f>
        <v/>
      </c>
      <c r="AO30" s="8">
        <f>CorePCE!D292</f>
        <v/>
      </c>
    </row>
    <row r="31" customFormat="1" s="125">
      <c r="C31" s="170">
        <f>'U.S. GDP'!A293</f>
        <v/>
      </c>
      <c r="D31" s="7">
        <f>'U.S. GDP'!B293</f>
        <v/>
      </c>
      <c r="E31" s="8">
        <f>'U.S. GDP'!C293</f>
        <v/>
      </c>
      <c r="F31" s="8">
        <f>'U.S. GDP'!E293</f>
        <v/>
      </c>
      <c r="H31" s="170">
        <f>PersonalConsumption!A293</f>
        <v/>
      </c>
      <c r="I31" s="7">
        <f>PersonalConsumption!B293</f>
        <v/>
      </c>
      <c r="J31" s="8">
        <f>PersonalConsumption!C293</f>
        <v/>
      </c>
      <c r="K31" s="8">
        <f>PersonalConsumption!E293</f>
        <v/>
      </c>
      <c r="M31" s="170">
        <f>PrivateInvestment!A293</f>
        <v/>
      </c>
      <c r="N31" s="7">
        <f>PrivateInvestment!B293</f>
        <v/>
      </c>
      <c r="O31" s="8">
        <f>PrivateInvestment!C293</f>
        <v/>
      </c>
      <c r="P31" s="8">
        <f>PrivateInvestment!E293</f>
        <v/>
      </c>
      <c r="R31" s="170">
        <f>Exports!A293</f>
        <v/>
      </c>
      <c r="S31" s="7">
        <f>Exports!B293</f>
        <v/>
      </c>
      <c r="T31" s="8">
        <f>Exports!C293</f>
        <v/>
      </c>
      <c r="U31" s="8">
        <f>Exports!E293</f>
        <v/>
      </c>
      <c r="W31" s="170">
        <f>Imports!A293</f>
        <v/>
      </c>
      <c r="X31" s="7">
        <f>Imports!B293</f>
        <v/>
      </c>
      <c r="Y31" s="8">
        <f>Imports!C293</f>
        <v/>
      </c>
      <c r="Z31" s="8">
        <f>Imports!E293</f>
        <v/>
      </c>
      <c r="AB31" s="170">
        <f>Government!A293</f>
        <v/>
      </c>
      <c r="AC31" s="7">
        <f>Government!B293</f>
        <v/>
      </c>
      <c r="AD31" s="8">
        <f>Government!C293</f>
        <v/>
      </c>
      <c r="AE31" s="8">
        <f>Government!E293</f>
        <v/>
      </c>
      <c r="AG31" s="170">
        <f>GDPPriceIndex!A293</f>
        <v/>
      </c>
      <c r="AH31" s="7">
        <f>GDPPriceIndex!B293</f>
        <v/>
      </c>
      <c r="AI31" s="8">
        <f>GDPPriceIndex!C293</f>
        <v/>
      </c>
      <c r="AJ31" s="8">
        <f>GDPPriceIndex!D293</f>
        <v/>
      </c>
      <c r="AL31" s="170">
        <f>CorePCE!A293</f>
        <v/>
      </c>
      <c r="AM31" s="7">
        <f>CorePCE!B293</f>
        <v/>
      </c>
      <c r="AN31" s="8">
        <f>CorePCE!C293</f>
        <v/>
      </c>
      <c r="AO31" s="8">
        <f>CorePCE!D293</f>
        <v/>
      </c>
    </row>
    <row r="32" customFormat="1" s="125">
      <c r="C32" s="170">
        <f>'U.S. GDP'!A294</f>
        <v/>
      </c>
      <c r="D32" s="7">
        <f>'U.S. GDP'!B294</f>
        <v/>
      </c>
      <c r="E32" s="8">
        <f>'U.S. GDP'!C294</f>
        <v/>
      </c>
      <c r="F32" s="8">
        <f>'U.S. GDP'!E294</f>
        <v/>
      </c>
      <c r="H32" s="170">
        <f>PersonalConsumption!A294</f>
        <v/>
      </c>
      <c r="I32" s="7">
        <f>PersonalConsumption!B294</f>
        <v/>
      </c>
      <c r="J32" s="8">
        <f>PersonalConsumption!C294</f>
        <v/>
      </c>
      <c r="K32" s="8">
        <f>PersonalConsumption!E294</f>
        <v/>
      </c>
      <c r="M32" s="170">
        <f>PrivateInvestment!A294</f>
        <v/>
      </c>
      <c r="N32" s="7">
        <f>PrivateInvestment!B294</f>
        <v/>
      </c>
      <c r="O32" s="8">
        <f>PrivateInvestment!C294</f>
        <v/>
      </c>
      <c r="P32" s="8">
        <f>PrivateInvestment!E294</f>
        <v/>
      </c>
      <c r="R32" s="170">
        <f>Exports!A294</f>
        <v/>
      </c>
      <c r="S32" s="7">
        <f>Exports!B294</f>
        <v/>
      </c>
      <c r="T32" s="8">
        <f>Exports!C294</f>
        <v/>
      </c>
      <c r="U32" s="8">
        <f>Exports!E294</f>
        <v/>
      </c>
      <c r="W32" s="170">
        <f>Imports!A294</f>
        <v/>
      </c>
      <c r="X32" s="7">
        <f>Imports!B294</f>
        <v/>
      </c>
      <c r="Y32" s="8">
        <f>Imports!C294</f>
        <v/>
      </c>
      <c r="Z32" s="8">
        <f>Imports!E294</f>
        <v/>
      </c>
      <c r="AB32" s="170">
        <f>Government!A294</f>
        <v/>
      </c>
      <c r="AC32" s="7">
        <f>Government!B294</f>
        <v/>
      </c>
      <c r="AD32" s="8">
        <f>Government!C294</f>
        <v/>
      </c>
      <c r="AE32" s="8">
        <f>Government!E294</f>
        <v/>
      </c>
      <c r="AG32" s="170">
        <f>GDPPriceIndex!A294</f>
        <v/>
      </c>
      <c r="AH32" s="7">
        <f>GDPPriceIndex!B294</f>
        <v/>
      </c>
      <c r="AI32" s="8">
        <f>GDPPriceIndex!C294</f>
        <v/>
      </c>
      <c r="AJ32" s="8">
        <f>GDPPriceIndex!D294</f>
        <v/>
      </c>
      <c r="AL32" s="170">
        <f>CorePCE!A294</f>
        <v/>
      </c>
      <c r="AM32" s="7">
        <f>CorePCE!B294</f>
        <v/>
      </c>
      <c r="AN32" s="8">
        <f>CorePCE!C294</f>
        <v/>
      </c>
      <c r="AO32" s="8">
        <f>CorePCE!D294</f>
        <v/>
      </c>
    </row>
    <row r="33" customFormat="1" s="125">
      <c r="C33" s="170">
        <f>'U.S. GDP'!A295</f>
        <v/>
      </c>
      <c r="D33" s="7">
        <f>'U.S. GDP'!B295</f>
        <v/>
      </c>
      <c r="E33" s="8">
        <f>'U.S. GDP'!C295</f>
        <v/>
      </c>
      <c r="F33" s="8">
        <f>'U.S. GDP'!E295</f>
        <v/>
      </c>
      <c r="H33" s="170">
        <f>PersonalConsumption!A295</f>
        <v/>
      </c>
      <c r="I33" s="7">
        <f>PersonalConsumption!B295</f>
        <v/>
      </c>
      <c r="J33" s="8">
        <f>PersonalConsumption!C295</f>
        <v/>
      </c>
      <c r="K33" s="8">
        <f>PersonalConsumption!E295</f>
        <v/>
      </c>
      <c r="M33" s="170">
        <f>PrivateInvestment!A295</f>
        <v/>
      </c>
      <c r="N33" s="7">
        <f>PrivateInvestment!B295</f>
        <v/>
      </c>
      <c r="O33" s="8">
        <f>PrivateInvestment!C295</f>
        <v/>
      </c>
      <c r="P33" s="8">
        <f>PrivateInvestment!E295</f>
        <v/>
      </c>
      <c r="R33" s="170">
        <f>Exports!A295</f>
        <v/>
      </c>
      <c r="S33" s="7">
        <f>Exports!B295</f>
        <v/>
      </c>
      <c r="T33" s="8">
        <f>Exports!C295</f>
        <v/>
      </c>
      <c r="U33" s="8">
        <f>Exports!E295</f>
        <v/>
      </c>
      <c r="W33" s="170">
        <f>Imports!A295</f>
        <v/>
      </c>
      <c r="X33" s="7">
        <f>Imports!B295</f>
        <v/>
      </c>
      <c r="Y33" s="8">
        <f>Imports!C295</f>
        <v/>
      </c>
      <c r="Z33" s="8">
        <f>Imports!E295</f>
        <v/>
      </c>
      <c r="AB33" s="170">
        <f>Government!A295</f>
        <v/>
      </c>
      <c r="AC33" s="7">
        <f>Government!B295</f>
        <v/>
      </c>
      <c r="AD33" s="8">
        <f>Government!C295</f>
        <v/>
      </c>
      <c r="AE33" s="8">
        <f>Government!E295</f>
        <v/>
      </c>
      <c r="AG33" s="170">
        <f>GDPPriceIndex!A295</f>
        <v/>
      </c>
      <c r="AH33" s="7">
        <f>GDPPriceIndex!B295</f>
        <v/>
      </c>
      <c r="AI33" s="8">
        <f>GDPPriceIndex!C295</f>
        <v/>
      </c>
      <c r="AJ33" s="8">
        <f>GDPPriceIndex!D295</f>
        <v/>
      </c>
      <c r="AL33" s="170">
        <f>CorePCE!A295</f>
        <v/>
      </c>
      <c r="AM33" s="7">
        <f>CorePCE!B295</f>
        <v/>
      </c>
      <c r="AN33" s="8">
        <f>CorePCE!C295</f>
        <v/>
      </c>
      <c r="AO33" s="8">
        <f>CorePCE!D295</f>
        <v/>
      </c>
    </row>
    <row r="34" customFormat="1" s="125">
      <c r="C34" s="170">
        <f>'U.S. GDP'!A296</f>
        <v/>
      </c>
      <c r="D34" s="7">
        <f>'U.S. GDP'!B296</f>
        <v/>
      </c>
      <c r="E34" s="8">
        <f>'U.S. GDP'!C296</f>
        <v/>
      </c>
      <c r="F34" s="8">
        <f>'U.S. GDP'!E296</f>
        <v/>
      </c>
      <c r="G34" s="125" t="n"/>
      <c r="H34" s="170">
        <f>PersonalConsumption!A296</f>
        <v/>
      </c>
      <c r="I34" s="7">
        <f>PersonalConsumption!B296</f>
        <v/>
      </c>
      <c r="J34" s="8">
        <f>PersonalConsumption!C296</f>
        <v/>
      </c>
      <c r="K34" s="8">
        <f>PersonalConsumption!E296</f>
        <v/>
      </c>
      <c r="L34" s="125" t="n"/>
      <c r="M34" s="170">
        <f>PrivateInvestment!A296</f>
        <v/>
      </c>
      <c r="N34" s="7">
        <f>PrivateInvestment!B296</f>
        <v/>
      </c>
      <c r="O34" s="8">
        <f>PrivateInvestment!C296</f>
        <v/>
      </c>
      <c r="P34" s="8">
        <f>PrivateInvestment!E296</f>
        <v/>
      </c>
      <c r="Q34" s="125" t="n"/>
      <c r="R34" s="170">
        <f>Exports!A296</f>
        <v/>
      </c>
      <c r="S34" s="7">
        <f>Exports!B296</f>
        <v/>
      </c>
      <c r="T34" s="8">
        <f>Exports!C296</f>
        <v/>
      </c>
      <c r="U34" s="8">
        <f>Exports!E296</f>
        <v/>
      </c>
      <c r="V34" s="125" t="n"/>
      <c r="W34" s="170">
        <f>Imports!A296</f>
        <v/>
      </c>
      <c r="X34" s="7">
        <f>Imports!B296</f>
        <v/>
      </c>
      <c r="Y34" s="8">
        <f>Imports!C296</f>
        <v/>
      </c>
      <c r="Z34" s="8">
        <f>Imports!E296</f>
        <v/>
      </c>
      <c r="AA34" s="125" t="n"/>
      <c r="AB34" s="170">
        <f>Government!A296</f>
        <v/>
      </c>
      <c r="AC34" s="7">
        <f>Government!B296</f>
        <v/>
      </c>
      <c r="AD34" s="8">
        <f>Government!C296</f>
        <v/>
      </c>
      <c r="AE34" s="8">
        <f>Government!E296</f>
        <v/>
      </c>
      <c r="AF34" s="125" t="n"/>
      <c r="AG34" s="170">
        <f>GDPPriceIndex!A296</f>
        <v/>
      </c>
      <c r="AH34" s="7">
        <f>GDPPriceIndex!B296</f>
        <v/>
      </c>
      <c r="AI34" s="8">
        <f>GDPPriceIndex!C296</f>
        <v/>
      </c>
      <c r="AJ34" s="8">
        <f>GDPPriceIndex!D296</f>
        <v/>
      </c>
      <c r="AK34" s="125" t="n"/>
      <c r="AL34" s="170">
        <f>CorePCE!A296</f>
        <v/>
      </c>
      <c r="AM34" s="7">
        <f>CorePCE!B296</f>
        <v/>
      </c>
      <c r="AN34" s="8">
        <f>CorePCE!C296</f>
        <v/>
      </c>
      <c r="AO34" s="8">
        <f>CorePCE!D296</f>
        <v/>
      </c>
    </row>
    <row r="35" customFormat="1" s="125">
      <c r="C35" s="170">
        <f>'U.S. GDP'!A297</f>
        <v/>
      </c>
      <c r="D35" s="7">
        <f>'U.S. GDP'!B297</f>
        <v/>
      </c>
      <c r="E35" s="8">
        <f>'U.S. GDP'!C297</f>
        <v/>
      </c>
      <c r="F35" s="8">
        <f>'U.S. GDP'!E297</f>
        <v/>
      </c>
      <c r="G35" s="125" t="n"/>
      <c r="H35" s="170">
        <f>PersonalConsumption!A297</f>
        <v/>
      </c>
      <c r="I35" s="7">
        <f>PersonalConsumption!B297</f>
        <v/>
      </c>
      <c r="J35" s="8">
        <f>PersonalConsumption!C297</f>
        <v/>
      </c>
      <c r="K35" s="8">
        <f>PersonalConsumption!E297</f>
        <v/>
      </c>
      <c r="L35" s="125" t="n"/>
      <c r="M35" s="170">
        <f>PrivateInvestment!A297</f>
        <v/>
      </c>
      <c r="N35" s="7">
        <f>PrivateInvestment!B297</f>
        <v/>
      </c>
      <c r="O35" s="8">
        <f>PrivateInvestment!C297</f>
        <v/>
      </c>
      <c r="P35" s="8">
        <f>PrivateInvestment!E297</f>
        <v/>
      </c>
      <c r="Q35" s="125" t="n"/>
      <c r="R35" s="170">
        <f>Exports!A297</f>
        <v/>
      </c>
      <c r="S35" s="7">
        <f>Exports!B297</f>
        <v/>
      </c>
      <c r="T35" s="8">
        <f>Exports!C297</f>
        <v/>
      </c>
      <c r="U35" s="8">
        <f>Exports!E297</f>
        <v/>
      </c>
      <c r="V35" s="125" t="n"/>
      <c r="W35" s="170">
        <f>Imports!A297</f>
        <v/>
      </c>
      <c r="X35" s="7">
        <f>Imports!B297</f>
        <v/>
      </c>
      <c r="Y35" s="8">
        <f>Imports!C297</f>
        <v/>
      </c>
      <c r="Z35" s="8">
        <f>Imports!E297</f>
        <v/>
      </c>
      <c r="AA35" s="125" t="n"/>
      <c r="AB35" s="170">
        <f>Government!A297</f>
        <v/>
      </c>
      <c r="AC35" s="7">
        <f>Government!B297</f>
        <v/>
      </c>
      <c r="AD35" s="8">
        <f>Government!C297</f>
        <v/>
      </c>
      <c r="AE35" s="8">
        <f>Government!E297</f>
        <v/>
      </c>
      <c r="AF35" s="125" t="n"/>
      <c r="AG35" s="170">
        <f>GDPPriceIndex!A297</f>
        <v/>
      </c>
      <c r="AH35" s="7">
        <f>GDPPriceIndex!B297</f>
        <v/>
      </c>
      <c r="AI35" s="8">
        <f>GDPPriceIndex!C297</f>
        <v/>
      </c>
      <c r="AJ35" s="8">
        <f>GDPPriceIndex!D297</f>
        <v/>
      </c>
      <c r="AK35" s="125" t="n"/>
      <c r="AL35" s="170">
        <f>CorePCE!A297</f>
        <v/>
      </c>
      <c r="AM35" s="7">
        <f>CorePCE!B297</f>
        <v/>
      </c>
      <c r="AN35" s="8">
        <f>CorePCE!C297</f>
        <v/>
      </c>
      <c r="AO35" s="8">
        <f>CorePCE!D297</f>
        <v/>
      </c>
    </row>
    <row r="36" customFormat="1" s="125">
      <c r="C36" s="170">
        <f>'U.S. GDP'!A298</f>
        <v/>
      </c>
      <c r="D36" s="7">
        <f>'U.S. GDP'!B298</f>
        <v/>
      </c>
      <c r="E36" s="8">
        <f>'U.S. GDP'!C298</f>
        <v/>
      </c>
      <c r="F36" s="8">
        <f>'U.S. GDP'!E298</f>
        <v/>
      </c>
      <c r="G36" s="125" t="n"/>
      <c r="H36" s="170">
        <f>PersonalConsumption!A298</f>
        <v/>
      </c>
      <c r="I36" s="7">
        <f>PersonalConsumption!B298</f>
        <v/>
      </c>
      <c r="J36" s="8">
        <f>PersonalConsumption!C298</f>
        <v/>
      </c>
      <c r="K36" s="8">
        <f>PersonalConsumption!E298</f>
        <v/>
      </c>
      <c r="L36" s="125" t="n"/>
      <c r="M36" s="170">
        <f>PrivateInvestment!A298</f>
        <v/>
      </c>
      <c r="N36" s="7">
        <f>PrivateInvestment!B298</f>
        <v/>
      </c>
      <c r="O36" s="8">
        <f>PrivateInvestment!C298</f>
        <v/>
      </c>
      <c r="P36" s="8">
        <f>PrivateInvestment!E298</f>
        <v/>
      </c>
      <c r="Q36" s="125" t="n"/>
      <c r="R36" s="170">
        <f>Exports!A298</f>
        <v/>
      </c>
      <c r="S36" s="7">
        <f>Exports!B298</f>
        <v/>
      </c>
      <c r="T36" s="8">
        <f>Exports!C298</f>
        <v/>
      </c>
      <c r="U36" s="8">
        <f>Exports!E298</f>
        <v/>
      </c>
      <c r="V36" s="125" t="n"/>
      <c r="W36" s="170">
        <f>Imports!A298</f>
        <v/>
      </c>
      <c r="X36" s="7">
        <f>Imports!B298</f>
        <v/>
      </c>
      <c r="Y36" s="8">
        <f>Imports!C298</f>
        <v/>
      </c>
      <c r="Z36" s="8">
        <f>Imports!E298</f>
        <v/>
      </c>
      <c r="AA36" s="125" t="n"/>
      <c r="AB36" s="170">
        <f>Government!A298</f>
        <v/>
      </c>
      <c r="AC36" s="7">
        <f>Government!B298</f>
        <v/>
      </c>
      <c r="AD36" s="8">
        <f>Government!C298</f>
        <v/>
      </c>
      <c r="AE36" s="8">
        <f>Government!E298</f>
        <v/>
      </c>
      <c r="AF36" s="125" t="n"/>
      <c r="AG36" s="170">
        <f>GDPPriceIndex!A298</f>
        <v/>
      </c>
      <c r="AH36" s="7">
        <f>GDPPriceIndex!B298</f>
        <v/>
      </c>
      <c r="AI36" s="8">
        <f>GDPPriceIndex!C298</f>
        <v/>
      </c>
      <c r="AJ36" s="8">
        <f>GDPPriceIndex!D298</f>
        <v/>
      </c>
      <c r="AK36" s="125" t="n"/>
      <c r="AL36" s="170">
        <f>CorePCE!A298</f>
        <v/>
      </c>
      <c r="AM36" s="7">
        <f>CorePCE!B298</f>
        <v/>
      </c>
      <c r="AN36" s="8">
        <f>CorePCE!C298</f>
        <v/>
      </c>
      <c r="AO36" s="8">
        <f>CorePCE!D298</f>
        <v/>
      </c>
    </row>
    <row r="37" customFormat="1" s="125">
      <c r="C37" s="170">
        <f>'U.S. GDP'!A299</f>
        <v/>
      </c>
      <c r="D37" s="7">
        <f>'U.S. GDP'!B299</f>
        <v/>
      </c>
      <c r="E37" s="8">
        <f>'U.S. GDP'!C299</f>
        <v/>
      </c>
      <c r="F37" s="8">
        <f>'U.S. GDP'!E299</f>
        <v/>
      </c>
      <c r="G37" s="125" t="n"/>
      <c r="H37" s="170">
        <f>PersonalConsumption!A299</f>
        <v/>
      </c>
      <c r="I37" s="7">
        <f>PersonalConsumption!B299</f>
        <v/>
      </c>
      <c r="J37" s="8">
        <f>PersonalConsumption!C299</f>
        <v/>
      </c>
      <c r="K37" s="8">
        <f>PersonalConsumption!E299</f>
        <v/>
      </c>
      <c r="L37" s="125" t="n"/>
      <c r="M37" s="170">
        <f>PrivateInvestment!A299</f>
        <v/>
      </c>
      <c r="N37" s="7">
        <f>PrivateInvestment!B299</f>
        <v/>
      </c>
      <c r="O37" s="8">
        <f>PrivateInvestment!C299</f>
        <v/>
      </c>
      <c r="P37" s="8">
        <f>PrivateInvestment!E299</f>
        <v/>
      </c>
      <c r="Q37" s="125" t="n"/>
      <c r="R37" s="170">
        <f>Exports!A299</f>
        <v/>
      </c>
      <c r="S37" s="7">
        <f>Exports!B299</f>
        <v/>
      </c>
      <c r="T37" s="8">
        <f>Exports!C299</f>
        <v/>
      </c>
      <c r="U37" s="8">
        <f>Exports!E299</f>
        <v/>
      </c>
      <c r="V37" s="125" t="n"/>
      <c r="W37" s="170">
        <f>Imports!A299</f>
        <v/>
      </c>
      <c r="X37" s="7">
        <f>Imports!B299</f>
        <v/>
      </c>
      <c r="Y37" s="8">
        <f>Imports!C299</f>
        <v/>
      </c>
      <c r="Z37" s="8">
        <f>Imports!E299</f>
        <v/>
      </c>
      <c r="AA37" s="125" t="n"/>
      <c r="AB37" s="170">
        <f>Government!A299</f>
        <v/>
      </c>
      <c r="AC37" s="7">
        <f>Government!B299</f>
        <v/>
      </c>
      <c r="AD37" s="8">
        <f>Government!C299</f>
        <v/>
      </c>
      <c r="AE37" s="8">
        <f>Government!E299</f>
        <v/>
      </c>
      <c r="AF37" s="125" t="n"/>
      <c r="AG37" s="170">
        <f>GDPPriceIndex!A299</f>
        <v/>
      </c>
      <c r="AH37" s="7">
        <f>GDPPriceIndex!B299</f>
        <v/>
      </c>
      <c r="AI37" s="8">
        <f>GDPPriceIndex!C299</f>
        <v/>
      </c>
      <c r="AJ37" s="8">
        <f>GDPPriceIndex!D299</f>
        <v/>
      </c>
      <c r="AK37" s="125" t="n"/>
      <c r="AL37" s="170">
        <f>CorePCE!A299</f>
        <v/>
      </c>
      <c r="AM37" s="7">
        <f>CorePCE!B299</f>
        <v/>
      </c>
      <c r="AN37" s="8">
        <f>CorePCE!C299</f>
        <v/>
      </c>
      <c r="AO37" s="8">
        <f>CorePCE!D299</f>
        <v/>
      </c>
    </row>
    <row r="38" customFormat="1" s="125">
      <c r="C38" s="170">
        <f>'U.S. GDP'!A300</f>
        <v/>
      </c>
      <c r="D38" s="7">
        <f>'U.S. GDP'!B300</f>
        <v/>
      </c>
      <c r="E38" s="8">
        <f>'U.S. GDP'!C300</f>
        <v/>
      </c>
      <c r="F38" s="8">
        <f>'U.S. GDP'!E300</f>
        <v/>
      </c>
      <c r="G38" s="125" t="n"/>
      <c r="H38" s="170">
        <f>PersonalConsumption!A300</f>
        <v/>
      </c>
      <c r="I38" s="7">
        <f>PersonalConsumption!B300</f>
        <v/>
      </c>
      <c r="J38" s="8">
        <f>PersonalConsumption!C300</f>
        <v/>
      </c>
      <c r="K38" s="8">
        <f>PersonalConsumption!E300</f>
        <v/>
      </c>
      <c r="L38" s="125" t="n"/>
      <c r="M38" s="170">
        <f>PrivateInvestment!A300</f>
        <v/>
      </c>
      <c r="N38" s="7">
        <f>PrivateInvestment!B300</f>
        <v/>
      </c>
      <c r="O38" s="8">
        <f>PrivateInvestment!C300</f>
        <v/>
      </c>
      <c r="P38" s="8">
        <f>PrivateInvestment!E300</f>
        <v/>
      </c>
      <c r="Q38" s="125" t="n"/>
      <c r="R38" s="170">
        <f>Exports!A300</f>
        <v/>
      </c>
      <c r="S38" s="7">
        <f>Exports!B300</f>
        <v/>
      </c>
      <c r="T38" s="8">
        <f>Exports!C300</f>
        <v/>
      </c>
      <c r="U38" s="8">
        <f>Exports!E300</f>
        <v/>
      </c>
      <c r="V38" s="125" t="n"/>
      <c r="W38" s="170">
        <f>Imports!A300</f>
        <v/>
      </c>
      <c r="X38" s="7">
        <f>Imports!B300</f>
        <v/>
      </c>
      <c r="Y38" s="8">
        <f>Imports!C300</f>
        <v/>
      </c>
      <c r="Z38" s="8">
        <f>Imports!E300</f>
        <v/>
      </c>
      <c r="AA38" s="125" t="n"/>
      <c r="AB38" s="170">
        <f>Government!A300</f>
        <v/>
      </c>
      <c r="AC38" s="7">
        <f>Government!B300</f>
        <v/>
      </c>
      <c r="AD38" s="8">
        <f>Government!C300</f>
        <v/>
      </c>
      <c r="AE38" s="8">
        <f>Government!E300</f>
        <v/>
      </c>
      <c r="AF38" s="125" t="n"/>
      <c r="AG38" s="170">
        <f>GDPPriceIndex!A300</f>
        <v/>
      </c>
      <c r="AH38" s="7">
        <f>GDPPriceIndex!B300</f>
        <v/>
      </c>
      <c r="AI38" s="8">
        <f>GDPPriceIndex!C300</f>
        <v/>
      </c>
      <c r="AJ38" s="8">
        <f>GDPPriceIndex!D300</f>
        <v/>
      </c>
      <c r="AK38" s="125" t="n"/>
      <c r="AL38" s="170">
        <f>CorePCE!A300</f>
        <v/>
      </c>
      <c r="AM38" s="7">
        <f>CorePCE!B300</f>
        <v/>
      </c>
      <c r="AN38" s="8">
        <f>CorePCE!C300</f>
        <v/>
      </c>
      <c r="AO38" s="8">
        <f>CorePCE!D300</f>
        <v/>
      </c>
    </row>
    <row r="39" customFormat="1" s="125">
      <c r="C39" s="170">
        <f>'U.S. GDP'!A301</f>
        <v/>
      </c>
      <c r="D39" s="7">
        <f>'U.S. GDP'!B301</f>
        <v/>
      </c>
      <c r="E39" s="8">
        <f>'U.S. GDP'!C301</f>
        <v/>
      </c>
      <c r="F39" s="8">
        <f>'U.S. GDP'!E301</f>
        <v/>
      </c>
      <c r="G39" s="125" t="n"/>
      <c r="H39" s="170">
        <f>PersonalConsumption!A301</f>
        <v/>
      </c>
      <c r="I39" s="7">
        <f>PersonalConsumption!B301</f>
        <v/>
      </c>
      <c r="J39" s="8">
        <f>PersonalConsumption!C301</f>
        <v/>
      </c>
      <c r="K39" s="8">
        <f>PersonalConsumption!E301</f>
        <v/>
      </c>
      <c r="L39" s="125" t="n"/>
      <c r="M39" s="170">
        <f>PrivateInvestment!A301</f>
        <v/>
      </c>
      <c r="N39" s="7">
        <f>PrivateInvestment!B301</f>
        <v/>
      </c>
      <c r="O39" s="8">
        <f>PrivateInvestment!C301</f>
        <v/>
      </c>
      <c r="P39" s="8">
        <f>PrivateInvestment!E301</f>
        <v/>
      </c>
      <c r="Q39" s="125" t="n"/>
      <c r="R39" s="170">
        <f>Exports!A301</f>
        <v/>
      </c>
      <c r="S39" s="7">
        <f>Exports!B301</f>
        <v/>
      </c>
      <c r="T39" s="8">
        <f>Exports!C301</f>
        <v/>
      </c>
      <c r="U39" s="8">
        <f>Exports!E301</f>
        <v/>
      </c>
      <c r="V39" s="125" t="n"/>
      <c r="W39" s="170">
        <f>Imports!A301</f>
        <v/>
      </c>
      <c r="X39" s="7">
        <f>Imports!B301</f>
        <v/>
      </c>
      <c r="Y39" s="8">
        <f>Imports!C301</f>
        <v/>
      </c>
      <c r="Z39" s="8">
        <f>Imports!E301</f>
        <v/>
      </c>
      <c r="AA39" s="125" t="n"/>
      <c r="AB39" s="170">
        <f>Government!A301</f>
        <v/>
      </c>
      <c r="AC39" s="7">
        <f>Government!B301</f>
        <v/>
      </c>
      <c r="AD39" s="8">
        <f>Government!C301</f>
        <v/>
      </c>
      <c r="AE39" s="8">
        <f>Government!E301</f>
        <v/>
      </c>
      <c r="AF39" s="125" t="n"/>
      <c r="AG39" s="170">
        <f>GDPPriceIndex!A301</f>
        <v/>
      </c>
      <c r="AH39" s="7">
        <f>GDPPriceIndex!B301</f>
        <v/>
      </c>
      <c r="AI39" s="8">
        <f>GDPPriceIndex!C301</f>
        <v/>
      </c>
      <c r="AJ39" s="8">
        <f>GDPPriceIndex!D301</f>
        <v/>
      </c>
      <c r="AK39" s="125" t="n"/>
      <c r="AL39" s="170">
        <f>CorePCE!A301</f>
        <v/>
      </c>
      <c r="AM39" s="7">
        <f>CorePCE!B301</f>
        <v/>
      </c>
      <c r="AN39" s="8">
        <f>CorePCE!C301</f>
        <v/>
      </c>
      <c r="AO39" s="8">
        <f>CorePCE!D301</f>
        <v/>
      </c>
    </row>
    <row r="40" customFormat="1" s="125">
      <c r="C40" s="170">
        <f>'U.S. GDP'!A302</f>
        <v/>
      </c>
      <c r="D40" s="7">
        <f>'U.S. GDP'!B302</f>
        <v/>
      </c>
      <c r="E40" s="8">
        <f>'U.S. GDP'!C302</f>
        <v/>
      </c>
      <c r="F40" s="8">
        <f>'U.S. GDP'!E302</f>
        <v/>
      </c>
      <c r="G40" s="125" t="n"/>
      <c r="H40" s="170">
        <f>PersonalConsumption!A302</f>
        <v/>
      </c>
      <c r="I40" s="7">
        <f>PersonalConsumption!B302</f>
        <v/>
      </c>
      <c r="J40" s="8">
        <f>PersonalConsumption!C302</f>
        <v/>
      </c>
      <c r="K40" s="8">
        <f>PersonalConsumption!E302</f>
        <v/>
      </c>
      <c r="L40" s="125" t="n"/>
      <c r="M40" s="170">
        <f>PrivateInvestment!A302</f>
        <v/>
      </c>
      <c r="N40" s="7">
        <f>PrivateInvestment!B302</f>
        <v/>
      </c>
      <c r="O40" s="8">
        <f>PrivateInvestment!C302</f>
        <v/>
      </c>
      <c r="P40" s="8">
        <f>PrivateInvestment!E302</f>
        <v/>
      </c>
      <c r="Q40" s="125" t="n"/>
      <c r="R40" s="170">
        <f>Exports!A302</f>
        <v/>
      </c>
      <c r="S40" s="7">
        <f>Exports!B302</f>
        <v/>
      </c>
      <c r="T40" s="8">
        <f>Exports!C302</f>
        <v/>
      </c>
      <c r="U40" s="8">
        <f>Exports!E302</f>
        <v/>
      </c>
      <c r="V40" s="125" t="n"/>
      <c r="W40" s="170">
        <f>Imports!A302</f>
        <v/>
      </c>
      <c r="X40" s="7">
        <f>Imports!B302</f>
        <v/>
      </c>
      <c r="Y40" s="8">
        <f>Imports!C302</f>
        <v/>
      </c>
      <c r="Z40" s="8">
        <f>Imports!E302</f>
        <v/>
      </c>
      <c r="AA40" s="125" t="n"/>
      <c r="AB40" s="170">
        <f>Government!A302</f>
        <v/>
      </c>
      <c r="AC40" s="7">
        <f>Government!B302</f>
        <v/>
      </c>
      <c r="AD40" s="8">
        <f>Government!C302</f>
        <v/>
      </c>
      <c r="AE40" s="8">
        <f>Government!E302</f>
        <v/>
      </c>
      <c r="AF40" s="125" t="n"/>
      <c r="AG40" s="170">
        <f>GDPPriceIndex!A302</f>
        <v/>
      </c>
      <c r="AH40" s="7">
        <f>GDPPriceIndex!B302</f>
        <v/>
      </c>
      <c r="AI40" s="8">
        <f>GDPPriceIndex!C302</f>
        <v/>
      </c>
      <c r="AJ40" s="8">
        <f>GDPPriceIndex!D302</f>
        <v/>
      </c>
      <c r="AK40" s="125" t="n"/>
      <c r="AL40" s="170">
        <f>CorePCE!A302</f>
        <v/>
      </c>
      <c r="AM40" s="7">
        <f>CorePCE!B302</f>
        <v/>
      </c>
      <c r="AN40" s="8">
        <f>CorePCE!C302</f>
        <v/>
      </c>
      <c r="AO40" s="8">
        <f>CorePCE!D302</f>
        <v/>
      </c>
    </row>
    <row r="41" customFormat="1" s="125">
      <c r="C41" s="170">
        <f>'U.S. GDP'!A303</f>
        <v/>
      </c>
      <c r="D41" s="7">
        <f>'U.S. GDP'!B303</f>
        <v/>
      </c>
      <c r="E41" s="8">
        <f>'U.S. GDP'!C303</f>
        <v/>
      </c>
      <c r="F41" s="8">
        <f>'U.S. GDP'!E303</f>
        <v/>
      </c>
      <c r="G41" s="125" t="n"/>
      <c r="H41" s="170">
        <f>PersonalConsumption!A303</f>
        <v/>
      </c>
      <c r="I41" s="7">
        <f>PersonalConsumption!B303</f>
        <v/>
      </c>
      <c r="J41" s="8">
        <f>PersonalConsumption!C303</f>
        <v/>
      </c>
      <c r="K41" s="8">
        <f>PersonalConsumption!E303</f>
        <v/>
      </c>
      <c r="L41" s="125" t="n"/>
      <c r="M41" s="170">
        <f>PrivateInvestment!A303</f>
        <v/>
      </c>
      <c r="N41" s="7">
        <f>PrivateInvestment!B303</f>
        <v/>
      </c>
      <c r="O41" s="8">
        <f>PrivateInvestment!C303</f>
        <v/>
      </c>
      <c r="P41" s="8">
        <f>PrivateInvestment!E303</f>
        <v/>
      </c>
      <c r="Q41" s="125" t="n"/>
      <c r="R41" s="170">
        <f>Exports!A303</f>
        <v/>
      </c>
      <c r="S41" s="7">
        <f>Exports!B303</f>
        <v/>
      </c>
      <c r="T41" s="8">
        <f>Exports!C303</f>
        <v/>
      </c>
      <c r="U41" s="8">
        <f>Exports!E303</f>
        <v/>
      </c>
      <c r="V41" s="125" t="n"/>
      <c r="W41" s="170">
        <f>Imports!A303</f>
        <v/>
      </c>
      <c r="X41" s="7">
        <f>Imports!B303</f>
        <v/>
      </c>
      <c r="Y41" s="8">
        <f>Imports!C303</f>
        <v/>
      </c>
      <c r="Z41" s="8">
        <f>Imports!E303</f>
        <v/>
      </c>
      <c r="AA41" s="125" t="n"/>
      <c r="AB41" s="170">
        <f>Government!A303</f>
        <v/>
      </c>
      <c r="AC41" s="7">
        <f>Government!B303</f>
        <v/>
      </c>
      <c r="AD41" s="8">
        <f>Government!C303</f>
        <v/>
      </c>
      <c r="AE41" s="8">
        <f>Government!E303</f>
        <v/>
      </c>
      <c r="AF41" s="125" t="n"/>
      <c r="AG41" s="170">
        <f>GDPPriceIndex!A303</f>
        <v/>
      </c>
      <c r="AH41" s="7">
        <f>GDPPriceIndex!B303</f>
        <v/>
      </c>
      <c r="AI41" s="8">
        <f>GDPPriceIndex!C303</f>
        <v/>
      </c>
      <c r="AJ41" s="8">
        <f>GDPPriceIndex!D303</f>
        <v/>
      </c>
      <c r="AK41" s="125" t="n"/>
      <c r="AL41" s="170">
        <f>CorePCE!A303</f>
        <v/>
      </c>
      <c r="AM41" s="7">
        <f>CorePCE!B303</f>
        <v/>
      </c>
      <c r="AN41" s="8">
        <f>CorePCE!C303</f>
        <v/>
      </c>
      <c r="AO41" s="8">
        <f>CorePCE!D303</f>
        <v/>
      </c>
    </row>
    <row r="42" customFormat="1" s="125">
      <c r="C42" s="170">
        <f>'U.S. GDP'!A304</f>
        <v/>
      </c>
      <c r="D42" s="7">
        <f>'U.S. GDP'!B304</f>
        <v/>
      </c>
      <c r="E42" s="8">
        <f>'U.S. GDP'!C304</f>
        <v/>
      </c>
      <c r="F42" s="8">
        <f>'U.S. GDP'!E304</f>
        <v/>
      </c>
      <c r="G42" s="125" t="n"/>
      <c r="H42" s="170">
        <f>PersonalConsumption!A304</f>
        <v/>
      </c>
      <c r="I42" s="7">
        <f>PersonalConsumption!B304</f>
        <v/>
      </c>
      <c r="J42" s="8">
        <f>PersonalConsumption!C304</f>
        <v/>
      </c>
      <c r="K42" s="8">
        <f>PersonalConsumption!E304</f>
        <v/>
      </c>
      <c r="L42" s="125" t="n"/>
      <c r="M42" s="170">
        <f>PrivateInvestment!A304</f>
        <v/>
      </c>
      <c r="N42" s="7">
        <f>PrivateInvestment!B304</f>
        <v/>
      </c>
      <c r="O42" s="8">
        <f>PrivateInvestment!C304</f>
        <v/>
      </c>
      <c r="P42" s="8">
        <f>PrivateInvestment!E304</f>
        <v/>
      </c>
      <c r="Q42" s="125" t="n"/>
      <c r="R42" s="170">
        <f>Exports!A304</f>
        <v/>
      </c>
      <c r="S42" s="7">
        <f>Exports!B304</f>
        <v/>
      </c>
      <c r="T42" s="8">
        <f>Exports!C304</f>
        <v/>
      </c>
      <c r="U42" s="8">
        <f>Exports!E304</f>
        <v/>
      </c>
      <c r="V42" s="125" t="n"/>
      <c r="W42" s="170">
        <f>Imports!A304</f>
        <v/>
      </c>
      <c r="X42" s="7">
        <f>Imports!B304</f>
        <v/>
      </c>
      <c r="Y42" s="8">
        <f>Imports!C304</f>
        <v/>
      </c>
      <c r="Z42" s="8">
        <f>Imports!E304</f>
        <v/>
      </c>
      <c r="AA42" s="125" t="n"/>
      <c r="AB42" s="170">
        <f>Government!A304</f>
        <v/>
      </c>
      <c r="AC42" s="7">
        <f>Government!B304</f>
        <v/>
      </c>
      <c r="AD42" s="8">
        <f>Government!C304</f>
        <v/>
      </c>
      <c r="AE42" s="8">
        <f>Government!E304</f>
        <v/>
      </c>
      <c r="AF42" s="125" t="n"/>
      <c r="AG42" s="170">
        <f>GDPPriceIndex!A304</f>
        <v/>
      </c>
      <c r="AH42" s="7">
        <f>GDPPriceIndex!B304</f>
        <v/>
      </c>
      <c r="AI42" s="8">
        <f>GDPPriceIndex!C304</f>
        <v/>
      </c>
      <c r="AJ42" s="8">
        <f>GDPPriceIndex!D304</f>
        <v/>
      </c>
      <c r="AK42" s="125" t="n"/>
      <c r="AL42" s="170">
        <f>CorePCE!A304</f>
        <v/>
      </c>
      <c r="AM42" s="7">
        <f>CorePCE!B304</f>
        <v/>
      </c>
      <c r="AN42" s="8">
        <f>CorePCE!C304</f>
        <v/>
      </c>
      <c r="AO42" s="8">
        <f>CorePCE!D304</f>
        <v/>
      </c>
    </row>
    <row r="43" customFormat="1" s="125"/>
    <row r="44" customFormat="1" s="125"/>
    <row r="45" customFormat="1" s="125"/>
    <row r="46" customFormat="1" s="125"/>
    <row r="47" customFormat="1" s="125"/>
    <row r="48" customFormat="1" s="125"/>
    <row r="49" customFormat="1" s="125"/>
    <row r="50" customFormat="1" s="125"/>
    <row r="51" customFormat="1" s="125"/>
    <row r="52" customFormat="1" s="125"/>
    <row r="53" customFormat="1" s="125"/>
    <row r="54" customFormat="1" s="125"/>
    <row r="55" customFormat="1" s="125"/>
    <row r="56" customFormat="1" s="125"/>
    <row r="57" customFormat="1" s="125"/>
    <row r="58" customFormat="1" s="125"/>
    <row r="59" customFormat="1" s="125"/>
    <row r="60" customFormat="1" s="125"/>
    <row r="61" customFormat="1" s="125"/>
    <row r="62" customFormat="1" s="125"/>
    <row r="63" customFormat="1" s="125"/>
    <row r="64" customFormat="1" s="125"/>
    <row r="65" customFormat="1" s="125"/>
    <row r="66" customFormat="1" s="125"/>
    <row r="67" customFormat="1" s="125"/>
    <row r="68" customFormat="1" s="125"/>
    <row r="69" customFormat="1" s="125"/>
    <row r="70" customFormat="1" s="125"/>
    <row r="71" customFormat="1" s="125"/>
    <row r="72" customFormat="1" s="125"/>
    <row r="73" customFormat="1" s="125"/>
    <row r="74" customFormat="1" s="125"/>
    <row r="75" customFormat="1" s="125"/>
    <row r="76" customFormat="1" s="125"/>
    <row r="77" customFormat="1" s="125"/>
    <row r="78" customFormat="1" s="125"/>
    <row r="79" customFormat="1" s="125"/>
    <row r="80" customFormat="1" s="125"/>
    <row r="81" customFormat="1" s="125"/>
    <row r="82" customFormat="1" s="125"/>
    <row r="83" customFormat="1" s="125"/>
    <row r="84" customFormat="1" s="125"/>
    <row r="85" customFormat="1" s="125"/>
    <row r="86" customFormat="1" s="125"/>
    <row r="87" customFormat="1" s="125"/>
    <row r="88" customFormat="1" s="125"/>
    <row r="89" customFormat="1" s="125"/>
    <row r="90" customFormat="1" s="125"/>
    <row r="91" customFormat="1" s="125"/>
    <row r="92" customFormat="1" s="125"/>
    <row r="93" customFormat="1" s="125"/>
    <row r="94" customFormat="1" s="125"/>
    <row r="95" customFormat="1" s="125"/>
    <row r="96" customFormat="1" s="125"/>
    <row r="97" customFormat="1" s="125"/>
    <row r="98" customFormat="1" s="125"/>
    <row r="99" customFormat="1" s="125"/>
    <row r="100" customFormat="1" s="125"/>
    <row r="101" customFormat="1" s="125"/>
    <row r="102" customFormat="1" s="125"/>
    <row r="103" customFormat="1" s="125"/>
    <row r="104" customFormat="1" s="125"/>
    <row r="105" customFormat="1" s="125"/>
    <row r="106" customFormat="1" s="125"/>
    <row r="107" customFormat="1" s="125"/>
    <row r="108" customFormat="1" s="125"/>
    <row r="109" customFormat="1" s="125"/>
    <row r="110" customFormat="1" s="125"/>
    <row r="111" customFormat="1" s="125"/>
    <row r="112" customFormat="1" s="125"/>
    <row r="113" customFormat="1" s="125"/>
    <row r="114" customFormat="1" s="125"/>
    <row r="115" customFormat="1" s="125"/>
    <row r="116" customFormat="1" s="125"/>
    <row r="117" customFormat="1" s="125"/>
    <row r="118" customFormat="1" s="125"/>
    <row r="119" customFormat="1" s="125"/>
    <row r="120" customFormat="1" s="125"/>
    <row r="121" customFormat="1" s="125"/>
    <row r="122" customFormat="1" s="125"/>
    <row r="123" customFormat="1" s="125"/>
    <row r="124" customFormat="1" s="125"/>
    <row r="125" customFormat="1" s="125"/>
    <row r="126" customFormat="1" s="125"/>
    <row r="127" customFormat="1" s="125"/>
    <row r="128" customFormat="1" s="125"/>
    <row r="129" customFormat="1" s="125"/>
    <row r="130" customFormat="1" s="125"/>
    <row r="131" customFormat="1" s="125"/>
    <row r="132" customFormat="1" s="125"/>
    <row r="133" customFormat="1" s="125"/>
    <row r="134" customFormat="1" s="125"/>
    <row r="135" customFormat="1" s="125"/>
    <row r="136" customFormat="1" s="125"/>
    <row r="137" customFormat="1" s="125"/>
    <row r="138" customFormat="1" s="125"/>
    <row r="139" customFormat="1" s="125"/>
    <row r="140" customFormat="1" s="125"/>
    <row r="141" customFormat="1" s="125"/>
    <row r="142" customFormat="1" s="125"/>
    <row r="143" customFormat="1" s="125"/>
    <row r="144" customFormat="1" s="125"/>
    <row r="145" customFormat="1" s="125"/>
    <row r="146" customFormat="1" s="125"/>
    <row r="147" customFormat="1" s="125"/>
    <row r="148" customFormat="1" s="125"/>
    <row r="149" customFormat="1" s="125"/>
    <row r="150" customFormat="1" s="125"/>
    <row r="151" customFormat="1" s="125"/>
    <row r="152" customFormat="1" s="125"/>
    <row r="153" customFormat="1" s="125"/>
    <row r="154" customFormat="1" s="125"/>
    <row r="155" customFormat="1" s="125"/>
    <row r="156" customFormat="1" s="125"/>
    <row r="157" customFormat="1" s="125"/>
    <row r="158" customFormat="1" s="125"/>
    <row r="159" customFormat="1" s="125"/>
    <row r="160" customFormat="1" s="125"/>
    <row r="161" customFormat="1" s="125"/>
    <row r="162" customFormat="1" s="125"/>
    <row r="163" customFormat="1" s="125"/>
    <row r="164" customFormat="1" s="125"/>
    <row r="165" customFormat="1" s="125"/>
    <row r="166" customFormat="1" s="125"/>
    <row r="167" customFormat="1" s="125"/>
    <row r="168" customFormat="1" s="125"/>
    <row r="169" customFormat="1" s="125"/>
    <row r="170" customFormat="1" s="125"/>
    <row r="171" customFormat="1" s="125"/>
    <row r="172" customFormat="1" s="125"/>
    <row r="173" customFormat="1" s="125"/>
    <row r="174" customFormat="1" s="125"/>
    <row r="175" customFormat="1" s="125"/>
    <row r="176" customFormat="1" s="125"/>
    <row r="177" customFormat="1" s="125"/>
    <row r="178" customFormat="1" s="125"/>
    <row r="179" customFormat="1" s="125"/>
    <row r="180" customFormat="1" s="125"/>
    <row r="181" customFormat="1" s="125"/>
    <row r="182" customFormat="1" s="125"/>
    <row r="183" customFormat="1" s="125"/>
    <row r="184" customFormat="1" s="125"/>
    <row r="185" customFormat="1" s="125"/>
    <row r="186" customFormat="1" s="125"/>
    <row r="187" customFormat="1" s="125"/>
    <row r="188" customFormat="1" s="125"/>
    <row r="189" customFormat="1" s="125"/>
    <row r="190" customFormat="1" s="125"/>
    <row r="191" customFormat="1" s="125"/>
    <row r="192" customFormat="1" s="125"/>
    <row r="193" customFormat="1" s="125"/>
    <row r="194" customFormat="1" s="125"/>
    <row r="195" customFormat="1" s="125"/>
    <row r="196" customFormat="1" s="125"/>
    <row r="197" customFormat="1" s="125"/>
    <row r="198" customFormat="1" s="125"/>
    <row r="199" customFormat="1" s="125"/>
    <row r="200" customFormat="1" s="125"/>
    <row r="201" customFormat="1" s="125"/>
    <row r="202" customFormat="1" s="125"/>
    <row r="203" customFormat="1" s="125"/>
    <row r="204" customFormat="1" s="125"/>
    <row r="205" customFormat="1" s="125"/>
    <row r="206" customFormat="1" s="125"/>
    <row r="207" customFormat="1" s="125"/>
    <row r="208" customFormat="1" s="125"/>
    <row r="209" customFormat="1" s="125"/>
    <row r="210" customFormat="1" s="125"/>
    <row r="211" customFormat="1" s="125"/>
    <row r="212" customFormat="1" s="125"/>
    <row r="213" customFormat="1" s="125"/>
    <row r="214" customFormat="1" s="125"/>
    <row r="215" customFormat="1" s="125"/>
    <row r="216" customFormat="1" s="125"/>
    <row r="217" customFormat="1" s="125"/>
    <row r="218" customFormat="1" s="125"/>
    <row r="219" customFormat="1" s="125"/>
    <row r="220" customFormat="1" s="125"/>
    <row r="221" customFormat="1" s="125"/>
    <row r="222" customFormat="1" s="125"/>
    <row r="223" customFormat="1" s="125"/>
    <row r="224" customFormat="1" s="125"/>
    <row r="225" customFormat="1" s="125"/>
    <row r="226" customFormat="1" s="125"/>
    <row r="227" customFormat="1" s="125"/>
    <row r="228" customFormat="1" s="125"/>
    <row r="229" customFormat="1" s="125"/>
    <row r="230" customFormat="1" s="125"/>
    <row r="231" customFormat="1" s="125"/>
    <row r="232" customFormat="1" s="125"/>
    <row r="233" customFormat="1" s="125"/>
    <row r="234" customFormat="1" s="125"/>
    <row r="235" customFormat="1" s="125"/>
    <row r="236" customFormat="1" s="125"/>
    <row r="237" customFormat="1" s="125"/>
    <row r="238" customFormat="1" s="125"/>
    <row r="239" customFormat="1" s="125"/>
    <row r="240" customFormat="1" s="125"/>
    <row r="241" customFormat="1" s="125"/>
    <row r="242" customFormat="1" s="125"/>
    <row r="243" customFormat="1" s="125"/>
    <row r="244" customFormat="1" s="125"/>
    <row r="245" customFormat="1" s="125"/>
    <row r="246" customFormat="1" s="125"/>
    <row r="247" customFormat="1" s="125"/>
    <row r="248" customFormat="1" s="125"/>
    <row r="249" customFormat="1" s="125"/>
    <row r="250" customFormat="1" s="125"/>
    <row r="251" customFormat="1" s="125"/>
    <row r="252" customFormat="1" s="125"/>
    <row r="253" customFormat="1" s="125"/>
    <row r="254" customFormat="1" s="125"/>
    <row r="255" customFormat="1" s="125"/>
    <row r="256" customFormat="1" s="125"/>
    <row r="257" customFormat="1" s="125"/>
    <row r="258" customFormat="1" s="125"/>
    <row r="259" customFormat="1" s="125"/>
    <row r="260" customFormat="1" s="125"/>
    <row r="261" customFormat="1" s="125"/>
    <row r="262" customFormat="1" s="125"/>
    <row r="263" customFormat="1" s="125"/>
    <row r="264" customFormat="1" s="125"/>
    <row r="265" customFormat="1" s="125"/>
    <row r="266" customFormat="1" s="125"/>
    <row r="267" customFormat="1" s="125"/>
    <row r="268" customFormat="1" s="125"/>
    <row r="269" customFormat="1" s="125"/>
    <row r="270" customFormat="1" s="125"/>
    <row r="271" customFormat="1" s="125"/>
    <row r="272" customFormat="1" s="125"/>
    <row r="273" customFormat="1" s="125"/>
    <row r="274" customFormat="1" s="125"/>
    <row r="275" customFormat="1" s="125"/>
    <row r="276" customFormat="1" s="125"/>
    <row r="277" customFormat="1" s="125"/>
    <row r="278" customFormat="1" s="125"/>
    <row r="279" customFormat="1" s="125"/>
    <row r="280" customFormat="1" s="125"/>
    <row r="281" customFormat="1" s="125"/>
    <row r="282" customFormat="1" s="125"/>
    <row r="283" customFormat="1" s="125"/>
    <row r="284" customFormat="1" s="125"/>
    <row r="285" customFormat="1" s="125"/>
    <row r="286" customFormat="1" s="125"/>
    <row r="287" customFormat="1" s="125"/>
    <row r="288" customFormat="1" s="125"/>
    <row r="289" customFormat="1" s="125"/>
    <row r="290" customFormat="1" s="125"/>
    <row r="291" customFormat="1" s="125"/>
    <row r="292" customFormat="1" s="125"/>
    <row r="293" customFormat="1" s="125"/>
    <row r="294" customFormat="1" s="125"/>
    <row r="295" customFormat="1" s="125"/>
    <row r="296" customFormat="1" s="125"/>
    <row r="297" customFormat="1" s="125"/>
    <row r="298" customFormat="1" s="125"/>
    <row r="299" customFormat="1" s="125"/>
    <row r="300" customFormat="1" s="125"/>
    <row r="301" customFormat="1" s="125"/>
    <row r="302" customFormat="1" s="125"/>
    <row r="303" customFormat="1" s="125"/>
    <row r="304" customFormat="1" s="125"/>
    <row r="305" customFormat="1" s="125"/>
    <row r="306" customFormat="1" s="125"/>
    <row r="307" customFormat="1" s="125"/>
    <row r="308" customFormat="1" s="125"/>
    <row r="309" customFormat="1" s="125"/>
    <row r="310" customFormat="1" s="125"/>
    <row r="311" customFormat="1" s="125"/>
    <row r="312" customFormat="1" s="125"/>
    <row r="313" customFormat="1" s="125"/>
    <row r="314" customFormat="1" s="125"/>
    <row r="315" customFormat="1" s="125"/>
    <row r="316" customFormat="1" s="125"/>
    <row r="317" customFormat="1" s="125"/>
    <row r="318" customFormat="1" s="125"/>
    <row r="319" customFormat="1" s="125"/>
    <row r="320" customFormat="1" s="125"/>
    <row r="321" customFormat="1" s="125"/>
    <row r="322" customFormat="1" s="125"/>
    <row r="323" customFormat="1" s="125"/>
    <row r="324" customFormat="1" s="125"/>
    <row r="325" customFormat="1" s="125"/>
    <row r="326" customFormat="1" s="125"/>
    <row r="327" customFormat="1" s="125"/>
    <row r="328" customFormat="1" s="125"/>
    <row r="329" customFormat="1" s="125"/>
    <row r="330" customFormat="1" s="125"/>
    <row r="331" customFormat="1" s="125"/>
    <row r="332" customFormat="1" s="125"/>
    <row r="333" customFormat="1" s="125"/>
    <row r="334" customFormat="1" s="125"/>
    <row r="335" customFormat="1" s="125"/>
    <row r="336" customFormat="1" s="125"/>
    <row r="337" customFormat="1" s="125"/>
    <row r="338" customFormat="1" s="125"/>
    <row r="339" customFormat="1" s="125"/>
    <row r="340" customFormat="1" s="125"/>
    <row r="341" customFormat="1" s="125"/>
    <row r="342" customFormat="1" s="125"/>
    <row r="343" customFormat="1" s="125"/>
    <row r="344" customFormat="1" s="125"/>
    <row r="345" customFormat="1" s="125"/>
    <row r="346" customFormat="1" s="125"/>
    <row r="347" customFormat="1" s="125"/>
    <row r="348" customFormat="1" s="125"/>
    <row r="349" customFormat="1" s="125"/>
    <row r="350" customFormat="1" s="125"/>
    <row r="351" customFormat="1" s="125"/>
    <row r="352" customFormat="1" s="125"/>
    <row r="353" customFormat="1" s="125"/>
    <row r="354" customFormat="1" s="125"/>
    <row r="355" customFormat="1" s="125"/>
    <row r="356" customFormat="1" s="125"/>
    <row r="357" customFormat="1" s="125"/>
    <row r="358" customFormat="1" s="125"/>
    <row r="359" customFormat="1" s="125"/>
    <row r="360" customFormat="1" s="125"/>
    <row r="361" customFormat="1" s="125"/>
    <row r="362" customFormat="1" s="125"/>
    <row r="363" customFormat="1" s="125"/>
    <row r="364" customFormat="1" s="125"/>
    <row r="365" customFormat="1" s="125"/>
    <row r="366" customFormat="1" s="125"/>
    <row r="367" customFormat="1" s="125"/>
    <row r="368" customFormat="1" s="125"/>
    <row r="369" customFormat="1" s="125"/>
    <row r="370" customFormat="1" s="125"/>
    <row r="371" customFormat="1" s="125"/>
    <row r="372" customFormat="1" s="125"/>
    <row r="373" customFormat="1" s="125"/>
    <row r="374" customFormat="1" s="125"/>
    <row r="375" customFormat="1" s="125"/>
    <row r="376" customFormat="1" s="125"/>
    <row r="377" customFormat="1" s="125"/>
    <row r="378" customFormat="1" s="125"/>
    <row r="379" customFormat="1" s="125"/>
    <row r="380" customFormat="1" s="125"/>
    <row r="381" customFormat="1" s="125"/>
    <row r="382" customFormat="1" s="125"/>
    <row r="383" customFormat="1" s="125"/>
    <row r="384" customFormat="1" s="125"/>
    <row r="385" customFormat="1" s="125"/>
    <row r="386" customFormat="1" s="125"/>
    <row r="387" customFormat="1" s="125"/>
    <row r="388" customFormat="1" s="125"/>
    <row r="389" customFormat="1" s="125"/>
    <row r="390" customFormat="1" s="125"/>
    <row r="391" customFormat="1" s="125"/>
    <row r="392" customFormat="1" s="125"/>
    <row r="393" customFormat="1" s="125"/>
    <row r="394" customFormat="1" s="125"/>
    <row r="395" customFormat="1" s="125"/>
    <row r="396" customFormat="1" s="125"/>
    <row r="397" customFormat="1" s="125"/>
    <row r="398" customFormat="1" s="125"/>
    <row r="399" customFormat="1" s="125"/>
    <row r="400" customFormat="1" s="125"/>
    <row r="401" customFormat="1" s="125"/>
    <row r="402" customFormat="1" s="125"/>
    <row r="403" customFormat="1" s="125"/>
    <row r="404" customFormat="1" s="125"/>
    <row r="405" customFormat="1" s="125"/>
    <row r="406" customFormat="1" s="125"/>
    <row r="407" customFormat="1" s="125"/>
    <row r="408" customFormat="1" s="125"/>
    <row r="409" customFormat="1" s="125"/>
    <row r="410" customFormat="1" s="125"/>
    <row r="411" customFormat="1" s="125"/>
    <row r="412" customFormat="1" s="125"/>
    <row r="413" customFormat="1" s="125"/>
    <row r="414" customFormat="1" s="125"/>
    <row r="415" customFormat="1" s="125"/>
    <row r="416" customFormat="1" s="125"/>
    <row r="417" customFormat="1" s="125"/>
    <row r="418" customFormat="1" s="125"/>
    <row r="419" customFormat="1" s="125"/>
    <row r="420" customFormat="1" s="125"/>
    <row r="421" customFormat="1" s="125"/>
    <row r="422" customFormat="1" s="125"/>
    <row r="423" customFormat="1" s="125"/>
    <row r="424" customFormat="1" s="125"/>
    <row r="425" customFormat="1" s="125"/>
    <row r="426" customFormat="1" s="125"/>
    <row r="427" customFormat="1" s="125"/>
    <row r="428" customFormat="1" s="125"/>
    <row r="429" customFormat="1" s="125"/>
    <row r="430" customFormat="1" s="125"/>
    <row r="431" customFormat="1" s="125"/>
    <row r="432" customFormat="1" s="125"/>
    <row r="433" customFormat="1" s="125"/>
    <row r="434" customFormat="1" s="125"/>
    <row r="435" customFormat="1" s="125"/>
    <row r="436" customFormat="1" s="125"/>
    <row r="437" customFormat="1" s="125"/>
    <row r="438" customFormat="1" s="125"/>
    <row r="439" customFormat="1" s="125"/>
    <row r="440" customFormat="1" s="125"/>
    <row r="441" customFormat="1" s="125"/>
    <row r="442" customFormat="1" s="125"/>
    <row r="443" customFormat="1" s="125"/>
    <row r="444" customFormat="1" s="125"/>
    <row r="445" customFormat="1" s="125"/>
    <row r="446" customFormat="1" s="125"/>
    <row r="447" customFormat="1" s="125"/>
    <row r="448" customFormat="1" s="125"/>
    <row r="449" customFormat="1" s="125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2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2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2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2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2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2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2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2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2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2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2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2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2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2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2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2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</worksheet>
</file>

<file path=xl/worksheets/sheet5.xml><?xml version="1.0" encoding="utf-8"?>
<worksheet xmlns="http://schemas.openxmlformats.org/spreadsheetml/2006/main">
  <sheetPr codeName="Sheet1">
    <outlinePr summaryBelow="1" summaryRight="1"/>
    <pageSetUpPr/>
  </sheetPr>
  <dimension ref="A2:R304"/>
  <sheetViews>
    <sheetView zoomScale="140" zoomScaleNormal="140" workbookViewId="0">
      <pane ySplit="5" topLeftCell="A258" activePane="bottomLeft" state="frozen"/>
      <selection pane="bottomLeft" activeCell="D310" sqref="D310"/>
    </sheetView>
  </sheetViews>
  <sheetFormatPr baseColWidth="10" defaultColWidth="8.83203125" defaultRowHeight="15"/>
  <cols>
    <col width="10.83203125" customWidth="1" style="31" min="1" max="1"/>
    <col width="10.83203125" customWidth="1" style="171" min="2" max="3"/>
    <col width="10.83203125" customWidth="1" style="33" min="4" max="4"/>
    <col width="10.83203125" customWidth="1" style="34" min="5" max="7"/>
    <col width="10.83203125" customWidth="1" style="33" min="8" max="8"/>
    <col width="10.83203125" customWidth="1" style="34" min="9" max="11"/>
    <col width="13" customWidth="1" style="34" min="12" max="12"/>
    <col width="9.1640625" customWidth="1" style="125" min="13" max="14"/>
    <col width="9.1640625" customWidth="1" style="53" min="15" max="15"/>
    <col width="9.1640625" customWidth="1" style="125" min="16" max="253"/>
    <col width="10.83203125" customWidth="1" style="125" min="254" max="254"/>
    <col width="18.1640625" customWidth="1" style="125" min="255" max="255"/>
    <col width="15" customWidth="1" style="125" min="256" max="256"/>
    <col width="13" customWidth="1" style="125" min="257" max="260"/>
    <col width="17.5" customWidth="1" style="125" min="261" max="261"/>
    <col width="9.1640625" customWidth="1" style="125" min="262" max="509"/>
    <col width="10.83203125" customWidth="1" style="125" min="510" max="510"/>
    <col width="18.1640625" customWidth="1" style="125" min="511" max="511"/>
    <col width="15" customWidth="1" style="125" min="512" max="512"/>
    <col width="13" customWidth="1" style="125" min="513" max="516"/>
    <col width="17.5" customWidth="1" style="125" min="517" max="517"/>
    <col width="9.1640625" customWidth="1" style="125" min="518" max="765"/>
    <col width="10.83203125" customWidth="1" style="125" min="766" max="766"/>
    <col width="18.1640625" customWidth="1" style="125" min="767" max="767"/>
    <col width="15" customWidth="1" style="125" min="768" max="768"/>
    <col width="13" customWidth="1" style="125" min="769" max="772"/>
    <col width="17.5" customWidth="1" style="125" min="773" max="773"/>
    <col width="9.1640625" customWidth="1" style="125" min="774" max="1021"/>
    <col width="10.83203125" customWidth="1" style="125" min="1022" max="1022"/>
    <col width="18.1640625" customWidth="1" style="125" min="1023" max="1023"/>
    <col width="15" customWidth="1" style="125" min="1024" max="1024"/>
    <col width="13" customWidth="1" style="125" min="1025" max="1028"/>
    <col width="17.5" customWidth="1" style="125" min="1029" max="1029"/>
    <col width="9.1640625" customWidth="1" style="125" min="1030" max="1277"/>
    <col width="10.83203125" customWidth="1" style="125" min="1278" max="1278"/>
    <col width="18.1640625" customWidth="1" style="125" min="1279" max="1279"/>
    <col width="15" customWidth="1" style="125" min="1280" max="1280"/>
    <col width="13" customWidth="1" style="125" min="1281" max="1284"/>
    <col width="17.5" customWidth="1" style="125" min="1285" max="1285"/>
    <col width="9.1640625" customWidth="1" style="125" min="1286" max="1533"/>
    <col width="10.83203125" customWidth="1" style="125" min="1534" max="1534"/>
    <col width="18.1640625" customWidth="1" style="125" min="1535" max="1535"/>
    <col width="15" customWidth="1" style="125" min="1536" max="1536"/>
    <col width="13" customWidth="1" style="125" min="1537" max="1540"/>
    <col width="17.5" customWidth="1" style="125" min="1541" max="1541"/>
    <col width="9.1640625" customWidth="1" style="125" min="1542" max="1789"/>
    <col width="10.83203125" customWidth="1" style="125" min="1790" max="1790"/>
    <col width="18.1640625" customWidth="1" style="125" min="1791" max="1791"/>
    <col width="15" customWidth="1" style="125" min="1792" max="1792"/>
    <col width="13" customWidth="1" style="125" min="1793" max="1796"/>
    <col width="17.5" customWidth="1" style="125" min="1797" max="1797"/>
    <col width="9.1640625" customWidth="1" style="125" min="1798" max="2045"/>
    <col width="10.83203125" customWidth="1" style="125" min="2046" max="2046"/>
    <col width="18.1640625" customWidth="1" style="125" min="2047" max="2047"/>
    <col width="15" customWidth="1" style="125" min="2048" max="2048"/>
    <col width="13" customWidth="1" style="125" min="2049" max="2052"/>
    <col width="17.5" customWidth="1" style="125" min="2053" max="2053"/>
    <col width="9.1640625" customWidth="1" style="125" min="2054" max="2301"/>
    <col width="10.83203125" customWidth="1" style="125" min="2302" max="2302"/>
    <col width="18.1640625" customWidth="1" style="125" min="2303" max="2303"/>
    <col width="15" customWidth="1" style="125" min="2304" max="2304"/>
    <col width="13" customWidth="1" style="125" min="2305" max="2308"/>
    <col width="17.5" customWidth="1" style="125" min="2309" max="2309"/>
    <col width="9.1640625" customWidth="1" style="125" min="2310" max="2557"/>
    <col width="10.83203125" customWidth="1" style="125" min="2558" max="2558"/>
    <col width="18.1640625" customWidth="1" style="125" min="2559" max="2559"/>
    <col width="15" customWidth="1" style="125" min="2560" max="2560"/>
    <col width="13" customWidth="1" style="125" min="2561" max="2564"/>
    <col width="17.5" customWidth="1" style="125" min="2565" max="2565"/>
    <col width="9.1640625" customWidth="1" style="125" min="2566" max="2813"/>
    <col width="10.83203125" customWidth="1" style="125" min="2814" max="2814"/>
    <col width="18.1640625" customWidth="1" style="125" min="2815" max="2815"/>
    <col width="15" customWidth="1" style="125" min="2816" max="2816"/>
    <col width="13" customWidth="1" style="125" min="2817" max="2820"/>
    <col width="17.5" customWidth="1" style="125" min="2821" max="2821"/>
    <col width="9.1640625" customWidth="1" style="125" min="2822" max="3069"/>
    <col width="10.83203125" customWidth="1" style="125" min="3070" max="3070"/>
    <col width="18.1640625" customWidth="1" style="125" min="3071" max="3071"/>
    <col width="15" customWidth="1" style="125" min="3072" max="3072"/>
    <col width="13" customWidth="1" style="125" min="3073" max="3076"/>
    <col width="17.5" customWidth="1" style="125" min="3077" max="3077"/>
    <col width="9.1640625" customWidth="1" style="125" min="3078" max="3325"/>
    <col width="10.83203125" customWidth="1" style="125" min="3326" max="3326"/>
    <col width="18.1640625" customWidth="1" style="125" min="3327" max="3327"/>
    <col width="15" customWidth="1" style="125" min="3328" max="3328"/>
    <col width="13" customWidth="1" style="125" min="3329" max="3332"/>
    <col width="17.5" customWidth="1" style="125" min="3333" max="3333"/>
    <col width="9.1640625" customWidth="1" style="125" min="3334" max="3581"/>
    <col width="10.83203125" customWidth="1" style="125" min="3582" max="3582"/>
    <col width="18.1640625" customWidth="1" style="125" min="3583" max="3583"/>
    <col width="15" customWidth="1" style="125" min="3584" max="3584"/>
    <col width="13" customWidth="1" style="125" min="3585" max="3588"/>
    <col width="17.5" customWidth="1" style="125" min="3589" max="3589"/>
    <col width="9.1640625" customWidth="1" style="125" min="3590" max="3837"/>
    <col width="10.83203125" customWidth="1" style="125" min="3838" max="3838"/>
    <col width="18.1640625" customWidth="1" style="125" min="3839" max="3839"/>
    <col width="15" customWidth="1" style="125" min="3840" max="3840"/>
    <col width="13" customWidth="1" style="125" min="3841" max="3844"/>
    <col width="17.5" customWidth="1" style="125" min="3845" max="3845"/>
    <col width="9.1640625" customWidth="1" style="125" min="3846" max="4093"/>
    <col width="10.83203125" customWidth="1" style="125" min="4094" max="4094"/>
    <col width="18.1640625" customWidth="1" style="125" min="4095" max="4095"/>
    <col width="15" customWidth="1" style="125" min="4096" max="4096"/>
    <col width="13" customWidth="1" style="125" min="4097" max="4100"/>
    <col width="17.5" customWidth="1" style="125" min="4101" max="4101"/>
    <col width="9.1640625" customWidth="1" style="125" min="4102" max="4349"/>
    <col width="10.83203125" customWidth="1" style="125" min="4350" max="4350"/>
    <col width="18.1640625" customWidth="1" style="125" min="4351" max="4351"/>
    <col width="15" customWidth="1" style="125" min="4352" max="4352"/>
    <col width="13" customWidth="1" style="125" min="4353" max="4356"/>
    <col width="17.5" customWidth="1" style="125" min="4357" max="4357"/>
    <col width="9.1640625" customWidth="1" style="125" min="4358" max="4605"/>
    <col width="10.83203125" customWidth="1" style="125" min="4606" max="4606"/>
    <col width="18.1640625" customWidth="1" style="125" min="4607" max="4607"/>
    <col width="15" customWidth="1" style="125" min="4608" max="4608"/>
    <col width="13" customWidth="1" style="125" min="4609" max="4612"/>
    <col width="17.5" customWidth="1" style="125" min="4613" max="4613"/>
    <col width="9.1640625" customWidth="1" style="125" min="4614" max="4861"/>
    <col width="10.83203125" customWidth="1" style="125" min="4862" max="4862"/>
    <col width="18.1640625" customWidth="1" style="125" min="4863" max="4863"/>
    <col width="15" customWidth="1" style="125" min="4864" max="4864"/>
    <col width="13" customWidth="1" style="125" min="4865" max="4868"/>
    <col width="17.5" customWidth="1" style="125" min="4869" max="4869"/>
    <col width="9.1640625" customWidth="1" style="125" min="4870" max="5117"/>
    <col width="10.83203125" customWidth="1" style="125" min="5118" max="5118"/>
    <col width="18.1640625" customWidth="1" style="125" min="5119" max="5119"/>
    <col width="15" customWidth="1" style="125" min="5120" max="5120"/>
    <col width="13" customWidth="1" style="125" min="5121" max="5124"/>
    <col width="17.5" customWidth="1" style="125" min="5125" max="5125"/>
    <col width="9.1640625" customWidth="1" style="125" min="5126" max="5373"/>
    <col width="10.83203125" customWidth="1" style="125" min="5374" max="5374"/>
    <col width="18.1640625" customWidth="1" style="125" min="5375" max="5375"/>
    <col width="15" customWidth="1" style="125" min="5376" max="5376"/>
    <col width="13" customWidth="1" style="125" min="5377" max="5380"/>
    <col width="17.5" customWidth="1" style="125" min="5381" max="5381"/>
    <col width="9.1640625" customWidth="1" style="125" min="5382" max="5629"/>
    <col width="10.83203125" customWidth="1" style="125" min="5630" max="5630"/>
    <col width="18.1640625" customWidth="1" style="125" min="5631" max="5631"/>
    <col width="15" customWidth="1" style="125" min="5632" max="5632"/>
    <col width="13" customWidth="1" style="125" min="5633" max="5636"/>
    <col width="17.5" customWidth="1" style="125" min="5637" max="5637"/>
    <col width="9.1640625" customWidth="1" style="125" min="5638" max="5885"/>
    <col width="10.83203125" customWidth="1" style="125" min="5886" max="5886"/>
    <col width="18.1640625" customWidth="1" style="125" min="5887" max="5887"/>
    <col width="15" customWidth="1" style="125" min="5888" max="5888"/>
    <col width="13" customWidth="1" style="125" min="5889" max="5892"/>
    <col width="17.5" customWidth="1" style="125" min="5893" max="5893"/>
    <col width="9.1640625" customWidth="1" style="125" min="5894" max="6141"/>
    <col width="10.83203125" customWidth="1" style="125" min="6142" max="6142"/>
    <col width="18.1640625" customWidth="1" style="125" min="6143" max="6143"/>
    <col width="15" customWidth="1" style="125" min="6144" max="6144"/>
    <col width="13" customWidth="1" style="125" min="6145" max="6148"/>
    <col width="17.5" customWidth="1" style="125" min="6149" max="6149"/>
    <col width="9.1640625" customWidth="1" style="125" min="6150" max="6397"/>
    <col width="10.83203125" customWidth="1" style="125" min="6398" max="6398"/>
    <col width="18.1640625" customWidth="1" style="125" min="6399" max="6399"/>
    <col width="15" customWidth="1" style="125" min="6400" max="6400"/>
    <col width="13" customWidth="1" style="125" min="6401" max="6404"/>
    <col width="17.5" customWidth="1" style="125" min="6405" max="6405"/>
    <col width="9.1640625" customWidth="1" style="125" min="6406" max="6653"/>
    <col width="10.83203125" customWidth="1" style="125" min="6654" max="6654"/>
    <col width="18.1640625" customWidth="1" style="125" min="6655" max="6655"/>
    <col width="15" customWidth="1" style="125" min="6656" max="6656"/>
    <col width="13" customWidth="1" style="125" min="6657" max="6660"/>
    <col width="17.5" customWidth="1" style="125" min="6661" max="6661"/>
    <col width="9.1640625" customWidth="1" style="125" min="6662" max="6909"/>
    <col width="10.83203125" customWidth="1" style="125" min="6910" max="6910"/>
    <col width="18.1640625" customWidth="1" style="125" min="6911" max="6911"/>
    <col width="15" customWidth="1" style="125" min="6912" max="6912"/>
    <col width="13" customWidth="1" style="125" min="6913" max="6916"/>
    <col width="17.5" customWidth="1" style="125" min="6917" max="6917"/>
    <col width="9.1640625" customWidth="1" style="125" min="6918" max="7165"/>
    <col width="10.83203125" customWidth="1" style="125" min="7166" max="7166"/>
    <col width="18.1640625" customWidth="1" style="125" min="7167" max="7167"/>
    <col width="15" customWidth="1" style="125" min="7168" max="7168"/>
    <col width="13" customWidth="1" style="125" min="7169" max="7172"/>
    <col width="17.5" customWidth="1" style="125" min="7173" max="7173"/>
    <col width="9.1640625" customWidth="1" style="125" min="7174" max="7421"/>
    <col width="10.83203125" customWidth="1" style="125" min="7422" max="7422"/>
    <col width="18.1640625" customWidth="1" style="125" min="7423" max="7423"/>
    <col width="15" customWidth="1" style="125" min="7424" max="7424"/>
    <col width="13" customWidth="1" style="125" min="7425" max="7428"/>
    <col width="17.5" customWidth="1" style="125" min="7429" max="7429"/>
    <col width="9.1640625" customWidth="1" style="125" min="7430" max="7677"/>
    <col width="10.83203125" customWidth="1" style="125" min="7678" max="7678"/>
    <col width="18.1640625" customWidth="1" style="125" min="7679" max="7679"/>
    <col width="15" customWidth="1" style="125" min="7680" max="7680"/>
    <col width="13" customWidth="1" style="125" min="7681" max="7684"/>
    <col width="17.5" customWidth="1" style="125" min="7685" max="7685"/>
    <col width="9.1640625" customWidth="1" style="125" min="7686" max="7933"/>
    <col width="10.83203125" customWidth="1" style="125" min="7934" max="7934"/>
    <col width="18.1640625" customWidth="1" style="125" min="7935" max="7935"/>
    <col width="15" customWidth="1" style="125" min="7936" max="7936"/>
    <col width="13" customWidth="1" style="125" min="7937" max="7940"/>
    <col width="17.5" customWidth="1" style="125" min="7941" max="7941"/>
    <col width="9.1640625" customWidth="1" style="125" min="7942" max="8189"/>
    <col width="10.83203125" customWidth="1" style="125" min="8190" max="8190"/>
    <col width="18.1640625" customWidth="1" style="125" min="8191" max="8191"/>
    <col width="15" customWidth="1" style="125" min="8192" max="8192"/>
    <col width="13" customWidth="1" style="125" min="8193" max="8196"/>
    <col width="17.5" customWidth="1" style="125" min="8197" max="8197"/>
    <col width="9.1640625" customWidth="1" style="125" min="8198" max="8445"/>
    <col width="10.83203125" customWidth="1" style="125" min="8446" max="8446"/>
    <col width="18.1640625" customWidth="1" style="125" min="8447" max="8447"/>
    <col width="15" customWidth="1" style="125" min="8448" max="8448"/>
    <col width="13" customWidth="1" style="125" min="8449" max="8452"/>
    <col width="17.5" customWidth="1" style="125" min="8453" max="8453"/>
    <col width="9.1640625" customWidth="1" style="125" min="8454" max="8701"/>
    <col width="10.83203125" customWidth="1" style="125" min="8702" max="8702"/>
    <col width="18.1640625" customWidth="1" style="125" min="8703" max="8703"/>
    <col width="15" customWidth="1" style="125" min="8704" max="8704"/>
    <col width="13" customWidth="1" style="125" min="8705" max="8708"/>
    <col width="17.5" customWidth="1" style="125" min="8709" max="8709"/>
    <col width="9.1640625" customWidth="1" style="125" min="8710" max="8957"/>
    <col width="10.83203125" customWidth="1" style="125" min="8958" max="8958"/>
    <col width="18.1640625" customWidth="1" style="125" min="8959" max="8959"/>
    <col width="15" customWidth="1" style="125" min="8960" max="8960"/>
    <col width="13" customWidth="1" style="125" min="8961" max="8964"/>
    <col width="17.5" customWidth="1" style="125" min="8965" max="8965"/>
    <col width="9.1640625" customWidth="1" style="125" min="8966" max="9213"/>
    <col width="10.83203125" customWidth="1" style="125" min="9214" max="9214"/>
    <col width="18.1640625" customWidth="1" style="125" min="9215" max="9215"/>
    <col width="15" customWidth="1" style="125" min="9216" max="9216"/>
    <col width="13" customWidth="1" style="125" min="9217" max="9220"/>
    <col width="17.5" customWidth="1" style="125" min="9221" max="9221"/>
    <col width="9.1640625" customWidth="1" style="125" min="9222" max="9469"/>
    <col width="10.83203125" customWidth="1" style="125" min="9470" max="9470"/>
    <col width="18.1640625" customWidth="1" style="125" min="9471" max="9471"/>
    <col width="15" customWidth="1" style="125" min="9472" max="9472"/>
    <col width="13" customWidth="1" style="125" min="9473" max="9476"/>
    <col width="17.5" customWidth="1" style="125" min="9477" max="9477"/>
    <col width="9.1640625" customWidth="1" style="125" min="9478" max="9725"/>
    <col width="10.83203125" customWidth="1" style="125" min="9726" max="9726"/>
    <col width="18.1640625" customWidth="1" style="125" min="9727" max="9727"/>
    <col width="15" customWidth="1" style="125" min="9728" max="9728"/>
    <col width="13" customWidth="1" style="125" min="9729" max="9732"/>
    <col width="17.5" customWidth="1" style="125" min="9733" max="9733"/>
    <col width="9.1640625" customWidth="1" style="125" min="9734" max="9981"/>
    <col width="10.83203125" customWidth="1" style="125" min="9982" max="9982"/>
    <col width="18.1640625" customWidth="1" style="125" min="9983" max="9983"/>
    <col width="15" customWidth="1" style="125" min="9984" max="9984"/>
    <col width="13" customWidth="1" style="125" min="9985" max="9988"/>
    <col width="17.5" customWidth="1" style="125" min="9989" max="9989"/>
    <col width="9.1640625" customWidth="1" style="125" min="9990" max="10237"/>
    <col width="10.83203125" customWidth="1" style="125" min="10238" max="10238"/>
    <col width="18.1640625" customWidth="1" style="125" min="10239" max="10239"/>
    <col width="15" customWidth="1" style="125" min="10240" max="10240"/>
    <col width="13" customWidth="1" style="125" min="10241" max="10244"/>
    <col width="17.5" customWidth="1" style="125" min="10245" max="10245"/>
    <col width="9.1640625" customWidth="1" style="125" min="10246" max="10493"/>
    <col width="10.83203125" customWidth="1" style="125" min="10494" max="10494"/>
    <col width="18.1640625" customWidth="1" style="125" min="10495" max="10495"/>
    <col width="15" customWidth="1" style="125" min="10496" max="10496"/>
    <col width="13" customWidth="1" style="125" min="10497" max="10500"/>
    <col width="17.5" customWidth="1" style="125" min="10501" max="10501"/>
    <col width="9.1640625" customWidth="1" style="125" min="10502" max="10749"/>
    <col width="10.83203125" customWidth="1" style="125" min="10750" max="10750"/>
    <col width="18.1640625" customWidth="1" style="125" min="10751" max="10751"/>
    <col width="15" customWidth="1" style="125" min="10752" max="10752"/>
    <col width="13" customWidth="1" style="125" min="10753" max="10756"/>
    <col width="17.5" customWidth="1" style="125" min="10757" max="10757"/>
    <col width="9.1640625" customWidth="1" style="125" min="10758" max="11005"/>
    <col width="10.83203125" customWidth="1" style="125" min="11006" max="11006"/>
    <col width="18.1640625" customWidth="1" style="125" min="11007" max="11007"/>
    <col width="15" customWidth="1" style="125" min="11008" max="11008"/>
    <col width="13" customWidth="1" style="125" min="11009" max="11012"/>
    <col width="17.5" customWidth="1" style="125" min="11013" max="11013"/>
    <col width="9.1640625" customWidth="1" style="125" min="11014" max="11261"/>
    <col width="10.83203125" customWidth="1" style="125" min="11262" max="11262"/>
    <col width="18.1640625" customWidth="1" style="125" min="11263" max="11263"/>
    <col width="15" customWidth="1" style="125" min="11264" max="11264"/>
    <col width="13" customWidth="1" style="125" min="11265" max="11268"/>
    <col width="17.5" customWidth="1" style="125" min="11269" max="11269"/>
    <col width="9.1640625" customWidth="1" style="125" min="11270" max="11517"/>
    <col width="10.83203125" customWidth="1" style="125" min="11518" max="11518"/>
    <col width="18.1640625" customWidth="1" style="125" min="11519" max="11519"/>
    <col width="15" customWidth="1" style="125" min="11520" max="11520"/>
    <col width="13" customWidth="1" style="125" min="11521" max="11524"/>
    <col width="17.5" customWidth="1" style="125" min="11525" max="11525"/>
    <col width="9.1640625" customWidth="1" style="125" min="11526" max="11773"/>
    <col width="10.83203125" customWidth="1" style="125" min="11774" max="11774"/>
    <col width="18.1640625" customWidth="1" style="125" min="11775" max="11775"/>
    <col width="15" customWidth="1" style="125" min="11776" max="11776"/>
    <col width="13" customWidth="1" style="125" min="11777" max="11780"/>
    <col width="17.5" customWidth="1" style="125" min="11781" max="11781"/>
    <col width="9.1640625" customWidth="1" style="125" min="11782" max="12029"/>
    <col width="10.83203125" customWidth="1" style="125" min="12030" max="12030"/>
    <col width="18.1640625" customWidth="1" style="125" min="12031" max="12031"/>
    <col width="15" customWidth="1" style="125" min="12032" max="12032"/>
    <col width="13" customWidth="1" style="125" min="12033" max="12036"/>
    <col width="17.5" customWidth="1" style="125" min="12037" max="12037"/>
    <col width="9.1640625" customWidth="1" style="125" min="12038" max="12285"/>
    <col width="10.83203125" customWidth="1" style="125" min="12286" max="12286"/>
    <col width="18.1640625" customWidth="1" style="125" min="12287" max="12287"/>
    <col width="15" customWidth="1" style="125" min="12288" max="12288"/>
    <col width="13" customWidth="1" style="125" min="12289" max="12292"/>
    <col width="17.5" customWidth="1" style="125" min="12293" max="12293"/>
    <col width="9.1640625" customWidth="1" style="125" min="12294" max="12541"/>
    <col width="10.83203125" customWidth="1" style="125" min="12542" max="12542"/>
    <col width="18.1640625" customWidth="1" style="125" min="12543" max="12543"/>
    <col width="15" customWidth="1" style="125" min="12544" max="12544"/>
    <col width="13" customWidth="1" style="125" min="12545" max="12548"/>
    <col width="17.5" customWidth="1" style="125" min="12549" max="12549"/>
    <col width="9.1640625" customWidth="1" style="125" min="12550" max="12797"/>
    <col width="10.83203125" customWidth="1" style="125" min="12798" max="12798"/>
    <col width="18.1640625" customWidth="1" style="125" min="12799" max="12799"/>
    <col width="15" customWidth="1" style="125" min="12800" max="12800"/>
    <col width="13" customWidth="1" style="125" min="12801" max="12804"/>
    <col width="17.5" customWidth="1" style="125" min="12805" max="12805"/>
    <col width="9.1640625" customWidth="1" style="125" min="12806" max="13053"/>
    <col width="10.83203125" customWidth="1" style="125" min="13054" max="13054"/>
    <col width="18.1640625" customWidth="1" style="125" min="13055" max="13055"/>
    <col width="15" customWidth="1" style="125" min="13056" max="13056"/>
    <col width="13" customWidth="1" style="125" min="13057" max="13060"/>
    <col width="17.5" customWidth="1" style="125" min="13061" max="13061"/>
    <col width="9.1640625" customWidth="1" style="125" min="13062" max="13309"/>
    <col width="10.83203125" customWidth="1" style="125" min="13310" max="13310"/>
    <col width="18.1640625" customWidth="1" style="125" min="13311" max="13311"/>
    <col width="15" customWidth="1" style="125" min="13312" max="13312"/>
    <col width="13" customWidth="1" style="125" min="13313" max="13316"/>
    <col width="17.5" customWidth="1" style="125" min="13317" max="13317"/>
    <col width="9.1640625" customWidth="1" style="125" min="13318" max="13565"/>
    <col width="10.83203125" customWidth="1" style="125" min="13566" max="13566"/>
    <col width="18.1640625" customWidth="1" style="125" min="13567" max="13567"/>
    <col width="15" customWidth="1" style="125" min="13568" max="13568"/>
    <col width="13" customWidth="1" style="125" min="13569" max="13572"/>
    <col width="17.5" customWidth="1" style="125" min="13573" max="13573"/>
    <col width="9.1640625" customWidth="1" style="125" min="13574" max="13821"/>
    <col width="10.83203125" customWidth="1" style="125" min="13822" max="13822"/>
    <col width="18.1640625" customWidth="1" style="125" min="13823" max="13823"/>
    <col width="15" customWidth="1" style="125" min="13824" max="13824"/>
    <col width="13" customWidth="1" style="125" min="13825" max="13828"/>
    <col width="17.5" customWidth="1" style="125" min="13829" max="13829"/>
    <col width="9.1640625" customWidth="1" style="125" min="13830" max="14077"/>
    <col width="10.83203125" customWidth="1" style="125" min="14078" max="14078"/>
    <col width="18.1640625" customWidth="1" style="125" min="14079" max="14079"/>
    <col width="15" customWidth="1" style="125" min="14080" max="14080"/>
    <col width="13" customWidth="1" style="125" min="14081" max="14084"/>
    <col width="17.5" customWidth="1" style="125" min="14085" max="14085"/>
    <col width="9.1640625" customWidth="1" style="125" min="14086" max="14333"/>
    <col width="10.83203125" customWidth="1" style="125" min="14334" max="14334"/>
    <col width="18.1640625" customWidth="1" style="125" min="14335" max="14335"/>
    <col width="15" customWidth="1" style="125" min="14336" max="14336"/>
    <col width="13" customWidth="1" style="125" min="14337" max="14340"/>
    <col width="17.5" customWidth="1" style="125" min="14341" max="14341"/>
    <col width="9.1640625" customWidth="1" style="125" min="14342" max="14589"/>
    <col width="10.83203125" customWidth="1" style="125" min="14590" max="14590"/>
    <col width="18.1640625" customWidth="1" style="125" min="14591" max="14591"/>
    <col width="15" customWidth="1" style="125" min="14592" max="14592"/>
    <col width="13" customWidth="1" style="125" min="14593" max="14596"/>
    <col width="17.5" customWidth="1" style="125" min="14597" max="14597"/>
    <col width="9.1640625" customWidth="1" style="125" min="14598" max="14845"/>
    <col width="10.83203125" customWidth="1" style="125" min="14846" max="14846"/>
    <col width="18.1640625" customWidth="1" style="125" min="14847" max="14847"/>
    <col width="15" customWidth="1" style="125" min="14848" max="14848"/>
    <col width="13" customWidth="1" style="125" min="14849" max="14852"/>
    <col width="17.5" customWidth="1" style="125" min="14853" max="14853"/>
    <col width="9.1640625" customWidth="1" style="125" min="14854" max="15101"/>
    <col width="10.83203125" customWidth="1" style="125" min="15102" max="15102"/>
    <col width="18.1640625" customWidth="1" style="125" min="15103" max="15103"/>
    <col width="15" customWidth="1" style="125" min="15104" max="15104"/>
    <col width="13" customWidth="1" style="125" min="15105" max="15108"/>
    <col width="17.5" customWidth="1" style="125" min="15109" max="15109"/>
    <col width="9.1640625" customWidth="1" style="125" min="15110" max="15357"/>
    <col width="10.83203125" customWidth="1" style="125" min="15358" max="15358"/>
    <col width="18.1640625" customWidth="1" style="125" min="15359" max="15359"/>
    <col width="15" customWidth="1" style="125" min="15360" max="15360"/>
    <col width="13" customWidth="1" style="125" min="15361" max="15364"/>
    <col width="17.5" customWidth="1" style="125" min="15365" max="15365"/>
    <col width="9.1640625" customWidth="1" style="125" min="15366" max="15613"/>
    <col width="10.83203125" customWidth="1" style="125" min="15614" max="15614"/>
    <col width="18.1640625" customWidth="1" style="125" min="15615" max="15615"/>
    <col width="15" customWidth="1" style="125" min="15616" max="15616"/>
    <col width="13" customWidth="1" style="125" min="15617" max="15620"/>
    <col width="17.5" customWidth="1" style="125" min="15621" max="15621"/>
    <col width="9.1640625" customWidth="1" style="125" min="15622" max="15869"/>
    <col width="10.83203125" customWidth="1" style="125" min="15870" max="15870"/>
    <col width="18.1640625" customWidth="1" style="125" min="15871" max="15871"/>
    <col width="15" customWidth="1" style="125" min="15872" max="15872"/>
    <col width="13" customWidth="1" style="125" min="15873" max="15876"/>
    <col width="17.5" customWidth="1" style="125" min="15877" max="15877"/>
    <col width="9.1640625" customWidth="1" style="125" min="15878" max="16125"/>
    <col width="10.83203125" customWidth="1" style="125" min="16126" max="16126"/>
    <col width="18.1640625" customWidth="1" style="125" min="16127" max="16127"/>
    <col width="15" customWidth="1" style="125" min="16128" max="16128"/>
    <col width="13" customWidth="1" style="125" min="16129" max="16132"/>
    <col width="17.5" customWidth="1" style="125" min="16133" max="16133"/>
    <col width="9.1640625" customWidth="1" style="125" min="16134" max="16384"/>
  </cols>
  <sheetData>
    <row r="2">
      <c r="A2" s="101" t="n"/>
      <c r="B2" s="172" t="n"/>
      <c r="C2" s="172" t="n"/>
      <c r="P2" s="172" t="n"/>
      <c r="R2" s="37" t="n"/>
    </row>
    <row r="4" ht="16" customHeight="1" s="126" thickBot="1"/>
    <row r="5" ht="23.25" customFormat="1" customHeight="1" s="122">
      <c r="A5" s="88" t="inlineStr">
        <is>
          <t>Date</t>
        </is>
      </c>
      <c r="B5" s="173" t="inlineStr">
        <is>
          <t>GDP</t>
        </is>
      </c>
      <c r="C5" s="173" t="inlineStr">
        <is>
          <t>Personal Consumption</t>
        </is>
      </c>
      <c r="D5" s="90" t="inlineStr">
        <is>
          <t>Private Investment</t>
        </is>
      </c>
      <c r="E5" s="91" t="inlineStr">
        <is>
          <t>Exports</t>
        </is>
      </c>
      <c r="F5" s="91" t="inlineStr">
        <is>
          <t>Imports</t>
        </is>
      </c>
      <c r="G5" s="92" t="inlineStr">
        <is>
          <t>Government</t>
        </is>
      </c>
      <c r="H5" s="90" t="inlineStr">
        <is>
          <t>PC%</t>
        </is>
      </c>
      <c r="I5" s="92" t="inlineStr">
        <is>
          <t>I%</t>
        </is>
      </c>
      <c r="J5" s="92" t="inlineStr">
        <is>
          <t>E%</t>
        </is>
      </c>
      <c r="K5" s="92" t="inlineStr">
        <is>
          <t>I%2</t>
        </is>
      </c>
      <c r="L5" s="93" t="inlineStr">
        <is>
          <t>G%</t>
        </is>
      </c>
      <c r="N5" s="51" t="inlineStr">
        <is>
          <t>Total</t>
        </is>
      </c>
      <c r="O5" s="54" t="inlineStr">
        <is>
          <t>Total</t>
        </is>
      </c>
    </row>
    <row r="6">
      <c r="A6" s="94" t="n">
        <v>17168</v>
      </c>
      <c r="B6" s="164">
        <f>VLOOKUP(A6,'U.S. GDP'!A:B,2,)</f>
        <v/>
      </c>
      <c r="C6" s="164">
        <f>VLOOKUP(A6,PersonalConsumption!A:B,2,)</f>
        <v/>
      </c>
      <c r="D6" s="164">
        <f>VLOOKUP(A6,PrivateInvestment!A:B,2,)</f>
        <v/>
      </c>
      <c r="E6" s="164">
        <f>VLOOKUP(A6,Exports!A:B,2,)</f>
        <v/>
      </c>
      <c r="F6" s="164">
        <f>VLOOKUP(A6,Imports!A:B,2,)</f>
        <v/>
      </c>
      <c r="G6" s="164">
        <f>VLOOKUP(A6,Government!A:B,2,)</f>
        <v/>
      </c>
      <c r="H6" s="85">
        <f>Table58[[#This Row],[Personal Consumption]]/Table58[[#This Row],[GDP]]</f>
        <v/>
      </c>
      <c r="I6" s="85">
        <f>Table58[[#This Row],[Private Investment]]/Table58[[#This Row],[GDP]]</f>
        <v/>
      </c>
      <c r="J6" s="85">
        <f>Table58[[#This Row],[Exports]]/Table58[[#This Row],[GDP]]</f>
        <v/>
      </c>
      <c r="K6" s="85">
        <f>-Table58[[#This Row],[Imports]]/Table58[[#This Row],[GDP]]</f>
        <v/>
      </c>
      <c r="L6" s="85">
        <f>Table58[[#This Row],[Government]]/Table58[[#This Row],[GDP]]</f>
        <v/>
      </c>
      <c r="N6" s="52">
        <f>SUM(Table58[[#This Row],[PC%]:[G%]])</f>
        <v/>
      </c>
      <c r="O6" s="55">
        <f>Table58[[#This Row],[Personal Consumption]]+Table58[[#This Row],[Private Investment]]+Table58[[#This Row],[Exports]]+Table58[[#This Row],[Government]]-Table58[[#This Row],[Imports]]</f>
        <v/>
      </c>
    </row>
    <row r="7">
      <c r="A7" s="94" t="n">
        <v>17258</v>
      </c>
      <c r="B7" s="164">
        <f>VLOOKUP(A7,'U.S. GDP'!A:B,2,)</f>
        <v/>
      </c>
      <c r="C7" s="164">
        <f>VLOOKUP(A7,PersonalConsumption!A:B,2,)</f>
        <v/>
      </c>
      <c r="D7" s="164">
        <f>VLOOKUP(A7,PrivateInvestment!A:B,2,)</f>
        <v/>
      </c>
      <c r="E7" s="164">
        <f>VLOOKUP(A7,Exports!A:B,2,)</f>
        <v/>
      </c>
      <c r="F7" s="164">
        <f>VLOOKUP(A7,Imports!A:B,2,)</f>
        <v/>
      </c>
      <c r="G7" s="164">
        <f>VLOOKUP(A7,Government!A:B,2,)</f>
        <v/>
      </c>
      <c r="H7" s="85">
        <f>Table58[[#This Row],[Personal Consumption]]/Table58[[#This Row],[GDP]]</f>
        <v/>
      </c>
      <c r="I7" s="85">
        <f>Table58[[#This Row],[Private Investment]]/Table58[[#This Row],[GDP]]</f>
        <v/>
      </c>
      <c r="J7" s="85">
        <f>Table58[[#This Row],[Exports]]/Table58[[#This Row],[GDP]]</f>
        <v/>
      </c>
      <c r="K7" s="85">
        <f>-Table58[[#This Row],[Imports]]/Table58[[#This Row],[GDP]]</f>
        <v/>
      </c>
      <c r="L7" s="85">
        <f>Table58[[#This Row],[Government]]/Table58[[#This Row],[GDP]]</f>
        <v/>
      </c>
      <c r="N7" s="52">
        <f>SUM(Table58[[#This Row],[PC%]:[G%]])</f>
        <v/>
      </c>
      <c r="O7" s="55">
        <f>Table58[[#This Row],[Personal Consumption]]+Table58[[#This Row],[Private Investment]]+Table58[[#This Row],[Exports]]+Table58[[#This Row],[Government]]-Table58[[#This Row],[Imports]]</f>
        <v/>
      </c>
    </row>
    <row r="8">
      <c r="A8" s="94" t="n">
        <v>17349</v>
      </c>
      <c r="B8" s="164">
        <f>VLOOKUP(A8,'U.S. GDP'!A:B,2,)</f>
        <v/>
      </c>
      <c r="C8" s="164">
        <f>VLOOKUP(A8,PersonalConsumption!A:B,2,)</f>
        <v/>
      </c>
      <c r="D8" s="164">
        <f>VLOOKUP(A8,PrivateInvestment!A:B,2,)</f>
        <v/>
      </c>
      <c r="E8" s="164">
        <f>VLOOKUP(A8,Exports!A:B,2,)</f>
        <v/>
      </c>
      <c r="F8" s="164">
        <f>VLOOKUP(A8,Imports!A:B,2,)</f>
        <v/>
      </c>
      <c r="G8" s="164">
        <f>VLOOKUP(A8,Government!A:B,2,)</f>
        <v/>
      </c>
      <c r="H8" s="85">
        <f>Table58[[#This Row],[Personal Consumption]]/Table58[[#This Row],[GDP]]</f>
        <v/>
      </c>
      <c r="I8" s="85">
        <f>Table58[[#This Row],[Private Investment]]/Table58[[#This Row],[GDP]]</f>
        <v/>
      </c>
      <c r="J8" s="85">
        <f>Table58[[#This Row],[Exports]]/Table58[[#This Row],[GDP]]</f>
        <v/>
      </c>
      <c r="K8" s="85">
        <f>-Table58[[#This Row],[Imports]]/Table58[[#This Row],[GDP]]</f>
        <v/>
      </c>
      <c r="L8" s="85">
        <f>Table58[[#This Row],[Government]]/Table58[[#This Row],[GDP]]</f>
        <v/>
      </c>
      <c r="N8" s="52">
        <f>SUM(Table58[[#This Row],[PC%]:[G%]])</f>
        <v/>
      </c>
      <c r="O8" s="55">
        <f>Table58[[#This Row],[Personal Consumption]]+Table58[[#This Row],[Private Investment]]+Table58[[#This Row],[Exports]]+Table58[[#This Row],[Government]]-Table58[[#This Row],[Imports]]</f>
        <v/>
      </c>
    </row>
    <row r="9">
      <c r="A9" s="94" t="n">
        <v>17441</v>
      </c>
      <c r="B9" s="164">
        <f>VLOOKUP(A9,'U.S. GDP'!A:B,2,)</f>
        <v/>
      </c>
      <c r="C9" s="164">
        <f>VLOOKUP(A9,PersonalConsumption!A:B,2,)</f>
        <v/>
      </c>
      <c r="D9" s="164">
        <f>VLOOKUP(A9,PrivateInvestment!A:B,2,)</f>
        <v/>
      </c>
      <c r="E9" s="164">
        <f>VLOOKUP(A9,Exports!A:B,2,)</f>
        <v/>
      </c>
      <c r="F9" s="164">
        <f>VLOOKUP(A9,Imports!A:B,2,)</f>
        <v/>
      </c>
      <c r="G9" s="164">
        <f>VLOOKUP(A9,Government!A:B,2,)</f>
        <v/>
      </c>
      <c r="H9" s="85">
        <f>Table58[[#This Row],[Personal Consumption]]/Table58[[#This Row],[GDP]]</f>
        <v/>
      </c>
      <c r="I9" s="85">
        <f>Table58[[#This Row],[Private Investment]]/Table58[[#This Row],[GDP]]</f>
        <v/>
      </c>
      <c r="J9" s="85">
        <f>Table58[[#This Row],[Exports]]/Table58[[#This Row],[GDP]]</f>
        <v/>
      </c>
      <c r="K9" s="85">
        <f>-Table58[[#This Row],[Imports]]/Table58[[#This Row],[GDP]]</f>
        <v/>
      </c>
      <c r="L9" s="85">
        <f>Table58[[#This Row],[Government]]/Table58[[#This Row],[GDP]]</f>
        <v/>
      </c>
      <c r="N9" s="52">
        <f>SUM(Table58[[#This Row],[PC%]:[G%]])</f>
        <v/>
      </c>
      <c r="O9" s="55">
        <f>Table58[[#This Row],[Personal Consumption]]+Table58[[#This Row],[Private Investment]]+Table58[[#This Row],[Exports]]+Table58[[#This Row],[Government]]-Table58[[#This Row],[Imports]]</f>
        <v/>
      </c>
    </row>
    <row r="10">
      <c r="A10" s="94" t="n">
        <v>17533</v>
      </c>
      <c r="B10" s="164">
        <f>VLOOKUP(A10,'U.S. GDP'!A:B,2,)</f>
        <v/>
      </c>
      <c r="C10" s="164">
        <f>VLOOKUP(A10,PersonalConsumption!A:B,2,)</f>
        <v/>
      </c>
      <c r="D10" s="164">
        <f>VLOOKUP(A10,PrivateInvestment!A:B,2,)</f>
        <v/>
      </c>
      <c r="E10" s="164">
        <f>VLOOKUP(A10,Exports!A:B,2,)</f>
        <v/>
      </c>
      <c r="F10" s="164">
        <f>VLOOKUP(A10,Imports!A:B,2,)</f>
        <v/>
      </c>
      <c r="G10" s="164">
        <f>VLOOKUP(A10,Government!A:B,2,)</f>
        <v/>
      </c>
      <c r="H10" s="85">
        <f>Table58[[#This Row],[Personal Consumption]]/Table58[[#This Row],[GDP]]</f>
        <v/>
      </c>
      <c r="I10" s="85">
        <f>Table58[[#This Row],[Private Investment]]/Table58[[#This Row],[GDP]]</f>
        <v/>
      </c>
      <c r="J10" s="85">
        <f>Table58[[#This Row],[Exports]]/Table58[[#This Row],[GDP]]</f>
        <v/>
      </c>
      <c r="K10" s="85">
        <f>-Table58[[#This Row],[Imports]]/Table58[[#This Row],[GDP]]</f>
        <v/>
      </c>
      <c r="L10" s="85">
        <f>Table58[[#This Row],[Government]]/Table58[[#This Row],[GDP]]</f>
        <v/>
      </c>
      <c r="N10" s="52">
        <f>SUM(Table58[[#This Row],[PC%]:[G%]])</f>
        <v/>
      </c>
      <c r="O10" s="55">
        <f>Table58[[#This Row],[Personal Consumption]]+Table58[[#This Row],[Private Investment]]+Table58[[#This Row],[Exports]]+Table58[[#This Row],[Government]]-Table58[[#This Row],[Imports]]</f>
        <v/>
      </c>
    </row>
    <row r="11">
      <c r="A11" s="94" t="n">
        <v>17624</v>
      </c>
      <c r="B11" s="164">
        <f>VLOOKUP(A11,'U.S. GDP'!A:B,2,)</f>
        <v/>
      </c>
      <c r="C11" s="164">
        <f>VLOOKUP(A11,PersonalConsumption!A:B,2,)</f>
        <v/>
      </c>
      <c r="D11" s="164">
        <f>VLOOKUP(A11,PrivateInvestment!A:B,2,)</f>
        <v/>
      </c>
      <c r="E11" s="164">
        <f>VLOOKUP(A11,Exports!A:B,2,)</f>
        <v/>
      </c>
      <c r="F11" s="164">
        <f>VLOOKUP(A11,Imports!A:B,2,)</f>
        <v/>
      </c>
      <c r="G11" s="164">
        <f>VLOOKUP(A11,Government!A:B,2,)</f>
        <v/>
      </c>
      <c r="H11" s="85">
        <f>Table58[[#This Row],[Personal Consumption]]/Table58[[#This Row],[GDP]]</f>
        <v/>
      </c>
      <c r="I11" s="85">
        <f>Table58[[#This Row],[Private Investment]]/Table58[[#This Row],[GDP]]</f>
        <v/>
      </c>
      <c r="J11" s="85">
        <f>Table58[[#This Row],[Exports]]/Table58[[#This Row],[GDP]]</f>
        <v/>
      </c>
      <c r="K11" s="85">
        <f>-Table58[[#This Row],[Imports]]/Table58[[#This Row],[GDP]]</f>
        <v/>
      </c>
      <c r="L11" s="85">
        <f>Table58[[#This Row],[Government]]/Table58[[#This Row],[GDP]]</f>
        <v/>
      </c>
      <c r="N11" s="52">
        <f>SUM(Table58[[#This Row],[PC%]:[G%]])</f>
        <v/>
      </c>
      <c r="O11" s="55">
        <f>Table58[[#This Row],[Personal Consumption]]+Table58[[#This Row],[Private Investment]]+Table58[[#This Row],[Exports]]+Table58[[#This Row],[Government]]-Table58[[#This Row],[Imports]]</f>
        <v/>
      </c>
    </row>
    <row r="12">
      <c r="A12" s="94" t="n">
        <v>17715</v>
      </c>
      <c r="B12" s="164">
        <f>VLOOKUP(A12,'U.S. GDP'!A:B,2,)</f>
        <v/>
      </c>
      <c r="C12" s="164">
        <f>VLOOKUP(A12,PersonalConsumption!A:B,2,)</f>
        <v/>
      </c>
      <c r="D12" s="164">
        <f>VLOOKUP(A12,PrivateInvestment!A:B,2,)</f>
        <v/>
      </c>
      <c r="E12" s="164">
        <f>VLOOKUP(A12,Exports!A:B,2,)</f>
        <v/>
      </c>
      <c r="F12" s="164">
        <f>VLOOKUP(A12,Imports!A:B,2,)</f>
        <v/>
      </c>
      <c r="G12" s="164">
        <f>VLOOKUP(A12,Government!A:B,2,)</f>
        <v/>
      </c>
      <c r="H12" s="85">
        <f>Table58[[#This Row],[Personal Consumption]]/Table58[[#This Row],[GDP]]</f>
        <v/>
      </c>
      <c r="I12" s="85">
        <f>Table58[[#This Row],[Private Investment]]/Table58[[#This Row],[GDP]]</f>
        <v/>
      </c>
      <c r="J12" s="85">
        <f>Table58[[#This Row],[Exports]]/Table58[[#This Row],[GDP]]</f>
        <v/>
      </c>
      <c r="K12" s="85">
        <f>-Table58[[#This Row],[Imports]]/Table58[[#This Row],[GDP]]</f>
        <v/>
      </c>
      <c r="L12" s="85">
        <f>Table58[[#This Row],[Government]]/Table58[[#This Row],[GDP]]</f>
        <v/>
      </c>
      <c r="N12" s="52">
        <f>SUM(Table58[[#This Row],[PC%]:[G%]])</f>
        <v/>
      </c>
      <c r="O12" s="55">
        <f>Table58[[#This Row],[Personal Consumption]]+Table58[[#This Row],[Private Investment]]+Table58[[#This Row],[Exports]]+Table58[[#This Row],[Government]]-Table58[[#This Row],[Imports]]</f>
        <v/>
      </c>
    </row>
    <row r="13">
      <c r="A13" s="94" t="n">
        <v>17807</v>
      </c>
      <c r="B13" s="164">
        <f>VLOOKUP(A13,'U.S. GDP'!A:B,2,)</f>
        <v/>
      </c>
      <c r="C13" s="164">
        <f>VLOOKUP(A13,PersonalConsumption!A:B,2,)</f>
        <v/>
      </c>
      <c r="D13" s="164">
        <f>VLOOKUP(A13,PrivateInvestment!A:B,2,)</f>
        <v/>
      </c>
      <c r="E13" s="164">
        <f>VLOOKUP(A13,Exports!A:B,2,)</f>
        <v/>
      </c>
      <c r="F13" s="164">
        <f>VLOOKUP(A13,Imports!A:B,2,)</f>
        <v/>
      </c>
      <c r="G13" s="164">
        <f>VLOOKUP(A13,Government!A:B,2,)</f>
        <v/>
      </c>
      <c r="H13" s="85">
        <f>Table58[[#This Row],[Personal Consumption]]/Table58[[#This Row],[GDP]]</f>
        <v/>
      </c>
      <c r="I13" s="85">
        <f>Table58[[#This Row],[Private Investment]]/Table58[[#This Row],[GDP]]</f>
        <v/>
      </c>
      <c r="J13" s="85">
        <f>Table58[[#This Row],[Exports]]/Table58[[#This Row],[GDP]]</f>
        <v/>
      </c>
      <c r="K13" s="85">
        <f>-Table58[[#This Row],[Imports]]/Table58[[#This Row],[GDP]]</f>
        <v/>
      </c>
      <c r="L13" s="85">
        <f>Table58[[#This Row],[Government]]/Table58[[#This Row],[GDP]]</f>
        <v/>
      </c>
      <c r="N13" s="52">
        <f>SUM(Table58[[#This Row],[PC%]:[G%]])</f>
        <v/>
      </c>
      <c r="O13" s="55">
        <f>Table58[[#This Row],[Personal Consumption]]+Table58[[#This Row],[Private Investment]]+Table58[[#This Row],[Exports]]+Table58[[#This Row],[Government]]-Table58[[#This Row],[Imports]]</f>
        <v/>
      </c>
    </row>
    <row r="14">
      <c r="A14" s="94" t="n">
        <v>17899</v>
      </c>
      <c r="B14" s="164">
        <f>VLOOKUP(A14,'U.S. GDP'!A:B,2,)</f>
        <v/>
      </c>
      <c r="C14" s="164">
        <f>VLOOKUP(A14,PersonalConsumption!A:B,2,)</f>
        <v/>
      </c>
      <c r="D14" s="164">
        <f>VLOOKUP(A14,PrivateInvestment!A:B,2,)</f>
        <v/>
      </c>
      <c r="E14" s="164">
        <f>VLOOKUP(A14,Exports!A:B,2,)</f>
        <v/>
      </c>
      <c r="F14" s="164">
        <f>VLOOKUP(A14,Imports!A:B,2,)</f>
        <v/>
      </c>
      <c r="G14" s="164">
        <f>VLOOKUP(A14,Government!A:B,2,)</f>
        <v/>
      </c>
      <c r="H14" s="85">
        <f>Table58[[#This Row],[Personal Consumption]]/Table58[[#This Row],[GDP]]</f>
        <v/>
      </c>
      <c r="I14" s="85">
        <f>Table58[[#This Row],[Private Investment]]/Table58[[#This Row],[GDP]]</f>
        <v/>
      </c>
      <c r="J14" s="85">
        <f>Table58[[#This Row],[Exports]]/Table58[[#This Row],[GDP]]</f>
        <v/>
      </c>
      <c r="K14" s="85">
        <f>-Table58[[#This Row],[Imports]]/Table58[[#This Row],[GDP]]</f>
        <v/>
      </c>
      <c r="L14" s="85">
        <f>Table58[[#This Row],[Government]]/Table58[[#This Row],[GDP]]</f>
        <v/>
      </c>
      <c r="N14" s="52">
        <f>SUM(Table58[[#This Row],[PC%]:[G%]])</f>
        <v/>
      </c>
      <c r="O14" s="55">
        <f>Table58[[#This Row],[Personal Consumption]]+Table58[[#This Row],[Private Investment]]+Table58[[#This Row],[Exports]]+Table58[[#This Row],[Government]]-Table58[[#This Row],[Imports]]</f>
        <v/>
      </c>
    </row>
    <row r="15">
      <c r="A15" s="94" t="n">
        <v>17989</v>
      </c>
      <c r="B15" s="164">
        <f>VLOOKUP(A15,'U.S. GDP'!A:B,2,)</f>
        <v/>
      </c>
      <c r="C15" s="164">
        <f>VLOOKUP(A15,PersonalConsumption!A:B,2,)</f>
        <v/>
      </c>
      <c r="D15" s="164">
        <f>VLOOKUP(A15,PrivateInvestment!A:B,2,)</f>
        <v/>
      </c>
      <c r="E15" s="164">
        <f>VLOOKUP(A15,Exports!A:B,2,)</f>
        <v/>
      </c>
      <c r="F15" s="164">
        <f>VLOOKUP(A15,Imports!A:B,2,)</f>
        <v/>
      </c>
      <c r="G15" s="164">
        <f>VLOOKUP(A15,Government!A:B,2,)</f>
        <v/>
      </c>
      <c r="H15" s="85">
        <f>Table58[[#This Row],[Personal Consumption]]/Table58[[#This Row],[GDP]]</f>
        <v/>
      </c>
      <c r="I15" s="85">
        <f>Table58[[#This Row],[Private Investment]]/Table58[[#This Row],[GDP]]</f>
        <v/>
      </c>
      <c r="J15" s="85">
        <f>Table58[[#This Row],[Exports]]/Table58[[#This Row],[GDP]]</f>
        <v/>
      </c>
      <c r="K15" s="85">
        <f>-Table58[[#This Row],[Imports]]/Table58[[#This Row],[GDP]]</f>
        <v/>
      </c>
      <c r="L15" s="85">
        <f>Table58[[#This Row],[Government]]/Table58[[#This Row],[GDP]]</f>
        <v/>
      </c>
      <c r="N15" s="52">
        <f>SUM(Table58[[#This Row],[PC%]:[G%]])</f>
        <v/>
      </c>
      <c r="O15" s="55">
        <f>Table58[[#This Row],[Personal Consumption]]+Table58[[#This Row],[Private Investment]]+Table58[[#This Row],[Exports]]+Table58[[#This Row],[Government]]-Table58[[#This Row],[Imports]]</f>
        <v/>
      </c>
    </row>
    <row r="16">
      <c r="A16" s="94" t="n">
        <v>18080</v>
      </c>
      <c r="B16" s="164">
        <f>VLOOKUP(A16,'U.S. GDP'!A:B,2,)</f>
        <v/>
      </c>
      <c r="C16" s="164">
        <f>VLOOKUP(A16,PersonalConsumption!A:B,2,)</f>
        <v/>
      </c>
      <c r="D16" s="164">
        <f>VLOOKUP(A16,PrivateInvestment!A:B,2,)</f>
        <v/>
      </c>
      <c r="E16" s="164">
        <f>VLOOKUP(A16,Exports!A:B,2,)</f>
        <v/>
      </c>
      <c r="F16" s="164">
        <f>VLOOKUP(A16,Imports!A:B,2,)</f>
        <v/>
      </c>
      <c r="G16" s="164">
        <f>VLOOKUP(A16,Government!A:B,2,)</f>
        <v/>
      </c>
      <c r="H16" s="85">
        <f>Table58[[#This Row],[Personal Consumption]]/Table58[[#This Row],[GDP]]</f>
        <v/>
      </c>
      <c r="I16" s="85">
        <f>Table58[[#This Row],[Private Investment]]/Table58[[#This Row],[GDP]]</f>
        <v/>
      </c>
      <c r="J16" s="85">
        <f>Table58[[#This Row],[Exports]]/Table58[[#This Row],[GDP]]</f>
        <v/>
      </c>
      <c r="K16" s="85">
        <f>-Table58[[#This Row],[Imports]]/Table58[[#This Row],[GDP]]</f>
        <v/>
      </c>
      <c r="L16" s="85">
        <f>Table58[[#This Row],[Government]]/Table58[[#This Row],[GDP]]</f>
        <v/>
      </c>
      <c r="N16" s="52">
        <f>SUM(Table58[[#This Row],[PC%]:[G%]])</f>
        <v/>
      </c>
      <c r="O16" s="55">
        <f>Table58[[#This Row],[Personal Consumption]]+Table58[[#This Row],[Private Investment]]+Table58[[#This Row],[Exports]]+Table58[[#This Row],[Government]]-Table58[[#This Row],[Imports]]</f>
        <v/>
      </c>
    </row>
    <row r="17">
      <c r="A17" s="94" t="n">
        <v>18172</v>
      </c>
      <c r="B17" s="164">
        <f>VLOOKUP(A17,'U.S. GDP'!A:B,2,)</f>
        <v/>
      </c>
      <c r="C17" s="164">
        <f>VLOOKUP(A17,PersonalConsumption!A:B,2,)</f>
        <v/>
      </c>
      <c r="D17" s="164">
        <f>VLOOKUP(A17,PrivateInvestment!A:B,2,)</f>
        <v/>
      </c>
      <c r="E17" s="164">
        <f>VLOOKUP(A17,Exports!A:B,2,)</f>
        <v/>
      </c>
      <c r="F17" s="164">
        <f>VLOOKUP(A17,Imports!A:B,2,)</f>
        <v/>
      </c>
      <c r="G17" s="164">
        <f>VLOOKUP(A17,Government!A:B,2,)</f>
        <v/>
      </c>
      <c r="H17" s="85">
        <f>Table58[[#This Row],[Personal Consumption]]/Table58[[#This Row],[GDP]]</f>
        <v/>
      </c>
      <c r="I17" s="85">
        <f>Table58[[#This Row],[Private Investment]]/Table58[[#This Row],[GDP]]</f>
        <v/>
      </c>
      <c r="J17" s="85">
        <f>Table58[[#This Row],[Exports]]/Table58[[#This Row],[GDP]]</f>
        <v/>
      </c>
      <c r="K17" s="85">
        <f>-Table58[[#This Row],[Imports]]/Table58[[#This Row],[GDP]]</f>
        <v/>
      </c>
      <c r="L17" s="85">
        <f>Table58[[#This Row],[Government]]/Table58[[#This Row],[GDP]]</f>
        <v/>
      </c>
      <c r="N17" s="52">
        <f>SUM(Table58[[#This Row],[PC%]:[G%]])</f>
        <v/>
      </c>
      <c r="O17" s="55">
        <f>Table58[[#This Row],[Personal Consumption]]+Table58[[#This Row],[Private Investment]]+Table58[[#This Row],[Exports]]+Table58[[#This Row],[Government]]-Table58[[#This Row],[Imports]]</f>
        <v/>
      </c>
    </row>
    <row r="18">
      <c r="A18" s="94" t="n">
        <v>18264</v>
      </c>
      <c r="B18" s="164">
        <f>VLOOKUP(A18,'U.S. GDP'!A:B,2,)</f>
        <v/>
      </c>
      <c r="C18" s="164">
        <f>VLOOKUP(A18,PersonalConsumption!A:B,2,)</f>
        <v/>
      </c>
      <c r="D18" s="164">
        <f>VLOOKUP(A18,PrivateInvestment!A:B,2,)</f>
        <v/>
      </c>
      <c r="E18" s="164">
        <f>VLOOKUP(A18,Exports!A:B,2,)</f>
        <v/>
      </c>
      <c r="F18" s="164">
        <f>VLOOKUP(A18,Imports!A:B,2,)</f>
        <v/>
      </c>
      <c r="G18" s="164">
        <f>VLOOKUP(A18,Government!A:B,2,)</f>
        <v/>
      </c>
      <c r="H18" s="85">
        <f>Table58[[#This Row],[Personal Consumption]]/Table58[[#This Row],[GDP]]</f>
        <v/>
      </c>
      <c r="I18" s="85">
        <f>Table58[[#This Row],[Private Investment]]/Table58[[#This Row],[GDP]]</f>
        <v/>
      </c>
      <c r="J18" s="85">
        <f>Table58[[#This Row],[Exports]]/Table58[[#This Row],[GDP]]</f>
        <v/>
      </c>
      <c r="K18" s="85">
        <f>-Table58[[#This Row],[Imports]]/Table58[[#This Row],[GDP]]</f>
        <v/>
      </c>
      <c r="L18" s="85">
        <f>Table58[[#This Row],[Government]]/Table58[[#This Row],[GDP]]</f>
        <v/>
      </c>
      <c r="N18" s="52">
        <f>SUM(Table58[[#This Row],[PC%]:[G%]])</f>
        <v/>
      </c>
      <c r="O18" s="55">
        <f>Table58[[#This Row],[Personal Consumption]]+Table58[[#This Row],[Private Investment]]+Table58[[#This Row],[Exports]]+Table58[[#This Row],[Government]]-Table58[[#This Row],[Imports]]</f>
        <v/>
      </c>
    </row>
    <row r="19">
      <c r="A19" s="94" t="n">
        <v>18354</v>
      </c>
      <c r="B19" s="164">
        <f>VLOOKUP(A19,'U.S. GDP'!A:B,2,)</f>
        <v/>
      </c>
      <c r="C19" s="164">
        <f>VLOOKUP(A19,PersonalConsumption!A:B,2,)</f>
        <v/>
      </c>
      <c r="D19" s="164">
        <f>VLOOKUP(A19,PrivateInvestment!A:B,2,)</f>
        <v/>
      </c>
      <c r="E19" s="164">
        <f>VLOOKUP(A19,Exports!A:B,2,)</f>
        <v/>
      </c>
      <c r="F19" s="164">
        <f>VLOOKUP(A19,Imports!A:B,2,)</f>
        <v/>
      </c>
      <c r="G19" s="164">
        <f>VLOOKUP(A19,Government!A:B,2,)</f>
        <v/>
      </c>
      <c r="H19" s="85">
        <f>Table58[[#This Row],[Personal Consumption]]/Table58[[#This Row],[GDP]]</f>
        <v/>
      </c>
      <c r="I19" s="85">
        <f>Table58[[#This Row],[Private Investment]]/Table58[[#This Row],[GDP]]</f>
        <v/>
      </c>
      <c r="J19" s="85">
        <f>Table58[[#This Row],[Exports]]/Table58[[#This Row],[GDP]]</f>
        <v/>
      </c>
      <c r="K19" s="85">
        <f>-Table58[[#This Row],[Imports]]/Table58[[#This Row],[GDP]]</f>
        <v/>
      </c>
      <c r="L19" s="85">
        <f>Table58[[#This Row],[Government]]/Table58[[#This Row],[GDP]]</f>
        <v/>
      </c>
      <c r="N19" s="52">
        <f>SUM(Table58[[#This Row],[PC%]:[G%]])</f>
        <v/>
      </c>
      <c r="O19" s="55">
        <f>Table58[[#This Row],[Personal Consumption]]+Table58[[#This Row],[Private Investment]]+Table58[[#This Row],[Exports]]+Table58[[#This Row],[Government]]-Table58[[#This Row],[Imports]]</f>
        <v/>
      </c>
    </row>
    <row r="20">
      <c r="A20" s="94" t="n">
        <v>18445</v>
      </c>
      <c r="B20" s="164">
        <f>VLOOKUP(A20,'U.S. GDP'!A:B,2,)</f>
        <v/>
      </c>
      <c r="C20" s="164">
        <f>VLOOKUP(A20,PersonalConsumption!A:B,2,)</f>
        <v/>
      </c>
      <c r="D20" s="164">
        <f>VLOOKUP(A20,PrivateInvestment!A:B,2,)</f>
        <v/>
      </c>
      <c r="E20" s="164">
        <f>VLOOKUP(A20,Exports!A:B,2,)</f>
        <v/>
      </c>
      <c r="F20" s="164">
        <f>VLOOKUP(A20,Imports!A:B,2,)</f>
        <v/>
      </c>
      <c r="G20" s="164">
        <f>VLOOKUP(A20,Government!A:B,2,)</f>
        <v/>
      </c>
      <c r="H20" s="85">
        <f>Table58[[#This Row],[Personal Consumption]]/Table58[[#This Row],[GDP]]</f>
        <v/>
      </c>
      <c r="I20" s="85">
        <f>Table58[[#This Row],[Private Investment]]/Table58[[#This Row],[GDP]]</f>
        <v/>
      </c>
      <c r="J20" s="85">
        <f>Table58[[#This Row],[Exports]]/Table58[[#This Row],[GDP]]</f>
        <v/>
      </c>
      <c r="K20" s="85">
        <f>-Table58[[#This Row],[Imports]]/Table58[[#This Row],[GDP]]</f>
        <v/>
      </c>
      <c r="L20" s="85">
        <f>Table58[[#This Row],[Government]]/Table58[[#This Row],[GDP]]</f>
        <v/>
      </c>
      <c r="N20" s="52">
        <f>SUM(Table58[[#This Row],[PC%]:[G%]])</f>
        <v/>
      </c>
      <c r="O20" s="55">
        <f>Table58[[#This Row],[Personal Consumption]]+Table58[[#This Row],[Private Investment]]+Table58[[#This Row],[Exports]]+Table58[[#This Row],[Government]]-Table58[[#This Row],[Imports]]</f>
        <v/>
      </c>
    </row>
    <row r="21">
      <c r="A21" s="94" t="n">
        <v>18537</v>
      </c>
      <c r="B21" s="164">
        <f>VLOOKUP(A21,'U.S. GDP'!A:B,2,)</f>
        <v/>
      </c>
      <c r="C21" s="164">
        <f>VLOOKUP(A21,PersonalConsumption!A:B,2,)</f>
        <v/>
      </c>
      <c r="D21" s="164">
        <f>VLOOKUP(A21,PrivateInvestment!A:B,2,)</f>
        <v/>
      </c>
      <c r="E21" s="164">
        <f>VLOOKUP(A21,Exports!A:B,2,)</f>
        <v/>
      </c>
      <c r="F21" s="164">
        <f>VLOOKUP(A21,Imports!A:B,2,)</f>
        <v/>
      </c>
      <c r="G21" s="164">
        <f>VLOOKUP(A21,Government!A:B,2,)</f>
        <v/>
      </c>
      <c r="H21" s="85">
        <f>Table58[[#This Row],[Personal Consumption]]/Table58[[#This Row],[GDP]]</f>
        <v/>
      </c>
      <c r="I21" s="85">
        <f>Table58[[#This Row],[Private Investment]]/Table58[[#This Row],[GDP]]</f>
        <v/>
      </c>
      <c r="J21" s="85">
        <f>Table58[[#This Row],[Exports]]/Table58[[#This Row],[GDP]]</f>
        <v/>
      </c>
      <c r="K21" s="85">
        <f>-Table58[[#This Row],[Imports]]/Table58[[#This Row],[GDP]]</f>
        <v/>
      </c>
      <c r="L21" s="85">
        <f>Table58[[#This Row],[Government]]/Table58[[#This Row],[GDP]]</f>
        <v/>
      </c>
      <c r="N21" s="52">
        <f>SUM(Table58[[#This Row],[PC%]:[G%]])</f>
        <v/>
      </c>
      <c r="O21" s="55">
        <f>Table58[[#This Row],[Personal Consumption]]+Table58[[#This Row],[Private Investment]]+Table58[[#This Row],[Exports]]+Table58[[#This Row],[Government]]-Table58[[#This Row],[Imports]]</f>
        <v/>
      </c>
    </row>
    <row r="22">
      <c r="A22" s="94" t="n">
        <v>18629</v>
      </c>
      <c r="B22" s="164">
        <f>VLOOKUP(A22,'U.S. GDP'!A:B,2,)</f>
        <v/>
      </c>
      <c r="C22" s="164">
        <f>VLOOKUP(A22,PersonalConsumption!A:B,2,)</f>
        <v/>
      </c>
      <c r="D22" s="164">
        <f>VLOOKUP(A22,PrivateInvestment!A:B,2,)</f>
        <v/>
      </c>
      <c r="E22" s="164">
        <f>VLOOKUP(A22,Exports!A:B,2,)</f>
        <v/>
      </c>
      <c r="F22" s="164">
        <f>VLOOKUP(A22,Imports!A:B,2,)</f>
        <v/>
      </c>
      <c r="G22" s="164">
        <f>VLOOKUP(A22,Government!A:B,2,)</f>
        <v/>
      </c>
      <c r="H22" s="85">
        <f>Table58[[#This Row],[Personal Consumption]]/Table58[[#This Row],[GDP]]</f>
        <v/>
      </c>
      <c r="I22" s="85">
        <f>Table58[[#This Row],[Private Investment]]/Table58[[#This Row],[GDP]]</f>
        <v/>
      </c>
      <c r="J22" s="85">
        <f>Table58[[#This Row],[Exports]]/Table58[[#This Row],[GDP]]</f>
        <v/>
      </c>
      <c r="K22" s="85">
        <f>-Table58[[#This Row],[Imports]]/Table58[[#This Row],[GDP]]</f>
        <v/>
      </c>
      <c r="L22" s="85">
        <f>Table58[[#This Row],[Government]]/Table58[[#This Row],[GDP]]</f>
        <v/>
      </c>
      <c r="N22" s="52">
        <f>SUM(Table58[[#This Row],[PC%]:[G%]])</f>
        <v/>
      </c>
      <c r="O22" s="55">
        <f>Table58[[#This Row],[Personal Consumption]]+Table58[[#This Row],[Private Investment]]+Table58[[#This Row],[Exports]]+Table58[[#This Row],[Government]]-Table58[[#This Row],[Imports]]</f>
        <v/>
      </c>
    </row>
    <row r="23">
      <c r="A23" s="94" t="n">
        <v>18719</v>
      </c>
      <c r="B23" s="164">
        <f>VLOOKUP(A23,'U.S. GDP'!A:B,2,)</f>
        <v/>
      </c>
      <c r="C23" s="164">
        <f>VLOOKUP(A23,PersonalConsumption!A:B,2,)</f>
        <v/>
      </c>
      <c r="D23" s="164">
        <f>VLOOKUP(A23,PrivateInvestment!A:B,2,)</f>
        <v/>
      </c>
      <c r="E23" s="164">
        <f>VLOOKUP(A23,Exports!A:B,2,)</f>
        <v/>
      </c>
      <c r="F23" s="164">
        <f>VLOOKUP(A23,Imports!A:B,2,)</f>
        <v/>
      </c>
      <c r="G23" s="164">
        <f>VLOOKUP(A23,Government!A:B,2,)</f>
        <v/>
      </c>
      <c r="H23" s="85">
        <f>Table58[[#This Row],[Personal Consumption]]/Table58[[#This Row],[GDP]]</f>
        <v/>
      </c>
      <c r="I23" s="85">
        <f>Table58[[#This Row],[Private Investment]]/Table58[[#This Row],[GDP]]</f>
        <v/>
      </c>
      <c r="J23" s="85">
        <f>Table58[[#This Row],[Exports]]/Table58[[#This Row],[GDP]]</f>
        <v/>
      </c>
      <c r="K23" s="85">
        <f>-Table58[[#This Row],[Imports]]/Table58[[#This Row],[GDP]]</f>
        <v/>
      </c>
      <c r="L23" s="85">
        <f>Table58[[#This Row],[Government]]/Table58[[#This Row],[GDP]]</f>
        <v/>
      </c>
      <c r="N23" s="52">
        <f>SUM(Table58[[#This Row],[PC%]:[G%]])</f>
        <v/>
      </c>
      <c r="O23" s="55">
        <f>Table58[[#This Row],[Personal Consumption]]+Table58[[#This Row],[Private Investment]]+Table58[[#This Row],[Exports]]+Table58[[#This Row],[Government]]-Table58[[#This Row],[Imports]]</f>
        <v/>
      </c>
    </row>
    <row r="24">
      <c r="A24" s="94" t="n">
        <v>18810</v>
      </c>
      <c r="B24" s="164">
        <f>VLOOKUP(A24,'U.S. GDP'!A:B,2,)</f>
        <v/>
      </c>
      <c r="C24" s="164">
        <f>VLOOKUP(A24,PersonalConsumption!A:B,2,)</f>
        <v/>
      </c>
      <c r="D24" s="164">
        <f>VLOOKUP(A24,PrivateInvestment!A:B,2,)</f>
        <v/>
      </c>
      <c r="E24" s="164">
        <f>VLOOKUP(A24,Exports!A:B,2,)</f>
        <v/>
      </c>
      <c r="F24" s="164">
        <f>VLOOKUP(A24,Imports!A:B,2,)</f>
        <v/>
      </c>
      <c r="G24" s="164">
        <f>VLOOKUP(A24,Government!A:B,2,)</f>
        <v/>
      </c>
      <c r="H24" s="85">
        <f>Table58[[#This Row],[Personal Consumption]]/Table58[[#This Row],[GDP]]</f>
        <v/>
      </c>
      <c r="I24" s="85">
        <f>Table58[[#This Row],[Private Investment]]/Table58[[#This Row],[GDP]]</f>
        <v/>
      </c>
      <c r="J24" s="85">
        <f>Table58[[#This Row],[Exports]]/Table58[[#This Row],[GDP]]</f>
        <v/>
      </c>
      <c r="K24" s="85">
        <f>-Table58[[#This Row],[Imports]]/Table58[[#This Row],[GDP]]</f>
        <v/>
      </c>
      <c r="L24" s="85">
        <f>Table58[[#This Row],[Government]]/Table58[[#This Row],[GDP]]</f>
        <v/>
      </c>
      <c r="N24" s="52">
        <f>SUM(Table58[[#This Row],[PC%]:[G%]])</f>
        <v/>
      </c>
      <c r="O24" s="55">
        <f>Table58[[#This Row],[Personal Consumption]]+Table58[[#This Row],[Private Investment]]+Table58[[#This Row],[Exports]]+Table58[[#This Row],[Government]]-Table58[[#This Row],[Imports]]</f>
        <v/>
      </c>
    </row>
    <row r="25">
      <c r="A25" s="94" t="n">
        <v>18902</v>
      </c>
      <c r="B25" s="164">
        <f>VLOOKUP(A25,'U.S. GDP'!A:B,2,)</f>
        <v/>
      </c>
      <c r="C25" s="164">
        <f>VLOOKUP(A25,PersonalConsumption!A:B,2,)</f>
        <v/>
      </c>
      <c r="D25" s="164">
        <f>VLOOKUP(A25,PrivateInvestment!A:B,2,)</f>
        <v/>
      </c>
      <c r="E25" s="164">
        <f>VLOOKUP(A25,Exports!A:B,2,)</f>
        <v/>
      </c>
      <c r="F25" s="164">
        <f>VLOOKUP(A25,Imports!A:B,2,)</f>
        <v/>
      </c>
      <c r="G25" s="164">
        <f>VLOOKUP(A25,Government!A:B,2,)</f>
        <v/>
      </c>
      <c r="H25" s="85">
        <f>Table58[[#This Row],[Personal Consumption]]/Table58[[#This Row],[GDP]]</f>
        <v/>
      </c>
      <c r="I25" s="85">
        <f>Table58[[#This Row],[Private Investment]]/Table58[[#This Row],[GDP]]</f>
        <v/>
      </c>
      <c r="J25" s="85">
        <f>Table58[[#This Row],[Exports]]/Table58[[#This Row],[GDP]]</f>
        <v/>
      </c>
      <c r="K25" s="85">
        <f>-Table58[[#This Row],[Imports]]/Table58[[#This Row],[GDP]]</f>
        <v/>
      </c>
      <c r="L25" s="85">
        <f>Table58[[#This Row],[Government]]/Table58[[#This Row],[GDP]]</f>
        <v/>
      </c>
      <c r="N25" s="52">
        <f>SUM(Table58[[#This Row],[PC%]:[G%]])</f>
        <v/>
      </c>
      <c r="O25" s="55">
        <f>Table58[[#This Row],[Personal Consumption]]+Table58[[#This Row],[Private Investment]]+Table58[[#This Row],[Exports]]+Table58[[#This Row],[Government]]-Table58[[#This Row],[Imports]]</f>
        <v/>
      </c>
    </row>
    <row r="26">
      <c r="A26" s="94" t="n">
        <v>18994</v>
      </c>
      <c r="B26" s="164">
        <f>VLOOKUP(A26,'U.S. GDP'!A:B,2,)</f>
        <v/>
      </c>
      <c r="C26" s="164">
        <f>VLOOKUP(A26,PersonalConsumption!A:B,2,)</f>
        <v/>
      </c>
      <c r="D26" s="164">
        <f>VLOOKUP(A26,PrivateInvestment!A:B,2,)</f>
        <v/>
      </c>
      <c r="E26" s="164">
        <f>VLOOKUP(A26,Exports!A:B,2,)</f>
        <v/>
      </c>
      <c r="F26" s="164">
        <f>VLOOKUP(A26,Imports!A:B,2,)</f>
        <v/>
      </c>
      <c r="G26" s="164">
        <f>VLOOKUP(A26,Government!A:B,2,)</f>
        <v/>
      </c>
      <c r="H26" s="85">
        <f>Table58[[#This Row],[Personal Consumption]]/Table58[[#This Row],[GDP]]</f>
        <v/>
      </c>
      <c r="I26" s="85">
        <f>Table58[[#This Row],[Private Investment]]/Table58[[#This Row],[GDP]]</f>
        <v/>
      </c>
      <c r="J26" s="85">
        <f>Table58[[#This Row],[Exports]]/Table58[[#This Row],[GDP]]</f>
        <v/>
      </c>
      <c r="K26" s="85">
        <f>-Table58[[#This Row],[Imports]]/Table58[[#This Row],[GDP]]</f>
        <v/>
      </c>
      <c r="L26" s="85">
        <f>Table58[[#This Row],[Government]]/Table58[[#This Row],[GDP]]</f>
        <v/>
      </c>
      <c r="N26" s="52">
        <f>SUM(Table58[[#This Row],[PC%]:[G%]])</f>
        <v/>
      </c>
      <c r="O26" s="55">
        <f>Table58[[#This Row],[Personal Consumption]]+Table58[[#This Row],[Private Investment]]+Table58[[#This Row],[Exports]]+Table58[[#This Row],[Government]]-Table58[[#This Row],[Imports]]</f>
        <v/>
      </c>
    </row>
    <row r="27">
      <c r="A27" s="94" t="n">
        <v>19085</v>
      </c>
      <c r="B27" s="164">
        <f>VLOOKUP(A27,'U.S. GDP'!A:B,2,)</f>
        <v/>
      </c>
      <c r="C27" s="164">
        <f>VLOOKUP(A27,PersonalConsumption!A:B,2,)</f>
        <v/>
      </c>
      <c r="D27" s="164">
        <f>VLOOKUP(A27,PrivateInvestment!A:B,2,)</f>
        <v/>
      </c>
      <c r="E27" s="164">
        <f>VLOOKUP(A27,Exports!A:B,2,)</f>
        <v/>
      </c>
      <c r="F27" s="164">
        <f>VLOOKUP(A27,Imports!A:B,2,)</f>
        <v/>
      </c>
      <c r="G27" s="164">
        <f>VLOOKUP(A27,Government!A:B,2,)</f>
        <v/>
      </c>
      <c r="H27" s="85">
        <f>Table58[[#This Row],[Personal Consumption]]/Table58[[#This Row],[GDP]]</f>
        <v/>
      </c>
      <c r="I27" s="85">
        <f>Table58[[#This Row],[Private Investment]]/Table58[[#This Row],[GDP]]</f>
        <v/>
      </c>
      <c r="J27" s="85">
        <f>Table58[[#This Row],[Exports]]/Table58[[#This Row],[GDP]]</f>
        <v/>
      </c>
      <c r="K27" s="85">
        <f>-Table58[[#This Row],[Imports]]/Table58[[#This Row],[GDP]]</f>
        <v/>
      </c>
      <c r="L27" s="85">
        <f>Table58[[#This Row],[Government]]/Table58[[#This Row],[GDP]]</f>
        <v/>
      </c>
      <c r="N27" s="52">
        <f>SUM(Table58[[#This Row],[PC%]:[G%]])</f>
        <v/>
      </c>
      <c r="O27" s="55">
        <f>Table58[[#This Row],[Personal Consumption]]+Table58[[#This Row],[Private Investment]]+Table58[[#This Row],[Exports]]+Table58[[#This Row],[Government]]-Table58[[#This Row],[Imports]]</f>
        <v/>
      </c>
    </row>
    <row r="28">
      <c r="A28" s="94" t="n">
        <v>19176</v>
      </c>
      <c r="B28" s="164">
        <f>VLOOKUP(A28,'U.S. GDP'!A:B,2,)</f>
        <v/>
      </c>
      <c r="C28" s="164">
        <f>VLOOKUP(A28,PersonalConsumption!A:B,2,)</f>
        <v/>
      </c>
      <c r="D28" s="164">
        <f>VLOOKUP(A28,PrivateInvestment!A:B,2,)</f>
        <v/>
      </c>
      <c r="E28" s="164">
        <f>VLOOKUP(A28,Exports!A:B,2,)</f>
        <v/>
      </c>
      <c r="F28" s="164">
        <f>VLOOKUP(A28,Imports!A:B,2,)</f>
        <v/>
      </c>
      <c r="G28" s="164">
        <f>VLOOKUP(A28,Government!A:B,2,)</f>
        <v/>
      </c>
      <c r="H28" s="85">
        <f>Table58[[#This Row],[Personal Consumption]]/Table58[[#This Row],[GDP]]</f>
        <v/>
      </c>
      <c r="I28" s="85">
        <f>Table58[[#This Row],[Private Investment]]/Table58[[#This Row],[GDP]]</f>
        <v/>
      </c>
      <c r="J28" s="85">
        <f>Table58[[#This Row],[Exports]]/Table58[[#This Row],[GDP]]</f>
        <v/>
      </c>
      <c r="K28" s="85">
        <f>-Table58[[#This Row],[Imports]]/Table58[[#This Row],[GDP]]</f>
        <v/>
      </c>
      <c r="L28" s="85">
        <f>Table58[[#This Row],[Government]]/Table58[[#This Row],[GDP]]</f>
        <v/>
      </c>
      <c r="N28" s="52">
        <f>SUM(Table58[[#This Row],[PC%]:[G%]])</f>
        <v/>
      </c>
      <c r="O28" s="55">
        <f>Table58[[#This Row],[Personal Consumption]]+Table58[[#This Row],[Private Investment]]+Table58[[#This Row],[Exports]]+Table58[[#This Row],[Government]]-Table58[[#This Row],[Imports]]</f>
        <v/>
      </c>
    </row>
    <row r="29">
      <c r="A29" s="94" t="n">
        <v>19268</v>
      </c>
      <c r="B29" s="164">
        <f>VLOOKUP(A29,'U.S. GDP'!A:B,2,)</f>
        <v/>
      </c>
      <c r="C29" s="164">
        <f>VLOOKUP(A29,PersonalConsumption!A:B,2,)</f>
        <v/>
      </c>
      <c r="D29" s="164">
        <f>VLOOKUP(A29,PrivateInvestment!A:B,2,)</f>
        <v/>
      </c>
      <c r="E29" s="164">
        <f>VLOOKUP(A29,Exports!A:B,2,)</f>
        <v/>
      </c>
      <c r="F29" s="164">
        <f>VLOOKUP(A29,Imports!A:B,2,)</f>
        <v/>
      </c>
      <c r="G29" s="164">
        <f>VLOOKUP(A29,Government!A:B,2,)</f>
        <v/>
      </c>
      <c r="H29" s="85">
        <f>Table58[[#This Row],[Personal Consumption]]/Table58[[#This Row],[GDP]]</f>
        <v/>
      </c>
      <c r="I29" s="85">
        <f>Table58[[#This Row],[Private Investment]]/Table58[[#This Row],[GDP]]</f>
        <v/>
      </c>
      <c r="J29" s="85">
        <f>Table58[[#This Row],[Exports]]/Table58[[#This Row],[GDP]]</f>
        <v/>
      </c>
      <c r="K29" s="85">
        <f>-Table58[[#This Row],[Imports]]/Table58[[#This Row],[GDP]]</f>
        <v/>
      </c>
      <c r="L29" s="85">
        <f>Table58[[#This Row],[Government]]/Table58[[#This Row],[GDP]]</f>
        <v/>
      </c>
      <c r="N29" s="52">
        <f>SUM(Table58[[#This Row],[PC%]:[G%]])</f>
        <v/>
      </c>
      <c r="O29" s="55">
        <f>Table58[[#This Row],[Personal Consumption]]+Table58[[#This Row],[Private Investment]]+Table58[[#This Row],[Exports]]+Table58[[#This Row],[Government]]-Table58[[#This Row],[Imports]]</f>
        <v/>
      </c>
    </row>
    <row r="30">
      <c r="A30" s="94" t="n">
        <v>19360</v>
      </c>
      <c r="B30" s="164">
        <f>VLOOKUP(A30,'U.S. GDP'!A:B,2,)</f>
        <v/>
      </c>
      <c r="C30" s="164">
        <f>VLOOKUP(A30,PersonalConsumption!A:B,2,)</f>
        <v/>
      </c>
      <c r="D30" s="164">
        <f>VLOOKUP(A30,PrivateInvestment!A:B,2,)</f>
        <v/>
      </c>
      <c r="E30" s="164">
        <f>VLOOKUP(A30,Exports!A:B,2,)</f>
        <v/>
      </c>
      <c r="F30" s="164">
        <f>VLOOKUP(A30,Imports!A:B,2,)</f>
        <v/>
      </c>
      <c r="G30" s="164">
        <f>VLOOKUP(A30,Government!A:B,2,)</f>
        <v/>
      </c>
      <c r="H30" s="85">
        <f>Table58[[#This Row],[Personal Consumption]]/Table58[[#This Row],[GDP]]</f>
        <v/>
      </c>
      <c r="I30" s="85">
        <f>Table58[[#This Row],[Private Investment]]/Table58[[#This Row],[GDP]]</f>
        <v/>
      </c>
      <c r="J30" s="85">
        <f>Table58[[#This Row],[Exports]]/Table58[[#This Row],[GDP]]</f>
        <v/>
      </c>
      <c r="K30" s="85">
        <f>-Table58[[#This Row],[Imports]]/Table58[[#This Row],[GDP]]</f>
        <v/>
      </c>
      <c r="L30" s="85">
        <f>Table58[[#This Row],[Government]]/Table58[[#This Row],[GDP]]</f>
        <v/>
      </c>
      <c r="N30" s="52">
        <f>SUM(Table58[[#This Row],[PC%]:[G%]])</f>
        <v/>
      </c>
      <c r="O30" s="55">
        <f>Table58[[#This Row],[Personal Consumption]]+Table58[[#This Row],[Private Investment]]+Table58[[#This Row],[Exports]]+Table58[[#This Row],[Government]]-Table58[[#This Row],[Imports]]</f>
        <v/>
      </c>
    </row>
    <row r="31">
      <c r="A31" s="94" t="n">
        <v>19450</v>
      </c>
      <c r="B31" s="164">
        <f>VLOOKUP(A31,'U.S. GDP'!A:B,2,)</f>
        <v/>
      </c>
      <c r="C31" s="164">
        <f>VLOOKUP(A31,PersonalConsumption!A:B,2,)</f>
        <v/>
      </c>
      <c r="D31" s="164">
        <f>VLOOKUP(A31,PrivateInvestment!A:B,2,)</f>
        <v/>
      </c>
      <c r="E31" s="164">
        <f>VLOOKUP(A31,Exports!A:B,2,)</f>
        <v/>
      </c>
      <c r="F31" s="164">
        <f>VLOOKUP(A31,Imports!A:B,2,)</f>
        <v/>
      </c>
      <c r="G31" s="164">
        <f>VLOOKUP(A31,Government!A:B,2,)</f>
        <v/>
      </c>
      <c r="H31" s="85">
        <f>Table58[[#This Row],[Personal Consumption]]/Table58[[#This Row],[GDP]]</f>
        <v/>
      </c>
      <c r="I31" s="85">
        <f>Table58[[#This Row],[Private Investment]]/Table58[[#This Row],[GDP]]</f>
        <v/>
      </c>
      <c r="J31" s="85">
        <f>Table58[[#This Row],[Exports]]/Table58[[#This Row],[GDP]]</f>
        <v/>
      </c>
      <c r="K31" s="85">
        <f>-Table58[[#This Row],[Imports]]/Table58[[#This Row],[GDP]]</f>
        <v/>
      </c>
      <c r="L31" s="85">
        <f>Table58[[#This Row],[Government]]/Table58[[#This Row],[GDP]]</f>
        <v/>
      </c>
      <c r="N31" s="52">
        <f>SUM(Table58[[#This Row],[PC%]:[G%]])</f>
        <v/>
      </c>
      <c r="O31" s="55">
        <f>Table58[[#This Row],[Personal Consumption]]+Table58[[#This Row],[Private Investment]]+Table58[[#This Row],[Exports]]+Table58[[#This Row],[Government]]-Table58[[#This Row],[Imports]]</f>
        <v/>
      </c>
    </row>
    <row r="32">
      <c r="A32" s="94" t="n">
        <v>19541</v>
      </c>
      <c r="B32" s="164">
        <f>VLOOKUP(A32,'U.S. GDP'!A:B,2,)</f>
        <v/>
      </c>
      <c r="C32" s="164">
        <f>VLOOKUP(A32,PersonalConsumption!A:B,2,)</f>
        <v/>
      </c>
      <c r="D32" s="164">
        <f>VLOOKUP(A32,PrivateInvestment!A:B,2,)</f>
        <v/>
      </c>
      <c r="E32" s="164">
        <f>VLOOKUP(A32,Exports!A:B,2,)</f>
        <v/>
      </c>
      <c r="F32" s="164">
        <f>VLOOKUP(A32,Imports!A:B,2,)</f>
        <v/>
      </c>
      <c r="G32" s="164">
        <f>VLOOKUP(A32,Government!A:B,2,)</f>
        <v/>
      </c>
      <c r="H32" s="85">
        <f>Table58[[#This Row],[Personal Consumption]]/Table58[[#This Row],[GDP]]</f>
        <v/>
      </c>
      <c r="I32" s="85">
        <f>Table58[[#This Row],[Private Investment]]/Table58[[#This Row],[GDP]]</f>
        <v/>
      </c>
      <c r="J32" s="85">
        <f>Table58[[#This Row],[Exports]]/Table58[[#This Row],[GDP]]</f>
        <v/>
      </c>
      <c r="K32" s="85">
        <f>-Table58[[#This Row],[Imports]]/Table58[[#This Row],[GDP]]</f>
        <v/>
      </c>
      <c r="L32" s="85">
        <f>Table58[[#This Row],[Government]]/Table58[[#This Row],[GDP]]</f>
        <v/>
      </c>
      <c r="N32" s="52">
        <f>SUM(Table58[[#This Row],[PC%]:[G%]])</f>
        <v/>
      </c>
      <c r="O32" s="55">
        <f>Table58[[#This Row],[Personal Consumption]]+Table58[[#This Row],[Private Investment]]+Table58[[#This Row],[Exports]]+Table58[[#This Row],[Government]]-Table58[[#This Row],[Imports]]</f>
        <v/>
      </c>
    </row>
    <row r="33">
      <c r="A33" s="94" t="n">
        <v>19633</v>
      </c>
      <c r="B33" s="164">
        <f>VLOOKUP(A33,'U.S. GDP'!A:B,2,)</f>
        <v/>
      </c>
      <c r="C33" s="164">
        <f>VLOOKUP(A33,PersonalConsumption!A:B,2,)</f>
        <v/>
      </c>
      <c r="D33" s="164">
        <f>VLOOKUP(A33,PrivateInvestment!A:B,2,)</f>
        <v/>
      </c>
      <c r="E33" s="164">
        <f>VLOOKUP(A33,Exports!A:B,2,)</f>
        <v/>
      </c>
      <c r="F33" s="164">
        <f>VLOOKUP(A33,Imports!A:B,2,)</f>
        <v/>
      </c>
      <c r="G33" s="164">
        <f>VLOOKUP(A33,Government!A:B,2,)</f>
        <v/>
      </c>
      <c r="H33" s="85">
        <f>Table58[[#This Row],[Personal Consumption]]/Table58[[#This Row],[GDP]]</f>
        <v/>
      </c>
      <c r="I33" s="85">
        <f>Table58[[#This Row],[Private Investment]]/Table58[[#This Row],[GDP]]</f>
        <v/>
      </c>
      <c r="J33" s="85">
        <f>Table58[[#This Row],[Exports]]/Table58[[#This Row],[GDP]]</f>
        <v/>
      </c>
      <c r="K33" s="85">
        <f>-Table58[[#This Row],[Imports]]/Table58[[#This Row],[GDP]]</f>
        <v/>
      </c>
      <c r="L33" s="85">
        <f>Table58[[#This Row],[Government]]/Table58[[#This Row],[GDP]]</f>
        <v/>
      </c>
      <c r="N33" s="52">
        <f>SUM(Table58[[#This Row],[PC%]:[G%]])</f>
        <v/>
      </c>
      <c r="O33" s="55">
        <f>Table58[[#This Row],[Personal Consumption]]+Table58[[#This Row],[Private Investment]]+Table58[[#This Row],[Exports]]+Table58[[#This Row],[Government]]-Table58[[#This Row],[Imports]]</f>
        <v/>
      </c>
    </row>
    <row r="34">
      <c r="A34" s="94" t="n">
        <v>19725</v>
      </c>
      <c r="B34" s="164">
        <f>VLOOKUP(A34,'U.S. GDP'!A:B,2,)</f>
        <v/>
      </c>
      <c r="C34" s="164">
        <f>VLOOKUP(A34,PersonalConsumption!A:B,2,)</f>
        <v/>
      </c>
      <c r="D34" s="164">
        <f>VLOOKUP(A34,PrivateInvestment!A:B,2,)</f>
        <v/>
      </c>
      <c r="E34" s="164">
        <f>VLOOKUP(A34,Exports!A:B,2,)</f>
        <v/>
      </c>
      <c r="F34" s="164">
        <f>VLOOKUP(A34,Imports!A:B,2,)</f>
        <v/>
      </c>
      <c r="G34" s="164">
        <f>VLOOKUP(A34,Government!A:B,2,)</f>
        <v/>
      </c>
      <c r="H34" s="85">
        <f>Table58[[#This Row],[Personal Consumption]]/Table58[[#This Row],[GDP]]</f>
        <v/>
      </c>
      <c r="I34" s="85">
        <f>Table58[[#This Row],[Private Investment]]/Table58[[#This Row],[GDP]]</f>
        <v/>
      </c>
      <c r="J34" s="85">
        <f>Table58[[#This Row],[Exports]]/Table58[[#This Row],[GDP]]</f>
        <v/>
      </c>
      <c r="K34" s="85">
        <f>-Table58[[#This Row],[Imports]]/Table58[[#This Row],[GDP]]</f>
        <v/>
      </c>
      <c r="L34" s="85">
        <f>Table58[[#This Row],[Government]]/Table58[[#This Row],[GDP]]</f>
        <v/>
      </c>
      <c r="N34" s="52">
        <f>SUM(Table58[[#This Row],[PC%]:[G%]])</f>
        <v/>
      </c>
      <c r="O34" s="55">
        <f>Table58[[#This Row],[Personal Consumption]]+Table58[[#This Row],[Private Investment]]+Table58[[#This Row],[Exports]]+Table58[[#This Row],[Government]]-Table58[[#This Row],[Imports]]</f>
        <v/>
      </c>
    </row>
    <row r="35">
      <c r="A35" s="94" t="n">
        <v>19815</v>
      </c>
      <c r="B35" s="164">
        <f>VLOOKUP(A35,'U.S. GDP'!A:B,2,)</f>
        <v/>
      </c>
      <c r="C35" s="164">
        <f>VLOOKUP(A35,PersonalConsumption!A:B,2,)</f>
        <v/>
      </c>
      <c r="D35" s="164">
        <f>VLOOKUP(A35,PrivateInvestment!A:B,2,)</f>
        <v/>
      </c>
      <c r="E35" s="164">
        <f>VLOOKUP(A35,Exports!A:B,2,)</f>
        <v/>
      </c>
      <c r="F35" s="164">
        <f>VLOOKUP(A35,Imports!A:B,2,)</f>
        <v/>
      </c>
      <c r="G35" s="164">
        <f>VLOOKUP(A35,Government!A:B,2,)</f>
        <v/>
      </c>
      <c r="H35" s="85">
        <f>Table58[[#This Row],[Personal Consumption]]/Table58[[#This Row],[GDP]]</f>
        <v/>
      </c>
      <c r="I35" s="85">
        <f>Table58[[#This Row],[Private Investment]]/Table58[[#This Row],[GDP]]</f>
        <v/>
      </c>
      <c r="J35" s="85">
        <f>Table58[[#This Row],[Exports]]/Table58[[#This Row],[GDP]]</f>
        <v/>
      </c>
      <c r="K35" s="85">
        <f>-Table58[[#This Row],[Imports]]/Table58[[#This Row],[GDP]]</f>
        <v/>
      </c>
      <c r="L35" s="85">
        <f>Table58[[#This Row],[Government]]/Table58[[#This Row],[GDP]]</f>
        <v/>
      </c>
      <c r="N35" s="52">
        <f>SUM(Table58[[#This Row],[PC%]:[G%]])</f>
        <v/>
      </c>
      <c r="O35" s="55">
        <f>Table58[[#This Row],[Personal Consumption]]+Table58[[#This Row],[Private Investment]]+Table58[[#This Row],[Exports]]+Table58[[#This Row],[Government]]-Table58[[#This Row],[Imports]]</f>
        <v/>
      </c>
    </row>
    <row r="36">
      <c r="A36" s="94" t="n">
        <v>19906</v>
      </c>
      <c r="B36" s="164">
        <f>VLOOKUP(A36,'U.S. GDP'!A:B,2,)</f>
        <v/>
      </c>
      <c r="C36" s="164">
        <f>VLOOKUP(A36,PersonalConsumption!A:B,2,)</f>
        <v/>
      </c>
      <c r="D36" s="164">
        <f>VLOOKUP(A36,PrivateInvestment!A:B,2,)</f>
        <v/>
      </c>
      <c r="E36" s="164">
        <f>VLOOKUP(A36,Exports!A:B,2,)</f>
        <v/>
      </c>
      <c r="F36" s="164">
        <f>VLOOKUP(A36,Imports!A:B,2,)</f>
        <v/>
      </c>
      <c r="G36" s="164">
        <f>VLOOKUP(A36,Government!A:B,2,)</f>
        <v/>
      </c>
      <c r="H36" s="85">
        <f>Table58[[#This Row],[Personal Consumption]]/Table58[[#This Row],[GDP]]</f>
        <v/>
      </c>
      <c r="I36" s="85">
        <f>Table58[[#This Row],[Private Investment]]/Table58[[#This Row],[GDP]]</f>
        <v/>
      </c>
      <c r="J36" s="85">
        <f>Table58[[#This Row],[Exports]]/Table58[[#This Row],[GDP]]</f>
        <v/>
      </c>
      <c r="K36" s="85">
        <f>-Table58[[#This Row],[Imports]]/Table58[[#This Row],[GDP]]</f>
        <v/>
      </c>
      <c r="L36" s="85">
        <f>Table58[[#This Row],[Government]]/Table58[[#This Row],[GDP]]</f>
        <v/>
      </c>
      <c r="N36" s="52">
        <f>SUM(Table58[[#This Row],[PC%]:[G%]])</f>
        <v/>
      </c>
      <c r="O36" s="55">
        <f>Table58[[#This Row],[Personal Consumption]]+Table58[[#This Row],[Private Investment]]+Table58[[#This Row],[Exports]]+Table58[[#This Row],[Government]]-Table58[[#This Row],[Imports]]</f>
        <v/>
      </c>
    </row>
    <row r="37">
      <c r="A37" s="94" t="n">
        <v>19998</v>
      </c>
      <c r="B37" s="164">
        <f>VLOOKUP(A37,'U.S. GDP'!A:B,2,)</f>
        <v/>
      </c>
      <c r="C37" s="164">
        <f>VLOOKUP(A37,PersonalConsumption!A:B,2,)</f>
        <v/>
      </c>
      <c r="D37" s="164">
        <f>VLOOKUP(A37,PrivateInvestment!A:B,2,)</f>
        <v/>
      </c>
      <c r="E37" s="164">
        <f>VLOOKUP(A37,Exports!A:B,2,)</f>
        <v/>
      </c>
      <c r="F37" s="164">
        <f>VLOOKUP(A37,Imports!A:B,2,)</f>
        <v/>
      </c>
      <c r="G37" s="164">
        <f>VLOOKUP(A37,Government!A:B,2,)</f>
        <v/>
      </c>
      <c r="H37" s="85">
        <f>Table58[[#This Row],[Personal Consumption]]/Table58[[#This Row],[GDP]]</f>
        <v/>
      </c>
      <c r="I37" s="85">
        <f>Table58[[#This Row],[Private Investment]]/Table58[[#This Row],[GDP]]</f>
        <v/>
      </c>
      <c r="J37" s="85">
        <f>Table58[[#This Row],[Exports]]/Table58[[#This Row],[GDP]]</f>
        <v/>
      </c>
      <c r="K37" s="85">
        <f>-Table58[[#This Row],[Imports]]/Table58[[#This Row],[GDP]]</f>
        <v/>
      </c>
      <c r="L37" s="85">
        <f>Table58[[#This Row],[Government]]/Table58[[#This Row],[GDP]]</f>
        <v/>
      </c>
      <c r="N37" s="52">
        <f>SUM(Table58[[#This Row],[PC%]:[G%]])</f>
        <v/>
      </c>
      <c r="O37" s="55">
        <f>Table58[[#This Row],[Personal Consumption]]+Table58[[#This Row],[Private Investment]]+Table58[[#This Row],[Exports]]+Table58[[#This Row],[Government]]-Table58[[#This Row],[Imports]]</f>
        <v/>
      </c>
    </row>
    <row r="38">
      <c r="A38" s="94" t="n">
        <v>20090</v>
      </c>
      <c r="B38" s="164">
        <f>VLOOKUP(A38,'U.S. GDP'!A:B,2,)</f>
        <v/>
      </c>
      <c r="C38" s="164">
        <f>VLOOKUP(A38,PersonalConsumption!A:B,2,)</f>
        <v/>
      </c>
      <c r="D38" s="164">
        <f>VLOOKUP(A38,PrivateInvestment!A:B,2,)</f>
        <v/>
      </c>
      <c r="E38" s="164">
        <f>VLOOKUP(A38,Exports!A:B,2,)</f>
        <v/>
      </c>
      <c r="F38" s="164">
        <f>VLOOKUP(A38,Imports!A:B,2,)</f>
        <v/>
      </c>
      <c r="G38" s="164">
        <f>VLOOKUP(A38,Government!A:B,2,)</f>
        <v/>
      </c>
      <c r="H38" s="85">
        <f>Table58[[#This Row],[Personal Consumption]]/Table58[[#This Row],[GDP]]</f>
        <v/>
      </c>
      <c r="I38" s="85">
        <f>Table58[[#This Row],[Private Investment]]/Table58[[#This Row],[GDP]]</f>
        <v/>
      </c>
      <c r="J38" s="85">
        <f>Table58[[#This Row],[Exports]]/Table58[[#This Row],[GDP]]</f>
        <v/>
      </c>
      <c r="K38" s="85">
        <f>-Table58[[#This Row],[Imports]]/Table58[[#This Row],[GDP]]</f>
        <v/>
      </c>
      <c r="L38" s="85">
        <f>Table58[[#This Row],[Government]]/Table58[[#This Row],[GDP]]</f>
        <v/>
      </c>
      <c r="N38" s="52">
        <f>SUM(Table58[[#This Row],[PC%]:[G%]])</f>
        <v/>
      </c>
      <c r="O38" s="55">
        <f>Table58[[#This Row],[Personal Consumption]]+Table58[[#This Row],[Private Investment]]+Table58[[#This Row],[Exports]]+Table58[[#This Row],[Government]]-Table58[[#This Row],[Imports]]</f>
        <v/>
      </c>
    </row>
    <row r="39">
      <c r="A39" s="94" t="n">
        <v>20180</v>
      </c>
      <c r="B39" s="164">
        <f>VLOOKUP(A39,'U.S. GDP'!A:B,2,)</f>
        <v/>
      </c>
      <c r="C39" s="164">
        <f>VLOOKUP(A39,PersonalConsumption!A:B,2,)</f>
        <v/>
      </c>
      <c r="D39" s="164">
        <f>VLOOKUP(A39,PrivateInvestment!A:B,2,)</f>
        <v/>
      </c>
      <c r="E39" s="164">
        <f>VLOOKUP(A39,Exports!A:B,2,)</f>
        <v/>
      </c>
      <c r="F39" s="164">
        <f>VLOOKUP(A39,Imports!A:B,2,)</f>
        <v/>
      </c>
      <c r="G39" s="164">
        <f>VLOOKUP(A39,Government!A:B,2,)</f>
        <v/>
      </c>
      <c r="H39" s="85">
        <f>Table58[[#This Row],[Personal Consumption]]/Table58[[#This Row],[GDP]]</f>
        <v/>
      </c>
      <c r="I39" s="85">
        <f>Table58[[#This Row],[Private Investment]]/Table58[[#This Row],[GDP]]</f>
        <v/>
      </c>
      <c r="J39" s="85">
        <f>Table58[[#This Row],[Exports]]/Table58[[#This Row],[GDP]]</f>
        <v/>
      </c>
      <c r="K39" s="85">
        <f>-Table58[[#This Row],[Imports]]/Table58[[#This Row],[GDP]]</f>
        <v/>
      </c>
      <c r="L39" s="85">
        <f>Table58[[#This Row],[Government]]/Table58[[#This Row],[GDP]]</f>
        <v/>
      </c>
      <c r="N39" s="52">
        <f>SUM(Table58[[#This Row],[PC%]:[G%]])</f>
        <v/>
      </c>
      <c r="O39" s="55">
        <f>Table58[[#This Row],[Personal Consumption]]+Table58[[#This Row],[Private Investment]]+Table58[[#This Row],[Exports]]+Table58[[#This Row],[Government]]-Table58[[#This Row],[Imports]]</f>
        <v/>
      </c>
    </row>
    <row r="40">
      <c r="A40" s="94" t="n">
        <v>20271</v>
      </c>
      <c r="B40" s="164">
        <f>VLOOKUP(A40,'U.S. GDP'!A:B,2,)</f>
        <v/>
      </c>
      <c r="C40" s="164">
        <f>VLOOKUP(A40,PersonalConsumption!A:B,2,)</f>
        <v/>
      </c>
      <c r="D40" s="164">
        <f>VLOOKUP(A40,PrivateInvestment!A:B,2,)</f>
        <v/>
      </c>
      <c r="E40" s="164">
        <f>VLOOKUP(A40,Exports!A:B,2,)</f>
        <v/>
      </c>
      <c r="F40" s="164">
        <f>VLOOKUP(A40,Imports!A:B,2,)</f>
        <v/>
      </c>
      <c r="G40" s="164">
        <f>VLOOKUP(A40,Government!A:B,2,)</f>
        <v/>
      </c>
      <c r="H40" s="85">
        <f>Table58[[#This Row],[Personal Consumption]]/Table58[[#This Row],[GDP]]</f>
        <v/>
      </c>
      <c r="I40" s="85">
        <f>Table58[[#This Row],[Private Investment]]/Table58[[#This Row],[GDP]]</f>
        <v/>
      </c>
      <c r="J40" s="85">
        <f>Table58[[#This Row],[Exports]]/Table58[[#This Row],[GDP]]</f>
        <v/>
      </c>
      <c r="K40" s="85">
        <f>-Table58[[#This Row],[Imports]]/Table58[[#This Row],[GDP]]</f>
        <v/>
      </c>
      <c r="L40" s="85">
        <f>Table58[[#This Row],[Government]]/Table58[[#This Row],[GDP]]</f>
        <v/>
      </c>
      <c r="N40" s="52">
        <f>SUM(Table58[[#This Row],[PC%]:[G%]])</f>
        <v/>
      </c>
      <c r="O40" s="55">
        <f>Table58[[#This Row],[Personal Consumption]]+Table58[[#This Row],[Private Investment]]+Table58[[#This Row],[Exports]]+Table58[[#This Row],[Government]]-Table58[[#This Row],[Imports]]</f>
        <v/>
      </c>
    </row>
    <row r="41">
      <c r="A41" s="94" t="n">
        <v>20363</v>
      </c>
      <c r="B41" s="164">
        <f>VLOOKUP(A41,'U.S. GDP'!A:B,2,)</f>
        <v/>
      </c>
      <c r="C41" s="164">
        <f>VLOOKUP(A41,PersonalConsumption!A:B,2,)</f>
        <v/>
      </c>
      <c r="D41" s="164">
        <f>VLOOKUP(A41,PrivateInvestment!A:B,2,)</f>
        <v/>
      </c>
      <c r="E41" s="164">
        <f>VLOOKUP(A41,Exports!A:B,2,)</f>
        <v/>
      </c>
      <c r="F41" s="164">
        <f>VLOOKUP(A41,Imports!A:B,2,)</f>
        <v/>
      </c>
      <c r="G41" s="164">
        <f>VLOOKUP(A41,Government!A:B,2,)</f>
        <v/>
      </c>
      <c r="H41" s="85">
        <f>Table58[[#This Row],[Personal Consumption]]/Table58[[#This Row],[GDP]]</f>
        <v/>
      </c>
      <c r="I41" s="85">
        <f>Table58[[#This Row],[Private Investment]]/Table58[[#This Row],[GDP]]</f>
        <v/>
      </c>
      <c r="J41" s="85">
        <f>Table58[[#This Row],[Exports]]/Table58[[#This Row],[GDP]]</f>
        <v/>
      </c>
      <c r="K41" s="85">
        <f>-Table58[[#This Row],[Imports]]/Table58[[#This Row],[GDP]]</f>
        <v/>
      </c>
      <c r="L41" s="85">
        <f>Table58[[#This Row],[Government]]/Table58[[#This Row],[GDP]]</f>
        <v/>
      </c>
      <c r="N41" s="52">
        <f>SUM(Table58[[#This Row],[PC%]:[G%]])</f>
        <v/>
      </c>
      <c r="O41" s="55">
        <f>Table58[[#This Row],[Personal Consumption]]+Table58[[#This Row],[Private Investment]]+Table58[[#This Row],[Exports]]+Table58[[#This Row],[Government]]-Table58[[#This Row],[Imports]]</f>
        <v/>
      </c>
    </row>
    <row r="42">
      <c r="A42" s="94" t="n">
        <v>20455</v>
      </c>
      <c r="B42" s="164">
        <f>VLOOKUP(A42,'U.S. GDP'!A:B,2,)</f>
        <v/>
      </c>
      <c r="C42" s="164">
        <f>VLOOKUP(A42,PersonalConsumption!A:B,2,)</f>
        <v/>
      </c>
      <c r="D42" s="164">
        <f>VLOOKUP(A42,PrivateInvestment!A:B,2,)</f>
        <v/>
      </c>
      <c r="E42" s="164">
        <f>VLOOKUP(A42,Exports!A:B,2,)</f>
        <v/>
      </c>
      <c r="F42" s="164">
        <f>VLOOKUP(A42,Imports!A:B,2,)</f>
        <v/>
      </c>
      <c r="G42" s="164">
        <f>VLOOKUP(A42,Government!A:B,2,)</f>
        <v/>
      </c>
      <c r="H42" s="85">
        <f>Table58[[#This Row],[Personal Consumption]]/Table58[[#This Row],[GDP]]</f>
        <v/>
      </c>
      <c r="I42" s="85">
        <f>Table58[[#This Row],[Private Investment]]/Table58[[#This Row],[GDP]]</f>
        <v/>
      </c>
      <c r="J42" s="85">
        <f>Table58[[#This Row],[Exports]]/Table58[[#This Row],[GDP]]</f>
        <v/>
      </c>
      <c r="K42" s="85">
        <f>-Table58[[#This Row],[Imports]]/Table58[[#This Row],[GDP]]</f>
        <v/>
      </c>
      <c r="L42" s="85">
        <f>Table58[[#This Row],[Government]]/Table58[[#This Row],[GDP]]</f>
        <v/>
      </c>
      <c r="N42" s="52">
        <f>SUM(Table58[[#This Row],[PC%]:[G%]])</f>
        <v/>
      </c>
      <c r="O42" s="55">
        <f>Table58[[#This Row],[Personal Consumption]]+Table58[[#This Row],[Private Investment]]+Table58[[#This Row],[Exports]]+Table58[[#This Row],[Government]]-Table58[[#This Row],[Imports]]</f>
        <v/>
      </c>
    </row>
    <row r="43">
      <c r="A43" s="94" t="n">
        <v>20546</v>
      </c>
      <c r="B43" s="164">
        <f>VLOOKUP(A43,'U.S. GDP'!A:B,2,)</f>
        <v/>
      </c>
      <c r="C43" s="164">
        <f>VLOOKUP(A43,PersonalConsumption!A:B,2,)</f>
        <v/>
      </c>
      <c r="D43" s="164">
        <f>VLOOKUP(A43,PrivateInvestment!A:B,2,)</f>
        <v/>
      </c>
      <c r="E43" s="164">
        <f>VLOOKUP(A43,Exports!A:B,2,)</f>
        <v/>
      </c>
      <c r="F43" s="164">
        <f>VLOOKUP(A43,Imports!A:B,2,)</f>
        <v/>
      </c>
      <c r="G43" s="164">
        <f>VLOOKUP(A43,Government!A:B,2,)</f>
        <v/>
      </c>
      <c r="H43" s="85">
        <f>Table58[[#This Row],[Personal Consumption]]/Table58[[#This Row],[GDP]]</f>
        <v/>
      </c>
      <c r="I43" s="85">
        <f>Table58[[#This Row],[Private Investment]]/Table58[[#This Row],[GDP]]</f>
        <v/>
      </c>
      <c r="J43" s="85">
        <f>Table58[[#This Row],[Exports]]/Table58[[#This Row],[GDP]]</f>
        <v/>
      </c>
      <c r="K43" s="85">
        <f>-Table58[[#This Row],[Imports]]/Table58[[#This Row],[GDP]]</f>
        <v/>
      </c>
      <c r="L43" s="85">
        <f>Table58[[#This Row],[Government]]/Table58[[#This Row],[GDP]]</f>
        <v/>
      </c>
      <c r="N43" s="52">
        <f>SUM(Table58[[#This Row],[PC%]:[G%]])</f>
        <v/>
      </c>
      <c r="O43" s="55">
        <f>Table58[[#This Row],[Personal Consumption]]+Table58[[#This Row],[Private Investment]]+Table58[[#This Row],[Exports]]+Table58[[#This Row],[Government]]-Table58[[#This Row],[Imports]]</f>
        <v/>
      </c>
    </row>
    <row r="44">
      <c r="A44" s="94" t="n">
        <v>20637</v>
      </c>
      <c r="B44" s="164">
        <f>VLOOKUP(A44,'U.S. GDP'!A:B,2,)</f>
        <v/>
      </c>
      <c r="C44" s="164">
        <f>VLOOKUP(A44,PersonalConsumption!A:B,2,)</f>
        <v/>
      </c>
      <c r="D44" s="164">
        <f>VLOOKUP(A44,PrivateInvestment!A:B,2,)</f>
        <v/>
      </c>
      <c r="E44" s="164">
        <f>VLOOKUP(A44,Exports!A:B,2,)</f>
        <v/>
      </c>
      <c r="F44" s="164">
        <f>VLOOKUP(A44,Imports!A:B,2,)</f>
        <v/>
      </c>
      <c r="G44" s="164">
        <f>VLOOKUP(A44,Government!A:B,2,)</f>
        <v/>
      </c>
      <c r="H44" s="85">
        <f>Table58[[#This Row],[Personal Consumption]]/Table58[[#This Row],[GDP]]</f>
        <v/>
      </c>
      <c r="I44" s="85">
        <f>Table58[[#This Row],[Private Investment]]/Table58[[#This Row],[GDP]]</f>
        <v/>
      </c>
      <c r="J44" s="85">
        <f>Table58[[#This Row],[Exports]]/Table58[[#This Row],[GDP]]</f>
        <v/>
      </c>
      <c r="K44" s="85">
        <f>-Table58[[#This Row],[Imports]]/Table58[[#This Row],[GDP]]</f>
        <v/>
      </c>
      <c r="L44" s="85">
        <f>Table58[[#This Row],[Government]]/Table58[[#This Row],[GDP]]</f>
        <v/>
      </c>
      <c r="N44" s="52">
        <f>SUM(Table58[[#This Row],[PC%]:[G%]])</f>
        <v/>
      </c>
      <c r="O44" s="55">
        <f>Table58[[#This Row],[Personal Consumption]]+Table58[[#This Row],[Private Investment]]+Table58[[#This Row],[Exports]]+Table58[[#This Row],[Government]]-Table58[[#This Row],[Imports]]</f>
        <v/>
      </c>
    </row>
    <row r="45">
      <c r="A45" s="94" t="n">
        <v>20729</v>
      </c>
      <c r="B45" s="164">
        <f>VLOOKUP(A45,'U.S. GDP'!A:B,2,)</f>
        <v/>
      </c>
      <c r="C45" s="164">
        <f>VLOOKUP(A45,PersonalConsumption!A:B,2,)</f>
        <v/>
      </c>
      <c r="D45" s="164">
        <f>VLOOKUP(A45,PrivateInvestment!A:B,2,)</f>
        <v/>
      </c>
      <c r="E45" s="164">
        <f>VLOOKUP(A45,Exports!A:B,2,)</f>
        <v/>
      </c>
      <c r="F45" s="164">
        <f>VLOOKUP(A45,Imports!A:B,2,)</f>
        <v/>
      </c>
      <c r="G45" s="164">
        <f>VLOOKUP(A45,Government!A:B,2,)</f>
        <v/>
      </c>
      <c r="H45" s="85">
        <f>Table58[[#This Row],[Personal Consumption]]/Table58[[#This Row],[GDP]]</f>
        <v/>
      </c>
      <c r="I45" s="85">
        <f>Table58[[#This Row],[Private Investment]]/Table58[[#This Row],[GDP]]</f>
        <v/>
      </c>
      <c r="J45" s="85">
        <f>Table58[[#This Row],[Exports]]/Table58[[#This Row],[GDP]]</f>
        <v/>
      </c>
      <c r="K45" s="85">
        <f>-Table58[[#This Row],[Imports]]/Table58[[#This Row],[GDP]]</f>
        <v/>
      </c>
      <c r="L45" s="85">
        <f>Table58[[#This Row],[Government]]/Table58[[#This Row],[GDP]]</f>
        <v/>
      </c>
      <c r="N45" s="52">
        <f>SUM(Table58[[#This Row],[PC%]:[G%]])</f>
        <v/>
      </c>
      <c r="O45" s="55">
        <f>Table58[[#This Row],[Personal Consumption]]+Table58[[#This Row],[Private Investment]]+Table58[[#This Row],[Exports]]+Table58[[#This Row],[Government]]-Table58[[#This Row],[Imports]]</f>
        <v/>
      </c>
    </row>
    <row r="46">
      <c r="A46" s="94" t="n">
        <v>20821</v>
      </c>
      <c r="B46" s="164">
        <f>VLOOKUP(A46,'U.S. GDP'!A:B,2,)</f>
        <v/>
      </c>
      <c r="C46" s="164">
        <f>VLOOKUP(A46,PersonalConsumption!A:B,2,)</f>
        <v/>
      </c>
      <c r="D46" s="164">
        <f>VLOOKUP(A46,PrivateInvestment!A:B,2,)</f>
        <v/>
      </c>
      <c r="E46" s="164">
        <f>VLOOKUP(A46,Exports!A:B,2,)</f>
        <v/>
      </c>
      <c r="F46" s="164">
        <f>VLOOKUP(A46,Imports!A:B,2,)</f>
        <v/>
      </c>
      <c r="G46" s="164">
        <f>VLOOKUP(A46,Government!A:B,2,)</f>
        <v/>
      </c>
      <c r="H46" s="85">
        <f>Table58[[#This Row],[Personal Consumption]]/Table58[[#This Row],[GDP]]</f>
        <v/>
      </c>
      <c r="I46" s="85">
        <f>Table58[[#This Row],[Private Investment]]/Table58[[#This Row],[GDP]]</f>
        <v/>
      </c>
      <c r="J46" s="85">
        <f>Table58[[#This Row],[Exports]]/Table58[[#This Row],[GDP]]</f>
        <v/>
      </c>
      <c r="K46" s="85">
        <f>-Table58[[#This Row],[Imports]]/Table58[[#This Row],[GDP]]</f>
        <v/>
      </c>
      <c r="L46" s="85">
        <f>Table58[[#This Row],[Government]]/Table58[[#This Row],[GDP]]</f>
        <v/>
      </c>
      <c r="N46" s="52">
        <f>SUM(Table58[[#This Row],[PC%]:[G%]])</f>
        <v/>
      </c>
      <c r="O46" s="55">
        <f>Table58[[#This Row],[Personal Consumption]]+Table58[[#This Row],[Private Investment]]+Table58[[#This Row],[Exports]]+Table58[[#This Row],[Government]]-Table58[[#This Row],[Imports]]</f>
        <v/>
      </c>
    </row>
    <row r="47">
      <c r="A47" s="94" t="n">
        <v>20911</v>
      </c>
      <c r="B47" s="164">
        <f>VLOOKUP(A47,'U.S. GDP'!A:B,2,)</f>
        <v/>
      </c>
      <c r="C47" s="164">
        <f>VLOOKUP(A47,PersonalConsumption!A:B,2,)</f>
        <v/>
      </c>
      <c r="D47" s="164">
        <f>VLOOKUP(A47,PrivateInvestment!A:B,2,)</f>
        <v/>
      </c>
      <c r="E47" s="164">
        <f>VLOOKUP(A47,Exports!A:B,2,)</f>
        <v/>
      </c>
      <c r="F47" s="164">
        <f>VLOOKUP(A47,Imports!A:B,2,)</f>
        <v/>
      </c>
      <c r="G47" s="164">
        <f>VLOOKUP(A47,Government!A:B,2,)</f>
        <v/>
      </c>
      <c r="H47" s="85">
        <f>Table58[[#This Row],[Personal Consumption]]/Table58[[#This Row],[GDP]]</f>
        <v/>
      </c>
      <c r="I47" s="85">
        <f>Table58[[#This Row],[Private Investment]]/Table58[[#This Row],[GDP]]</f>
        <v/>
      </c>
      <c r="J47" s="85">
        <f>Table58[[#This Row],[Exports]]/Table58[[#This Row],[GDP]]</f>
        <v/>
      </c>
      <c r="K47" s="85">
        <f>-Table58[[#This Row],[Imports]]/Table58[[#This Row],[GDP]]</f>
        <v/>
      </c>
      <c r="L47" s="85">
        <f>Table58[[#This Row],[Government]]/Table58[[#This Row],[GDP]]</f>
        <v/>
      </c>
      <c r="N47" s="52">
        <f>SUM(Table58[[#This Row],[PC%]:[G%]])</f>
        <v/>
      </c>
      <c r="O47" s="55">
        <f>Table58[[#This Row],[Personal Consumption]]+Table58[[#This Row],[Private Investment]]+Table58[[#This Row],[Exports]]+Table58[[#This Row],[Government]]-Table58[[#This Row],[Imports]]</f>
        <v/>
      </c>
    </row>
    <row r="48">
      <c r="A48" s="94" t="n">
        <v>21002</v>
      </c>
      <c r="B48" s="164">
        <f>VLOOKUP(A48,'U.S. GDP'!A:B,2,)</f>
        <v/>
      </c>
      <c r="C48" s="164">
        <f>VLOOKUP(A48,PersonalConsumption!A:B,2,)</f>
        <v/>
      </c>
      <c r="D48" s="164">
        <f>VLOOKUP(A48,PrivateInvestment!A:B,2,)</f>
        <v/>
      </c>
      <c r="E48" s="164">
        <f>VLOOKUP(A48,Exports!A:B,2,)</f>
        <v/>
      </c>
      <c r="F48" s="164">
        <f>VLOOKUP(A48,Imports!A:B,2,)</f>
        <v/>
      </c>
      <c r="G48" s="164">
        <f>VLOOKUP(A48,Government!A:B,2,)</f>
        <v/>
      </c>
      <c r="H48" s="85">
        <f>Table58[[#This Row],[Personal Consumption]]/Table58[[#This Row],[GDP]]</f>
        <v/>
      </c>
      <c r="I48" s="85">
        <f>Table58[[#This Row],[Private Investment]]/Table58[[#This Row],[GDP]]</f>
        <v/>
      </c>
      <c r="J48" s="85">
        <f>Table58[[#This Row],[Exports]]/Table58[[#This Row],[GDP]]</f>
        <v/>
      </c>
      <c r="K48" s="85">
        <f>-Table58[[#This Row],[Imports]]/Table58[[#This Row],[GDP]]</f>
        <v/>
      </c>
      <c r="L48" s="85">
        <f>Table58[[#This Row],[Government]]/Table58[[#This Row],[GDP]]</f>
        <v/>
      </c>
      <c r="N48" s="52">
        <f>SUM(Table58[[#This Row],[PC%]:[G%]])</f>
        <v/>
      </c>
      <c r="O48" s="55">
        <f>Table58[[#This Row],[Personal Consumption]]+Table58[[#This Row],[Private Investment]]+Table58[[#This Row],[Exports]]+Table58[[#This Row],[Government]]-Table58[[#This Row],[Imports]]</f>
        <v/>
      </c>
    </row>
    <row r="49">
      <c r="A49" s="94" t="n">
        <v>21094</v>
      </c>
      <c r="B49" s="164">
        <f>VLOOKUP(A49,'U.S. GDP'!A:B,2,)</f>
        <v/>
      </c>
      <c r="C49" s="164">
        <f>VLOOKUP(A49,PersonalConsumption!A:B,2,)</f>
        <v/>
      </c>
      <c r="D49" s="164">
        <f>VLOOKUP(A49,PrivateInvestment!A:B,2,)</f>
        <v/>
      </c>
      <c r="E49" s="164">
        <f>VLOOKUP(A49,Exports!A:B,2,)</f>
        <v/>
      </c>
      <c r="F49" s="164">
        <f>VLOOKUP(A49,Imports!A:B,2,)</f>
        <v/>
      </c>
      <c r="G49" s="164">
        <f>VLOOKUP(A49,Government!A:B,2,)</f>
        <v/>
      </c>
      <c r="H49" s="85">
        <f>Table58[[#This Row],[Personal Consumption]]/Table58[[#This Row],[GDP]]</f>
        <v/>
      </c>
      <c r="I49" s="85">
        <f>Table58[[#This Row],[Private Investment]]/Table58[[#This Row],[GDP]]</f>
        <v/>
      </c>
      <c r="J49" s="85">
        <f>Table58[[#This Row],[Exports]]/Table58[[#This Row],[GDP]]</f>
        <v/>
      </c>
      <c r="K49" s="85">
        <f>-Table58[[#This Row],[Imports]]/Table58[[#This Row],[GDP]]</f>
        <v/>
      </c>
      <c r="L49" s="85">
        <f>Table58[[#This Row],[Government]]/Table58[[#This Row],[GDP]]</f>
        <v/>
      </c>
      <c r="N49" s="52">
        <f>SUM(Table58[[#This Row],[PC%]:[G%]])</f>
        <v/>
      </c>
      <c r="O49" s="55">
        <f>Table58[[#This Row],[Personal Consumption]]+Table58[[#This Row],[Private Investment]]+Table58[[#This Row],[Exports]]+Table58[[#This Row],[Government]]-Table58[[#This Row],[Imports]]</f>
        <v/>
      </c>
    </row>
    <row r="50">
      <c r="A50" s="94" t="n">
        <v>21186</v>
      </c>
      <c r="B50" s="164">
        <f>VLOOKUP(A50,'U.S. GDP'!A:B,2,)</f>
        <v/>
      </c>
      <c r="C50" s="164">
        <f>VLOOKUP(A50,PersonalConsumption!A:B,2,)</f>
        <v/>
      </c>
      <c r="D50" s="164">
        <f>VLOOKUP(A50,PrivateInvestment!A:B,2,)</f>
        <v/>
      </c>
      <c r="E50" s="164">
        <f>VLOOKUP(A50,Exports!A:B,2,)</f>
        <v/>
      </c>
      <c r="F50" s="164">
        <f>VLOOKUP(A50,Imports!A:B,2,)</f>
        <v/>
      </c>
      <c r="G50" s="164">
        <f>VLOOKUP(A50,Government!A:B,2,)</f>
        <v/>
      </c>
      <c r="H50" s="85">
        <f>Table58[[#This Row],[Personal Consumption]]/Table58[[#This Row],[GDP]]</f>
        <v/>
      </c>
      <c r="I50" s="85">
        <f>Table58[[#This Row],[Private Investment]]/Table58[[#This Row],[GDP]]</f>
        <v/>
      </c>
      <c r="J50" s="85">
        <f>Table58[[#This Row],[Exports]]/Table58[[#This Row],[GDP]]</f>
        <v/>
      </c>
      <c r="K50" s="85">
        <f>-Table58[[#This Row],[Imports]]/Table58[[#This Row],[GDP]]</f>
        <v/>
      </c>
      <c r="L50" s="85">
        <f>Table58[[#This Row],[Government]]/Table58[[#This Row],[GDP]]</f>
        <v/>
      </c>
      <c r="N50" s="52">
        <f>SUM(Table58[[#This Row],[PC%]:[G%]])</f>
        <v/>
      </c>
      <c r="O50" s="55">
        <f>Table58[[#This Row],[Personal Consumption]]+Table58[[#This Row],[Private Investment]]+Table58[[#This Row],[Exports]]+Table58[[#This Row],[Government]]-Table58[[#This Row],[Imports]]</f>
        <v/>
      </c>
    </row>
    <row r="51">
      <c r="A51" s="94" t="n">
        <v>21276</v>
      </c>
      <c r="B51" s="164">
        <f>VLOOKUP(A51,'U.S. GDP'!A:B,2,)</f>
        <v/>
      </c>
      <c r="C51" s="164">
        <f>VLOOKUP(A51,PersonalConsumption!A:B,2,)</f>
        <v/>
      </c>
      <c r="D51" s="164">
        <f>VLOOKUP(A51,PrivateInvestment!A:B,2,)</f>
        <v/>
      </c>
      <c r="E51" s="164">
        <f>VLOOKUP(A51,Exports!A:B,2,)</f>
        <v/>
      </c>
      <c r="F51" s="164">
        <f>VLOOKUP(A51,Imports!A:B,2,)</f>
        <v/>
      </c>
      <c r="G51" s="164">
        <f>VLOOKUP(A51,Government!A:B,2,)</f>
        <v/>
      </c>
      <c r="H51" s="85">
        <f>Table58[[#This Row],[Personal Consumption]]/Table58[[#This Row],[GDP]]</f>
        <v/>
      </c>
      <c r="I51" s="85">
        <f>Table58[[#This Row],[Private Investment]]/Table58[[#This Row],[GDP]]</f>
        <v/>
      </c>
      <c r="J51" s="85">
        <f>Table58[[#This Row],[Exports]]/Table58[[#This Row],[GDP]]</f>
        <v/>
      </c>
      <c r="K51" s="85">
        <f>-Table58[[#This Row],[Imports]]/Table58[[#This Row],[GDP]]</f>
        <v/>
      </c>
      <c r="L51" s="85">
        <f>Table58[[#This Row],[Government]]/Table58[[#This Row],[GDP]]</f>
        <v/>
      </c>
      <c r="N51" s="52">
        <f>SUM(Table58[[#This Row],[PC%]:[G%]])</f>
        <v/>
      </c>
      <c r="O51" s="55">
        <f>Table58[[#This Row],[Personal Consumption]]+Table58[[#This Row],[Private Investment]]+Table58[[#This Row],[Exports]]+Table58[[#This Row],[Government]]-Table58[[#This Row],[Imports]]</f>
        <v/>
      </c>
    </row>
    <row r="52">
      <c r="A52" s="94" t="n">
        <v>21367</v>
      </c>
      <c r="B52" s="164">
        <f>VLOOKUP(A52,'U.S. GDP'!A:B,2,)</f>
        <v/>
      </c>
      <c r="C52" s="164">
        <f>VLOOKUP(A52,PersonalConsumption!A:B,2,)</f>
        <v/>
      </c>
      <c r="D52" s="164">
        <f>VLOOKUP(A52,PrivateInvestment!A:B,2,)</f>
        <v/>
      </c>
      <c r="E52" s="164">
        <f>VLOOKUP(A52,Exports!A:B,2,)</f>
        <v/>
      </c>
      <c r="F52" s="164">
        <f>VLOOKUP(A52,Imports!A:B,2,)</f>
        <v/>
      </c>
      <c r="G52" s="164">
        <f>VLOOKUP(A52,Government!A:B,2,)</f>
        <v/>
      </c>
      <c r="H52" s="85">
        <f>Table58[[#This Row],[Personal Consumption]]/Table58[[#This Row],[GDP]]</f>
        <v/>
      </c>
      <c r="I52" s="85">
        <f>Table58[[#This Row],[Private Investment]]/Table58[[#This Row],[GDP]]</f>
        <v/>
      </c>
      <c r="J52" s="85">
        <f>Table58[[#This Row],[Exports]]/Table58[[#This Row],[GDP]]</f>
        <v/>
      </c>
      <c r="K52" s="85">
        <f>-Table58[[#This Row],[Imports]]/Table58[[#This Row],[GDP]]</f>
        <v/>
      </c>
      <c r="L52" s="85">
        <f>Table58[[#This Row],[Government]]/Table58[[#This Row],[GDP]]</f>
        <v/>
      </c>
      <c r="N52" s="52">
        <f>SUM(Table58[[#This Row],[PC%]:[G%]])</f>
        <v/>
      </c>
      <c r="O52" s="55">
        <f>Table58[[#This Row],[Personal Consumption]]+Table58[[#This Row],[Private Investment]]+Table58[[#This Row],[Exports]]+Table58[[#This Row],[Government]]-Table58[[#This Row],[Imports]]</f>
        <v/>
      </c>
    </row>
    <row r="53">
      <c r="A53" s="94" t="n">
        <v>21459</v>
      </c>
      <c r="B53" s="164">
        <f>VLOOKUP(A53,'U.S. GDP'!A:B,2,)</f>
        <v/>
      </c>
      <c r="C53" s="164">
        <f>VLOOKUP(A53,PersonalConsumption!A:B,2,)</f>
        <v/>
      </c>
      <c r="D53" s="164">
        <f>VLOOKUP(A53,PrivateInvestment!A:B,2,)</f>
        <v/>
      </c>
      <c r="E53" s="164">
        <f>VLOOKUP(A53,Exports!A:B,2,)</f>
        <v/>
      </c>
      <c r="F53" s="164">
        <f>VLOOKUP(A53,Imports!A:B,2,)</f>
        <v/>
      </c>
      <c r="G53" s="164">
        <f>VLOOKUP(A53,Government!A:B,2,)</f>
        <v/>
      </c>
      <c r="H53" s="85">
        <f>Table58[[#This Row],[Personal Consumption]]/Table58[[#This Row],[GDP]]</f>
        <v/>
      </c>
      <c r="I53" s="85">
        <f>Table58[[#This Row],[Private Investment]]/Table58[[#This Row],[GDP]]</f>
        <v/>
      </c>
      <c r="J53" s="85">
        <f>Table58[[#This Row],[Exports]]/Table58[[#This Row],[GDP]]</f>
        <v/>
      </c>
      <c r="K53" s="85">
        <f>-Table58[[#This Row],[Imports]]/Table58[[#This Row],[GDP]]</f>
        <v/>
      </c>
      <c r="L53" s="85">
        <f>Table58[[#This Row],[Government]]/Table58[[#This Row],[GDP]]</f>
        <v/>
      </c>
      <c r="N53" s="52">
        <f>SUM(Table58[[#This Row],[PC%]:[G%]])</f>
        <v/>
      </c>
      <c r="O53" s="55">
        <f>Table58[[#This Row],[Personal Consumption]]+Table58[[#This Row],[Private Investment]]+Table58[[#This Row],[Exports]]+Table58[[#This Row],[Government]]-Table58[[#This Row],[Imports]]</f>
        <v/>
      </c>
    </row>
    <row r="54">
      <c r="A54" s="94" t="n">
        <v>21551</v>
      </c>
      <c r="B54" s="164">
        <f>VLOOKUP(A54,'U.S. GDP'!A:B,2,)</f>
        <v/>
      </c>
      <c r="C54" s="164">
        <f>VLOOKUP(A54,PersonalConsumption!A:B,2,)</f>
        <v/>
      </c>
      <c r="D54" s="164">
        <f>VLOOKUP(A54,PrivateInvestment!A:B,2,)</f>
        <v/>
      </c>
      <c r="E54" s="164">
        <f>VLOOKUP(A54,Exports!A:B,2,)</f>
        <v/>
      </c>
      <c r="F54" s="164">
        <f>VLOOKUP(A54,Imports!A:B,2,)</f>
        <v/>
      </c>
      <c r="G54" s="164">
        <f>VLOOKUP(A54,Government!A:B,2,)</f>
        <v/>
      </c>
      <c r="H54" s="85">
        <f>Table58[[#This Row],[Personal Consumption]]/Table58[[#This Row],[GDP]]</f>
        <v/>
      </c>
      <c r="I54" s="85">
        <f>Table58[[#This Row],[Private Investment]]/Table58[[#This Row],[GDP]]</f>
        <v/>
      </c>
      <c r="J54" s="85">
        <f>Table58[[#This Row],[Exports]]/Table58[[#This Row],[GDP]]</f>
        <v/>
      </c>
      <c r="K54" s="85">
        <f>-Table58[[#This Row],[Imports]]/Table58[[#This Row],[GDP]]</f>
        <v/>
      </c>
      <c r="L54" s="85">
        <f>Table58[[#This Row],[Government]]/Table58[[#This Row],[GDP]]</f>
        <v/>
      </c>
      <c r="N54" s="52">
        <f>SUM(Table58[[#This Row],[PC%]:[G%]])</f>
        <v/>
      </c>
      <c r="O54" s="55">
        <f>Table58[[#This Row],[Personal Consumption]]+Table58[[#This Row],[Private Investment]]+Table58[[#This Row],[Exports]]+Table58[[#This Row],[Government]]-Table58[[#This Row],[Imports]]</f>
        <v/>
      </c>
    </row>
    <row r="55">
      <c r="A55" s="94" t="n">
        <v>21641</v>
      </c>
      <c r="B55" s="164">
        <f>VLOOKUP(A55,'U.S. GDP'!A:B,2,)</f>
        <v/>
      </c>
      <c r="C55" s="164">
        <f>VLOOKUP(A55,PersonalConsumption!A:B,2,)</f>
        <v/>
      </c>
      <c r="D55" s="164">
        <f>VLOOKUP(A55,PrivateInvestment!A:B,2,)</f>
        <v/>
      </c>
      <c r="E55" s="164">
        <f>VLOOKUP(A55,Exports!A:B,2,)</f>
        <v/>
      </c>
      <c r="F55" s="164">
        <f>VLOOKUP(A55,Imports!A:B,2,)</f>
        <v/>
      </c>
      <c r="G55" s="164">
        <f>VLOOKUP(A55,Government!A:B,2,)</f>
        <v/>
      </c>
      <c r="H55" s="85">
        <f>Table58[[#This Row],[Personal Consumption]]/Table58[[#This Row],[GDP]]</f>
        <v/>
      </c>
      <c r="I55" s="85">
        <f>Table58[[#This Row],[Private Investment]]/Table58[[#This Row],[GDP]]</f>
        <v/>
      </c>
      <c r="J55" s="85">
        <f>Table58[[#This Row],[Exports]]/Table58[[#This Row],[GDP]]</f>
        <v/>
      </c>
      <c r="K55" s="85">
        <f>-Table58[[#This Row],[Imports]]/Table58[[#This Row],[GDP]]</f>
        <v/>
      </c>
      <c r="L55" s="85">
        <f>Table58[[#This Row],[Government]]/Table58[[#This Row],[GDP]]</f>
        <v/>
      </c>
      <c r="N55" s="52">
        <f>SUM(Table58[[#This Row],[PC%]:[G%]])</f>
        <v/>
      </c>
      <c r="O55" s="55">
        <f>Table58[[#This Row],[Personal Consumption]]+Table58[[#This Row],[Private Investment]]+Table58[[#This Row],[Exports]]+Table58[[#This Row],[Government]]-Table58[[#This Row],[Imports]]</f>
        <v/>
      </c>
    </row>
    <row r="56">
      <c r="A56" s="94" t="n">
        <v>21732</v>
      </c>
      <c r="B56" s="164">
        <f>VLOOKUP(A56,'U.S. GDP'!A:B,2,)</f>
        <v/>
      </c>
      <c r="C56" s="164">
        <f>VLOOKUP(A56,PersonalConsumption!A:B,2,)</f>
        <v/>
      </c>
      <c r="D56" s="164">
        <f>VLOOKUP(A56,PrivateInvestment!A:B,2,)</f>
        <v/>
      </c>
      <c r="E56" s="164">
        <f>VLOOKUP(A56,Exports!A:B,2,)</f>
        <v/>
      </c>
      <c r="F56" s="164">
        <f>VLOOKUP(A56,Imports!A:B,2,)</f>
        <v/>
      </c>
      <c r="G56" s="164">
        <f>VLOOKUP(A56,Government!A:B,2,)</f>
        <v/>
      </c>
      <c r="H56" s="85">
        <f>Table58[[#This Row],[Personal Consumption]]/Table58[[#This Row],[GDP]]</f>
        <v/>
      </c>
      <c r="I56" s="85">
        <f>Table58[[#This Row],[Private Investment]]/Table58[[#This Row],[GDP]]</f>
        <v/>
      </c>
      <c r="J56" s="85">
        <f>Table58[[#This Row],[Exports]]/Table58[[#This Row],[GDP]]</f>
        <v/>
      </c>
      <c r="K56" s="85">
        <f>-Table58[[#This Row],[Imports]]/Table58[[#This Row],[GDP]]</f>
        <v/>
      </c>
      <c r="L56" s="85">
        <f>Table58[[#This Row],[Government]]/Table58[[#This Row],[GDP]]</f>
        <v/>
      </c>
      <c r="N56" s="52">
        <f>SUM(Table58[[#This Row],[PC%]:[G%]])</f>
        <v/>
      </c>
      <c r="O56" s="55">
        <f>Table58[[#This Row],[Personal Consumption]]+Table58[[#This Row],[Private Investment]]+Table58[[#This Row],[Exports]]+Table58[[#This Row],[Government]]-Table58[[#This Row],[Imports]]</f>
        <v/>
      </c>
    </row>
    <row r="57">
      <c r="A57" s="94" t="n">
        <v>21824</v>
      </c>
      <c r="B57" s="164">
        <f>VLOOKUP(A57,'U.S. GDP'!A:B,2,)</f>
        <v/>
      </c>
      <c r="C57" s="164">
        <f>VLOOKUP(A57,PersonalConsumption!A:B,2,)</f>
        <v/>
      </c>
      <c r="D57" s="164">
        <f>VLOOKUP(A57,PrivateInvestment!A:B,2,)</f>
        <v/>
      </c>
      <c r="E57" s="164">
        <f>VLOOKUP(A57,Exports!A:B,2,)</f>
        <v/>
      </c>
      <c r="F57" s="164">
        <f>VLOOKUP(A57,Imports!A:B,2,)</f>
        <v/>
      </c>
      <c r="G57" s="164">
        <f>VLOOKUP(A57,Government!A:B,2,)</f>
        <v/>
      </c>
      <c r="H57" s="85">
        <f>Table58[[#This Row],[Personal Consumption]]/Table58[[#This Row],[GDP]]</f>
        <v/>
      </c>
      <c r="I57" s="85">
        <f>Table58[[#This Row],[Private Investment]]/Table58[[#This Row],[GDP]]</f>
        <v/>
      </c>
      <c r="J57" s="85">
        <f>Table58[[#This Row],[Exports]]/Table58[[#This Row],[GDP]]</f>
        <v/>
      </c>
      <c r="K57" s="85">
        <f>-Table58[[#This Row],[Imports]]/Table58[[#This Row],[GDP]]</f>
        <v/>
      </c>
      <c r="L57" s="85">
        <f>Table58[[#This Row],[Government]]/Table58[[#This Row],[GDP]]</f>
        <v/>
      </c>
      <c r="N57" s="52">
        <f>SUM(Table58[[#This Row],[PC%]:[G%]])</f>
        <v/>
      </c>
      <c r="O57" s="55">
        <f>Table58[[#This Row],[Personal Consumption]]+Table58[[#This Row],[Private Investment]]+Table58[[#This Row],[Exports]]+Table58[[#This Row],[Government]]-Table58[[#This Row],[Imports]]</f>
        <v/>
      </c>
    </row>
    <row r="58">
      <c r="A58" s="94" t="n">
        <v>21916</v>
      </c>
      <c r="B58" s="164">
        <f>VLOOKUP(A58,'U.S. GDP'!A:B,2,)</f>
        <v/>
      </c>
      <c r="C58" s="164">
        <f>VLOOKUP(A58,PersonalConsumption!A:B,2,)</f>
        <v/>
      </c>
      <c r="D58" s="164">
        <f>VLOOKUP(A58,PrivateInvestment!A:B,2,)</f>
        <v/>
      </c>
      <c r="E58" s="164">
        <f>VLOOKUP(A58,Exports!A:B,2,)</f>
        <v/>
      </c>
      <c r="F58" s="164">
        <f>VLOOKUP(A58,Imports!A:B,2,)</f>
        <v/>
      </c>
      <c r="G58" s="164">
        <f>VLOOKUP(A58,Government!A:B,2,)</f>
        <v/>
      </c>
      <c r="H58" s="85">
        <f>Table58[[#This Row],[Personal Consumption]]/Table58[[#This Row],[GDP]]</f>
        <v/>
      </c>
      <c r="I58" s="85">
        <f>Table58[[#This Row],[Private Investment]]/Table58[[#This Row],[GDP]]</f>
        <v/>
      </c>
      <c r="J58" s="85">
        <f>Table58[[#This Row],[Exports]]/Table58[[#This Row],[GDP]]</f>
        <v/>
      </c>
      <c r="K58" s="85">
        <f>-Table58[[#This Row],[Imports]]/Table58[[#This Row],[GDP]]</f>
        <v/>
      </c>
      <c r="L58" s="85">
        <f>Table58[[#This Row],[Government]]/Table58[[#This Row],[GDP]]</f>
        <v/>
      </c>
      <c r="N58" s="52">
        <f>SUM(Table58[[#This Row],[PC%]:[G%]])</f>
        <v/>
      </c>
      <c r="O58" s="55">
        <f>Table58[[#This Row],[Personal Consumption]]+Table58[[#This Row],[Private Investment]]+Table58[[#This Row],[Exports]]+Table58[[#This Row],[Government]]-Table58[[#This Row],[Imports]]</f>
        <v/>
      </c>
    </row>
    <row r="59">
      <c r="A59" s="94" t="n">
        <v>22007</v>
      </c>
      <c r="B59" s="164">
        <f>VLOOKUP(A59,'U.S. GDP'!A:B,2,)</f>
        <v/>
      </c>
      <c r="C59" s="164">
        <f>VLOOKUP(A59,PersonalConsumption!A:B,2,)</f>
        <v/>
      </c>
      <c r="D59" s="164">
        <f>VLOOKUP(A59,PrivateInvestment!A:B,2,)</f>
        <v/>
      </c>
      <c r="E59" s="164">
        <f>VLOOKUP(A59,Exports!A:B,2,)</f>
        <v/>
      </c>
      <c r="F59" s="164">
        <f>VLOOKUP(A59,Imports!A:B,2,)</f>
        <v/>
      </c>
      <c r="G59" s="164">
        <f>VLOOKUP(A59,Government!A:B,2,)</f>
        <v/>
      </c>
      <c r="H59" s="85">
        <f>Table58[[#This Row],[Personal Consumption]]/Table58[[#This Row],[GDP]]</f>
        <v/>
      </c>
      <c r="I59" s="85">
        <f>Table58[[#This Row],[Private Investment]]/Table58[[#This Row],[GDP]]</f>
        <v/>
      </c>
      <c r="J59" s="85">
        <f>Table58[[#This Row],[Exports]]/Table58[[#This Row],[GDP]]</f>
        <v/>
      </c>
      <c r="K59" s="85">
        <f>-Table58[[#This Row],[Imports]]/Table58[[#This Row],[GDP]]</f>
        <v/>
      </c>
      <c r="L59" s="85">
        <f>Table58[[#This Row],[Government]]/Table58[[#This Row],[GDP]]</f>
        <v/>
      </c>
      <c r="N59" s="52">
        <f>SUM(Table58[[#This Row],[PC%]:[G%]])</f>
        <v/>
      </c>
      <c r="O59" s="55">
        <f>Table58[[#This Row],[Personal Consumption]]+Table58[[#This Row],[Private Investment]]+Table58[[#This Row],[Exports]]+Table58[[#This Row],[Government]]-Table58[[#This Row],[Imports]]</f>
        <v/>
      </c>
    </row>
    <row r="60">
      <c r="A60" s="94" t="n">
        <v>22098</v>
      </c>
      <c r="B60" s="164">
        <f>VLOOKUP(A60,'U.S. GDP'!A:B,2,)</f>
        <v/>
      </c>
      <c r="C60" s="164">
        <f>VLOOKUP(A60,PersonalConsumption!A:B,2,)</f>
        <v/>
      </c>
      <c r="D60" s="164">
        <f>VLOOKUP(A60,PrivateInvestment!A:B,2,)</f>
        <v/>
      </c>
      <c r="E60" s="164">
        <f>VLOOKUP(A60,Exports!A:B,2,)</f>
        <v/>
      </c>
      <c r="F60" s="164">
        <f>VLOOKUP(A60,Imports!A:B,2,)</f>
        <v/>
      </c>
      <c r="G60" s="164">
        <f>VLOOKUP(A60,Government!A:B,2,)</f>
        <v/>
      </c>
      <c r="H60" s="85">
        <f>Table58[[#This Row],[Personal Consumption]]/Table58[[#This Row],[GDP]]</f>
        <v/>
      </c>
      <c r="I60" s="85">
        <f>Table58[[#This Row],[Private Investment]]/Table58[[#This Row],[GDP]]</f>
        <v/>
      </c>
      <c r="J60" s="85">
        <f>Table58[[#This Row],[Exports]]/Table58[[#This Row],[GDP]]</f>
        <v/>
      </c>
      <c r="K60" s="85">
        <f>-Table58[[#This Row],[Imports]]/Table58[[#This Row],[GDP]]</f>
        <v/>
      </c>
      <c r="L60" s="85">
        <f>Table58[[#This Row],[Government]]/Table58[[#This Row],[GDP]]</f>
        <v/>
      </c>
      <c r="N60" s="52">
        <f>SUM(Table58[[#This Row],[PC%]:[G%]])</f>
        <v/>
      </c>
      <c r="O60" s="55">
        <f>Table58[[#This Row],[Personal Consumption]]+Table58[[#This Row],[Private Investment]]+Table58[[#This Row],[Exports]]+Table58[[#This Row],[Government]]-Table58[[#This Row],[Imports]]</f>
        <v/>
      </c>
    </row>
    <row r="61">
      <c r="A61" s="94" t="n">
        <v>22190</v>
      </c>
      <c r="B61" s="164">
        <f>VLOOKUP(A61,'U.S. GDP'!A:B,2,)</f>
        <v/>
      </c>
      <c r="C61" s="164">
        <f>VLOOKUP(A61,PersonalConsumption!A:B,2,)</f>
        <v/>
      </c>
      <c r="D61" s="164">
        <f>VLOOKUP(A61,PrivateInvestment!A:B,2,)</f>
        <v/>
      </c>
      <c r="E61" s="164">
        <f>VLOOKUP(A61,Exports!A:B,2,)</f>
        <v/>
      </c>
      <c r="F61" s="164">
        <f>VLOOKUP(A61,Imports!A:B,2,)</f>
        <v/>
      </c>
      <c r="G61" s="164">
        <f>VLOOKUP(A61,Government!A:B,2,)</f>
        <v/>
      </c>
      <c r="H61" s="85">
        <f>Table58[[#This Row],[Personal Consumption]]/Table58[[#This Row],[GDP]]</f>
        <v/>
      </c>
      <c r="I61" s="85">
        <f>Table58[[#This Row],[Private Investment]]/Table58[[#This Row],[GDP]]</f>
        <v/>
      </c>
      <c r="J61" s="85">
        <f>Table58[[#This Row],[Exports]]/Table58[[#This Row],[GDP]]</f>
        <v/>
      </c>
      <c r="K61" s="85">
        <f>-Table58[[#This Row],[Imports]]/Table58[[#This Row],[GDP]]</f>
        <v/>
      </c>
      <c r="L61" s="85">
        <f>Table58[[#This Row],[Government]]/Table58[[#This Row],[GDP]]</f>
        <v/>
      </c>
      <c r="N61" s="52">
        <f>SUM(Table58[[#This Row],[PC%]:[G%]])</f>
        <v/>
      </c>
      <c r="O61" s="55">
        <f>Table58[[#This Row],[Personal Consumption]]+Table58[[#This Row],[Private Investment]]+Table58[[#This Row],[Exports]]+Table58[[#This Row],[Government]]-Table58[[#This Row],[Imports]]</f>
        <v/>
      </c>
    </row>
    <row r="62">
      <c r="A62" s="94" t="n">
        <v>22282</v>
      </c>
      <c r="B62" s="164">
        <f>VLOOKUP(A62,'U.S. GDP'!A:B,2,)</f>
        <v/>
      </c>
      <c r="C62" s="164">
        <f>VLOOKUP(A62,PersonalConsumption!A:B,2,)</f>
        <v/>
      </c>
      <c r="D62" s="164">
        <f>VLOOKUP(A62,PrivateInvestment!A:B,2,)</f>
        <v/>
      </c>
      <c r="E62" s="164">
        <f>VLOOKUP(A62,Exports!A:B,2,)</f>
        <v/>
      </c>
      <c r="F62" s="164">
        <f>VLOOKUP(A62,Imports!A:B,2,)</f>
        <v/>
      </c>
      <c r="G62" s="164">
        <f>VLOOKUP(A62,Government!A:B,2,)</f>
        <v/>
      </c>
      <c r="H62" s="85">
        <f>Table58[[#This Row],[Personal Consumption]]/Table58[[#This Row],[GDP]]</f>
        <v/>
      </c>
      <c r="I62" s="85">
        <f>Table58[[#This Row],[Private Investment]]/Table58[[#This Row],[GDP]]</f>
        <v/>
      </c>
      <c r="J62" s="85">
        <f>Table58[[#This Row],[Exports]]/Table58[[#This Row],[GDP]]</f>
        <v/>
      </c>
      <c r="K62" s="85">
        <f>-Table58[[#This Row],[Imports]]/Table58[[#This Row],[GDP]]</f>
        <v/>
      </c>
      <c r="L62" s="85">
        <f>Table58[[#This Row],[Government]]/Table58[[#This Row],[GDP]]</f>
        <v/>
      </c>
      <c r="N62" s="52">
        <f>SUM(Table58[[#This Row],[PC%]:[G%]])</f>
        <v/>
      </c>
      <c r="O62" s="55">
        <f>Table58[[#This Row],[Personal Consumption]]+Table58[[#This Row],[Private Investment]]+Table58[[#This Row],[Exports]]+Table58[[#This Row],[Government]]-Table58[[#This Row],[Imports]]</f>
        <v/>
      </c>
    </row>
    <row r="63">
      <c r="A63" s="94" t="n">
        <v>22372</v>
      </c>
      <c r="B63" s="164">
        <f>VLOOKUP(A63,'U.S. GDP'!A:B,2,)</f>
        <v/>
      </c>
      <c r="C63" s="164">
        <f>VLOOKUP(A63,PersonalConsumption!A:B,2,)</f>
        <v/>
      </c>
      <c r="D63" s="164">
        <f>VLOOKUP(A63,PrivateInvestment!A:B,2,)</f>
        <v/>
      </c>
      <c r="E63" s="164">
        <f>VLOOKUP(A63,Exports!A:B,2,)</f>
        <v/>
      </c>
      <c r="F63" s="164">
        <f>VLOOKUP(A63,Imports!A:B,2,)</f>
        <v/>
      </c>
      <c r="G63" s="164">
        <f>VLOOKUP(A63,Government!A:B,2,)</f>
        <v/>
      </c>
      <c r="H63" s="85">
        <f>Table58[[#This Row],[Personal Consumption]]/Table58[[#This Row],[GDP]]</f>
        <v/>
      </c>
      <c r="I63" s="85">
        <f>Table58[[#This Row],[Private Investment]]/Table58[[#This Row],[GDP]]</f>
        <v/>
      </c>
      <c r="J63" s="85">
        <f>Table58[[#This Row],[Exports]]/Table58[[#This Row],[GDP]]</f>
        <v/>
      </c>
      <c r="K63" s="85">
        <f>-Table58[[#This Row],[Imports]]/Table58[[#This Row],[GDP]]</f>
        <v/>
      </c>
      <c r="L63" s="85">
        <f>Table58[[#This Row],[Government]]/Table58[[#This Row],[GDP]]</f>
        <v/>
      </c>
      <c r="N63" s="52">
        <f>SUM(Table58[[#This Row],[PC%]:[G%]])</f>
        <v/>
      </c>
      <c r="O63" s="55">
        <f>Table58[[#This Row],[Personal Consumption]]+Table58[[#This Row],[Private Investment]]+Table58[[#This Row],[Exports]]+Table58[[#This Row],[Government]]-Table58[[#This Row],[Imports]]</f>
        <v/>
      </c>
    </row>
    <row r="64">
      <c r="A64" s="94" t="n">
        <v>22463</v>
      </c>
      <c r="B64" s="164">
        <f>VLOOKUP(A64,'U.S. GDP'!A:B,2,)</f>
        <v/>
      </c>
      <c r="C64" s="164">
        <f>VLOOKUP(A64,PersonalConsumption!A:B,2,)</f>
        <v/>
      </c>
      <c r="D64" s="164">
        <f>VLOOKUP(A64,PrivateInvestment!A:B,2,)</f>
        <v/>
      </c>
      <c r="E64" s="164">
        <f>VLOOKUP(A64,Exports!A:B,2,)</f>
        <v/>
      </c>
      <c r="F64" s="164">
        <f>VLOOKUP(A64,Imports!A:B,2,)</f>
        <v/>
      </c>
      <c r="G64" s="164">
        <f>VLOOKUP(A64,Government!A:B,2,)</f>
        <v/>
      </c>
      <c r="H64" s="85">
        <f>Table58[[#This Row],[Personal Consumption]]/Table58[[#This Row],[GDP]]</f>
        <v/>
      </c>
      <c r="I64" s="85">
        <f>Table58[[#This Row],[Private Investment]]/Table58[[#This Row],[GDP]]</f>
        <v/>
      </c>
      <c r="J64" s="85">
        <f>Table58[[#This Row],[Exports]]/Table58[[#This Row],[GDP]]</f>
        <v/>
      </c>
      <c r="K64" s="85">
        <f>-Table58[[#This Row],[Imports]]/Table58[[#This Row],[GDP]]</f>
        <v/>
      </c>
      <c r="L64" s="85">
        <f>Table58[[#This Row],[Government]]/Table58[[#This Row],[GDP]]</f>
        <v/>
      </c>
      <c r="N64" s="52">
        <f>SUM(Table58[[#This Row],[PC%]:[G%]])</f>
        <v/>
      </c>
      <c r="O64" s="55">
        <f>Table58[[#This Row],[Personal Consumption]]+Table58[[#This Row],[Private Investment]]+Table58[[#This Row],[Exports]]+Table58[[#This Row],[Government]]-Table58[[#This Row],[Imports]]</f>
        <v/>
      </c>
    </row>
    <row r="65">
      <c r="A65" s="94" t="n">
        <v>22555</v>
      </c>
      <c r="B65" s="164">
        <f>VLOOKUP(A65,'U.S. GDP'!A:B,2,)</f>
        <v/>
      </c>
      <c r="C65" s="164">
        <f>VLOOKUP(A65,PersonalConsumption!A:B,2,)</f>
        <v/>
      </c>
      <c r="D65" s="164">
        <f>VLOOKUP(A65,PrivateInvestment!A:B,2,)</f>
        <v/>
      </c>
      <c r="E65" s="164">
        <f>VLOOKUP(A65,Exports!A:B,2,)</f>
        <v/>
      </c>
      <c r="F65" s="164">
        <f>VLOOKUP(A65,Imports!A:B,2,)</f>
        <v/>
      </c>
      <c r="G65" s="164">
        <f>VLOOKUP(A65,Government!A:B,2,)</f>
        <v/>
      </c>
      <c r="H65" s="85">
        <f>Table58[[#This Row],[Personal Consumption]]/Table58[[#This Row],[GDP]]</f>
        <v/>
      </c>
      <c r="I65" s="85">
        <f>Table58[[#This Row],[Private Investment]]/Table58[[#This Row],[GDP]]</f>
        <v/>
      </c>
      <c r="J65" s="85">
        <f>Table58[[#This Row],[Exports]]/Table58[[#This Row],[GDP]]</f>
        <v/>
      </c>
      <c r="K65" s="85">
        <f>-Table58[[#This Row],[Imports]]/Table58[[#This Row],[GDP]]</f>
        <v/>
      </c>
      <c r="L65" s="85">
        <f>Table58[[#This Row],[Government]]/Table58[[#This Row],[GDP]]</f>
        <v/>
      </c>
      <c r="N65" s="52">
        <f>SUM(Table58[[#This Row],[PC%]:[G%]])</f>
        <v/>
      </c>
      <c r="O65" s="55">
        <f>Table58[[#This Row],[Personal Consumption]]+Table58[[#This Row],[Private Investment]]+Table58[[#This Row],[Exports]]+Table58[[#This Row],[Government]]-Table58[[#This Row],[Imports]]</f>
        <v/>
      </c>
    </row>
    <row r="66">
      <c r="A66" s="94" t="n">
        <v>22647</v>
      </c>
      <c r="B66" s="164">
        <f>VLOOKUP(A66,'U.S. GDP'!A:B,2,)</f>
        <v/>
      </c>
      <c r="C66" s="164">
        <f>VLOOKUP(A66,PersonalConsumption!A:B,2,)</f>
        <v/>
      </c>
      <c r="D66" s="164">
        <f>VLOOKUP(A66,PrivateInvestment!A:B,2,)</f>
        <v/>
      </c>
      <c r="E66" s="164">
        <f>VLOOKUP(A66,Exports!A:B,2,)</f>
        <v/>
      </c>
      <c r="F66" s="164">
        <f>VLOOKUP(A66,Imports!A:B,2,)</f>
        <v/>
      </c>
      <c r="G66" s="164">
        <f>VLOOKUP(A66,Government!A:B,2,)</f>
        <v/>
      </c>
      <c r="H66" s="85">
        <f>Table58[[#This Row],[Personal Consumption]]/Table58[[#This Row],[GDP]]</f>
        <v/>
      </c>
      <c r="I66" s="85">
        <f>Table58[[#This Row],[Private Investment]]/Table58[[#This Row],[GDP]]</f>
        <v/>
      </c>
      <c r="J66" s="85">
        <f>Table58[[#This Row],[Exports]]/Table58[[#This Row],[GDP]]</f>
        <v/>
      </c>
      <c r="K66" s="85">
        <f>-Table58[[#This Row],[Imports]]/Table58[[#This Row],[GDP]]</f>
        <v/>
      </c>
      <c r="L66" s="85">
        <f>Table58[[#This Row],[Government]]/Table58[[#This Row],[GDP]]</f>
        <v/>
      </c>
      <c r="N66" s="52">
        <f>SUM(Table58[[#This Row],[PC%]:[G%]])</f>
        <v/>
      </c>
      <c r="O66" s="55">
        <f>Table58[[#This Row],[Personal Consumption]]+Table58[[#This Row],[Private Investment]]+Table58[[#This Row],[Exports]]+Table58[[#This Row],[Government]]-Table58[[#This Row],[Imports]]</f>
        <v/>
      </c>
    </row>
    <row r="67">
      <c r="A67" s="94" t="n">
        <v>22737</v>
      </c>
      <c r="B67" s="164">
        <f>VLOOKUP(A67,'U.S. GDP'!A:B,2,)</f>
        <v/>
      </c>
      <c r="C67" s="164">
        <f>VLOOKUP(A67,PersonalConsumption!A:B,2,)</f>
        <v/>
      </c>
      <c r="D67" s="164">
        <f>VLOOKUP(A67,PrivateInvestment!A:B,2,)</f>
        <v/>
      </c>
      <c r="E67" s="164">
        <f>VLOOKUP(A67,Exports!A:B,2,)</f>
        <v/>
      </c>
      <c r="F67" s="164">
        <f>VLOOKUP(A67,Imports!A:B,2,)</f>
        <v/>
      </c>
      <c r="G67" s="164">
        <f>VLOOKUP(A67,Government!A:B,2,)</f>
        <v/>
      </c>
      <c r="H67" s="85">
        <f>Table58[[#This Row],[Personal Consumption]]/Table58[[#This Row],[GDP]]</f>
        <v/>
      </c>
      <c r="I67" s="85">
        <f>Table58[[#This Row],[Private Investment]]/Table58[[#This Row],[GDP]]</f>
        <v/>
      </c>
      <c r="J67" s="85">
        <f>Table58[[#This Row],[Exports]]/Table58[[#This Row],[GDP]]</f>
        <v/>
      </c>
      <c r="K67" s="85">
        <f>-Table58[[#This Row],[Imports]]/Table58[[#This Row],[GDP]]</f>
        <v/>
      </c>
      <c r="L67" s="85">
        <f>Table58[[#This Row],[Government]]/Table58[[#This Row],[GDP]]</f>
        <v/>
      </c>
      <c r="N67" s="52">
        <f>SUM(Table58[[#This Row],[PC%]:[G%]])</f>
        <v/>
      </c>
      <c r="O67" s="55">
        <f>Table58[[#This Row],[Personal Consumption]]+Table58[[#This Row],[Private Investment]]+Table58[[#This Row],[Exports]]+Table58[[#This Row],[Government]]-Table58[[#This Row],[Imports]]</f>
        <v/>
      </c>
    </row>
    <row r="68">
      <c r="A68" s="94" t="n">
        <v>22828</v>
      </c>
      <c r="B68" s="164">
        <f>VLOOKUP(A68,'U.S. GDP'!A:B,2,)</f>
        <v/>
      </c>
      <c r="C68" s="164">
        <f>VLOOKUP(A68,PersonalConsumption!A:B,2,)</f>
        <v/>
      </c>
      <c r="D68" s="164">
        <f>VLOOKUP(A68,PrivateInvestment!A:B,2,)</f>
        <v/>
      </c>
      <c r="E68" s="164">
        <f>VLOOKUP(A68,Exports!A:B,2,)</f>
        <v/>
      </c>
      <c r="F68" s="164">
        <f>VLOOKUP(A68,Imports!A:B,2,)</f>
        <v/>
      </c>
      <c r="G68" s="164">
        <f>VLOOKUP(A68,Government!A:B,2,)</f>
        <v/>
      </c>
      <c r="H68" s="85">
        <f>Table58[[#This Row],[Personal Consumption]]/Table58[[#This Row],[GDP]]</f>
        <v/>
      </c>
      <c r="I68" s="85">
        <f>Table58[[#This Row],[Private Investment]]/Table58[[#This Row],[GDP]]</f>
        <v/>
      </c>
      <c r="J68" s="85">
        <f>Table58[[#This Row],[Exports]]/Table58[[#This Row],[GDP]]</f>
        <v/>
      </c>
      <c r="K68" s="85">
        <f>-Table58[[#This Row],[Imports]]/Table58[[#This Row],[GDP]]</f>
        <v/>
      </c>
      <c r="L68" s="85">
        <f>Table58[[#This Row],[Government]]/Table58[[#This Row],[GDP]]</f>
        <v/>
      </c>
      <c r="N68" s="52">
        <f>SUM(Table58[[#This Row],[PC%]:[G%]])</f>
        <v/>
      </c>
      <c r="O68" s="55">
        <f>Table58[[#This Row],[Personal Consumption]]+Table58[[#This Row],[Private Investment]]+Table58[[#This Row],[Exports]]+Table58[[#This Row],[Government]]-Table58[[#This Row],[Imports]]</f>
        <v/>
      </c>
    </row>
    <row r="69">
      <c r="A69" s="94" t="n">
        <v>22920</v>
      </c>
      <c r="B69" s="164">
        <f>VLOOKUP(A69,'U.S. GDP'!A:B,2,)</f>
        <v/>
      </c>
      <c r="C69" s="164">
        <f>VLOOKUP(A69,PersonalConsumption!A:B,2,)</f>
        <v/>
      </c>
      <c r="D69" s="164">
        <f>VLOOKUP(A69,PrivateInvestment!A:B,2,)</f>
        <v/>
      </c>
      <c r="E69" s="164">
        <f>VLOOKUP(A69,Exports!A:B,2,)</f>
        <v/>
      </c>
      <c r="F69" s="164">
        <f>VLOOKUP(A69,Imports!A:B,2,)</f>
        <v/>
      </c>
      <c r="G69" s="164">
        <f>VLOOKUP(A69,Government!A:B,2,)</f>
        <v/>
      </c>
      <c r="H69" s="85">
        <f>Table58[[#This Row],[Personal Consumption]]/Table58[[#This Row],[GDP]]</f>
        <v/>
      </c>
      <c r="I69" s="85">
        <f>Table58[[#This Row],[Private Investment]]/Table58[[#This Row],[GDP]]</f>
        <v/>
      </c>
      <c r="J69" s="85">
        <f>Table58[[#This Row],[Exports]]/Table58[[#This Row],[GDP]]</f>
        <v/>
      </c>
      <c r="K69" s="85">
        <f>-Table58[[#This Row],[Imports]]/Table58[[#This Row],[GDP]]</f>
        <v/>
      </c>
      <c r="L69" s="85">
        <f>Table58[[#This Row],[Government]]/Table58[[#This Row],[GDP]]</f>
        <v/>
      </c>
      <c r="N69" s="52">
        <f>SUM(Table58[[#This Row],[PC%]:[G%]])</f>
        <v/>
      </c>
      <c r="O69" s="55">
        <f>Table58[[#This Row],[Personal Consumption]]+Table58[[#This Row],[Private Investment]]+Table58[[#This Row],[Exports]]+Table58[[#This Row],[Government]]-Table58[[#This Row],[Imports]]</f>
        <v/>
      </c>
    </row>
    <row r="70">
      <c r="A70" s="94" t="n">
        <v>23012</v>
      </c>
      <c r="B70" s="164">
        <f>VLOOKUP(A70,'U.S. GDP'!A:B,2,)</f>
        <v/>
      </c>
      <c r="C70" s="164">
        <f>VLOOKUP(A70,PersonalConsumption!A:B,2,)</f>
        <v/>
      </c>
      <c r="D70" s="164">
        <f>VLOOKUP(A70,PrivateInvestment!A:B,2,)</f>
        <v/>
      </c>
      <c r="E70" s="164">
        <f>VLOOKUP(A70,Exports!A:B,2,)</f>
        <v/>
      </c>
      <c r="F70" s="164">
        <f>VLOOKUP(A70,Imports!A:B,2,)</f>
        <v/>
      </c>
      <c r="G70" s="164">
        <f>VLOOKUP(A70,Government!A:B,2,)</f>
        <v/>
      </c>
      <c r="H70" s="85">
        <f>Table58[[#This Row],[Personal Consumption]]/Table58[[#This Row],[GDP]]</f>
        <v/>
      </c>
      <c r="I70" s="85">
        <f>Table58[[#This Row],[Private Investment]]/Table58[[#This Row],[GDP]]</f>
        <v/>
      </c>
      <c r="J70" s="85">
        <f>Table58[[#This Row],[Exports]]/Table58[[#This Row],[GDP]]</f>
        <v/>
      </c>
      <c r="K70" s="85">
        <f>-Table58[[#This Row],[Imports]]/Table58[[#This Row],[GDP]]</f>
        <v/>
      </c>
      <c r="L70" s="85">
        <f>Table58[[#This Row],[Government]]/Table58[[#This Row],[GDP]]</f>
        <v/>
      </c>
      <c r="N70" s="52">
        <f>SUM(Table58[[#This Row],[PC%]:[G%]])</f>
        <v/>
      </c>
      <c r="O70" s="55">
        <f>Table58[[#This Row],[Personal Consumption]]+Table58[[#This Row],[Private Investment]]+Table58[[#This Row],[Exports]]+Table58[[#This Row],[Government]]-Table58[[#This Row],[Imports]]</f>
        <v/>
      </c>
    </row>
    <row r="71">
      <c r="A71" s="94" t="n">
        <v>23102</v>
      </c>
      <c r="B71" s="164">
        <f>VLOOKUP(A71,'U.S. GDP'!A:B,2,)</f>
        <v/>
      </c>
      <c r="C71" s="164">
        <f>VLOOKUP(A71,PersonalConsumption!A:B,2,)</f>
        <v/>
      </c>
      <c r="D71" s="164">
        <f>VLOOKUP(A71,PrivateInvestment!A:B,2,)</f>
        <v/>
      </c>
      <c r="E71" s="164">
        <f>VLOOKUP(A71,Exports!A:B,2,)</f>
        <v/>
      </c>
      <c r="F71" s="164">
        <f>VLOOKUP(A71,Imports!A:B,2,)</f>
        <v/>
      </c>
      <c r="G71" s="164">
        <f>VLOOKUP(A71,Government!A:B,2,)</f>
        <v/>
      </c>
      <c r="H71" s="85">
        <f>Table58[[#This Row],[Personal Consumption]]/Table58[[#This Row],[GDP]]</f>
        <v/>
      </c>
      <c r="I71" s="85">
        <f>Table58[[#This Row],[Private Investment]]/Table58[[#This Row],[GDP]]</f>
        <v/>
      </c>
      <c r="J71" s="85">
        <f>Table58[[#This Row],[Exports]]/Table58[[#This Row],[GDP]]</f>
        <v/>
      </c>
      <c r="K71" s="85">
        <f>-Table58[[#This Row],[Imports]]/Table58[[#This Row],[GDP]]</f>
        <v/>
      </c>
      <c r="L71" s="85">
        <f>Table58[[#This Row],[Government]]/Table58[[#This Row],[GDP]]</f>
        <v/>
      </c>
      <c r="N71" s="52">
        <f>SUM(Table58[[#This Row],[PC%]:[G%]])</f>
        <v/>
      </c>
      <c r="O71" s="55">
        <f>Table58[[#This Row],[Personal Consumption]]+Table58[[#This Row],[Private Investment]]+Table58[[#This Row],[Exports]]+Table58[[#This Row],[Government]]-Table58[[#This Row],[Imports]]</f>
        <v/>
      </c>
    </row>
    <row r="72">
      <c r="A72" s="94" t="n">
        <v>23193</v>
      </c>
      <c r="B72" s="164">
        <f>VLOOKUP(A72,'U.S. GDP'!A:B,2,)</f>
        <v/>
      </c>
      <c r="C72" s="164">
        <f>VLOOKUP(A72,PersonalConsumption!A:B,2,)</f>
        <v/>
      </c>
      <c r="D72" s="164">
        <f>VLOOKUP(A72,PrivateInvestment!A:B,2,)</f>
        <v/>
      </c>
      <c r="E72" s="164">
        <f>VLOOKUP(A72,Exports!A:B,2,)</f>
        <v/>
      </c>
      <c r="F72" s="164">
        <f>VLOOKUP(A72,Imports!A:B,2,)</f>
        <v/>
      </c>
      <c r="G72" s="164">
        <f>VLOOKUP(A72,Government!A:B,2,)</f>
        <v/>
      </c>
      <c r="H72" s="85">
        <f>Table58[[#This Row],[Personal Consumption]]/Table58[[#This Row],[GDP]]</f>
        <v/>
      </c>
      <c r="I72" s="85">
        <f>Table58[[#This Row],[Private Investment]]/Table58[[#This Row],[GDP]]</f>
        <v/>
      </c>
      <c r="J72" s="85">
        <f>Table58[[#This Row],[Exports]]/Table58[[#This Row],[GDP]]</f>
        <v/>
      </c>
      <c r="K72" s="85">
        <f>-Table58[[#This Row],[Imports]]/Table58[[#This Row],[GDP]]</f>
        <v/>
      </c>
      <c r="L72" s="85">
        <f>Table58[[#This Row],[Government]]/Table58[[#This Row],[GDP]]</f>
        <v/>
      </c>
      <c r="N72" s="52">
        <f>SUM(Table58[[#This Row],[PC%]:[G%]])</f>
        <v/>
      </c>
      <c r="O72" s="55">
        <f>Table58[[#This Row],[Personal Consumption]]+Table58[[#This Row],[Private Investment]]+Table58[[#This Row],[Exports]]+Table58[[#This Row],[Government]]-Table58[[#This Row],[Imports]]</f>
        <v/>
      </c>
    </row>
    <row r="73">
      <c r="A73" s="94" t="n">
        <v>23285</v>
      </c>
      <c r="B73" s="164">
        <f>VLOOKUP(A73,'U.S. GDP'!A:B,2,)</f>
        <v/>
      </c>
      <c r="C73" s="164">
        <f>VLOOKUP(A73,PersonalConsumption!A:B,2,)</f>
        <v/>
      </c>
      <c r="D73" s="164">
        <f>VLOOKUP(A73,PrivateInvestment!A:B,2,)</f>
        <v/>
      </c>
      <c r="E73" s="164">
        <f>VLOOKUP(A73,Exports!A:B,2,)</f>
        <v/>
      </c>
      <c r="F73" s="164">
        <f>VLOOKUP(A73,Imports!A:B,2,)</f>
        <v/>
      </c>
      <c r="G73" s="164">
        <f>VLOOKUP(A73,Government!A:B,2,)</f>
        <v/>
      </c>
      <c r="H73" s="85">
        <f>Table58[[#This Row],[Personal Consumption]]/Table58[[#This Row],[GDP]]</f>
        <v/>
      </c>
      <c r="I73" s="85">
        <f>Table58[[#This Row],[Private Investment]]/Table58[[#This Row],[GDP]]</f>
        <v/>
      </c>
      <c r="J73" s="85">
        <f>Table58[[#This Row],[Exports]]/Table58[[#This Row],[GDP]]</f>
        <v/>
      </c>
      <c r="K73" s="85">
        <f>-Table58[[#This Row],[Imports]]/Table58[[#This Row],[GDP]]</f>
        <v/>
      </c>
      <c r="L73" s="85">
        <f>Table58[[#This Row],[Government]]/Table58[[#This Row],[GDP]]</f>
        <v/>
      </c>
      <c r="N73" s="52">
        <f>SUM(Table58[[#This Row],[PC%]:[G%]])</f>
        <v/>
      </c>
      <c r="O73" s="55">
        <f>Table58[[#This Row],[Personal Consumption]]+Table58[[#This Row],[Private Investment]]+Table58[[#This Row],[Exports]]+Table58[[#This Row],[Government]]-Table58[[#This Row],[Imports]]</f>
        <v/>
      </c>
    </row>
    <row r="74">
      <c r="A74" s="94" t="n">
        <v>23377</v>
      </c>
      <c r="B74" s="164">
        <f>VLOOKUP(A74,'U.S. GDP'!A:B,2,)</f>
        <v/>
      </c>
      <c r="C74" s="164">
        <f>VLOOKUP(A74,PersonalConsumption!A:B,2,)</f>
        <v/>
      </c>
      <c r="D74" s="164">
        <f>VLOOKUP(A74,PrivateInvestment!A:B,2,)</f>
        <v/>
      </c>
      <c r="E74" s="164">
        <f>VLOOKUP(A74,Exports!A:B,2,)</f>
        <v/>
      </c>
      <c r="F74" s="164">
        <f>VLOOKUP(A74,Imports!A:B,2,)</f>
        <v/>
      </c>
      <c r="G74" s="164">
        <f>VLOOKUP(A74,Government!A:B,2,)</f>
        <v/>
      </c>
      <c r="H74" s="85">
        <f>Table58[[#This Row],[Personal Consumption]]/Table58[[#This Row],[GDP]]</f>
        <v/>
      </c>
      <c r="I74" s="85">
        <f>Table58[[#This Row],[Private Investment]]/Table58[[#This Row],[GDP]]</f>
        <v/>
      </c>
      <c r="J74" s="85">
        <f>Table58[[#This Row],[Exports]]/Table58[[#This Row],[GDP]]</f>
        <v/>
      </c>
      <c r="K74" s="85">
        <f>-Table58[[#This Row],[Imports]]/Table58[[#This Row],[GDP]]</f>
        <v/>
      </c>
      <c r="L74" s="85">
        <f>Table58[[#This Row],[Government]]/Table58[[#This Row],[GDP]]</f>
        <v/>
      </c>
      <c r="N74" s="52">
        <f>SUM(Table58[[#This Row],[PC%]:[G%]])</f>
        <v/>
      </c>
      <c r="O74" s="55">
        <f>Table58[[#This Row],[Personal Consumption]]+Table58[[#This Row],[Private Investment]]+Table58[[#This Row],[Exports]]+Table58[[#This Row],[Government]]-Table58[[#This Row],[Imports]]</f>
        <v/>
      </c>
    </row>
    <row r="75">
      <c r="A75" s="94" t="n">
        <v>23468</v>
      </c>
      <c r="B75" s="164">
        <f>VLOOKUP(A75,'U.S. GDP'!A:B,2,)</f>
        <v/>
      </c>
      <c r="C75" s="164">
        <f>VLOOKUP(A75,PersonalConsumption!A:B,2,)</f>
        <v/>
      </c>
      <c r="D75" s="164">
        <f>VLOOKUP(A75,PrivateInvestment!A:B,2,)</f>
        <v/>
      </c>
      <c r="E75" s="164">
        <f>VLOOKUP(A75,Exports!A:B,2,)</f>
        <v/>
      </c>
      <c r="F75" s="164">
        <f>VLOOKUP(A75,Imports!A:B,2,)</f>
        <v/>
      </c>
      <c r="G75" s="164">
        <f>VLOOKUP(A75,Government!A:B,2,)</f>
        <v/>
      </c>
      <c r="H75" s="85">
        <f>Table58[[#This Row],[Personal Consumption]]/Table58[[#This Row],[GDP]]</f>
        <v/>
      </c>
      <c r="I75" s="85">
        <f>Table58[[#This Row],[Private Investment]]/Table58[[#This Row],[GDP]]</f>
        <v/>
      </c>
      <c r="J75" s="85">
        <f>Table58[[#This Row],[Exports]]/Table58[[#This Row],[GDP]]</f>
        <v/>
      </c>
      <c r="K75" s="85">
        <f>-Table58[[#This Row],[Imports]]/Table58[[#This Row],[GDP]]</f>
        <v/>
      </c>
      <c r="L75" s="85">
        <f>Table58[[#This Row],[Government]]/Table58[[#This Row],[GDP]]</f>
        <v/>
      </c>
      <c r="N75" s="52">
        <f>SUM(Table58[[#This Row],[PC%]:[G%]])</f>
        <v/>
      </c>
      <c r="O75" s="55">
        <f>Table58[[#This Row],[Personal Consumption]]+Table58[[#This Row],[Private Investment]]+Table58[[#This Row],[Exports]]+Table58[[#This Row],[Government]]-Table58[[#This Row],[Imports]]</f>
        <v/>
      </c>
    </row>
    <row r="76">
      <c r="A76" s="94" t="n">
        <v>23559</v>
      </c>
      <c r="B76" s="164">
        <f>VLOOKUP(A76,'U.S. GDP'!A:B,2,)</f>
        <v/>
      </c>
      <c r="C76" s="164">
        <f>VLOOKUP(A76,PersonalConsumption!A:B,2,)</f>
        <v/>
      </c>
      <c r="D76" s="164">
        <f>VLOOKUP(A76,PrivateInvestment!A:B,2,)</f>
        <v/>
      </c>
      <c r="E76" s="164">
        <f>VLOOKUP(A76,Exports!A:B,2,)</f>
        <v/>
      </c>
      <c r="F76" s="164">
        <f>VLOOKUP(A76,Imports!A:B,2,)</f>
        <v/>
      </c>
      <c r="G76" s="164">
        <f>VLOOKUP(A76,Government!A:B,2,)</f>
        <v/>
      </c>
      <c r="H76" s="85">
        <f>Table58[[#This Row],[Personal Consumption]]/Table58[[#This Row],[GDP]]</f>
        <v/>
      </c>
      <c r="I76" s="85">
        <f>Table58[[#This Row],[Private Investment]]/Table58[[#This Row],[GDP]]</f>
        <v/>
      </c>
      <c r="J76" s="85">
        <f>Table58[[#This Row],[Exports]]/Table58[[#This Row],[GDP]]</f>
        <v/>
      </c>
      <c r="K76" s="85">
        <f>-Table58[[#This Row],[Imports]]/Table58[[#This Row],[GDP]]</f>
        <v/>
      </c>
      <c r="L76" s="85">
        <f>Table58[[#This Row],[Government]]/Table58[[#This Row],[GDP]]</f>
        <v/>
      </c>
      <c r="N76" s="52">
        <f>SUM(Table58[[#This Row],[PC%]:[G%]])</f>
        <v/>
      </c>
      <c r="O76" s="55">
        <f>Table58[[#This Row],[Personal Consumption]]+Table58[[#This Row],[Private Investment]]+Table58[[#This Row],[Exports]]+Table58[[#This Row],[Government]]-Table58[[#This Row],[Imports]]</f>
        <v/>
      </c>
    </row>
    <row r="77">
      <c r="A77" s="94" t="n">
        <v>23651</v>
      </c>
      <c r="B77" s="164">
        <f>VLOOKUP(A77,'U.S. GDP'!A:B,2,)</f>
        <v/>
      </c>
      <c r="C77" s="164">
        <f>VLOOKUP(A77,PersonalConsumption!A:B,2,)</f>
        <v/>
      </c>
      <c r="D77" s="164">
        <f>VLOOKUP(A77,PrivateInvestment!A:B,2,)</f>
        <v/>
      </c>
      <c r="E77" s="164">
        <f>VLOOKUP(A77,Exports!A:B,2,)</f>
        <v/>
      </c>
      <c r="F77" s="164">
        <f>VLOOKUP(A77,Imports!A:B,2,)</f>
        <v/>
      </c>
      <c r="G77" s="164">
        <f>VLOOKUP(A77,Government!A:B,2,)</f>
        <v/>
      </c>
      <c r="H77" s="85">
        <f>Table58[[#This Row],[Personal Consumption]]/Table58[[#This Row],[GDP]]</f>
        <v/>
      </c>
      <c r="I77" s="85">
        <f>Table58[[#This Row],[Private Investment]]/Table58[[#This Row],[GDP]]</f>
        <v/>
      </c>
      <c r="J77" s="85">
        <f>Table58[[#This Row],[Exports]]/Table58[[#This Row],[GDP]]</f>
        <v/>
      </c>
      <c r="K77" s="85">
        <f>-Table58[[#This Row],[Imports]]/Table58[[#This Row],[GDP]]</f>
        <v/>
      </c>
      <c r="L77" s="85">
        <f>Table58[[#This Row],[Government]]/Table58[[#This Row],[GDP]]</f>
        <v/>
      </c>
      <c r="N77" s="52">
        <f>SUM(Table58[[#This Row],[PC%]:[G%]])</f>
        <v/>
      </c>
      <c r="O77" s="55">
        <f>Table58[[#This Row],[Personal Consumption]]+Table58[[#This Row],[Private Investment]]+Table58[[#This Row],[Exports]]+Table58[[#This Row],[Government]]-Table58[[#This Row],[Imports]]</f>
        <v/>
      </c>
    </row>
    <row r="78">
      <c r="A78" s="94" t="n">
        <v>23743</v>
      </c>
      <c r="B78" s="164">
        <f>VLOOKUP(A78,'U.S. GDP'!A:B,2,)</f>
        <v/>
      </c>
      <c r="C78" s="164">
        <f>VLOOKUP(A78,PersonalConsumption!A:B,2,)</f>
        <v/>
      </c>
      <c r="D78" s="164">
        <f>VLOOKUP(A78,PrivateInvestment!A:B,2,)</f>
        <v/>
      </c>
      <c r="E78" s="164">
        <f>VLOOKUP(A78,Exports!A:B,2,)</f>
        <v/>
      </c>
      <c r="F78" s="164">
        <f>VLOOKUP(A78,Imports!A:B,2,)</f>
        <v/>
      </c>
      <c r="G78" s="164">
        <f>VLOOKUP(A78,Government!A:B,2,)</f>
        <v/>
      </c>
      <c r="H78" s="85">
        <f>Table58[[#This Row],[Personal Consumption]]/Table58[[#This Row],[GDP]]</f>
        <v/>
      </c>
      <c r="I78" s="85">
        <f>Table58[[#This Row],[Private Investment]]/Table58[[#This Row],[GDP]]</f>
        <v/>
      </c>
      <c r="J78" s="85">
        <f>Table58[[#This Row],[Exports]]/Table58[[#This Row],[GDP]]</f>
        <v/>
      </c>
      <c r="K78" s="85">
        <f>-Table58[[#This Row],[Imports]]/Table58[[#This Row],[GDP]]</f>
        <v/>
      </c>
      <c r="L78" s="85">
        <f>Table58[[#This Row],[Government]]/Table58[[#This Row],[GDP]]</f>
        <v/>
      </c>
      <c r="N78" s="52">
        <f>SUM(Table58[[#This Row],[PC%]:[G%]])</f>
        <v/>
      </c>
      <c r="O78" s="55">
        <f>Table58[[#This Row],[Personal Consumption]]+Table58[[#This Row],[Private Investment]]+Table58[[#This Row],[Exports]]+Table58[[#This Row],[Government]]-Table58[[#This Row],[Imports]]</f>
        <v/>
      </c>
    </row>
    <row r="79">
      <c r="A79" s="94" t="n">
        <v>23833</v>
      </c>
      <c r="B79" s="164">
        <f>VLOOKUP(A79,'U.S. GDP'!A:B,2,)</f>
        <v/>
      </c>
      <c r="C79" s="164">
        <f>VLOOKUP(A79,PersonalConsumption!A:B,2,)</f>
        <v/>
      </c>
      <c r="D79" s="164">
        <f>VLOOKUP(A79,PrivateInvestment!A:B,2,)</f>
        <v/>
      </c>
      <c r="E79" s="164">
        <f>VLOOKUP(A79,Exports!A:B,2,)</f>
        <v/>
      </c>
      <c r="F79" s="164">
        <f>VLOOKUP(A79,Imports!A:B,2,)</f>
        <v/>
      </c>
      <c r="G79" s="164">
        <f>VLOOKUP(A79,Government!A:B,2,)</f>
        <v/>
      </c>
      <c r="H79" s="85">
        <f>Table58[[#This Row],[Personal Consumption]]/Table58[[#This Row],[GDP]]</f>
        <v/>
      </c>
      <c r="I79" s="85">
        <f>Table58[[#This Row],[Private Investment]]/Table58[[#This Row],[GDP]]</f>
        <v/>
      </c>
      <c r="J79" s="85">
        <f>Table58[[#This Row],[Exports]]/Table58[[#This Row],[GDP]]</f>
        <v/>
      </c>
      <c r="K79" s="85">
        <f>-Table58[[#This Row],[Imports]]/Table58[[#This Row],[GDP]]</f>
        <v/>
      </c>
      <c r="L79" s="85">
        <f>Table58[[#This Row],[Government]]/Table58[[#This Row],[GDP]]</f>
        <v/>
      </c>
      <c r="N79" s="52">
        <f>SUM(Table58[[#This Row],[PC%]:[G%]])</f>
        <v/>
      </c>
      <c r="O79" s="55">
        <f>Table58[[#This Row],[Personal Consumption]]+Table58[[#This Row],[Private Investment]]+Table58[[#This Row],[Exports]]+Table58[[#This Row],[Government]]-Table58[[#This Row],[Imports]]</f>
        <v/>
      </c>
    </row>
    <row r="80">
      <c r="A80" s="94" t="n">
        <v>23924</v>
      </c>
      <c r="B80" s="164">
        <f>VLOOKUP(A80,'U.S. GDP'!A:B,2,)</f>
        <v/>
      </c>
      <c r="C80" s="164">
        <f>VLOOKUP(A80,PersonalConsumption!A:B,2,)</f>
        <v/>
      </c>
      <c r="D80" s="164">
        <f>VLOOKUP(A80,PrivateInvestment!A:B,2,)</f>
        <v/>
      </c>
      <c r="E80" s="164">
        <f>VLOOKUP(A80,Exports!A:B,2,)</f>
        <v/>
      </c>
      <c r="F80" s="164">
        <f>VLOOKUP(A80,Imports!A:B,2,)</f>
        <v/>
      </c>
      <c r="G80" s="164">
        <f>VLOOKUP(A80,Government!A:B,2,)</f>
        <v/>
      </c>
      <c r="H80" s="85">
        <f>Table58[[#This Row],[Personal Consumption]]/Table58[[#This Row],[GDP]]</f>
        <v/>
      </c>
      <c r="I80" s="85">
        <f>Table58[[#This Row],[Private Investment]]/Table58[[#This Row],[GDP]]</f>
        <v/>
      </c>
      <c r="J80" s="85">
        <f>Table58[[#This Row],[Exports]]/Table58[[#This Row],[GDP]]</f>
        <v/>
      </c>
      <c r="K80" s="85">
        <f>-Table58[[#This Row],[Imports]]/Table58[[#This Row],[GDP]]</f>
        <v/>
      </c>
      <c r="L80" s="85">
        <f>Table58[[#This Row],[Government]]/Table58[[#This Row],[GDP]]</f>
        <v/>
      </c>
      <c r="N80" s="52">
        <f>SUM(Table58[[#This Row],[PC%]:[G%]])</f>
        <v/>
      </c>
      <c r="O80" s="55">
        <f>Table58[[#This Row],[Personal Consumption]]+Table58[[#This Row],[Private Investment]]+Table58[[#This Row],[Exports]]+Table58[[#This Row],[Government]]-Table58[[#This Row],[Imports]]</f>
        <v/>
      </c>
    </row>
    <row r="81">
      <c r="A81" s="94" t="n">
        <v>24016</v>
      </c>
      <c r="B81" s="164">
        <f>VLOOKUP(A81,'U.S. GDP'!A:B,2,)</f>
        <v/>
      </c>
      <c r="C81" s="164">
        <f>VLOOKUP(A81,PersonalConsumption!A:B,2,)</f>
        <v/>
      </c>
      <c r="D81" s="164">
        <f>VLOOKUP(A81,PrivateInvestment!A:B,2,)</f>
        <v/>
      </c>
      <c r="E81" s="164">
        <f>VLOOKUP(A81,Exports!A:B,2,)</f>
        <v/>
      </c>
      <c r="F81" s="164">
        <f>VLOOKUP(A81,Imports!A:B,2,)</f>
        <v/>
      </c>
      <c r="G81" s="164">
        <f>VLOOKUP(A81,Government!A:B,2,)</f>
        <v/>
      </c>
      <c r="H81" s="85">
        <f>Table58[[#This Row],[Personal Consumption]]/Table58[[#This Row],[GDP]]</f>
        <v/>
      </c>
      <c r="I81" s="85">
        <f>Table58[[#This Row],[Private Investment]]/Table58[[#This Row],[GDP]]</f>
        <v/>
      </c>
      <c r="J81" s="85">
        <f>Table58[[#This Row],[Exports]]/Table58[[#This Row],[GDP]]</f>
        <v/>
      </c>
      <c r="K81" s="85">
        <f>-Table58[[#This Row],[Imports]]/Table58[[#This Row],[GDP]]</f>
        <v/>
      </c>
      <c r="L81" s="85">
        <f>Table58[[#This Row],[Government]]/Table58[[#This Row],[GDP]]</f>
        <v/>
      </c>
      <c r="N81" s="52">
        <f>SUM(Table58[[#This Row],[PC%]:[G%]])</f>
        <v/>
      </c>
      <c r="O81" s="55">
        <f>Table58[[#This Row],[Personal Consumption]]+Table58[[#This Row],[Private Investment]]+Table58[[#This Row],[Exports]]+Table58[[#This Row],[Government]]-Table58[[#This Row],[Imports]]</f>
        <v/>
      </c>
    </row>
    <row r="82">
      <c r="A82" s="94" t="n">
        <v>24108</v>
      </c>
      <c r="B82" s="164">
        <f>VLOOKUP(A82,'U.S. GDP'!A:B,2,)</f>
        <v/>
      </c>
      <c r="C82" s="164">
        <f>VLOOKUP(A82,PersonalConsumption!A:B,2,)</f>
        <v/>
      </c>
      <c r="D82" s="164">
        <f>VLOOKUP(A82,PrivateInvestment!A:B,2,)</f>
        <v/>
      </c>
      <c r="E82" s="164">
        <f>VLOOKUP(A82,Exports!A:B,2,)</f>
        <v/>
      </c>
      <c r="F82" s="164">
        <f>VLOOKUP(A82,Imports!A:B,2,)</f>
        <v/>
      </c>
      <c r="G82" s="164">
        <f>VLOOKUP(A82,Government!A:B,2,)</f>
        <v/>
      </c>
      <c r="H82" s="85">
        <f>Table58[[#This Row],[Personal Consumption]]/Table58[[#This Row],[GDP]]</f>
        <v/>
      </c>
      <c r="I82" s="85">
        <f>Table58[[#This Row],[Private Investment]]/Table58[[#This Row],[GDP]]</f>
        <v/>
      </c>
      <c r="J82" s="85">
        <f>Table58[[#This Row],[Exports]]/Table58[[#This Row],[GDP]]</f>
        <v/>
      </c>
      <c r="K82" s="85">
        <f>-Table58[[#This Row],[Imports]]/Table58[[#This Row],[GDP]]</f>
        <v/>
      </c>
      <c r="L82" s="85">
        <f>Table58[[#This Row],[Government]]/Table58[[#This Row],[GDP]]</f>
        <v/>
      </c>
      <c r="N82" s="52">
        <f>SUM(Table58[[#This Row],[PC%]:[G%]])</f>
        <v/>
      </c>
      <c r="O82" s="55">
        <f>Table58[[#This Row],[Personal Consumption]]+Table58[[#This Row],[Private Investment]]+Table58[[#This Row],[Exports]]+Table58[[#This Row],[Government]]-Table58[[#This Row],[Imports]]</f>
        <v/>
      </c>
    </row>
    <row r="83">
      <c r="A83" s="94" t="n">
        <v>24198</v>
      </c>
      <c r="B83" s="164">
        <f>VLOOKUP(A83,'U.S. GDP'!A:B,2,)</f>
        <v/>
      </c>
      <c r="C83" s="164">
        <f>VLOOKUP(A83,PersonalConsumption!A:B,2,)</f>
        <v/>
      </c>
      <c r="D83" s="164">
        <f>VLOOKUP(A83,PrivateInvestment!A:B,2,)</f>
        <v/>
      </c>
      <c r="E83" s="164">
        <f>VLOOKUP(A83,Exports!A:B,2,)</f>
        <v/>
      </c>
      <c r="F83" s="164">
        <f>VLOOKUP(A83,Imports!A:B,2,)</f>
        <v/>
      </c>
      <c r="G83" s="164">
        <f>VLOOKUP(A83,Government!A:B,2,)</f>
        <v/>
      </c>
      <c r="H83" s="85">
        <f>Table58[[#This Row],[Personal Consumption]]/Table58[[#This Row],[GDP]]</f>
        <v/>
      </c>
      <c r="I83" s="85">
        <f>Table58[[#This Row],[Private Investment]]/Table58[[#This Row],[GDP]]</f>
        <v/>
      </c>
      <c r="J83" s="85">
        <f>Table58[[#This Row],[Exports]]/Table58[[#This Row],[GDP]]</f>
        <v/>
      </c>
      <c r="K83" s="85">
        <f>-Table58[[#This Row],[Imports]]/Table58[[#This Row],[GDP]]</f>
        <v/>
      </c>
      <c r="L83" s="85">
        <f>Table58[[#This Row],[Government]]/Table58[[#This Row],[GDP]]</f>
        <v/>
      </c>
      <c r="N83" s="52">
        <f>SUM(Table58[[#This Row],[PC%]:[G%]])</f>
        <v/>
      </c>
      <c r="O83" s="55">
        <f>Table58[[#This Row],[Personal Consumption]]+Table58[[#This Row],[Private Investment]]+Table58[[#This Row],[Exports]]+Table58[[#This Row],[Government]]-Table58[[#This Row],[Imports]]</f>
        <v/>
      </c>
    </row>
    <row r="84">
      <c r="A84" s="94" t="n">
        <v>24289</v>
      </c>
      <c r="B84" s="164">
        <f>VLOOKUP(A84,'U.S. GDP'!A:B,2,)</f>
        <v/>
      </c>
      <c r="C84" s="164">
        <f>VLOOKUP(A84,PersonalConsumption!A:B,2,)</f>
        <v/>
      </c>
      <c r="D84" s="164">
        <f>VLOOKUP(A84,PrivateInvestment!A:B,2,)</f>
        <v/>
      </c>
      <c r="E84" s="164">
        <f>VLOOKUP(A84,Exports!A:B,2,)</f>
        <v/>
      </c>
      <c r="F84" s="164">
        <f>VLOOKUP(A84,Imports!A:B,2,)</f>
        <v/>
      </c>
      <c r="G84" s="164">
        <f>VLOOKUP(A84,Government!A:B,2,)</f>
        <v/>
      </c>
      <c r="H84" s="85">
        <f>Table58[[#This Row],[Personal Consumption]]/Table58[[#This Row],[GDP]]</f>
        <v/>
      </c>
      <c r="I84" s="85">
        <f>Table58[[#This Row],[Private Investment]]/Table58[[#This Row],[GDP]]</f>
        <v/>
      </c>
      <c r="J84" s="85">
        <f>Table58[[#This Row],[Exports]]/Table58[[#This Row],[GDP]]</f>
        <v/>
      </c>
      <c r="K84" s="85">
        <f>-Table58[[#This Row],[Imports]]/Table58[[#This Row],[GDP]]</f>
        <v/>
      </c>
      <c r="L84" s="85">
        <f>Table58[[#This Row],[Government]]/Table58[[#This Row],[GDP]]</f>
        <v/>
      </c>
      <c r="N84" s="52">
        <f>SUM(Table58[[#This Row],[PC%]:[G%]])</f>
        <v/>
      </c>
      <c r="O84" s="55">
        <f>Table58[[#This Row],[Personal Consumption]]+Table58[[#This Row],[Private Investment]]+Table58[[#This Row],[Exports]]+Table58[[#This Row],[Government]]-Table58[[#This Row],[Imports]]</f>
        <v/>
      </c>
    </row>
    <row r="85">
      <c r="A85" s="94" t="n">
        <v>24381</v>
      </c>
      <c r="B85" s="164">
        <f>VLOOKUP(A85,'U.S. GDP'!A:B,2,)</f>
        <v/>
      </c>
      <c r="C85" s="164">
        <f>VLOOKUP(A85,PersonalConsumption!A:B,2,)</f>
        <v/>
      </c>
      <c r="D85" s="164">
        <f>VLOOKUP(A85,PrivateInvestment!A:B,2,)</f>
        <v/>
      </c>
      <c r="E85" s="164">
        <f>VLOOKUP(A85,Exports!A:B,2,)</f>
        <v/>
      </c>
      <c r="F85" s="164">
        <f>VLOOKUP(A85,Imports!A:B,2,)</f>
        <v/>
      </c>
      <c r="G85" s="164">
        <f>VLOOKUP(A85,Government!A:B,2,)</f>
        <v/>
      </c>
      <c r="H85" s="85">
        <f>Table58[[#This Row],[Personal Consumption]]/Table58[[#This Row],[GDP]]</f>
        <v/>
      </c>
      <c r="I85" s="85">
        <f>Table58[[#This Row],[Private Investment]]/Table58[[#This Row],[GDP]]</f>
        <v/>
      </c>
      <c r="J85" s="85">
        <f>Table58[[#This Row],[Exports]]/Table58[[#This Row],[GDP]]</f>
        <v/>
      </c>
      <c r="K85" s="85">
        <f>-Table58[[#This Row],[Imports]]/Table58[[#This Row],[GDP]]</f>
        <v/>
      </c>
      <c r="L85" s="85">
        <f>Table58[[#This Row],[Government]]/Table58[[#This Row],[GDP]]</f>
        <v/>
      </c>
      <c r="N85" s="52">
        <f>SUM(Table58[[#This Row],[PC%]:[G%]])</f>
        <v/>
      </c>
      <c r="O85" s="55">
        <f>Table58[[#This Row],[Personal Consumption]]+Table58[[#This Row],[Private Investment]]+Table58[[#This Row],[Exports]]+Table58[[#This Row],[Government]]-Table58[[#This Row],[Imports]]</f>
        <v/>
      </c>
    </row>
    <row r="86">
      <c r="A86" s="94" t="n">
        <v>24473</v>
      </c>
      <c r="B86" s="164">
        <f>VLOOKUP(A86,'U.S. GDP'!A:B,2,)</f>
        <v/>
      </c>
      <c r="C86" s="164">
        <f>VLOOKUP(A86,PersonalConsumption!A:B,2,)</f>
        <v/>
      </c>
      <c r="D86" s="164">
        <f>VLOOKUP(A86,PrivateInvestment!A:B,2,)</f>
        <v/>
      </c>
      <c r="E86" s="164">
        <f>VLOOKUP(A86,Exports!A:B,2,)</f>
        <v/>
      </c>
      <c r="F86" s="164">
        <f>VLOOKUP(A86,Imports!A:B,2,)</f>
        <v/>
      </c>
      <c r="G86" s="164">
        <f>VLOOKUP(A86,Government!A:B,2,)</f>
        <v/>
      </c>
      <c r="H86" s="85">
        <f>Table58[[#This Row],[Personal Consumption]]/Table58[[#This Row],[GDP]]</f>
        <v/>
      </c>
      <c r="I86" s="85">
        <f>Table58[[#This Row],[Private Investment]]/Table58[[#This Row],[GDP]]</f>
        <v/>
      </c>
      <c r="J86" s="85">
        <f>Table58[[#This Row],[Exports]]/Table58[[#This Row],[GDP]]</f>
        <v/>
      </c>
      <c r="K86" s="85">
        <f>-Table58[[#This Row],[Imports]]/Table58[[#This Row],[GDP]]</f>
        <v/>
      </c>
      <c r="L86" s="85">
        <f>Table58[[#This Row],[Government]]/Table58[[#This Row],[GDP]]</f>
        <v/>
      </c>
      <c r="N86" s="52">
        <f>SUM(Table58[[#This Row],[PC%]:[G%]])</f>
        <v/>
      </c>
      <c r="O86" s="55">
        <f>Table58[[#This Row],[Personal Consumption]]+Table58[[#This Row],[Private Investment]]+Table58[[#This Row],[Exports]]+Table58[[#This Row],[Government]]-Table58[[#This Row],[Imports]]</f>
        <v/>
      </c>
    </row>
    <row r="87">
      <c r="A87" s="94" t="n">
        <v>24563</v>
      </c>
      <c r="B87" s="164">
        <f>VLOOKUP(A87,'U.S. GDP'!A:B,2,)</f>
        <v/>
      </c>
      <c r="C87" s="164">
        <f>VLOOKUP(A87,PersonalConsumption!A:B,2,)</f>
        <v/>
      </c>
      <c r="D87" s="164">
        <f>VLOOKUP(A87,PrivateInvestment!A:B,2,)</f>
        <v/>
      </c>
      <c r="E87" s="164">
        <f>VLOOKUP(A87,Exports!A:B,2,)</f>
        <v/>
      </c>
      <c r="F87" s="164">
        <f>VLOOKUP(A87,Imports!A:B,2,)</f>
        <v/>
      </c>
      <c r="G87" s="164">
        <f>VLOOKUP(A87,Government!A:B,2,)</f>
        <v/>
      </c>
      <c r="H87" s="85">
        <f>Table58[[#This Row],[Personal Consumption]]/Table58[[#This Row],[GDP]]</f>
        <v/>
      </c>
      <c r="I87" s="85">
        <f>Table58[[#This Row],[Private Investment]]/Table58[[#This Row],[GDP]]</f>
        <v/>
      </c>
      <c r="J87" s="85">
        <f>Table58[[#This Row],[Exports]]/Table58[[#This Row],[GDP]]</f>
        <v/>
      </c>
      <c r="K87" s="85">
        <f>-Table58[[#This Row],[Imports]]/Table58[[#This Row],[GDP]]</f>
        <v/>
      </c>
      <c r="L87" s="85">
        <f>Table58[[#This Row],[Government]]/Table58[[#This Row],[GDP]]</f>
        <v/>
      </c>
      <c r="N87" s="52">
        <f>SUM(Table58[[#This Row],[PC%]:[G%]])</f>
        <v/>
      </c>
      <c r="O87" s="55">
        <f>Table58[[#This Row],[Personal Consumption]]+Table58[[#This Row],[Private Investment]]+Table58[[#This Row],[Exports]]+Table58[[#This Row],[Government]]-Table58[[#This Row],[Imports]]</f>
        <v/>
      </c>
    </row>
    <row r="88">
      <c r="A88" s="94" t="n">
        <v>24654</v>
      </c>
      <c r="B88" s="164">
        <f>VLOOKUP(A88,'U.S. GDP'!A:B,2,)</f>
        <v/>
      </c>
      <c r="C88" s="164">
        <f>VLOOKUP(A88,PersonalConsumption!A:B,2,)</f>
        <v/>
      </c>
      <c r="D88" s="164">
        <f>VLOOKUP(A88,PrivateInvestment!A:B,2,)</f>
        <v/>
      </c>
      <c r="E88" s="164">
        <f>VLOOKUP(A88,Exports!A:B,2,)</f>
        <v/>
      </c>
      <c r="F88" s="164">
        <f>VLOOKUP(A88,Imports!A:B,2,)</f>
        <v/>
      </c>
      <c r="G88" s="164">
        <f>VLOOKUP(A88,Government!A:B,2,)</f>
        <v/>
      </c>
      <c r="H88" s="85">
        <f>Table58[[#This Row],[Personal Consumption]]/Table58[[#This Row],[GDP]]</f>
        <v/>
      </c>
      <c r="I88" s="85">
        <f>Table58[[#This Row],[Private Investment]]/Table58[[#This Row],[GDP]]</f>
        <v/>
      </c>
      <c r="J88" s="85">
        <f>Table58[[#This Row],[Exports]]/Table58[[#This Row],[GDP]]</f>
        <v/>
      </c>
      <c r="K88" s="85">
        <f>-Table58[[#This Row],[Imports]]/Table58[[#This Row],[GDP]]</f>
        <v/>
      </c>
      <c r="L88" s="85">
        <f>Table58[[#This Row],[Government]]/Table58[[#This Row],[GDP]]</f>
        <v/>
      </c>
      <c r="N88" s="52">
        <f>SUM(Table58[[#This Row],[PC%]:[G%]])</f>
        <v/>
      </c>
      <c r="O88" s="55">
        <f>Table58[[#This Row],[Personal Consumption]]+Table58[[#This Row],[Private Investment]]+Table58[[#This Row],[Exports]]+Table58[[#This Row],[Government]]-Table58[[#This Row],[Imports]]</f>
        <v/>
      </c>
    </row>
    <row r="89">
      <c r="A89" s="94" t="n">
        <v>24746</v>
      </c>
      <c r="B89" s="164">
        <f>VLOOKUP(A89,'U.S. GDP'!A:B,2,)</f>
        <v/>
      </c>
      <c r="C89" s="164">
        <f>VLOOKUP(A89,PersonalConsumption!A:B,2,)</f>
        <v/>
      </c>
      <c r="D89" s="164">
        <f>VLOOKUP(A89,PrivateInvestment!A:B,2,)</f>
        <v/>
      </c>
      <c r="E89" s="164">
        <f>VLOOKUP(A89,Exports!A:B,2,)</f>
        <v/>
      </c>
      <c r="F89" s="164">
        <f>VLOOKUP(A89,Imports!A:B,2,)</f>
        <v/>
      </c>
      <c r="G89" s="164">
        <f>VLOOKUP(A89,Government!A:B,2,)</f>
        <v/>
      </c>
      <c r="H89" s="85">
        <f>Table58[[#This Row],[Personal Consumption]]/Table58[[#This Row],[GDP]]</f>
        <v/>
      </c>
      <c r="I89" s="85">
        <f>Table58[[#This Row],[Private Investment]]/Table58[[#This Row],[GDP]]</f>
        <v/>
      </c>
      <c r="J89" s="85">
        <f>Table58[[#This Row],[Exports]]/Table58[[#This Row],[GDP]]</f>
        <v/>
      </c>
      <c r="K89" s="85">
        <f>-Table58[[#This Row],[Imports]]/Table58[[#This Row],[GDP]]</f>
        <v/>
      </c>
      <c r="L89" s="85">
        <f>Table58[[#This Row],[Government]]/Table58[[#This Row],[GDP]]</f>
        <v/>
      </c>
      <c r="N89" s="52">
        <f>SUM(Table58[[#This Row],[PC%]:[G%]])</f>
        <v/>
      </c>
      <c r="O89" s="55">
        <f>Table58[[#This Row],[Personal Consumption]]+Table58[[#This Row],[Private Investment]]+Table58[[#This Row],[Exports]]+Table58[[#This Row],[Government]]-Table58[[#This Row],[Imports]]</f>
        <v/>
      </c>
    </row>
    <row r="90">
      <c r="A90" s="94" t="n">
        <v>24838</v>
      </c>
      <c r="B90" s="164">
        <f>VLOOKUP(A90,'U.S. GDP'!A:B,2,)</f>
        <v/>
      </c>
      <c r="C90" s="164">
        <f>VLOOKUP(A90,PersonalConsumption!A:B,2,)</f>
        <v/>
      </c>
      <c r="D90" s="164">
        <f>VLOOKUP(A90,PrivateInvestment!A:B,2,)</f>
        <v/>
      </c>
      <c r="E90" s="164">
        <f>VLOOKUP(A90,Exports!A:B,2,)</f>
        <v/>
      </c>
      <c r="F90" s="164">
        <f>VLOOKUP(A90,Imports!A:B,2,)</f>
        <v/>
      </c>
      <c r="G90" s="164">
        <f>VLOOKUP(A90,Government!A:B,2,)</f>
        <v/>
      </c>
      <c r="H90" s="85">
        <f>Table58[[#This Row],[Personal Consumption]]/Table58[[#This Row],[GDP]]</f>
        <v/>
      </c>
      <c r="I90" s="85">
        <f>Table58[[#This Row],[Private Investment]]/Table58[[#This Row],[GDP]]</f>
        <v/>
      </c>
      <c r="J90" s="85">
        <f>Table58[[#This Row],[Exports]]/Table58[[#This Row],[GDP]]</f>
        <v/>
      </c>
      <c r="K90" s="85">
        <f>-Table58[[#This Row],[Imports]]/Table58[[#This Row],[GDP]]</f>
        <v/>
      </c>
      <c r="L90" s="85">
        <f>Table58[[#This Row],[Government]]/Table58[[#This Row],[GDP]]</f>
        <v/>
      </c>
      <c r="N90" s="52">
        <f>SUM(Table58[[#This Row],[PC%]:[G%]])</f>
        <v/>
      </c>
      <c r="O90" s="55">
        <f>Table58[[#This Row],[Personal Consumption]]+Table58[[#This Row],[Private Investment]]+Table58[[#This Row],[Exports]]+Table58[[#This Row],[Government]]-Table58[[#This Row],[Imports]]</f>
        <v/>
      </c>
    </row>
    <row r="91">
      <c r="A91" s="94" t="n">
        <v>24929</v>
      </c>
      <c r="B91" s="164">
        <f>VLOOKUP(A91,'U.S. GDP'!A:B,2,)</f>
        <v/>
      </c>
      <c r="C91" s="164">
        <f>VLOOKUP(A91,PersonalConsumption!A:B,2,)</f>
        <v/>
      </c>
      <c r="D91" s="164">
        <f>VLOOKUP(A91,PrivateInvestment!A:B,2,)</f>
        <v/>
      </c>
      <c r="E91" s="164">
        <f>VLOOKUP(A91,Exports!A:B,2,)</f>
        <v/>
      </c>
      <c r="F91" s="164">
        <f>VLOOKUP(A91,Imports!A:B,2,)</f>
        <v/>
      </c>
      <c r="G91" s="164">
        <f>VLOOKUP(A91,Government!A:B,2,)</f>
        <v/>
      </c>
      <c r="H91" s="85">
        <f>Table58[[#This Row],[Personal Consumption]]/Table58[[#This Row],[GDP]]</f>
        <v/>
      </c>
      <c r="I91" s="85">
        <f>Table58[[#This Row],[Private Investment]]/Table58[[#This Row],[GDP]]</f>
        <v/>
      </c>
      <c r="J91" s="85">
        <f>Table58[[#This Row],[Exports]]/Table58[[#This Row],[GDP]]</f>
        <v/>
      </c>
      <c r="K91" s="85">
        <f>-Table58[[#This Row],[Imports]]/Table58[[#This Row],[GDP]]</f>
        <v/>
      </c>
      <c r="L91" s="85">
        <f>Table58[[#This Row],[Government]]/Table58[[#This Row],[GDP]]</f>
        <v/>
      </c>
      <c r="N91" s="52">
        <f>SUM(Table58[[#This Row],[PC%]:[G%]])</f>
        <v/>
      </c>
      <c r="O91" s="55">
        <f>Table58[[#This Row],[Personal Consumption]]+Table58[[#This Row],[Private Investment]]+Table58[[#This Row],[Exports]]+Table58[[#This Row],[Government]]-Table58[[#This Row],[Imports]]</f>
        <v/>
      </c>
    </row>
    <row r="92">
      <c r="A92" s="94" t="n">
        <v>25020</v>
      </c>
      <c r="B92" s="164">
        <f>VLOOKUP(A92,'U.S. GDP'!A:B,2,)</f>
        <v/>
      </c>
      <c r="C92" s="164">
        <f>VLOOKUP(A92,PersonalConsumption!A:B,2,)</f>
        <v/>
      </c>
      <c r="D92" s="164">
        <f>VLOOKUP(A92,PrivateInvestment!A:B,2,)</f>
        <v/>
      </c>
      <c r="E92" s="164">
        <f>VLOOKUP(A92,Exports!A:B,2,)</f>
        <v/>
      </c>
      <c r="F92" s="164">
        <f>VLOOKUP(A92,Imports!A:B,2,)</f>
        <v/>
      </c>
      <c r="G92" s="164">
        <f>VLOOKUP(A92,Government!A:B,2,)</f>
        <v/>
      </c>
      <c r="H92" s="85">
        <f>Table58[[#This Row],[Personal Consumption]]/Table58[[#This Row],[GDP]]</f>
        <v/>
      </c>
      <c r="I92" s="85">
        <f>Table58[[#This Row],[Private Investment]]/Table58[[#This Row],[GDP]]</f>
        <v/>
      </c>
      <c r="J92" s="85">
        <f>Table58[[#This Row],[Exports]]/Table58[[#This Row],[GDP]]</f>
        <v/>
      </c>
      <c r="K92" s="85">
        <f>-Table58[[#This Row],[Imports]]/Table58[[#This Row],[GDP]]</f>
        <v/>
      </c>
      <c r="L92" s="85">
        <f>Table58[[#This Row],[Government]]/Table58[[#This Row],[GDP]]</f>
        <v/>
      </c>
      <c r="N92" s="52">
        <f>SUM(Table58[[#This Row],[PC%]:[G%]])</f>
        <v/>
      </c>
      <c r="O92" s="55">
        <f>Table58[[#This Row],[Personal Consumption]]+Table58[[#This Row],[Private Investment]]+Table58[[#This Row],[Exports]]+Table58[[#This Row],[Government]]-Table58[[#This Row],[Imports]]</f>
        <v/>
      </c>
    </row>
    <row r="93">
      <c r="A93" s="94" t="n">
        <v>25112</v>
      </c>
      <c r="B93" s="164">
        <f>VLOOKUP(A93,'U.S. GDP'!A:B,2,)</f>
        <v/>
      </c>
      <c r="C93" s="164">
        <f>VLOOKUP(A93,PersonalConsumption!A:B,2,)</f>
        <v/>
      </c>
      <c r="D93" s="164">
        <f>VLOOKUP(A93,PrivateInvestment!A:B,2,)</f>
        <v/>
      </c>
      <c r="E93" s="164">
        <f>VLOOKUP(A93,Exports!A:B,2,)</f>
        <v/>
      </c>
      <c r="F93" s="164">
        <f>VLOOKUP(A93,Imports!A:B,2,)</f>
        <v/>
      </c>
      <c r="G93" s="164">
        <f>VLOOKUP(A93,Government!A:B,2,)</f>
        <v/>
      </c>
      <c r="H93" s="85">
        <f>Table58[[#This Row],[Personal Consumption]]/Table58[[#This Row],[GDP]]</f>
        <v/>
      </c>
      <c r="I93" s="85">
        <f>Table58[[#This Row],[Private Investment]]/Table58[[#This Row],[GDP]]</f>
        <v/>
      </c>
      <c r="J93" s="85">
        <f>Table58[[#This Row],[Exports]]/Table58[[#This Row],[GDP]]</f>
        <v/>
      </c>
      <c r="K93" s="85">
        <f>-Table58[[#This Row],[Imports]]/Table58[[#This Row],[GDP]]</f>
        <v/>
      </c>
      <c r="L93" s="85">
        <f>Table58[[#This Row],[Government]]/Table58[[#This Row],[GDP]]</f>
        <v/>
      </c>
      <c r="N93" s="52">
        <f>SUM(Table58[[#This Row],[PC%]:[G%]])</f>
        <v/>
      </c>
      <c r="O93" s="55">
        <f>Table58[[#This Row],[Personal Consumption]]+Table58[[#This Row],[Private Investment]]+Table58[[#This Row],[Exports]]+Table58[[#This Row],[Government]]-Table58[[#This Row],[Imports]]</f>
        <v/>
      </c>
    </row>
    <row r="94">
      <c r="A94" s="94" t="n">
        <v>25204</v>
      </c>
      <c r="B94" s="164">
        <f>VLOOKUP(A94,'U.S. GDP'!A:B,2,)</f>
        <v/>
      </c>
      <c r="C94" s="164">
        <f>VLOOKUP(A94,PersonalConsumption!A:B,2,)</f>
        <v/>
      </c>
      <c r="D94" s="164">
        <f>VLOOKUP(A94,PrivateInvestment!A:B,2,)</f>
        <v/>
      </c>
      <c r="E94" s="164">
        <f>VLOOKUP(A94,Exports!A:B,2,)</f>
        <v/>
      </c>
      <c r="F94" s="164">
        <f>VLOOKUP(A94,Imports!A:B,2,)</f>
        <v/>
      </c>
      <c r="G94" s="164">
        <f>VLOOKUP(A94,Government!A:B,2,)</f>
        <v/>
      </c>
      <c r="H94" s="85">
        <f>Table58[[#This Row],[Personal Consumption]]/Table58[[#This Row],[GDP]]</f>
        <v/>
      </c>
      <c r="I94" s="85">
        <f>Table58[[#This Row],[Private Investment]]/Table58[[#This Row],[GDP]]</f>
        <v/>
      </c>
      <c r="J94" s="85">
        <f>Table58[[#This Row],[Exports]]/Table58[[#This Row],[GDP]]</f>
        <v/>
      </c>
      <c r="K94" s="85">
        <f>-Table58[[#This Row],[Imports]]/Table58[[#This Row],[GDP]]</f>
        <v/>
      </c>
      <c r="L94" s="85">
        <f>Table58[[#This Row],[Government]]/Table58[[#This Row],[GDP]]</f>
        <v/>
      </c>
      <c r="N94" s="52">
        <f>SUM(Table58[[#This Row],[PC%]:[G%]])</f>
        <v/>
      </c>
      <c r="O94" s="55">
        <f>Table58[[#This Row],[Personal Consumption]]+Table58[[#This Row],[Private Investment]]+Table58[[#This Row],[Exports]]+Table58[[#This Row],[Government]]-Table58[[#This Row],[Imports]]</f>
        <v/>
      </c>
    </row>
    <row r="95">
      <c r="A95" s="94" t="n">
        <v>25294</v>
      </c>
      <c r="B95" s="164">
        <f>VLOOKUP(A95,'U.S. GDP'!A:B,2,)</f>
        <v/>
      </c>
      <c r="C95" s="164">
        <f>VLOOKUP(A95,PersonalConsumption!A:B,2,)</f>
        <v/>
      </c>
      <c r="D95" s="164">
        <f>VLOOKUP(A95,PrivateInvestment!A:B,2,)</f>
        <v/>
      </c>
      <c r="E95" s="164">
        <f>VLOOKUP(A95,Exports!A:B,2,)</f>
        <v/>
      </c>
      <c r="F95" s="164">
        <f>VLOOKUP(A95,Imports!A:B,2,)</f>
        <v/>
      </c>
      <c r="G95" s="164">
        <f>VLOOKUP(A95,Government!A:B,2,)</f>
        <v/>
      </c>
      <c r="H95" s="85">
        <f>Table58[[#This Row],[Personal Consumption]]/Table58[[#This Row],[GDP]]</f>
        <v/>
      </c>
      <c r="I95" s="85">
        <f>Table58[[#This Row],[Private Investment]]/Table58[[#This Row],[GDP]]</f>
        <v/>
      </c>
      <c r="J95" s="85">
        <f>Table58[[#This Row],[Exports]]/Table58[[#This Row],[GDP]]</f>
        <v/>
      </c>
      <c r="K95" s="85">
        <f>-Table58[[#This Row],[Imports]]/Table58[[#This Row],[GDP]]</f>
        <v/>
      </c>
      <c r="L95" s="85">
        <f>Table58[[#This Row],[Government]]/Table58[[#This Row],[GDP]]</f>
        <v/>
      </c>
      <c r="N95" s="52">
        <f>SUM(Table58[[#This Row],[PC%]:[G%]])</f>
        <v/>
      </c>
      <c r="O95" s="55">
        <f>Table58[[#This Row],[Personal Consumption]]+Table58[[#This Row],[Private Investment]]+Table58[[#This Row],[Exports]]+Table58[[#This Row],[Government]]-Table58[[#This Row],[Imports]]</f>
        <v/>
      </c>
    </row>
    <row r="96">
      <c r="A96" s="94" t="n">
        <v>25385</v>
      </c>
      <c r="B96" s="164">
        <f>VLOOKUP(A96,'U.S. GDP'!A:B,2,)</f>
        <v/>
      </c>
      <c r="C96" s="164">
        <f>VLOOKUP(A96,PersonalConsumption!A:B,2,)</f>
        <v/>
      </c>
      <c r="D96" s="164">
        <f>VLOOKUP(A96,PrivateInvestment!A:B,2,)</f>
        <v/>
      </c>
      <c r="E96" s="164">
        <f>VLOOKUP(A96,Exports!A:B,2,)</f>
        <v/>
      </c>
      <c r="F96" s="164">
        <f>VLOOKUP(A96,Imports!A:B,2,)</f>
        <v/>
      </c>
      <c r="G96" s="164">
        <f>VLOOKUP(A96,Government!A:B,2,)</f>
        <v/>
      </c>
      <c r="H96" s="85">
        <f>Table58[[#This Row],[Personal Consumption]]/Table58[[#This Row],[GDP]]</f>
        <v/>
      </c>
      <c r="I96" s="85">
        <f>Table58[[#This Row],[Private Investment]]/Table58[[#This Row],[GDP]]</f>
        <v/>
      </c>
      <c r="J96" s="85">
        <f>Table58[[#This Row],[Exports]]/Table58[[#This Row],[GDP]]</f>
        <v/>
      </c>
      <c r="K96" s="85">
        <f>-Table58[[#This Row],[Imports]]/Table58[[#This Row],[GDP]]</f>
        <v/>
      </c>
      <c r="L96" s="85">
        <f>Table58[[#This Row],[Government]]/Table58[[#This Row],[GDP]]</f>
        <v/>
      </c>
      <c r="N96" s="52">
        <f>SUM(Table58[[#This Row],[PC%]:[G%]])</f>
        <v/>
      </c>
      <c r="O96" s="55">
        <f>Table58[[#This Row],[Personal Consumption]]+Table58[[#This Row],[Private Investment]]+Table58[[#This Row],[Exports]]+Table58[[#This Row],[Government]]-Table58[[#This Row],[Imports]]</f>
        <v/>
      </c>
    </row>
    <row r="97">
      <c r="A97" s="94" t="n">
        <v>25477</v>
      </c>
      <c r="B97" s="164">
        <f>VLOOKUP(A97,'U.S. GDP'!A:B,2,)</f>
        <v/>
      </c>
      <c r="C97" s="164">
        <f>VLOOKUP(A97,PersonalConsumption!A:B,2,)</f>
        <v/>
      </c>
      <c r="D97" s="164">
        <f>VLOOKUP(A97,PrivateInvestment!A:B,2,)</f>
        <v/>
      </c>
      <c r="E97" s="164">
        <f>VLOOKUP(A97,Exports!A:B,2,)</f>
        <v/>
      </c>
      <c r="F97" s="164">
        <f>VLOOKUP(A97,Imports!A:B,2,)</f>
        <v/>
      </c>
      <c r="G97" s="164">
        <f>VLOOKUP(A97,Government!A:B,2,)</f>
        <v/>
      </c>
      <c r="H97" s="85">
        <f>Table58[[#This Row],[Personal Consumption]]/Table58[[#This Row],[GDP]]</f>
        <v/>
      </c>
      <c r="I97" s="85">
        <f>Table58[[#This Row],[Private Investment]]/Table58[[#This Row],[GDP]]</f>
        <v/>
      </c>
      <c r="J97" s="85">
        <f>Table58[[#This Row],[Exports]]/Table58[[#This Row],[GDP]]</f>
        <v/>
      </c>
      <c r="K97" s="85">
        <f>-Table58[[#This Row],[Imports]]/Table58[[#This Row],[GDP]]</f>
        <v/>
      </c>
      <c r="L97" s="85">
        <f>Table58[[#This Row],[Government]]/Table58[[#This Row],[GDP]]</f>
        <v/>
      </c>
      <c r="N97" s="52">
        <f>SUM(Table58[[#This Row],[PC%]:[G%]])</f>
        <v/>
      </c>
      <c r="O97" s="55">
        <f>Table58[[#This Row],[Personal Consumption]]+Table58[[#This Row],[Private Investment]]+Table58[[#This Row],[Exports]]+Table58[[#This Row],[Government]]-Table58[[#This Row],[Imports]]</f>
        <v/>
      </c>
    </row>
    <row r="98">
      <c r="A98" s="94" t="n">
        <v>25569</v>
      </c>
      <c r="B98" s="164">
        <f>VLOOKUP(A98,'U.S. GDP'!A:B,2,)</f>
        <v/>
      </c>
      <c r="C98" s="164">
        <f>VLOOKUP(A98,PersonalConsumption!A:B,2,)</f>
        <v/>
      </c>
      <c r="D98" s="164">
        <f>VLOOKUP(A98,PrivateInvestment!A:B,2,)</f>
        <v/>
      </c>
      <c r="E98" s="164">
        <f>VLOOKUP(A98,Exports!A:B,2,)</f>
        <v/>
      </c>
      <c r="F98" s="164">
        <f>VLOOKUP(A98,Imports!A:B,2,)</f>
        <v/>
      </c>
      <c r="G98" s="164">
        <f>VLOOKUP(A98,Government!A:B,2,)</f>
        <v/>
      </c>
      <c r="H98" s="85">
        <f>Table58[[#This Row],[Personal Consumption]]/Table58[[#This Row],[GDP]]</f>
        <v/>
      </c>
      <c r="I98" s="85">
        <f>Table58[[#This Row],[Private Investment]]/Table58[[#This Row],[GDP]]</f>
        <v/>
      </c>
      <c r="J98" s="85">
        <f>Table58[[#This Row],[Exports]]/Table58[[#This Row],[GDP]]</f>
        <v/>
      </c>
      <c r="K98" s="85">
        <f>-Table58[[#This Row],[Imports]]/Table58[[#This Row],[GDP]]</f>
        <v/>
      </c>
      <c r="L98" s="85">
        <f>Table58[[#This Row],[Government]]/Table58[[#This Row],[GDP]]</f>
        <v/>
      </c>
      <c r="N98" s="52">
        <f>SUM(Table58[[#This Row],[PC%]:[G%]])</f>
        <v/>
      </c>
      <c r="O98" s="55">
        <f>Table58[[#This Row],[Personal Consumption]]+Table58[[#This Row],[Private Investment]]+Table58[[#This Row],[Exports]]+Table58[[#This Row],[Government]]-Table58[[#This Row],[Imports]]</f>
        <v/>
      </c>
    </row>
    <row r="99">
      <c r="A99" s="94" t="n">
        <v>25659</v>
      </c>
      <c r="B99" s="164">
        <f>VLOOKUP(A99,'U.S. GDP'!A:B,2,)</f>
        <v/>
      </c>
      <c r="C99" s="164">
        <f>VLOOKUP(A99,PersonalConsumption!A:B,2,)</f>
        <v/>
      </c>
      <c r="D99" s="164">
        <f>VLOOKUP(A99,PrivateInvestment!A:B,2,)</f>
        <v/>
      </c>
      <c r="E99" s="164">
        <f>VLOOKUP(A99,Exports!A:B,2,)</f>
        <v/>
      </c>
      <c r="F99" s="164">
        <f>VLOOKUP(A99,Imports!A:B,2,)</f>
        <v/>
      </c>
      <c r="G99" s="164">
        <f>VLOOKUP(A99,Government!A:B,2,)</f>
        <v/>
      </c>
      <c r="H99" s="85">
        <f>Table58[[#This Row],[Personal Consumption]]/Table58[[#This Row],[GDP]]</f>
        <v/>
      </c>
      <c r="I99" s="85">
        <f>Table58[[#This Row],[Private Investment]]/Table58[[#This Row],[GDP]]</f>
        <v/>
      </c>
      <c r="J99" s="85">
        <f>Table58[[#This Row],[Exports]]/Table58[[#This Row],[GDP]]</f>
        <v/>
      </c>
      <c r="K99" s="85">
        <f>-Table58[[#This Row],[Imports]]/Table58[[#This Row],[GDP]]</f>
        <v/>
      </c>
      <c r="L99" s="85">
        <f>Table58[[#This Row],[Government]]/Table58[[#This Row],[GDP]]</f>
        <v/>
      </c>
      <c r="N99" s="52">
        <f>SUM(Table58[[#This Row],[PC%]:[G%]])</f>
        <v/>
      </c>
      <c r="O99" s="55">
        <f>Table58[[#This Row],[Personal Consumption]]+Table58[[#This Row],[Private Investment]]+Table58[[#This Row],[Exports]]+Table58[[#This Row],[Government]]-Table58[[#This Row],[Imports]]</f>
        <v/>
      </c>
    </row>
    <row r="100">
      <c r="A100" s="94" t="n">
        <v>25750</v>
      </c>
      <c r="B100" s="164">
        <f>VLOOKUP(A100,'U.S. GDP'!A:B,2,)</f>
        <v/>
      </c>
      <c r="C100" s="164">
        <f>VLOOKUP(A100,PersonalConsumption!A:B,2,)</f>
        <v/>
      </c>
      <c r="D100" s="164">
        <f>VLOOKUP(A100,PrivateInvestment!A:B,2,)</f>
        <v/>
      </c>
      <c r="E100" s="164">
        <f>VLOOKUP(A100,Exports!A:B,2,)</f>
        <v/>
      </c>
      <c r="F100" s="164">
        <f>VLOOKUP(A100,Imports!A:B,2,)</f>
        <v/>
      </c>
      <c r="G100" s="164">
        <f>VLOOKUP(A100,Government!A:B,2,)</f>
        <v/>
      </c>
      <c r="H100" s="85">
        <f>Table58[[#This Row],[Personal Consumption]]/Table58[[#This Row],[GDP]]</f>
        <v/>
      </c>
      <c r="I100" s="85">
        <f>Table58[[#This Row],[Private Investment]]/Table58[[#This Row],[GDP]]</f>
        <v/>
      </c>
      <c r="J100" s="85">
        <f>Table58[[#This Row],[Exports]]/Table58[[#This Row],[GDP]]</f>
        <v/>
      </c>
      <c r="K100" s="85">
        <f>-Table58[[#This Row],[Imports]]/Table58[[#This Row],[GDP]]</f>
        <v/>
      </c>
      <c r="L100" s="85">
        <f>Table58[[#This Row],[Government]]/Table58[[#This Row],[GDP]]</f>
        <v/>
      </c>
      <c r="N100" s="52">
        <f>SUM(Table58[[#This Row],[PC%]:[G%]])</f>
        <v/>
      </c>
      <c r="O100" s="55">
        <f>Table58[[#This Row],[Personal Consumption]]+Table58[[#This Row],[Private Investment]]+Table58[[#This Row],[Exports]]+Table58[[#This Row],[Government]]-Table58[[#This Row],[Imports]]</f>
        <v/>
      </c>
    </row>
    <row r="101">
      <c r="A101" s="94" t="n">
        <v>25842</v>
      </c>
      <c r="B101" s="164">
        <f>VLOOKUP(A101,'U.S. GDP'!A:B,2,)</f>
        <v/>
      </c>
      <c r="C101" s="164">
        <f>VLOOKUP(A101,PersonalConsumption!A:B,2,)</f>
        <v/>
      </c>
      <c r="D101" s="164">
        <f>VLOOKUP(A101,PrivateInvestment!A:B,2,)</f>
        <v/>
      </c>
      <c r="E101" s="164">
        <f>VLOOKUP(A101,Exports!A:B,2,)</f>
        <v/>
      </c>
      <c r="F101" s="164">
        <f>VLOOKUP(A101,Imports!A:B,2,)</f>
        <v/>
      </c>
      <c r="G101" s="164">
        <f>VLOOKUP(A101,Government!A:B,2,)</f>
        <v/>
      </c>
      <c r="H101" s="85">
        <f>Table58[[#This Row],[Personal Consumption]]/Table58[[#This Row],[GDP]]</f>
        <v/>
      </c>
      <c r="I101" s="85">
        <f>Table58[[#This Row],[Private Investment]]/Table58[[#This Row],[GDP]]</f>
        <v/>
      </c>
      <c r="J101" s="85">
        <f>Table58[[#This Row],[Exports]]/Table58[[#This Row],[GDP]]</f>
        <v/>
      </c>
      <c r="K101" s="85">
        <f>-Table58[[#This Row],[Imports]]/Table58[[#This Row],[GDP]]</f>
        <v/>
      </c>
      <c r="L101" s="85">
        <f>Table58[[#This Row],[Government]]/Table58[[#This Row],[GDP]]</f>
        <v/>
      </c>
      <c r="N101" s="52">
        <f>SUM(Table58[[#This Row],[PC%]:[G%]])</f>
        <v/>
      </c>
      <c r="O101" s="55">
        <f>Table58[[#This Row],[Personal Consumption]]+Table58[[#This Row],[Private Investment]]+Table58[[#This Row],[Exports]]+Table58[[#This Row],[Government]]-Table58[[#This Row],[Imports]]</f>
        <v/>
      </c>
    </row>
    <row r="102">
      <c r="A102" s="94" t="n">
        <v>25934</v>
      </c>
      <c r="B102" s="164">
        <f>VLOOKUP(A102,'U.S. GDP'!A:B,2,)</f>
        <v/>
      </c>
      <c r="C102" s="164">
        <f>VLOOKUP(A102,PersonalConsumption!A:B,2,)</f>
        <v/>
      </c>
      <c r="D102" s="164">
        <f>VLOOKUP(A102,PrivateInvestment!A:B,2,)</f>
        <v/>
      </c>
      <c r="E102" s="164">
        <f>VLOOKUP(A102,Exports!A:B,2,)</f>
        <v/>
      </c>
      <c r="F102" s="164">
        <f>VLOOKUP(A102,Imports!A:B,2,)</f>
        <v/>
      </c>
      <c r="G102" s="164">
        <f>VLOOKUP(A102,Government!A:B,2,)</f>
        <v/>
      </c>
      <c r="H102" s="85">
        <f>Table58[[#This Row],[Personal Consumption]]/Table58[[#This Row],[GDP]]</f>
        <v/>
      </c>
      <c r="I102" s="85">
        <f>Table58[[#This Row],[Private Investment]]/Table58[[#This Row],[GDP]]</f>
        <v/>
      </c>
      <c r="J102" s="85">
        <f>Table58[[#This Row],[Exports]]/Table58[[#This Row],[GDP]]</f>
        <v/>
      </c>
      <c r="K102" s="85">
        <f>-Table58[[#This Row],[Imports]]/Table58[[#This Row],[GDP]]</f>
        <v/>
      </c>
      <c r="L102" s="85">
        <f>Table58[[#This Row],[Government]]/Table58[[#This Row],[GDP]]</f>
        <v/>
      </c>
      <c r="N102" s="52">
        <f>SUM(Table58[[#This Row],[PC%]:[G%]])</f>
        <v/>
      </c>
      <c r="O102" s="55">
        <f>Table58[[#This Row],[Personal Consumption]]+Table58[[#This Row],[Private Investment]]+Table58[[#This Row],[Exports]]+Table58[[#This Row],[Government]]-Table58[[#This Row],[Imports]]</f>
        <v/>
      </c>
    </row>
    <row r="103">
      <c r="A103" s="94" t="n">
        <v>26024</v>
      </c>
      <c r="B103" s="164">
        <f>VLOOKUP(A103,'U.S. GDP'!A:B,2,)</f>
        <v/>
      </c>
      <c r="C103" s="164">
        <f>VLOOKUP(A103,PersonalConsumption!A:B,2,)</f>
        <v/>
      </c>
      <c r="D103" s="164">
        <f>VLOOKUP(A103,PrivateInvestment!A:B,2,)</f>
        <v/>
      </c>
      <c r="E103" s="164">
        <f>VLOOKUP(A103,Exports!A:B,2,)</f>
        <v/>
      </c>
      <c r="F103" s="164">
        <f>VLOOKUP(A103,Imports!A:B,2,)</f>
        <v/>
      </c>
      <c r="G103" s="164">
        <f>VLOOKUP(A103,Government!A:B,2,)</f>
        <v/>
      </c>
      <c r="H103" s="85">
        <f>Table58[[#This Row],[Personal Consumption]]/Table58[[#This Row],[GDP]]</f>
        <v/>
      </c>
      <c r="I103" s="85">
        <f>Table58[[#This Row],[Private Investment]]/Table58[[#This Row],[GDP]]</f>
        <v/>
      </c>
      <c r="J103" s="85">
        <f>Table58[[#This Row],[Exports]]/Table58[[#This Row],[GDP]]</f>
        <v/>
      </c>
      <c r="K103" s="85">
        <f>-Table58[[#This Row],[Imports]]/Table58[[#This Row],[GDP]]</f>
        <v/>
      </c>
      <c r="L103" s="85">
        <f>Table58[[#This Row],[Government]]/Table58[[#This Row],[GDP]]</f>
        <v/>
      </c>
      <c r="N103" s="52">
        <f>SUM(Table58[[#This Row],[PC%]:[G%]])</f>
        <v/>
      </c>
      <c r="O103" s="55">
        <f>Table58[[#This Row],[Personal Consumption]]+Table58[[#This Row],[Private Investment]]+Table58[[#This Row],[Exports]]+Table58[[#This Row],[Government]]-Table58[[#This Row],[Imports]]</f>
        <v/>
      </c>
    </row>
    <row r="104">
      <c r="A104" s="94" t="n">
        <v>26115</v>
      </c>
      <c r="B104" s="164">
        <f>VLOOKUP(A104,'U.S. GDP'!A:B,2,)</f>
        <v/>
      </c>
      <c r="C104" s="164">
        <f>VLOOKUP(A104,PersonalConsumption!A:B,2,)</f>
        <v/>
      </c>
      <c r="D104" s="164">
        <f>VLOOKUP(A104,PrivateInvestment!A:B,2,)</f>
        <v/>
      </c>
      <c r="E104" s="164">
        <f>VLOOKUP(A104,Exports!A:B,2,)</f>
        <v/>
      </c>
      <c r="F104" s="164">
        <f>VLOOKUP(A104,Imports!A:B,2,)</f>
        <v/>
      </c>
      <c r="G104" s="164">
        <f>VLOOKUP(A104,Government!A:B,2,)</f>
        <v/>
      </c>
      <c r="H104" s="85">
        <f>Table58[[#This Row],[Personal Consumption]]/Table58[[#This Row],[GDP]]</f>
        <v/>
      </c>
      <c r="I104" s="85">
        <f>Table58[[#This Row],[Private Investment]]/Table58[[#This Row],[GDP]]</f>
        <v/>
      </c>
      <c r="J104" s="85">
        <f>Table58[[#This Row],[Exports]]/Table58[[#This Row],[GDP]]</f>
        <v/>
      </c>
      <c r="K104" s="85">
        <f>-Table58[[#This Row],[Imports]]/Table58[[#This Row],[GDP]]</f>
        <v/>
      </c>
      <c r="L104" s="85">
        <f>Table58[[#This Row],[Government]]/Table58[[#This Row],[GDP]]</f>
        <v/>
      </c>
      <c r="N104" s="52">
        <f>SUM(Table58[[#This Row],[PC%]:[G%]])</f>
        <v/>
      </c>
      <c r="O104" s="55">
        <f>Table58[[#This Row],[Personal Consumption]]+Table58[[#This Row],[Private Investment]]+Table58[[#This Row],[Exports]]+Table58[[#This Row],[Government]]-Table58[[#This Row],[Imports]]</f>
        <v/>
      </c>
    </row>
    <row r="105">
      <c r="A105" s="94" t="n">
        <v>26207</v>
      </c>
      <c r="B105" s="164">
        <f>VLOOKUP(A105,'U.S. GDP'!A:B,2,)</f>
        <v/>
      </c>
      <c r="C105" s="164">
        <f>VLOOKUP(A105,PersonalConsumption!A:B,2,)</f>
        <v/>
      </c>
      <c r="D105" s="164">
        <f>VLOOKUP(A105,PrivateInvestment!A:B,2,)</f>
        <v/>
      </c>
      <c r="E105" s="164">
        <f>VLOOKUP(A105,Exports!A:B,2,)</f>
        <v/>
      </c>
      <c r="F105" s="164">
        <f>VLOOKUP(A105,Imports!A:B,2,)</f>
        <v/>
      </c>
      <c r="G105" s="164">
        <f>VLOOKUP(A105,Government!A:B,2,)</f>
        <v/>
      </c>
      <c r="H105" s="85">
        <f>Table58[[#This Row],[Personal Consumption]]/Table58[[#This Row],[GDP]]</f>
        <v/>
      </c>
      <c r="I105" s="85">
        <f>Table58[[#This Row],[Private Investment]]/Table58[[#This Row],[GDP]]</f>
        <v/>
      </c>
      <c r="J105" s="85">
        <f>Table58[[#This Row],[Exports]]/Table58[[#This Row],[GDP]]</f>
        <v/>
      </c>
      <c r="K105" s="85">
        <f>-Table58[[#This Row],[Imports]]/Table58[[#This Row],[GDP]]</f>
        <v/>
      </c>
      <c r="L105" s="85">
        <f>Table58[[#This Row],[Government]]/Table58[[#This Row],[GDP]]</f>
        <v/>
      </c>
      <c r="N105" s="52">
        <f>SUM(Table58[[#This Row],[PC%]:[G%]])</f>
        <v/>
      </c>
      <c r="O105" s="55">
        <f>Table58[[#This Row],[Personal Consumption]]+Table58[[#This Row],[Private Investment]]+Table58[[#This Row],[Exports]]+Table58[[#This Row],[Government]]-Table58[[#This Row],[Imports]]</f>
        <v/>
      </c>
    </row>
    <row r="106">
      <c r="A106" s="94" t="n">
        <v>26299</v>
      </c>
      <c r="B106" s="164">
        <f>VLOOKUP(A106,'U.S. GDP'!A:B,2,)</f>
        <v/>
      </c>
      <c r="C106" s="164">
        <f>VLOOKUP(A106,PersonalConsumption!A:B,2,)</f>
        <v/>
      </c>
      <c r="D106" s="164">
        <f>VLOOKUP(A106,PrivateInvestment!A:B,2,)</f>
        <v/>
      </c>
      <c r="E106" s="164">
        <f>VLOOKUP(A106,Exports!A:B,2,)</f>
        <v/>
      </c>
      <c r="F106" s="164">
        <f>VLOOKUP(A106,Imports!A:B,2,)</f>
        <v/>
      </c>
      <c r="G106" s="164">
        <f>VLOOKUP(A106,Government!A:B,2,)</f>
        <v/>
      </c>
      <c r="H106" s="85">
        <f>Table58[[#This Row],[Personal Consumption]]/Table58[[#This Row],[GDP]]</f>
        <v/>
      </c>
      <c r="I106" s="85">
        <f>Table58[[#This Row],[Private Investment]]/Table58[[#This Row],[GDP]]</f>
        <v/>
      </c>
      <c r="J106" s="85">
        <f>Table58[[#This Row],[Exports]]/Table58[[#This Row],[GDP]]</f>
        <v/>
      </c>
      <c r="K106" s="85">
        <f>-Table58[[#This Row],[Imports]]/Table58[[#This Row],[GDP]]</f>
        <v/>
      </c>
      <c r="L106" s="85">
        <f>Table58[[#This Row],[Government]]/Table58[[#This Row],[GDP]]</f>
        <v/>
      </c>
      <c r="N106" s="52">
        <f>SUM(Table58[[#This Row],[PC%]:[G%]])</f>
        <v/>
      </c>
      <c r="O106" s="55">
        <f>Table58[[#This Row],[Personal Consumption]]+Table58[[#This Row],[Private Investment]]+Table58[[#This Row],[Exports]]+Table58[[#This Row],[Government]]-Table58[[#This Row],[Imports]]</f>
        <v/>
      </c>
    </row>
    <row r="107">
      <c r="A107" s="94" t="n">
        <v>26390</v>
      </c>
      <c r="B107" s="164">
        <f>VLOOKUP(A107,'U.S. GDP'!A:B,2,)</f>
        <v/>
      </c>
      <c r="C107" s="164">
        <f>VLOOKUP(A107,PersonalConsumption!A:B,2,)</f>
        <v/>
      </c>
      <c r="D107" s="164">
        <f>VLOOKUP(A107,PrivateInvestment!A:B,2,)</f>
        <v/>
      </c>
      <c r="E107" s="164">
        <f>VLOOKUP(A107,Exports!A:B,2,)</f>
        <v/>
      </c>
      <c r="F107" s="164">
        <f>VLOOKUP(A107,Imports!A:B,2,)</f>
        <v/>
      </c>
      <c r="G107" s="164">
        <f>VLOOKUP(A107,Government!A:B,2,)</f>
        <v/>
      </c>
      <c r="H107" s="85">
        <f>Table58[[#This Row],[Personal Consumption]]/Table58[[#This Row],[GDP]]</f>
        <v/>
      </c>
      <c r="I107" s="85">
        <f>Table58[[#This Row],[Private Investment]]/Table58[[#This Row],[GDP]]</f>
        <v/>
      </c>
      <c r="J107" s="85">
        <f>Table58[[#This Row],[Exports]]/Table58[[#This Row],[GDP]]</f>
        <v/>
      </c>
      <c r="K107" s="85">
        <f>-Table58[[#This Row],[Imports]]/Table58[[#This Row],[GDP]]</f>
        <v/>
      </c>
      <c r="L107" s="85">
        <f>Table58[[#This Row],[Government]]/Table58[[#This Row],[GDP]]</f>
        <v/>
      </c>
      <c r="N107" s="52">
        <f>SUM(Table58[[#This Row],[PC%]:[G%]])</f>
        <v/>
      </c>
      <c r="O107" s="55">
        <f>Table58[[#This Row],[Personal Consumption]]+Table58[[#This Row],[Private Investment]]+Table58[[#This Row],[Exports]]+Table58[[#This Row],[Government]]-Table58[[#This Row],[Imports]]</f>
        <v/>
      </c>
    </row>
    <row r="108">
      <c r="A108" s="94" t="n">
        <v>26481</v>
      </c>
      <c r="B108" s="164">
        <f>VLOOKUP(A108,'U.S. GDP'!A:B,2,)</f>
        <v/>
      </c>
      <c r="C108" s="164">
        <f>VLOOKUP(A108,PersonalConsumption!A:B,2,)</f>
        <v/>
      </c>
      <c r="D108" s="164">
        <f>VLOOKUP(A108,PrivateInvestment!A:B,2,)</f>
        <v/>
      </c>
      <c r="E108" s="164">
        <f>VLOOKUP(A108,Exports!A:B,2,)</f>
        <v/>
      </c>
      <c r="F108" s="164">
        <f>VLOOKUP(A108,Imports!A:B,2,)</f>
        <v/>
      </c>
      <c r="G108" s="164">
        <f>VLOOKUP(A108,Government!A:B,2,)</f>
        <v/>
      </c>
      <c r="H108" s="85">
        <f>Table58[[#This Row],[Personal Consumption]]/Table58[[#This Row],[GDP]]</f>
        <v/>
      </c>
      <c r="I108" s="85">
        <f>Table58[[#This Row],[Private Investment]]/Table58[[#This Row],[GDP]]</f>
        <v/>
      </c>
      <c r="J108" s="85">
        <f>Table58[[#This Row],[Exports]]/Table58[[#This Row],[GDP]]</f>
        <v/>
      </c>
      <c r="K108" s="85">
        <f>-Table58[[#This Row],[Imports]]/Table58[[#This Row],[GDP]]</f>
        <v/>
      </c>
      <c r="L108" s="85">
        <f>Table58[[#This Row],[Government]]/Table58[[#This Row],[GDP]]</f>
        <v/>
      </c>
      <c r="N108" s="52">
        <f>SUM(Table58[[#This Row],[PC%]:[G%]])</f>
        <v/>
      </c>
      <c r="O108" s="55">
        <f>Table58[[#This Row],[Personal Consumption]]+Table58[[#This Row],[Private Investment]]+Table58[[#This Row],[Exports]]+Table58[[#This Row],[Government]]-Table58[[#This Row],[Imports]]</f>
        <v/>
      </c>
    </row>
    <row r="109">
      <c r="A109" s="94" t="n">
        <v>26573</v>
      </c>
      <c r="B109" s="164">
        <f>VLOOKUP(A109,'U.S. GDP'!A:B,2,)</f>
        <v/>
      </c>
      <c r="C109" s="164">
        <f>VLOOKUP(A109,PersonalConsumption!A:B,2,)</f>
        <v/>
      </c>
      <c r="D109" s="164">
        <f>VLOOKUP(A109,PrivateInvestment!A:B,2,)</f>
        <v/>
      </c>
      <c r="E109" s="164">
        <f>VLOOKUP(A109,Exports!A:B,2,)</f>
        <v/>
      </c>
      <c r="F109" s="164">
        <f>VLOOKUP(A109,Imports!A:B,2,)</f>
        <v/>
      </c>
      <c r="G109" s="164">
        <f>VLOOKUP(A109,Government!A:B,2,)</f>
        <v/>
      </c>
      <c r="H109" s="85">
        <f>Table58[[#This Row],[Personal Consumption]]/Table58[[#This Row],[GDP]]</f>
        <v/>
      </c>
      <c r="I109" s="85">
        <f>Table58[[#This Row],[Private Investment]]/Table58[[#This Row],[GDP]]</f>
        <v/>
      </c>
      <c r="J109" s="85">
        <f>Table58[[#This Row],[Exports]]/Table58[[#This Row],[GDP]]</f>
        <v/>
      </c>
      <c r="K109" s="85">
        <f>-Table58[[#This Row],[Imports]]/Table58[[#This Row],[GDP]]</f>
        <v/>
      </c>
      <c r="L109" s="85">
        <f>Table58[[#This Row],[Government]]/Table58[[#This Row],[GDP]]</f>
        <v/>
      </c>
      <c r="N109" s="52">
        <f>SUM(Table58[[#This Row],[PC%]:[G%]])</f>
        <v/>
      </c>
      <c r="O109" s="55">
        <f>Table58[[#This Row],[Personal Consumption]]+Table58[[#This Row],[Private Investment]]+Table58[[#This Row],[Exports]]+Table58[[#This Row],[Government]]-Table58[[#This Row],[Imports]]</f>
        <v/>
      </c>
    </row>
    <row r="110">
      <c r="A110" s="94" t="n">
        <v>26665</v>
      </c>
      <c r="B110" s="164">
        <f>VLOOKUP(A110,'U.S. GDP'!A:B,2,)</f>
        <v/>
      </c>
      <c r="C110" s="164">
        <f>VLOOKUP(A110,PersonalConsumption!A:B,2,)</f>
        <v/>
      </c>
      <c r="D110" s="164">
        <f>VLOOKUP(A110,PrivateInvestment!A:B,2,)</f>
        <v/>
      </c>
      <c r="E110" s="164">
        <f>VLOOKUP(A110,Exports!A:B,2,)</f>
        <v/>
      </c>
      <c r="F110" s="164">
        <f>VLOOKUP(A110,Imports!A:B,2,)</f>
        <v/>
      </c>
      <c r="G110" s="164">
        <f>VLOOKUP(A110,Government!A:B,2,)</f>
        <v/>
      </c>
      <c r="H110" s="85">
        <f>Table58[[#This Row],[Personal Consumption]]/Table58[[#This Row],[GDP]]</f>
        <v/>
      </c>
      <c r="I110" s="85">
        <f>Table58[[#This Row],[Private Investment]]/Table58[[#This Row],[GDP]]</f>
        <v/>
      </c>
      <c r="J110" s="85">
        <f>Table58[[#This Row],[Exports]]/Table58[[#This Row],[GDP]]</f>
        <v/>
      </c>
      <c r="K110" s="85">
        <f>-Table58[[#This Row],[Imports]]/Table58[[#This Row],[GDP]]</f>
        <v/>
      </c>
      <c r="L110" s="85">
        <f>Table58[[#This Row],[Government]]/Table58[[#This Row],[GDP]]</f>
        <v/>
      </c>
      <c r="N110" s="52">
        <f>SUM(Table58[[#This Row],[PC%]:[G%]])</f>
        <v/>
      </c>
      <c r="O110" s="55">
        <f>Table58[[#This Row],[Personal Consumption]]+Table58[[#This Row],[Private Investment]]+Table58[[#This Row],[Exports]]+Table58[[#This Row],[Government]]-Table58[[#This Row],[Imports]]</f>
        <v/>
      </c>
    </row>
    <row r="111">
      <c r="A111" s="94" t="n">
        <v>26755</v>
      </c>
      <c r="B111" s="164">
        <f>VLOOKUP(A111,'U.S. GDP'!A:B,2,)</f>
        <v/>
      </c>
      <c r="C111" s="164">
        <f>VLOOKUP(A111,PersonalConsumption!A:B,2,)</f>
        <v/>
      </c>
      <c r="D111" s="164">
        <f>VLOOKUP(A111,PrivateInvestment!A:B,2,)</f>
        <v/>
      </c>
      <c r="E111" s="164">
        <f>VLOOKUP(A111,Exports!A:B,2,)</f>
        <v/>
      </c>
      <c r="F111" s="164">
        <f>VLOOKUP(A111,Imports!A:B,2,)</f>
        <v/>
      </c>
      <c r="G111" s="164">
        <f>VLOOKUP(A111,Government!A:B,2,)</f>
        <v/>
      </c>
      <c r="H111" s="85">
        <f>Table58[[#This Row],[Personal Consumption]]/Table58[[#This Row],[GDP]]</f>
        <v/>
      </c>
      <c r="I111" s="85">
        <f>Table58[[#This Row],[Private Investment]]/Table58[[#This Row],[GDP]]</f>
        <v/>
      </c>
      <c r="J111" s="85">
        <f>Table58[[#This Row],[Exports]]/Table58[[#This Row],[GDP]]</f>
        <v/>
      </c>
      <c r="K111" s="85">
        <f>-Table58[[#This Row],[Imports]]/Table58[[#This Row],[GDP]]</f>
        <v/>
      </c>
      <c r="L111" s="85">
        <f>Table58[[#This Row],[Government]]/Table58[[#This Row],[GDP]]</f>
        <v/>
      </c>
      <c r="N111" s="52">
        <f>SUM(Table58[[#This Row],[PC%]:[G%]])</f>
        <v/>
      </c>
      <c r="O111" s="55">
        <f>Table58[[#This Row],[Personal Consumption]]+Table58[[#This Row],[Private Investment]]+Table58[[#This Row],[Exports]]+Table58[[#This Row],[Government]]-Table58[[#This Row],[Imports]]</f>
        <v/>
      </c>
    </row>
    <row r="112">
      <c r="A112" s="94" t="n">
        <v>26846</v>
      </c>
      <c r="B112" s="164">
        <f>VLOOKUP(A112,'U.S. GDP'!A:B,2,)</f>
        <v/>
      </c>
      <c r="C112" s="164">
        <f>VLOOKUP(A112,PersonalConsumption!A:B,2,)</f>
        <v/>
      </c>
      <c r="D112" s="164">
        <f>VLOOKUP(A112,PrivateInvestment!A:B,2,)</f>
        <v/>
      </c>
      <c r="E112" s="164">
        <f>VLOOKUP(A112,Exports!A:B,2,)</f>
        <v/>
      </c>
      <c r="F112" s="164">
        <f>VLOOKUP(A112,Imports!A:B,2,)</f>
        <v/>
      </c>
      <c r="G112" s="164">
        <f>VLOOKUP(A112,Government!A:B,2,)</f>
        <v/>
      </c>
      <c r="H112" s="85">
        <f>Table58[[#This Row],[Personal Consumption]]/Table58[[#This Row],[GDP]]</f>
        <v/>
      </c>
      <c r="I112" s="85">
        <f>Table58[[#This Row],[Private Investment]]/Table58[[#This Row],[GDP]]</f>
        <v/>
      </c>
      <c r="J112" s="85">
        <f>Table58[[#This Row],[Exports]]/Table58[[#This Row],[GDP]]</f>
        <v/>
      </c>
      <c r="K112" s="85">
        <f>-Table58[[#This Row],[Imports]]/Table58[[#This Row],[GDP]]</f>
        <v/>
      </c>
      <c r="L112" s="85">
        <f>Table58[[#This Row],[Government]]/Table58[[#This Row],[GDP]]</f>
        <v/>
      </c>
      <c r="N112" s="52">
        <f>SUM(Table58[[#This Row],[PC%]:[G%]])</f>
        <v/>
      </c>
      <c r="O112" s="55">
        <f>Table58[[#This Row],[Personal Consumption]]+Table58[[#This Row],[Private Investment]]+Table58[[#This Row],[Exports]]+Table58[[#This Row],[Government]]-Table58[[#This Row],[Imports]]</f>
        <v/>
      </c>
    </row>
    <row r="113">
      <c r="A113" s="94" t="n">
        <v>26938</v>
      </c>
      <c r="B113" s="164">
        <f>VLOOKUP(A113,'U.S. GDP'!A:B,2,)</f>
        <v/>
      </c>
      <c r="C113" s="164">
        <f>VLOOKUP(A113,PersonalConsumption!A:B,2,)</f>
        <v/>
      </c>
      <c r="D113" s="164">
        <f>VLOOKUP(A113,PrivateInvestment!A:B,2,)</f>
        <v/>
      </c>
      <c r="E113" s="164">
        <f>VLOOKUP(A113,Exports!A:B,2,)</f>
        <v/>
      </c>
      <c r="F113" s="164">
        <f>VLOOKUP(A113,Imports!A:B,2,)</f>
        <v/>
      </c>
      <c r="G113" s="164">
        <f>VLOOKUP(A113,Government!A:B,2,)</f>
        <v/>
      </c>
      <c r="H113" s="85">
        <f>Table58[[#This Row],[Personal Consumption]]/Table58[[#This Row],[GDP]]</f>
        <v/>
      </c>
      <c r="I113" s="85">
        <f>Table58[[#This Row],[Private Investment]]/Table58[[#This Row],[GDP]]</f>
        <v/>
      </c>
      <c r="J113" s="85">
        <f>Table58[[#This Row],[Exports]]/Table58[[#This Row],[GDP]]</f>
        <v/>
      </c>
      <c r="K113" s="85">
        <f>-Table58[[#This Row],[Imports]]/Table58[[#This Row],[GDP]]</f>
        <v/>
      </c>
      <c r="L113" s="85">
        <f>Table58[[#This Row],[Government]]/Table58[[#This Row],[GDP]]</f>
        <v/>
      </c>
      <c r="N113" s="52">
        <f>SUM(Table58[[#This Row],[PC%]:[G%]])</f>
        <v/>
      </c>
      <c r="O113" s="55">
        <f>Table58[[#This Row],[Personal Consumption]]+Table58[[#This Row],[Private Investment]]+Table58[[#This Row],[Exports]]+Table58[[#This Row],[Government]]-Table58[[#This Row],[Imports]]</f>
        <v/>
      </c>
    </row>
    <row r="114">
      <c r="A114" s="94" t="n">
        <v>27030</v>
      </c>
      <c r="B114" s="164">
        <f>VLOOKUP(A114,'U.S. GDP'!A:B,2,)</f>
        <v/>
      </c>
      <c r="C114" s="164">
        <f>VLOOKUP(A114,PersonalConsumption!A:B,2,)</f>
        <v/>
      </c>
      <c r="D114" s="164">
        <f>VLOOKUP(A114,PrivateInvestment!A:B,2,)</f>
        <v/>
      </c>
      <c r="E114" s="164">
        <f>VLOOKUP(A114,Exports!A:B,2,)</f>
        <v/>
      </c>
      <c r="F114" s="164">
        <f>VLOOKUP(A114,Imports!A:B,2,)</f>
        <v/>
      </c>
      <c r="G114" s="164">
        <f>VLOOKUP(A114,Government!A:B,2,)</f>
        <v/>
      </c>
      <c r="H114" s="85">
        <f>Table58[[#This Row],[Personal Consumption]]/Table58[[#This Row],[GDP]]</f>
        <v/>
      </c>
      <c r="I114" s="85">
        <f>Table58[[#This Row],[Private Investment]]/Table58[[#This Row],[GDP]]</f>
        <v/>
      </c>
      <c r="J114" s="85">
        <f>Table58[[#This Row],[Exports]]/Table58[[#This Row],[GDP]]</f>
        <v/>
      </c>
      <c r="K114" s="85">
        <f>-Table58[[#This Row],[Imports]]/Table58[[#This Row],[GDP]]</f>
        <v/>
      </c>
      <c r="L114" s="85">
        <f>Table58[[#This Row],[Government]]/Table58[[#This Row],[GDP]]</f>
        <v/>
      </c>
      <c r="N114" s="52">
        <f>SUM(Table58[[#This Row],[PC%]:[G%]])</f>
        <v/>
      </c>
      <c r="O114" s="55">
        <f>Table58[[#This Row],[Personal Consumption]]+Table58[[#This Row],[Private Investment]]+Table58[[#This Row],[Exports]]+Table58[[#This Row],[Government]]-Table58[[#This Row],[Imports]]</f>
        <v/>
      </c>
    </row>
    <row r="115">
      <c r="A115" s="94" t="n">
        <v>27120</v>
      </c>
      <c r="B115" s="164">
        <f>VLOOKUP(A115,'U.S. GDP'!A:B,2,)</f>
        <v/>
      </c>
      <c r="C115" s="164">
        <f>VLOOKUP(A115,PersonalConsumption!A:B,2,)</f>
        <v/>
      </c>
      <c r="D115" s="164">
        <f>VLOOKUP(A115,PrivateInvestment!A:B,2,)</f>
        <v/>
      </c>
      <c r="E115" s="164">
        <f>VLOOKUP(A115,Exports!A:B,2,)</f>
        <v/>
      </c>
      <c r="F115" s="164">
        <f>VLOOKUP(A115,Imports!A:B,2,)</f>
        <v/>
      </c>
      <c r="G115" s="164">
        <f>VLOOKUP(A115,Government!A:B,2,)</f>
        <v/>
      </c>
      <c r="H115" s="85">
        <f>Table58[[#This Row],[Personal Consumption]]/Table58[[#This Row],[GDP]]</f>
        <v/>
      </c>
      <c r="I115" s="85">
        <f>Table58[[#This Row],[Private Investment]]/Table58[[#This Row],[GDP]]</f>
        <v/>
      </c>
      <c r="J115" s="85">
        <f>Table58[[#This Row],[Exports]]/Table58[[#This Row],[GDP]]</f>
        <v/>
      </c>
      <c r="K115" s="85">
        <f>-Table58[[#This Row],[Imports]]/Table58[[#This Row],[GDP]]</f>
        <v/>
      </c>
      <c r="L115" s="85">
        <f>Table58[[#This Row],[Government]]/Table58[[#This Row],[GDP]]</f>
        <v/>
      </c>
      <c r="N115" s="52">
        <f>SUM(Table58[[#This Row],[PC%]:[G%]])</f>
        <v/>
      </c>
      <c r="O115" s="55">
        <f>Table58[[#This Row],[Personal Consumption]]+Table58[[#This Row],[Private Investment]]+Table58[[#This Row],[Exports]]+Table58[[#This Row],[Government]]-Table58[[#This Row],[Imports]]</f>
        <v/>
      </c>
    </row>
    <row r="116">
      <c r="A116" s="94" t="n">
        <v>27211</v>
      </c>
      <c r="B116" s="164">
        <f>VLOOKUP(A116,'U.S. GDP'!A:B,2,)</f>
        <v/>
      </c>
      <c r="C116" s="164">
        <f>VLOOKUP(A116,PersonalConsumption!A:B,2,)</f>
        <v/>
      </c>
      <c r="D116" s="164">
        <f>VLOOKUP(A116,PrivateInvestment!A:B,2,)</f>
        <v/>
      </c>
      <c r="E116" s="164">
        <f>VLOOKUP(A116,Exports!A:B,2,)</f>
        <v/>
      </c>
      <c r="F116" s="164">
        <f>VLOOKUP(A116,Imports!A:B,2,)</f>
        <v/>
      </c>
      <c r="G116" s="164">
        <f>VLOOKUP(A116,Government!A:B,2,)</f>
        <v/>
      </c>
      <c r="H116" s="85">
        <f>Table58[[#This Row],[Personal Consumption]]/Table58[[#This Row],[GDP]]</f>
        <v/>
      </c>
      <c r="I116" s="85">
        <f>Table58[[#This Row],[Private Investment]]/Table58[[#This Row],[GDP]]</f>
        <v/>
      </c>
      <c r="J116" s="85">
        <f>Table58[[#This Row],[Exports]]/Table58[[#This Row],[GDP]]</f>
        <v/>
      </c>
      <c r="K116" s="85">
        <f>-Table58[[#This Row],[Imports]]/Table58[[#This Row],[GDP]]</f>
        <v/>
      </c>
      <c r="L116" s="85">
        <f>Table58[[#This Row],[Government]]/Table58[[#This Row],[GDP]]</f>
        <v/>
      </c>
      <c r="N116" s="52">
        <f>SUM(Table58[[#This Row],[PC%]:[G%]])</f>
        <v/>
      </c>
      <c r="O116" s="55">
        <f>Table58[[#This Row],[Personal Consumption]]+Table58[[#This Row],[Private Investment]]+Table58[[#This Row],[Exports]]+Table58[[#This Row],[Government]]-Table58[[#This Row],[Imports]]</f>
        <v/>
      </c>
    </row>
    <row r="117">
      <c r="A117" s="94" t="n">
        <v>27303</v>
      </c>
      <c r="B117" s="164">
        <f>VLOOKUP(A117,'U.S. GDP'!A:B,2,)</f>
        <v/>
      </c>
      <c r="C117" s="164">
        <f>VLOOKUP(A117,PersonalConsumption!A:B,2,)</f>
        <v/>
      </c>
      <c r="D117" s="164">
        <f>VLOOKUP(A117,PrivateInvestment!A:B,2,)</f>
        <v/>
      </c>
      <c r="E117" s="164">
        <f>VLOOKUP(A117,Exports!A:B,2,)</f>
        <v/>
      </c>
      <c r="F117" s="164">
        <f>VLOOKUP(A117,Imports!A:B,2,)</f>
        <v/>
      </c>
      <c r="G117" s="164">
        <f>VLOOKUP(A117,Government!A:B,2,)</f>
        <v/>
      </c>
      <c r="H117" s="85">
        <f>Table58[[#This Row],[Personal Consumption]]/Table58[[#This Row],[GDP]]</f>
        <v/>
      </c>
      <c r="I117" s="85">
        <f>Table58[[#This Row],[Private Investment]]/Table58[[#This Row],[GDP]]</f>
        <v/>
      </c>
      <c r="J117" s="85">
        <f>Table58[[#This Row],[Exports]]/Table58[[#This Row],[GDP]]</f>
        <v/>
      </c>
      <c r="K117" s="85">
        <f>-Table58[[#This Row],[Imports]]/Table58[[#This Row],[GDP]]</f>
        <v/>
      </c>
      <c r="L117" s="85">
        <f>Table58[[#This Row],[Government]]/Table58[[#This Row],[GDP]]</f>
        <v/>
      </c>
      <c r="N117" s="52">
        <f>SUM(Table58[[#This Row],[PC%]:[G%]])</f>
        <v/>
      </c>
      <c r="O117" s="55">
        <f>Table58[[#This Row],[Personal Consumption]]+Table58[[#This Row],[Private Investment]]+Table58[[#This Row],[Exports]]+Table58[[#This Row],[Government]]-Table58[[#This Row],[Imports]]</f>
        <v/>
      </c>
    </row>
    <row r="118">
      <c r="A118" s="94" t="n">
        <v>27395</v>
      </c>
      <c r="B118" s="164">
        <f>VLOOKUP(A118,'U.S. GDP'!A:B,2,)</f>
        <v/>
      </c>
      <c r="C118" s="164">
        <f>VLOOKUP(A118,PersonalConsumption!A:B,2,)</f>
        <v/>
      </c>
      <c r="D118" s="164">
        <f>VLOOKUP(A118,PrivateInvestment!A:B,2,)</f>
        <v/>
      </c>
      <c r="E118" s="164">
        <f>VLOOKUP(A118,Exports!A:B,2,)</f>
        <v/>
      </c>
      <c r="F118" s="164">
        <f>VLOOKUP(A118,Imports!A:B,2,)</f>
        <v/>
      </c>
      <c r="G118" s="164">
        <f>VLOOKUP(A118,Government!A:B,2,)</f>
        <v/>
      </c>
      <c r="H118" s="85">
        <f>Table58[[#This Row],[Personal Consumption]]/Table58[[#This Row],[GDP]]</f>
        <v/>
      </c>
      <c r="I118" s="85">
        <f>Table58[[#This Row],[Private Investment]]/Table58[[#This Row],[GDP]]</f>
        <v/>
      </c>
      <c r="J118" s="85">
        <f>Table58[[#This Row],[Exports]]/Table58[[#This Row],[GDP]]</f>
        <v/>
      </c>
      <c r="K118" s="85">
        <f>-Table58[[#This Row],[Imports]]/Table58[[#This Row],[GDP]]</f>
        <v/>
      </c>
      <c r="L118" s="85">
        <f>Table58[[#This Row],[Government]]/Table58[[#This Row],[GDP]]</f>
        <v/>
      </c>
      <c r="N118" s="52">
        <f>SUM(Table58[[#This Row],[PC%]:[G%]])</f>
        <v/>
      </c>
      <c r="O118" s="55">
        <f>Table58[[#This Row],[Personal Consumption]]+Table58[[#This Row],[Private Investment]]+Table58[[#This Row],[Exports]]+Table58[[#This Row],[Government]]-Table58[[#This Row],[Imports]]</f>
        <v/>
      </c>
    </row>
    <row r="119">
      <c r="A119" s="94" t="n">
        <v>27485</v>
      </c>
      <c r="B119" s="164">
        <f>VLOOKUP(A119,'U.S. GDP'!A:B,2,)</f>
        <v/>
      </c>
      <c r="C119" s="164">
        <f>VLOOKUP(A119,PersonalConsumption!A:B,2,)</f>
        <v/>
      </c>
      <c r="D119" s="164">
        <f>VLOOKUP(A119,PrivateInvestment!A:B,2,)</f>
        <v/>
      </c>
      <c r="E119" s="164">
        <f>VLOOKUP(A119,Exports!A:B,2,)</f>
        <v/>
      </c>
      <c r="F119" s="164">
        <f>VLOOKUP(A119,Imports!A:B,2,)</f>
        <v/>
      </c>
      <c r="G119" s="164">
        <f>VLOOKUP(A119,Government!A:B,2,)</f>
        <v/>
      </c>
      <c r="H119" s="85">
        <f>Table58[[#This Row],[Personal Consumption]]/Table58[[#This Row],[GDP]]</f>
        <v/>
      </c>
      <c r="I119" s="85">
        <f>Table58[[#This Row],[Private Investment]]/Table58[[#This Row],[GDP]]</f>
        <v/>
      </c>
      <c r="J119" s="85">
        <f>Table58[[#This Row],[Exports]]/Table58[[#This Row],[GDP]]</f>
        <v/>
      </c>
      <c r="K119" s="85">
        <f>-Table58[[#This Row],[Imports]]/Table58[[#This Row],[GDP]]</f>
        <v/>
      </c>
      <c r="L119" s="85">
        <f>Table58[[#This Row],[Government]]/Table58[[#This Row],[GDP]]</f>
        <v/>
      </c>
      <c r="N119" s="52">
        <f>SUM(Table58[[#This Row],[PC%]:[G%]])</f>
        <v/>
      </c>
      <c r="O119" s="55">
        <f>Table58[[#This Row],[Personal Consumption]]+Table58[[#This Row],[Private Investment]]+Table58[[#This Row],[Exports]]+Table58[[#This Row],[Government]]-Table58[[#This Row],[Imports]]</f>
        <v/>
      </c>
    </row>
    <row r="120">
      <c r="A120" s="94" t="n">
        <v>27576</v>
      </c>
      <c r="B120" s="164">
        <f>VLOOKUP(A120,'U.S. GDP'!A:B,2,)</f>
        <v/>
      </c>
      <c r="C120" s="164">
        <f>VLOOKUP(A120,PersonalConsumption!A:B,2,)</f>
        <v/>
      </c>
      <c r="D120" s="164">
        <f>VLOOKUP(A120,PrivateInvestment!A:B,2,)</f>
        <v/>
      </c>
      <c r="E120" s="164">
        <f>VLOOKUP(A120,Exports!A:B,2,)</f>
        <v/>
      </c>
      <c r="F120" s="164">
        <f>VLOOKUP(A120,Imports!A:B,2,)</f>
        <v/>
      </c>
      <c r="G120" s="164">
        <f>VLOOKUP(A120,Government!A:B,2,)</f>
        <v/>
      </c>
      <c r="H120" s="85">
        <f>Table58[[#This Row],[Personal Consumption]]/Table58[[#This Row],[GDP]]</f>
        <v/>
      </c>
      <c r="I120" s="85">
        <f>Table58[[#This Row],[Private Investment]]/Table58[[#This Row],[GDP]]</f>
        <v/>
      </c>
      <c r="J120" s="85">
        <f>Table58[[#This Row],[Exports]]/Table58[[#This Row],[GDP]]</f>
        <v/>
      </c>
      <c r="K120" s="85">
        <f>-Table58[[#This Row],[Imports]]/Table58[[#This Row],[GDP]]</f>
        <v/>
      </c>
      <c r="L120" s="85">
        <f>Table58[[#This Row],[Government]]/Table58[[#This Row],[GDP]]</f>
        <v/>
      </c>
      <c r="N120" s="52">
        <f>SUM(Table58[[#This Row],[PC%]:[G%]])</f>
        <v/>
      </c>
      <c r="O120" s="55">
        <f>Table58[[#This Row],[Personal Consumption]]+Table58[[#This Row],[Private Investment]]+Table58[[#This Row],[Exports]]+Table58[[#This Row],[Government]]-Table58[[#This Row],[Imports]]</f>
        <v/>
      </c>
    </row>
    <row r="121">
      <c r="A121" s="94" t="n">
        <v>27668</v>
      </c>
      <c r="B121" s="164">
        <f>VLOOKUP(A121,'U.S. GDP'!A:B,2,)</f>
        <v/>
      </c>
      <c r="C121" s="164">
        <f>VLOOKUP(A121,PersonalConsumption!A:B,2,)</f>
        <v/>
      </c>
      <c r="D121" s="164">
        <f>VLOOKUP(A121,PrivateInvestment!A:B,2,)</f>
        <v/>
      </c>
      <c r="E121" s="164">
        <f>VLOOKUP(A121,Exports!A:B,2,)</f>
        <v/>
      </c>
      <c r="F121" s="164">
        <f>VLOOKUP(A121,Imports!A:B,2,)</f>
        <v/>
      </c>
      <c r="G121" s="164">
        <f>VLOOKUP(A121,Government!A:B,2,)</f>
        <v/>
      </c>
      <c r="H121" s="85">
        <f>Table58[[#This Row],[Personal Consumption]]/Table58[[#This Row],[GDP]]</f>
        <v/>
      </c>
      <c r="I121" s="85">
        <f>Table58[[#This Row],[Private Investment]]/Table58[[#This Row],[GDP]]</f>
        <v/>
      </c>
      <c r="J121" s="85">
        <f>Table58[[#This Row],[Exports]]/Table58[[#This Row],[GDP]]</f>
        <v/>
      </c>
      <c r="K121" s="85">
        <f>-Table58[[#This Row],[Imports]]/Table58[[#This Row],[GDP]]</f>
        <v/>
      </c>
      <c r="L121" s="85">
        <f>Table58[[#This Row],[Government]]/Table58[[#This Row],[GDP]]</f>
        <v/>
      </c>
      <c r="N121" s="52">
        <f>SUM(Table58[[#This Row],[PC%]:[G%]])</f>
        <v/>
      </c>
      <c r="O121" s="55">
        <f>Table58[[#This Row],[Personal Consumption]]+Table58[[#This Row],[Private Investment]]+Table58[[#This Row],[Exports]]+Table58[[#This Row],[Government]]-Table58[[#This Row],[Imports]]</f>
        <v/>
      </c>
    </row>
    <row r="122">
      <c r="A122" s="94" t="n">
        <v>27760</v>
      </c>
      <c r="B122" s="164">
        <f>VLOOKUP(A122,'U.S. GDP'!A:B,2,)</f>
        <v/>
      </c>
      <c r="C122" s="164">
        <f>VLOOKUP(A122,PersonalConsumption!A:B,2,)</f>
        <v/>
      </c>
      <c r="D122" s="164">
        <f>VLOOKUP(A122,PrivateInvestment!A:B,2,)</f>
        <v/>
      </c>
      <c r="E122" s="164">
        <f>VLOOKUP(A122,Exports!A:B,2,)</f>
        <v/>
      </c>
      <c r="F122" s="164">
        <f>VLOOKUP(A122,Imports!A:B,2,)</f>
        <v/>
      </c>
      <c r="G122" s="164">
        <f>VLOOKUP(A122,Government!A:B,2,)</f>
        <v/>
      </c>
      <c r="H122" s="85">
        <f>Table58[[#This Row],[Personal Consumption]]/Table58[[#This Row],[GDP]]</f>
        <v/>
      </c>
      <c r="I122" s="85">
        <f>Table58[[#This Row],[Private Investment]]/Table58[[#This Row],[GDP]]</f>
        <v/>
      </c>
      <c r="J122" s="85">
        <f>Table58[[#This Row],[Exports]]/Table58[[#This Row],[GDP]]</f>
        <v/>
      </c>
      <c r="K122" s="85">
        <f>-Table58[[#This Row],[Imports]]/Table58[[#This Row],[GDP]]</f>
        <v/>
      </c>
      <c r="L122" s="85">
        <f>Table58[[#This Row],[Government]]/Table58[[#This Row],[GDP]]</f>
        <v/>
      </c>
      <c r="N122" s="52">
        <f>SUM(Table58[[#This Row],[PC%]:[G%]])</f>
        <v/>
      </c>
      <c r="O122" s="55">
        <f>Table58[[#This Row],[Personal Consumption]]+Table58[[#This Row],[Private Investment]]+Table58[[#This Row],[Exports]]+Table58[[#This Row],[Government]]-Table58[[#This Row],[Imports]]</f>
        <v/>
      </c>
    </row>
    <row r="123">
      <c r="A123" s="94" t="n">
        <v>27851</v>
      </c>
      <c r="B123" s="164">
        <f>VLOOKUP(A123,'U.S. GDP'!A:B,2,)</f>
        <v/>
      </c>
      <c r="C123" s="164">
        <f>VLOOKUP(A123,PersonalConsumption!A:B,2,)</f>
        <v/>
      </c>
      <c r="D123" s="164">
        <f>VLOOKUP(A123,PrivateInvestment!A:B,2,)</f>
        <v/>
      </c>
      <c r="E123" s="164">
        <f>VLOOKUP(A123,Exports!A:B,2,)</f>
        <v/>
      </c>
      <c r="F123" s="164">
        <f>VLOOKUP(A123,Imports!A:B,2,)</f>
        <v/>
      </c>
      <c r="G123" s="164">
        <f>VLOOKUP(A123,Government!A:B,2,)</f>
        <v/>
      </c>
      <c r="H123" s="85">
        <f>Table58[[#This Row],[Personal Consumption]]/Table58[[#This Row],[GDP]]</f>
        <v/>
      </c>
      <c r="I123" s="85">
        <f>Table58[[#This Row],[Private Investment]]/Table58[[#This Row],[GDP]]</f>
        <v/>
      </c>
      <c r="J123" s="85">
        <f>Table58[[#This Row],[Exports]]/Table58[[#This Row],[GDP]]</f>
        <v/>
      </c>
      <c r="K123" s="85">
        <f>-Table58[[#This Row],[Imports]]/Table58[[#This Row],[GDP]]</f>
        <v/>
      </c>
      <c r="L123" s="85">
        <f>Table58[[#This Row],[Government]]/Table58[[#This Row],[GDP]]</f>
        <v/>
      </c>
      <c r="N123" s="52">
        <f>SUM(Table58[[#This Row],[PC%]:[G%]])</f>
        <v/>
      </c>
      <c r="O123" s="55">
        <f>Table58[[#This Row],[Personal Consumption]]+Table58[[#This Row],[Private Investment]]+Table58[[#This Row],[Exports]]+Table58[[#This Row],[Government]]-Table58[[#This Row],[Imports]]</f>
        <v/>
      </c>
    </row>
    <row r="124">
      <c r="A124" s="94" t="n">
        <v>27942</v>
      </c>
      <c r="B124" s="164">
        <f>VLOOKUP(A124,'U.S. GDP'!A:B,2,)</f>
        <v/>
      </c>
      <c r="C124" s="164">
        <f>VLOOKUP(A124,PersonalConsumption!A:B,2,)</f>
        <v/>
      </c>
      <c r="D124" s="164">
        <f>VLOOKUP(A124,PrivateInvestment!A:B,2,)</f>
        <v/>
      </c>
      <c r="E124" s="164">
        <f>VLOOKUP(A124,Exports!A:B,2,)</f>
        <v/>
      </c>
      <c r="F124" s="164">
        <f>VLOOKUP(A124,Imports!A:B,2,)</f>
        <v/>
      </c>
      <c r="G124" s="164">
        <f>VLOOKUP(A124,Government!A:B,2,)</f>
        <v/>
      </c>
      <c r="H124" s="85">
        <f>Table58[[#This Row],[Personal Consumption]]/Table58[[#This Row],[GDP]]</f>
        <v/>
      </c>
      <c r="I124" s="85">
        <f>Table58[[#This Row],[Private Investment]]/Table58[[#This Row],[GDP]]</f>
        <v/>
      </c>
      <c r="J124" s="85">
        <f>Table58[[#This Row],[Exports]]/Table58[[#This Row],[GDP]]</f>
        <v/>
      </c>
      <c r="K124" s="85">
        <f>-Table58[[#This Row],[Imports]]/Table58[[#This Row],[GDP]]</f>
        <v/>
      </c>
      <c r="L124" s="85">
        <f>Table58[[#This Row],[Government]]/Table58[[#This Row],[GDP]]</f>
        <v/>
      </c>
      <c r="N124" s="52">
        <f>SUM(Table58[[#This Row],[PC%]:[G%]])</f>
        <v/>
      </c>
      <c r="O124" s="55">
        <f>Table58[[#This Row],[Personal Consumption]]+Table58[[#This Row],[Private Investment]]+Table58[[#This Row],[Exports]]+Table58[[#This Row],[Government]]-Table58[[#This Row],[Imports]]</f>
        <v/>
      </c>
    </row>
    <row r="125">
      <c r="A125" s="94" t="n">
        <v>28034</v>
      </c>
      <c r="B125" s="164">
        <f>VLOOKUP(A125,'U.S. GDP'!A:B,2,)</f>
        <v/>
      </c>
      <c r="C125" s="164">
        <f>VLOOKUP(A125,PersonalConsumption!A:B,2,)</f>
        <v/>
      </c>
      <c r="D125" s="164">
        <f>VLOOKUP(A125,PrivateInvestment!A:B,2,)</f>
        <v/>
      </c>
      <c r="E125" s="164">
        <f>VLOOKUP(A125,Exports!A:B,2,)</f>
        <v/>
      </c>
      <c r="F125" s="164">
        <f>VLOOKUP(A125,Imports!A:B,2,)</f>
        <v/>
      </c>
      <c r="G125" s="164">
        <f>VLOOKUP(A125,Government!A:B,2,)</f>
        <v/>
      </c>
      <c r="H125" s="85">
        <f>Table58[[#This Row],[Personal Consumption]]/Table58[[#This Row],[GDP]]</f>
        <v/>
      </c>
      <c r="I125" s="85">
        <f>Table58[[#This Row],[Private Investment]]/Table58[[#This Row],[GDP]]</f>
        <v/>
      </c>
      <c r="J125" s="85">
        <f>Table58[[#This Row],[Exports]]/Table58[[#This Row],[GDP]]</f>
        <v/>
      </c>
      <c r="K125" s="85">
        <f>-Table58[[#This Row],[Imports]]/Table58[[#This Row],[GDP]]</f>
        <v/>
      </c>
      <c r="L125" s="85">
        <f>Table58[[#This Row],[Government]]/Table58[[#This Row],[GDP]]</f>
        <v/>
      </c>
      <c r="N125" s="52">
        <f>SUM(Table58[[#This Row],[PC%]:[G%]])</f>
        <v/>
      </c>
      <c r="O125" s="55">
        <f>Table58[[#This Row],[Personal Consumption]]+Table58[[#This Row],[Private Investment]]+Table58[[#This Row],[Exports]]+Table58[[#This Row],[Government]]-Table58[[#This Row],[Imports]]</f>
        <v/>
      </c>
    </row>
    <row r="126">
      <c r="A126" s="94" t="n">
        <v>28126</v>
      </c>
      <c r="B126" s="164">
        <f>VLOOKUP(A126,'U.S. GDP'!A:B,2,)</f>
        <v/>
      </c>
      <c r="C126" s="164">
        <f>VLOOKUP(A126,PersonalConsumption!A:B,2,)</f>
        <v/>
      </c>
      <c r="D126" s="164">
        <f>VLOOKUP(A126,PrivateInvestment!A:B,2,)</f>
        <v/>
      </c>
      <c r="E126" s="164">
        <f>VLOOKUP(A126,Exports!A:B,2,)</f>
        <v/>
      </c>
      <c r="F126" s="164">
        <f>VLOOKUP(A126,Imports!A:B,2,)</f>
        <v/>
      </c>
      <c r="G126" s="164">
        <f>VLOOKUP(A126,Government!A:B,2,)</f>
        <v/>
      </c>
      <c r="H126" s="85">
        <f>Table58[[#This Row],[Personal Consumption]]/Table58[[#This Row],[GDP]]</f>
        <v/>
      </c>
      <c r="I126" s="85">
        <f>Table58[[#This Row],[Private Investment]]/Table58[[#This Row],[GDP]]</f>
        <v/>
      </c>
      <c r="J126" s="85">
        <f>Table58[[#This Row],[Exports]]/Table58[[#This Row],[GDP]]</f>
        <v/>
      </c>
      <c r="K126" s="85">
        <f>-Table58[[#This Row],[Imports]]/Table58[[#This Row],[GDP]]</f>
        <v/>
      </c>
      <c r="L126" s="85">
        <f>Table58[[#This Row],[Government]]/Table58[[#This Row],[GDP]]</f>
        <v/>
      </c>
      <c r="N126" s="52">
        <f>SUM(Table58[[#This Row],[PC%]:[G%]])</f>
        <v/>
      </c>
      <c r="O126" s="55">
        <f>Table58[[#This Row],[Personal Consumption]]+Table58[[#This Row],[Private Investment]]+Table58[[#This Row],[Exports]]+Table58[[#This Row],[Government]]-Table58[[#This Row],[Imports]]</f>
        <v/>
      </c>
    </row>
    <row r="127">
      <c r="A127" s="94" t="n">
        <v>28216</v>
      </c>
      <c r="B127" s="164">
        <f>VLOOKUP(A127,'U.S. GDP'!A:B,2,)</f>
        <v/>
      </c>
      <c r="C127" s="164">
        <f>VLOOKUP(A127,PersonalConsumption!A:B,2,)</f>
        <v/>
      </c>
      <c r="D127" s="164">
        <f>VLOOKUP(A127,PrivateInvestment!A:B,2,)</f>
        <v/>
      </c>
      <c r="E127" s="164">
        <f>VLOOKUP(A127,Exports!A:B,2,)</f>
        <v/>
      </c>
      <c r="F127" s="164">
        <f>VLOOKUP(A127,Imports!A:B,2,)</f>
        <v/>
      </c>
      <c r="G127" s="164">
        <f>VLOOKUP(A127,Government!A:B,2,)</f>
        <v/>
      </c>
      <c r="H127" s="85">
        <f>Table58[[#This Row],[Personal Consumption]]/Table58[[#This Row],[GDP]]</f>
        <v/>
      </c>
      <c r="I127" s="85">
        <f>Table58[[#This Row],[Private Investment]]/Table58[[#This Row],[GDP]]</f>
        <v/>
      </c>
      <c r="J127" s="85">
        <f>Table58[[#This Row],[Exports]]/Table58[[#This Row],[GDP]]</f>
        <v/>
      </c>
      <c r="K127" s="85">
        <f>-Table58[[#This Row],[Imports]]/Table58[[#This Row],[GDP]]</f>
        <v/>
      </c>
      <c r="L127" s="85">
        <f>Table58[[#This Row],[Government]]/Table58[[#This Row],[GDP]]</f>
        <v/>
      </c>
      <c r="N127" s="52">
        <f>SUM(Table58[[#This Row],[PC%]:[G%]])</f>
        <v/>
      </c>
      <c r="O127" s="55">
        <f>Table58[[#This Row],[Personal Consumption]]+Table58[[#This Row],[Private Investment]]+Table58[[#This Row],[Exports]]+Table58[[#This Row],[Government]]-Table58[[#This Row],[Imports]]</f>
        <v/>
      </c>
    </row>
    <row r="128">
      <c r="A128" s="94" t="n">
        <v>28307</v>
      </c>
      <c r="B128" s="164">
        <f>VLOOKUP(A128,'U.S. GDP'!A:B,2,)</f>
        <v/>
      </c>
      <c r="C128" s="164">
        <f>VLOOKUP(A128,PersonalConsumption!A:B,2,)</f>
        <v/>
      </c>
      <c r="D128" s="164">
        <f>VLOOKUP(A128,PrivateInvestment!A:B,2,)</f>
        <v/>
      </c>
      <c r="E128" s="164">
        <f>VLOOKUP(A128,Exports!A:B,2,)</f>
        <v/>
      </c>
      <c r="F128" s="164">
        <f>VLOOKUP(A128,Imports!A:B,2,)</f>
        <v/>
      </c>
      <c r="G128" s="164">
        <f>VLOOKUP(A128,Government!A:B,2,)</f>
        <v/>
      </c>
      <c r="H128" s="85">
        <f>Table58[[#This Row],[Personal Consumption]]/Table58[[#This Row],[GDP]]</f>
        <v/>
      </c>
      <c r="I128" s="85">
        <f>Table58[[#This Row],[Private Investment]]/Table58[[#This Row],[GDP]]</f>
        <v/>
      </c>
      <c r="J128" s="85">
        <f>Table58[[#This Row],[Exports]]/Table58[[#This Row],[GDP]]</f>
        <v/>
      </c>
      <c r="K128" s="85">
        <f>-Table58[[#This Row],[Imports]]/Table58[[#This Row],[GDP]]</f>
        <v/>
      </c>
      <c r="L128" s="85">
        <f>Table58[[#This Row],[Government]]/Table58[[#This Row],[GDP]]</f>
        <v/>
      </c>
      <c r="N128" s="52">
        <f>SUM(Table58[[#This Row],[PC%]:[G%]])</f>
        <v/>
      </c>
      <c r="O128" s="55">
        <f>Table58[[#This Row],[Personal Consumption]]+Table58[[#This Row],[Private Investment]]+Table58[[#This Row],[Exports]]+Table58[[#This Row],[Government]]-Table58[[#This Row],[Imports]]</f>
        <v/>
      </c>
    </row>
    <row r="129">
      <c r="A129" s="94" t="n">
        <v>28399</v>
      </c>
      <c r="B129" s="164">
        <f>VLOOKUP(A129,'U.S. GDP'!A:B,2,)</f>
        <v/>
      </c>
      <c r="C129" s="164">
        <f>VLOOKUP(A129,PersonalConsumption!A:B,2,)</f>
        <v/>
      </c>
      <c r="D129" s="164">
        <f>VLOOKUP(A129,PrivateInvestment!A:B,2,)</f>
        <v/>
      </c>
      <c r="E129" s="164">
        <f>VLOOKUP(A129,Exports!A:B,2,)</f>
        <v/>
      </c>
      <c r="F129" s="164">
        <f>VLOOKUP(A129,Imports!A:B,2,)</f>
        <v/>
      </c>
      <c r="G129" s="164">
        <f>VLOOKUP(A129,Government!A:B,2,)</f>
        <v/>
      </c>
      <c r="H129" s="85">
        <f>Table58[[#This Row],[Personal Consumption]]/Table58[[#This Row],[GDP]]</f>
        <v/>
      </c>
      <c r="I129" s="85">
        <f>Table58[[#This Row],[Private Investment]]/Table58[[#This Row],[GDP]]</f>
        <v/>
      </c>
      <c r="J129" s="85">
        <f>Table58[[#This Row],[Exports]]/Table58[[#This Row],[GDP]]</f>
        <v/>
      </c>
      <c r="K129" s="85">
        <f>-Table58[[#This Row],[Imports]]/Table58[[#This Row],[GDP]]</f>
        <v/>
      </c>
      <c r="L129" s="85">
        <f>Table58[[#This Row],[Government]]/Table58[[#This Row],[GDP]]</f>
        <v/>
      </c>
      <c r="N129" s="52">
        <f>SUM(Table58[[#This Row],[PC%]:[G%]])</f>
        <v/>
      </c>
      <c r="O129" s="55">
        <f>Table58[[#This Row],[Personal Consumption]]+Table58[[#This Row],[Private Investment]]+Table58[[#This Row],[Exports]]+Table58[[#This Row],[Government]]-Table58[[#This Row],[Imports]]</f>
        <v/>
      </c>
    </row>
    <row r="130">
      <c r="A130" s="94" t="n">
        <v>28491</v>
      </c>
      <c r="B130" s="164">
        <f>VLOOKUP(A130,'U.S. GDP'!A:B,2,)</f>
        <v/>
      </c>
      <c r="C130" s="164">
        <f>VLOOKUP(A130,PersonalConsumption!A:B,2,)</f>
        <v/>
      </c>
      <c r="D130" s="164">
        <f>VLOOKUP(A130,PrivateInvestment!A:B,2,)</f>
        <v/>
      </c>
      <c r="E130" s="164">
        <f>VLOOKUP(A130,Exports!A:B,2,)</f>
        <v/>
      </c>
      <c r="F130" s="164">
        <f>VLOOKUP(A130,Imports!A:B,2,)</f>
        <v/>
      </c>
      <c r="G130" s="164">
        <f>VLOOKUP(A130,Government!A:B,2,)</f>
        <v/>
      </c>
      <c r="H130" s="85">
        <f>Table58[[#This Row],[Personal Consumption]]/Table58[[#This Row],[GDP]]</f>
        <v/>
      </c>
      <c r="I130" s="85">
        <f>Table58[[#This Row],[Private Investment]]/Table58[[#This Row],[GDP]]</f>
        <v/>
      </c>
      <c r="J130" s="85">
        <f>Table58[[#This Row],[Exports]]/Table58[[#This Row],[GDP]]</f>
        <v/>
      </c>
      <c r="K130" s="85">
        <f>-Table58[[#This Row],[Imports]]/Table58[[#This Row],[GDP]]</f>
        <v/>
      </c>
      <c r="L130" s="85">
        <f>Table58[[#This Row],[Government]]/Table58[[#This Row],[GDP]]</f>
        <v/>
      </c>
      <c r="N130" s="52">
        <f>SUM(Table58[[#This Row],[PC%]:[G%]])</f>
        <v/>
      </c>
      <c r="O130" s="55">
        <f>Table58[[#This Row],[Personal Consumption]]+Table58[[#This Row],[Private Investment]]+Table58[[#This Row],[Exports]]+Table58[[#This Row],[Government]]-Table58[[#This Row],[Imports]]</f>
        <v/>
      </c>
    </row>
    <row r="131">
      <c r="A131" s="94" t="n">
        <v>28581</v>
      </c>
      <c r="B131" s="164">
        <f>VLOOKUP(A131,'U.S. GDP'!A:B,2,)</f>
        <v/>
      </c>
      <c r="C131" s="164">
        <f>VLOOKUP(A131,PersonalConsumption!A:B,2,)</f>
        <v/>
      </c>
      <c r="D131" s="164">
        <f>VLOOKUP(A131,PrivateInvestment!A:B,2,)</f>
        <v/>
      </c>
      <c r="E131" s="164">
        <f>VLOOKUP(A131,Exports!A:B,2,)</f>
        <v/>
      </c>
      <c r="F131" s="164">
        <f>VLOOKUP(A131,Imports!A:B,2,)</f>
        <v/>
      </c>
      <c r="G131" s="164">
        <f>VLOOKUP(A131,Government!A:B,2,)</f>
        <v/>
      </c>
      <c r="H131" s="85">
        <f>Table58[[#This Row],[Personal Consumption]]/Table58[[#This Row],[GDP]]</f>
        <v/>
      </c>
      <c r="I131" s="85">
        <f>Table58[[#This Row],[Private Investment]]/Table58[[#This Row],[GDP]]</f>
        <v/>
      </c>
      <c r="J131" s="85">
        <f>Table58[[#This Row],[Exports]]/Table58[[#This Row],[GDP]]</f>
        <v/>
      </c>
      <c r="K131" s="85">
        <f>-Table58[[#This Row],[Imports]]/Table58[[#This Row],[GDP]]</f>
        <v/>
      </c>
      <c r="L131" s="85">
        <f>Table58[[#This Row],[Government]]/Table58[[#This Row],[GDP]]</f>
        <v/>
      </c>
      <c r="N131" s="52">
        <f>SUM(Table58[[#This Row],[PC%]:[G%]])</f>
        <v/>
      </c>
      <c r="O131" s="55">
        <f>Table58[[#This Row],[Personal Consumption]]+Table58[[#This Row],[Private Investment]]+Table58[[#This Row],[Exports]]+Table58[[#This Row],[Government]]-Table58[[#This Row],[Imports]]</f>
        <v/>
      </c>
    </row>
    <row r="132">
      <c r="A132" s="94" t="n">
        <v>28672</v>
      </c>
      <c r="B132" s="164">
        <f>VLOOKUP(A132,'U.S. GDP'!A:B,2,)</f>
        <v/>
      </c>
      <c r="C132" s="164">
        <f>VLOOKUP(A132,PersonalConsumption!A:B,2,)</f>
        <v/>
      </c>
      <c r="D132" s="164">
        <f>VLOOKUP(A132,PrivateInvestment!A:B,2,)</f>
        <v/>
      </c>
      <c r="E132" s="164">
        <f>VLOOKUP(A132,Exports!A:B,2,)</f>
        <v/>
      </c>
      <c r="F132" s="164">
        <f>VLOOKUP(A132,Imports!A:B,2,)</f>
        <v/>
      </c>
      <c r="G132" s="164">
        <f>VLOOKUP(A132,Government!A:B,2,)</f>
        <v/>
      </c>
      <c r="H132" s="85">
        <f>Table58[[#This Row],[Personal Consumption]]/Table58[[#This Row],[GDP]]</f>
        <v/>
      </c>
      <c r="I132" s="85">
        <f>Table58[[#This Row],[Private Investment]]/Table58[[#This Row],[GDP]]</f>
        <v/>
      </c>
      <c r="J132" s="85">
        <f>Table58[[#This Row],[Exports]]/Table58[[#This Row],[GDP]]</f>
        <v/>
      </c>
      <c r="K132" s="85">
        <f>-Table58[[#This Row],[Imports]]/Table58[[#This Row],[GDP]]</f>
        <v/>
      </c>
      <c r="L132" s="85">
        <f>Table58[[#This Row],[Government]]/Table58[[#This Row],[GDP]]</f>
        <v/>
      </c>
      <c r="N132" s="52">
        <f>SUM(Table58[[#This Row],[PC%]:[G%]])</f>
        <v/>
      </c>
      <c r="O132" s="55">
        <f>Table58[[#This Row],[Personal Consumption]]+Table58[[#This Row],[Private Investment]]+Table58[[#This Row],[Exports]]+Table58[[#This Row],[Government]]-Table58[[#This Row],[Imports]]</f>
        <v/>
      </c>
    </row>
    <row r="133">
      <c r="A133" s="94" t="n">
        <v>28764</v>
      </c>
      <c r="B133" s="164">
        <f>VLOOKUP(A133,'U.S. GDP'!A:B,2,)</f>
        <v/>
      </c>
      <c r="C133" s="164">
        <f>VLOOKUP(A133,PersonalConsumption!A:B,2,)</f>
        <v/>
      </c>
      <c r="D133" s="164">
        <f>VLOOKUP(A133,PrivateInvestment!A:B,2,)</f>
        <v/>
      </c>
      <c r="E133" s="164">
        <f>VLOOKUP(A133,Exports!A:B,2,)</f>
        <v/>
      </c>
      <c r="F133" s="164">
        <f>VLOOKUP(A133,Imports!A:B,2,)</f>
        <v/>
      </c>
      <c r="G133" s="164">
        <f>VLOOKUP(A133,Government!A:B,2,)</f>
        <v/>
      </c>
      <c r="H133" s="85">
        <f>Table58[[#This Row],[Personal Consumption]]/Table58[[#This Row],[GDP]]</f>
        <v/>
      </c>
      <c r="I133" s="85">
        <f>Table58[[#This Row],[Private Investment]]/Table58[[#This Row],[GDP]]</f>
        <v/>
      </c>
      <c r="J133" s="85">
        <f>Table58[[#This Row],[Exports]]/Table58[[#This Row],[GDP]]</f>
        <v/>
      </c>
      <c r="K133" s="85">
        <f>-Table58[[#This Row],[Imports]]/Table58[[#This Row],[GDP]]</f>
        <v/>
      </c>
      <c r="L133" s="85">
        <f>Table58[[#This Row],[Government]]/Table58[[#This Row],[GDP]]</f>
        <v/>
      </c>
      <c r="N133" s="52">
        <f>SUM(Table58[[#This Row],[PC%]:[G%]])</f>
        <v/>
      </c>
      <c r="O133" s="55">
        <f>Table58[[#This Row],[Personal Consumption]]+Table58[[#This Row],[Private Investment]]+Table58[[#This Row],[Exports]]+Table58[[#This Row],[Government]]-Table58[[#This Row],[Imports]]</f>
        <v/>
      </c>
    </row>
    <row r="134">
      <c r="A134" s="94" t="n">
        <v>28856</v>
      </c>
      <c r="B134" s="164">
        <f>VLOOKUP(A134,'U.S. GDP'!A:B,2,)</f>
        <v/>
      </c>
      <c r="C134" s="164">
        <f>VLOOKUP(A134,PersonalConsumption!A:B,2,)</f>
        <v/>
      </c>
      <c r="D134" s="164">
        <f>VLOOKUP(A134,PrivateInvestment!A:B,2,)</f>
        <v/>
      </c>
      <c r="E134" s="164">
        <f>VLOOKUP(A134,Exports!A:B,2,)</f>
        <v/>
      </c>
      <c r="F134" s="164">
        <f>VLOOKUP(A134,Imports!A:B,2,)</f>
        <v/>
      </c>
      <c r="G134" s="164">
        <f>VLOOKUP(A134,Government!A:B,2,)</f>
        <v/>
      </c>
      <c r="H134" s="85">
        <f>Table58[[#This Row],[Personal Consumption]]/Table58[[#This Row],[GDP]]</f>
        <v/>
      </c>
      <c r="I134" s="85">
        <f>Table58[[#This Row],[Private Investment]]/Table58[[#This Row],[GDP]]</f>
        <v/>
      </c>
      <c r="J134" s="85">
        <f>Table58[[#This Row],[Exports]]/Table58[[#This Row],[GDP]]</f>
        <v/>
      </c>
      <c r="K134" s="85">
        <f>-Table58[[#This Row],[Imports]]/Table58[[#This Row],[GDP]]</f>
        <v/>
      </c>
      <c r="L134" s="85">
        <f>Table58[[#This Row],[Government]]/Table58[[#This Row],[GDP]]</f>
        <v/>
      </c>
      <c r="N134" s="52">
        <f>SUM(Table58[[#This Row],[PC%]:[G%]])</f>
        <v/>
      </c>
      <c r="O134" s="55">
        <f>Table58[[#This Row],[Personal Consumption]]+Table58[[#This Row],[Private Investment]]+Table58[[#This Row],[Exports]]+Table58[[#This Row],[Government]]-Table58[[#This Row],[Imports]]</f>
        <v/>
      </c>
    </row>
    <row r="135">
      <c r="A135" s="94" t="n">
        <v>28946</v>
      </c>
      <c r="B135" s="164">
        <f>VLOOKUP(A135,'U.S. GDP'!A:B,2,)</f>
        <v/>
      </c>
      <c r="C135" s="164">
        <f>VLOOKUP(A135,PersonalConsumption!A:B,2,)</f>
        <v/>
      </c>
      <c r="D135" s="164">
        <f>VLOOKUP(A135,PrivateInvestment!A:B,2,)</f>
        <v/>
      </c>
      <c r="E135" s="164">
        <f>VLOOKUP(A135,Exports!A:B,2,)</f>
        <v/>
      </c>
      <c r="F135" s="164">
        <f>VLOOKUP(A135,Imports!A:B,2,)</f>
        <v/>
      </c>
      <c r="G135" s="164">
        <f>VLOOKUP(A135,Government!A:B,2,)</f>
        <v/>
      </c>
      <c r="H135" s="85">
        <f>Table58[[#This Row],[Personal Consumption]]/Table58[[#This Row],[GDP]]</f>
        <v/>
      </c>
      <c r="I135" s="85">
        <f>Table58[[#This Row],[Private Investment]]/Table58[[#This Row],[GDP]]</f>
        <v/>
      </c>
      <c r="J135" s="85">
        <f>Table58[[#This Row],[Exports]]/Table58[[#This Row],[GDP]]</f>
        <v/>
      </c>
      <c r="K135" s="85">
        <f>-Table58[[#This Row],[Imports]]/Table58[[#This Row],[GDP]]</f>
        <v/>
      </c>
      <c r="L135" s="85">
        <f>Table58[[#This Row],[Government]]/Table58[[#This Row],[GDP]]</f>
        <v/>
      </c>
      <c r="N135" s="52">
        <f>SUM(Table58[[#This Row],[PC%]:[G%]])</f>
        <v/>
      </c>
      <c r="O135" s="55">
        <f>Table58[[#This Row],[Personal Consumption]]+Table58[[#This Row],[Private Investment]]+Table58[[#This Row],[Exports]]+Table58[[#This Row],[Government]]-Table58[[#This Row],[Imports]]</f>
        <v/>
      </c>
    </row>
    <row r="136">
      <c r="A136" s="94" t="n">
        <v>29037</v>
      </c>
      <c r="B136" s="164">
        <f>VLOOKUP(A136,'U.S. GDP'!A:B,2,)</f>
        <v/>
      </c>
      <c r="C136" s="164">
        <f>VLOOKUP(A136,PersonalConsumption!A:B,2,)</f>
        <v/>
      </c>
      <c r="D136" s="164">
        <f>VLOOKUP(A136,PrivateInvestment!A:B,2,)</f>
        <v/>
      </c>
      <c r="E136" s="164">
        <f>VLOOKUP(A136,Exports!A:B,2,)</f>
        <v/>
      </c>
      <c r="F136" s="164">
        <f>VLOOKUP(A136,Imports!A:B,2,)</f>
        <v/>
      </c>
      <c r="G136" s="164">
        <f>VLOOKUP(A136,Government!A:B,2,)</f>
        <v/>
      </c>
      <c r="H136" s="85">
        <f>Table58[[#This Row],[Personal Consumption]]/Table58[[#This Row],[GDP]]</f>
        <v/>
      </c>
      <c r="I136" s="85">
        <f>Table58[[#This Row],[Private Investment]]/Table58[[#This Row],[GDP]]</f>
        <v/>
      </c>
      <c r="J136" s="85">
        <f>Table58[[#This Row],[Exports]]/Table58[[#This Row],[GDP]]</f>
        <v/>
      </c>
      <c r="K136" s="85">
        <f>-Table58[[#This Row],[Imports]]/Table58[[#This Row],[GDP]]</f>
        <v/>
      </c>
      <c r="L136" s="85">
        <f>Table58[[#This Row],[Government]]/Table58[[#This Row],[GDP]]</f>
        <v/>
      </c>
      <c r="N136" s="52">
        <f>SUM(Table58[[#This Row],[PC%]:[G%]])</f>
        <v/>
      </c>
      <c r="O136" s="55">
        <f>Table58[[#This Row],[Personal Consumption]]+Table58[[#This Row],[Private Investment]]+Table58[[#This Row],[Exports]]+Table58[[#This Row],[Government]]-Table58[[#This Row],[Imports]]</f>
        <v/>
      </c>
    </row>
    <row r="137">
      <c r="A137" s="94" t="n">
        <v>29129</v>
      </c>
      <c r="B137" s="164">
        <f>VLOOKUP(A137,'U.S. GDP'!A:B,2,)</f>
        <v/>
      </c>
      <c r="C137" s="164">
        <f>VLOOKUP(A137,PersonalConsumption!A:B,2,)</f>
        <v/>
      </c>
      <c r="D137" s="164">
        <f>VLOOKUP(A137,PrivateInvestment!A:B,2,)</f>
        <v/>
      </c>
      <c r="E137" s="164">
        <f>VLOOKUP(A137,Exports!A:B,2,)</f>
        <v/>
      </c>
      <c r="F137" s="164">
        <f>VLOOKUP(A137,Imports!A:B,2,)</f>
        <v/>
      </c>
      <c r="G137" s="164">
        <f>VLOOKUP(A137,Government!A:B,2,)</f>
        <v/>
      </c>
      <c r="H137" s="85">
        <f>Table58[[#This Row],[Personal Consumption]]/Table58[[#This Row],[GDP]]</f>
        <v/>
      </c>
      <c r="I137" s="85">
        <f>Table58[[#This Row],[Private Investment]]/Table58[[#This Row],[GDP]]</f>
        <v/>
      </c>
      <c r="J137" s="85">
        <f>Table58[[#This Row],[Exports]]/Table58[[#This Row],[GDP]]</f>
        <v/>
      </c>
      <c r="K137" s="85">
        <f>-Table58[[#This Row],[Imports]]/Table58[[#This Row],[GDP]]</f>
        <v/>
      </c>
      <c r="L137" s="85">
        <f>Table58[[#This Row],[Government]]/Table58[[#This Row],[GDP]]</f>
        <v/>
      </c>
      <c r="N137" s="52">
        <f>SUM(Table58[[#This Row],[PC%]:[G%]])</f>
        <v/>
      </c>
      <c r="O137" s="55">
        <f>Table58[[#This Row],[Personal Consumption]]+Table58[[#This Row],[Private Investment]]+Table58[[#This Row],[Exports]]+Table58[[#This Row],[Government]]-Table58[[#This Row],[Imports]]</f>
        <v/>
      </c>
    </row>
    <row r="138">
      <c r="A138" s="94" t="n">
        <v>29221</v>
      </c>
      <c r="B138" s="164">
        <f>VLOOKUP(A138,'U.S. GDP'!A:B,2,)</f>
        <v/>
      </c>
      <c r="C138" s="164">
        <f>VLOOKUP(A138,PersonalConsumption!A:B,2,)</f>
        <v/>
      </c>
      <c r="D138" s="164">
        <f>VLOOKUP(A138,PrivateInvestment!A:B,2,)</f>
        <v/>
      </c>
      <c r="E138" s="164">
        <f>VLOOKUP(A138,Exports!A:B,2,)</f>
        <v/>
      </c>
      <c r="F138" s="164">
        <f>VLOOKUP(A138,Imports!A:B,2,)</f>
        <v/>
      </c>
      <c r="G138" s="164">
        <f>VLOOKUP(A138,Government!A:B,2,)</f>
        <v/>
      </c>
      <c r="H138" s="85">
        <f>Table58[[#This Row],[Personal Consumption]]/Table58[[#This Row],[GDP]]</f>
        <v/>
      </c>
      <c r="I138" s="85">
        <f>Table58[[#This Row],[Private Investment]]/Table58[[#This Row],[GDP]]</f>
        <v/>
      </c>
      <c r="J138" s="85">
        <f>Table58[[#This Row],[Exports]]/Table58[[#This Row],[GDP]]</f>
        <v/>
      </c>
      <c r="K138" s="85">
        <f>-Table58[[#This Row],[Imports]]/Table58[[#This Row],[GDP]]</f>
        <v/>
      </c>
      <c r="L138" s="85">
        <f>Table58[[#This Row],[Government]]/Table58[[#This Row],[GDP]]</f>
        <v/>
      </c>
      <c r="N138" s="52">
        <f>SUM(Table58[[#This Row],[PC%]:[G%]])</f>
        <v/>
      </c>
      <c r="O138" s="55">
        <f>Table58[[#This Row],[Personal Consumption]]+Table58[[#This Row],[Private Investment]]+Table58[[#This Row],[Exports]]+Table58[[#This Row],[Government]]-Table58[[#This Row],[Imports]]</f>
        <v/>
      </c>
    </row>
    <row r="139">
      <c r="A139" s="94" t="n">
        <v>29312</v>
      </c>
      <c r="B139" s="164">
        <f>VLOOKUP(A139,'U.S. GDP'!A:B,2,)</f>
        <v/>
      </c>
      <c r="C139" s="164">
        <f>VLOOKUP(A139,PersonalConsumption!A:B,2,)</f>
        <v/>
      </c>
      <c r="D139" s="164">
        <f>VLOOKUP(A139,PrivateInvestment!A:B,2,)</f>
        <v/>
      </c>
      <c r="E139" s="164">
        <f>VLOOKUP(A139,Exports!A:B,2,)</f>
        <v/>
      </c>
      <c r="F139" s="164">
        <f>VLOOKUP(A139,Imports!A:B,2,)</f>
        <v/>
      </c>
      <c r="G139" s="164">
        <f>VLOOKUP(A139,Government!A:B,2,)</f>
        <v/>
      </c>
      <c r="H139" s="85">
        <f>Table58[[#This Row],[Personal Consumption]]/Table58[[#This Row],[GDP]]</f>
        <v/>
      </c>
      <c r="I139" s="85">
        <f>Table58[[#This Row],[Private Investment]]/Table58[[#This Row],[GDP]]</f>
        <v/>
      </c>
      <c r="J139" s="85">
        <f>Table58[[#This Row],[Exports]]/Table58[[#This Row],[GDP]]</f>
        <v/>
      </c>
      <c r="K139" s="85">
        <f>-Table58[[#This Row],[Imports]]/Table58[[#This Row],[GDP]]</f>
        <v/>
      </c>
      <c r="L139" s="85">
        <f>Table58[[#This Row],[Government]]/Table58[[#This Row],[GDP]]</f>
        <v/>
      </c>
      <c r="N139" s="52">
        <f>SUM(Table58[[#This Row],[PC%]:[G%]])</f>
        <v/>
      </c>
      <c r="O139" s="55">
        <f>Table58[[#This Row],[Personal Consumption]]+Table58[[#This Row],[Private Investment]]+Table58[[#This Row],[Exports]]+Table58[[#This Row],[Government]]-Table58[[#This Row],[Imports]]</f>
        <v/>
      </c>
    </row>
    <row r="140">
      <c r="A140" s="94" t="n">
        <v>29403</v>
      </c>
      <c r="B140" s="164">
        <f>VLOOKUP(A140,'U.S. GDP'!A:B,2,)</f>
        <v/>
      </c>
      <c r="C140" s="164">
        <f>VLOOKUP(A140,PersonalConsumption!A:B,2,)</f>
        <v/>
      </c>
      <c r="D140" s="164">
        <f>VLOOKUP(A140,PrivateInvestment!A:B,2,)</f>
        <v/>
      </c>
      <c r="E140" s="164">
        <f>VLOOKUP(A140,Exports!A:B,2,)</f>
        <v/>
      </c>
      <c r="F140" s="164">
        <f>VLOOKUP(A140,Imports!A:B,2,)</f>
        <v/>
      </c>
      <c r="G140" s="164">
        <f>VLOOKUP(A140,Government!A:B,2,)</f>
        <v/>
      </c>
      <c r="H140" s="85">
        <f>Table58[[#This Row],[Personal Consumption]]/Table58[[#This Row],[GDP]]</f>
        <v/>
      </c>
      <c r="I140" s="85">
        <f>Table58[[#This Row],[Private Investment]]/Table58[[#This Row],[GDP]]</f>
        <v/>
      </c>
      <c r="J140" s="85">
        <f>Table58[[#This Row],[Exports]]/Table58[[#This Row],[GDP]]</f>
        <v/>
      </c>
      <c r="K140" s="85">
        <f>-Table58[[#This Row],[Imports]]/Table58[[#This Row],[GDP]]</f>
        <v/>
      </c>
      <c r="L140" s="85">
        <f>Table58[[#This Row],[Government]]/Table58[[#This Row],[GDP]]</f>
        <v/>
      </c>
      <c r="N140" s="52">
        <f>SUM(Table58[[#This Row],[PC%]:[G%]])</f>
        <v/>
      </c>
      <c r="O140" s="55">
        <f>Table58[[#This Row],[Personal Consumption]]+Table58[[#This Row],[Private Investment]]+Table58[[#This Row],[Exports]]+Table58[[#This Row],[Government]]-Table58[[#This Row],[Imports]]</f>
        <v/>
      </c>
    </row>
    <row r="141">
      <c r="A141" s="94" t="n">
        <v>29495</v>
      </c>
      <c r="B141" s="164">
        <f>VLOOKUP(A141,'U.S. GDP'!A:B,2,)</f>
        <v/>
      </c>
      <c r="C141" s="164">
        <f>VLOOKUP(A141,PersonalConsumption!A:B,2,)</f>
        <v/>
      </c>
      <c r="D141" s="164">
        <f>VLOOKUP(A141,PrivateInvestment!A:B,2,)</f>
        <v/>
      </c>
      <c r="E141" s="164">
        <f>VLOOKUP(A141,Exports!A:B,2,)</f>
        <v/>
      </c>
      <c r="F141" s="164">
        <f>VLOOKUP(A141,Imports!A:B,2,)</f>
        <v/>
      </c>
      <c r="G141" s="164">
        <f>VLOOKUP(A141,Government!A:B,2,)</f>
        <v/>
      </c>
      <c r="H141" s="85">
        <f>Table58[[#This Row],[Personal Consumption]]/Table58[[#This Row],[GDP]]</f>
        <v/>
      </c>
      <c r="I141" s="85">
        <f>Table58[[#This Row],[Private Investment]]/Table58[[#This Row],[GDP]]</f>
        <v/>
      </c>
      <c r="J141" s="85">
        <f>Table58[[#This Row],[Exports]]/Table58[[#This Row],[GDP]]</f>
        <v/>
      </c>
      <c r="K141" s="85">
        <f>-Table58[[#This Row],[Imports]]/Table58[[#This Row],[GDP]]</f>
        <v/>
      </c>
      <c r="L141" s="85">
        <f>Table58[[#This Row],[Government]]/Table58[[#This Row],[GDP]]</f>
        <v/>
      </c>
      <c r="N141" s="52">
        <f>SUM(Table58[[#This Row],[PC%]:[G%]])</f>
        <v/>
      </c>
      <c r="O141" s="55">
        <f>Table58[[#This Row],[Personal Consumption]]+Table58[[#This Row],[Private Investment]]+Table58[[#This Row],[Exports]]+Table58[[#This Row],[Government]]-Table58[[#This Row],[Imports]]</f>
        <v/>
      </c>
    </row>
    <row r="142">
      <c r="A142" s="94" t="n">
        <v>29587</v>
      </c>
      <c r="B142" s="164">
        <f>VLOOKUP(A142,'U.S. GDP'!A:B,2,)</f>
        <v/>
      </c>
      <c r="C142" s="164">
        <f>VLOOKUP(A142,PersonalConsumption!A:B,2,)</f>
        <v/>
      </c>
      <c r="D142" s="164">
        <f>VLOOKUP(A142,PrivateInvestment!A:B,2,)</f>
        <v/>
      </c>
      <c r="E142" s="164">
        <f>VLOOKUP(A142,Exports!A:B,2,)</f>
        <v/>
      </c>
      <c r="F142" s="164">
        <f>VLOOKUP(A142,Imports!A:B,2,)</f>
        <v/>
      </c>
      <c r="G142" s="164">
        <f>VLOOKUP(A142,Government!A:B,2,)</f>
        <v/>
      </c>
      <c r="H142" s="85">
        <f>Table58[[#This Row],[Personal Consumption]]/Table58[[#This Row],[GDP]]</f>
        <v/>
      </c>
      <c r="I142" s="85">
        <f>Table58[[#This Row],[Private Investment]]/Table58[[#This Row],[GDP]]</f>
        <v/>
      </c>
      <c r="J142" s="85">
        <f>Table58[[#This Row],[Exports]]/Table58[[#This Row],[GDP]]</f>
        <v/>
      </c>
      <c r="K142" s="85">
        <f>-Table58[[#This Row],[Imports]]/Table58[[#This Row],[GDP]]</f>
        <v/>
      </c>
      <c r="L142" s="85">
        <f>Table58[[#This Row],[Government]]/Table58[[#This Row],[GDP]]</f>
        <v/>
      </c>
      <c r="N142" s="52">
        <f>SUM(Table58[[#This Row],[PC%]:[G%]])</f>
        <v/>
      </c>
      <c r="O142" s="55">
        <f>Table58[[#This Row],[Personal Consumption]]+Table58[[#This Row],[Private Investment]]+Table58[[#This Row],[Exports]]+Table58[[#This Row],[Government]]-Table58[[#This Row],[Imports]]</f>
        <v/>
      </c>
    </row>
    <row r="143">
      <c r="A143" s="94" t="n">
        <v>29677</v>
      </c>
      <c r="B143" s="164">
        <f>VLOOKUP(A143,'U.S. GDP'!A:B,2,)</f>
        <v/>
      </c>
      <c r="C143" s="164">
        <f>VLOOKUP(A143,PersonalConsumption!A:B,2,)</f>
        <v/>
      </c>
      <c r="D143" s="164">
        <f>VLOOKUP(A143,PrivateInvestment!A:B,2,)</f>
        <v/>
      </c>
      <c r="E143" s="164">
        <f>VLOOKUP(A143,Exports!A:B,2,)</f>
        <v/>
      </c>
      <c r="F143" s="164">
        <f>VLOOKUP(A143,Imports!A:B,2,)</f>
        <v/>
      </c>
      <c r="G143" s="164">
        <f>VLOOKUP(A143,Government!A:B,2,)</f>
        <v/>
      </c>
      <c r="H143" s="85">
        <f>Table58[[#This Row],[Personal Consumption]]/Table58[[#This Row],[GDP]]</f>
        <v/>
      </c>
      <c r="I143" s="85">
        <f>Table58[[#This Row],[Private Investment]]/Table58[[#This Row],[GDP]]</f>
        <v/>
      </c>
      <c r="J143" s="85">
        <f>Table58[[#This Row],[Exports]]/Table58[[#This Row],[GDP]]</f>
        <v/>
      </c>
      <c r="K143" s="85">
        <f>-Table58[[#This Row],[Imports]]/Table58[[#This Row],[GDP]]</f>
        <v/>
      </c>
      <c r="L143" s="85">
        <f>Table58[[#This Row],[Government]]/Table58[[#This Row],[GDP]]</f>
        <v/>
      </c>
      <c r="N143" s="52">
        <f>SUM(Table58[[#This Row],[PC%]:[G%]])</f>
        <v/>
      </c>
      <c r="O143" s="55">
        <f>Table58[[#This Row],[Personal Consumption]]+Table58[[#This Row],[Private Investment]]+Table58[[#This Row],[Exports]]+Table58[[#This Row],[Government]]-Table58[[#This Row],[Imports]]</f>
        <v/>
      </c>
    </row>
    <row r="144">
      <c r="A144" s="94" t="n">
        <v>29768</v>
      </c>
      <c r="B144" s="164">
        <f>VLOOKUP(A144,'U.S. GDP'!A:B,2,)</f>
        <v/>
      </c>
      <c r="C144" s="164">
        <f>VLOOKUP(A144,PersonalConsumption!A:B,2,)</f>
        <v/>
      </c>
      <c r="D144" s="164">
        <f>VLOOKUP(A144,PrivateInvestment!A:B,2,)</f>
        <v/>
      </c>
      <c r="E144" s="164">
        <f>VLOOKUP(A144,Exports!A:B,2,)</f>
        <v/>
      </c>
      <c r="F144" s="164">
        <f>VLOOKUP(A144,Imports!A:B,2,)</f>
        <v/>
      </c>
      <c r="G144" s="164">
        <f>VLOOKUP(A144,Government!A:B,2,)</f>
        <v/>
      </c>
      <c r="H144" s="85">
        <f>Table58[[#This Row],[Personal Consumption]]/Table58[[#This Row],[GDP]]</f>
        <v/>
      </c>
      <c r="I144" s="85">
        <f>Table58[[#This Row],[Private Investment]]/Table58[[#This Row],[GDP]]</f>
        <v/>
      </c>
      <c r="J144" s="85">
        <f>Table58[[#This Row],[Exports]]/Table58[[#This Row],[GDP]]</f>
        <v/>
      </c>
      <c r="K144" s="85">
        <f>-Table58[[#This Row],[Imports]]/Table58[[#This Row],[GDP]]</f>
        <v/>
      </c>
      <c r="L144" s="85">
        <f>Table58[[#This Row],[Government]]/Table58[[#This Row],[GDP]]</f>
        <v/>
      </c>
      <c r="N144" s="52">
        <f>SUM(Table58[[#This Row],[PC%]:[G%]])</f>
        <v/>
      </c>
      <c r="O144" s="55">
        <f>Table58[[#This Row],[Personal Consumption]]+Table58[[#This Row],[Private Investment]]+Table58[[#This Row],[Exports]]+Table58[[#This Row],[Government]]-Table58[[#This Row],[Imports]]</f>
        <v/>
      </c>
    </row>
    <row r="145">
      <c r="A145" s="94" t="n">
        <v>29860</v>
      </c>
      <c r="B145" s="164">
        <f>VLOOKUP(A145,'U.S. GDP'!A:B,2,)</f>
        <v/>
      </c>
      <c r="C145" s="164">
        <f>VLOOKUP(A145,PersonalConsumption!A:B,2,)</f>
        <v/>
      </c>
      <c r="D145" s="164">
        <f>VLOOKUP(A145,PrivateInvestment!A:B,2,)</f>
        <v/>
      </c>
      <c r="E145" s="164">
        <f>VLOOKUP(A145,Exports!A:B,2,)</f>
        <v/>
      </c>
      <c r="F145" s="164">
        <f>VLOOKUP(A145,Imports!A:B,2,)</f>
        <v/>
      </c>
      <c r="G145" s="164">
        <f>VLOOKUP(A145,Government!A:B,2,)</f>
        <v/>
      </c>
      <c r="H145" s="85">
        <f>Table58[[#This Row],[Personal Consumption]]/Table58[[#This Row],[GDP]]</f>
        <v/>
      </c>
      <c r="I145" s="85">
        <f>Table58[[#This Row],[Private Investment]]/Table58[[#This Row],[GDP]]</f>
        <v/>
      </c>
      <c r="J145" s="85">
        <f>Table58[[#This Row],[Exports]]/Table58[[#This Row],[GDP]]</f>
        <v/>
      </c>
      <c r="K145" s="85">
        <f>-Table58[[#This Row],[Imports]]/Table58[[#This Row],[GDP]]</f>
        <v/>
      </c>
      <c r="L145" s="85">
        <f>Table58[[#This Row],[Government]]/Table58[[#This Row],[GDP]]</f>
        <v/>
      </c>
      <c r="N145" s="52">
        <f>SUM(Table58[[#This Row],[PC%]:[G%]])</f>
        <v/>
      </c>
      <c r="O145" s="55">
        <f>Table58[[#This Row],[Personal Consumption]]+Table58[[#This Row],[Private Investment]]+Table58[[#This Row],[Exports]]+Table58[[#This Row],[Government]]-Table58[[#This Row],[Imports]]</f>
        <v/>
      </c>
    </row>
    <row r="146">
      <c r="A146" s="94" t="n">
        <v>29952</v>
      </c>
      <c r="B146" s="164">
        <f>VLOOKUP(A146,'U.S. GDP'!A:B,2,)</f>
        <v/>
      </c>
      <c r="C146" s="164">
        <f>VLOOKUP(A146,PersonalConsumption!A:B,2,)</f>
        <v/>
      </c>
      <c r="D146" s="164">
        <f>VLOOKUP(A146,PrivateInvestment!A:B,2,)</f>
        <v/>
      </c>
      <c r="E146" s="164">
        <f>VLOOKUP(A146,Exports!A:B,2,)</f>
        <v/>
      </c>
      <c r="F146" s="164">
        <f>VLOOKUP(A146,Imports!A:B,2,)</f>
        <v/>
      </c>
      <c r="G146" s="164">
        <f>VLOOKUP(A146,Government!A:B,2,)</f>
        <v/>
      </c>
      <c r="H146" s="85">
        <f>Table58[[#This Row],[Personal Consumption]]/Table58[[#This Row],[GDP]]</f>
        <v/>
      </c>
      <c r="I146" s="85">
        <f>Table58[[#This Row],[Private Investment]]/Table58[[#This Row],[GDP]]</f>
        <v/>
      </c>
      <c r="J146" s="85">
        <f>Table58[[#This Row],[Exports]]/Table58[[#This Row],[GDP]]</f>
        <v/>
      </c>
      <c r="K146" s="85">
        <f>-Table58[[#This Row],[Imports]]/Table58[[#This Row],[GDP]]</f>
        <v/>
      </c>
      <c r="L146" s="85">
        <f>Table58[[#This Row],[Government]]/Table58[[#This Row],[GDP]]</f>
        <v/>
      </c>
      <c r="N146" s="52">
        <f>SUM(Table58[[#This Row],[PC%]:[G%]])</f>
        <v/>
      </c>
      <c r="O146" s="55">
        <f>Table58[[#This Row],[Personal Consumption]]+Table58[[#This Row],[Private Investment]]+Table58[[#This Row],[Exports]]+Table58[[#This Row],[Government]]-Table58[[#This Row],[Imports]]</f>
        <v/>
      </c>
    </row>
    <row r="147">
      <c r="A147" s="94" t="n">
        <v>30042</v>
      </c>
      <c r="B147" s="164">
        <f>VLOOKUP(A147,'U.S. GDP'!A:B,2,)</f>
        <v/>
      </c>
      <c r="C147" s="164">
        <f>VLOOKUP(A147,PersonalConsumption!A:B,2,)</f>
        <v/>
      </c>
      <c r="D147" s="164">
        <f>VLOOKUP(A147,PrivateInvestment!A:B,2,)</f>
        <v/>
      </c>
      <c r="E147" s="164">
        <f>VLOOKUP(A147,Exports!A:B,2,)</f>
        <v/>
      </c>
      <c r="F147" s="164">
        <f>VLOOKUP(A147,Imports!A:B,2,)</f>
        <v/>
      </c>
      <c r="G147" s="164">
        <f>VLOOKUP(A147,Government!A:B,2,)</f>
        <v/>
      </c>
      <c r="H147" s="85">
        <f>Table58[[#This Row],[Personal Consumption]]/Table58[[#This Row],[GDP]]</f>
        <v/>
      </c>
      <c r="I147" s="85">
        <f>Table58[[#This Row],[Private Investment]]/Table58[[#This Row],[GDP]]</f>
        <v/>
      </c>
      <c r="J147" s="85">
        <f>Table58[[#This Row],[Exports]]/Table58[[#This Row],[GDP]]</f>
        <v/>
      </c>
      <c r="K147" s="85">
        <f>-Table58[[#This Row],[Imports]]/Table58[[#This Row],[GDP]]</f>
        <v/>
      </c>
      <c r="L147" s="85">
        <f>Table58[[#This Row],[Government]]/Table58[[#This Row],[GDP]]</f>
        <v/>
      </c>
      <c r="N147" s="52">
        <f>SUM(Table58[[#This Row],[PC%]:[G%]])</f>
        <v/>
      </c>
      <c r="O147" s="55">
        <f>Table58[[#This Row],[Personal Consumption]]+Table58[[#This Row],[Private Investment]]+Table58[[#This Row],[Exports]]+Table58[[#This Row],[Government]]-Table58[[#This Row],[Imports]]</f>
        <v/>
      </c>
    </row>
    <row r="148">
      <c r="A148" s="94" t="n">
        <v>30133</v>
      </c>
      <c r="B148" s="164">
        <f>VLOOKUP(A148,'U.S. GDP'!A:B,2,)</f>
        <v/>
      </c>
      <c r="C148" s="164">
        <f>VLOOKUP(A148,PersonalConsumption!A:B,2,)</f>
        <v/>
      </c>
      <c r="D148" s="164">
        <f>VLOOKUP(A148,PrivateInvestment!A:B,2,)</f>
        <v/>
      </c>
      <c r="E148" s="164">
        <f>VLOOKUP(A148,Exports!A:B,2,)</f>
        <v/>
      </c>
      <c r="F148" s="164">
        <f>VLOOKUP(A148,Imports!A:B,2,)</f>
        <v/>
      </c>
      <c r="G148" s="164">
        <f>VLOOKUP(A148,Government!A:B,2,)</f>
        <v/>
      </c>
      <c r="H148" s="85">
        <f>Table58[[#This Row],[Personal Consumption]]/Table58[[#This Row],[GDP]]</f>
        <v/>
      </c>
      <c r="I148" s="85">
        <f>Table58[[#This Row],[Private Investment]]/Table58[[#This Row],[GDP]]</f>
        <v/>
      </c>
      <c r="J148" s="85">
        <f>Table58[[#This Row],[Exports]]/Table58[[#This Row],[GDP]]</f>
        <v/>
      </c>
      <c r="K148" s="85">
        <f>-Table58[[#This Row],[Imports]]/Table58[[#This Row],[GDP]]</f>
        <v/>
      </c>
      <c r="L148" s="85">
        <f>Table58[[#This Row],[Government]]/Table58[[#This Row],[GDP]]</f>
        <v/>
      </c>
      <c r="N148" s="52">
        <f>SUM(Table58[[#This Row],[PC%]:[G%]])</f>
        <v/>
      </c>
      <c r="O148" s="55">
        <f>Table58[[#This Row],[Personal Consumption]]+Table58[[#This Row],[Private Investment]]+Table58[[#This Row],[Exports]]+Table58[[#This Row],[Government]]-Table58[[#This Row],[Imports]]</f>
        <v/>
      </c>
    </row>
    <row r="149">
      <c r="A149" s="94" t="n">
        <v>30225</v>
      </c>
      <c r="B149" s="164">
        <f>VLOOKUP(A149,'U.S. GDP'!A:B,2,)</f>
        <v/>
      </c>
      <c r="C149" s="164">
        <f>VLOOKUP(A149,PersonalConsumption!A:B,2,)</f>
        <v/>
      </c>
      <c r="D149" s="164">
        <f>VLOOKUP(A149,PrivateInvestment!A:B,2,)</f>
        <v/>
      </c>
      <c r="E149" s="164">
        <f>VLOOKUP(A149,Exports!A:B,2,)</f>
        <v/>
      </c>
      <c r="F149" s="164">
        <f>VLOOKUP(A149,Imports!A:B,2,)</f>
        <v/>
      </c>
      <c r="G149" s="164">
        <f>VLOOKUP(A149,Government!A:B,2,)</f>
        <v/>
      </c>
      <c r="H149" s="85">
        <f>Table58[[#This Row],[Personal Consumption]]/Table58[[#This Row],[GDP]]</f>
        <v/>
      </c>
      <c r="I149" s="85">
        <f>Table58[[#This Row],[Private Investment]]/Table58[[#This Row],[GDP]]</f>
        <v/>
      </c>
      <c r="J149" s="85">
        <f>Table58[[#This Row],[Exports]]/Table58[[#This Row],[GDP]]</f>
        <v/>
      </c>
      <c r="K149" s="85">
        <f>-Table58[[#This Row],[Imports]]/Table58[[#This Row],[GDP]]</f>
        <v/>
      </c>
      <c r="L149" s="85">
        <f>Table58[[#This Row],[Government]]/Table58[[#This Row],[GDP]]</f>
        <v/>
      </c>
      <c r="N149" s="52">
        <f>SUM(Table58[[#This Row],[PC%]:[G%]])</f>
        <v/>
      </c>
      <c r="O149" s="55">
        <f>Table58[[#This Row],[Personal Consumption]]+Table58[[#This Row],[Private Investment]]+Table58[[#This Row],[Exports]]+Table58[[#This Row],[Government]]-Table58[[#This Row],[Imports]]</f>
        <v/>
      </c>
    </row>
    <row r="150">
      <c r="A150" s="94" t="n">
        <v>30317</v>
      </c>
      <c r="B150" s="164">
        <f>VLOOKUP(A150,'U.S. GDP'!A:B,2,)</f>
        <v/>
      </c>
      <c r="C150" s="164">
        <f>VLOOKUP(A150,PersonalConsumption!A:B,2,)</f>
        <v/>
      </c>
      <c r="D150" s="164">
        <f>VLOOKUP(A150,PrivateInvestment!A:B,2,)</f>
        <v/>
      </c>
      <c r="E150" s="164">
        <f>VLOOKUP(A150,Exports!A:B,2,)</f>
        <v/>
      </c>
      <c r="F150" s="164">
        <f>VLOOKUP(A150,Imports!A:B,2,)</f>
        <v/>
      </c>
      <c r="G150" s="164">
        <f>VLOOKUP(A150,Government!A:B,2,)</f>
        <v/>
      </c>
      <c r="H150" s="85">
        <f>Table58[[#This Row],[Personal Consumption]]/Table58[[#This Row],[GDP]]</f>
        <v/>
      </c>
      <c r="I150" s="85">
        <f>Table58[[#This Row],[Private Investment]]/Table58[[#This Row],[GDP]]</f>
        <v/>
      </c>
      <c r="J150" s="85">
        <f>Table58[[#This Row],[Exports]]/Table58[[#This Row],[GDP]]</f>
        <v/>
      </c>
      <c r="K150" s="85">
        <f>-Table58[[#This Row],[Imports]]/Table58[[#This Row],[GDP]]</f>
        <v/>
      </c>
      <c r="L150" s="85">
        <f>Table58[[#This Row],[Government]]/Table58[[#This Row],[GDP]]</f>
        <v/>
      </c>
      <c r="N150" s="52">
        <f>SUM(Table58[[#This Row],[PC%]:[G%]])</f>
        <v/>
      </c>
      <c r="O150" s="55">
        <f>Table58[[#This Row],[Personal Consumption]]+Table58[[#This Row],[Private Investment]]+Table58[[#This Row],[Exports]]+Table58[[#This Row],[Government]]-Table58[[#This Row],[Imports]]</f>
        <v/>
      </c>
    </row>
    <row r="151">
      <c r="A151" s="94" t="n">
        <v>30407</v>
      </c>
      <c r="B151" s="164">
        <f>VLOOKUP(A151,'U.S. GDP'!A:B,2,)</f>
        <v/>
      </c>
      <c r="C151" s="164">
        <f>VLOOKUP(A151,PersonalConsumption!A:B,2,)</f>
        <v/>
      </c>
      <c r="D151" s="164">
        <f>VLOOKUP(A151,PrivateInvestment!A:B,2,)</f>
        <v/>
      </c>
      <c r="E151" s="164">
        <f>VLOOKUP(A151,Exports!A:B,2,)</f>
        <v/>
      </c>
      <c r="F151" s="164">
        <f>VLOOKUP(A151,Imports!A:B,2,)</f>
        <v/>
      </c>
      <c r="G151" s="164">
        <f>VLOOKUP(A151,Government!A:B,2,)</f>
        <v/>
      </c>
      <c r="H151" s="85">
        <f>Table58[[#This Row],[Personal Consumption]]/Table58[[#This Row],[GDP]]</f>
        <v/>
      </c>
      <c r="I151" s="85">
        <f>Table58[[#This Row],[Private Investment]]/Table58[[#This Row],[GDP]]</f>
        <v/>
      </c>
      <c r="J151" s="85">
        <f>Table58[[#This Row],[Exports]]/Table58[[#This Row],[GDP]]</f>
        <v/>
      </c>
      <c r="K151" s="85">
        <f>-Table58[[#This Row],[Imports]]/Table58[[#This Row],[GDP]]</f>
        <v/>
      </c>
      <c r="L151" s="85">
        <f>Table58[[#This Row],[Government]]/Table58[[#This Row],[GDP]]</f>
        <v/>
      </c>
      <c r="N151" s="52">
        <f>SUM(Table58[[#This Row],[PC%]:[G%]])</f>
        <v/>
      </c>
      <c r="O151" s="55">
        <f>Table58[[#This Row],[Personal Consumption]]+Table58[[#This Row],[Private Investment]]+Table58[[#This Row],[Exports]]+Table58[[#This Row],[Government]]-Table58[[#This Row],[Imports]]</f>
        <v/>
      </c>
    </row>
    <row r="152">
      <c r="A152" s="94" t="n">
        <v>30498</v>
      </c>
      <c r="B152" s="164">
        <f>VLOOKUP(A152,'U.S. GDP'!A:B,2,)</f>
        <v/>
      </c>
      <c r="C152" s="164">
        <f>VLOOKUP(A152,PersonalConsumption!A:B,2,)</f>
        <v/>
      </c>
      <c r="D152" s="164">
        <f>VLOOKUP(A152,PrivateInvestment!A:B,2,)</f>
        <v/>
      </c>
      <c r="E152" s="164">
        <f>VLOOKUP(A152,Exports!A:B,2,)</f>
        <v/>
      </c>
      <c r="F152" s="164">
        <f>VLOOKUP(A152,Imports!A:B,2,)</f>
        <v/>
      </c>
      <c r="G152" s="164">
        <f>VLOOKUP(A152,Government!A:B,2,)</f>
        <v/>
      </c>
      <c r="H152" s="85">
        <f>Table58[[#This Row],[Personal Consumption]]/Table58[[#This Row],[GDP]]</f>
        <v/>
      </c>
      <c r="I152" s="85">
        <f>Table58[[#This Row],[Private Investment]]/Table58[[#This Row],[GDP]]</f>
        <v/>
      </c>
      <c r="J152" s="85">
        <f>Table58[[#This Row],[Exports]]/Table58[[#This Row],[GDP]]</f>
        <v/>
      </c>
      <c r="K152" s="85">
        <f>-Table58[[#This Row],[Imports]]/Table58[[#This Row],[GDP]]</f>
        <v/>
      </c>
      <c r="L152" s="85">
        <f>Table58[[#This Row],[Government]]/Table58[[#This Row],[GDP]]</f>
        <v/>
      </c>
      <c r="N152" s="52">
        <f>SUM(Table58[[#This Row],[PC%]:[G%]])</f>
        <v/>
      </c>
      <c r="O152" s="55">
        <f>Table58[[#This Row],[Personal Consumption]]+Table58[[#This Row],[Private Investment]]+Table58[[#This Row],[Exports]]+Table58[[#This Row],[Government]]-Table58[[#This Row],[Imports]]</f>
        <v/>
      </c>
    </row>
    <row r="153">
      <c r="A153" s="94" t="n">
        <v>30590</v>
      </c>
      <c r="B153" s="164">
        <f>VLOOKUP(A153,'U.S. GDP'!A:B,2,)</f>
        <v/>
      </c>
      <c r="C153" s="164">
        <f>VLOOKUP(A153,PersonalConsumption!A:B,2,)</f>
        <v/>
      </c>
      <c r="D153" s="164">
        <f>VLOOKUP(A153,PrivateInvestment!A:B,2,)</f>
        <v/>
      </c>
      <c r="E153" s="164">
        <f>VLOOKUP(A153,Exports!A:B,2,)</f>
        <v/>
      </c>
      <c r="F153" s="164">
        <f>VLOOKUP(A153,Imports!A:B,2,)</f>
        <v/>
      </c>
      <c r="G153" s="164">
        <f>VLOOKUP(A153,Government!A:B,2,)</f>
        <v/>
      </c>
      <c r="H153" s="85">
        <f>Table58[[#This Row],[Personal Consumption]]/Table58[[#This Row],[GDP]]</f>
        <v/>
      </c>
      <c r="I153" s="85">
        <f>Table58[[#This Row],[Private Investment]]/Table58[[#This Row],[GDP]]</f>
        <v/>
      </c>
      <c r="J153" s="85">
        <f>Table58[[#This Row],[Exports]]/Table58[[#This Row],[GDP]]</f>
        <v/>
      </c>
      <c r="K153" s="85">
        <f>-Table58[[#This Row],[Imports]]/Table58[[#This Row],[GDP]]</f>
        <v/>
      </c>
      <c r="L153" s="85">
        <f>Table58[[#This Row],[Government]]/Table58[[#This Row],[GDP]]</f>
        <v/>
      </c>
      <c r="N153" s="52">
        <f>SUM(Table58[[#This Row],[PC%]:[G%]])</f>
        <v/>
      </c>
      <c r="O153" s="55">
        <f>Table58[[#This Row],[Personal Consumption]]+Table58[[#This Row],[Private Investment]]+Table58[[#This Row],[Exports]]+Table58[[#This Row],[Government]]-Table58[[#This Row],[Imports]]</f>
        <v/>
      </c>
    </row>
    <row r="154">
      <c r="A154" s="94" t="n">
        <v>30682</v>
      </c>
      <c r="B154" s="164">
        <f>VLOOKUP(A154,'U.S. GDP'!A:B,2,)</f>
        <v/>
      </c>
      <c r="C154" s="164">
        <f>VLOOKUP(A154,PersonalConsumption!A:B,2,)</f>
        <v/>
      </c>
      <c r="D154" s="164">
        <f>VLOOKUP(A154,PrivateInvestment!A:B,2,)</f>
        <v/>
      </c>
      <c r="E154" s="164">
        <f>VLOOKUP(A154,Exports!A:B,2,)</f>
        <v/>
      </c>
      <c r="F154" s="164">
        <f>VLOOKUP(A154,Imports!A:B,2,)</f>
        <v/>
      </c>
      <c r="G154" s="164">
        <f>VLOOKUP(A154,Government!A:B,2,)</f>
        <v/>
      </c>
      <c r="H154" s="85">
        <f>Table58[[#This Row],[Personal Consumption]]/Table58[[#This Row],[GDP]]</f>
        <v/>
      </c>
      <c r="I154" s="85">
        <f>Table58[[#This Row],[Private Investment]]/Table58[[#This Row],[GDP]]</f>
        <v/>
      </c>
      <c r="J154" s="85">
        <f>Table58[[#This Row],[Exports]]/Table58[[#This Row],[GDP]]</f>
        <v/>
      </c>
      <c r="K154" s="85">
        <f>-Table58[[#This Row],[Imports]]/Table58[[#This Row],[GDP]]</f>
        <v/>
      </c>
      <c r="L154" s="85">
        <f>Table58[[#This Row],[Government]]/Table58[[#This Row],[GDP]]</f>
        <v/>
      </c>
      <c r="N154" s="52">
        <f>SUM(Table58[[#This Row],[PC%]:[G%]])</f>
        <v/>
      </c>
      <c r="O154" s="55">
        <f>Table58[[#This Row],[Personal Consumption]]+Table58[[#This Row],[Private Investment]]+Table58[[#This Row],[Exports]]+Table58[[#This Row],[Government]]-Table58[[#This Row],[Imports]]</f>
        <v/>
      </c>
    </row>
    <row r="155">
      <c r="A155" s="94" t="n">
        <v>30773</v>
      </c>
      <c r="B155" s="164">
        <f>VLOOKUP(A155,'U.S. GDP'!A:B,2,)</f>
        <v/>
      </c>
      <c r="C155" s="164">
        <f>VLOOKUP(A155,PersonalConsumption!A:B,2,)</f>
        <v/>
      </c>
      <c r="D155" s="164">
        <f>VLOOKUP(A155,PrivateInvestment!A:B,2,)</f>
        <v/>
      </c>
      <c r="E155" s="164">
        <f>VLOOKUP(A155,Exports!A:B,2,)</f>
        <v/>
      </c>
      <c r="F155" s="164">
        <f>VLOOKUP(A155,Imports!A:B,2,)</f>
        <v/>
      </c>
      <c r="G155" s="164">
        <f>VLOOKUP(A155,Government!A:B,2,)</f>
        <v/>
      </c>
      <c r="H155" s="85">
        <f>Table58[[#This Row],[Personal Consumption]]/Table58[[#This Row],[GDP]]</f>
        <v/>
      </c>
      <c r="I155" s="85">
        <f>Table58[[#This Row],[Private Investment]]/Table58[[#This Row],[GDP]]</f>
        <v/>
      </c>
      <c r="J155" s="85">
        <f>Table58[[#This Row],[Exports]]/Table58[[#This Row],[GDP]]</f>
        <v/>
      </c>
      <c r="K155" s="85">
        <f>-Table58[[#This Row],[Imports]]/Table58[[#This Row],[GDP]]</f>
        <v/>
      </c>
      <c r="L155" s="85">
        <f>Table58[[#This Row],[Government]]/Table58[[#This Row],[GDP]]</f>
        <v/>
      </c>
      <c r="N155" s="52">
        <f>SUM(Table58[[#This Row],[PC%]:[G%]])</f>
        <v/>
      </c>
      <c r="O155" s="55">
        <f>Table58[[#This Row],[Personal Consumption]]+Table58[[#This Row],[Private Investment]]+Table58[[#This Row],[Exports]]+Table58[[#This Row],[Government]]-Table58[[#This Row],[Imports]]</f>
        <v/>
      </c>
    </row>
    <row r="156">
      <c r="A156" s="94" t="n">
        <v>30864</v>
      </c>
      <c r="B156" s="164">
        <f>VLOOKUP(A156,'U.S. GDP'!A:B,2,)</f>
        <v/>
      </c>
      <c r="C156" s="164">
        <f>VLOOKUP(A156,PersonalConsumption!A:B,2,)</f>
        <v/>
      </c>
      <c r="D156" s="164">
        <f>VLOOKUP(A156,PrivateInvestment!A:B,2,)</f>
        <v/>
      </c>
      <c r="E156" s="164">
        <f>VLOOKUP(A156,Exports!A:B,2,)</f>
        <v/>
      </c>
      <c r="F156" s="164">
        <f>VLOOKUP(A156,Imports!A:B,2,)</f>
        <v/>
      </c>
      <c r="G156" s="164">
        <f>VLOOKUP(A156,Government!A:B,2,)</f>
        <v/>
      </c>
      <c r="H156" s="85">
        <f>Table58[[#This Row],[Personal Consumption]]/Table58[[#This Row],[GDP]]</f>
        <v/>
      </c>
      <c r="I156" s="85">
        <f>Table58[[#This Row],[Private Investment]]/Table58[[#This Row],[GDP]]</f>
        <v/>
      </c>
      <c r="J156" s="85">
        <f>Table58[[#This Row],[Exports]]/Table58[[#This Row],[GDP]]</f>
        <v/>
      </c>
      <c r="K156" s="85">
        <f>-Table58[[#This Row],[Imports]]/Table58[[#This Row],[GDP]]</f>
        <v/>
      </c>
      <c r="L156" s="85">
        <f>Table58[[#This Row],[Government]]/Table58[[#This Row],[GDP]]</f>
        <v/>
      </c>
      <c r="N156" s="52">
        <f>SUM(Table58[[#This Row],[PC%]:[G%]])</f>
        <v/>
      </c>
      <c r="O156" s="55">
        <f>Table58[[#This Row],[Personal Consumption]]+Table58[[#This Row],[Private Investment]]+Table58[[#This Row],[Exports]]+Table58[[#This Row],[Government]]-Table58[[#This Row],[Imports]]</f>
        <v/>
      </c>
    </row>
    <row r="157">
      <c r="A157" s="94" t="n">
        <v>30956</v>
      </c>
      <c r="B157" s="164">
        <f>VLOOKUP(A157,'U.S. GDP'!A:B,2,)</f>
        <v/>
      </c>
      <c r="C157" s="164">
        <f>VLOOKUP(A157,PersonalConsumption!A:B,2,)</f>
        <v/>
      </c>
      <c r="D157" s="164">
        <f>VLOOKUP(A157,PrivateInvestment!A:B,2,)</f>
        <v/>
      </c>
      <c r="E157" s="164">
        <f>VLOOKUP(A157,Exports!A:B,2,)</f>
        <v/>
      </c>
      <c r="F157" s="164">
        <f>VLOOKUP(A157,Imports!A:B,2,)</f>
        <v/>
      </c>
      <c r="G157" s="164">
        <f>VLOOKUP(A157,Government!A:B,2,)</f>
        <v/>
      </c>
      <c r="H157" s="85">
        <f>Table58[[#This Row],[Personal Consumption]]/Table58[[#This Row],[GDP]]</f>
        <v/>
      </c>
      <c r="I157" s="85">
        <f>Table58[[#This Row],[Private Investment]]/Table58[[#This Row],[GDP]]</f>
        <v/>
      </c>
      <c r="J157" s="85">
        <f>Table58[[#This Row],[Exports]]/Table58[[#This Row],[GDP]]</f>
        <v/>
      </c>
      <c r="K157" s="85">
        <f>-Table58[[#This Row],[Imports]]/Table58[[#This Row],[GDP]]</f>
        <v/>
      </c>
      <c r="L157" s="85">
        <f>Table58[[#This Row],[Government]]/Table58[[#This Row],[GDP]]</f>
        <v/>
      </c>
      <c r="N157" s="52">
        <f>SUM(Table58[[#This Row],[PC%]:[G%]])</f>
        <v/>
      </c>
      <c r="O157" s="55">
        <f>Table58[[#This Row],[Personal Consumption]]+Table58[[#This Row],[Private Investment]]+Table58[[#This Row],[Exports]]+Table58[[#This Row],[Government]]-Table58[[#This Row],[Imports]]</f>
        <v/>
      </c>
    </row>
    <row r="158">
      <c r="A158" s="94" t="n">
        <v>31048</v>
      </c>
      <c r="B158" s="164">
        <f>VLOOKUP(A158,'U.S. GDP'!A:B,2,)</f>
        <v/>
      </c>
      <c r="C158" s="164">
        <f>VLOOKUP(A158,PersonalConsumption!A:B,2,)</f>
        <v/>
      </c>
      <c r="D158" s="164">
        <f>VLOOKUP(A158,PrivateInvestment!A:B,2,)</f>
        <v/>
      </c>
      <c r="E158" s="164">
        <f>VLOOKUP(A158,Exports!A:B,2,)</f>
        <v/>
      </c>
      <c r="F158" s="164">
        <f>VLOOKUP(A158,Imports!A:B,2,)</f>
        <v/>
      </c>
      <c r="G158" s="164">
        <f>VLOOKUP(A158,Government!A:B,2,)</f>
        <v/>
      </c>
      <c r="H158" s="85">
        <f>Table58[[#This Row],[Personal Consumption]]/Table58[[#This Row],[GDP]]</f>
        <v/>
      </c>
      <c r="I158" s="85">
        <f>Table58[[#This Row],[Private Investment]]/Table58[[#This Row],[GDP]]</f>
        <v/>
      </c>
      <c r="J158" s="85">
        <f>Table58[[#This Row],[Exports]]/Table58[[#This Row],[GDP]]</f>
        <v/>
      </c>
      <c r="K158" s="85">
        <f>-Table58[[#This Row],[Imports]]/Table58[[#This Row],[GDP]]</f>
        <v/>
      </c>
      <c r="L158" s="85">
        <f>Table58[[#This Row],[Government]]/Table58[[#This Row],[GDP]]</f>
        <v/>
      </c>
      <c r="N158" s="52">
        <f>SUM(Table58[[#This Row],[PC%]:[G%]])</f>
        <v/>
      </c>
      <c r="O158" s="55">
        <f>Table58[[#This Row],[Personal Consumption]]+Table58[[#This Row],[Private Investment]]+Table58[[#This Row],[Exports]]+Table58[[#This Row],[Government]]-Table58[[#This Row],[Imports]]</f>
        <v/>
      </c>
    </row>
    <row r="159">
      <c r="A159" s="94" t="n">
        <v>31138</v>
      </c>
      <c r="B159" s="164">
        <f>VLOOKUP(A159,'U.S. GDP'!A:B,2,)</f>
        <v/>
      </c>
      <c r="C159" s="164">
        <f>VLOOKUP(A159,PersonalConsumption!A:B,2,)</f>
        <v/>
      </c>
      <c r="D159" s="164">
        <f>VLOOKUP(A159,PrivateInvestment!A:B,2,)</f>
        <v/>
      </c>
      <c r="E159" s="164">
        <f>VLOOKUP(A159,Exports!A:B,2,)</f>
        <v/>
      </c>
      <c r="F159" s="164">
        <f>VLOOKUP(A159,Imports!A:B,2,)</f>
        <v/>
      </c>
      <c r="G159" s="164">
        <f>VLOOKUP(A159,Government!A:B,2,)</f>
        <v/>
      </c>
      <c r="H159" s="85">
        <f>Table58[[#This Row],[Personal Consumption]]/Table58[[#This Row],[GDP]]</f>
        <v/>
      </c>
      <c r="I159" s="85">
        <f>Table58[[#This Row],[Private Investment]]/Table58[[#This Row],[GDP]]</f>
        <v/>
      </c>
      <c r="J159" s="85">
        <f>Table58[[#This Row],[Exports]]/Table58[[#This Row],[GDP]]</f>
        <v/>
      </c>
      <c r="K159" s="85">
        <f>-Table58[[#This Row],[Imports]]/Table58[[#This Row],[GDP]]</f>
        <v/>
      </c>
      <c r="L159" s="85">
        <f>Table58[[#This Row],[Government]]/Table58[[#This Row],[GDP]]</f>
        <v/>
      </c>
      <c r="N159" s="52">
        <f>SUM(Table58[[#This Row],[PC%]:[G%]])</f>
        <v/>
      </c>
      <c r="O159" s="55">
        <f>Table58[[#This Row],[Personal Consumption]]+Table58[[#This Row],[Private Investment]]+Table58[[#This Row],[Exports]]+Table58[[#This Row],[Government]]-Table58[[#This Row],[Imports]]</f>
        <v/>
      </c>
    </row>
    <row r="160">
      <c r="A160" s="94" t="n">
        <v>31229</v>
      </c>
      <c r="B160" s="164">
        <f>VLOOKUP(A160,'U.S. GDP'!A:B,2,)</f>
        <v/>
      </c>
      <c r="C160" s="164">
        <f>VLOOKUP(A160,PersonalConsumption!A:B,2,)</f>
        <v/>
      </c>
      <c r="D160" s="164">
        <f>VLOOKUP(A160,PrivateInvestment!A:B,2,)</f>
        <v/>
      </c>
      <c r="E160" s="164">
        <f>VLOOKUP(A160,Exports!A:B,2,)</f>
        <v/>
      </c>
      <c r="F160" s="164">
        <f>VLOOKUP(A160,Imports!A:B,2,)</f>
        <v/>
      </c>
      <c r="G160" s="164">
        <f>VLOOKUP(A160,Government!A:B,2,)</f>
        <v/>
      </c>
      <c r="H160" s="85">
        <f>Table58[[#This Row],[Personal Consumption]]/Table58[[#This Row],[GDP]]</f>
        <v/>
      </c>
      <c r="I160" s="85">
        <f>Table58[[#This Row],[Private Investment]]/Table58[[#This Row],[GDP]]</f>
        <v/>
      </c>
      <c r="J160" s="85">
        <f>Table58[[#This Row],[Exports]]/Table58[[#This Row],[GDP]]</f>
        <v/>
      </c>
      <c r="K160" s="85">
        <f>-Table58[[#This Row],[Imports]]/Table58[[#This Row],[GDP]]</f>
        <v/>
      </c>
      <c r="L160" s="85">
        <f>Table58[[#This Row],[Government]]/Table58[[#This Row],[GDP]]</f>
        <v/>
      </c>
      <c r="N160" s="52">
        <f>SUM(Table58[[#This Row],[PC%]:[G%]])</f>
        <v/>
      </c>
      <c r="O160" s="55">
        <f>Table58[[#This Row],[Personal Consumption]]+Table58[[#This Row],[Private Investment]]+Table58[[#This Row],[Exports]]+Table58[[#This Row],[Government]]-Table58[[#This Row],[Imports]]</f>
        <v/>
      </c>
    </row>
    <row r="161">
      <c r="A161" s="94" t="n">
        <v>31321</v>
      </c>
      <c r="B161" s="164">
        <f>VLOOKUP(A161,'U.S. GDP'!A:B,2,)</f>
        <v/>
      </c>
      <c r="C161" s="164">
        <f>VLOOKUP(A161,PersonalConsumption!A:B,2,)</f>
        <v/>
      </c>
      <c r="D161" s="164">
        <f>VLOOKUP(A161,PrivateInvestment!A:B,2,)</f>
        <v/>
      </c>
      <c r="E161" s="164">
        <f>VLOOKUP(A161,Exports!A:B,2,)</f>
        <v/>
      </c>
      <c r="F161" s="164">
        <f>VLOOKUP(A161,Imports!A:B,2,)</f>
        <v/>
      </c>
      <c r="G161" s="164">
        <f>VLOOKUP(A161,Government!A:B,2,)</f>
        <v/>
      </c>
      <c r="H161" s="85">
        <f>Table58[[#This Row],[Personal Consumption]]/Table58[[#This Row],[GDP]]</f>
        <v/>
      </c>
      <c r="I161" s="85">
        <f>Table58[[#This Row],[Private Investment]]/Table58[[#This Row],[GDP]]</f>
        <v/>
      </c>
      <c r="J161" s="85">
        <f>Table58[[#This Row],[Exports]]/Table58[[#This Row],[GDP]]</f>
        <v/>
      </c>
      <c r="K161" s="85">
        <f>-Table58[[#This Row],[Imports]]/Table58[[#This Row],[GDP]]</f>
        <v/>
      </c>
      <c r="L161" s="85">
        <f>Table58[[#This Row],[Government]]/Table58[[#This Row],[GDP]]</f>
        <v/>
      </c>
      <c r="N161" s="52">
        <f>SUM(Table58[[#This Row],[PC%]:[G%]])</f>
        <v/>
      </c>
      <c r="O161" s="55">
        <f>Table58[[#This Row],[Personal Consumption]]+Table58[[#This Row],[Private Investment]]+Table58[[#This Row],[Exports]]+Table58[[#This Row],[Government]]-Table58[[#This Row],[Imports]]</f>
        <v/>
      </c>
    </row>
    <row r="162">
      <c r="A162" s="94" t="n">
        <v>31413</v>
      </c>
      <c r="B162" s="164">
        <f>VLOOKUP(A162,'U.S. GDP'!A:B,2,)</f>
        <v/>
      </c>
      <c r="C162" s="164">
        <f>VLOOKUP(A162,PersonalConsumption!A:B,2,)</f>
        <v/>
      </c>
      <c r="D162" s="164">
        <f>VLOOKUP(A162,PrivateInvestment!A:B,2,)</f>
        <v/>
      </c>
      <c r="E162" s="164">
        <f>VLOOKUP(A162,Exports!A:B,2,)</f>
        <v/>
      </c>
      <c r="F162" s="164">
        <f>VLOOKUP(A162,Imports!A:B,2,)</f>
        <v/>
      </c>
      <c r="G162" s="164">
        <f>VLOOKUP(A162,Government!A:B,2,)</f>
        <v/>
      </c>
      <c r="H162" s="85">
        <f>Table58[[#This Row],[Personal Consumption]]/Table58[[#This Row],[GDP]]</f>
        <v/>
      </c>
      <c r="I162" s="85">
        <f>Table58[[#This Row],[Private Investment]]/Table58[[#This Row],[GDP]]</f>
        <v/>
      </c>
      <c r="J162" s="85">
        <f>Table58[[#This Row],[Exports]]/Table58[[#This Row],[GDP]]</f>
        <v/>
      </c>
      <c r="K162" s="85">
        <f>-Table58[[#This Row],[Imports]]/Table58[[#This Row],[GDP]]</f>
        <v/>
      </c>
      <c r="L162" s="85">
        <f>Table58[[#This Row],[Government]]/Table58[[#This Row],[GDP]]</f>
        <v/>
      </c>
      <c r="N162" s="52">
        <f>SUM(Table58[[#This Row],[PC%]:[G%]])</f>
        <v/>
      </c>
      <c r="O162" s="55">
        <f>Table58[[#This Row],[Personal Consumption]]+Table58[[#This Row],[Private Investment]]+Table58[[#This Row],[Exports]]+Table58[[#This Row],[Government]]-Table58[[#This Row],[Imports]]</f>
        <v/>
      </c>
    </row>
    <row r="163">
      <c r="A163" s="94" t="n">
        <v>31503</v>
      </c>
      <c r="B163" s="164">
        <f>VLOOKUP(A163,'U.S. GDP'!A:B,2,)</f>
        <v/>
      </c>
      <c r="C163" s="164">
        <f>VLOOKUP(A163,PersonalConsumption!A:B,2,)</f>
        <v/>
      </c>
      <c r="D163" s="164">
        <f>VLOOKUP(A163,PrivateInvestment!A:B,2,)</f>
        <v/>
      </c>
      <c r="E163" s="164">
        <f>VLOOKUP(A163,Exports!A:B,2,)</f>
        <v/>
      </c>
      <c r="F163" s="164">
        <f>VLOOKUP(A163,Imports!A:B,2,)</f>
        <v/>
      </c>
      <c r="G163" s="164">
        <f>VLOOKUP(A163,Government!A:B,2,)</f>
        <v/>
      </c>
      <c r="H163" s="85">
        <f>Table58[[#This Row],[Personal Consumption]]/Table58[[#This Row],[GDP]]</f>
        <v/>
      </c>
      <c r="I163" s="85">
        <f>Table58[[#This Row],[Private Investment]]/Table58[[#This Row],[GDP]]</f>
        <v/>
      </c>
      <c r="J163" s="85">
        <f>Table58[[#This Row],[Exports]]/Table58[[#This Row],[GDP]]</f>
        <v/>
      </c>
      <c r="K163" s="85">
        <f>-Table58[[#This Row],[Imports]]/Table58[[#This Row],[GDP]]</f>
        <v/>
      </c>
      <c r="L163" s="85">
        <f>Table58[[#This Row],[Government]]/Table58[[#This Row],[GDP]]</f>
        <v/>
      </c>
      <c r="N163" s="52">
        <f>SUM(Table58[[#This Row],[PC%]:[G%]])</f>
        <v/>
      </c>
      <c r="O163" s="55">
        <f>Table58[[#This Row],[Personal Consumption]]+Table58[[#This Row],[Private Investment]]+Table58[[#This Row],[Exports]]+Table58[[#This Row],[Government]]-Table58[[#This Row],[Imports]]</f>
        <v/>
      </c>
    </row>
    <row r="164">
      <c r="A164" s="94" t="n">
        <v>31594</v>
      </c>
      <c r="B164" s="164">
        <f>VLOOKUP(A164,'U.S. GDP'!A:B,2,)</f>
        <v/>
      </c>
      <c r="C164" s="164">
        <f>VLOOKUP(A164,PersonalConsumption!A:B,2,)</f>
        <v/>
      </c>
      <c r="D164" s="164">
        <f>VLOOKUP(A164,PrivateInvestment!A:B,2,)</f>
        <v/>
      </c>
      <c r="E164" s="164">
        <f>VLOOKUP(A164,Exports!A:B,2,)</f>
        <v/>
      </c>
      <c r="F164" s="164">
        <f>VLOOKUP(A164,Imports!A:B,2,)</f>
        <v/>
      </c>
      <c r="G164" s="164">
        <f>VLOOKUP(A164,Government!A:B,2,)</f>
        <v/>
      </c>
      <c r="H164" s="85">
        <f>Table58[[#This Row],[Personal Consumption]]/Table58[[#This Row],[GDP]]</f>
        <v/>
      </c>
      <c r="I164" s="85">
        <f>Table58[[#This Row],[Private Investment]]/Table58[[#This Row],[GDP]]</f>
        <v/>
      </c>
      <c r="J164" s="85">
        <f>Table58[[#This Row],[Exports]]/Table58[[#This Row],[GDP]]</f>
        <v/>
      </c>
      <c r="K164" s="85">
        <f>-Table58[[#This Row],[Imports]]/Table58[[#This Row],[GDP]]</f>
        <v/>
      </c>
      <c r="L164" s="85">
        <f>Table58[[#This Row],[Government]]/Table58[[#This Row],[GDP]]</f>
        <v/>
      </c>
      <c r="N164" s="52">
        <f>SUM(Table58[[#This Row],[PC%]:[G%]])</f>
        <v/>
      </c>
      <c r="O164" s="55">
        <f>Table58[[#This Row],[Personal Consumption]]+Table58[[#This Row],[Private Investment]]+Table58[[#This Row],[Exports]]+Table58[[#This Row],[Government]]-Table58[[#This Row],[Imports]]</f>
        <v/>
      </c>
    </row>
    <row r="165">
      <c r="A165" s="94" t="n">
        <v>31686</v>
      </c>
      <c r="B165" s="164">
        <f>VLOOKUP(A165,'U.S. GDP'!A:B,2,)</f>
        <v/>
      </c>
      <c r="C165" s="164">
        <f>VLOOKUP(A165,PersonalConsumption!A:B,2,)</f>
        <v/>
      </c>
      <c r="D165" s="164">
        <f>VLOOKUP(A165,PrivateInvestment!A:B,2,)</f>
        <v/>
      </c>
      <c r="E165" s="164">
        <f>VLOOKUP(A165,Exports!A:B,2,)</f>
        <v/>
      </c>
      <c r="F165" s="164">
        <f>VLOOKUP(A165,Imports!A:B,2,)</f>
        <v/>
      </c>
      <c r="G165" s="164">
        <f>VLOOKUP(A165,Government!A:B,2,)</f>
        <v/>
      </c>
      <c r="H165" s="85">
        <f>Table58[[#This Row],[Personal Consumption]]/Table58[[#This Row],[GDP]]</f>
        <v/>
      </c>
      <c r="I165" s="85">
        <f>Table58[[#This Row],[Private Investment]]/Table58[[#This Row],[GDP]]</f>
        <v/>
      </c>
      <c r="J165" s="85">
        <f>Table58[[#This Row],[Exports]]/Table58[[#This Row],[GDP]]</f>
        <v/>
      </c>
      <c r="K165" s="85">
        <f>-Table58[[#This Row],[Imports]]/Table58[[#This Row],[GDP]]</f>
        <v/>
      </c>
      <c r="L165" s="85">
        <f>Table58[[#This Row],[Government]]/Table58[[#This Row],[GDP]]</f>
        <v/>
      </c>
      <c r="N165" s="52">
        <f>SUM(Table58[[#This Row],[PC%]:[G%]])</f>
        <v/>
      </c>
      <c r="O165" s="55">
        <f>Table58[[#This Row],[Personal Consumption]]+Table58[[#This Row],[Private Investment]]+Table58[[#This Row],[Exports]]+Table58[[#This Row],[Government]]-Table58[[#This Row],[Imports]]</f>
        <v/>
      </c>
    </row>
    <row r="166">
      <c r="A166" s="94" t="n">
        <v>31778</v>
      </c>
      <c r="B166" s="164">
        <f>VLOOKUP(A166,'U.S. GDP'!A:B,2,)</f>
        <v/>
      </c>
      <c r="C166" s="164">
        <f>VLOOKUP(A166,PersonalConsumption!A:B,2,)</f>
        <v/>
      </c>
      <c r="D166" s="164">
        <f>VLOOKUP(A166,PrivateInvestment!A:B,2,)</f>
        <v/>
      </c>
      <c r="E166" s="164">
        <f>VLOOKUP(A166,Exports!A:B,2,)</f>
        <v/>
      </c>
      <c r="F166" s="164">
        <f>VLOOKUP(A166,Imports!A:B,2,)</f>
        <v/>
      </c>
      <c r="G166" s="164">
        <f>VLOOKUP(A166,Government!A:B,2,)</f>
        <v/>
      </c>
      <c r="H166" s="85">
        <f>Table58[[#This Row],[Personal Consumption]]/Table58[[#This Row],[GDP]]</f>
        <v/>
      </c>
      <c r="I166" s="85">
        <f>Table58[[#This Row],[Private Investment]]/Table58[[#This Row],[GDP]]</f>
        <v/>
      </c>
      <c r="J166" s="85">
        <f>Table58[[#This Row],[Exports]]/Table58[[#This Row],[GDP]]</f>
        <v/>
      </c>
      <c r="K166" s="85">
        <f>-Table58[[#This Row],[Imports]]/Table58[[#This Row],[GDP]]</f>
        <v/>
      </c>
      <c r="L166" s="85">
        <f>Table58[[#This Row],[Government]]/Table58[[#This Row],[GDP]]</f>
        <v/>
      </c>
      <c r="N166" s="52">
        <f>SUM(Table58[[#This Row],[PC%]:[G%]])</f>
        <v/>
      </c>
      <c r="O166" s="55">
        <f>Table58[[#This Row],[Personal Consumption]]+Table58[[#This Row],[Private Investment]]+Table58[[#This Row],[Exports]]+Table58[[#This Row],[Government]]-Table58[[#This Row],[Imports]]</f>
        <v/>
      </c>
    </row>
    <row r="167">
      <c r="A167" s="94" t="n">
        <v>31868</v>
      </c>
      <c r="B167" s="164">
        <f>VLOOKUP(A167,'U.S. GDP'!A:B,2,)</f>
        <v/>
      </c>
      <c r="C167" s="164">
        <f>VLOOKUP(A167,PersonalConsumption!A:B,2,)</f>
        <v/>
      </c>
      <c r="D167" s="164">
        <f>VLOOKUP(A167,PrivateInvestment!A:B,2,)</f>
        <v/>
      </c>
      <c r="E167" s="164">
        <f>VLOOKUP(A167,Exports!A:B,2,)</f>
        <v/>
      </c>
      <c r="F167" s="164">
        <f>VLOOKUP(A167,Imports!A:B,2,)</f>
        <v/>
      </c>
      <c r="G167" s="164">
        <f>VLOOKUP(A167,Government!A:B,2,)</f>
        <v/>
      </c>
      <c r="H167" s="85">
        <f>Table58[[#This Row],[Personal Consumption]]/Table58[[#This Row],[GDP]]</f>
        <v/>
      </c>
      <c r="I167" s="85">
        <f>Table58[[#This Row],[Private Investment]]/Table58[[#This Row],[GDP]]</f>
        <v/>
      </c>
      <c r="J167" s="85">
        <f>Table58[[#This Row],[Exports]]/Table58[[#This Row],[GDP]]</f>
        <v/>
      </c>
      <c r="K167" s="85">
        <f>-Table58[[#This Row],[Imports]]/Table58[[#This Row],[GDP]]</f>
        <v/>
      </c>
      <c r="L167" s="85">
        <f>Table58[[#This Row],[Government]]/Table58[[#This Row],[GDP]]</f>
        <v/>
      </c>
      <c r="N167" s="52">
        <f>SUM(Table58[[#This Row],[PC%]:[G%]])</f>
        <v/>
      </c>
      <c r="O167" s="55">
        <f>Table58[[#This Row],[Personal Consumption]]+Table58[[#This Row],[Private Investment]]+Table58[[#This Row],[Exports]]+Table58[[#This Row],[Government]]-Table58[[#This Row],[Imports]]</f>
        <v/>
      </c>
    </row>
    <row r="168">
      <c r="A168" s="94" t="n">
        <v>31959</v>
      </c>
      <c r="B168" s="164">
        <f>VLOOKUP(A168,'U.S. GDP'!A:B,2,)</f>
        <v/>
      </c>
      <c r="C168" s="164">
        <f>VLOOKUP(A168,PersonalConsumption!A:B,2,)</f>
        <v/>
      </c>
      <c r="D168" s="164">
        <f>VLOOKUP(A168,PrivateInvestment!A:B,2,)</f>
        <v/>
      </c>
      <c r="E168" s="164">
        <f>VLOOKUP(A168,Exports!A:B,2,)</f>
        <v/>
      </c>
      <c r="F168" s="164">
        <f>VLOOKUP(A168,Imports!A:B,2,)</f>
        <v/>
      </c>
      <c r="G168" s="164">
        <f>VLOOKUP(A168,Government!A:B,2,)</f>
        <v/>
      </c>
      <c r="H168" s="85">
        <f>Table58[[#This Row],[Personal Consumption]]/Table58[[#This Row],[GDP]]</f>
        <v/>
      </c>
      <c r="I168" s="85">
        <f>Table58[[#This Row],[Private Investment]]/Table58[[#This Row],[GDP]]</f>
        <v/>
      </c>
      <c r="J168" s="85">
        <f>Table58[[#This Row],[Exports]]/Table58[[#This Row],[GDP]]</f>
        <v/>
      </c>
      <c r="K168" s="85">
        <f>-Table58[[#This Row],[Imports]]/Table58[[#This Row],[GDP]]</f>
        <v/>
      </c>
      <c r="L168" s="85">
        <f>Table58[[#This Row],[Government]]/Table58[[#This Row],[GDP]]</f>
        <v/>
      </c>
      <c r="N168" s="52">
        <f>SUM(Table58[[#This Row],[PC%]:[G%]])</f>
        <v/>
      </c>
      <c r="O168" s="55">
        <f>Table58[[#This Row],[Personal Consumption]]+Table58[[#This Row],[Private Investment]]+Table58[[#This Row],[Exports]]+Table58[[#This Row],[Government]]-Table58[[#This Row],[Imports]]</f>
        <v/>
      </c>
    </row>
    <row r="169">
      <c r="A169" s="94" t="n">
        <v>32051</v>
      </c>
      <c r="B169" s="164">
        <f>VLOOKUP(A169,'U.S. GDP'!A:B,2,)</f>
        <v/>
      </c>
      <c r="C169" s="164">
        <f>VLOOKUP(A169,PersonalConsumption!A:B,2,)</f>
        <v/>
      </c>
      <c r="D169" s="164">
        <f>VLOOKUP(A169,PrivateInvestment!A:B,2,)</f>
        <v/>
      </c>
      <c r="E169" s="164">
        <f>VLOOKUP(A169,Exports!A:B,2,)</f>
        <v/>
      </c>
      <c r="F169" s="164">
        <f>VLOOKUP(A169,Imports!A:B,2,)</f>
        <v/>
      </c>
      <c r="G169" s="164">
        <f>VLOOKUP(A169,Government!A:B,2,)</f>
        <v/>
      </c>
      <c r="H169" s="85">
        <f>Table58[[#This Row],[Personal Consumption]]/Table58[[#This Row],[GDP]]</f>
        <v/>
      </c>
      <c r="I169" s="85">
        <f>Table58[[#This Row],[Private Investment]]/Table58[[#This Row],[GDP]]</f>
        <v/>
      </c>
      <c r="J169" s="85">
        <f>Table58[[#This Row],[Exports]]/Table58[[#This Row],[GDP]]</f>
        <v/>
      </c>
      <c r="K169" s="85">
        <f>-Table58[[#This Row],[Imports]]/Table58[[#This Row],[GDP]]</f>
        <v/>
      </c>
      <c r="L169" s="85">
        <f>Table58[[#This Row],[Government]]/Table58[[#This Row],[GDP]]</f>
        <v/>
      </c>
      <c r="N169" s="52">
        <f>SUM(Table58[[#This Row],[PC%]:[G%]])</f>
        <v/>
      </c>
      <c r="O169" s="55">
        <f>Table58[[#This Row],[Personal Consumption]]+Table58[[#This Row],[Private Investment]]+Table58[[#This Row],[Exports]]+Table58[[#This Row],[Government]]-Table58[[#This Row],[Imports]]</f>
        <v/>
      </c>
    </row>
    <row r="170">
      <c r="A170" s="94" t="n">
        <v>32143</v>
      </c>
      <c r="B170" s="164">
        <f>VLOOKUP(A170,'U.S. GDP'!A:B,2,)</f>
        <v/>
      </c>
      <c r="C170" s="164">
        <f>VLOOKUP(A170,PersonalConsumption!A:B,2,)</f>
        <v/>
      </c>
      <c r="D170" s="164">
        <f>VLOOKUP(A170,PrivateInvestment!A:B,2,)</f>
        <v/>
      </c>
      <c r="E170" s="164">
        <f>VLOOKUP(A170,Exports!A:B,2,)</f>
        <v/>
      </c>
      <c r="F170" s="164">
        <f>VLOOKUP(A170,Imports!A:B,2,)</f>
        <v/>
      </c>
      <c r="G170" s="164">
        <f>VLOOKUP(A170,Government!A:B,2,)</f>
        <v/>
      </c>
      <c r="H170" s="85">
        <f>Table58[[#This Row],[Personal Consumption]]/Table58[[#This Row],[GDP]]</f>
        <v/>
      </c>
      <c r="I170" s="85">
        <f>Table58[[#This Row],[Private Investment]]/Table58[[#This Row],[GDP]]</f>
        <v/>
      </c>
      <c r="J170" s="85">
        <f>Table58[[#This Row],[Exports]]/Table58[[#This Row],[GDP]]</f>
        <v/>
      </c>
      <c r="K170" s="85">
        <f>-Table58[[#This Row],[Imports]]/Table58[[#This Row],[GDP]]</f>
        <v/>
      </c>
      <c r="L170" s="85">
        <f>Table58[[#This Row],[Government]]/Table58[[#This Row],[GDP]]</f>
        <v/>
      </c>
      <c r="N170" s="52">
        <f>SUM(Table58[[#This Row],[PC%]:[G%]])</f>
        <v/>
      </c>
      <c r="O170" s="55">
        <f>Table58[[#This Row],[Personal Consumption]]+Table58[[#This Row],[Private Investment]]+Table58[[#This Row],[Exports]]+Table58[[#This Row],[Government]]-Table58[[#This Row],[Imports]]</f>
        <v/>
      </c>
    </row>
    <row r="171">
      <c r="A171" s="94" t="n">
        <v>32234</v>
      </c>
      <c r="B171" s="164">
        <f>VLOOKUP(A171,'U.S. GDP'!A:B,2,)</f>
        <v/>
      </c>
      <c r="C171" s="164">
        <f>VLOOKUP(A171,PersonalConsumption!A:B,2,)</f>
        <v/>
      </c>
      <c r="D171" s="164">
        <f>VLOOKUP(A171,PrivateInvestment!A:B,2,)</f>
        <v/>
      </c>
      <c r="E171" s="164">
        <f>VLOOKUP(A171,Exports!A:B,2,)</f>
        <v/>
      </c>
      <c r="F171" s="164">
        <f>VLOOKUP(A171,Imports!A:B,2,)</f>
        <v/>
      </c>
      <c r="G171" s="164">
        <f>VLOOKUP(A171,Government!A:B,2,)</f>
        <v/>
      </c>
      <c r="H171" s="85">
        <f>Table58[[#This Row],[Personal Consumption]]/Table58[[#This Row],[GDP]]</f>
        <v/>
      </c>
      <c r="I171" s="85">
        <f>Table58[[#This Row],[Private Investment]]/Table58[[#This Row],[GDP]]</f>
        <v/>
      </c>
      <c r="J171" s="85">
        <f>Table58[[#This Row],[Exports]]/Table58[[#This Row],[GDP]]</f>
        <v/>
      </c>
      <c r="K171" s="85">
        <f>-Table58[[#This Row],[Imports]]/Table58[[#This Row],[GDP]]</f>
        <v/>
      </c>
      <c r="L171" s="85">
        <f>Table58[[#This Row],[Government]]/Table58[[#This Row],[GDP]]</f>
        <v/>
      </c>
      <c r="N171" s="52">
        <f>SUM(Table58[[#This Row],[PC%]:[G%]])</f>
        <v/>
      </c>
      <c r="O171" s="55">
        <f>Table58[[#This Row],[Personal Consumption]]+Table58[[#This Row],[Private Investment]]+Table58[[#This Row],[Exports]]+Table58[[#This Row],[Government]]-Table58[[#This Row],[Imports]]</f>
        <v/>
      </c>
    </row>
    <row r="172">
      <c r="A172" s="94" t="n">
        <v>32325</v>
      </c>
      <c r="B172" s="164">
        <f>VLOOKUP(A172,'U.S. GDP'!A:B,2,)</f>
        <v/>
      </c>
      <c r="C172" s="164">
        <f>VLOOKUP(A172,PersonalConsumption!A:B,2,)</f>
        <v/>
      </c>
      <c r="D172" s="164">
        <f>VLOOKUP(A172,PrivateInvestment!A:B,2,)</f>
        <v/>
      </c>
      <c r="E172" s="164">
        <f>VLOOKUP(A172,Exports!A:B,2,)</f>
        <v/>
      </c>
      <c r="F172" s="164">
        <f>VLOOKUP(A172,Imports!A:B,2,)</f>
        <v/>
      </c>
      <c r="G172" s="164">
        <f>VLOOKUP(A172,Government!A:B,2,)</f>
        <v/>
      </c>
      <c r="H172" s="85">
        <f>Table58[[#This Row],[Personal Consumption]]/Table58[[#This Row],[GDP]]</f>
        <v/>
      </c>
      <c r="I172" s="85">
        <f>Table58[[#This Row],[Private Investment]]/Table58[[#This Row],[GDP]]</f>
        <v/>
      </c>
      <c r="J172" s="85">
        <f>Table58[[#This Row],[Exports]]/Table58[[#This Row],[GDP]]</f>
        <v/>
      </c>
      <c r="K172" s="85">
        <f>-Table58[[#This Row],[Imports]]/Table58[[#This Row],[GDP]]</f>
        <v/>
      </c>
      <c r="L172" s="85">
        <f>Table58[[#This Row],[Government]]/Table58[[#This Row],[GDP]]</f>
        <v/>
      </c>
      <c r="N172" s="52">
        <f>SUM(Table58[[#This Row],[PC%]:[G%]])</f>
        <v/>
      </c>
      <c r="O172" s="55">
        <f>Table58[[#This Row],[Personal Consumption]]+Table58[[#This Row],[Private Investment]]+Table58[[#This Row],[Exports]]+Table58[[#This Row],[Government]]-Table58[[#This Row],[Imports]]</f>
        <v/>
      </c>
    </row>
    <row r="173">
      <c r="A173" s="94" t="n">
        <v>32417</v>
      </c>
      <c r="B173" s="164">
        <f>VLOOKUP(A173,'U.S. GDP'!A:B,2,)</f>
        <v/>
      </c>
      <c r="C173" s="164">
        <f>VLOOKUP(A173,PersonalConsumption!A:B,2,)</f>
        <v/>
      </c>
      <c r="D173" s="164">
        <f>VLOOKUP(A173,PrivateInvestment!A:B,2,)</f>
        <v/>
      </c>
      <c r="E173" s="164">
        <f>VLOOKUP(A173,Exports!A:B,2,)</f>
        <v/>
      </c>
      <c r="F173" s="164">
        <f>VLOOKUP(A173,Imports!A:B,2,)</f>
        <v/>
      </c>
      <c r="G173" s="164">
        <f>VLOOKUP(A173,Government!A:B,2,)</f>
        <v/>
      </c>
      <c r="H173" s="85">
        <f>Table58[[#This Row],[Personal Consumption]]/Table58[[#This Row],[GDP]]</f>
        <v/>
      </c>
      <c r="I173" s="85">
        <f>Table58[[#This Row],[Private Investment]]/Table58[[#This Row],[GDP]]</f>
        <v/>
      </c>
      <c r="J173" s="85">
        <f>Table58[[#This Row],[Exports]]/Table58[[#This Row],[GDP]]</f>
        <v/>
      </c>
      <c r="K173" s="85">
        <f>-Table58[[#This Row],[Imports]]/Table58[[#This Row],[GDP]]</f>
        <v/>
      </c>
      <c r="L173" s="85">
        <f>Table58[[#This Row],[Government]]/Table58[[#This Row],[GDP]]</f>
        <v/>
      </c>
      <c r="N173" s="52">
        <f>SUM(Table58[[#This Row],[PC%]:[G%]])</f>
        <v/>
      </c>
      <c r="O173" s="55">
        <f>Table58[[#This Row],[Personal Consumption]]+Table58[[#This Row],[Private Investment]]+Table58[[#This Row],[Exports]]+Table58[[#This Row],[Government]]-Table58[[#This Row],[Imports]]</f>
        <v/>
      </c>
    </row>
    <row r="174">
      <c r="A174" s="94" t="n">
        <v>32509</v>
      </c>
      <c r="B174" s="164">
        <f>VLOOKUP(A174,'U.S. GDP'!A:B,2,)</f>
        <v/>
      </c>
      <c r="C174" s="164">
        <f>VLOOKUP(A174,PersonalConsumption!A:B,2,)</f>
        <v/>
      </c>
      <c r="D174" s="164">
        <f>VLOOKUP(A174,PrivateInvestment!A:B,2,)</f>
        <v/>
      </c>
      <c r="E174" s="164">
        <f>VLOOKUP(A174,Exports!A:B,2,)</f>
        <v/>
      </c>
      <c r="F174" s="164">
        <f>VLOOKUP(A174,Imports!A:B,2,)</f>
        <v/>
      </c>
      <c r="G174" s="164">
        <f>VLOOKUP(A174,Government!A:B,2,)</f>
        <v/>
      </c>
      <c r="H174" s="85">
        <f>Table58[[#This Row],[Personal Consumption]]/Table58[[#This Row],[GDP]]</f>
        <v/>
      </c>
      <c r="I174" s="85">
        <f>Table58[[#This Row],[Private Investment]]/Table58[[#This Row],[GDP]]</f>
        <v/>
      </c>
      <c r="J174" s="85">
        <f>Table58[[#This Row],[Exports]]/Table58[[#This Row],[GDP]]</f>
        <v/>
      </c>
      <c r="K174" s="85">
        <f>-Table58[[#This Row],[Imports]]/Table58[[#This Row],[GDP]]</f>
        <v/>
      </c>
      <c r="L174" s="85">
        <f>Table58[[#This Row],[Government]]/Table58[[#This Row],[GDP]]</f>
        <v/>
      </c>
      <c r="N174" s="52">
        <f>SUM(Table58[[#This Row],[PC%]:[G%]])</f>
        <v/>
      </c>
      <c r="O174" s="55">
        <f>Table58[[#This Row],[Personal Consumption]]+Table58[[#This Row],[Private Investment]]+Table58[[#This Row],[Exports]]+Table58[[#This Row],[Government]]-Table58[[#This Row],[Imports]]</f>
        <v/>
      </c>
    </row>
    <row r="175">
      <c r="A175" s="94" t="n">
        <v>32599</v>
      </c>
      <c r="B175" s="164">
        <f>VLOOKUP(A175,'U.S. GDP'!A:B,2,)</f>
        <v/>
      </c>
      <c r="C175" s="164">
        <f>VLOOKUP(A175,PersonalConsumption!A:B,2,)</f>
        <v/>
      </c>
      <c r="D175" s="164">
        <f>VLOOKUP(A175,PrivateInvestment!A:B,2,)</f>
        <v/>
      </c>
      <c r="E175" s="164">
        <f>VLOOKUP(A175,Exports!A:B,2,)</f>
        <v/>
      </c>
      <c r="F175" s="164">
        <f>VLOOKUP(A175,Imports!A:B,2,)</f>
        <v/>
      </c>
      <c r="G175" s="164">
        <f>VLOOKUP(A175,Government!A:B,2,)</f>
        <v/>
      </c>
      <c r="H175" s="85">
        <f>Table58[[#This Row],[Personal Consumption]]/Table58[[#This Row],[GDP]]</f>
        <v/>
      </c>
      <c r="I175" s="85">
        <f>Table58[[#This Row],[Private Investment]]/Table58[[#This Row],[GDP]]</f>
        <v/>
      </c>
      <c r="J175" s="85">
        <f>Table58[[#This Row],[Exports]]/Table58[[#This Row],[GDP]]</f>
        <v/>
      </c>
      <c r="K175" s="85">
        <f>-Table58[[#This Row],[Imports]]/Table58[[#This Row],[GDP]]</f>
        <v/>
      </c>
      <c r="L175" s="85">
        <f>Table58[[#This Row],[Government]]/Table58[[#This Row],[GDP]]</f>
        <v/>
      </c>
      <c r="N175" s="52">
        <f>SUM(Table58[[#This Row],[PC%]:[G%]])</f>
        <v/>
      </c>
      <c r="O175" s="55">
        <f>Table58[[#This Row],[Personal Consumption]]+Table58[[#This Row],[Private Investment]]+Table58[[#This Row],[Exports]]+Table58[[#This Row],[Government]]-Table58[[#This Row],[Imports]]</f>
        <v/>
      </c>
    </row>
    <row r="176">
      <c r="A176" s="94" t="n">
        <v>32690</v>
      </c>
      <c r="B176" s="164">
        <f>VLOOKUP(A176,'U.S. GDP'!A:B,2,)</f>
        <v/>
      </c>
      <c r="C176" s="164">
        <f>VLOOKUP(A176,PersonalConsumption!A:B,2,)</f>
        <v/>
      </c>
      <c r="D176" s="164">
        <f>VLOOKUP(A176,PrivateInvestment!A:B,2,)</f>
        <v/>
      </c>
      <c r="E176" s="164">
        <f>VLOOKUP(A176,Exports!A:B,2,)</f>
        <v/>
      </c>
      <c r="F176" s="164">
        <f>VLOOKUP(A176,Imports!A:B,2,)</f>
        <v/>
      </c>
      <c r="G176" s="164">
        <f>VLOOKUP(A176,Government!A:B,2,)</f>
        <v/>
      </c>
      <c r="H176" s="85">
        <f>Table58[[#This Row],[Personal Consumption]]/Table58[[#This Row],[GDP]]</f>
        <v/>
      </c>
      <c r="I176" s="85">
        <f>Table58[[#This Row],[Private Investment]]/Table58[[#This Row],[GDP]]</f>
        <v/>
      </c>
      <c r="J176" s="85">
        <f>Table58[[#This Row],[Exports]]/Table58[[#This Row],[GDP]]</f>
        <v/>
      </c>
      <c r="K176" s="85">
        <f>-Table58[[#This Row],[Imports]]/Table58[[#This Row],[GDP]]</f>
        <v/>
      </c>
      <c r="L176" s="85">
        <f>Table58[[#This Row],[Government]]/Table58[[#This Row],[GDP]]</f>
        <v/>
      </c>
      <c r="N176" s="52">
        <f>SUM(Table58[[#This Row],[PC%]:[G%]])</f>
        <v/>
      </c>
      <c r="O176" s="55">
        <f>Table58[[#This Row],[Personal Consumption]]+Table58[[#This Row],[Private Investment]]+Table58[[#This Row],[Exports]]+Table58[[#This Row],[Government]]-Table58[[#This Row],[Imports]]</f>
        <v/>
      </c>
    </row>
    <row r="177">
      <c r="A177" s="94" t="n">
        <v>32782</v>
      </c>
      <c r="B177" s="164">
        <f>VLOOKUP(A177,'U.S. GDP'!A:B,2,)</f>
        <v/>
      </c>
      <c r="C177" s="164">
        <f>VLOOKUP(A177,PersonalConsumption!A:B,2,)</f>
        <v/>
      </c>
      <c r="D177" s="164">
        <f>VLOOKUP(A177,PrivateInvestment!A:B,2,)</f>
        <v/>
      </c>
      <c r="E177" s="164">
        <f>VLOOKUP(A177,Exports!A:B,2,)</f>
        <v/>
      </c>
      <c r="F177" s="164">
        <f>VLOOKUP(A177,Imports!A:B,2,)</f>
        <v/>
      </c>
      <c r="G177" s="164">
        <f>VLOOKUP(A177,Government!A:B,2,)</f>
        <v/>
      </c>
      <c r="H177" s="85">
        <f>Table58[[#This Row],[Personal Consumption]]/Table58[[#This Row],[GDP]]</f>
        <v/>
      </c>
      <c r="I177" s="85">
        <f>Table58[[#This Row],[Private Investment]]/Table58[[#This Row],[GDP]]</f>
        <v/>
      </c>
      <c r="J177" s="85">
        <f>Table58[[#This Row],[Exports]]/Table58[[#This Row],[GDP]]</f>
        <v/>
      </c>
      <c r="K177" s="85">
        <f>-Table58[[#This Row],[Imports]]/Table58[[#This Row],[GDP]]</f>
        <v/>
      </c>
      <c r="L177" s="85">
        <f>Table58[[#This Row],[Government]]/Table58[[#This Row],[GDP]]</f>
        <v/>
      </c>
      <c r="N177" s="52">
        <f>SUM(Table58[[#This Row],[PC%]:[G%]])</f>
        <v/>
      </c>
      <c r="O177" s="55">
        <f>Table58[[#This Row],[Personal Consumption]]+Table58[[#This Row],[Private Investment]]+Table58[[#This Row],[Exports]]+Table58[[#This Row],[Government]]-Table58[[#This Row],[Imports]]</f>
        <v/>
      </c>
    </row>
    <row r="178">
      <c r="A178" s="94" t="n">
        <v>32874</v>
      </c>
      <c r="B178" s="164">
        <f>VLOOKUP(A178,'U.S. GDP'!A:B,2,)</f>
        <v/>
      </c>
      <c r="C178" s="164">
        <f>VLOOKUP(A178,PersonalConsumption!A:B,2,)</f>
        <v/>
      </c>
      <c r="D178" s="164">
        <f>VLOOKUP(A178,PrivateInvestment!A:B,2,)</f>
        <v/>
      </c>
      <c r="E178" s="164">
        <f>VLOOKUP(A178,Exports!A:B,2,)</f>
        <v/>
      </c>
      <c r="F178" s="164">
        <f>VLOOKUP(A178,Imports!A:B,2,)</f>
        <v/>
      </c>
      <c r="G178" s="164">
        <f>VLOOKUP(A178,Government!A:B,2,)</f>
        <v/>
      </c>
      <c r="H178" s="85">
        <f>Table58[[#This Row],[Personal Consumption]]/Table58[[#This Row],[GDP]]</f>
        <v/>
      </c>
      <c r="I178" s="85">
        <f>Table58[[#This Row],[Private Investment]]/Table58[[#This Row],[GDP]]</f>
        <v/>
      </c>
      <c r="J178" s="85">
        <f>Table58[[#This Row],[Exports]]/Table58[[#This Row],[GDP]]</f>
        <v/>
      </c>
      <c r="K178" s="85">
        <f>-Table58[[#This Row],[Imports]]/Table58[[#This Row],[GDP]]</f>
        <v/>
      </c>
      <c r="L178" s="85">
        <f>Table58[[#This Row],[Government]]/Table58[[#This Row],[GDP]]</f>
        <v/>
      </c>
      <c r="N178" s="52">
        <f>SUM(Table58[[#This Row],[PC%]:[G%]])</f>
        <v/>
      </c>
      <c r="O178" s="55">
        <f>Table58[[#This Row],[Personal Consumption]]+Table58[[#This Row],[Private Investment]]+Table58[[#This Row],[Exports]]+Table58[[#This Row],[Government]]-Table58[[#This Row],[Imports]]</f>
        <v/>
      </c>
    </row>
    <row r="179">
      <c r="A179" s="94" t="n">
        <v>32964</v>
      </c>
      <c r="B179" s="164">
        <f>VLOOKUP(A179,'U.S. GDP'!A:B,2,)</f>
        <v/>
      </c>
      <c r="C179" s="164">
        <f>VLOOKUP(A179,PersonalConsumption!A:B,2,)</f>
        <v/>
      </c>
      <c r="D179" s="164">
        <f>VLOOKUP(A179,PrivateInvestment!A:B,2,)</f>
        <v/>
      </c>
      <c r="E179" s="164">
        <f>VLOOKUP(A179,Exports!A:B,2,)</f>
        <v/>
      </c>
      <c r="F179" s="164">
        <f>VLOOKUP(A179,Imports!A:B,2,)</f>
        <v/>
      </c>
      <c r="G179" s="164">
        <f>VLOOKUP(A179,Government!A:B,2,)</f>
        <v/>
      </c>
      <c r="H179" s="85">
        <f>Table58[[#This Row],[Personal Consumption]]/Table58[[#This Row],[GDP]]</f>
        <v/>
      </c>
      <c r="I179" s="85">
        <f>Table58[[#This Row],[Private Investment]]/Table58[[#This Row],[GDP]]</f>
        <v/>
      </c>
      <c r="J179" s="85">
        <f>Table58[[#This Row],[Exports]]/Table58[[#This Row],[GDP]]</f>
        <v/>
      </c>
      <c r="K179" s="85">
        <f>-Table58[[#This Row],[Imports]]/Table58[[#This Row],[GDP]]</f>
        <v/>
      </c>
      <c r="L179" s="85">
        <f>Table58[[#This Row],[Government]]/Table58[[#This Row],[GDP]]</f>
        <v/>
      </c>
      <c r="N179" s="52">
        <f>SUM(Table58[[#This Row],[PC%]:[G%]])</f>
        <v/>
      </c>
      <c r="O179" s="55">
        <f>Table58[[#This Row],[Personal Consumption]]+Table58[[#This Row],[Private Investment]]+Table58[[#This Row],[Exports]]+Table58[[#This Row],[Government]]-Table58[[#This Row],[Imports]]</f>
        <v/>
      </c>
    </row>
    <row r="180">
      <c r="A180" s="94" t="n">
        <v>33055</v>
      </c>
      <c r="B180" s="164">
        <f>VLOOKUP(A180,'U.S. GDP'!A:B,2,)</f>
        <v/>
      </c>
      <c r="C180" s="164">
        <f>VLOOKUP(A180,PersonalConsumption!A:B,2,)</f>
        <v/>
      </c>
      <c r="D180" s="164">
        <f>VLOOKUP(A180,PrivateInvestment!A:B,2,)</f>
        <v/>
      </c>
      <c r="E180" s="164">
        <f>VLOOKUP(A180,Exports!A:B,2,)</f>
        <v/>
      </c>
      <c r="F180" s="164">
        <f>VLOOKUP(A180,Imports!A:B,2,)</f>
        <v/>
      </c>
      <c r="G180" s="164">
        <f>VLOOKUP(A180,Government!A:B,2,)</f>
        <v/>
      </c>
      <c r="H180" s="85">
        <f>Table58[[#This Row],[Personal Consumption]]/Table58[[#This Row],[GDP]]</f>
        <v/>
      </c>
      <c r="I180" s="85">
        <f>Table58[[#This Row],[Private Investment]]/Table58[[#This Row],[GDP]]</f>
        <v/>
      </c>
      <c r="J180" s="85">
        <f>Table58[[#This Row],[Exports]]/Table58[[#This Row],[GDP]]</f>
        <v/>
      </c>
      <c r="K180" s="85">
        <f>-Table58[[#This Row],[Imports]]/Table58[[#This Row],[GDP]]</f>
        <v/>
      </c>
      <c r="L180" s="85">
        <f>Table58[[#This Row],[Government]]/Table58[[#This Row],[GDP]]</f>
        <v/>
      </c>
      <c r="N180" s="52">
        <f>SUM(Table58[[#This Row],[PC%]:[G%]])</f>
        <v/>
      </c>
      <c r="O180" s="55">
        <f>Table58[[#This Row],[Personal Consumption]]+Table58[[#This Row],[Private Investment]]+Table58[[#This Row],[Exports]]+Table58[[#This Row],[Government]]-Table58[[#This Row],[Imports]]</f>
        <v/>
      </c>
    </row>
    <row r="181">
      <c r="A181" s="94" t="n">
        <v>33147</v>
      </c>
      <c r="B181" s="164">
        <f>VLOOKUP(A181,'U.S. GDP'!A:B,2,)</f>
        <v/>
      </c>
      <c r="C181" s="164">
        <f>VLOOKUP(A181,PersonalConsumption!A:B,2,)</f>
        <v/>
      </c>
      <c r="D181" s="164">
        <f>VLOOKUP(A181,PrivateInvestment!A:B,2,)</f>
        <v/>
      </c>
      <c r="E181" s="164">
        <f>VLOOKUP(A181,Exports!A:B,2,)</f>
        <v/>
      </c>
      <c r="F181" s="164">
        <f>VLOOKUP(A181,Imports!A:B,2,)</f>
        <v/>
      </c>
      <c r="G181" s="164">
        <f>VLOOKUP(A181,Government!A:B,2,)</f>
        <v/>
      </c>
      <c r="H181" s="85">
        <f>Table58[[#This Row],[Personal Consumption]]/Table58[[#This Row],[GDP]]</f>
        <v/>
      </c>
      <c r="I181" s="85">
        <f>Table58[[#This Row],[Private Investment]]/Table58[[#This Row],[GDP]]</f>
        <v/>
      </c>
      <c r="J181" s="85">
        <f>Table58[[#This Row],[Exports]]/Table58[[#This Row],[GDP]]</f>
        <v/>
      </c>
      <c r="K181" s="85">
        <f>-Table58[[#This Row],[Imports]]/Table58[[#This Row],[GDP]]</f>
        <v/>
      </c>
      <c r="L181" s="85">
        <f>Table58[[#This Row],[Government]]/Table58[[#This Row],[GDP]]</f>
        <v/>
      </c>
      <c r="N181" s="52">
        <f>SUM(Table58[[#This Row],[PC%]:[G%]])</f>
        <v/>
      </c>
      <c r="O181" s="55">
        <f>Table58[[#This Row],[Personal Consumption]]+Table58[[#This Row],[Private Investment]]+Table58[[#This Row],[Exports]]+Table58[[#This Row],[Government]]-Table58[[#This Row],[Imports]]</f>
        <v/>
      </c>
    </row>
    <row r="182">
      <c r="A182" s="94" t="n">
        <v>33239</v>
      </c>
      <c r="B182" s="164">
        <f>VLOOKUP(A182,'U.S. GDP'!A:B,2,)</f>
        <v/>
      </c>
      <c r="C182" s="164">
        <f>VLOOKUP(A182,PersonalConsumption!A:B,2,)</f>
        <v/>
      </c>
      <c r="D182" s="164">
        <f>VLOOKUP(A182,PrivateInvestment!A:B,2,)</f>
        <v/>
      </c>
      <c r="E182" s="164">
        <f>VLOOKUP(A182,Exports!A:B,2,)</f>
        <v/>
      </c>
      <c r="F182" s="164">
        <f>VLOOKUP(A182,Imports!A:B,2,)</f>
        <v/>
      </c>
      <c r="G182" s="164">
        <f>VLOOKUP(A182,Government!A:B,2,)</f>
        <v/>
      </c>
      <c r="H182" s="85">
        <f>Table58[[#This Row],[Personal Consumption]]/Table58[[#This Row],[GDP]]</f>
        <v/>
      </c>
      <c r="I182" s="85">
        <f>Table58[[#This Row],[Private Investment]]/Table58[[#This Row],[GDP]]</f>
        <v/>
      </c>
      <c r="J182" s="85">
        <f>Table58[[#This Row],[Exports]]/Table58[[#This Row],[GDP]]</f>
        <v/>
      </c>
      <c r="K182" s="85">
        <f>-Table58[[#This Row],[Imports]]/Table58[[#This Row],[GDP]]</f>
        <v/>
      </c>
      <c r="L182" s="85">
        <f>Table58[[#This Row],[Government]]/Table58[[#This Row],[GDP]]</f>
        <v/>
      </c>
      <c r="N182" s="52">
        <f>SUM(Table58[[#This Row],[PC%]:[G%]])</f>
        <v/>
      </c>
      <c r="O182" s="55">
        <f>Table58[[#This Row],[Personal Consumption]]+Table58[[#This Row],[Private Investment]]+Table58[[#This Row],[Exports]]+Table58[[#This Row],[Government]]-Table58[[#This Row],[Imports]]</f>
        <v/>
      </c>
    </row>
    <row r="183">
      <c r="A183" s="94" t="n">
        <v>33329</v>
      </c>
      <c r="B183" s="164">
        <f>VLOOKUP(A183,'U.S. GDP'!A:B,2,)</f>
        <v/>
      </c>
      <c r="C183" s="164">
        <f>VLOOKUP(A183,PersonalConsumption!A:B,2,)</f>
        <v/>
      </c>
      <c r="D183" s="164">
        <f>VLOOKUP(A183,PrivateInvestment!A:B,2,)</f>
        <v/>
      </c>
      <c r="E183" s="164">
        <f>VLOOKUP(A183,Exports!A:B,2,)</f>
        <v/>
      </c>
      <c r="F183" s="164">
        <f>VLOOKUP(A183,Imports!A:B,2,)</f>
        <v/>
      </c>
      <c r="G183" s="164">
        <f>VLOOKUP(A183,Government!A:B,2,)</f>
        <v/>
      </c>
      <c r="H183" s="85">
        <f>Table58[[#This Row],[Personal Consumption]]/Table58[[#This Row],[GDP]]</f>
        <v/>
      </c>
      <c r="I183" s="85">
        <f>Table58[[#This Row],[Private Investment]]/Table58[[#This Row],[GDP]]</f>
        <v/>
      </c>
      <c r="J183" s="85">
        <f>Table58[[#This Row],[Exports]]/Table58[[#This Row],[GDP]]</f>
        <v/>
      </c>
      <c r="K183" s="85">
        <f>-Table58[[#This Row],[Imports]]/Table58[[#This Row],[GDP]]</f>
        <v/>
      </c>
      <c r="L183" s="85">
        <f>Table58[[#This Row],[Government]]/Table58[[#This Row],[GDP]]</f>
        <v/>
      </c>
      <c r="N183" s="52">
        <f>SUM(Table58[[#This Row],[PC%]:[G%]])</f>
        <v/>
      </c>
      <c r="O183" s="55">
        <f>Table58[[#This Row],[Personal Consumption]]+Table58[[#This Row],[Private Investment]]+Table58[[#This Row],[Exports]]+Table58[[#This Row],[Government]]-Table58[[#This Row],[Imports]]</f>
        <v/>
      </c>
    </row>
    <row r="184">
      <c r="A184" s="94" t="n">
        <v>33420</v>
      </c>
      <c r="B184" s="164">
        <f>VLOOKUP(A184,'U.S. GDP'!A:B,2,)</f>
        <v/>
      </c>
      <c r="C184" s="164">
        <f>VLOOKUP(A184,PersonalConsumption!A:B,2,)</f>
        <v/>
      </c>
      <c r="D184" s="164">
        <f>VLOOKUP(A184,PrivateInvestment!A:B,2,)</f>
        <v/>
      </c>
      <c r="E184" s="164">
        <f>VLOOKUP(A184,Exports!A:B,2,)</f>
        <v/>
      </c>
      <c r="F184" s="164">
        <f>VLOOKUP(A184,Imports!A:B,2,)</f>
        <v/>
      </c>
      <c r="G184" s="164">
        <f>VLOOKUP(A184,Government!A:B,2,)</f>
        <v/>
      </c>
      <c r="H184" s="85">
        <f>Table58[[#This Row],[Personal Consumption]]/Table58[[#This Row],[GDP]]</f>
        <v/>
      </c>
      <c r="I184" s="85">
        <f>Table58[[#This Row],[Private Investment]]/Table58[[#This Row],[GDP]]</f>
        <v/>
      </c>
      <c r="J184" s="85">
        <f>Table58[[#This Row],[Exports]]/Table58[[#This Row],[GDP]]</f>
        <v/>
      </c>
      <c r="K184" s="85">
        <f>-Table58[[#This Row],[Imports]]/Table58[[#This Row],[GDP]]</f>
        <v/>
      </c>
      <c r="L184" s="85">
        <f>Table58[[#This Row],[Government]]/Table58[[#This Row],[GDP]]</f>
        <v/>
      </c>
      <c r="N184" s="52">
        <f>SUM(Table58[[#This Row],[PC%]:[G%]])</f>
        <v/>
      </c>
      <c r="O184" s="55">
        <f>Table58[[#This Row],[Personal Consumption]]+Table58[[#This Row],[Private Investment]]+Table58[[#This Row],[Exports]]+Table58[[#This Row],[Government]]-Table58[[#This Row],[Imports]]</f>
        <v/>
      </c>
    </row>
    <row r="185">
      <c r="A185" s="94" t="n">
        <v>33512</v>
      </c>
      <c r="B185" s="164">
        <f>VLOOKUP(A185,'U.S. GDP'!A:B,2,)</f>
        <v/>
      </c>
      <c r="C185" s="164">
        <f>VLOOKUP(A185,PersonalConsumption!A:B,2,)</f>
        <v/>
      </c>
      <c r="D185" s="164">
        <f>VLOOKUP(A185,PrivateInvestment!A:B,2,)</f>
        <v/>
      </c>
      <c r="E185" s="164">
        <f>VLOOKUP(A185,Exports!A:B,2,)</f>
        <v/>
      </c>
      <c r="F185" s="164">
        <f>VLOOKUP(A185,Imports!A:B,2,)</f>
        <v/>
      </c>
      <c r="G185" s="164">
        <f>VLOOKUP(A185,Government!A:B,2,)</f>
        <v/>
      </c>
      <c r="H185" s="85">
        <f>Table58[[#This Row],[Personal Consumption]]/Table58[[#This Row],[GDP]]</f>
        <v/>
      </c>
      <c r="I185" s="85">
        <f>Table58[[#This Row],[Private Investment]]/Table58[[#This Row],[GDP]]</f>
        <v/>
      </c>
      <c r="J185" s="85">
        <f>Table58[[#This Row],[Exports]]/Table58[[#This Row],[GDP]]</f>
        <v/>
      </c>
      <c r="K185" s="85">
        <f>-Table58[[#This Row],[Imports]]/Table58[[#This Row],[GDP]]</f>
        <v/>
      </c>
      <c r="L185" s="85">
        <f>Table58[[#This Row],[Government]]/Table58[[#This Row],[GDP]]</f>
        <v/>
      </c>
      <c r="N185" s="52">
        <f>SUM(Table58[[#This Row],[PC%]:[G%]])</f>
        <v/>
      </c>
      <c r="O185" s="55">
        <f>Table58[[#This Row],[Personal Consumption]]+Table58[[#This Row],[Private Investment]]+Table58[[#This Row],[Exports]]+Table58[[#This Row],[Government]]-Table58[[#This Row],[Imports]]</f>
        <v/>
      </c>
    </row>
    <row r="186">
      <c r="A186" s="94" t="n">
        <v>33604</v>
      </c>
      <c r="B186" s="164">
        <f>VLOOKUP(A186,'U.S. GDP'!A:B,2,)</f>
        <v/>
      </c>
      <c r="C186" s="164">
        <f>VLOOKUP(A186,PersonalConsumption!A:B,2,)</f>
        <v/>
      </c>
      <c r="D186" s="164">
        <f>VLOOKUP(A186,PrivateInvestment!A:B,2,)</f>
        <v/>
      </c>
      <c r="E186" s="164">
        <f>VLOOKUP(A186,Exports!A:B,2,)</f>
        <v/>
      </c>
      <c r="F186" s="164">
        <f>VLOOKUP(A186,Imports!A:B,2,)</f>
        <v/>
      </c>
      <c r="G186" s="164">
        <f>VLOOKUP(A186,Government!A:B,2,)</f>
        <v/>
      </c>
      <c r="H186" s="85">
        <f>Table58[[#This Row],[Personal Consumption]]/Table58[[#This Row],[GDP]]</f>
        <v/>
      </c>
      <c r="I186" s="85">
        <f>Table58[[#This Row],[Private Investment]]/Table58[[#This Row],[GDP]]</f>
        <v/>
      </c>
      <c r="J186" s="85">
        <f>Table58[[#This Row],[Exports]]/Table58[[#This Row],[GDP]]</f>
        <v/>
      </c>
      <c r="K186" s="85">
        <f>-Table58[[#This Row],[Imports]]/Table58[[#This Row],[GDP]]</f>
        <v/>
      </c>
      <c r="L186" s="85">
        <f>Table58[[#This Row],[Government]]/Table58[[#This Row],[GDP]]</f>
        <v/>
      </c>
      <c r="N186" s="52">
        <f>SUM(Table58[[#This Row],[PC%]:[G%]])</f>
        <v/>
      </c>
      <c r="O186" s="55">
        <f>Table58[[#This Row],[Personal Consumption]]+Table58[[#This Row],[Private Investment]]+Table58[[#This Row],[Exports]]+Table58[[#This Row],[Government]]-Table58[[#This Row],[Imports]]</f>
        <v/>
      </c>
    </row>
    <row r="187">
      <c r="A187" s="94" t="n">
        <v>33695</v>
      </c>
      <c r="B187" s="164">
        <f>VLOOKUP(A187,'U.S. GDP'!A:B,2,)</f>
        <v/>
      </c>
      <c r="C187" s="164">
        <f>VLOOKUP(A187,PersonalConsumption!A:B,2,)</f>
        <v/>
      </c>
      <c r="D187" s="164">
        <f>VLOOKUP(A187,PrivateInvestment!A:B,2,)</f>
        <v/>
      </c>
      <c r="E187" s="164">
        <f>VLOOKUP(A187,Exports!A:B,2,)</f>
        <v/>
      </c>
      <c r="F187" s="164">
        <f>VLOOKUP(A187,Imports!A:B,2,)</f>
        <v/>
      </c>
      <c r="G187" s="164">
        <f>VLOOKUP(A187,Government!A:B,2,)</f>
        <v/>
      </c>
      <c r="H187" s="85">
        <f>Table58[[#This Row],[Personal Consumption]]/Table58[[#This Row],[GDP]]</f>
        <v/>
      </c>
      <c r="I187" s="85">
        <f>Table58[[#This Row],[Private Investment]]/Table58[[#This Row],[GDP]]</f>
        <v/>
      </c>
      <c r="J187" s="85">
        <f>Table58[[#This Row],[Exports]]/Table58[[#This Row],[GDP]]</f>
        <v/>
      </c>
      <c r="K187" s="85">
        <f>-Table58[[#This Row],[Imports]]/Table58[[#This Row],[GDP]]</f>
        <v/>
      </c>
      <c r="L187" s="85">
        <f>Table58[[#This Row],[Government]]/Table58[[#This Row],[GDP]]</f>
        <v/>
      </c>
      <c r="N187" s="52">
        <f>SUM(Table58[[#This Row],[PC%]:[G%]])</f>
        <v/>
      </c>
      <c r="O187" s="55">
        <f>Table58[[#This Row],[Personal Consumption]]+Table58[[#This Row],[Private Investment]]+Table58[[#This Row],[Exports]]+Table58[[#This Row],[Government]]-Table58[[#This Row],[Imports]]</f>
        <v/>
      </c>
    </row>
    <row r="188">
      <c r="A188" s="94" t="n">
        <v>33786</v>
      </c>
      <c r="B188" s="164">
        <f>VLOOKUP(A188,'U.S. GDP'!A:B,2,)</f>
        <v/>
      </c>
      <c r="C188" s="164">
        <f>VLOOKUP(A188,PersonalConsumption!A:B,2,)</f>
        <v/>
      </c>
      <c r="D188" s="164">
        <f>VLOOKUP(A188,PrivateInvestment!A:B,2,)</f>
        <v/>
      </c>
      <c r="E188" s="164">
        <f>VLOOKUP(A188,Exports!A:B,2,)</f>
        <v/>
      </c>
      <c r="F188" s="164">
        <f>VLOOKUP(A188,Imports!A:B,2,)</f>
        <v/>
      </c>
      <c r="G188" s="164">
        <f>VLOOKUP(A188,Government!A:B,2,)</f>
        <v/>
      </c>
      <c r="H188" s="85">
        <f>Table58[[#This Row],[Personal Consumption]]/Table58[[#This Row],[GDP]]</f>
        <v/>
      </c>
      <c r="I188" s="85">
        <f>Table58[[#This Row],[Private Investment]]/Table58[[#This Row],[GDP]]</f>
        <v/>
      </c>
      <c r="J188" s="85">
        <f>Table58[[#This Row],[Exports]]/Table58[[#This Row],[GDP]]</f>
        <v/>
      </c>
      <c r="K188" s="85">
        <f>-Table58[[#This Row],[Imports]]/Table58[[#This Row],[GDP]]</f>
        <v/>
      </c>
      <c r="L188" s="85">
        <f>Table58[[#This Row],[Government]]/Table58[[#This Row],[GDP]]</f>
        <v/>
      </c>
      <c r="N188" s="52">
        <f>SUM(Table58[[#This Row],[PC%]:[G%]])</f>
        <v/>
      </c>
      <c r="O188" s="55">
        <f>Table58[[#This Row],[Personal Consumption]]+Table58[[#This Row],[Private Investment]]+Table58[[#This Row],[Exports]]+Table58[[#This Row],[Government]]-Table58[[#This Row],[Imports]]</f>
        <v/>
      </c>
    </row>
    <row r="189">
      <c r="A189" s="94" t="n">
        <v>33878</v>
      </c>
      <c r="B189" s="164">
        <f>VLOOKUP(A189,'U.S. GDP'!A:B,2,)</f>
        <v/>
      </c>
      <c r="C189" s="164">
        <f>VLOOKUP(A189,PersonalConsumption!A:B,2,)</f>
        <v/>
      </c>
      <c r="D189" s="164">
        <f>VLOOKUP(A189,PrivateInvestment!A:B,2,)</f>
        <v/>
      </c>
      <c r="E189" s="164">
        <f>VLOOKUP(A189,Exports!A:B,2,)</f>
        <v/>
      </c>
      <c r="F189" s="164">
        <f>VLOOKUP(A189,Imports!A:B,2,)</f>
        <v/>
      </c>
      <c r="G189" s="164">
        <f>VLOOKUP(A189,Government!A:B,2,)</f>
        <v/>
      </c>
      <c r="H189" s="85">
        <f>Table58[[#This Row],[Personal Consumption]]/Table58[[#This Row],[GDP]]</f>
        <v/>
      </c>
      <c r="I189" s="85">
        <f>Table58[[#This Row],[Private Investment]]/Table58[[#This Row],[GDP]]</f>
        <v/>
      </c>
      <c r="J189" s="85">
        <f>Table58[[#This Row],[Exports]]/Table58[[#This Row],[GDP]]</f>
        <v/>
      </c>
      <c r="K189" s="85">
        <f>-Table58[[#This Row],[Imports]]/Table58[[#This Row],[GDP]]</f>
        <v/>
      </c>
      <c r="L189" s="85">
        <f>Table58[[#This Row],[Government]]/Table58[[#This Row],[GDP]]</f>
        <v/>
      </c>
      <c r="N189" s="52">
        <f>SUM(Table58[[#This Row],[PC%]:[G%]])</f>
        <v/>
      </c>
      <c r="O189" s="55">
        <f>Table58[[#This Row],[Personal Consumption]]+Table58[[#This Row],[Private Investment]]+Table58[[#This Row],[Exports]]+Table58[[#This Row],[Government]]-Table58[[#This Row],[Imports]]</f>
        <v/>
      </c>
    </row>
    <row r="190">
      <c r="A190" s="94" t="n">
        <v>33970</v>
      </c>
      <c r="B190" s="164">
        <f>VLOOKUP(A190,'U.S. GDP'!A:B,2,)</f>
        <v/>
      </c>
      <c r="C190" s="164">
        <f>VLOOKUP(A190,PersonalConsumption!A:B,2,)</f>
        <v/>
      </c>
      <c r="D190" s="164">
        <f>VLOOKUP(A190,PrivateInvestment!A:B,2,)</f>
        <v/>
      </c>
      <c r="E190" s="164">
        <f>VLOOKUP(A190,Exports!A:B,2,)</f>
        <v/>
      </c>
      <c r="F190" s="164">
        <f>VLOOKUP(A190,Imports!A:B,2,)</f>
        <v/>
      </c>
      <c r="G190" s="164">
        <f>VLOOKUP(A190,Government!A:B,2,)</f>
        <v/>
      </c>
      <c r="H190" s="85">
        <f>Table58[[#This Row],[Personal Consumption]]/Table58[[#This Row],[GDP]]</f>
        <v/>
      </c>
      <c r="I190" s="85">
        <f>Table58[[#This Row],[Private Investment]]/Table58[[#This Row],[GDP]]</f>
        <v/>
      </c>
      <c r="J190" s="85">
        <f>Table58[[#This Row],[Exports]]/Table58[[#This Row],[GDP]]</f>
        <v/>
      </c>
      <c r="K190" s="85">
        <f>-Table58[[#This Row],[Imports]]/Table58[[#This Row],[GDP]]</f>
        <v/>
      </c>
      <c r="L190" s="85">
        <f>Table58[[#This Row],[Government]]/Table58[[#This Row],[GDP]]</f>
        <v/>
      </c>
      <c r="N190" s="52">
        <f>SUM(Table58[[#This Row],[PC%]:[G%]])</f>
        <v/>
      </c>
      <c r="O190" s="55">
        <f>Table58[[#This Row],[Personal Consumption]]+Table58[[#This Row],[Private Investment]]+Table58[[#This Row],[Exports]]+Table58[[#This Row],[Government]]-Table58[[#This Row],[Imports]]</f>
        <v/>
      </c>
    </row>
    <row r="191">
      <c r="A191" s="94" t="n">
        <v>34060</v>
      </c>
      <c r="B191" s="164">
        <f>VLOOKUP(A191,'U.S. GDP'!A:B,2,)</f>
        <v/>
      </c>
      <c r="C191" s="164">
        <f>VLOOKUP(A191,PersonalConsumption!A:B,2,)</f>
        <v/>
      </c>
      <c r="D191" s="164">
        <f>VLOOKUP(A191,PrivateInvestment!A:B,2,)</f>
        <v/>
      </c>
      <c r="E191" s="164">
        <f>VLOOKUP(A191,Exports!A:B,2,)</f>
        <v/>
      </c>
      <c r="F191" s="164">
        <f>VLOOKUP(A191,Imports!A:B,2,)</f>
        <v/>
      </c>
      <c r="G191" s="164">
        <f>VLOOKUP(A191,Government!A:B,2,)</f>
        <v/>
      </c>
      <c r="H191" s="85">
        <f>Table58[[#This Row],[Personal Consumption]]/Table58[[#This Row],[GDP]]</f>
        <v/>
      </c>
      <c r="I191" s="85">
        <f>Table58[[#This Row],[Private Investment]]/Table58[[#This Row],[GDP]]</f>
        <v/>
      </c>
      <c r="J191" s="85">
        <f>Table58[[#This Row],[Exports]]/Table58[[#This Row],[GDP]]</f>
        <v/>
      </c>
      <c r="K191" s="85">
        <f>-Table58[[#This Row],[Imports]]/Table58[[#This Row],[GDP]]</f>
        <v/>
      </c>
      <c r="L191" s="85">
        <f>Table58[[#This Row],[Government]]/Table58[[#This Row],[GDP]]</f>
        <v/>
      </c>
      <c r="N191" s="52">
        <f>SUM(Table58[[#This Row],[PC%]:[G%]])</f>
        <v/>
      </c>
      <c r="O191" s="55">
        <f>Table58[[#This Row],[Personal Consumption]]+Table58[[#This Row],[Private Investment]]+Table58[[#This Row],[Exports]]+Table58[[#This Row],[Government]]-Table58[[#This Row],[Imports]]</f>
        <v/>
      </c>
    </row>
    <row r="192">
      <c r="A192" s="94" t="n">
        <v>34151</v>
      </c>
      <c r="B192" s="164">
        <f>VLOOKUP(A192,'U.S. GDP'!A:B,2,)</f>
        <v/>
      </c>
      <c r="C192" s="164">
        <f>VLOOKUP(A192,PersonalConsumption!A:B,2,)</f>
        <v/>
      </c>
      <c r="D192" s="164">
        <f>VLOOKUP(A192,PrivateInvestment!A:B,2,)</f>
        <v/>
      </c>
      <c r="E192" s="164">
        <f>VLOOKUP(A192,Exports!A:B,2,)</f>
        <v/>
      </c>
      <c r="F192" s="164">
        <f>VLOOKUP(A192,Imports!A:B,2,)</f>
        <v/>
      </c>
      <c r="G192" s="164">
        <f>VLOOKUP(A192,Government!A:B,2,)</f>
        <v/>
      </c>
      <c r="H192" s="85">
        <f>Table58[[#This Row],[Personal Consumption]]/Table58[[#This Row],[GDP]]</f>
        <v/>
      </c>
      <c r="I192" s="85">
        <f>Table58[[#This Row],[Private Investment]]/Table58[[#This Row],[GDP]]</f>
        <v/>
      </c>
      <c r="J192" s="85">
        <f>Table58[[#This Row],[Exports]]/Table58[[#This Row],[GDP]]</f>
        <v/>
      </c>
      <c r="K192" s="85">
        <f>-Table58[[#This Row],[Imports]]/Table58[[#This Row],[GDP]]</f>
        <v/>
      </c>
      <c r="L192" s="85">
        <f>Table58[[#This Row],[Government]]/Table58[[#This Row],[GDP]]</f>
        <v/>
      </c>
      <c r="N192" s="52">
        <f>SUM(Table58[[#This Row],[PC%]:[G%]])</f>
        <v/>
      </c>
      <c r="O192" s="55">
        <f>Table58[[#This Row],[Personal Consumption]]+Table58[[#This Row],[Private Investment]]+Table58[[#This Row],[Exports]]+Table58[[#This Row],[Government]]-Table58[[#This Row],[Imports]]</f>
        <v/>
      </c>
    </row>
    <row r="193">
      <c r="A193" s="94" t="n">
        <v>34243</v>
      </c>
      <c r="B193" s="164">
        <f>VLOOKUP(A193,'U.S. GDP'!A:B,2,)</f>
        <v/>
      </c>
      <c r="C193" s="164">
        <f>VLOOKUP(A193,PersonalConsumption!A:B,2,)</f>
        <v/>
      </c>
      <c r="D193" s="164">
        <f>VLOOKUP(A193,PrivateInvestment!A:B,2,)</f>
        <v/>
      </c>
      <c r="E193" s="164">
        <f>VLOOKUP(A193,Exports!A:B,2,)</f>
        <v/>
      </c>
      <c r="F193" s="164">
        <f>VLOOKUP(A193,Imports!A:B,2,)</f>
        <v/>
      </c>
      <c r="G193" s="164">
        <f>VLOOKUP(A193,Government!A:B,2,)</f>
        <v/>
      </c>
      <c r="H193" s="85">
        <f>Table58[[#This Row],[Personal Consumption]]/Table58[[#This Row],[GDP]]</f>
        <v/>
      </c>
      <c r="I193" s="85">
        <f>Table58[[#This Row],[Private Investment]]/Table58[[#This Row],[GDP]]</f>
        <v/>
      </c>
      <c r="J193" s="85">
        <f>Table58[[#This Row],[Exports]]/Table58[[#This Row],[GDP]]</f>
        <v/>
      </c>
      <c r="K193" s="85">
        <f>-Table58[[#This Row],[Imports]]/Table58[[#This Row],[GDP]]</f>
        <v/>
      </c>
      <c r="L193" s="85">
        <f>Table58[[#This Row],[Government]]/Table58[[#This Row],[GDP]]</f>
        <v/>
      </c>
      <c r="N193" s="52">
        <f>SUM(Table58[[#This Row],[PC%]:[G%]])</f>
        <v/>
      </c>
      <c r="O193" s="55">
        <f>Table58[[#This Row],[Personal Consumption]]+Table58[[#This Row],[Private Investment]]+Table58[[#This Row],[Exports]]+Table58[[#This Row],[Government]]-Table58[[#This Row],[Imports]]</f>
        <v/>
      </c>
    </row>
    <row r="194">
      <c r="A194" s="94" t="n">
        <v>34335</v>
      </c>
      <c r="B194" s="164">
        <f>VLOOKUP(A194,'U.S. GDP'!A:B,2,)</f>
        <v/>
      </c>
      <c r="C194" s="164">
        <f>VLOOKUP(A194,PersonalConsumption!A:B,2,)</f>
        <v/>
      </c>
      <c r="D194" s="164">
        <f>VLOOKUP(A194,PrivateInvestment!A:B,2,)</f>
        <v/>
      </c>
      <c r="E194" s="164">
        <f>VLOOKUP(A194,Exports!A:B,2,)</f>
        <v/>
      </c>
      <c r="F194" s="164">
        <f>VLOOKUP(A194,Imports!A:B,2,)</f>
        <v/>
      </c>
      <c r="G194" s="164">
        <f>VLOOKUP(A194,Government!A:B,2,)</f>
        <v/>
      </c>
      <c r="H194" s="85">
        <f>Table58[[#This Row],[Personal Consumption]]/Table58[[#This Row],[GDP]]</f>
        <v/>
      </c>
      <c r="I194" s="85">
        <f>Table58[[#This Row],[Private Investment]]/Table58[[#This Row],[GDP]]</f>
        <v/>
      </c>
      <c r="J194" s="85">
        <f>Table58[[#This Row],[Exports]]/Table58[[#This Row],[GDP]]</f>
        <v/>
      </c>
      <c r="K194" s="85">
        <f>-Table58[[#This Row],[Imports]]/Table58[[#This Row],[GDP]]</f>
        <v/>
      </c>
      <c r="L194" s="85">
        <f>Table58[[#This Row],[Government]]/Table58[[#This Row],[GDP]]</f>
        <v/>
      </c>
      <c r="N194" s="52">
        <f>SUM(Table58[[#This Row],[PC%]:[G%]])</f>
        <v/>
      </c>
      <c r="O194" s="55">
        <f>Table58[[#This Row],[Personal Consumption]]+Table58[[#This Row],[Private Investment]]+Table58[[#This Row],[Exports]]+Table58[[#This Row],[Government]]-Table58[[#This Row],[Imports]]</f>
        <v/>
      </c>
    </row>
    <row r="195">
      <c r="A195" s="94" t="n">
        <v>34425</v>
      </c>
      <c r="B195" s="164">
        <f>VLOOKUP(A195,'U.S. GDP'!A:B,2,)</f>
        <v/>
      </c>
      <c r="C195" s="164">
        <f>VLOOKUP(A195,PersonalConsumption!A:B,2,)</f>
        <v/>
      </c>
      <c r="D195" s="164">
        <f>VLOOKUP(A195,PrivateInvestment!A:B,2,)</f>
        <v/>
      </c>
      <c r="E195" s="164">
        <f>VLOOKUP(A195,Exports!A:B,2,)</f>
        <v/>
      </c>
      <c r="F195" s="164">
        <f>VLOOKUP(A195,Imports!A:B,2,)</f>
        <v/>
      </c>
      <c r="G195" s="164">
        <f>VLOOKUP(A195,Government!A:B,2,)</f>
        <v/>
      </c>
      <c r="H195" s="85">
        <f>Table58[[#This Row],[Personal Consumption]]/Table58[[#This Row],[GDP]]</f>
        <v/>
      </c>
      <c r="I195" s="85">
        <f>Table58[[#This Row],[Private Investment]]/Table58[[#This Row],[GDP]]</f>
        <v/>
      </c>
      <c r="J195" s="85">
        <f>Table58[[#This Row],[Exports]]/Table58[[#This Row],[GDP]]</f>
        <v/>
      </c>
      <c r="K195" s="85">
        <f>-Table58[[#This Row],[Imports]]/Table58[[#This Row],[GDP]]</f>
        <v/>
      </c>
      <c r="L195" s="85">
        <f>Table58[[#This Row],[Government]]/Table58[[#This Row],[GDP]]</f>
        <v/>
      </c>
      <c r="N195" s="52">
        <f>SUM(Table58[[#This Row],[PC%]:[G%]])</f>
        <v/>
      </c>
      <c r="O195" s="55">
        <f>Table58[[#This Row],[Personal Consumption]]+Table58[[#This Row],[Private Investment]]+Table58[[#This Row],[Exports]]+Table58[[#This Row],[Government]]-Table58[[#This Row],[Imports]]</f>
        <v/>
      </c>
    </row>
    <row r="196">
      <c r="A196" s="94" t="n">
        <v>34516</v>
      </c>
      <c r="B196" s="164">
        <f>VLOOKUP(A196,'U.S. GDP'!A:B,2,)</f>
        <v/>
      </c>
      <c r="C196" s="164">
        <f>VLOOKUP(A196,PersonalConsumption!A:B,2,)</f>
        <v/>
      </c>
      <c r="D196" s="164">
        <f>VLOOKUP(A196,PrivateInvestment!A:B,2,)</f>
        <v/>
      </c>
      <c r="E196" s="164">
        <f>VLOOKUP(A196,Exports!A:B,2,)</f>
        <v/>
      </c>
      <c r="F196" s="164">
        <f>VLOOKUP(A196,Imports!A:B,2,)</f>
        <v/>
      </c>
      <c r="G196" s="164">
        <f>VLOOKUP(A196,Government!A:B,2,)</f>
        <v/>
      </c>
      <c r="H196" s="85">
        <f>Table58[[#This Row],[Personal Consumption]]/Table58[[#This Row],[GDP]]</f>
        <v/>
      </c>
      <c r="I196" s="85">
        <f>Table58[[#This Row],[Private Investment]]/Table58[[#This Row],[GDP]]</f>
        <v/>
      </c>
      <c r="J196" s="85">
        <f>Table58[[#This Row],[Exports]]/Table58[[#This Row],[GDP]]</f>
        <v/>
      </c>
      <c r="K196" s="85">
        <f>-Table58[[#This Row],[Imports]]/Table58[[#This Row],[GDP]]</f>
        <v/>
      </c>
      <c r="L196" s="85">
        <f>Table58[[#This Row],[Government]]/Table58[[#This Row],[GDP]]</f>
        <v/>
      </c>
      <c r="N196" s="52">
        <f>SUM(Table58[[#This Row],[PC%]:[G%]])</f>
        <v/>
      </c>
      <c r="O196" s="55">
        <f>Table58[[#This Row],[Personal Consumption]]+Table58[[#This Row],[Private Investment]]+Table58[[#This Row],[Exports]]+Table58[[#This Row],[Government]]-Table58[[#This Row],[Imports]]</f>
        <v/>
      </c>
    </row>
    <row r="197">
      <c r="A197" s="94" t="n">
        <v>34608</v>
      </c>
      <c r="B197" s="164">
        <f>VLOOKUP(A197,'U.S. GDP'!A:B,2,)</f>
        <v/>
      </c>
      <c r="C197" s="164">
        <f>VLOOKUP(A197,PersonalConsumption!A:B,2,)</f>
        <v/>
      </c>
      <c r="D197" s="164">
        <f>VLOOKUP(A197,PrivateInvestment!A:B,2,)</f>
        <v/>
      </c>
      <c r="E197" s="164">
        <f>VLOOKUP(A197,Exports!A:B,2,)</f>
        <v/>
      </c>
      <c r="F197" s="164">
        <f>VLOOKUP(A197,Imports!A:B,2,)</f>
        <v/>
      </c>
      <c r="G197" s="164">
        <f>VLOOKUP(A197,Government!A:B,2,)</f>
        <v/>
      </c>
      <c r="H197" s="85">
        <f>Table58[[#This Row],[Personal Consumption]]/Table58[[#This Row],[GDP]]</f>
        <v/>
      </c>
      <c r="I197" s="85">
        <f>Table58[[#This Row],[Private Investment]]/Table58[[#This Row],[GDP]]</f>
        <v/>
      </c>
      <c r="J197" s="85">
        <f>Table58[[#This Row],[Exports]]/Table58[[#This Row],[GDP]]</f>
        <v/>
      </c>
      <c r="K197" s="85">
        <f>-Table58[[#This Row],[Imports]]/Table58[[#This Row],[GDP]]</f>
        <v/>
      </c>
      <c r="L197" s="85">
        <f>Table58[[#This Row],[Government]]/Table58[[#This Row],[GDP]]</f>
        <v/>
      </c>
      <c r="N197" s="52">
        <f>SUM(Table58[[#This Row],[PC%]:[G%]])</f>
        <v/>
      </c>
      <c r="O197" s="55">
        <f>Table58[[#This Row],[Personal Consumption]]+Table58[[#This Row],[Private Investment]]+Table58[[#This Row],[Exports]]+Table58[[#This Row],[Government]]-Table58[[#This Row],[Imports]]</f>
        <v/>
      </c>
    </row>
    <row r="198">
      <c r="A198" s="94" t="n">
        <v>34700</v>
      </c>
      <c r="B198" s="164">
        <f>VLOOKUP(A198,'U.S. GDP'!A:B,2,)</f>
        <v/>
      </c>
      <c r="C198" s="164">
        <f>VLOOKUP(A198,PersonalConsumption!A:B,2,)</f>
        <v/>
      </c>
      <c r="D198" s="164">
        <f>VLOOKUP(A198,PrivateInvestment!A:B,2,)</f>
        <v/>
      </c>
      <c r="E198" s="164">
        <f>VLOOKUP(A198,Exports!A:B,2,)</f>
        <v/>
      </c>
      <c r="F198" s="164">
        <f>VLOOKUP(A198,Imports!A:B,2,)</f>
        <v/>
      </c>
      <c r="G198" s="164">
        <f>VLOOKUP(A198,Government!A:B,2,)</f>
        <v/>
      </c>
      <c r="H198" s="85">
        <f>Table58[[#This Row],[Personal Consumption]]/Table58[[#This Row],[GDP]]</f>
        <v/>
      </c>
      <c r="I198" s="85">
        <f>Table58[[#This Row],[Private Investment]]/Table58[[#This Row],[GDP]]</f>
        <v/>
      </c>
      <c r="J198" s="85">
        <f>Table58[[#This Row],[Exports]]/Table58[[#This Row],[GDP]]</f>
        <v/>
      </c>
      <c r="K198" s="85">
        <f>-Table58[[#This Row],[Imports]]/Table58[[#This Row],[GDP]]</f>
        <v/>
      </c>
      <c r="L198" s="85">
        <f>Table58[[#This Row],[Government]]/Table58[[#This Row],[GDP]]</f>
        <v/>
      </c>
      <c r="N198" s="52">
        <f>SUM(Table58[[#This Row],[PC%]:[G%]])</f>
        <v/>
      </c>
      <c r="O198" s="55">
        <f>Table58[[#This Row],[Personal Consumption]]+Table58[[#This Row],[Private Investment]]+Table58[[#This Row],[Exports]]+Table58[[#This Row],[Government]]-Table58[[#This Row],[Imports]]</f>
        <v/>
      </c>
    </row>
    <row r="199">
      <c r="A199" s="94" t="n">
        <v>34790</v>
      </c>
      <c r="B199" s="164">
        <f>VLOOKUP(A199,'U.S. GDP'!A:B,2,)</f>
        <v/>
      </c>
      <c r="C199" s="164">
        <f>VLOOKUP(A199,PersonalConsumption!A:B,2,)</f>
        <v/>
      </c>
      <c r="D199" s="164">
        <f>VLOOKUP(A199,PrivateInvestment!A:B,2,)</f>
        <v/>
      </c>
      <c r="E199" s="164">
        <f>VLOOKUP(A199,Exports!A:B,2,)</f>
        <v/>
      </c>
      <c r="F199" s="164">
        <f>VLOOKUP(A199,Imports!A:B,2,)</f>
        <v/>
      </c>
      <c r="G199" s="164">
        <f>VLOOKUP(A199,Government!A:B,2,)</f>
        <v/>
      </c>
      <c r="H199" s="85">
        <f>Table58[[#This Row],[Personal Consumption]]/Table58[[#This Row],[GDP]]</f>
        <v/>
      </c>
      <c r="I199" s="85">
        <f>Table58[[#This Row],[Private Investment]]/Table58[[#This Row],[GDP]]</f>
        <v/>
      </c>
      <c r="J199" s="85">
        <f>Table58[[#This Row],[Exports]]/Table58[[#This Row],[GDP]]</f>
        <v/>
      </c>
      <c r="K199" s="85">
        <f>-Table58[[#This Row],[Imports]]/Table58[[#This Row],[GDP]]</f>
        <v/>
      </c>
      <c r="L199" s="85">
        <f>Table58[[#This Row],[Government]]/Table58[[#This Row],[GDP]]</f>
        <v/>
      </c>
      <c r="N199" s="52">
        <f>SUM(Table58[[#This Row],[PC%]:[G%]])</f>
        <v/>
      </c>
      <c r="O199" s="55">
        <f>Table58[[#This Row],[Personal Consumption]]+Table58[[#This Row],[Private Investment]]+Table58[[#This Row],[Exports]]+Table58[[#This Row],[Government]]-Table58[[#This Row],[Imports]]</f>
        <v/>
      </c>
    </row>
    <row r="200">
      <c r="A200" s="94" t="n">
        <v>34881</v>
      </c>
      <c r="B200" s="164">
        <f>VLOOKUP(A200,'U.S. GDP'!A:B,2,)</f>
        <v/>
      </c>
      <c r="C200" s="164">
        <f>VLOOKUP(A200,PersonalConsumption!A:B,2,)</f>
        <v/>
      </c>
      <c r="D200" s="164">
        <f>VLOOKUP(A200,PrivateInvestment!A:B,2,)</f>
        <v/>
      </c>
      <c r="E200" s="164">
        <f>VLOOKUP(A200,Exports!A:B,2,)</f>
        <v/>
      </c>
      <c r="F200" s="164">
        <f>VLOOKUP(A200,Imports!A:B,2,)</f>
        <v/>
      </c>
      <c r="G200" s="164">
        <f>VLOOKUP(A200,Government!A:B,2,)</f>
        <v/>
      </c>
      <c r="H200" s="85">
        <f>Table58[[#This Row],[Personal Consumption]]/Table58[[#This Row],[GDP]]</f>
        <v/>
      </c>
      <c r="I200" s="85">
        <f>Table58[[#This Row],[Private Investment]]/Table58[[#This Row],[GDP]]</f>
        <v/>
      </c>
      <c r="J200" s="85">
        <f>Table58[[#This Row],[Exports]]/Table58[[#This Row],[GDP]]</f>
        <v/>
      </c>
      <c r="K200" s="85">
        <f>-Table58[[#This Row],[Imports]]/Table58[[#This Row],[GDP]]</f>
        <v/>
      </c>
      <c r="L200" s="85">
        <f>Table58[[#This Row],[Government]]/Table58[[#This Row],[GDP]]</f>
        <v/>
      </c>
      <c r="N200" s="52">
        <f>SUM(Table58[[#This Row],[PC%]:[G%]])</f>
        <v/>
      </c>
      <c r="O200" s="55">
        <f>Table58[[#This Row],[Personal Consumption]]+Table58[[#This Row],[Private Investment]]+Table58[[#This Row],[Exports]]+Table58[[#This Row],[Government]]-Table58[[#This Row],[Imports]]</f>
        <v/>
      </c>
    </row>
    <row r="201">
      <c r="A201" s="94" t="n">
        <v>34973</v>
      </c>
      <c r="B201" s="164">
        <f>VLOOKUP(A201,'U.S. GDP'!A:B,2,)</f>
        <v/>
      </c>
      <c r="C201" s="164">
        <f>VLOOKUP(A201,PersonalConsumption!A:B,2,)</f>
        <v/>
      </c>
      <c r="D201" s="164">
        <f>VLOOKUP(A201,PrivateInvestment!A:B,2,)</f>
        <v/>
      </c>
      <c r="E201" s="164">
        <f>VLOOKUP(A201,Exports!A:B,2,)</f>
        <v/>
      </c>
      <c r="F201" s="164">
        <f>VLOOKUP(A201,Imports!A:B,2,)</f>
        <v/>
      </c>
      <c r="G201" s="164">
        <f>VLOOKUP(A201,Government!A:B,2,)</f>
        <v/>
      </c>
      <c r="H201" s="85">
        <f>Table58[[#This Row],[Personal Consumption]]/Table58[[#This Row],[GDP]]</f>
        <v/>
      </c>
      <c r="I201" s="85">
        <f>Table58[[#This Row],[Private Investment]]/Table58[[#This Row],[GDP]]</f>
        <v/>
      </c>
      <c r="J201" s="85">
        <f>Table58[[#This Row],[Exports]]/Table58[[#This Row],[GDP]]</f>
        <v/>
      </c>
      <c r="K201" s="85">
        <f>-Table58[[#This Row],[Imports]]/Table58[[#This Row],[GDP]]</f>
        <v/>
      </c>
      <c r="L201" s="85">
        <f>Table58[[#This Row],[Government]]/Table58[[#This Row],[GDP]]</f>
        <v/>
      </c>
      <c r="N201" s="52">
        <f>SUM(Table58[[#This Row],[PC%]:[G%]])</f>
        <v/>
      </c>
      <c r="O201" s="55">
        <f>Table58[[#This Row],[Personal Consumption]]+Table58[[#This Row],[Private Investment]]+Table58[[#This Row],[Exports]]+Table58[[#This Row],[Government]]-Table58[[#This Row],[Imports]]</f>
        <v/>
      </c>
    </row>
    <row r="202">
      <c r="A202" s="94" t="n">
        <v>35065</v>
      </c>
      <c r="B202" s="164">
        <f>VLOOKUP(A202,'U.S. GDP'!A:B,2,)</f>
        <v/>
      </c>
      <c r="C202" s="164">
        <f>VLOOKUP(A202,PersonalConsumption!A:B,2,)</f>
        <v/>
      </c>
      <c r="D202" s="164">
        <f>VLOOKUP(A202,PrivateInvestment!A:B,2,)</f>
        <v/>
      </c>
      <c r="E202" s="164">
        <f>VLOOKUP(A202,Exports!A:B,2,)</f>
        <v/>
      </c>
      <c r="F202" s="164">
        <f>VLOOKUP(A202,Imports!A:B,2,)</f>
        <v/>
      </c>
      <c r="G202" s="164">
        <f>VLOOKUP(A202,Government!A:B,2,)</f>
        <v/>
      </c>
      <c r="H202" s="85">
        <f>Table58[[#This Row],[Personal Consumption]]/Table58[[#This Row],[GDP]]</f>
        <v/>
      </c>
      <c r="I202" s="85">
        <f>Table58[[#This Row],[Private Investment]]/Table58[[#This Row],[GDP]]</f>
        <v/>
      </c>
      <c r="J202" s="85">
        <f>Table58[[#This Row],[Exports]]/Table58[[#This Row],[GDP]]</f>
        <v/>
      </c>
      <c r="K202" s="85">
        <f>-Table58[[#This Row],[Imports]]/Table58[[#This Row],[GDP]]</f>
        <v/>
      </c>
      <c r="L202" s="85">
        <f>Table58[[#This Row],[Government]]/Table58[[#This Row],[GDP]]</f>
        <v/>
      </c>
      <c r="N202" s="52">
        <f>SUM(Table58[[#This Row],[PC%]:[G%]])</f>
        <v/>
      </c>
      <c r="O202" s="55">
        <f>Table58[[#This Row],[Personal Consumption]]+Table58[[#This Row],[Private Investment]]+Table58[[#This Row],[Exports]]+Table58[[#This Row],[Government]]-Table58[[#This Row],[Imports]]</f>
        <v/>
      </c>
    </row>
    <row r="203">
      <c r="A203" s="94" t="n">
        <v>35156</v>
      </c>
      <c r="B203" s="164">
        <f>VLOOKUP(A203,'U.S. GDP'!A:B,2,)</f>
        <v/>
      </c>
      <c r="C203" s="164">
        <f>VLOOKUP(A203,PersonalConsumption!A:B,2,)</f>
        <v/>
      </c>
      <c r="D203" s="164">
        <f>VLOOKUP(A203,PrivateInvestment!A:B,2,)</f>
        <v/>
      </c>
      <c r="E203" s="164">
        <f>VLOOKUP(A203,Exports!A:B,2,)</f>
        <v/>
      </c>
      <c r="F203" s="164">
        <f>VLOOKUP(A203,Imports!A:B,2,)</f>
        <v/>
      </c>
      <c r="G203" s="164">
        <f>VLOOKUP(A203,Government!A:B,2,)</f>
        <v/>
      </c>
      <c r="H203" s="85">
        <f>Table58[[#This Row],[Personal Consumption]]/Table58[[#This Row],[GDP]]</f>
        <v/>
      </c>
      <c r="I203" s="85">
        <f>Table58[[#This Row],[Private Investment]]/Table58[[#This Row],[GDP]]</f>
        <v/>
      </c>
      <c r="J203" s="85">
        <f>Table58[[#This Row],[Exports]]/Table58[[#This Row],[GDP]]</f>
        <v/>
      </c>
      <c r="K203" s="85">
        <f>-Table58[[#This Row],[Imports]]/Table58[[#This Row],[GDP]]</f>
        <v/>
      </c>
      <c r="L203" s="85">
        <f>Table58[[#This Row],[Government]]/Table58[[#This Row],[GDP]]</f>
        <v/>
      </c>
      <c r="N203" s="52">
        <f>SUM(Table58[[#This Row],[PC%]:[G%]])</f>
        <v/>
      </c>
      <c r="O203" s="55">
        <f>Table58[[#This Row],[Personal Consumption]]+Table58[[#This Row],[Private Investment]]+Table58[[#This Row],[Exports]]+Table58[[#This Row],[Government]]-Table58[[#This Row],[Imports]]</f>
        <v/>
      </c>
    </row>
    <row r="204">
      <c r="A204" s="94" t="n">
        <v>35247</v>
      </c>
      <c r="B204" s="164">
        <f>VLOOKUP(A204,'U.S. GDP'!A:B,2,)</f>
        <v/>
      </c>
      <c r="C204" s="164">
        <f>VLOOKUP(A204,PersonalConsumption!A:B,2,)</f>
        <v/>
      </c>
      <c r="D204" s="164">
        <f>VLOOKUP(A204,PrivateInvestment!A:B,2,)</f>
        <v/>
      </c>
      <c r="E204" s="164">
        <f>VLOOKUP(A204,Exports!A:B,2,)</f>
        <v/>
      </c>
      <c r="F204" s="164">
        <f>VLOOKUP(A204,Imports!A:B,2,)</f>
        <v/>
      </c>
      <c r="G204" s="164">
        <f>VLOOKUP(A204,Government!A:B,2,)</f>
        <v/>
      </c>
      <c r="H204" s="85">
        <f>Table58[[#This Row],[Personal Consumption]]/Table58[[#This Row],[GDP]]</f>
        <v/>
      </c>
      <c r="I204" s="85">
        <f>Table58[[#This Row],[Private Investment]]/Table58[[#This Row],[GDP]]</f>
        <v/>
      </c>
      <c r="J204" s="85">
        <f>Table58[[#This Row],[Exports]]/Table58[[#This Row],[GDP]]</f>
        <v/>
      </c>
      <c r="K204" s="85">
        <f>-Table58[[#This Row],[Imports]]/Table58[[#This Row],[GDP]]</f>
        <v/>
      </c>
      <c r="L204" s="85">
        <f>Table58[[#This Row],[Government]]/Table58[[#This Row],[GDP]]</f>
        <v/>
      </c>
      <c r="N204" s="52">
        <f>SUM(Table58[[#This Row],[PC%]:[G%]])</f>
        <v/>
      </c>
      <c r="O204" s="55">
        <f>Table58[[#This Row],[Personal Consumption]]+Table58[[#This Row],[Private Investment]]+Table58[[#This Row],[Exports]]+Table58[[#This Row],[Government]]-Table58[[#This Row],[Imports]]</f>
        <v/>
      </c>
    </row>
    <row r="205">
      <c r="A205" s="94" t="n">
        <v>35339</v>
      </c>
      <c r="B205" s="164">
        <f>VLOOKUP(A205,'U.S. GDP'!A:B,2,)</f>
        <v/>
      </c>
      <c r="C205" s="164">
        <f>VLOOKUP(A205,PersonalConsumption!A:B,2,)</f>
        <v/>
      </c>
      <c r="D205" s="164">
        <f>VLOOKUP(A205,PrivateInvestment!A:B,2,)</f>
        <v/>
      </c>
      <c r="E205" s="164">
        <f>VLOOKUP(A205,Exports!A:B,2,)</f>
        <v/>
      </c>
      <c r="F205" s="164">
        <f>VLOOKUP(A205,Imports!A:B,2,)</f>
        <v/>
      </c>
      <c r="G205" s="164">
        <f>VLOOKUP(A205,Government!A:B,2,)</f>
        <v/>
      </c>
      <c r="H205" s="85">
        <f>Table58[[#This Row],[Personal Consumption]]/Table58[[#This Row],[GDP]]</f>
        <v/>
      </c>
      <c r="I205" s="85">
        <f>Table58[[#This Row],[Private Investment]]/Table58[[#This Row],[GDP]]</f>
        <v/>
      </c>
      <c r="J205" s="85">
        <f>Table58[[#This Row],[Exports]]/Table58[[#This Row],[GDP]]</f>
        <v/>
      </c>
      <c r="K205" s="85">
        <f>-Table58[[#This Row],[Imports]]/Table58[[#This Row],[GDP]]</f>
        <v/>
      </c>
      <c r="L205" s="85">
        <f>Table58[[#This Row],[Government]]/Table58[[#This Row],[GDP]]</f>
        <v/>
      </c>
      <c r="N205" s="52">
        <f>SUM(Table58[[#This Row],[PC%]:[G%]])</f>
        <v/>
      </c>
      <c r="O205" s="55">
        <f>Table58[[#This Row],[Personal Consumption]]+Table58[[#This Row],[Private Investment]]+Table58[[#This Row],[Exports]]+Table58[[#This Row],[Government]]-Table58[[#This Row],[Imports]]</f>
        <v/>
      </c>
    </row>
    <row r="206">
      <c r="A206" s="94" t="n">
        <v>35431</v>
      </c>
      <c r="B206" s="164">
        <f>VLOOKUP(A206,'U.S. GDP'!A:B,2,)</f>
        <v/>
      </c>
      <c r="C206" s="164">
        <f>VLOOKUP(A206,PersonalConsumption!A:B,2,)</f>
        <v/>
      </c>
      <c r="D206" s="164">
        <f>VLOOKUP(A206,PrivateInvestment!A:B,2,)</f>
        <v/>
      </c>
      <c r="E206" s="164">
        <f>VLOOKUP(A206,Exports!A:B,2,)</f>
        <v/>
      </c>
      <c r="F206" s="164">
        <f>VLOOKUP(A206,Imports!A:B,2,)</f>
        <v/>
      </c>
      <c r="G206" s="164">
        <f>VLOOKUP(A206,Government!A:B,2,)</f>
        <v/>
      </c>
      <c r="H206" s="85">
        <f>Table58[[#This Row],[Personal Consumption]]/Table58[[#This Row],[GDP]]</f>
        <v/>
      </c>
      <c r="I206" s="85">
        <f>Table58[[#This Row],[Private Investment]]/Table58[[#This Row],[GDP]]</f>
        <v/>
      </c>
      <c r="J206" s="85">
        <f>Table58[[#This Row],[Exports]]/Table58[[#This Row],[GDP]]</f>
        <v/>
      </c>
      <c r="K206" s="85">
        <f>-Table58[[#This Row],[Imports]]/Table58[[#This Row],[GDP]]</f>
        <v/>
      </c>
      <c r="L206" s="85">
        <f>Table58[[#This Row],[Government]]/Table58[[#This Row],[GDP]]</f>
        <v/>
      </c>
      <c r="N206" s="52">
        <f>SUM(Table58[[#This Row],[PC%]:[G%]])</f>
        <v/>
      </c>
      <c r="O206" s="55">
        <f>Table58[[#This Row],[Personal Consumption]]+Table58[[#This Row],[Private Investment]]+Table58[[#This Row],[Exports]]+Table58[[#This Row],[Government]]-Table58[[#This Row],[Imports]]</f>
        <v/>
      </c>
    </row>
    <row r="207">
      <c r="A207" s="94" t="n">
        <v>35521</v>
      </c>
      <c r="B207" s="164">
        <f>VLOOKUP(A207,'U.S. GDP'!A:B,2,)</f>
        <v/>
      </c>
      <c r="C207" s="164">
        <f>VLOOKUP(A207,PersonalConsumption!A:B,2,)</f>
        <v/>
      </c>
      <c r="D207" s="164">
        <f>VLOOKUP(A207,PrivateInvestment!A:B,2,)</f>
        <v/>
      </c>
      <c r="E207" s="164">
        <f>VLOOKUP(A207,Exports!A:B,2,)</f>
        <v/>
      </c>
      <c r="F207" s="164">
        <f>VLOOKUP(A207,Imports!A:B,2,)</f>
        <v/>
      </c>
      <c r="G207" s="164">
        <f>VLOOKUP(A207,Government!A:B,2,)</f>
        <v/>
      </c>
      <c r="H207" s="85">
        <f>Table58[[#This Row],[Personal Consumption]]/Table58[[#This Row],[GDP]]</f>
        <v/>
      </c>
      <c r="I207" s="85">
        <f>Table58[[#This Row],[Private Investment]]/Table58[[#This Row],[GDP]]</f>
        <v/>
      </c>
      <c r="J207" s="85">
        <f>Table58[[#This Row],[Exports]]/Table58[[#This Row],[GDP]]</f>
        <v/>
      </c>
      <c r="K207" s="85">
        <f>-Table58[[#This Row],[Imports]]/Table58[[#This Row],[GDP]]</f>
        <v/>
      </c>
      <c r="L207" s="85">
        <f>Table58[[#This Row],[Government]]/Table58[[#This Row],[GDP]]</f>
        <v/>
      </c>
      <c r="N207" s="52">
        <f>SUM(Table58[[#This Row],[PC%]:[G%]])</f>
        <v/>
      </c>
      <c r="O207" s="55">
        <f>Table58[[#This Row],[Personal Consumption]]+Table58[[#This Row],[Private Investment]]+Table58[[#This Row],[Exports]]+Table58[[#This Row],[Government]]-Table58[[#This Row],[Imports]]</f>
        <v/>
      </c>
    </row>
    <row r="208">
      <c r="A208" s="94" t="n">
        <v>35612</v>
      </c>
      <c r="B208" s="164">
        <f>VLOOKUP(A208,'U.S. GDP'!A:B,2,)</f>
        <v/>
      </c>
      <c r="C208" s="164">
        <f>VLOOKUP(A208,PersonalConsumption!A:B,2,)</f>
        <v/>
      </c>
      <c r="D208" s="164">
        <f>VLOOKUP(A208,PrivateInvestment!A:B,2,)</f>
        <v/>
      </c>
      <c r="E208" s="164">
        <f>VLOOKUP(A208,Exports!A:B,2,)</f>
        <v/>
      </c>
      <c r="F208" s="164">
        <f>VLOOKUP(A208,Imports!A:B,2,)</f>
        <v/>
      </c>
      <c r="G208" s="164">
        <f>VLOOKUP(A208,Government!A:B,2,)</f>
        <v/>
      </c>
      <c r="H208" s="85">
        <f>Table58[[#This Row],[Personal Consumption]]/Table58[[#This Row],[GDP]]</f>
        <v/>
      </c>
      <c r="I208" s="85">
        <f>Table58[[#This Row],[Private Investment]]/Table58[[#This Row],[GDP]]</f>
        <v/>
      </c>
      <c r="J208" s="85">
        <f>Table58[[#This Row],[Exports]]/Table58[[#This Row],[GDP]]</f>
        <v/>
      </c>
      <c r="K208" s="85">
        <f>-Table58[[#This Row],[Imports]]/Table58[[#This Row],[GDP]]</f>
        <v/>
      </c>
      <c r="L208" s="85">
        <f>Table58[[#This Row],[Government]]/Table58[[#This Row],[GDP]]</f>
        <v/>
      </c>
      <c r="N208" s="52">
        <f>SUM(Table58[[#This Row],[PC%]:[G%]])</f>
        <v/>
      </c>
      <c r="O208" s="55">
        <f>Table58[[#This Row],[Personal Consumption]]+Table58[[#This Row],[Private Investment]]+Table58[[#This Row],[Exports]]+Table58[[#This Row],[Government]]-Table58[[#This Row],[Imports]]</f>
        <v/>
      </c>
    </row>
    <row r="209">
      <c r="A209" s="94" t="n">
        <v>35704</v>
      </c>
      <c r="B209" s="164">
        <f>VLOOKUP(A209,'U.S. GDP'!A:B,2,)</f>
        <v/>
      </c>
      <c r="C209" s="164">
        <f>VLOOKUP(A209,PersonalConsumption!A:B,2,)</f>
        <v/>
      </c>
      <c r="D209" s="164">
        <f>VLOOKUP(A209,PrivateInvestment!A:B,2,)</f>
        <v/>
      </c>
      <c r="E209" s="164">
        <f>VLOOKUP(A209,Exports!A:B,2,)</f>
        <v/>
      </c>
      <c r="F209" s="164">
        <f>VLOOKUP(A209,Imports!A:B,2,)</f>
        <v/>
      </c>
      <c r="G209" s="164">
        <f>VLOOKUP(A209,Government!A:B,2,)</f>
        <v/>
      </c>
      <c r="H209" s="85">
        <f>Table58[[#This Row],[Personal Consumption]]/Table58[[#This Row],[GDP]]</f>
        <v/>
      </c>
      <c r="I209" s="85">
        <f>Table58[[#This Row],[Private Investment]]/Table58[[#This Row],[GDP]]</f>
        <v/>
      </c>
      <c r="J209" s="85">
        <f>Table58[[#This Row],[Exports]]/Table58[[#This Row],[GDP]]</f>
        <v/>
      </c>
      <c r="K209" s="85">
        <f>-Table58[[#This Row],[Imports]]/Table58[[#This Row],[GDP]]</f>
        <v/>
      </c>
      <c r="L209" s="85">
        <f>Table58[[#This Row],[Government]]/Table58[[#This Row],[GDP]]</f>
        <v/>
      </c>
      <c r="N209" s="52">
        <f>SUM(Table58[[#This Row],[PC%]:[G%]])</f>
        <v/>
      </c>
      <c r="O209" s="55">
        <f>Table58[[#This Row],[Personal Consumption]]+Table58[[#This Row],[Private Investment]]+Table58[[#This Row],[Exports]]+Table58[[#This Row],[Government]]-Table58[[#This Row],[Imports]]</f>
        <v/>
      </c>
    </row>
    <row r="210">
      <c r="A210" s="94" t="n">
        <v>35796</v>
      </c>
      <c r="B210" s="164">
        <f>VLOOKUP(A210,'U.S. GDP'!A:B,2,)</f>
        <v/>
      </c>
      <c r="C210" s="164">
        <f>VLOOKUP(A210,PersonalConsumption!A:B,2,)</f>
        <v/>
      </c>
      <c r="D210" s="164">
        <f>VLOOKUP(A210,PrivateInvestment!A:B,2,)</f>
        <v/>
      </c>
      <c r="E210" s="164">
        <f>VLOOKUP(A210,Exports!A:B,2,)</f>
        <v/>
      </c>
      <c r="F210" s="164">
        <f>VLOOKUP(A210,Imports!A:B,2,)</f>
        <v/>
      </c>
      <c r="G210" s="164">
        <f>VLOOKUP(A210,Government!A:B,2,)</f>
        <v/>
      </c>
      <c r="H210" s="85">
        <f>Table58[[#This Row],[Personal Consumption]]/Table58[[#This Row],[GDP]]</f>
        <v/>
      </c>
      <c r="I210" s="85">
        <f>Table58[[#This Row],[Private Investment]]/Table58[[#This Row],[GDP]]</f>
        <v/>
      </c>
      <c r="J210" s="85">
        <f>Table58[[#This Row],[Exports]]/Table58[[#This Row],[GDP]]</f>
        <v/>
      </c>
      <c r="K210" s="85">
        <f>-Table58[[#This Row],[Imports]]/Table58[[#This Row],[GDP]]</f>
        <v/>
      </c>
      <c r="L210" s="85">
        <f>Table58[[#This Row],[Government]]/Table58[[#This Row],[GDP]]</f>
        <v/>
      </c>
      <c r="N210" s="52">
        <f>SUM(Table58[[#This Row],[PC%]:[G%]])</f>
        <v/>
      </c>
      <c r="O210" s="55">
        <f>Table58[[#This Row],[Personal Consumption]]+Table58[[#This Row],[Private Investment]]+Table58[[#This Row],[Exports]]+Table58[[#This Row],[Government]]-Table58[[#This Row],[Imports]]</f>
        <v/>
      </c>
    </row>
    <row r="211">
      <c r="A211" s="94" t="n">
        <v>35886</v>
      </c>
      <c r="B211" s="164">
        <f>VLOOKUP(A211,'U.S. GDP'!A:B,2,)</f>
        <v/>
      </c>
      <c r="C211" s="164">
        <f>VLOOKUP(A211,PersonalConsumption!A:B,2,)</f>
        <v/>
      </c>
      <c r="D211" s="164">
        <f>VLOOKUP(A211,PrivateInvestment!A:B,2,)</f>
        <v/>
      </c>
      <c r="E211" s="164">
        <f>VLOOKUP(A211,Exports!A:B,2,)</f>
        <v/>
      </c>
      <c r="F211" s="164">
        <f>VLOOKUP(A211,Imports!A:B,2,)</f>
        <v/>
      </c>
      <c r="G211" s="164">
        <f>VLOOKUP(A211,Government!A:B,2,)</f>
        <v/>
      </c>
      <c r="H211" s="85">
        <f>Table58[[#This Row],[Personal Consumption]]/Table58[[#This Row],[GDP]]</f>
        <v/>
      </c>
      <c r="I211" s="85">
        <f>Table58[[#This Row],[Private Investment]]/Table58[[#This Row],[GDP]]</f>
        <v/>
      </c>
      <c r="J211" s="85">
        <f>Table58[[#This Row],[Exports]]/Table58[[#This Row],[GDP]]</f>
        <v/>
      </c>
      <c r="K211" s="85">
        <f>-Table58[[#This Row],[Imports]]/Table58[[#This Row],[GDP]]</f>
        <v/>
      </c>
      <c r="L211" s="85">
        <f>Table58[[#This Row],[Government]]/Table58[[#This Row],[GDP]]</f>
        <v/>
      </c>
      <c r="N211" s="52">
        <f>SUM(Table58[[#This Row],[PC%]:[G%]])</f>
        <v/>
      </c>
      <c r="O211" s="55">
        <f>Table58[[#This Row],[Personal Consumption]]+Table58[[#This Row],[Private Investment]]+Table58[[#This Row],[Exports]]+Table58[[#This Row],[Government]]-Table58[[#This Row],[Imports]]</f>
        <v/>
      </c>
    </row>
    <row r="212">
      <c r="A212" s="94" t="n">
        <v>35977</v>
      </c>
      <c r="B212" s="164">
        <f>VLOOKUP(A212,'U.S. GDP'!A:B,2,)</f>
        <v/>
      </c>
      <c r="C212" s="164">
        <f>VLOOKUP(A212,PersonalConsumption!A:B,2,)</f>
        <v/>
      </c>
      <c r="D212" s="164">
        <f>VLOOKUP(A212,PrivateInvestment!A:B,2,)</f>
        <v/>
      </c>
      <c r="E212" s="164">
        <f>VLOOKUP(A212,Exports!A:B,2,)</f>
        <v/>
      </c>
      <c r="F212" s="164">
        <f>VLOOKUP(A212,Imports!A:B,2,)</f>
        <v/>
      </c>
      <c r="G212" s="164">
        <f>VLOOKUP(A212,Government!A:B,2,)</f>
        <v/>
      </c>
      <c r="H212" s="85">
        <f>Table58[[#This Row],[Personal Consumption]]/Table58[[#This Row],[GDP]]</f>
        <v/>
      </c>
      <c r="I212" s="85">
        <f>Table58[[#This Row],[Private Investment]]/Table58[[#This Row],[GDP]]</f>
        <v/>
      </c>
      <c r="J212" s="85">
        <f>Table58[[#This Row],[Exports]]/Table58[[#This Row],[GDP]]</f>
        <v/>
      </c>
      <c r="K212" s="85">
        <f>-Table58[[#This Row],[Imports]]/Table58[[#This Row],[GDP]]</f>
        <v/>
      </c>
      <c r="L212" s="85">
        <f>Table58[[#This Row],[Government]]/Table58[[#This Row],[GDP]]</f>
        <v/>
      </c>
      <c r="N212" s="52">
        <f>SUM(Table58[[#This Row],[PC%]:[G%]])</f>
        <v/>
      </c>
      <c r="O212" s="55">
        <f>Table58[[#This Row],[Personal Consumption]]+Table58[[#This Row],[Private Investment]]+Table58[[#This Row],[Exports]]+Table58[[#This Row],[Government]]-Table58[[#This Row],[Imports]]</f>
        <v/>
      </c>
    </row>
    <row r="213">
      <c r="A213" s="94" t="n">
        <v>36069</v>
      </c>
      <c r="B213" s="164">
        <f>VLOOKUP(A213,'U.S. GDP'!A:B,2,)</f>
        <v/>
      </c>
      <c r="C213" s="164">
        <f>VLOOKUP(A213,PersonalConsumption!A:B,2,)</f>
        <v/>
      </c>
      <c r="D213" s="164">
        <f>VLOOKUP(A213,PrivateInvestment!A:B,2,)</f>
        <v/>
      </c>
      <c r="E213" s="164">
        <f>VLOOKUP(A213,Exports!A:B,2,)</f>
        <v/>
      </c>
      <c r="F213" s="164">
        <f>VLOOKUP(A213,Imports!A:B,2,)</f>
        <v/>
      </c>
      <c r="G213" s="164">
        <f>VLOOKUP(A213,Government!A:B,2,)</f>
        <v/>
      </c>
      <c r="H213" s="85">
        <f>Table58[[#This Row],[Personal Consumption]]/Table58[[#This Row],[GDP]]</f>
        <v/>
      </c>
      <c r="I213" s="85">
        <f>Table58[[#This Row],[Private Investment]]/Table58[[#This Row],[GDP]]</f>
        <v/>
      </c>
      <c r="J213" s="85">
        <f>Table58[[#This Row],[Exports]]/Table58[[#This Row],[GDP]]</f>
        <v/>
      </c>
      <c r="K213" s="85">
        <f>-Table58[[#This Row],[Imports]]/Table58[[#This Row],[GDP]]</f>
        <v/>
      </c>
      <c r="L213" s="85">
        <f>Table58[[#This Row],[Government]]/Table58[[#This Row],[GDP]]</f>
        <v/>
      </c>
      <c r="N213" s="52">
        <f>SUM(Table58[[#This Row],[PC%]:[G%]])</f>
        <v/>
      </c>
      <c r="O213" s="55">
        <f>Table58[[#This Row],[Personal Consumption]]+Table58[[#This Row],[Private Investment]]+Table58[[#This Row],[Exports]]+Table58[[#This Row],[Government]]-Table58[[#This Row],[Imports]]</f>
        <v/>
      </c>
    </row>
    <row r="214">
      <c r="A214" s="94" t="n">
        <v>36161</v>
      </c>
      <c r="B214" s="164">
        <f>VLOOKUP(A214,'U.S. GDP'!A:B,2,)</f>
        <v/>
      </c>
      <c r="C214" s="164">
        <f>VLOOKUP(A214,PersonalConsumption!A:B,2,)</f>
        <v/>
      </c>
      <c r="D214" s="164">
        <f>VLOOKUP(A214,PrivateInvestment!A:B,2,)</f>
        <v/>
      </c>
      <c r="E214" s="164">
        <f>VLOOKUP(A214,Exports!A:B,2,)</f>
        <v/>
      </c>
      <c r="F214" s="164">
        <f>VLOOKUP(A214,Imports!A:B,2,)</f>
        <v/>
      </c>
      <c r="G214" s="164">
        <f>VLOOKUP(A214,Government!A:B,2,)</f>
        <v/>
      </c>
      <c r="H214" s="85">
        <f>Table58[[#This Row],[Personal Consumption]]/Table58[[#This Row],[GDP]]</f>
        <v/>
      </c>
      <c r="I214" s="85">
        <f>Table58[[#This Row],[Private Investment]]/Table58[[#This Row],[GDP]]</f>
        <v/>
      </c>
      <c r="J214" s="85">
        <f>Table58[[#This Row],[Exports]]/Table58[[#This Row],[GDP]]</f>
        <v/>
      </c>
      <c r="K214" s="85">
        <f>-Table58[[#This Row],[Imports]]/Table58[[#This Row],[GDP]]</f>
        <v/>
      </c>
      <c r="L214" s="85">
        <f>Table58[[#This Row],[Government]]/Table58[[#This Row],[GDP]]</f>
        <v/>
      </c>
      <c r="N214" s="52">
        <f>SUM(Table58[[#This Row],[PC%]:[G%]])</f>
        <v/>
      </c>
      <c r="O214" s="55">
        <f>Table58[[#This Row],[Personal Consumption]]+Table58[[#This Row],[Private Investment]]+Table58[[#This Row],[Exports]]+Table58[[#This Row],[Government]]-Table58[[#This Row],[Imports]]</f>
        <v/>
      </c>
    </row>
    <row r="215">
      <c r="A215" s="94" t="n">
        <v>36251</v>
      </c>
      <c r="B215" s="164">
        <f>VLOOKUP(A215,'U.S. GDP'!A:B,2,)</f>
        <v/>
      </c>
      <c r="C215" s="164">
        <f>VLOOKUP(A215,PersonalConsumption!A:B,2,)</f>
        <v/>
      </c>
      <c r="D215" s="164">
        <f>VLOOKUP(A215,PrivateInvestment!A:B,2,)</f>
        <v/>
      </c>
      <c r="E215" s="164">
        <f>VLOOKUP(A215,Exports!A:B,2,)</f>
        <v/>
      </c>
      <c r="F215" s="164">
        <f>VLOOKUP(A215,Imports!A:B,2,)</f>
        <v/>
      </c>
      <c r="G215" s="164">
        <f>VLOOKUP(A215,Government!A:B,2,)</f>
        <v/>
      </c>
      <c r="H215" s="85">
        <f>Table58[[#This Row],[Personal Consumption]]/Table58[[#This Row],[GDP]]</f>
        <v/>
      </c>
      <c r="I215" s="85">
        <f>Table58[[#This Row],[Private Investment]]/Table58[[#This Row],[GDP]]</f>
        <v/>
      </c>
      <c r="J215" s="85">
        <f>Table58[[#This Row],[Exports]]/Table58[[#This Row],[GDP]]</f>
        <v/>
      </c>
      <c r="K215" s="85">
        <f>-Table58[[#This Row],[Imports]]/Table58[[#This Row],[GDP]]</f>
        <v/>
      </c>
      <c r="L215" s="85">
        <f>Table58[[#This Row],[Government]]/Table58[[#This Row],[GDP]]</f>
        <v/>
      </c>
      <c r="N215" s="52">
        <f>SUM(Table58[[#This Row],[PC%]:[G%]])</f>
        <v/>
      </c>
      <c r="O215" s="55">
        <f>Table58[[#This Row],[Personal Consumption]]+Table58[[#This Row],[Private Investment]]+Table58[[#This Row],[Exports]]+Table58[[#This Row],[Government]]-Table58[[#This Row],[Imports]]</f>
        <v/>
      </c>
    </row>
    <row r="216">
      <c r="A216" s="94" t="n">
        <v>36342</v>
      </c>
      <c r="B216" s="164">
        <f>VLOOKUP(A216,'U.S. GDP'!A:B,2,)</f>
        <v/>
      </c>
      <c r="C216" s="164">
        <f>VLOOKUP(A216,PersonalConsumption!A:B,2,)</f>
        <v/>
      </c>
      <c r="D216" s="164">
        <f>VLOOKUP(A216,PrivateInvestment!A:B,2,)</f>
        <v/>
      </c>
      <c r="E216" s="164">
        <f>VLOOKUP(A216,Exports!A:B,2,)</f>
        <v/>
      </c>
      <c r="F216" s="164">
        <f>VLOOKUP(A216,Imports!A:B,2,)</f>
        <v/>
      </c>
      <c r="G216" s="164">
        <f>VLOOKUP(A216,Government!A:B,2,)</f>
        <v/>
      </c>
      <c r="H216" s="85">
        <f>Table58[[#This Row],[Personal Consumption]]/Table58[[#This Row],[GDP]]</f>
        <v/>
      </c>
      <c r="I216" s="85">
        <f>Table58[[#This Row],[Private Investment]]/Table58[[#This Row],[GDP]]</f>
        <v/>
      </c>
      <c r="J216" s="85">
        <f>Table58[[#This Row],[Exports]]/Table58[[#This Row],[GDP]]</f>
        <v/>
      </c>
      <c r="K216" s="85">
        <f>-Table58[[#This Row],[Imports]]/Table58[[#This Row],[GDP]]</f>
        <v/>
      </c>
      <c r="L216" s="85">
        <f>Table58[[#This Row],[Government]]/Table58[[#This Row],[GDP]]</f>
        <v/>
      </c>
      <c r="N216" s="52">
        <f>SUM(Table58[[#This Row],[PC%]:[G%]])</f>
        <v/>
      </c>
      <c r="O216" s="55">
        <f>Table58[[#This Row],[Personal Consumption]]+Table58[[#This Row],[Private Investment]]+Table58[[#This Row],[Exports]]+Table58[[#This Row],[Government]]-Table58[[#This Row],[Imports]]</f>
        <v/>
      </c>
    </row>
    <row r="217">
      <c r="A217" s="94" t="n">
        <v>36434</v>
      </c>
      <c r="B217" s="164">
        <f>VLOOKUP(A217,'U.S. GDP'!A:B,2,)</f>
        <v/>
      </c>
      <c r="C217" s="164">
        <f>VLOOKUP(A217,PersonalConsumption!A:B,2,)</f>
        <v/>
      </c>
      <c r="D217" s="164">
        <f>VLOOKUP(A217,PrivateInvestment!A:B,2,)</f>
        <v/>
      </c>
      <c r="E217" s="164">
        <f>VLOOKUP(A217,Exports!A:B,2,)</f>
        <v/>
      </c>
      <c r="F217" s="164">
        <f>VLOOKUP(A217,Imports!A:B,2,)</f>
        <v/>
      </c>
      <c r="G217" s="164">
        <f>VLOOKUP(A217,Government!A:B,2,)</f>
        <v/>
      </c>
      <c r="H217" s="85">
        <f>Table58[[#This Row],[Personal Consumption]]/Table58[[#This Row],[GDP]]</f>
        <v/>
      </c>
      <c r="I217" s="85">
        <f>Table58[[#This Row],[Private Investment]]/Table58[[#This Row],[GDP]]</f>
        <v/>
      </c>
      <c r="J217" s="85">
        <f>Table58[[#This Row],[Exports]]/Table58[[#This Row],[GDP]]</f>
        <v/>
      </c>
      <c r="K217" s="85">
        <f>-Table58[[#This Row],[Imports]]/Table58[[#This Row],[GDP]]</f>
        <v/>
      </c>
      <c r="L217" s="85">
        <f>Table58[[#This Row],[Government]]/Table58[[#This Row],[GDP]]</f>
        <v/>
      </c>
      <c r="N217" s="52">
        <f>SUM(Table58[[#This Row],[PC%]:[G%]])</f>
        <v/>
      </c>
      <c r="O217" s="55">
        <f>Table58[[#This Row],[Personal Consumption]]+Table58[[#This Row],[Private Investment]]+Table58[[#This Row],[Exports]]+Table58[[#This Row],[Government]]-Table58[[#This Row],[Imports]]</f>
        <v/>
      </c>
    </row>
    <row r="218">
      <c r="A218" s="94" t="n">
        <v>36526</v>
      </c>
      <c r="B218" s="164">
        <f>VLOOKUP(A218,'U.S. GDP'!A:B,2,)</f>
        <v/>
      </c>
      <c r="C218" s="164">
        <f>VLOOKUP(A218,PersonalConsumption!A:B,2,)</f>
        <v/>
      </c>
      <c r="D218" s="164">
        <f>VLOOKUP(A218,PrivateInvestment!A:B,2,)</f>
        <v/>
      </c>
      <c r="E218" s="164">
        <f>VLOOKUP(A218,Exports!A:B,2,)</f>
        <v/>
      </c>
      <c r="F218" s="164">
        <f>VLOOKUP(A218,Imports!A:B,2,)</f>
        <v/>
      </c>
      <c r="G218" s="164">
        <f>VLOOKUP(A218,Government!A:B,2,)</f>
        <v/>
      </c>
      <c r="H218" s="85">
        <f>Table58[[#This Row],[Personal Consumption]]/Table58[[#This Row],[GDP]]</f>
        <v/>
      </c>
      <c r="I218" s="85">
        <f>Table58[[#This Row],[Private Investment]]/Table58[[#This Row],[GDP]]</f>
        <v/>
      </c>
      <c r="J218" s="85">
        <f>Table58[[#This Row],[Exports]]/Table58[[#This Row],[GDP]]</f>
        <v/>
      </c>
      <c r="K218" s="85">
        <f>-Table58[[#This Row],[Imports]]/Table58[[#This Row],[GDP]]</f>
        <v/>
      </c>
      <c r="L218" s="85">
        <f>Table58[[#This Row],[Government]]/Table58[[#This Row],[GDP]]</f>
        <v/>
      </c>
      <c r="N218" s="52">
        <f>SUM(Table58[[#This Row],[PC%]:[G%]])</f>
        <v/>
      </c>
      <c r="O218" s="55">
        <f>Table58[[#This Row],[Personal Consumption]]+Table58[[#This Row],[Private Investment]]+Table58[[#This Row],[Exports]]+Table58[[#This Row],[Government]]-Table58[[#This Row],[Imports]]</f>
        <v/>
      </c>
    </row>
    <row r="219">
      <c r="A219" s="94" t="n">
        <v>36617</v>
      </c>
      <c r="B219" s="164">
        <f>VLOOKUP(A219,'U.S. GDP'!A:B,2,)</f>
        <v/>
      </c>
      <c r="C219" s="164">
        <f>VLOOKUP(A219,PersonalConsumption!A:B,2,)</f>
        <v/>
      </c>
      <c r="D219" s="164">
        <f>VLOOKUP(A219,PrivateInvestment!A:B,2,)</f>
        <v/>
      </c>
      <c r="E219" s="164">
        <f>VLOOKUP(A219,Exports!A:B,2,)</f>
        <v/>
      </c>
      <c r="F219" s="164">
        <f>VLOOKUP(A219,Imports!A:B,2,)</f>
        <v/>
      </c>
      <c r="G219" s="164">
        <f>VLOOKUP(A219,Government!A:B,2,)</f>
        <v/>
      </c>
      <c r="H219" s="85">
        <f>Table58[[#This Row],[Personal Consumption]]/Table58[[#This Row],[GDP]]</f>
        <v/>
      </c>
      <c r="I219" s="85">
        <f>Table58[[#This Row],[Private Investment]]/Table58[[#This Row],[GDP]]</f>
        <v/>
      </c>
      <c r="J219" s="85">
        <f>Table58[[#This Row],[Exports]]/Table58[[#This Row],[GDP]]</f>
        <v/>
      </c>
      <c r="K219" s="85">
        <f>-Table58[[#This Row],[Imports]]/Table58[[#This Row],[GDP]]</f>
        <v/>
      </c>
      <c r="L219" s="85">
        <f>Table58[[#This Row],[Government]]/Table58[[#This Row],[GDP]]</f>
        <v/>
      </c>
      <c r="N219" s="52">
        <f>SUM(Table58[[#This Row],[PC%]:[G%]])</f>
        <v/>
      </c>
      <c r="O219" s="55">
        <f>Table58[[#This Row],[Personal Consumption]]+Table58[[#This Row],[Private Investment]]+Table58[[#This Row],[Exports]]+Table58[[#This Row],[Government]]-Table58[[#This Row],[Imports]]</f>
        <v/>
      </c>
    </row>
    <row r="220">
      <c r="A220" s="94" t="n">
        <v>36708</v>
      </c>
      <c r="B220" s="164">
        <f>VLOOKUP(A220,'U.S. GDP'!A:B,2,)</f>
        <v/>
      </c>
      <c r="C220" s="164">
        <f>VLOOKUP(A220,PersonalConsumption!A:B,2,)</f>
        <v/>
      </c>
      <c r="D220" s="164">
        <f>VLOOKUP(A220,PrivateInvestment!A:B,2,)</f>
        <v/>
      </c>
      <c r="E220" s="164">
        <f>VLOOKUP(A220,Exports!A:B,2,)</f>
        <v/>
      </c>
      <c r="F220" s="164">
        <f>VLOOKUP(A220,Imports!A:B,2,)</f>
        <v/>
      </c>
      <c r="G220" s="164">
        <f>VLOOKUP(A220,Government!A:B,2,)</f>
        <v/>
      </c>
      <c r="H220" s="85">
        <f>Table58[[#This Row],[Personal Consumption]]/Table58[[#This Row],[GDP]]</f>
        <v/>
      </c>
      <c r="I220" s="85">
        <f>Table58[[#This Row],[Private Investment]]/Table58[[#This Row],[GDP]]</f>
        <v/>
      </c>
      <c r="J220" s="85">
        <f>Table58[[#This Row],[Exports]]/Table58[[#This Row],[GDP]]</f>
        <v/>
      </c>
      <c r="K220" s="85">
        <f>-Table58[[#This Row],[Imports]]/Table58[[#This Row],[GDP]]</f>
        <v/>
      </c>
      <c r="L220" s="85">
        <f>Table58[[#This Row],[Government]]/Table58[[#This Row],[GDP]]</f>
        <v/>
      </c>
      <c r="N220" s="52">
        <f>SUM(Table58[[#This Row],[PC%]:[G%]])</f>
        <v/>
      </c>
      <c r="O220" s="55">
        <f>Table58[[#This Row],[Personal Consumption]]+Table58[[#This Row],[Private Investment]]+Table58[[#This Row],[Exports]]+Table58[[#This Row],[Government]]-Table58[[#This Row],[Imports]]</f>
        <v/>
      </c>
    </row>
    <row r="221">
      <c r="A221" s="94" t="n">
        <v>36800</v>
      </c>
      <c r="B221" s="164">
        <f>VLOOKUP(A221,'U.S. GDP'!A:B,2,)</f>
        <v/>
      </c>
      <c r="C221" s="164">
        <f>VLOOKUP(A221,PersonalConsumption!A:B,2,)</f>
        <v/>
      </c>
      <c r="D221" s="164">
        <f>VLOOKUP(A221,PrivateInvestment!A:B,2,)</f>
        <v/>
      </c>
      <c r="E221" s="164">
        <f>VLOOKUP(A221,Exports!A:B,2,)</f>
        <v/>
      </c>
      <c r="F221" s="164">
        <f>VLOOKUP(A221,Imports!A:B,2,)</f>
        <v/>
      </c>
      <c r="G221" s="164">
        <f>VLOOKUP(A221,Government!A:B,2,)</f>
        <v/>
      </c>
      <c r="H221" s="85">
        <f>Table58[[#This Row],[Personal Consumption]]/Table58[[#This Row],[GDP]]</f>
        <v/>
      </c>
      <c r="I221" s="85">
        <f>Table58[[#This Row],[Private Investment]]/Table58[[#This Row],[GDP]]</f>
        <v/>
      </c>
      <c r="J221" s="85">
        <f>Table58[[#This Row],[Exports]]/Table58[[#This Row],[GDP]]</f>
        <v/>
      </c>
      <c r="K221" s="85">
        <f>-Table58[[#This Row],[Imports]]/Table58[[#This Row],[GDP]]</f>
        <v/>
      </c>
      <c r="L221" s="85">
        <f>Table58[[#This Row],[Government]]/Table58[[#This Row],[GDP]]</f>
        <v/>
      </c>
      <c r="N221" s="52">
        <f>SUM(Table58[[#This Row],[PC%]:[G%]])</f>
        <v/>
      </c>
      <c r="O221" s="55">
        <f>Table58[[#This Row],[Personal Consumption]]+Table58[[#This Row],[Private Investment]]+Table58[[#This Row],[Exports]]+Table58[[#This Row],[Government]]-Table58[[#This Row],[Imports]]</f>
        <v/>
      </c>
    </row>
    <row r="222">
      <c r="A222" s="94" t="n">
        <v>36892</v>
      </c>
      <c r="B222" s="164">
        <f>VLOOKUP(A222,'U.S. GDP'!A:B,2,)</f>
        <v/>
      </c>
      <c r="C222" s="164">
        <f>VLOOKUP(A222,PersonalConsumption!A:B,2,)</f>
        <v/>
      </c>
      <c r="D222" s="164">
        <f>VLOOKUP(A222,PrivateInvestment!A:B,2,)</f>
        <v/>
      </c>
      <c r="E222" s="164">
        <f>VLOOKUP(A222,Exports!A:B,2,)</f>
        <v/>
      </c>
      <c r="F222" s="164">
        <f>VLOOKUP(A222,Imports!A:B,2,)</f>
        <v/>
      </c>
      <c r="G222" s="164">
        <f>VLOOKUP(A222,Government!A:B,2,)</f>
        <v/>
      </c>
      <c r="H222" s="85">
        <f>Table58[[#This Row],[Personal Consumption]]/Table58[[#This Row],[GDP]]</f>
        <v/>
      </c>
      <c r="I222" s="85">
        <f>Table58[[#This Row],[Private Investment]]/Table58[[#This Row],[GDP]]</f>
        <v/>
      </c>
      <c r="J222" s="85">
        <f>Table58[[#This Row],[Exports]]/Table58[[#This Row],[GDP]]</f>
        <v/>
      </c>
      <c r="K222" s="85">
        <f>-Table58[[#This Row],[Imports]]/Table58[[#This Row],[GDP]]</f>
        <v/>
      </c>
      <c r="L222" s="85">
        <f>Table58[[#This Row],[Government]]/Table58[[#This Row],[GDP]]</f>
        <v/>
      </c>
      <c r="N222" s="52">
        <f>SUM(Table58[[#This Row],[PC%]:[G%]])</f>
        <v/>
      </c>
      <c r="O222" s="55">
        <f>Table58[[#This Row],[Personal Consumption]]+Table58[[#This Row],[Private Investment]]+Table58[[#This Row],[Exports]]+Table58[[#This Row],[Government]]-Table58[[#This Row],[Imports]]</f>
        <v/>
      </c>
    </row>
    <row r="223">
      <c r="A223" s="94" t="n">
        <v>36982</v>
      </c>
      <c r="B223" s="164">
        <f>VLOOKUP(A223,'U.S. GDP'!A:B,2,)</f>
        <v/>
      </c>
      <c r="C223" s="164">
        <f>VLOOKUP(A223,PersonalConsumption!A:B,2,)</f>
        <v/>
      </c>
      <c r="D223" s="164">
        <f>VLOOKUP(A223,PrivateInvestment!A:B,2,)</f>
        <v/>
      </c>
      <c r="E223" s="164">
        <f>VLOOKUP(A223,Exports!A:B,2,)</f>
        <v/>
      </c>
      <c r="F223" s="164">
        <f>VLOOKUP(A223,Imports!A:B,2,)</f>
        <v/>
      </c>
      <c r="G223" s="164">
        <f>VLOOKUP(A223,Government!A:B,2,)</f>
        <v/>
      </c>
      <c r="H223" s="85">
        <f>Table58[[#This Row],[Personal Consumption]]/Table58[[#This Row],[GDP]]</f>
        <v/>
      </c>
      <c r="I223" s="85">
        <f>Table58[[#This Row],[Private Investment]]/Table58[[#This Row],[GDP]]</f>
        <v/>
      </c>
      <c r="J223" s="85">
        <f>Table58[[#This Row],[Exports]]/Table58[[#This Row],[GDP]]</f>
        <v/>
      </c>
      <c r="K223" s="85">
        <f>-Table58[[#This Row],[Imports]]/Table58[[#This Row],[GDP]]</f>
        <v/>
      </c>
      <c r="L223" s="85">
        <f>Table58[[#This Row],[Government]]/Table58[[#This Row],[GDP]]</f>
        <v/>
      </c>
      <c r="N223" s="52">
        <f>SUM(Table58[[#This Row],[PC%]:[G%]])</f>
        <v/>
      </c>
      <c r="O223" s="55">
        <f>Table58[[#This Row],[Personal Consumption]]+Table58[[#This Row],[Private Investment]]+Table58[[#This Row],[Exports]]+Table58[[#This Row],[Government]]-Table58[[#This Row],[Imports]]</f>
        <v/>
      </c>
    </row>
    <row r="224">
      <c r="A224" s="94" t="n">
        <v>37073</v>
      </c>
      <c r="B224" s="164">
        <f>VLOOKUP(A224,'U.S. GDP'!A:B,2,)</f>
        <v/>
      </c>
      <c r="C224" s="164">
        <f>VLOOKUP(A224,PersonalConsumption!A:B,2,)</f>
        <v/>
      </c>
      <c r="D224" s="164">
        <f>VLOOKUP(A224,PrivateInvestment!A:B,2,)</f>
        <v/>
      </c>
      <c r="E224" s="164">
        <f>VLOOKUP(A224,Exports!A:B,2,)</f>
        <v/>
      </c>
      <c r="F224" s="164">
        <f>VLOOKUP(A224,Imports!A:B,2,)</f>
        <v/>
      </c>
      <c r="G224" s="164">
        <f>VLOOKUP(A224,Government!A:B,2,)</f>
        <v/>
      </c>
      <c r="H224" s="85">
        <f>Table58[[#This Row],[Personal Consumption]]/Table58[[#This Row],[GDP]]</f>
        <v/>
      </c>
      <c r="I224" s="85">
        <f>Table58[[#This Row],[Private Investment]]/Table58[[#This Row],[GDP]]</f>
        <v/>
      </c>
      <c r="J224" s="85">
        <f>Table58[[#This Row],[Exports]]/Table58[[#This Row],[GDP]]</f>
        <v/>
      </c>
      <c r="K224" s="85">
        <f>-Table58[[#This Row],[Imports]]/Table58[[#This Row],[GDP]]</f>
        <v/>
      </c>
      <c r="L224" s="85">
        <f>Table58[[#This Row],[Government]]/Table58[[#This Row],[GDP]]</f>
        <v/>
      </c>
      <c r="N224" s="52">
        <f>SUM(Table58[[#This Row],[PC%]:[G%]])</f>
        <v/>
      </c>
      <c r="O224" s="55">
        <f>Table58[[#This Row],[Personal Consumption]]+Table58[[#This Row],[Private Investment]]+Table58[[#This Row],[Exports]]+Table58[[#This Row],[Government]]-Table58[[#This Row],[Imports]]</f>
        <v/>
      </c>
    </row>
    <row r="225">
      <c r="A225" s="94" t="n">
        <v>37165</v>
      </c>
      <c r="B225" s="164">
        <f>VLOOKUP(A225,'U.S. GDP'!A:B,2,)</f>
        <v/>
      </c>
      <c r="C225" s="164">
        <f>VLOOKUP(A225,PersonalConsumption!A:B,2,)</f>
        <v/>
      </c>
      <c r="D225" s="164">
        <f>VLOOKUP(A225,PrivateInvestment!A:B,2,)</f>
        <v/>
      </c>
      <c r="E225" s="164">
        <f>VLOOKUP(A225,Exports!A:B,2,)</f>
        <v/>
      </c>
      <c r="F225" s="164">
        <f>VLOOKUP(A225,Imports!A:B,2,)</f>
        <v/>
      </c>
      <c r="G225" s="164">
        <f>VLOOKUP(A225,Government!A:B,2,)</f>
        <v/>
      </c>
      <c r="H225" s="85">
        <f>Table58[[#This Row],[Personal Consumption]]/Table58[[#This Row],[GDP]]</f>
        <v/>
      </c>
      <c r="I225" s="85">
        <f>Table58[[#This Row],[Private Investment]]/Table58[[#This Row],[GDP]]</f>
        <v/>
      </c>
      <c r="J225" s="85">
        <f>Table58[[#This Row],[Exports]]/Table58[[#This Row],[GDP]]</f>
        <v/>
      </c>
      <c r="K225" s="85">
        <f>-Table58[[#This Row],[Imports]]/Table58[[#This Row],[GDP]]</f>
        <v/>
      </c>
      <c r="L225" s="85">
        <f>Table58[[#This Row],[Government]]/Table58[[#This Row],[GDP]]</f>
        <v/>
      </c>
      <c r="N225" s="52">
        <f>SUM(Table58[[#This Row],[PC%]:[G%]])</f>
        <v/>
      </c>
      <c r="O225" s="55">
        <f>Table58[[#This Row],[Personal Consumption]]+Table58[[#This Row],[Private Investment]]+Table58[[#This Row],[Exports]]+Table58[[#This Row],[Government]]-Table58[[#This Row],[Imports]]</f>
        <v/>
      </c>
    </row>
    <row r="226">
      <c r="A226" s="94" t="n">
        <v>37257</v>
      </c>
      <c r="B226" s="164">
        <f>VLOOKUP(A226,'U.S. GDP'!A:B,2,)</f>
        <v/>
      </c>
      <c r="C226" s="164">
        <f>VLOOKUP(A226,PersonalConsumption!A:B,2,)</f>
        <v/>
      </c>
      <c r="D226" s="164">
        <f>VLOOKUP(A226,PrivateInvestment!A:B,2,)</f>
        <v/>
      </c>
      <c r="E226" s="164">
        <f>VLOOKUP(A226,Exports!A:B,2,)</f>
        <v/>
      </c>
      <c r="F226" s="164">
        <f>VLOOKUP(A226,Imports!A:B,2,)</f>
        <v/>
      </c>
      <c r="G226" s="164">
        <f>VLOOKUP(A226,Government!A:B,2,)</f>
        <v/>
      </c>
      <c r="H226" s="85">
        <f>Table58[[#This Row],[Personal Consumption]]/Table58[[#This Row],[GDP]]</f>
        <v/>
      </c>
      <c r="I226" s="85">
        <f>Table58[[#This Row],[Private Investment]]/Table58[[#This Row],[GDP]]</f>
        <v/>
      </c>
      <c r="J226" s="85">
        <f>Table58[[#This Row],[Exports]]/Table58[[#This Row],[GDP]]</f>
        <v/>
      </c>
      <c r="K226" s="85">
        <f>-Table58[[#This Row],[Imports]]/Table58[[#This Row],[GDP]]</f>
        <v/>
      </c>
      <c r="L226" s="85">
        <f>Table58[[#This Row],[Government]]/Table58[[#This Row],[GDP]]</f>
        <v/>
      </c>
      <c r="N226" s="52">
        <f>SUM(Table58[[#This Row],[PC%]:[G%]])</f>
        <v/>
      </c>
      <c r="O226" s="55">
        <f>Table58[[#This Row],[Personal Consumption]]+Table58[[#This Row],[Private Investment]]+Table58[[#This Row],[Exports]]+Table58[[#This Row],[Government]]-Table58[[#This Row],[Imports]]</f>
        <v/>
      </c>
    </row>
    <row r="227">
      <c r="A227" s="94" t="n">
        <v>37347</v>
      </c>
      <c r="B227" s="164">
        <f>VLOOKUP(A227,'U.S. GDP'!A:B,2,)</f>
        <v/>
      </c>
      <c r="C227" s="164">
        <f>VLOOKUP(A227,PersonalConsumption!A:B,2,)</f>
        <v/>
      </c>
      <c r="D227" s="164">
        <f>VLOOKUP(A227,PrivateInvestment!A:B,2,)</f>
        <v/>
      </c>
      <c r="E227" s="164">
        <f>VLOOKUP(A227,Exports!A:B,2,)</f>
        <v/>
      </c>
      <c r="F227" s="164">
        <f>VLOOKUP(A227,Imports!A:B,2,)</f>
        <v/>
      </c>
      <c r="G227" s="164">
        <f>VLOOKUP(A227,Government!A:B,2,)</f>
        <v/>
      </c>
      <c r="H227" s="85">
        <f>Table58[[#This Row],[Personal Consumption]]/Table58[[#This Row],[GDP]]</f>
        <v/>
      </c>
      <c r="I227" s="85">
        <f>Table58[[#This Row],[Private Investment]]/Table58[[#This Row],[GDP]]</f>
        <v/>
      </c>
      <c r="J227" s="85">
        <f>Table58[[#This Row],[Exports]]/Table58[[#This Row],[GDP]]</f>
        <v/>
      </c>
      <c r="K227" s="85">
        <f>-Table58[[#This Row],[Imports]]/Table58[[#This Row],[GDP]]</f>
        <v/>
      </c>
      <c r="L227" s="85">
        <f>Table58[[#This Row],[Government]]/Table58[[#This Row],[GDP]]</f>
        <v/>
      </c>
      <c r="N227" s="52">
        <f>SUM(Table58[[#This Row],[PC%]:[G%]])</f>
        <v/>
      </c>
      <c r="O227" s="55">
        <f>Table58[[#This Row],[Personal Consumption]]+Table58[[#This Row],[Private Investment]]+Table58[[#This Row],[Exports]]+Table58[[#This Row],[Government]]-Table58[[#This Row],[Imports]]</f>
        <v/>
      </c>
    </row>
    <row r="228">
      <c r="A228" s="94" t="n">
        <v>37438</v>
      </c>
      <c r="B228" s="164">
        <f>VLOOKUP(A228,'U.S. GDP'!A:B,2,)</f>
        <v/>
      </c>
      <c r="C228" s="164">
        <f>VLOOKUP(A228,PersonalConsumption!A:B,2,)</f>
        <v/>
      </c>
      <c r="D228" s="164">
        <f>VLOOKUP(A228,PrivateInvestment!A:B,2,)</f>
        <v/>
      </c>
      <c r="E228" s="164">
        <f>VLOOKUP(A228,Exports!A:B,2,)</f>
        <v/>
      </c>
      <c r="F228" s="164">
        <f>VLOOKUP(A228,Imports!A:B,2,)</f>
        <v/>
      </c>
      <c r="G228" s="164">
        <f>VLOOKUP(A228,Government!A:B,2,)</f>
        <v/>
      </c>
      <c r="H228" s="85">
        <f>Table58[[#This Row],[Personal Consumption]]/Table58[[#This Row],[GDP]]</f>
        <v/>
      </c>
      <c r="I228" s="85">
        <f>Table58[[#This Row],[Private Investment]]/Table58[[#This Row],[GDP]]</f>
        <v/>
      </c>
      <c r="J228" s="85">
        <f>Table58[[#This Row],[Exports]]/Table58[[#This Row],[GDP]]</f>
        <v/>
      </c>
      <c r="K228" s="85">
        <f>-Table58[[#This Row],[Imports]]/Table58[[#This Row],[GDP]]</f>
        <v/>
      </c>
      <c r="L228" s="85">
        <f>Table58[[#This Row],[Government]]/Table58[[#This Row],[GDP]]</f>
        <v/>
      </c>
      <c r="N228" s="52">
        <f>SUM(Table58[[#This Row],[PC%]:[G%]])</f>
        <v/>
      </c>
      <c r="O228" s="55">
        <f>Table58[[#This Row],[Personal Consumption]]+Table58[[#This Row],[Private Investment]]+Table58[[#This Row],[Exports]]+Table58[[#This Row],[Government]]-Table58[[#This Row],[Imports]]</f>
        <v/>
      </c>
    </row>
    <row r="229">
      <c r="A229" s="94" t="n">
        <v>37530</v>
      </c>
      <c r="B229" s="164">
        <f>VLOOKUP(A229,'U.S. GDP'!A:B,2,)</f>
        <v/>
      </c>
      <c r="C229" s="164">
        <f>VLOOKUP(A229,PersonalConsumption!A:B,2,)</f>
        <v/>
      </c>
      <c r="D229" s="164">
        <f>VLOOKUP(A229,PrivateInvestment!A:B,2,)</f>
        <v/>
      </c>
      <c r="E229" s="164">
        <f>VLOOKUP(A229,Exports!A:B,2,)</f>
        <v/>
      </c>
      <c r="F229" s="164">
        <f>VLOOKUP(A229,Imports!A:B,2,)</f>
        <v/>
      </c>
      <c r="G229" s="164">
        <f>VLOOKUP(A229,Government!A:B,2,)</f>
        <v/>
      </c>
      <c r="H229" s="85">
        <f>Table58[[#This Row],[Personal Consumption]]/Table58[[#This Row],[GDP]]</f>
        <v/>
      </c>
      <c r="I229" s="85">
        <f>Table58[[#This Row],[Private Investment]]/Table58[[#This Row],[GDP]]</f>
        <v/>
      </c>
      <c r="J229" s="85">
        <f>Table58[[#This Row],[Exports]]/Table58[[#This Row],[GDP]]</f>
        <v/>
      </c>
      <c r="K229" s="85">
        <f>-Table58[[#This Row],[Imports]]/Table58[[#This Row],[GDP]]</f>
        <v/>
      </c>
      <c r="L229" s="85">
        <f>Table58[[#This Row],[Government]]/Table58[[#This Row],[GDP]]</f>
        <v/>
      </c>
      <c r="N229" s="52">
        <f>SUM(Table58[[#This Row],[PC%]:[G%]])</f>
        <v/>
      </c>
      <c r="O229" s="55">
        <f>Table58[[#This Row],[Personal Consumption]]+Table58[[#This Row],[Private Investment]]+Table58[[#This Row],[Exports]]+Table58[[#This Row],[Government]]-Table58[[#This Row],[Imports]]</f>
        <v/>
      </c>
    </row>
    <row r="230">
      <c r="A230" s="94" t="n">
        <v>37622</v>
      </c>
      <c r="B230" s="164">
        <f>VLOOKUP(A230,'U.S. GDP'!A:B,2,)</f>
        <v/>
      </c>
      <c r="C230" s="164">
        <f>VLOOKUP(A230,PersonalConsumption!A:B,2,)</f>
        <v/>
      </c>
      <c r="D230" s="164">
        <f>VLOOKUP(A230,PrivateInvestment!A:B,2,)</f>
        <v/>
      </c>
      <c r="E230" s="164">
        <f>VLOOKUP(A230,Exports!A:B,2,)</f>
        <v/>
      </c>
      <c r="F230" s="164">
        <f>VLOOKUP(A230,Imports!A:B,2,)</f>
        <v/>
      </c>
      <c r="G230" s="164">
        <f>VLOOKUP(A230,Government!A:B,2,)</f>
        <v/>
      </c>
      <c r="H230" s="85">
        <f>Table58[[#This Row],[Personal Consumption]]/Table58[[#This Row],[GDP]]</f>
        <v/>
      </c>
      <c r="I230" s="85">
        <f>Table58[[#This Row],[Private Investment]]/Table58[[#This Row],[GDP]]</f>
        <v/>
      </c>
      <c r="J230" s="85">
        <f>Table58[[#This Row],[Exports]]/Table58[[#This Row],[GDP]]</f>
        <v/>
      </c>
      <c r="K230" s="85">
        <f>-Table58[[#This Row],[Imports]]/Table58[[#This Row],[GDP]]</f>
        <v/>
      </c>
      <c r="L230" s="85">
        <f>Table58[[#This Row],[Government]]/Table58[[#This Row],[GDP]]</f>
        <v/>
      </c>
      <c r="N230" s="52">
        <f>SUM(Table58[[#This Row],[PC%]:[G%]])</f>
        <v/>
      </c>
      <c r="O230" s="55">
        <f>Table58[[#This Row],[Personal Consumption]]+Table58[[#This Row],[Private Investment]]+Table58[[#This Row],[Exports]]+Table58[[#This Row],[Government]]-Table58[[#This Row],[Imports]]</f>
        <v/>
      </c>
    </row>
    <row r="231">
      <c r="A231" s="94" t="n">
        <v>37712</v>
      </c>
      <c r="B231" s="164">
        <f>VLOOKUP(A231,'U.S. GDP'!A:B,2,)</f>
        <v/>
      </c>
      <c r="C231" s="164">
        <f>VLOOKUP(A231,PersonalConsumption!A:B,2,)</f>
        <v/>
      </c>
      <c r="D231" s="164">
        <f>VLOOKUP(A231,PrivateInvestment!A:B,2,)</f>
        <v/>
      </c>
      <c r="E231" s="164">
        <f>VLOOKUP(A231,Exports!A:B,2,)</f>
        <v/>
      </c>
      <c r="F231" s="164">
        <f>VLOOKUP(A231,Imports!A:B,2,)</f>
        <v/>
      </c>
      <c r="G231" s="164">
        <f>VLOOKUP(A231,Government!A:B,2,)</f>
        <v/>
      </c>
      <c r="H231" s="85">
        <f>Table58[[#This Row],[Personal Consumption]]/Table58[[#This Row],[GDP]]</f>
        <v/>
      </c>
      <c r="I231" s="85">
        <f>Table58[[#This Row],[Private Investment]]/Table58[[#This Row],[GDP]]</f>
        <v/>
      </c>
      <c r="J231" s="85">
        <f>Table58[[#This Row],[Exports]]/Table58[[#This Row],[GDP]]</f>
        <v/>
      </c>
      <c r="K231" s="85">
        <f>-Table58[[#This Row],[Imports]]/Table58[[#This Row],[GDP]]</f>
        <v/>
      </c>
      <c r="L231" s="85">
        <f>Table58[[#This Row],[Government]]/Table58[[#This Row],[GDP]]</f>
        <v/>
      </c>
      <c r="N231" s="52">
        <f>SUM(Table58[[#This Row],[PC%]:[G%]])</f>
        <v/>
      </c>
      <c r="O231" s="55">
        <f>Table58[[#This Row],[Personal Consumption]]+Table58[[#This Row],[Private Investment]]+Table58[[#This Row],[Exports]]+Table58[[#This Row],[Government]]-Table58[[#This Row],[Imports]]</f>
        <v/>
      </c>
    </row>
    <row r="232">
      <c r="A232" s="94" t="n">
        <v>37803</v>
      </c>
      <c r="B232" s="164">
        <f>VLOOKUP(A232,'U.S. GDP'!A:B,2,)</f>
        <v/>
      </c>
      <c r="C232" s="164">
        <f>VLOOKUP(A232,PersonalConsumption!A:B,2,)</f>
        <v/>
      </c>
      <c r="D232" s="164">
        <f>VLOOKUP(A232,PrivateInvestment!A:B,2,)</f>
        <v/>
      </c>
      <c r="E232" s="164">
        <f>VLOOKUP(A232,Exports!A:B,2,)</f>
        <v/>
      </c>
      <c r="F232" s="164">
        <f>VLOOKUP(A232,Imports!A:B,2,)</f>
        <v/>
      </c>
      <c r="G232" s="164">
        <f>VLOOKUP(A232,Government!A:B,2,)</f>
        <v/>
      </c>
      <c r="H232" s="85">
        <f>Table58[[#This Row],[Personal Consumption]]/Table58[[#This Row],[GDP]]</f>
        <v/>
      </c>
      <c r="I232" s="85">
        <f>Table58[[#This Row],[Private Investment]]/Table58[[#This Row],[GDP]]</f>
        <v/>
      </c>
      <c r="J232" s="85">
        <f>Table58[[#This Row],[Exports]]/Table58[[#This Row],[GDP]]</f>
        <v/>
      </c>
      <c r="K232" s="85">
        <f>-Table58[[#This Row],[Imports]]/Table58[[#This Row],[GDP]]</f>
        <v/>
      </c>
      <c r="L232" s="85">
        <f>Table58[[#This Row],[Government]]/Table58[[#This Row],[GDP]]</f>
        <v/>
      </c>
      <c r="N232" s="52">
        <f>SUM(Table58[[#This Row],[PC%]:[G%]])</f>
        <v/>
      </c>
      <c r="O232" s="55">
        <f>Table58[[#This Row],[Personal Consumption]]+Table58[[#This Row],[Private Investment]]+Table58[[#This Row],[Exports]]+Table58[[#This Row],[Government]]-Table58[[#This Row],[Imports]]</f>
        <v/>
      </c>
    </row>
    <row r="233">
      <c r="A233" s="94" t="n">
        <v>37895</v>
      </c>
      <c r="B233" s="164">
        <f>VLOOKUP(A233,'U.S. GDP'!A:B,2,)</f>
        <v/>
      </c>
      <c r="C233" s="164">
        <f>VLOOKUP(A233,PersonalConsumption!A:B,2,)</f>
        <v/>
      </c>
      <c r="D233" s="164">
        <f>VLOOKUP(A233,PrivateInvestment!A:B,2,)</f>
        <v/>
      </c>
      <c r="E233" s="164">
        <f>VLOOKUP(A233,Exports!A:B,2,)</f>
        <v/>
      </c>
      <c r="F233" s="164">
        <f>VLOOKUP(A233,Imports!A:B,2,)</f>
        <v/>
      </c>
      <c r="G233" s="164">
        <f>VLOOKUP(A233,Government!A:B,2,)</f>
        <v/>
      </c>
      <c r="H233" s="85">
        <f>Table58[[#This Row],[Personal Consumption]]/Table58[[#This Row],[GDP]]</f>
        <v/>
      </c>
      <c r="I233" s="85">
        <f>Table58[[#This Row],[Private Investment]]/Table58[[#This Row],[GDP]]</f>
        <v/>
      </c>
      <c r="J233" s="85">
        <f>Table58[[#This Row],[Exports]]/Table58[[#This Row],[GDP]]</f>
        <v/>
      </c>
      <c r="K233" s="85">
        <f>-Table58[[#This Row],[Imports]]/Table58[[#This Row],[GDP]]</f>
        <v/>
      </c>
      <c r="L233" s="85">
        <f>Table58[[#This Row],[Government]]/Table58[[#This Row],[GDP]]</f>
        <v/>
      </c>
      <c r="N233" s="52">
        <f>SUM(Table58[[#This Row],[PC%]:[G%]])</f>
        <v/>
      </c>
      <c r="O233" s="55">
        <f>Table58[[#This Row],[Personal Consumption]]+Table58[[#This Row],[Private Investment]]+Table58[[#This Row],[Exports]]+Table58[[#This Row],[Government]]-Table58[[#This Row],[Imports]]</f>
        <v/>
      </c>
    </row>
    <row r="234">
      <c r="A234" s="94" t="n">
        <v>37987</v>
      </c>
      <c r="B234" s="164">
        <f>VLOOKUP(A234,'U.S. GDP'!A:B,2,)</f>
        <v/>
      </c>
      <c r="C234" s="164">
        <f>VLOOKUP(A234,PersonalConsumption!A:B,2,)</f>
        <v/>
      </c>
      <c r="D234" s="164">
        <f>VLOOKUP(A234,PrivateInvestment!A:B,2,)</f>
        <v/>
      </c>
      <c r="E234" s="164">
        <f>VLOOKUP(A234,Exports!A:B,2,)</f>
        <v/>
      </c>
      <c r="F234" s="164">
        <f>VLOOKUP(A234,Imports!A:B,2,)</f>
        <v/>
      </c>
      <c r="G234" s="164">
        <f>VLOOKUP(A234,Government!A:B,2,)</f>
        <v/>
      </c>
      <c r="H234" s="85">
        <f>Table58[[#This Row],[Personal Consumption]]/Table58[[#This Row],[GDP]]</f>
        <v/>
      </c>
      <c r="I234" s="85">
        <f>Table58[[#This Row],[Private Investment]]/Table58[[#This Row],[GDP]]</f>
        <v/>
      </c>
      <c r="J234" s="85">
        <f>Table58[[#This Row],[Exports]]/Table58[[#This Row],[GDP]]</f>
        <v/>
      </c>
      <c r="K234" s="85">
        <f>-Table58[[#This Row],[Imports]]/Table58[[#This Row],[GDP]]</f>
        <v/>
      </c>
      <c r="L234" s="85">
        <f>Table58[[#This Row],[Government]]/Table58[[#This Row],[GDP]]</f>
        <v/>
      </c>
      <c r="N234" s="52">
        <f>SUM(Table58[[#This Row],[PC%]:[G%]])</f>
        <v/>
      </c>
      <c r="O234" s="55">
        <f>Table58[[#This Row],[Personal Consumption]]+Table58[[#This Row],[Private Investment]]+Table58[[#This Row],[Exports]]+Table58[[#This Row],[Government]]-Table58[[#This Row],[Imports]]</f>
        <v/>
      </c>
    </row>
    <row r="235">
      <c r="A235" s="94" t="n">
        <v>38078</v>
      </c>
      <c r="B235" s="164">
        <f>VLOOKUP(A235,'U.S. GDP'!A:B,2,)</f>
        <v/>
      </c>
      <c r="C235" s="164">
        <f>VLOOKUP(A235,PersonalConsumption!A:B,2,)</f>
        <v/>
      </c>
      <c r="D235" s="164">
        <f>VLOOKUP(A235,PrivateInvestment!A:B,2,)</f>
        <v/>
      </c>
      <c r="E235" s="164">
        <f>VLOOKUP(A235,Exports!A:B,2,)</f>
        <v/>
      </c>
      <c r="F235" s="164">
        <f>VLOOKUP(A235,Imports!A:B,2,)</f>
        <v/>
      </c>
      <c r="G235" s="164">
        <f>VLOOKUP(A235,Government!A:B,2,)</f>
        <v/>
      </c>
      <c r="H235" s="85">
        <f>Table58[[#This Row],[Personal Consumption]]/Table58[[#This Row],[GDP]]</f>
        <v/>
      </c>
      <c r="I235" s="85">
        <f>Table58[[#This Row],[Private Investment]]/Table58[[#This Row],[GDP]]</f>
        <v/>
      </c>
      <c r="J235" s="85">
        <f>Table58[[#This Row],[Exports]]/Table58[[#This Row],[GDP]]</f>
        <v/>
      </c>
      <c r="K235" s="85">
        <f>-Table58[[#This Row],[Imports]]/Table58[[#This Row],[GDP]]</f>
        <v/>
      </c>
      <c r="L235" s="85">
        <f>Table58[[#This Row],[Government]]/Table58[[#This Row],[GDP]]</f>
        <v/>
      </c>
      <c r="N235" s="52">
        <f>SUM(Table58[[#This Row],[PC%]:[G%]])</f>
        <v/>
      </c>
      <c r="O235" s="55">
        <f>Table58[[#This Row],[Personal Consumption]]+Table58[[#This Row],[Private Investment]]+Table58[[#This Row],[Exports]]+Table58[[#This Row],[Government]]-Table58[[#This Row],[Imports]]</f>
        <v/>
      </c>
    </row>
    <row r="236">
      <c r="A236" s="94" t="n">
        <v>38169</v>
      </c>
      <c r="B236" s="164">
        <f>VLOOKUP(A236,'U.S. GDP'!A:B,2,)</f>
        <v/>
      </c>
      <c r="C236" s="164">
        <f>VLOOKUP(A236,PersonalConsumption!A:B,2,)</f>
        <v/>
      </c>
      <c r="D236" s="164">
        <f>VLOOKUP(A236,PrivateInvestment!A:B,2,)</f>
        <v/>
      </c>
      <c r="E236" s="164">
        <f>VLOOKUP(A236,Exports!A:B,2,)</f>
        <v/>
      </c>
      <c r="F236" s="164">
        <f>VLOOKUP(A236,Imports!A:B,2,)</f>
        <v/>
      </c>
      <c r="G236" s="164">
        <f>VLOOKUP(A236,Government!A:B,2,)</f>
        <v/>
      </c>
      <c r="H236" s="85">
        <f>Table58[[#This Row],[Personal Consumption]]/Table58[[#This Row],[GDP]]</f>
        <v/>
      </c>
      <c r="I236" s="85">
        <f>Table58[[#This Row],[Private Investment]]/Table58[[#This Row],[GDP]]</f>
        <v/>
      </c>
      <c r="J236" s="85">
        <f>Table58[[#This Row],[Exports]]/Table58[[#This Row],[GDP]]</f>
        <v/>
      </c>
      <c r="K236" s="85">
        <f>-Table58[[#This Row],[Imports]]/Table58[[#This Row],[GDP]]</f>
        <v/>
      </c>
      <c r="L236" s="85">
        <f>Table58[[#This Row],[Government]]/Table58[[#This Row],[GDP]]</f>
        <v/>
      </c>
      <c r="N236" s="52">
        <f>SUM(Table58[[#This Row],[PC%]:[G%]])</f>
        <v/>
      </c>
      <c r="O236" s="55">
        <f>Table58[[#This Row],[Personal Consumption]]+Table58[[#This Row],[Private Investment]]+Table58[[#This Row],[Exports]]+Table58[[#This Row],[Government]]-Table58[[#This Row],[Imports]]</f>
        <v/>
      </c>
    </row>
    <row r="237">
      <c r="A237" s="94" t="n">
        <v>38261</v>
      </c>
      <c r="B237" s="164">
        <f>VLOOKUP(A237,'U.S. GDP'!A:B,2,)</f>
        <v/>
      </c>
      <c r="C237" s="164">
        <f>VLOOKUP(A237,PersonalConsumption!A:B,2,)</f>
        <v/>
      </c>
      <c r="D237" s="164">
        <f>VLOOKUP(A237,PrivateInvestment!A:B,2,)</f>
        <v/>
      </c>
      <c r="E237" s="164">
        <f>VLOOKUP(A237,Exports!A:B,2,)</f>
        <v/>
      </c>
      <c r="F237" s="164">
        <f>VLOOKUP(A237,Imports!A:B,2,)</f>
        <v/>
      </c>
      <c r="G237" s="164">
        <f>VLOOKUP(A237,Government!A:B,2,)</f>
        <v/>
      </c>
      <c r="H237" s="85">
        <f>Table58[[#This Row],[Personal Consumption]]/Table58[[#This Row],[GDP]]</f>
        <v/>
      </c>
      <c r="I237" s="85">
        <f>Table58[[#This Row],[Private Investment]]/Table58[[#This Row],[GDP]]</f>
        <v/>
      </c>
      <c r="J237" s="85">
        <f>Table58[[#This Row],[Exports]]/Table58[[#This Row],[GDP]]</f>
        <v/>
      </c>
      <c r="K237" s="85">
        <f>-Table58[[#This Row],[Imports]]/Table58[[#This Row],[GDP]]</f>
        <v/>
      </c>
      <c r="L237" s="85">
        <f>Table58[[#This Row],[Government]]/Table58[[#This Row],[GDP]]</f>
        <v/>
      </c>
      <c r="N237" s="52">
        <f>SUM(Table58[[#This Row],[PC%]:[G%]])</f>
        <v/>
      </c>
      <c r="O237" s="55">
        <f>Table58[[#This Row],[Personal Consumption]]+Table58[[#This Row],[Private Investment]]+Table58[[#This Row],[Exports]]+Table58[[#This Row],[Government]]-Table58[[#This Row],[Imports]]</f>
        <v/>
      </c>
    </row>
    <row r="238">
      <c r="A238" s="94" t="n">
        <v>38353</v>
      </c>
      <c r="B238" s="164">
        <f>VLOOKUP(A238,'U.S. GDP'!A:B,2,)</f>
        <v/>
      </c>
      <c r="C238" s="164">
        <f>VLOOKUP(A238,PersonalConsumption!A:B,2,)</f>
        <v/>
      </c>
      <c r="D238" s="164">
        <f>VLOOKUP(A238,PrivateInvestment!A:B,2,)</f>
        <v/>
      </c>
      <c r="E238" s="164">
        <f>VLOOKUP(A238,Exports!A:B,2,)</f>
        <v/>
      </c>
      <c r="F238" s="164">
        <f>VLOOKUP(A238,Imports!A:B,2,)</f>
        <v/>
      </c>
      <c r="G238" s="164">
        <f>VLOOKUP(A238,Government!A:B,2,)</f>
        <v/>
      </c>
      <c r="H238" s="85">
        <f>Table58[[#This Row],[Personal Consumption]]/Table58[[#This Row],[GDP]]</f>
        <v/>
      </c>
      <c r="I238" s="85">
        <f>Table58[[#This Row],[Private Investment]]/Table58[[#This Row],[GDP]]</f>
        <v/>
      </c>
      <c r="J238" s="85">
        <f>Table58[[#This Row],[Exports]]/Table58[[#This Row],[GDP]]</f>
        <v/>
      </c>
      <c r="K238" s="85">
        <f>-Table58[[#This Row],[Imports]]/Table58[[#This Row],[GDP]]</f>
        <v/>
      </c>
      <c r="L238" s="85">
        <f>Table58[[#This Row],[Government]]/Table58[[#This Row],[GDP]]</f>
        <v/>
      </c>
      <c r="N238" s="52">
        <f>SUM(Table58[[#This Row],[PC%]:[G%]])</f>
        <v/>
      </c>
      <c r="O238" s="55">
        <f>Table58[[#This Row],[Personal Consumption]]+Table58[[#This Row],[Private Investment]]+Table58[[#This Row],[Exports]]+Table58[[#This Row],[Government]]-Table58[[#This Row],[Imports]]</f>
        <v/>
      </c>
    </row>
    <row r="239">
      <c r="A239" s="94" t="n">
        <v>38443</v>
      </c>
      <c r="B239" s="164">
        <f>VLOOKUP(A239,'U.S. GDP'!A:B,2,)</f>
        <v/>
      </c>
      <c r="C239" s="164">
        <f>VLOOKUP(A239,PersonalConsumption!A:B,2,)</f>
        <v/>
      </c>
      <c r="D239" s="164">
        <f>VLOOKUP(A239,PrivateInvestment!A:B,2,)</f>
        <v/>
      </c>
      <c r="E239" s="164">
        <f>VLOOKUP(A239,Exports!A:B,2,)</f>
        <v/>
      </c>
      <c r="F239" s="164">
        <f>VLOOKUP(A239,Imports!A:B,2,)</f>
        <v/>
      </c>
      <c r="G239" s="164">
        <f>VLOOKUP(A239,Government!A:B,2,)</f>
        <v/>
      </c>
      <c r="H239" s="85">
        <f>Table58[[#This Row],[Personal Consumption]]/Table58[[#This Row],[GDP]]</f>
        <v/>
      </c>
      <c r="I239" s="85">
        <f>Table58[[#This Row],[Private Investment]]/Table58[[#This Row],[GDP]]</f>
        <v/>
      </c>
      <c r="J239" s="85">
        <f>Table58[[#This Row],[Exports]]/Table58[[#This Row],[GDP]]</f>
        <v/>
      </c>
      <c r="K239" s="85">
        <f>-Table58[[#This Row],[Imports]]/Table58[[#This Row],[GDP]]</f>
        <v/>
      </c>
      <c r="L239" s="85">
        <f>Table58[[#This Row],[Government]]/Table58[[#This Row],[GDP]]</f>
        <v/>
      </c>
      <c r="N239" s="52">
        <f>SUM(Table58[[#This Row],[PC%]:[G%]])</f>
        <v/>
      </c>
      <c r="O239" s="55">
        <f>Table58[[#This Row],[Personal Consumption]]+Table58[[#This Row],[Private Investment]]+Table58[[#This Row],[Exports]]+Table58[[#This Row],[Government]]-Table58[[#This Row],[Imports]]</f>
        <v/>
      </c>
    </row>
    <row r="240">
      <c r="A240" s="94" t="n">
        <v>38534</v>
      </c>
      <c r="B240" s="164">
        <f>VLOOKUP(A240,'U.S. GDP'!A:B,2,)</f>
        <v/>
      </c>
      <c r="C240" s="164">
        <f>VLOOKUP(A240,PersonalConsumption!A:B,2,)</f>
        <v/>
      </c>
      <c r="D240" s="164">
        <f>VLOOKUP(A240,PrivateInvestment!A:B,2,)</f>
        <v/>
      </c>
      <c r="E240" s="164">
        <f>VLOOKUP(A240,Exports!A:B,2,)</f>
        <v/>
      </c>
      <c r="F240" s="164">
        <f>VLOOKUP(A240,Imports!A:B,2,)</f>
        <v/>
      </c>
      <c r="G240" s="164">
        <f>VLOOKUP(A240,Government!A:B,2,)</f>
        <v/>
      </c>
      <c r="H240" s="85">
        <f>Table58[[#This Row],[Personal Consumption]]/Table58[[#This Row],[GDP]]</f>
        <v/>
      </c>
      <c r="I240" s="85">
        <f>Table58[[#This Row],[Private Investment]]/Table58[[#This Row],[GDP]]</f>
        <v/>
      </c>
      <c r="J240" s="85">
        <f>Table58[[#This Row],[Exports]]/Table58[[#This Row],[GDP]]</f>
        <v/>
      </c>
      <c r="K240" s="85">
        <f>-Table58[[#This Row],[Imports]]/Table58[[#This Row],[GDP]]</f>
        <v/>
      </c>
      <c r="L240" s="85">
        <f>Table58[[#This Row],[Government]]/Table58[[#This Row],[GDP]]</f>
        <v/>
      </c>
      <c r="N240" s="52">
        <f>SUM(Table58[[#This Row],[PC%]:[G%]])</f>
        <v/>
      </c>
      <c r="O240" s="55">
        <f>Table58[[#This Row],[Personal Consumption]]+Table58[[#This Row],[Private Investment]]+Table58[[#This Row],[Exports]]+Table58[[#This Row],[Government]]-Table58[[#This Row],[Imports]]</f>
        <v/>
      </c>
    </row>
    <row r="241">
      <c r="A241" s="94" t="n">
        <v>38626</v>
      </c>
      <c r="B241" s="164">
        <f>VLOOKUP(A241,'U.S. GDP'!A:B,2,)</f>
        <v/>
      </c>
      <c r="C241" s="164">
        <f>VLOOKUP(A241,PersonalConsumption!A:B,2,)</f>
        <v/>
      </c>
      <c r="D241" s="164">
        <f>VLOOKUP(A241,PrivateInvestment!A:B,2,)</f>
        <v/>
      </c>
      <c r="E241" s="164">
        <f>VLOOKUP(A241,Exports!A:B,2,)</f>
        <v/>
      </c>
      <c r="F241" s="164">
        <f>VLOOKUP(A241,Imports!A:B,2,)</f>
        <v/>
      </c>
      <c r="G241" s="164">
        <f>VLOOKUP(A241,Government!A:B,2,)</f>
        <v/>
      </c>
      <c r="H241" s="85">
        <f>Table58[[#This Row],[Personal Consumption]]/Table58[[#This Row],[GDP]]</f>
        <v/>
      </c>
      <c r="I241" s="85">
        <f>Table58[[#This Row],[Private Investment]]/Table58[[#This Row],[GDP]]</f>
        <v/>
      </c>
      <c r="J241" s="85">
        <f>Table58[[#This Row],[Exports]]/Table58[[#This Row],[GDP]]</f>
        <v/>
      </c>
      <c r="K241" s="85">
        <f>-Table58[[#This Row],[Imports]]/Table58[[#This Row],[GDP]]</f>
        <v/>
      </c>
      <c r="L241" s="85">
        <f>Table58[[#This Row],[Government]]/Table58[[#This Row],[GDP]]</f>
        <v/>
      </c>
      <c r="N241" s="52">
        <f>SUM(Table58[[#This Row],[PC%]:[G%]])</f>
        <v/>
      </c>
      <c r="O241" s="55">
        <f>Table58[[#This Row],[Personal Consumption]]+Table58[[#This Row],[Private Investment]]+Table58[[#This Row],[Exports]]+Table58[[#This Row],[Government]]-Table58[[#This Row],[Imports]]</f>
        <v/>
      </c>
    </row>
    <row r="242">
      <c r="A242" s="94" t="n">
        <v>38718</v>
      </c>
      <c r="B242" s="164">
        <f>VLOOKUP(A242,'U.S. GDP'!A:B,2,)</f>
        <v/>
      </c>
      <c r="C242" s="164">
        <f>VLOOKUP(A242,PersonalConsumption!A:B,2,)</f>
        <v/>
      </c>
      <c r="D242" s="164">
        <f>VLOOKUP(A242,PrivateInvestment!A:B,2,)</f>
        <v/>
      </c>
      <c r="E242" s="164">
        <f>VLOOKUP(A242,Exports!A:B,2,)</f>
        <v/>
      </c>
      <c r="F242" s="164">
        <f>VLOOKUP(A242,Imports!A:B,2,)</f>
        <v/>
      </c>
      <c r="G242" s="164">
        <f>VLOOKUP(A242,Government!A:B,2,)</f>
        <v/>
      </c>
      <c r="H242" s="85">
        <f>Table58[[#This Row],[Personal Consumption]]/Table58[[#This Row],[GDP]]</f>
        <v/>
      </c>
      <c r="I242" s="85">
        <f>Table58[[#This Row],[Private Investment]]/Table58[[#This Row],[GDP]]</f>
        <v/>
      </c>
      <c r="J242" s="85">
        <f>Table58[[#This Row],[Exports]]/Table58[[#This Row],[GDP]]</f>
        <v/>
      </c>
      <c r="K242" s="85">
        <f>-Table58[[#This Row],[Imports]]/Table58[[#This Row],[GDP]]</f>
        <v/>
      </c>
      <c r="L242" s="85">
        <f>Table58[[#This Row],[Government]]/Table58[[#This Row],[GDP]]</f>
        <v/>
      </c>
      <c r="N242" s="52">
        <f>SUM(Table58[[#This Row],[PC%]:[G%]])</f>
        <v/>
      </c>
      <c r="O242" s="55">
        <f>Table58[[#This Row],[Personal Consumption]]+Table58[[#This Row],[Private Investment]]+Table58[[#This Row],[Exports]]+Table58[[#This Row],[Government]]-Table58[[#This Row],[Imports]]</f>
        <v/>
      </c>
    </row>
    <row r="243">
      <c r="A243" s="94" t="n">
        <v>38808</v>
      </c>
      <c r="B243" s="164">
        <f>VLOOKUP(A243,'U.S. GDP'!A:B,2,)</f>
        <v/>
      </c>
      <c r="C243" s="164">
        <f>VLOOKUP(A243,PersonalConsumption!A:B,2,)</f>
        <v/>
      </c>
      <c r="D243" s="164">
        <f>VLOOKUP(A243,PrivateInvestment!A:B,2,)</f>
        <v/>
      </c>
      <c r="E243" s="164">
        <f>VLOOKUP(A243,Exports!A:B,2,)</f>
        <v/>
      </c>
      <c r="F243" s="164">
        <f>VLOOKUP(A243,Imports!A:B,2,)</f>
        <v/>
      </c>
      <c r="G243" s="164">
        <f>VLOOKUP(A243,Government!A:B,2,)</f>
        <v/>
      </c>
      <c r="H243" s="85">
        <f>Table58[[#This Row],[Personal Consumption]]/Table58[[#This Row],[GDP]]</f>
        <v/>
      </c>
      <c r="I243" s="85">
        <f>Table58[[#This Row],[Private Investment]]/Table58[[#This Row],[GDP]]</f>
        <v/>
      </c>
      <c r="J243" s="85">
        <f>Table58[[#This Row],[Exports]]/Table58[[#This Row],[GDP]]</f>
        <v/>
      </c>
      <c r="K243" s="85">
        <f>-Table58[[#This Row],[Imports]]/Table58[[#This Row],[GDP]]</f>
        <v/>
      </c>
      <c r="L243" s="85">
        <f>Table58[[#This Row],[Government]]/Table58[[#This Row],[GDP]]</f>
        <v/>
      </c>
      <c r="N243" s="52">
        <f>SUM(Table58[[#This Row],[PC%]:[G%]])</f>
        <v/>
      </c>
      <c r="O243" s="55">
        <f>Table58[[#This Row],[Personal Consumption]]+Table58[[#This Row],[Private Investment]]+Table58[[#This Row],[Exports]]+Table58[[#This Row],[Government]]-Table58[[#This Row],[Imports]]</f>
        <v/>
      </c>
    </row>
    <row r="244">
      <c r="A244" s="94" t="n">
        <v>38899</v>
      </c>
      <c r="B244" s="164">
        <f>VLOOKUP(A244,'U.S. GDP'!A:B,2,)</f>
        <v/>
      </c>
      <c r="C244" s="164">
        <f>VLOOKUP(A244,PersonalConsumption!A:B,2,)</f>
        <v/>
      </c>
      <c r="D244" s="164">
        <f>VLOOKUP(A244,PrivateInvestment!A:B,2,)</f>
        <v/>
      </c>
      <c r="E244" s="164">
        <f>VLOOKUP(A244,Exports!A:B,2,)</f>
        <v/>
      </c>
      <c r="F244" s="164">
        <f>VLOOKUP(A244,Imports!A:B,2,)</f>
        <v/>
      </c>
      <c r="G244" s="164">
        <f>VLOOKUP(A244,Government!A:B,2,)</f>
        <v/>
      </c>
      <c r="H244" s="85">
        <f>Table58[[#This Row],[Personal Consumption]]/Table58[[#This Row],[GDP]]</f>
        <v/>
      </c>
      <c r="I244" s="85">
        <f>Table58[[#This Row],[Private Investment]]/Table58[[#This Row],[GDP]]</f>
        <v/>
      </c>
      <c r="J244" s="85">
        <f>Table58[[#This Row],[Exports]]/Table58[[#This Row],[GDP]]</f>
        <v/>
      </c>
      <c r="K244" s="85">
        <f>-Table58[[#This Row],[Imports]]/Table58[[#This Row],[GDP]]</f>
        <v/>
      </c>
      <c r="L244" s="85">
        <f>Table58[[#This Row],[Government]]/Table58[[#This Row],[GDP]]</f>
        <v/>
      </c>
      <c r="N244" s="52">
        <f>SUM(Table58[[#This Row],[PC%]:[G%]])</f>
        <v/>
      </c>
      <c r="O244" s="55">
        <f>Table58[[#This Row],[Personal Consumption]]+Table58[[#This Row],[Private Investment]]+Table58[[#This Row],[Exports]]+Table58[[#This Row],[Government]]-Table58[[#This Row],[Imports]]</f>
        <v/>
      </c>
    </row>
    <row r="245">
      <c r="A245" s="94" t="n">
        <v>38991</v>
      </c>
      <c r="B245" s="164">
        <f>VLOOKUP(A245,'U.S. GDP'!A:B,2,)</f>
        <v/>
      </c>
      <c r="C245" s="164">
        <f>VLOOKUP(A245,PersonalConsumption!A:B,2,)</f>
        <v/>
      </c>
      <c r="D245" s="164">
        <f>VLOOKUP(A245,PrivateInvestment!A:B,2,)</f>
        <v/>
      </c>
      <c r="E245" s="164">
        <f>VLOOKUP(A245,Exports!A:B,2,)</f>
        <v/>
      </c>
      <c r="F245" s="164">
        <f>VLOOKUP(A245,Imports!A:B,2,)</f>
        <v/>
      </c>
      <c r="G245" s="164">
        <f>VLOOKUP(A245,Government!A:B,2,)</f>
        <v/>
      </c>
      <c r="H245" s="85">
        <f>Table58[[#This Row],[Personal Consumption]]/Table58[[#This Row],[GDP]]</f>
        <v/>
      </c>
      <c r="I245" s="85">
        <f>Table58[[#This Row],[Private Investment]]/Table58[[#This Row],[GDP]]</f>
        <v/>
      </c>
      <c r="J245" s="85">
        <f>Table58[[#This Row],[Exports]]/Table58[[#This Row],[GDP]]</f>
        <v/>
      </c>
      <c r="K245" s="85">
        <f>-Table58[[#This Row],[Imports]]/Table58[[#This Row],[GDP]]</f>
        <v/>
      </c>
      <c r="L245" s="85">
        <f>Table58[[#This Row],[Government]]/Table58[[#This Row],[GDP]]</f>
        <v/>
      </c>
      <c r="N245" s="52">
        <f>SUM(Table58[[#This Row],[PC%]:[G%]])</f>
        <v/>
      </c>
      <c r="O245" s="55">
        <f>Table58[[#This Row],[Personal Consumption]]+Table58[[#This Row],[Private Investment]]+Table58[[#This Row],[Exports]]+Table58[[#This Row],[Government]]-Table58[[#This Row],[Imports]]</f>
        <v/>
      </c>
    </row>
    <row r="246">
      <c r="A246" s="94" t="n">
        <v>39083</v>
      </c>
      <c r="B246" s="164">
        <f>VLOOKUP(A246,'U.S. GDP'!A:B,2,)</f>
        <v/>
      </c>
      <c r="C246" s="164">
        <f>VLOOKUP(A246,PersonalConsumption!A:B,2,)</f>
        <v/>
      </c>
      <c r="D246" s="164">
        <f>VLOOKUP(A246,PrivateInvestment!A:B,2,)</f>
        <v/>
      </c>
      <c r="E246" s="164">
        <f>VLOOKUP(A246,Exports!A:B,2,)</f>
        <v/>
      </c>
      <c r="F246" s="164">
        <f>VLOOKUP(A246,Imports!A:B,2,)</f>
        <v/>
      </c>
      <c r="G246" s="164">
        <f>VLOOKUP(A246,Government!A:B,2,)</f>
        <v/>
      </c>
      <c r="H246" s="85">
        <f>Table58[[#This Row],[Personal Consumption]]/Table58[[#This Row],[GDP]]</f>
        <v/>
      </c>
      <c r="I246" s="85">
        <f>Table58[[#This Row],[Private Investment]]/Table58[[#This Row],[GDP]]</f>
        <v/>
      </c>
      <c r="J246" s="85">
        <f>Table58[[#This Row],[Exports]]/Table58[[#This Row],[GDP]]</f>
        <v/>
      </c>
      <c r="K246" s="85">
        <f>-Table58[[#This Row],[Imports]]/Table58[[#This Row],[GDP]]</f>
        <v/>
      </c>
      <c r="L246" s="85">
        <f>Table58[[#This Row],[Government]]/Table58[[#This Row],[GDP]]</f>
        <v/>
      </c>
      <c r="N246" s="52">
        <f>SUM(Table58[[#This Row],[PC%]:[G%]])</f>
        <v/>
      </c>
      <c r="O246" s="55">
        <f>Table58[[#This Row],[Personal Consumption]]+Table58[[#This Row],[Private Investment]]+Table58[[#This Row],[Exports]]+Table58[[#This Row],[Government]]-Table58[[#This Row],[Imports]]</f>
        <v/>
      </c>
    </row>
    <row r="247">
      <c r="A247" s="94" t="n">
        <v>39173</v>
      </c>
      <c r="B247" s="164">
        <f>VLOOKUP(A247,'U.S. GDP'!A:B,2,)</f>
        <v/>
      </c>
      <c r="C247" s="164">
        <f>VLOOKUP(A247,PersonalConsumption!A:B,2,)</f>
        <v/>
      </c>
      <c r="D247" s="164">
        <f>VLOOKUP(A247,PrivateInvestment!A:B,2,)</f>
        <v/>
      </c>
      <c r="E247" s="164">
        <f>VLOOKUP(A247,Exports!A:B,2,)</f>
        <v/>
      </c>
      <c r="F247" s="164">
        <f>VLOOKUP(A247,Imports!A:B,2,)</f>
        <v/>
      </c>
      <c r="G247" s="164">
        <f>VLOOKUP(A247,Government!A:B,2,)</f>
        <v/>
      </c>
      <c r="H247" s="85">
        <f>Table58[[#This Row],[Personal Consumption]]/Table58[[#This Row],[GDP]]</f>
        <v/>
      </c>
      <c r="I247" s="85">
        <f>Table58[[#This Row],[Private Investment]]/Table58[[#This Row],[GDP]]</f>
        <v/>
      </c>
      <c r="J247" s="85">
        <f>Table58[[#This Row],[Exports]]/Table58[[#This Row],[GDP]]</f>
        <v/>
      </c>
      <c r="K247" s="85">
        <f>-Table58[[#This Row],[Imports]]/Table58[[#This Row],[GDP]]</f>
        <v/>
      </c>
      <c r="L247" s="85">
        <f>Table58[[#This Row],[Government]]/Table58[[#This Row],[GDP]]</f>
        <v/>
      </c>
      <c r="N247" s="52">
        <f>SUM(Table58[[#This Row],[PC%]:[G%]])</f>
        <v/>
      </c>
      <c r="O247" s="55">
        <f>Table58[[#This Row],[Personal Consumption]]+Table58[[#This Row],[Private Investment]]+Table58[[#This Row],[Exports]]+Table58[[#This Row],[Government]]-Table58[[#This Row],[Imports]]</f>
        <v/>
      </c>
    </row>
    <row r="248">
      <c r="A248" s="94" t="n">
        <v>39264</v>
      </c>
      <c r="B248" s="164">
        <f>VLOOKUP(A248,'U.S. GDP'!A:B,2,)</f>
        <v/>
      </c>
      <c r="C248" s="164">
        <f>VLOOKUP(A248,PersonalConsumption!A:B,2,)</f>
        <v/>
      </c>
      <c r="D248" s="164">
        <f>VLOOKUP(A248,PrivateInvestment!A:B,2,)</f>
        <v/>
      </c>
      <c r="E248" s="164">
        <f>VLOOKUP(A248,Exports!A:B,2,)</f>
        <v/>
      </c>
      <c r="F248" s="164">
        <f>VLOOKUP(A248,Imports!A:B,2,)</f>
        <v/>
      </c>
      <c r="G248" s="164">
        <f>VLOOKUP(A248,Government!A:B,2,)</f>
        <v/>
      </c>
      <c r="H248" s="85">
        <f>Table58[[#This Row],[Personal Consumption]]/Table58[[#This Row],[GDP]]</f>
        <v/>
      </c>
      <c r="I248" s="85">
        <f>Table58[[#This Row],[Private Investment]]/Table58[[#This Row],[GDP]]</f>
        <v/>
      </c>
      <c r="J248" s="85">
        <f>Table58[[#This Row],[Exports]]/Table58[[#This Row],[GDP]]</f>
        <v/>
      </c>
      <c r="K248" s="85">
        <f>-Table58[[#This Row],[Imports]]/Table58[[#This Row],[GDP]]</f>
        <v/>
      </c>
      <c r="L248" s="85">
        <f>Table58[[#This Row],[Government]]/Table58[[#This Row],[GDP]]</f>
        <v/>
      </c>
      <c r="N248" s="52">
        <f>SUM(Table58[[#This Row],[PC%]:[G%]])</f>
        <v/>
      </c>
      <c r="O248" s="55">
        <f>Table58[[#This Row],[Personal Consumption]]+Table58[[#This Row],[Private Investment]]+Table58[[#This Row],[Exports]]+Table58[[#This Row],[Government]]-Table58[[#This Row],[Imports]]</f>
        <v/>
      </c>
    </row>
    <row r="249">
      <c r="A249" s="94" t="n">
        <v>39356</v>
      </c>
      <c r="B249" s="164">
        <f>VLOOKUP(A249,'U.S. GDP'!A:B,2,)</f>
        <v/>
      </c>
      <c r="C249" s="164">
        <f>VLOOKUP(A249,PersonalConsumption!A:B,2,)</f>
        <v/>
      </c>
      <c r="D249" s="164">
        <f>VLOOKUP(A249,PrivateInvestment!A:B,2,)</f>
        <v/>
      </c>
      <c r="E249" s="164">
        <f>VLOOKUP(A249,Exports!A:B,2,)</f>
        <v/>
      </c>
      <c r="F249" s="164">
        <f>VLOOKUP(A249,Imports!A:B,2,)</f>
        <v/>
      </c>
      <c r="G249" s="164">
        <f>VLOOKUP(A249,Government!A:B,2,)</f>
        <v/>
      </c>
      <c r="H249" s="85">
        <f>Table58[[#This Row],[Personal Consumption]]/Table58[[#This Row],[GDP]]</f>
        <v/>
      </c>
      <c r="I249" s="85">
        <f>Table58[[#This Row],[Private Investment]]/Table58[[#This Row],[GDP]]</f>
        <v/>
      </c>
      <c r="J249" s="85">
        <f>Table58[[#This Row],[Exports]]/Table58[[#This Row],[GDP]]</f>
        <v/>
      </c>
      <c r="K249" s="85">
        <f>-Table58[[#This Row],[Imports]]/Table58[[#This Row],[GDP]]</f>
        <v/>
      </c>
      <c r="L249" s="85">
        <f>Table58[[#This Row],[Government]]/Table58[[#This Row],[GDP]]</f>
        <v/>
      </c>
      <c r="N249" s="52">
        <f>SUM(Table58[[#This Row],[PC%]:[G%]])</f>
        <v/>
      </c>
      <c r="O249" s="55">
        <f>Table58[[#This Row],[Personal Consumption]]+Table58[[#This Row],[Private Investment]]+Table58[[#This Row],[Exports]]+Table58[[#This Row],[Government]]-Table58[[#This Row],[Imports]]</f>
        <v/>
      </c>
    </row>
    <row r="250">
      <c r="A250" s="94" t="n">
        <v>39448</v>
      </c>
      <c r="B250" s="164">
        <f>VLOOKUP(A250,'U.S. GDP'!A:B,2,)</f>
        <v/>
      </c>
      <c r="C250" s="164">
        <f>VLOOKUP(A250,PersonalConsumption!A:B,2,)</f>
        <v/>
      </c>
      <c r="D250" s="164">
        <f>VLOOKUP(A250,PrivateInvestment!A:B,2,)</f>
        <v/>
      </c>
      <c r="E250" s="164">
        <f>VLOOKUP(A250,Exports!A:B,2,)</f>
        <v/>
      </c>
      <c r="F250" s="164">
        <f>VLOOKUP(A250,Imports!A:B,2,)</f>
        <v/>
      </c>
      <c r="G250" s="164">
        <f>VLOOKUP(A250,Government!A:B,2,)</f>
        <v/>
      </c>
      <c r="H250" s="85">
        <f>Table58[[#This Row],[Personal Consumption]]/Table58[[#This Row],[GDP]]</f>
        <v/>
      </c>
      <c r="I250" s="85">
        <f>Table58[[#This Row],[Private Investment]]/Table58[[#This Row],[GDP]]</f>
        <v/>
      </c>
      <c r="J250" s="85">
        <f>Table58[[#This Row],[Exports]]/Table58[[#This Row],[GDP]]</f>
        <v/>
      </c>
      <c r="K250" s="85">
        <f>-Table58[[#This Row],[Imports]]/Table58[[#This Row],[GDP]]</f>
        <v/>
      </c>
      <c r="L250" s="85">
        <f>Table58[[#This Row],[Government]]/Table58[[#This Row],[GDP]]</f>
        <v/>
      </c>
      <c r="N250" s="52">
        <f>SUM(Table58[[#This Row],[PC%]:[G%]])</f>
        <v/>
      </c>
      <c r="O250" s="55">
        <f>Table58[[#This Row],[Personal Consumption]]+Table58[[#This Row],[Private Investment]]+Table58[[#This Row],[Exports]]+Table58[[#This Row],[Government]]-Table58[[#This Row],[Imports]]</f>
        <v/>
      </c>
    </row>
    <row r="251">
      <c r="A251" s="94" t="n">
        <v>39539</v>
      </c>
      <c r="B251" s="164">
        <f>VLOOKUP(A251,'U.S. GDP'!A:B,2,)</f>
        <v/>
      </c>
      <c r="C251" s="164">
        <f>VLOOKUP(A251,PersonalConsumption!A:B,2,)</f>
        <v/>
      </c>
      <c r="D251" s="164">
        <f>VLOOKUP(A251,PrivateInvestment!A:B,2,)</f>
        <v/>
      </c>
      <c r="E251" s="164">
        <f>VLOOKUP(A251,Exports!A:B,2,)</f>
        <v/>
      </c>
      <c r="F251" s="164">
        <f>VLOOKUP(A251,Imports!A:B,2,)</f>
        <v/>
      </c>
      <c r="G251" s="164">
        <f>VLOOKUP(A251,Government!A:B,2,)</f>
        <v/>
      </c>
      <c r="H251" s="85">
        <f>Table58[[#This Row],[Personal Consumption]]/Table58[[#This Row],[GDP]]</f>
        <v/>
      </c>
      <c r="I251" s="85">
        <f>Table58[[#This Row],[Private Investment]]/Table58[[#This Row],[GDP]]</f>
        <v/>
      </c>
      <c r="J251" s="85">
        <f>Table58[[#This Row],[Exports]]/Table58[[#This Row],[GDP]]</f>
        <v/>
      </c>
      <c r="K251" s="85">
        <f>-Table58[[#This Row],[Imports]]/Table58[[#This Row],[GDP]]</f>
        <v/>
      </c>
      <c r="L251" s="85">
        <f>Table58[[#This Row],[Government]]/Table58[[#This Row],[GDP]]</f>
        <v/>
      </c>
      <c r="N251" s="52">
        <f>SUM(Table58[[#This Row],[PC%]:[G%]])</f>
        <v/>
      </c>
      <c r="O251" s="55">
        <f>Table58[[#This Row],[Personal Consumption]]+Table58[[#This Row],[Private Investment]]+Table58[[#This Row],[Exports]]+Table58[[#This Row],[Government]]-Table58[[#This Row],[Imports]]</f>
        <v/>
      </c>
    </row>
    <row r="252">
      <c r="A252" s="94" t="n">
        <v>39630</v>
      </c>
      <c r="B252" s="164">
        <f>VLOOKUP(A252,'U.S. GDP'!A:B,2,)</f>
        <v/>
      </c>
      <c r="C252" s="164">
        <f>VLOOKUP(A252,PersonalConsumption!A:B,2,)</f>
        <v/>
      </c>
      <c r="D252" s="164">
        <f>VLOOKUP(A252,PrivateInvestment!A:B,2,)</f>
        <v/>
      </c>
      <c r="E252" s="164">
        <f>VLOOKUP(A252,Exports!A:B,2,)</f>
        <v/>
      </c>
      <c r="F252" s="164">
        <f>VLOOKUP(A252,Imports!A:B,2,)</f>
        <v/>
      </c>
      <c r="G252" s="164">
        <f>VLOOKUP(A252,Government!A:B,2,)</f>
        <v/>
      </c>
      <c r="H252" s="85">
        <f>Table58[[#This Row],[Personal Consumption]]/Table58[[#This Row],[GDP]]</f>
        <v/>
      </c>
      <c r="I252" s="85">
        <f>Table58[[#This Row],[Private Investment]]/Table58[[#This Row],[GDP]]</f>
        <v/>
      </c>
      <c r="J252" s="85">
        <f>Table58[[#This Row],[Exports]]/Table58[[#This Row],[GDP]]</f>
        <v/>
      </c>
      <c r="K252" s="85">
        <f>-Table58[[#This Row],[Imports]]/Table58[[#This Row],[GDP]]</f>
        <v/>
      </c>
      <c r="L252" s="85">
        <f>Table58[[#This Row],[Government]]/Table58[[#This Row],[GDP]]</f>
        <v/>
      </c>
      <c r="N252" s="52">
        <f>SUM(Table58[[#This Row],[PC%]:[G%]])</f>
        <v/>
      </c>
      <c r="O252" s="55">
        <f>Table58[[#This Row],[Personal Consumption]]+Table58[[#This Row],[Private Investment]]+Table58[[#This Row],[Exports]]+Table58[[#This Row],[Government]]-Table58[[#This Row],[Imports]]</f>
        <v/>
      </c>
    </row>
    <row r="253">
      <c r="A253" s="94" t="n">
        <v>39722</v>
      </c>
      <c r="B253" s="164">
        <f>VLOOKUP(A253,'U.S. GDP'!A:B,2,)</f>
        <v/>
      </c>
      <c r="C253" s="164">
        <f>VLOOKUP(A253,PersonalConsumption!A:B,2,)</f>
        <v/>
      </c>
      <c r="D253" s="164">
        <f>VLOOKUP(A253,PrivateInvestment!A:B,2,)</f>
        <v/>
      </c>
      <c r="E253" s="164">
        <f>VLOOKUP(A253,Exports!A:B,2,)</f>
        <v/>
      </c>
      <c r="F253" s="164">
        <f>VLOOKUP(A253,Imports!A:B,2,)</f>
        <v/>
      </c>
      <c r="G253" s="164">
        <f>VLOOKUP(A253,Government!A:B,2,)</f>
        <v/>
      </c>
      <c r="H253" s="85">
        <f>Table58[[#This Row],[Personal Consumption]]/Table58[[#This Row],[GDP]]</f>
        <v/>
      </c>
      <c r="I253" s="85">
        <f>Table58[[#This Row],[Private Investment]]/Table58[[#This Row],[GDP]]</f>
        <v/>
      </c>
      <c r="J253" s="85">
        <f>Table58[[#This Row],[Exports]]/Table58[[#This Row],[GDP]]</f>
        <v/>
      </c>
      <c r="K253" s="85">
        <f>-Table58[[#This Row],[Imports]]/Table58[[#This Row],[GDP]]</f>
        <v/>
      </c>
      <c r="L253" s="85">
        <f>Table58[[#This Row],[Government]]/Table58[[#This Row],[GDP]]</f>
        <v/>
      </c>
      <c r="N253" s="52">
        <f>SUM(Table58[[#This Row],[PC%]:[G%]])</f>
        <v/>
      </c>
      <c r="O253" s="55">
        <f>Table58[[#This Row],[Personal Consumption]]+Table58[[#This Row],[Private Investment]]+Table58[[#This Row],[Exports]]+Table58[[#This Row],[Government]]-Table58[[#This Row],[Imports]]</f>
        <v/>
      </c>
    </row>
    <row r="254">
      <c r="A254" s="94" t="n">
        <v>39814</v>
      </c>
      <c r="B254" s="164">
        <f>VLOOKUP(A254,'U.S. GDP'!A:B,2,)</f>
        <v/>
      </c>
      <c r="C254" s="164">
        <f>VLOOKUP(A254,PersonalConsumption!A:B,2,)</f>
        <v/>
      </c>
      <c r="D254" s="164">
        <f>VLOOKUP(A254,PrivateInvestment!A:B,2,)</f>
        <v/>
      </c>
      <c r="E254" s="164">
        <f>VLOOKUP(A254,Exports!A:B,2,)</f>
        <v/>
      </c>
      <c r="F254" s="164">
        <f>VLOOKUP(A254,Imports!A:B,2,)</f>
        <v/>
      </c>
      <c r="G254" s="164">
        <f>VLOOKUP(A254,Government!A:B,2,)</f>
        <v/>
      </c>
      <c r="H254" s="85">
        <f>Table58[[#This Row],[Personal Consumption]]/Table58[[#This Row],[GDP]]</f>
        <v/>
      </c>
      <c r="I254" s="85">
        <f>Table58[[#This Row],[Private Investment]]/Table58[[#This Row],[GDP]]</f>
        <v/>
      </c>
      <c r="J254" s="85">
        <f>Table58[[#This Row],[Exports]]/Table58[[#This Row],[GDP]]</f>
        <v/>
      </c>
      <c r="K254" s="85">
        <f>-Table58[[#This Row],[Imports]]/Table58[[#This Row],[GDP]]</f>
        <v/>
      </c>
      <c r="L254" s="85">
        <f>Table58[[#This Row],[Government]]/Table58[[#This Row],[GDP]]</f>
        <v/>
      </c>
      <c r="N254" s="52">
        <f>SUM(Table58[[#This Row],[PC%]:[G%]])</f>
        <v/>
      </c>
      <c r="O254" s="55">
        <f>Table58[[#This Row],[Personal Consumption]]+Table58[[#This Row],[Private Investment]]+Table58[[#This Row],[Exports]]+Table58[[#This Row],[Government]]-Table58[[#This Row],[Imports]]</f>
        <v/>
      </c>
    </row>
    <row r="255">
      <c r="A255" s="94" t="n">
        <v>39904</v>
      </c>
      <c r="B255" s="164">
        <f>VLOOKUP(A255,'U.S. GDP'!A:B,2,)</f>
        <v/>
      </c>
      <c r="C255" s="164">
        <f>VLOOKUP(A255,PersonalConsumption!A:B,2,)</f>
        <v/>
      </c>
      <c r="D255" s="164">
        <f>VLOOKUP(A255,PrivateInvestment!A:B,2,)</f>
        <v/>
      </c>
      <c r="E255" s="164">
        <f>VLOOKUP(A255,Exports!A:B,2,)</f>
        <v/>
      </c>
      <c r="F255" s="164">
        <f>VLOOKUP(A255,Imports!A:B,2,)</f>
        <v/>
      </c>
      <c r="G255" s="164">
        <f>VLOOKUP(A255,Government!A:B,2,)</f>
        <v/>
      </c>
      <c r="H255" s="85">
        <f>Table58[[#This Row],[Personal Consumption]]/Table58[[#This Row],[GDP]]</f>
        <v/>
      </c>
      <c r="I255" s="85">
        <f>Table58[[#This Row],[Private Investment]]/Table58[[#This Row],[GDP]]</f>
        <v/>
      </c>
      <c r="J255" s="85">
        <f>Table58[[#This Row],[Exports]]/Table58[[#This Row],[GDP]]</f>
        <v/>
      </c>
      <c r="K255" s="85">
        <f>-Table58[[#This Row],[Imports]]/Table58[[#This Row],[GDP]]</f>
        <v/>
      </c>
      <c r="L255" s="85">
        <f>Table58[[#This Row],[Government]]/Table58[[#This Row],[GDP]]</f>
        <v/>
      </c>
      <c r="N255" s="52">
        <f>SUM(Table58[[#This Row],[PC%]:[G%]])</f>
        <v/>
      </c>
      <c r="O255" s="55">
        <f>Table58[[#This Row],[Personal Consumption]]+Table58[[#This Row],[Private Investment]]+Table58[[#This Row],[Exports]]+Table58[[#This Row],[Government]]-Table58[[#This Row],[Imports]]</f>
        <v/>
      </c>
    </row>
    <row r="256">
      <c r="A256" s="94" t="n">
        <v>39995</v>
      </c>
      <c r="B256" s="164">
        <f>VLOOKUP(A256,'U.S. GDP'!A:B,2,)</f>
        <v/>
      </c>
      <c r="C256" s="164">
        <f>VLOOKUP(A256,PersonalConsumption!A:B,2,)</f>
        <v/>
      </c>
      <c r="D256" s="164">
        <f>VLOOKUP(A256,PrivateInvestment!A:B,2,)</f>
        <v/>
      </c>
      <c r="E256" s="164">
        <f>VLOOKUP(A256,Exports!A:B,2,)</f>
        <v/>
      </c>
      <c r="F256" s="164">
        <f>VLOOKUP(A256,Imports!A:B,2,)</f>
        <v/>
      </c>
      <c r="G256" s="164">
        <f>VLOOKUP(A256,Government!A:B,2,)</f>
        <v/>
      </c>
      <c r="H256" s="85">
        <f>Table58[[#This Row],[Personal Consumption]]/Table58[[#This Row],[GDP]]</f>
        <v/>
      </c>
      <c r="I256" s="85">
        <f>Table58[[#This Row],[Private Investment]]/Table58[[#This Row],[GDP]]</f>
        <v/>
      </c>
      <c r="J256" s="85">
        <f>Table58[[#This Row],[Exports]]/Table58[[#This Row],[GDP]]</f>
        <v/>
      </c>
      <c r="K256" s="85">
        <f>-Table58[[#This Row],[Imports]]/Table58[[#This Row],[GDP]]</f>
        <v/>
      </c>
      <c r="L256" s="85">
        <f>Table58[[#This Row],[Government]]/Table58[[#This Row],[GDP]]</f>
        <v/>
      </c>
      <c r="N256" s="52">
        <f>SUM(Table58[[#This Row],[PC%]:[G%]])</f>
        <v/>
      </c>
      <c r="O256" s="55">
        <f>Table58[[#This Row],[Personal Consumption]]+Table58[[#This Row],[Private Investment]]+Table58[[#This Row],[Exports]]+Table58[[#This Row],[Government]]-Table58[[#This Row],[Imports]]</f>
        <v/>
      </c>
    </row>
    <row r="257">
      <c r="A257" s="94" t="n">
        <v>40087</v>
      </c>
      <c r="B257" s="164">
        <f>VLOOKUP(A257,'U.S. GDP'!A:B,2,)</f>
        <v/>
      </c>
      <c r="C257" s="164">
        <f>VLOOKUP(A257,PersonalConsumption!A:B,2,)</f>
        <v/>
      </c>
      <c r="D257" s="164">
        <f>VLOOKUP(A257,PrivateInvestment!A:B,2,)</f>
        <v/>
      </c>
      <c r="E257" s="164">
        <f>VLOOKUP(A257,Exports!A:B,2,)</f>
        <v/>
      </c>
      <c r="F257" s="164">
        <f>VLOOKUP(A257,Imports!A:B,2,)</f>
        <v/>
      </c>
      <c r="G257" s="164">
        <f>VLOOKUP(A257,Government!A:B,2,)</f>
        <v/>
      </c>
      <c r="H257" s="85">
        <f>Table58[[#This Row],[Personal Consumption]]/Table58[[#This Row],[GDP]]</f>
        <v/>
      </c>
      <c r="I257" s="85">
        <f>Table58[[#This Row],[Private Investment]]/Table58[[#This Row],[GDP]]</f>
        <v/>
      </c>
      <c r="J257" s="85">
        <f>Table58[[#This Row],[Exports]]/Table58[[#This Row],[GDP]]</f>
        <v/>
      </c>
      <c r="K257" s="85">
        <f>-Table58[[#This Row],[Imports]]/Table58[[#This Row],[GDP]]</f>
        <v/>
      </c>
      <c r="L257" s="85">
        <f>Table58[[#This Row],[Government]]/Table58[[#This Row],[GDP]]</f>
        <v/>
      </c>
      <c r="N257" s="52">
        <f>SUM(Table58[[#This Row],[PC%]:[G%]])</f>
        <v/>
      </c>
      <c r="O257" s="55">
        <f>Table58[[#This Row],[Personal Consumption]]+Table58[[#This Row],[Private Investment]]+Table58[[#This Row],[Exports]]+Table58[[#This Row],[Government]]-Table58[[#This Row],[Imports]]</f>
        <v/>
      </c>
    </row>
    <row r="258">
      <c r="A258" s="94" t="n">
        <v>40179</v>
      </c>
      <c r="B258" s="164">
        <f>VLOOKUP(A258,'U.S. GDP'!A:B,2,)</f>
        <v/>
      </c>
      <c r="C258" s="164">
        <f>VLOOKUP(A258,PersonalConsumption!A:B,2,)</f>
        <v/>
      </c>
      <c r="D258" s="164">
        <f>VLOOKUP(A258,PrivateInvestment!A:B,2,)</f>
        <v/>
      </c>
      <c r="E258" s="164">
        <f>VLOOKUP(A258,Exports!A:B,2,)</f>
        <v/>
      </c>
      <c r="F258" s="164">
        <f>VLOOKUP(A258,Imports!A:B,2,)</f>
        <v/>
      </c>
      <c r="G258" s="164">
        <f>VLOOKUP(A258,Government!A:B,2,)</f>
        <v/>
      </c>
      <c r="H258" s="85">
        <f>Table58[[#This Row],[Personal Consumption]]/Table58[[#This Row],[GDP]]</f>
        <v/>
      </c>
      <c r="I258" s="85">
        <f>Table58[[#This Row],[Private Investment]]/Table58[[#This Row],[GDP]]</f>
        <v/>
      </c>
      <c r="J258" s="85">
        <f>Table58[[#This Row],[Exports]]/Table58[[#This Row],[GDP]]</f>
        <v/>
      </c>
      <c r="K258" s="85">
        <f>-Table58[[#This Row],[Imports]]/Table58[[#This Row],[GDP]]</f>
        <v/>
      </c>
      <c r="L258" s="85">
        <f>Table58[[#This Row],[Government]]/Table58[[#This Row],[GDP]]</f>
        <v/>
      </c>
      <c r="N258" s="52">
        <f>SUM(Table58[[#This Row],[PC%]:[G%]])</f>
        <v/>
      </c>
      <c r="O258" s="55">
        <f>Table58[[#This Row],[Personal Consumption]]+Table58[[#This Row],[Private Investment]]+Table58[[#This Row],[Exports]]+Table58[[#This Row],[Government]]-Table58[[#This Row],[Imports]]</f>
        <v/>
      </c>
    </row>
    <row r="259">
      <c r="A259" s="94" t="n">
        <v>40269</v>
      </c>
      <c r="B259" s="164">
        <f>VLOOKUP(A259,'U.S. GDP'!A:B,2,)</f>
        <v/>
      </c>
      <c r="C259" s="164">
        <f>VLOOKUP(A259,PersonalConsumption!A:B,2,)</f>
        <v/>
      </c>
      <c r="D259" s="164">
        <f>VLOOKUP(A259,PrivateInvestment!A:B,2,)</f>
        <v/>
      </c>
      <c r="E259" s="164">
        <f>VLOOKUP(A259,Exports!A:B,2,)</f>
        <v/>
      </c>
      <c r="F259" s="164">
        <f>VLOOKUP(A259,Imports!A:B,2,)</f>
        <v/>
      </c>
      <c r="G259" s="164">
        <f>VLOOKUP(A259,Government!A:B,2,)</f>
        <v/>
      </c>
      <c r="H259" s="85">
        <f>Table58[[#This Row],[Personal Consumption]]/Table58[[#This Row],[GDP]]</f>
        <v/>
      </c>
      <c r="I259" s="85">
        <f>Table58[[#This Row],[Private Investment]]/Table58[[#This Row],[GDP]]</f>
        <v/>
      </c>
      <c r="J259" s="85">
        <f>Table58[[#This Row],[Exports]]/Table58[[#This Row],[GDP]]</f>
        <v/>
      </c>
      <c r="K259" s="85">
        <f>-Table58[[#This Row],[Imports]]/Table58[[#This Row],[GDP]]</f>
        <v/>
      </c>
      <c r="L259" s="85">
        <f>Table58[[#This Row],[Government]]/Table58[[#This Row],[GDP]]</f>
        <v/>
      </c>
      <c r="N259" s="52">
        <f>SUM(Table58[[#This Row],[PC%]:[G%]])</f>
        <v/>
      </c>
      <c r="O259" s="55">
        <f>Table58[[#This Row],[Personal Consumption]]+Table58[[#This Row],[Private Investment]]+Table58[[#This Row],[Exports]]+Table58[[#This Row],[Government]]-Table58[[#This Row],[Imports]]</f>
        <v/>
      </c>
    </row>
    <row r="260">
      <c r="A260" s="94" t="n">
        <v>40360</v>
      </c>
      <c r="B260" s="164">
        <f>VLOOKUP(A260,'U.S. GDP'!A:B,2,)</f>
        <v/>
      </c>
      <c r="C260" s="164">
        <f>VLOOKUP(A260,PersonalConsumption!A:B,2,)</f>
        <v/>
      </c>
      <c r="D260" s="164">
        <f>VLOOKUP(A260,PrivateInvestment!A:B,2,)</f>
        <v/>
      </c>
      <c r="E260" s="164">
        <f>VLOOKUP(A260,Exports!A:B,2,)</f>
        <v/>
      </c>
      <c r="F260" s="164">
        <f>VLOOKUP(A260,Imports!A:B,2,)</f>
        <v/>
      </c>
      <c r="G260" s="164">
        <f>VLOOKUP(A260,Government!A:B,2,)</f>
        <v/>
      </c>
      <c r="H260" s="85">
        <f>Table58[[#This Row],[Personal Consumption]]/Table58[[#This Row],[GDP]]</f>
        <v/>
      </c>
      <c r="I260" s="85">
        <f>Table58[[#This Row],[Private Investment]]/Table58[[#This Row],[GDP]]</f>
        <v/>
      </c>
      <c r="J260" s="85">
        <f>Table58[[#This Row],[Exports]]/Table58[[#This Row],[GDP]]</f>
        <v/>
      </c>
      <c r="K260" s="85">
        <f>-Table58[[#This Row],[Imports]]/Table58[[#This Row],[GDP]]</f>
        <v/>
      </c>
      <c r="L260" s="85">
        <f>Table58[[#This Row],[Government]]/Table58[[#This Row],[GDP]]</f>
        <v/>
      </c>
      <c r="N260" s="52">
        <f>SUM(Table58[[#This Row],[PC%]:[G%]])</f>
        <v/>
      </c>
      <c r="O260" s="55">
        <f>Table58[[#This Row],[Personal Consumption]]+Table58[[#This Row],[Private Investment]]+Table58[[#This Row],[Exports]]+Table58[[#This Row],[Government]]-Table58[[#This Row],[Imports]]</f>
        <v/>
      </c>
    </row>
    <row r="261">
      <c r="A261" s="94" t="n">
        <v>40452</v>
      </c>
      <c r="B261" s="164">
        <f>VLOOKUP(A261,'U.S. GDP'!A:B,2,)</f>
        <v/>
      </c>
      <c r="C261" s="164">
        <f>VLOOKUP(A261,PersonalConsumption!A:B,2,)</f>
        <v/>
      </c>
      <c r="D261" s="164">
        <f>VLOOKUP(A261,PrivateInvestment!A:B,2,)</f>
        <v/>
      </c>
      <c r="E261" s="164">
        <f>VLOOKUP(A261,Exports!A:B,2,)</f>
        <v/>
      </c>
      <c r="F261" s="164">
        <f>VLOOKUP(A261,Imports!A:B,2,)</f>
        <v/>
      </c>
      <c r="G261" s="164">
        <f>VLOOKUP(A261,Government!A:B,2,)</f>
        <v/>
      </c>
      <c r="H261" s="85">
        <f>Table58[[#This Row],[Personal Consumption]]/Table58[[#This Row],[GDP]]</f>
        <v/>
      </c>
      <c r="I261" s="85">
        <f>Table58[[#This Row],[Private Investment]]/Table58[[#This Row],[GDP]]</f>
        <v/>
      </c>
      <c r="J261" s="85">
        <f>Table58[[#This Row],[Exports]]/Table58[[#This Row],[GDP]]</f>
        <v/>
      </c>
      <c r="K261" s="85">
        <f>-Table58[[#This Row],[Imports]]/Table58[[#This Row],[GDP]]</f>
        <v/>
      </c>
      <c r="L261" s="85">
        <f>Table58[[#This Row],[Government]]/Table58[[#This Row],[GDP]]</f>
        <v/>
      </c>
      <c r="N261" s="52">
        <f>SUM(Table58[[#This Row],[PC%]:[G%]])</f>
        <v/>
      </c>
      <c r="O261" s="55">
        <f>Table58[[#This Row],[Personal Consumption]]+Table58[[#This Row],[Private Investment]]+Table58[[#This Row],[Exports]]+Table58[[#This Row],[Government]]-Table58[[#This Row],[Imports]]</f>
        <v/>
      </c>
    </row>
    <row r="262">
      <c r="A262" s="94" t="n">
        <v>40544</v>
      </c>
      <c r="B262" s="164">
        <f>VLOOKUP(A262,'U.S. GDP'!A:B,2,)</f>
        <v/>
      </c>
      <c r="C262" s="164">
        <f>VLOOKUP(A262,PersonalConsumption!A:B,2,)</f>
        <v/>
      </c>
      <c r="D262" s="164">
        <f>VLOOKUP(A262,PrivateInvestment!A:B,2,)</f>
        <v/>
      </c>
      <c r="E262" s="164">
        <f>VLOOKUP(A262,Exports!A:B,2,)</f>
        <v/>
      </c>
      <c r="F262" s="164">
        <f>VLOOKUP(A262,Imports!A:B,2,)</f>
        <v/>
      </c>
      <c r="G262" s="164">
        <f>VLOOKUP(A262,Government!A:B,2,)</f>
        <v/>
      </c>
      <c r="H262" s="85">
        <f>Table58[[#This Row],[Personal Consumption]]/Table58[[#This Row],[GDP]]</f>
        <v/>
      </c>
      <c r="I262" s="85">
        <f>Table58[[#This Row],[Private Investment]]/Table58[[#This Row],[GDP]]</f>
        <v/>
      </c>
      <c r="J262" s="85">
        <f>Table58[[#This Row],[Exports]]/Table58[[#This Row],[GDP]]</f>
        <v/>
      </c>
      <c r="K262" s="85">
        <f>-Table58[[#This Row],[Imports]]/Table58[[#This Row],[GDP]]</f>
        <v/>
      </c>
      <c r="L262" s="85">
        <f>Table58[[#This Row],[Government]]/Table58[[#This Row],[GDP]]</f>
        <v/>
      </c>
      <c r="N262" s="52">
        <f>SUM(Table58[[#This Row],[PC%]:[G%]])</f>
        <v/>
      </c>
      <c r="O262" s="55">
        <f>Table58[[#This Row],[Personal Consumption]]+Table58[[#This Row],[Private Investment]]+Table58[[#This Row],[Exports]]+Table58[[#This Row],[Government]]-Table58[[#This Row],[Imports]]</f>
        <v/>
      </c>
    </row>
    <row r="263">
      <c r="A263" s="94" t="n">
        <v>40634</v>
      </c>
      <c r="B263" s="164">
        <f>VLOOKUP(A263,'U.S. GDP'!A:B,2,)</f>
        <v/>
      </c>
      <c r="C263" s="164">
        <f>VLOOKUP(A263,PersonalConsumption!A:B,2,)</f>
        <v/>
      </c>
      <c r="D263" s="164">
        <f>VLOOKUP(A263,PrivateInvestment!A:B,2,)</f>
        <v/>
      </c>
      <c r="E263" s="164">
        <f>VLOOKUP(A263,Exports!A:B,2,)</f>
        <v/>
      </c>
      <c r="F263" s="164">
        <f>VLOOKUP(A263,Imports!A:B,2,)</f>
        <v/>
      </c>
      <c r="G263" s="164">
        <f>VLOOKUP(A263,Government!A:B,2,)</f>
        <v/>
      </c>
      <c r="H263" s="85">
        <f>Table58[[#This Row],[Personal Consumption]]/Table58[[#This Row],[GDP]]</f>
        <v/>
      </c>
      <c r="I263" s="85">
        <f>Table58[[#This Row],[Private Investment]]/Table58[[#This Row],[GDP]]</f>
        <v/>
      </c>
      <c r="J263" s="85">
        <f>Table58[[#This Row],[Exports]]/Table58[[#This Row],[GDP]]</f>
        <v/>
      </c>
      <c r="K263" s="85">
        <f>-Table58[[#This Row],[Imports]]/Table58[[#This Row],[GDP]]</f>
        <v/>
      </c>
      <c r="L263" s="85">
        <f>Table58[[#This Row],[Government]]/Table58[[#This Row],[GDP]]</f>
        <v/>
      </c>
      <c r="N263" s="52">
        <f>SUM(Table58[[#This Row],[PC%]:[G%]])</f>
        <v/>
      </c>
      <c r="O263" s="55">
        <f>Table58[[#This Row],[Personal Consumption]]+Table58[[#This Row],[Private Investment]]+Table58[[#This Row],[Exports]]+Table58[[#This Row],[Government]]-Table58[[#This Row],[Imports]]</f>
        <v/>
      </c>
    </row>
    <row r="264">
      <c r="A264" s="94" t="n">
        <v>40725</v>
      </c>
      <c r="B264" s="164">
        <f>VLOOKUP(A264,'U.S. GDP'!A:B,2,)</f>
        <v/>
      </c>
      <c r="C264" s="164">
        <f>VLOOKUP(A264,PersonalConsumption!A:B,2,)</f>
        <v/>
      </c>
      <c r="D264" s="164">
        <f>VLOOKUP(A264,PrivateInvestment!A:B,2,)</f>
        <v/>
      </c>
      <c r="E264" s="164">
        <f>VLOOKUP(A264,Exports!A:B,2,)</f>
        <v/>
      </c>
      <c r="F264" s="164">
        <f>VLOOKUP(A264,Imports!A:B,2,)</f>
        <v/>
      </c>
      <c r="G264" s="164">
        <f>VLOOKUP(A264,Government!A:B,2,)</f>
        <v/>
      </c>
      <c r="H264" s="85">
        <f>Table58[[#This Row],[Personal Consumption]]/Table58[[#This Row],[GDP]]</f>
        <v/>
      </c>
      <c r="I264" s="85">
        <f>Table58[[#This Row],[Private Investment]]/Table58[[#This Row],[GDP]]</f>
        <v/>
      </c>
      <c r="J264" s="85">
        <f>Table58[[#This Row],[Exports]]/Table58[[#This Row],[GDP]]</f>
        <v/>
      </c>
      <c r="K264" s="85">
        <f>-Table58[[#This Row],[Imports]]/Table58[[#This Row],[GDP]]</f>
        <v/>
      </c>
      <c r="L264" s="85">
        <f>Table58[[#This Row],[Government]]/Table58[[#This Row],[GDP]]</f>
        <v/>
      </c>
      <c r="N264" s="52">
        <f>SUM(Table58[[#This Row],[PC%]:[G%]])</f>
        <v/>
      </c>
      <c r="O264" s="55">
        <f>Table58[[#This Row],[Personal Consumption]]+Table58[[#This Row],[Private Investment]]+Table58[[#This Row],[Exports]]+Table58[[#This Row],[Government]]-Table58[[#This Row],[Imports]]</f>
        <v/>
      </c>
    </row>
    <row r="265">
      <c r="A265" s="94" t="n">
        <v>40817</v>
      </c>
      <c r="B265" s="164">
        <f>VLOOKUP(A265,'U.S. GDP'!A:B,2,)</f>
        <v/>
      </c>
      <c r="C265" s="164">
        <f>VLOOKUP(A265,PersonalConsumption!A:B,2,)</f>
        <v/>
      </c>
      <c r="D265" s="164">
        <f>VLOOKUP(A265,PrivateInvestment!A:B,2,)</f>
        <v/>
      </c>
      <c r="E265" s="164">
        <f>VLOOKUP(A265,Exports!A:B,2,)</f>
        <v/>
      </c>
      <c r="F265" s="164">
        <f>VLOOKUP(A265,Imports!A:B,2,)</f>
        <v/>
      </c>
      <c r="G265" s="164">
        <f>VLOOKUP(A265,Government!A:B,2,)</f>
        <v/>
      </c>
      <c r="H265" s="85">
        <f>Table58[[#This Row],[Personal Consumption]]/Table58[[#This Row],[GDP]]</f>
        <v/>
      </c>
      <c r="I265" s="85">
        <f>Table58[[#This Row],[Private Investment]]/Table58[[#This Row],[GDP]]</f>
        <v/>
      </c>
      <c r="J265" s="85">
        <f>Table58[[#This Row],[Exports]]/Table58[[#This Row],[GDP]]</f>
        <v/>
      </c>
      <c r="K265" s="85">
        <f>-Table58[[#This Row],[Imports]]/Table58[[#This Row],[GDP]]</f>
        <v/>
      </c>
      <c r="L265" s="85">
        <f>Table58[[#This Row],[Government]]/Table58[[#This Row],[GDP]]</f>
        <v/>
      </c>
      <c r="N265" s="52">
        <f>SUM(Table58[[#This Row],[PC%]:[G%]])</f>
        <v/>
      </c>
      <c r="O265" s="55">
        <f>Table58[[#This Row],[Personal Consumption]]+Table58[[#This Row],[Private Investment]]+Table58[[#This Row],[Exports]]+Table58[[#This Row],[Government]]-Table58[[#This Row],[Imports]]</f>
        <v/>
      </c>
    </row>
    <row r="266">
      <c r="A266" s="94" t="n">
        <v>40909</v>
      </c>
      <c r="B266" s="164">
        <f>VLOOKUP(A266,'U.S. GDP'!A:B,2,)</f>
        <v/>
      </c>
      <c r="C266" s="164">
        <f>VLOOKUP(A266,PersonalConsumption!A:B,2,)</f>
        <v/>
      </c>
      <c r="D266" s="164">
        <f>VLOOKUP(A266,PrivateInvestment!A:B,2,)</f>
        <v/>
      </c>
      <c r="E266" s="164">
        <f>VLOOKUP(A266,Exports!A:B,2,)</f>
        <v/>
      </c>
      <c r="F266" s="164">
        <f>VLOOKUP(A266,Imports!A:B,2,)</f>
        <v/>
      </c>
      <c r="G266" s="164">
        <f>VLOOKUP(A266,Government!A:B,2,)</f>
        <v/>
      </c>
      <c r="H266" s="85">
        <f>Table58[[#This Row],[Personal Consumption]]/Table58[[#This Row],[GDP]]</f>
        <v/>
      </c>
      <c r="I266" s="85">
        <f>Table58[[#This Row],[Private Investment]]/Table58[[#This Row],[GDP]]</f>
        <v/>
      </c>
      <c r="J266" s="85">
        <f>Table58[[#This Row],[Exports]]/Table58[[#This Row],[GDP]]</f>
        <v/>
      </c>
      <c r="K266" s="85">
        <f>-Table58[[#This Row],[Imports]]/Table58[[#This Row],[GDP]]</f>
        <v/>
      </c>
      <c r="L266" s="85">
        <f>Table58[[#This Row],[Government]]/Table58[[#This Row],[GDP]]</f>
        <v/>
      </c>
      <c r="N266" s="52">
        <f>SUM(Table58[[#This Row],[PC%]:[G%]])</f>
        <v/>
      </c>
      <c r="O266" s="55">
        <f>Table58[[#This Row],[Personal Consumption]]+Table58[[#This Row],[Private Investment]]+Table58[[#This Row],[Exports]]+Table58[[#This Row],[Government]]-Table58[[#This Row],[Imports]]</f>
        <v/>
      </c>
    </row>
    <row r="267">
      <c r="A267" s="94" t="n">
        <v>41000</v>
      </c>
      <c r="B267" s="164">
        <f>VLOOKUP(A267,'U.S. GDP'!A:B,2,)</f>
        <v/>
      </c>
      <c r="C267" s="164">
        <f>VLOOKUP(A267,PersonalConsumption!A:B,2,)</f>
        <v/>
      </c>
      <c r="D267" s="164">
        <f>VLOOKUP(A267,PrivateInvestment!A:B,2,)</f>
        <v/>
      </c>
      <c r="E267" s="164">
        <f>VLOOKUP(A267,Exports!A:B,2,)</f>
        <v/>
      </c>
      <c r="F267" s="164">
        <f>VLOOKUP(A267,Imports!A:B,2,)</f>
        <v/>
      </c>
      <c r="G267" s="164">
        <f>VLOOKUP(A267,Government!A:B,2,)</f>
        <v/>
      </c>
      <c r="H267" s="85">
        <f>Table58[[#This Row],[Personal Consumption]]/Table58[[#This Row],[GDP]]</f>
        <v/>
      </c>
      <c r="I267" s="85">
        <f>Table58[[#This Row],[Private Investment]]/Table58[[#This Row],[GDP]]</f>
        <v/>
      </c>
      <c r="J267" s="85">
        <f>Table58[[#This Row],[Exports]]/Table58[[#This Row],[GDP]]</f>
        <v/>
      </c>
      <c r="K267" s="85">
        <f>-Table58[[#This Row],[Imports]]/Table58[[#This Row],[GDP]]</f>
        <v/>
      </c>
      <c r="L267" s="85">
        <f>Table58[[#This Row],[Government]]/Table58[[#This Row],[GDP]]</f>
        <v/>
      </c>
      <c r="N267" s="52">
        <f>SUM(Table58[[#This Row],[PC%]:[G%]])</f>
        <v/>
      </c>
      <c r="O267" s="55">
        <f>Table58[[#This Row],[Personal Consumption]]+Table58[[#This Row],[Private Investment]]+Table58[[#This Row],[Exports]]+Table58[[#This Row],[Government]]-Table58[[#This Row],[Imports]]</f>
        <v/>
      </c>
    </row>
    <row r="268">
      <c r="A268" s="94" t="n">
        <v>41091</v>
      </c>
      <c r="B268" s="164">
        <f>VLOOKUP(A268,'U.S. GDP'!A:B,2,)</f>
        <v/>
      </c>
      <c r="C268" s="164">
        <f>VLOOKUP(A268,PersonalConsumption!A:B,2,)</f>
        <v/>
      </c>
      <c r="D268" s="164">
        <f>VLOOKUP(A268,PrivateInvestment!A:B,2,)</f>
        <v/>
      </c>
      <c r="E268" s="164">
        <f>VLOOKUP(A268,Exports!A:B,2,)</f>
        <v/>
      </c>
      <c r="F268" s="164">
        <f>VLOOKUP(A268,Imports!A:B,2,)</f>
        <v/>
      </c>
      <c r="G268" s="164">
        <f>VLOOKUP(A268,Government!A:B,2,)</f>
        <v/>
      </c>
      <c r="H268" s="85">
        <f>Table58[[#This Row],[Personal Consumption]]/Table58[[#This Row],[GDP]]</f>
        <v/>
      </c>
      <c r="I268" s="85">
        <f>Table58[[#This Row],[Private Investment]]/Table58[[#This Row],[GDP]]</f>
        <v/>
      </c>
      <c r="J268" s="85">
        <f>Table58[[#This Row],[Exports]]/Table58[[#This Row],[GDP]]</f>
        <v/>
      </c>
      <c r="K268" s="85">
        <f>-Table58[[#This Row],[Imports]]/Table58[[#This Row],[GDP]]</f>
        <v/>
      </c>
      <c r="L268" s="85">
        <f>Table58[[#This Row],[Government]]/Table58[[#This Row],[GDP]]</f>
        <v/>
      </c>
      <c r="N268" s="52">
        <f>SUM(Table58[[#This Row],[PC%]:[G%]])</f>
        <v/>
      </c>
      <c r="O268" s="55">
        <f>Table58[[#This Row],[Personal Consumption]]+Table58[[#This Row],[Private Investment]]+Table58[[#This Row],[Exports]]+Table58[[#This Row],[Government]]-Table58[[#This Row],[Imports]]</f>
        <v/>
      </c>
    </row>
    <row r="269">
      <c r="A269" s="94" t="n">
        <v>41183</v>
      </c>
      <c r="B269" s="164">
        <f>VLOOKUP(A269,'U.S. GDP'!A:B,2,)</f>
        <v/>
      </c>
      <c r="C269" s="164">
        <f>VLOOKUP(A269,PersonalConsumption!A:B,2,)</f>
        <v/>
      </c>
      <c r="D269" s="164">
        <f>VLOOKUP(A269,PrivateInvestment!A:B,2,)</f>
        <v/>
      </c>
      <c r="E269" s="164">
        <f>VLOOKUP(A269,Exports!A:B,2,)</f>
        <v/>
      </c>
      <c r="F269" s="164">
        <f>VLOOKUP(A269,Imports!A:B,2,)</f>
        <v/>
      </c>
      <c r="G269" s="164">
        <f>VLOOKUP(A269,Government!A:B,2,)</f>
        <v/>
      </c>
      <c r="H269" s="85">
        <f>Table58[[#This Row],[Personal Consumption]]/Table58[[#This Row],[GDP]]</f>
        <v/>
      </c>
      <c r="I269" s="85">
        <f>Table58[[#This Row],[Private Investment]]/Table58[[#This Row],[GDP]]</f>
        <v/>
      </c>
      <c r="J269" s="85">
        <f>Table58[[#This Row],[Exports]]/Table58[[#This Row],[GDP]]</f>
        <v/>
      </c>
      <c r="K269" s="85">
        <f>-Table58[[#This Row],[Imports]]/Table58[[#This Row],[GDP]]</f>
        <v/>
      </c>
      <c r="L269" s="85">
        <f>Table58[[#This Row],[Government]]/Table58[[#This Row],[GDP]]</f>
        <v/>
      </c>
      <c r="N269" s="52">
        <f>SUM(Table58[[#This Row],[PC%]:[G%]])</f>
        <v/>
      </c>
      <c r="O269" s="55">
        <f>Table58[[#This Row],[Personal Consumption]]+Table58[[#This Row],[Private Investment]]+Table58[[#This Row],[Exports]]+Table58[[#This Row],[Government]]-Table58[[#This Row],[Imports]]</f>
        <v/>
      </c>
    </row>
    <row r="270">
      <c r="A270" s="94" t="n">
        <v>41275</v>
      </c>
      <c r="B270" s="164">
        <f>VLOOKUP(A270,'U.S. GDP'!A:B,2,)</f>
        <v/>
      </c>
      <c r="C270" s="164">
        <f>VLOOKUP(A270,PersonalConsumption!A:B,2,)</f>
        <v/>
      </c>
      <c r="D270" s="164">
        <f>VLOOKUP(A270,PrivateInvestment!A:B,2,)</f>
        <v/>
      </c>
      <c r="E270" s="164">
        <f>VLOOKUP(A270,Exports!A:B,2,)</f>
        <v/>
      </c>
      <c r="F270" s="164">
        <f>VLOOKUP(A270,Imports!A:B,2,)</f>
        <v/>
      </c>
      <c r="G270" s="164">
        <f>VLOOKUP(A270,Government!A:B,2,)</f>
        <v/>
      </c>
      <c r="H270" s="85">
        <f>Table58[[#This Row],[Personal Consumption]]/Table58[[#This Row],[GDP]]</f>
        <v/>
      </c>
      <c r="I270" s="85">
        <f>Table58[[#This Row],[Private Investment]]/Table58[[#This Row],[GDP]]</f>
        <v/>
      </c>
      <c r="J270" s="85">
        <f>Table58[[#This Row],[Exports]]/Table58[[#This Row],[GDP]]</f>
        <v/>
      </c>
      <c r="K270" s="85">
        <f>-Table58[[#This Row],[Imports]]/Table58[[#This Row],[GDP]]</f>
        <v/>
      </c>
      <c r="L270" s="85">
        <f>Table58[[#This Row],[Government]]/Table58[[#This Row],[GDP]]</f>
        <v/>
      </c>
      <c r="N270" s="52">
        <f>SUM(Table58[[#This Row],[PC%]:[G%]])</f>
        <v/>
      </c>
      <c r="O270" s="55">
        <f>Table58[[#This Row],[Personal Consumption]]+Table58[[#This Row],[Private Investment]]+Table58[[#This Row],[Exports]]+Table58[[#This Row],[Government]]-Table58[[#This Row],[Imports]]</f>
        <v/>
      </c>
    </row>
    <row r="271">
      <c r="A271" s="94" t="n">
        <v>41365</v>
      </c>
      <c r="B271" s="164">
        <f>VLOOKUP(A271,'U.S. GDP'!A:B,2,)</f>
        <v/>
      </c>
      <c r="C271" s="164">
        <f>VLOOKUP(A271,PersonalConsumption!A:B,2,)</f>
        <v/>
      </c>
      <c r="D271" s="164">
        <f>VLOOKUP(A271,PrivateInvestment!A:B,2,)</f>
        <v/>
      </c>
      <c r="E271" s="164">
        <f>VLOOKUP(A271,Exports!A:B,2,)</f>
        <v/>
      </c>
      <c r="F271" s="164">
        <f>VLOOKUP(A271,Imports!A:B,2,)</f>
        <v/>
      </c>
      <c r="G271" s="164">
        <f>VLOOKUP(A271,Government!A:B,2,)</f>
        <v/>
      </c>
      <c r="H271" s="85">
        <f>Table58[[#This Row],[Personal Consumption]]/Table58[[#This Row],[GDP]]</f>
        <v/>
      </c>
      <c r="I271" s="85">
        <f>Table58[[#This Row],[Private Investment]]/Table58[[#This Row],[GDP]]</f>
        <v/>
      </c>
      <c r="J271" s="85">
        <f>Table58[[#This Row],[Exports]]/Table58[[#This Row],[GDP]]</f>
        <v/>
      </c>
      <c r="K271" s="85">
        <f>-Table58[[#This Row],[Imports]]/Table58[[#This Row],[GDP]]</f>
        <v/>
      </c>
      <c r="L271" s="85">
        <f>Table58[[#This Row],[Government]]/Table58[[#This Row],[GDP]]</f>
        <v/>
      </c>
      <c r="N271" s="52">
        <f>SUM(Table58[[#This Row],[PC%]:[G%]])</f>
        <v/>
      </c>
      <c r="O271" s="55">
        <f>Table58[[#This Row],[Personal Consumption]]+Table58[[#This Row],[Private Investment]]+Table58[[#This Row],[Exports]]+Table58[[#This Row],[Government]]-Table58[[#This Row],[Imports]]</f>
        <v/>
      </c>
    </row>
    <row r="272">
      <c r="A272" s="94" t="n">
        <v>41456</v>
      </c>
      <c r="B272" s="164">
        <f>VLOOKUP(A272,'U.S. GDP'!A:B,2,)</f>
        <v/>
      </c>
      <c r="C272" s="164">
        <f>VLOOKUP(A272,PersonalConsumption!A:B,2,)</f>
        <v/>
      </c>
      <c r="D272" s="164">
        <f>VLOOKUP(A272,PrivateInvestment!A:B,2,)</f>
        <v/>
      </c>
      <c r="E272" s="164">
        <f>VLOOKUP(A272,Exports!A:B,2,)</f>
        <v/>
      </c>
      <c r="F272" s="164">
        <f>VLOOKUP(A272,Imports!A:B,2,)</f>
        <v/>
      </c>
      <c r="G272" s="164">
        <f>VLOOKUP(A272,Government!A:B,2,)</f>
        <v/>
      </c>
      <c r="H272" s="85">
        <f>Table58[[#This Row],[Personal Consumption]]/Table58[[#This Row],[GDP]]</f>
        <v/>
      </c>
      <c r="I272" s="85">
        <f>Table58[[#This Row],[Private Investment]]/Table58[[#This Row],[GDP]]</f>
        <v/>
      </c>
      <c r="J272" s="85">
        <f>Table58[[#This Row],[Exports]]/Table58[[#This Row],[GDP]]</f>
        <v/>
      </c>
      <c r="K272" s="85">
        <f>-Table58[[#This Row],[Imports]]/Table58[[#This Row],[GDP]]</f>
        <v/>
      </c>
      <c r="L272" s="85">
        <f>Table58[[#This Row],[Government]]/Table58[[#This Row],[GDP]]</f>
        <v/>
      </c>
      <c r="N272" s="52">
        <f>SUM(Table58[[#This Row],[PC%]:[G%]])</f>
        <v/>
      </c>
      <c r="O272" s="55">
        <f>Table58[[#This Row],[Personal Consumption]]+Table58[[#This Row],[Private Investment]]+Table58[[#This Row],[Exports]]+Table58[[#This Row],[Government]]-Table58[[#This Row],[Imports]]</f>
        <v/>
      </c>
    </row>
    <row r="273">
      <c r="A273" s="94" t="n">
        <v>41548</v>
      </c>
      <c r="B273" s="164">
        <f>VLOOKUP(A273,'U.S. GDP'!A:B,2,)</f>
        <v/>
      </c>
      <c r="C273" s="164">
        <f>VLOOKUP(A273,PersonalConsumption!A:B,2,)</f>
        <v/>
      </c>
      <c r="D273" s="164">
        <f>VLOOKUP(A273,PrivateInvestment!A:B,2,)</f>
        <v/>
      </c>
      <c r="E273" s="164">
        <f>VLOOKUP(A273,Exports!A:B,2,)</f>
        <v/>
      </c>
      <c r="F273" s="164">
        <f>VLOOKUP(A273,Imports!A:B,2,)</f>
        <v/>
      </c>
      <c r="G273" s="164">
        <f>VLOOKUP(A273,Government!A:B,2,)</f>
        <v/>
      </c>
      <c r="H273" s="85">
        <f>Table58[[#This Row],[Personal Consumption]]/Table58[[#This Row],[GDP]]</f>
        <v/>
      </c>
      <c r="I273" s="85">
        <f>Table58[[#This Row],[Private Investment]]/Table58[[#This Row],[GDP]]</f>
        <v/>
      </c>
      <c r="J273" s="85">
        <f>Table58[[#This Row],[Exports]]/Table58[[#This Row],[GDP]]</f>
        <v/>
      </c>
      <c r="K273" s="85">
        <f>-Table58[[#This Row],[Imports]]/Table58[[#This Row],[GDP]]</f>
        <v/>
      </c>
      <c r="L273" s="85">
        <f>Table58[[#This Row],[Government]]/Table58[[#This Row],[GDP]]</f>
        <v/>
      </c>
      <c r="N273" s="52">
        <f>SUM(Table58[[#This Row],[PC%]:[G%]])</f>
        <v/>
      </c>
      <c r="O273" s="55">
        <f>Table58[[#This Row],[Personal Consumption]]+Table58[[#This Row],[Private Investment]]+Table58[[#This Row],[Exports]]+Table58[[#This Row],[Government]]-Table58[[#This Row],[Imports]]</f>
        <v/>
      </c>
    </row>
    <row r="274">
      <c r="A274" s="94" t="n">
        <v>41640</v>
      </c>
      <c r="B274" s="164">
        <f>VLOOKUP(A274,'U.S. GDP'!A:B,2,)</f>
        <v/>
      </c>
      <c r="C274" s="164">
        <f>VLOOKUP(A274,PersonalConsumption!A:B,2,)</f>
        <v/>
      </c>
      <c r="D274" s="164">
        <f>VLOOKUP(A274,PrivateInvestment!A:B,2,)</f>
        <v/>
      </c>
      <c r="E274" s="164">
        <f>VLOOKUP(A274,Exports!A:B,2,)</f>
        <v/>
      </c>
      <c r="F274" s="164">
        <f>VLOOKUP(A274,Imports!A:B,2,)</f>
        <v/>
      </c>
      <c r="G274" s="164">
        <f>VLOOKUP(A274,Government!A:B,2,)</f>
        <v/>
      </c>
      <c r="H274" s="85">
        <f>Table58[[#This Row],[Personal Consumption]]/Table58[[#This Row],[GDP]]</f>
        <v/>
      </c>
      <c r="I274" s="85">
        <f>Table58[[#This Row],[Private Investment]]/Table58[[#This Row],[GDP]]</f>
        <v/>
      </c>
      <c r="J274" s="85">
        <f>Table58[[#This Row],[Exports]]/Table58[[#This Row],[GDP]]</f>
        <v/>
      </c>
      <c r="K274" s="85">
        <f>-Table58[[#This Row],[Imports]]/Table58[[#This Row],[GDP]]</f>
        <v/>
      </c>
      <c r="L274" s="85">
        <f>Table58[[#This Row],[Government]]/Table58[[#This Row],[GDP]]</f>
        <v/>
      </c>
      <c r="N274" s="52">
        <f>SUM(Table58[[#This Row],[PC%]:[G%]])</f>
        <v/>
      </c>
      <c r="O274" s="55">
        <f>Table58[[#This Row],[Personal Consumption]]+Table58[[#This Row],[Private Investment]]+Table58[[#This Row],[Exports]]+Table58[[#This Row],[Government]]-Table58[[#This Row],[Imports]]</f>
        <v/>
      </c>
    </row>
    <row r="275">
      <c r="A275" s="94" t="n">
        <v>41730</v>
      </c>
      <c r="B275" s="164">
        <f>VLOOKUP(A275,'U.S. GDP'!A:B,2,)</f>
        <v/>
      </c>
      <c r="C275" s="164">
        <f>VLOOKUP(A275,PersonalConsumption!A:B,2,)</f>
        <v/>
      </c>
      <c r="D275" s="164">
        <f>VLOOKUP(A275,PrivateInvestment!A:B,2,)</f>
        <v/>
      </c>
      <c r="E275" s="164">
        <f>VLOOKUP(A275,Exports!A:B,2,)</f>
        <v/>
      </c>
      <c r="F275" s="164">
        <f>VLOOKUP(A275,Imports!A:B,2,)</f>
        <v/>
      </c>
      <c r="G275" s="164">
        <f>VLOOKUP(A275,Government!A:B,2,)</f>
        <v/>
      </c>
      <c r="H275" s="85">
        <f>Table58[[#This Row],[Personal Consumption]]/Table58[[#This Row],[GDP]]</f>
        <v/>
      </c>
      <c r="I275" s="85">
        <f>Table58[[#This Row],[Private Investment]]/Table58[[#This Row],[GDP]]</f>
        <v/>
      </c>
      <c r="J275" s="85">
        <f>Table58[[#This Row],[Exports]]/Table58[[#This Row],[GDP]]</f>
        <v/>
      </c>
      <c r="K275" s="85">
        <f>-Table58[[#This Row],[Imports]]/Table58[[#This Row],[GDP]]</f>
        <v/>
      </c>
      <c r="L275" s="85">
        <f>Table58[[#This Row],[Government]]/Table58[[#This Row],[GDP]]</f>
        <v/>
      </c>
      <c r="N275" s="52">
        <f>SUM(Table58[[#This Row],[PC%]:[G%]])</f>
        <v/>
      </c>
      <c r="O275" s="55">
        <f>Table58[[#This Row],[Personal Consumption]]+Table58[[#This Row],[Private Investment]]+Table58[[#This Row],[Exports]]+Table58[[#This Row],[Government]]-Table58[[#This Row],[Imports]]</f>
        <v/>
      </c>
    </row>
    <row r="276">
      <c r="A276" s="94" t="n">
        <v>41821</v>
      </c>
      <c r="B276" s="164">
        <f>VLOOKUP(A276,'U.S. GDP'!A:B,2,)</f>
        <v/>
      </c>
      <c r="C276" s="164">
        <f>VLOOKUP(A276,PersonalConsumption!A:B,2,)</f>
        <v/>
      </c>
      <c r="D276" s="164">
        <f>VLOOKUP(A276,PrivateInvestment!A:B,2,)</f>
        <v/>
      </c>
      <c r="E276" s="164">
        <f>VLOOKUP(A276,Exports!A:B,2,)</f>
        <v/>
      </c>
      <c r="F276" s="164">
        <f>VLOOKUP(A276,Imports!A:B,2,)</f>
        <v/>
      </c>
      <c r="G276" s="164">
        <f>VLOOKUP(A276,Government!A:B,2,)</f>
        <v/>
      </c>
      <c r="H276" s="85">
        <f>Table58[[#This Row],[Personal Consumption]]/Table58[[#This Row],[GDP]]</f>
        <v/>
      </c>
      <c r="I276" s="85">
        <f>Table58[[#This Row],[Private Investment]]/Table58[[#This Row],[GDP]]</f>
        <v/>
      </c>
      <c r="J276" s="85">
        <f>Table58[[#This Row],[Exports]]/Table58[[#This Row],[GDP]]</f>
        <v/>
      </c>
      <c r="K276" s="85">
        <f>-Table58[[#This Row],[Imports]]/Table58[[#This Row],[GDP]]</f>
        <v/>
      </c>
      <c r="L276" s="85">
        <f>Table58[[#This Row],[Government]]/Table58[[#This Row],[GDP]]</f>
        <v/>
      </c>
      <c r="N276" s="52">
        <f>SUM(Table58[[#This Row],[PC%]:[G%]])</f>
        <v/>
      </c>
      <c r="O276" s="55">
        <f>Table58[[#This Row],[Personal Consumption]]+Table58[[#This Row],[Private Investment]]+Table58[[#This Row],[Exports]]+Table58[[#This Row],[Government]]-Table58[[#This Row],[Imports]]</f>
        <v/>
      </c>
    </row>
    <row r="277">
      <c r="A277" s="94" t="n">
        <v>41913</v>
      </c>
      <c r="B277" s="164">
        <f>VLOOKUP(A277,'U.S. GDP'!A:B,2,)</f>
        <v/>
      </c>
      <c r="C277" s="164">
        <f>VLOOKUP(A277,PersonalConsumption!A:B,2,)</f>
        <v/>
      </c>
      <c r="D277" s="164">
        <f>VLOOKUP(A277,PrivateInvestment!A:B,2,)</f>
        <v/>
      </c>
      <c r="E277" s="164">
        <f>VLOOKUP(A277,Exports!A:B,2,)</f>
        <v/>
      </c>
      <c r="F277" s="164">
        <f>VLOOKUP(A277,Imports!A:B,2,)</f>
        <v/>
      </c>
      <c r="G277" s="164">
        <f>VLOOKUP(A277,Government!A:B,2,)</f>
        <v/>
      </c>
      <c r="H277" s="85">
        <f>Table58[[#This Row],[Personal Consumption]]/Table58[[#This Row],[GDP]]</f>
        <v/>
      </c>
      <c r="I277" s="85">
        <f>Table58[[#This Row],[Private Investment]]/Table58[[#This Row],[GDP]]</f>
        <v/>
      </c>
      <c r="J277" s="85">
        <f>Table58[[#This Row],[Exports]]/Table58[[#This Row],[GDP]]</f>
        <v/>
      </c>
      <c r="K277" s="85">
        <f>-Table58[[#This Row],[Imports]]/Table58[[#This Row],[GDP]]</f>
        <v/>
      </c>
      <c r="L277" s="85">
        <f>Table58[[#This Row],[Government]]/Table58[[#This Row],[GDP]]</f>
        <v/>
      </c>
      <c r="N277" s="52">
        <f>SUM(Table58[[#This Row],[PC%]:[G%]])</f>
        <v/>
      </c>
      <c r="O277" s="55">
        <f>Table58[[#This Row],[Personal Consumption]]+Table58[[#This Row],[Private Investment]]+Table58[[#This Row],[Exports]]+Table58[[#This Row],[Government]]-Table58[[#This Row],[Imports]]</f>
        <v/>
      </c>
    </row>
    <row r="278">
      <c r="A278" s="94" t="n">
        <v>42005</v>
      </c>
      <c r="B278" s="164">
        <f>VLOOKUP(A278,'U.S. GDP'!A:B,2,)</f>
        <v/>
      </c>
      <c r="C278" s="164">
        <f>VLOOKUP(A278,PersonalConsumption!A:B,2,)</f>
        <v/>
      </c>
      <c r="D278" s="164">
        <f>VLOOKUP(A278,PrivateInvestment!A:B,2,)</f>
        <v/>
      </c>
      <c r="E278" s="164">
        <f>VLOOKUP(A278,Exports!A:B,2,)</f>
        <v/>
      </c>
      <c r="F278" s="164">
        <f>VLOOKUP(A278,Imports!A:B,2,)</f>
        <v/>
      </c>
      <c r="G278" s="164">
        <f>VLOOKUP(A278,Government!A:B,2,)</f>
        <v/>
      </c>
      <c r="H278" s="85">
        <f>Table58[[#This Row],[Personal Consumption]]/Table58[[#This Row],[GDP]]</f>
        <v/>
      </c>
      <c r="I278" s="85">
        <f>Table58[[#This Row],[Private Investment]]/Table58[[#This Row],[GDP]]</f>
        <v/>
      </c>
      <c r="J278" s="85">
        <f>Table58[[#This Row],[Exports]]/Table58[[#This Row],[GDP]]</f>
        <v/>
      </c>
      <c r="K278" s="85">
        <f>-Table58[[#This Row],[Imports]]/Table58[[#This Row],[GDP]]</f>
        <v/>
      </c>
      <c r="L278" s="85">
        <f>Table58[[#This Row],[Government]]/Table58[[#This Row],[GDP]]</f>
        <v/>
      </c>
      <c r="N278" s="52">
        <f>SUM(Table58[[#This Row],[PC%]:[G%]])</f>
        <v/>
      </c>
      <c r="O278" s="55">
        <f>Table58[[#This Row],[Personal Consumption]]+Table58[[#This Row],[Private Investment]]+Table58[[#This Row],[Exports]]+Table58[[#This Row],[Government]]-Table58[[#This Row],[Imports]]</f>
        <v/>
      </c>
    </row>
    <row r="279">
      <c r="A279" s="94" t="n">
        <v>42095</v>
      </c>
      <c r="B279" s="164">
        <f>VLOOKUP(A279,'U.S. GDP'!A:B,2,)</f>
        <v/>
      </c>
      <c r="C279" s="164">
        <f>VLOOKUP(A279,PersonalConsumption!A:B,2,)</f>
        <v/>
      </c>
      <c r="D279" s="164">
        <f>VLOOKUP(A279,PrivateInvestment!A:B,2,)</f>
        <v/>
      </c>
      <c r="E279" s="164">
        <f>VLOOKUP(A279,Exports!A:B,2,)</f>
        <v/>
      </c>
      <c r="F279" s="164">
        <f>VLOOKUP(A279,Imports!A:B,2,)</f>
        <v/>
      </c>
      <c r="G279" s="164">
        <f>VLOOKUP(A279,Government!A:B,2,)</f>
        <v/>
      </c>
      <c r="H279" s="85">
        <f>Table58[[#This Row],[Personal Consumption]]/Table58[[#This Row],[GDP]]</f>
        <v/>
      </c>
      <c r="I279" s="85">
        <f>Table58[[#This Row],[Private Investment]]/Table58[[#This Row],[GDP]]</f>
        <v/>
      </c>
      <c r="J279" s="85">
        <f>Table58[[#This Row],[Exports]]/Table58[[#This Row],[GDP]]</f>
        <v/>
      </c>
      <c r="K279" s="85">
        <f>-Table58[[#This Row],[Imports]]/Table58[[#This Row],[GDP]]</f>
        <v/>
      </c>
      <c r="L279" s="85">
        <f>Table58[[#This Row],[Government]]/Table58[[#This Row],[GDP]]</f>
        <v/>
      </c>
      <c r="N279" s="52">
        <f>SUM(Table58[[#This Row],[PC%]:[G%]])</f>
        <v/>
      </c>
      <c r="O279" s="55">
        <f>Table58[[#This Row],[Personal Consumption]]+Table58[[#This Row],[Private Investment]]+Table58[[#This Row],[Exports]]+Table58[[#This Row],[Government]]-Table58[[#This Row],[Imports]]</f>
        <v/>
      </c>
    </row>
    <row r="280">
      <c r="A280" s="94" t="n">
        <v>42186</v>
      </c>
      <c r="B280" s="164">
        <f>VLOOKUP(A280,'U.S. GDP'!A:B,2,)</f>
        <v/>
      </c>
      <c r="C280" s="164">
        <f>VLOOKUP(A280,PersonalConsumption!A:B,2,)</f>
        <v/>
      </c>
      <c r="D280" s="164">
        <f>VLOOKUP(A280,PrivateInvestment!A:B,2,)</f>
        <v/>
      </c>
      <c r="E280" s="164">
        <f>VLOOKUP(A280,Exports!A:B,2,)</f>
        <v/>
      </c>
      <c r="F280" s="164">
        <f>VLOOKUP(A280,Imports!A:B,2,)</f>
        <v/>
      </c>
      <c r="G280" s="164">
        <f>VLOOKUP(A280,Government!A:B,2,)</f>
        <v/>
      </c>
      <c r="H280" s="85">
        <f>Table58[[#This Row],[Personal Consumption]]/Table58[[#This Row],[GDP]]</f>
        <v/>
      </c>
      <c r="I280" s="85">
        <f>Table58[[#This Row],[Private Investment]]/Table58[[#This Row],[GDP]]</f>
        <v/>
      </c>
      <c r="J280" s="85">
        <f>Table58[[#This Row],[Exports]]/Table58[[#This Row],[GDP]]</f>
        <v/>
      </c>
      <c r="K280" s="85">
        <f>-Table58[[#This Row],[Imports]]/Table58[[#This Row],[GDP]]</f>
        <v/>
      </c>
      <c r="L280" s="85">
        <f>Table58[[#This Row],[Government]]/Table58[[#This Row],[GDP]]</f>
        <v/>
      </c>
      <c r="N280" s="52">
        <f>SUM(Table58[[#This Row],[PC%]:[G%]])</f>
        <v/>
      </c>
      <c r="O280" s="55">
        <f>Table58[[#This Row],[Personal Consumption]]+Table58[[#This Row],[Private Investment]]+Table58[[#This Row],[Exports]]+Table58[[#This Row],[Government]]-Table58[[#This Row],[Imports]]</f>
        <v/>
      </c>
    </row>
    <row r="281">
      <c r="A281" s="94" t="n">
        <v>42278</v>
      </c>
      <c r="B281" s="164">
        <f>VLOOKUP(A281,'U.S. GDP'!A:B,2,)</f>
        <v/>
      </c>
      <c r="C281" s="164">
        <f>VLOOKUP(A281,PersonalConsumption!A:B,2,)</f>
        <v/>
      </c>
      <c r="D281" s="164">
        <f>VLOOKUP(A281,PrivateInvestment!A:B,2,)</f>
        <v/>
      </c>
      <c r="E281" s="164">
        <f>VLOOKUP(A281,Exports!A:B,2,)</f>
        <v/>
      </c>
      <c r="F281" s="164">
        <f>VLOOKUP(A281,Imports!A:B,2,)</f>
        <v/>
      </c>
      <c r="G281" s="164">
        <f>VLOOKUP(A281,Government!A:B,2,)</f>
        <v/>
      </c>
      <c r="H281" s="85">
        <f>Table58[[#This Row],[Personal Consumption]]/Table58[[#This Row],[GDP]]</f>
        <v/>
      </c>
      <c r="I281" s="85">
        <f>Table58[[#This Row],[Private Investment]]/Table58[[#This Row],[GDP]]</f>
        <v/>
      </c>
      <c r="J281" s="85">
        <f>Table58[[#This Row],[Exports]]/Table58[[#This Row],[GDP]]</f>
        <v/>
      </c>
      <c r="K281" s="85">
        <f>-Table58[[#This Row],[Imports]]/Table58[[#This Row],[GDP]]</f>
        <v/>
      </c>
      <c r="L281" s="85">
        <f>Table58[[#This Row],[Government]]/Table58[[#This Row],[GDP]]</f>
        <v/>
      </c>
      <c r="N281" s="52">
        <f>SUM(Table58[[#This Row],[PC%]:[G%]])</f>
        <v/>
      </c>
      <c r="O281" s="55">
        <f>Table58[[#This Row],[Personal Consumption]]+Table58[[#This Row],[Private Investment]]+Table58[[#This Row],[Exports]]+Table58[[#This Row],[Government]]-Table58[[#This Row],[Imports]]</f>
        <v/>
      </c>
    </row>
    <row r="282">
      <c r="A282" s="94" t="n">
        <v>42370</v>
      </c>
      <c r="B282" s="164">
        <f>VLOOKUP(A282,'U.S. GDP'!A:B,2,)</f>
        <v/>
      </c>
      <c r="C282" s="164">
        <f>VLOOKUP(A282,PersonalConsumption!A:B,2,)</f>
        <v/>
      </c>
      <c r="D282" s="164">
        <f>VLOOKUP(A282,PrivateInvestment!A:B,2,)</f>
        <v/>
      </c>
      <c r="E282" s="164">
        <f>VLOOKUP(A282,Exports!A:B,2,)</f>
        <v/>
      </c>
      <c r="F282" s="164">
        <f>VLOOKUP(A282,Imports!A:B,2,)</f>
        <v/>
      </c>
      <c r="G282" s="164">
        <f>VLOOKUP(A282,Government!A:B,2,)</f>
        <v/>
      </c>
      <c r="H282" s="85">
        <f>Table58[[#This Row],[Personal Consumption]]/Table58[[#This Row],[GDP]]</f>
        <v/>
      </c>
      <c r="I282" s="85">
        <f>Table58[[#This Row],[Private Investment]]/Table58[[#This Row],[GDP]]</f>
        <v/>
      </c>
      <c r="J282" s="85">
        <f>Table58[[#This Row],[Exports]]/Table58[[#This Row],[GDP]]</f>
        <v/>
      </c>
      <c r="K282" s="85">
        <f>-Table58[[#This Row],[Imports]]/Table58[[#This Row],[GDP]]</f>
        <v/>
      </c>
      <c r="L282" s="85">
        <f>Table58[[#This Row],[Government]]/Table58[[#This Row],[GDP]]</f>
        <v/>
      </c>
      <c r="N282" s="52">
        <f>SUM(Table58[[#This Row],[PC%]:[G%]])</f>
        <v/>
      </c>
      <c r="O282" s="55">
        <f>Table58[[#This Row],[Personal Consumption]]+Table58[[#This Row],[Private Investment]]+Table58[[#This Row],[Exports]]+Table58[[#This Row],[Government]]-Table58[[#This Row],[Imports]]</f>
        <v/>
      </c>
    </row>
    <row r="283">
      <c r="A283" s="94" t="n">
        <v>42461</v>
      </c>
      <c r="B283" s="164">
        <f>VLOOKUP(A283,'U.S. GDP'!A:B,2,)</f>
        <v/>
      </c>
      <c r="C283" s="164">
        <f>VLOOKUP(A283,PersonalConsumption!A:B,2,)</f>
        <v/>
      </c>
      <c r="D283" s="164">
        <f>VLOOKUP(A283,PrivateInvestment!A:B,2,)</f>
        <v/>
      </c>
      <c r="E283" s="164">
        <f>VLOOKUP(A283,Exports!A:B,2,)</f>
        <v/>
      </c>
      <c r="F283" s="164">
        <f>VLOOKUP(A283,Imports!A:B,2,)</f>
        <v/>
      </c>
      <c r="G283" s="164">
        <f>VLOOKUP(A283,Government!A:B,2,)</f>
        <v/>
      </c>
      <c r="H283" s="85">
        <f>Table58[[#This Row],[Personal Consumption]]/Table58[[#This Row],[GDP]]</f>
        <v/>
      </c>
      <c r="I283" s="85">
        <f>Table58[[#This Row],[Private Investment]]/Table58[[#This Row],[GDP]]</f>
        <v/>
      </c>
      <c r="J283" s="85">
        <f>Table58[[#This Row],[Exports]]/Table58[[#This Row],[GDP]]</f>
        <v/>
      </c>
      <c r="K283" s="85">
        <f>-Table58[[#This Row],[Imports]]/Table58[[#This Row],[GDP]]</f>
        <v/>
      </c>
      <c r="L283" s="85">
        <f>Table58[[#This Row],[Government]]/Table58[[#This Row],[GDP]]</f>
        <v/>
      </c>
      <c r="N283" s="52">
        <f>SUM(Table58[[#This Row],[PC%]:[G%]])</f>
        <v/>
      </c>
      <c r="O283" s="55">
        <f>Table58[[#This Row],[Personal Consumption]]+Table58[[#This Row],[Private Investment]]+Table58[[#This Row],[Exports]]+Table58[[#This Row],[Government]]-Table58[[#This Row],[Imports]]</f>
        <v/>
      </c>
    </row>
    <row r="284">
      <c r="A284" s="94" t="n">
        <v>42552</v>
      </c>
      <c r="B284" s="164">
        <f>VLOOKUP(A284,'U.S. GDP'!A:B,2,)</f>
        <v/>
      </c>
      <c r="C284" s="164">
        <f>VLOOKUP(A284,PersonalConsumption!A:B,2,)</f>
        <v/>
      </c>
      <c r="D284" s="164">
        <f>VLOOKUP(A284,PrivateInvestment!A:B,2,)</f>
        <v/>
      </c>
      <c r="E284" s="164">
        <f>VLOOKUP(A284,Exports!A:B,2,)</f>
        <v/>
      </c>
      <c r="F284" s="164">
        <f>VLOOKUP(A284,Imports!A:B,2,)</f>
        <v/>
      </c>
      <c r="G284" s="164">
        <f>VLOOKUP(A284,Government!A:B,2,)</f>
        <v/>
      </c>
      <c r="H284" s="85">
        <f>Table58[[#This Row],[Personal Consumption]]/Table58[[#This Row],[GDP]]</f>
        <v/>
      </c>
      <c r="I284" s="85">
        <f>Table58[[#This Row],[Private Investment]]/Table58[[#This Row],[GDP]]</f>
        <v/>
      </c>
      <c r="J284" s="85">
        <f>Table58[[#This Row],[Exports]]/Table58[[#This Row],[GDP]]</f>
        <v/>
      </c>
      <c r="K284" s="85">
        <f>-Table58[[#This Row],[Imports]]/Table58[[#This Row],[GDP]]</f>
        <v/>
      </c>
      <c r="L284" s="85">
        <f>Table58[[#This Row],[Government]]/Table58[[#This Row],[GDP]]</f>
        <v/>
      </c>
      <c r="N284" s="52">
        <f>SUM(Table58[[#This Row],[PC%]:[G%]])</f>
        <v/>
      </c>
      <c r="O284" s="55">
        <f>Table58[[#This Row],[Personal Consumption]]+Table58[[#This Row],[Private Investment]]+Table58[[#This Row],[Exports]]+Table58[[#This Row],[Government]]-Table58[[#This Row],[Imports]]</f>
        <v/>
      </c>
    </row>
    <row r="285">
      <c r="A285" s="94" t="n">
        <v>42644</v>
      </c>
      <c r="B285" s="164">
        <f>VLOOKUP(A285,'U.S. GDP'!A:B,2,)</f>
        <v/>
      </c>
      <c r="C285" s="164">
        <f>VLOOKUP(A285,PersonalConsumption!A:B,2,)</f>
        <v/>
      </c>
      <c r="D285" s="164">
        <f>VLOOKUP(A285,PrivateInvestment!A:B,2,)</f>
        <v/>
      </c>
      <c r="E285" s="164">
        <f>VLOOKUP(A285,Exports!A:B,2,)</f>
        <v/>
      </c>
      <c r="F285" s="164">
        <f>VLOOKUP(A285,Imports!A:B,2,)</f>
        <v/>
      </c>
      <c r="G285" s="164">
        <f>VLOOKUP(A285,Government!A:B,2,)</f>
        <v/>
      </c>
      <c r="H285" s="85">
        <f>Table58[[#This Row],[Personal Consumption]]/Table58[[#This Row],[GDP]]</f>
        <v/>
      </c>
      <c r="I285" s="85">
        <f>Table58[[#This Row],[Private Investment]]/Table58[[#This Row],[GDP]]</f>
        <v/>
      </c>
      <c r="J285" s="85">
        <f>Table58[[#This Row],[Exports]]/Table58[[#This Row],[GDP]]</f>
        <v/>
      </c>
      <c r="K285" s="85">
        <f>-Table58[[#This Row],[Imports]]/Table58[[#This Row],[GDP]]</f>
        <v/>
      </c>
      <c r="L285" s="85">
        <f>Table58[[#This Row],[Government]]/Table58[[#This Row],[GDP]]</f>
        <v/>
      </c>
      <c r="N285" s="52">
        <f>SUM(Table58[[#This Row],[PC%]:[G%]])</f>
        <v/>
      </c>
      <c r="O285" s="55">
        <f>Table58[[#This Row],[Personal Consumption]]+Table58[[#This Row],[Private Investment]]+Table58[[#This Row],[Exports]]+Table58[[#This Row],[Government]]-Table58[[#This Row],[Imports]]</f>
        <v/>
      </c>
    </row>
    <row r="286">
      <c r="A286" s="94" t="n">
        <v>42736</v>
      </c>
      <c r="B286" s="164">
        <f>VLOOKUP(A286,'U.S. GDP'!A:B,2,)</f>
        <v/>
      </c>
      <c r="C286" s="164">
        <f>VLOOKUP(A286,PersonalConsumption!A:B,2,)</f>
        <v/>
      </c>
      <c r="D286" s="164">
        <f>VLOOKUP(A286,PrivateInvestment!A:B,2,)</f>
        <v/>
      </c>
      <c r="E286" s="164">
        <f>VLOOKUP(A286,Exports!A:B,2,)</f>
        <v/>
      </c>
      <c r="F286" s="164">
        <f>VLOOKUP(A286,Imports!A:B,2,)</f>
        <v/>
      </c>
      <c r="G286" s="164">
        <f>VLOOKUP(A286,Government!A:B,2,)</f>
        <v/>
      </c>
      <c r="H286" s="85">
        <f>Table58[[#This Row],[Personal Consumption]]/Table58[[#This Row],[GDP]]</f>
        <v/>
      </c>
      <c r="I286" s="85">
        <f>Table58[[#This Row],[Private Investment]]/Table58[[#This Row],[GDP]]</f>
        <v/>
      </c>
      <c r="J286" s="85">
        <f>Table58[[#This Row],[Exports]]/Table58[[#This Row],[GDP]]</f>
        <v/>
      </c>
      <c r="K286" s="85">
        <f>-Table58[[#This Row],[Imports]]/Table58[[#This Row],[GDP]]</f>
        <v/>
      </c>
      <c r="L286" s="85">
        <f>Table58[[#This Row],[Government]]/Table58[[#This Row],[GDP]]</f>
        <v/>
      </c>
      <c r="N286" s="52">
        <f>SUM(Table58[[#This Row],[PC%]:[G%]])</f>
        <v/>
      </c>
      <c r="O286" s="55">
        <f>Table58[[#This Row],[Personal Consumption]]+Table58[[#This Row],[Private Investment]]+Table58[[#This Row],[Exports]]+Table58[[#This Row],[Government]]-Table58[[#This Row],[Imports]]</f>
        <v/>
      </c>
    </row>
    <row r="287">
      <c r="A287" s="94" t="n">
        <v>42826</v>
      </c>
      <c r="B287" s="164">
        <f>VLOOKUP(A287,'U.S. GDP'!A:B,2,)</f>
        <v/>
      </c>
      <c r="C287" s="164">
        <f>VLOOKUP(A287,PersonalConsumption!A:B,2,)</f>
        <v/>
      </c>
      <c r="D287" s="164">
        <f>VLOOKUP(A287,PrivateInvestment!A:B,2,)</f>
        <v/>
      </c>
      <c r="E287" s="164">
        <f>VLOOKUP(A287,Exports!A:B,2,)</f>
        <v/>
      </c>
      <c r="F287" s="164">
        <f>VLOOKUP(A287,Imports!A:B,2,)</f>
        <v/>
      </c>
      <c r="G287" s="164">
        <f>VLOOKUP(A287,Government!A:B,2,)</f>
        <v/>
      </c>
      <c r="H287" s="85">
        <f>Table58[[#This Row],[Personal Consumption]]/Table58[[#This Row],[GDP]]</f>
        <v/>
      </c>
      <c r="I287" s="85">
        <f>Table58[[#This Row],[Private Investment]]/Table58[[#This Row],[GDP]]</f>
        <v/>
      </c>
      <c r="J287" s="85">
        <f>Table58[[#This Row],[Exports]]/Table58[[#This Row],[GDP]]</f>
        <v/>
      </c>
      <c r="K287" s="85">
        <f>-Table58[[#This Row],[Imports]]/Table58[[#This Row],[GDP]]</f>
        <v/>
      </c>
      <c r="L287" s="85">
        <f>Table58[[#This Row],[Government]]/Table58[[#This Row],[GDP]]</f>
        <v/>
      </c>
      <c r="N287" s="52">
        <f>SUM(Table58[[#This Row],[PC%]:[G%]])</f>
        <v/>
      </c>
      <c r="O287" s="55">
        <f>Table58[[#This Row],[Personal Consumption]]+Table58[[#This Row],[Private Investment]]+Table58[[#This Row],[Exports]]+Table58[[#This Row],[Government]]-Table58[[#This Row],[Imports]]</f>
        <v/>
      </c>
    </row>
    <row r="288">
      <c r="A288" s="94" t="n">
        <v>42917</v>
      </c>
      <c r="B288" s="164">
        <f>VLOOKUP(A288,'U.S. GDP'!A:B,2,)</f>
        <v/>
      </c>
      <c r="C288" s="164">
        <f>VLOOKUP(A288,PersonalConsumption!A:B,2,)</f>
        <v/>
      </c>
      <c r="D288" s="164">
        <f>VLOOKUP(A288,PrivateInvestment!A:B,2,)</f>
        <v/>
      </c>
      <c r="E288" s="164">
        <f>VLOOKUP(A288,Exports!A:B,2,)</f>
        <v/>
      </c>
      <c r="F288" s="164">
        <f>VLOOKUP(A288,Imports!A:B,2,)</f>
        <v/>
      </c>
      <c r="G288" s="164">
        <f>VLOOKUP(A288,Government!A:B,2,)</f>
        <v/>
      </c>
      <c r="H288" s="85">
        <f>Table58[[#This Row],[Personal Consumption]]/Table58[[#This Row],[GDP]]</f>
        <v/>
      </c>
      <c r="I288" s="85">
        <f>Table58[[#This Row],[Private Investment]]/Table58[[#This Row],[GDP]]</f>
        <v/>
      </c>
      <c r="J288" s="85">
        <f>Table58[[#This Row],[Exports]]/Table58[[#This Row],[GDP]]</f>
        <v/>
      </c>
      <c r="K288" s="85">
        <f>-Table58[[#This Row],[Imports]]/Table58[[#This Row],[GDP]]</f>
        <v/>
      </c>
      <c r="L288" s="85">
        <f>Table58[[#This Row],[Government]]/Table58[[#This Row],[GDP]]</f>
        <v/>
      </c>
      <c r="N288" s="52">
        <f>SUM(Table58[[#This Row],[PC%]:[G%]])</f>
        <v/>
      </c>
      <c r="O288" s="55">
        <f>Table58[[#This Row],[Personal Consumption]]+Table58[[#This Row],[Private Investment]]+Table58[[#This Row],[Exports]]+Table58[[#This Row],[Government]]-Table58[[#This Row],[Imports]]</f>
        <v/>
      </c>
    </row>
    <row r="289">
      <c r="A289" s="94" t="n">
        <v>43009</v>
      </c>
      <c r="B289" s="164">
        <f>VLOOKUP(A289,'U.S. GDP'!A:B,2,)</f>
        <v/>
      </c>
      <c r="C289" s="164">
        <f>VLOOKUP(A289,PersonalConsumption!A:B,2,)</f>
        <v/>
      </c>
      <c r="D289" s="164">
        <f>VLOOKUP(A289,PrivateInvestment!A:B,2,)</f>
        <v/>
      </c>
      <c r="E289" s="164">
        <f>VLOOKUP(A289,Exports!A:B,2,)</f>
        <v/>
      </c>
      <c r="F289" s="164">
        <f>VLOOKUP(A289,Imports!A:B,2,)</f>
        <v/>
      </c>
      <c r="G289" s="164">
        <f>VLOOKUP(A289,Government!A:B,2,)</f>
        <v/>
      </c>
      <c r="H289" s="85">
        <f>Table58[[#This Row],[Personal Consumption]]/Table58[[#This Row],[GDP]]</f>
        <v/>
      </c>
      <c r="I289" s="85">
        <f>Table58[[#This Row],[Private Investment]]/Table58[[#This Row],[GDP]]</f>
        <v/>
      </c>
      <c r="J289" s="85">
        <f>Table58[[#This Row],[Exports]]/Table58[[#This Row],[GDP]]</f>
        <v/>
      </c>
      <c r="K289" s="85">
        <f>-Table58[[#This Row],[Imports]]/Table58[[#This Row],[GDP]]</f>
        <v/>
      </c>
      <c r="L289" s="85">
        <f>Table58[[#This Row],[Government]]/Table58[[#This Row],[GDP]]</f>
        <v/>
      </c>
      <c r="N289" s="52">
        <f>SUM(Table58[[#This Row],[PC%]:[G%]])</f>
        <v/>
      </c>
      <c r="O289" s="55">
        <f>Table58[[#This Row],[Personal Consumption]]+Table58[[#This Row],[Private Investment]]+Table58[[#This Row],[Exports]]+Table58[[#This Row],[Government]]-Table58[[#This Row],[Imports]]</f>
        <v/>
      </c>
    </row>
    <row r="290">
      <c r="A290" s="94" t="n">
        <v>43101</v>
      </c>
      <c r="B290" s="164">
        <f>VLOOKUP(A290,'U.S. GDP'!A:B,2,)</f>
        <v/>
      </c>
      <c r="C290" s="164">
        <f>VLOOKUP(A290,PersonalConsumption!A:B,2,)</f>
        <v/>
      </c>
      <c r="D290" s="164">
        <f>VLOOKUP(A290,PrivateInvestment!A:B,2,)</f>
        <v/>
      </c>
      <c r="E290" s="164">
        <f>VLOOKUP(A290,Exports!A:B,2,)</f>
        <v/>
      </c>
      <c r="F290" s="164">
        <f>VLOOKUP(A290,Imports!A:B,2,)</f>
        <v/>
      </c>
      <c r="G290" s="164">
        <f>VLOOKUP(A290,Government!A:B,2,)</f>
        <v/>
      </c>
      <c r="H290" s="85">
        <f>Table58[[#This Row],[Personal Consumption]]/Table58[[#This Row],[GDP]]</f>
        <v/>
      </c>
      <c r="I290" s="85">
        <f>Table58[[#This Row],[Private Investment]]/Table58[[#This Row],[GDP]]</f>
        <v/>
      </c>
      <c r="J290" s="85">
        <f>Table58[[#This Row],[Exports]]/Table58[[#This Row],[GDP]]</f>
        <v/>
      </c>
      <c r="K290" s="85">
        <f>-Table58[[#This Row],[Imports]]/Table58[[#This Row],[GDP]]</f>
        <v/>
      </c>
      <c r="L290" s="85">
        <f>Table58[[#This Row],[Government]]/Table58[[#This Row],[GDP]]</f>
        <v/>
      </c>
      <c r="N290" s="52">
        <f>SUM(Table58[[#This Row],[PC%]:[G%]])</f>
        <v/>
      </c>
      <c r="O290" s="55">
        <f>Table58[[#This Row],[Personal Consumption]]+Table58[[#This Row],[Private Investment]]+Table58[[#This Row],[Exports]]+Table58[[#This Row],[Government]]-Table58[[#This Row],[Imports]]</f>
        <v/>
      </c>
    </row>
    <row r="291">
      <c r="A291" s="94" t="n">
        <v>43191</v>
      </c>
      <c r="B291" s="164">
        <f>VLOOKUP(A291,'U.S. GDP'!A:B,2,)</f>
        <v/>
      </c>
      <c r="C291" s="164">
        <f>VLOOKUP(A291,PersonalConsumption!A:B,2,)</f>
        <v/>
      </c>
      <c r="D291" s="164">
        <f>VLOOKUP(A291,PrivateInvestment!A:B,2,)</f>
        <v/>
      </c>
      <c r="E291" s="164">
        <f>VLOOKUP(A291,Exports!A:B,2,)</f>
        <v/>
      </c>
      <c r="F291" s="164">
        <f>VLOOKUP(A291,Imports!A:B,2,)</f>
        <v/>
      </c>
      <c r="G291" s="164">
        <f>VLOOKUP(A291,Government!A:B,2,)</f>
        <v/>
      </c>
      <c r="H291" s="85">
        <f>Table58[[#This Row],[Personal Consumption]]/Table58[[#This Row],[GDP]]</f>
        <v/>
      </c>
      <c r="I291" s="85">
        <f>Table58[[#This Row],[Private Investment]]/Table58[[#This Row],[GDP]]</f>
        <v/>
      </c>
      <c r="J291" s="85">
        <f>Table58[[#This Row],[Exports]]/Table58[[#This Row],[GDP]]</f>
        <v/>
      </c>
      <c r="K291" s="85">
        <f>-Table58[[#This Row],[Imports]]/Table58[[#This Row],[GDP]]</f>
        <v/>
      </c>
      <c r="L291" s="85">
        <f>Table58[[#This Row],[Government]]/Table58[[#This Row],[GDP]]</f>
        <v/>
      </c>
      <c r="N291" s="52">
        <f>SUM(Table58[[#This Row],[PC%]:[G%]])</f>
        <v/>
      </c>
      <c r="O291" s="55">
        <f>Table58[[#This Row],[Personal Consumption]]+Table58[[#This Row],[Private Investment]]+Table58[[#This Row],[Exports]]+Table58[[#This Row],[Government]]-Table58[[#This Row],[Imports]]</f>
        <v/>
      </c>
    </row>
    <row r="292">
      <c r="A292" s="94" t="n">
        <v>43282</v>
      </c>
      <c r="B292" s="164">
        <f>VLOOKUP(A292,'U.S. GDP'!A:B,2,)</f>
        <v/>
      </c>
      <c r="C292" s="164">
        <f>VLOOKUP(A292,PersonalConsumption!A:B,2,)</f>
        <v/>
      </c>
      <c r="D292" s="164">
        <f>VLOOKUP(A292,PrivateInvestment!A:B,2,)</f>
        <v/>
      </c>
      <c r="E292" s="95">
        <f>VLOOKUP(A292,Exports!A:B,2,)</f>
        <v/>
      </c>
      <c r="F292" s="164">
        <f>VLOOKUP(A292,Imports!A:B,2,)</f>
        <v/>
      </c>
      <c r="G292" s="85">
        <f>VLOOKUP(A292,Government!A:B,2,)</f>
        <v/>
      </c>
      <c r="H292" s="85">
        <f>Table58[[#This Row],[Personal Consumption]]/Table58[[#This Row],[GDP]]</f>
        <v/>
      </c>
      <c r="I292" s="85">
        <f>Table58[[#This Row],[Private Investment]]/Table58[[#This Row],[GDP]]</f>
        <v/>
      </c>
      <c r="J292" s="85">
        <f>Table58[[#This Row],[Exports]]/Table58[[#This Row],[GDP]]</f>
        <v/>
      </c>
      <c r="K292" s="85">
        <f>-Table58[[#This Row],[Imports]]/Table58[[#This Row],[GDP]]</f>
        <v/>
      </c>
      <c r="L292" s="85">
        <f>Table58[[#This Row],[Government]]/Table58[[#This Row],[GDP]]</f>
        <v/>
      </c>
      <c r="N292" s="52">
        <f>SUM(Table58[[#This Row],[PC%]:[G%]])</f>
        <v/>
      </c>
      <c r="O292" s="55">
        <f>Table58[[#This Row],[Personal Consumption]]+Table58[[#This Row],[Private Investment]]+Table58[[#This Row],[Exports]]+Table58[[#This Row],[Government]]-Table58[[#This Row],[Imports]]</f>
        <v/>
      </c>
    </row>
    <row r="293">
      <c r="A293" s="94" t="n">
        <v>43374</v>
      </c>
      <c r="B293" s="164">
        <f>VLOOKUP(A293,'U.S. GDP'!A:B,2,)</f>
        <v/>
      </c>
      <c r="C293" s="164">
        <f>VLOOKUP(A293,PersonalConsumption!A:B,2,)</f>
        <v/>
      </c>
      <c r="D293" s="164">
        <f>VLOOKUP(A293,PrivateInvestment!A:B,2,)</f>
        <v/>
      </c>
      <c r="E293" s="164">
        <f>VLOOKUP(A293,Exports!A:B,2,)</f>
        <v/>
      </c>
      <c r="F293" s="164">
        <f>VLOOKUP(A293,Imports!A:B,2,)</f>
        <v/>
      </c>
      <c r="G293" s="164">
        <f>VLOOKUP(A293,Government!A:B,2,)</f>
        <v/>
      </c>
      <c r="H293" s="85">
        <f>Table58[[#This Row],[Personal Consumption]]/Table58[[#This Row],[GDP]]</f>
        <v/>
      </c>
      <c r="I293" s="85">
        <f>Table58[[#This Row],[Private Investment]]/Table58[[#This Row],[GDP]]</f>
        <v/>
      </c>
      <c r="J293" s="85">
        <f>Table58[[#This Row],[Exports]]/Table58[[#This Row],[GDP]]</f>
        <v/>
      </c>
      <c r="K293" s="85">
        <f>-Table58[[#This Row],[Imports]]/Table58[[#This Row],[GDP]]</f>
        <v/>
      </c>
      <c r="L293" s="85">
        <f>Table58[[#This Row],[Government]]/Table58[[#This Row],[GDP]]</f>
        <v/>
      </c>
      <c r="N293" s="52">
        <f>SUM(Table58[[#This Row],[PC%]:[G%]])</f>
        <v/>
      </c>
      <c r="O293" s="55">
        <f>Table58[[#This Row],[Personal Consumption]]+Table58[[#This Row],[Private Investment]]+Table58[[#This Row],[Exports]]+Table58[[#This Row],[Government]]-Table58[[#This Row],[Imports]]</f>
        <v/>
      </c>
    </row>
    <row r="294">
      <c r="A294" s="94" t="n">
        <v>43466</v>
      </c>
      <c r="B294" s="164">
        <f>VLOOKUP(A294,'U.S. GDP'!A:B,2,)</f>
        <v/>
      </c>
      <c r="C294" s="164">
        <f>VLOOKUP(A294,PersonalConsumption!A:B,2,)</f>
        <v/>
      </c>
      <c r="D294" s="164">
        <f>VLOOKUP(A294,PrivateInvestment!A:B,2,)</f>
        <v/>
      </c>
      <c r="E294" s="95">
        <f>VLOOKUP(A294,Exports!A:B,2,)</f>
        <v/>
      </c>
      <c r="F294" s="164">
        <f>VLOOKUP(A294,Imports!A:B,2,)</f>
        <v/>
      </c>
      <c r="G294" s="85">
        <f>VLOOKUP(A294,Government!A:B,2,)</f>
        <v/>
      </c>
      <c r="H294" s="85">
        <f>Table58[[#This Row],[Personal Consumption]]/Table58[[#This Row],[GDP]]</f>
        <v/>
      </c>
      <c r="I294" s="85">
        <f>Table58[[#This Row],[Private Investment]]/Table58[[#This Row],[GDP]]</f>
        <v/>
      </c>
      <c r="J294" s="85">
        <f>Table58[[#This Row],[Exports]]/Table58[[#This Row],[GDP]]</f>
        <v/>
      </c>
      <c r="K294" s="85">
        <f>-Table58[[#This Row],[Imports]]/Table58[[#This Row],[GDP]]</f>
        <v/>
      </c>
      <c r="L294" s="85">
        <f>Table58[[#This Row],[Government]]/Table58[[#This Row],[GDP]]</f>
        <v/>
      </c>
      <c r="N294" s="52">
        <f>SUM(Table58[[#This Row],[PC%]:[G%]])</f>
        <v/>
      </c>
      <c r="O294" s="55">
        <f>Table58[[#This Row],[Personal Consumption]]+Table58[[#This Row],[Private Investment]]+Table58[[#This Row],[Exports]]+Table58[[#This Row],[Government]]-Table58[[#This Row],[Imports]]</f>
        <v/>
      </c>
    </row>
    <row r="295">
      <c r="A295" s="94" t="n">
        <v>43556</v>
      </c>
      <c r="B295" s="164">
        <f>VLOOKUP(A295,'U.S. GDP'!A:B,2,)</f>
        <v/>
      </c>
      <c r="C295" s="164">
        <f>VLOOKUP(A295,PersonalConsumption!A:B,2,)</f>
        <v/>
      </c>
      <c r="D295" s="164">
        <f>VLOOKUP(A295,PrivateInvestment!A:B,2,)</f>
        <v/>
      </c>
      <c r="E295" s="164">
        <f>VLOOKUP(A295,Exports!A:B,2,)</f>
        <v/>
      </c>
      <c r="F295" s="164">
        <f>VLOOKUP(A295,Imports!A:B,2,)</f>
        <v/>
      </c>
      <c r="G295" s="164">
        <f>VLOOKUP(A295,Government!A:B,2,)</f>
        <v/>
      </c>
      <c r="H295" s="85">
        <f>Table58[[#This Row],[Personal Consumption]]/Table58[[#This Row],[GDP]]</f>
        <v/>
      </c>
      <c r="I295" s="85">
        <f>Table58[[#This Row],[Private Investment]]/Table58[[#This Row],[GDP]]</f>
        <v/>
      </c>
      <c r="J295" s="85">
        <f>Table58[[#This Row],[Exports]]/Table58[[#This Row],[GDP]]</f>
        <v/>
      </c>
      <c r="K295" s="85">
        <f>-Table58[[#This Row],[Imports]]/Table58[[#This Row],[GDP]]</f>
        <v/>
      </c>
      <c r="L295" s="85">
        <f>Table58[[#This Row],[Government]]/Table58[[#This Row],[GDP]]</f>
        <v/>
      </c>
      <c r="N295" s="52">
        <f>SUM(Table58[[#This Row],[PC%]:[G%]])</f>
        <v/>
      </c>
      <c r="O295" s="55">
        <f>Table58[[#This Row],[Personal Consumption]]+Table58[[#This Row],[Private Investment]]+Table58[[#This Row],[Exports]]+Table58[[#This Row],[Government]]-Table58[[#This Row],[Imports]]</f>
        <v/>
      </c>
    </row>
    <row r="296">
      <c r="A296" s="94" t="n">
        <v>43647</v>
      </c>
      <c r="B296" s="164">
        <f>VLOOKUP(A296,'U.S. GDP'!A:B,2,)</f>
        <v/>
      </c>
      <c r="C296" s="164">
        <f>VLOOKUP(A296,PersonalConsumption!A:B,2,)</f>
        <v/>
      </c>
      <c r="D296" s="164">
        <f>VLOOKUP(A296,PrivateInvestment!A:B,2,)</f>
        <v/>
      </c>
      <c r="E296" s="95">
        <f>VLOOKUP(A296,Exports!A:B,2,)</f>
        <v/>
      </c>
      <c r="F296" s="164">
        <f>VLOOKUP(A296,Imports!A:B,2,)</f>
        <v/>
      </c>
      <c r="G296" s="85">
        <f>VLOOKUP(A296,Government!A:B,2,)</f>
        <v/>
      </c>
      <c r="H296" s="85">
        <f>Table58[[#This Row],[Personal Consumption]]/Table58[[#This Row],[GDP]]</f>
        <v/>
      </c>
      <c r="I296" s="85">
        <f>Table58[[#This Row],[Private Investment]]/Table58[[#This Row],[GDP]]</f>
        <v/>
      </c>
      <c r="J296" s="85">
        <f>Table58[[#This Row],[Exports]]/Table58[[#This Row],[GDP]]</f>
        <v/>
      </c>
      <c r="K296" s="85">
        <f>-Table58[[#This Row],[Imports]]/Table58[[#This Row],[GDP]]</f>
        <v/>
      </c>
      <c r="L296" s="85">
        <f>Table58[[#This Row],[Government]]/Table58[[#This Row],[GDP]]</f>
        <v/>
      </c>
      <c r="M296" s="125" t="n"/>
      <c r="N296" s="52">
        <f>SUM(Table58[[#This Row],[PC%]:[G%]])</f>
        <v/>
      </c>
      <c r="O296" s="55">
        <f>Table58[[#This Row],[Personal Consumption]]+Table58[[#This Row],[Private Investment]]+Table58[[#This Row],[Exports]]+Table58[[#This Row],[Government]]-Table58[[#This Row],[Imports]]</f>
        <v/>
      </c>
    </row>
    <row r="297">
      <c r="A297" s="94" t="n">
        <v>43739</v>
      </c>
      <c r="B297" s="164">
        <f>VLOOKUP(A297,'U.S. GDP'!A:B,2,)</f>
        <v/>
      </c>
      <c r="C297" s="164">
        <f>VLOOKUP(A297,PersonalConsumption!A:B,2,)</f>
        <v/>
      </c>
      <c r="D297" s="164">
        <f>VLOOKUP(A297,PrivateInvestment!A:B,2,)</f>
        <v/>
      </c>
      <c r="E297" s="164">
        <f>VLOOKUP(A297,Exports!A:B,2,)</f>
        <v/>
      </c>
      <c r="F297" s="164">
        <f>VLOOKUP(A297,Imports!A:B,2,)</f>
        <v/>
      </c>
      <c r="G297" s="164">
        <f>VLOOKUP(A297,Government!A:B,2,)</f>
        <v/>
      </c>
      <c r="H297" s="85">
        <f>Table58[[#This Row],[Personal Consumption]]/Table58[[#This Row],[GDP]]</f>
        <v/>
      </c>
      <c r="I297" s="85">
        <f>Table58[[#This Row],[Private Investment]]/Table58[[#This Row],[GDP]]</f>
        <v/>
      </c>
      <c r="J297" s="85">
        <f>Table58[[#This Row],[Exports]]/Table58[[#This Row],[GDP]]</f>
        <v/>
      </c>
      <c r="K297" s="85">
        <f>-Table58[[#This Row],[Imports]]/Table58[[#This Row],[GDP]]</f>
        <v/>
      </c>
      <c r="L297" s="85">
        <f>Table58[[#This Row],[Government]]/Table58[[#This Row],[GDP]]</f>
        <v/>
      </c>
      <c r="M297" s="125" t="n"/>
      <c r="N297" s="52">
        <f>SUM(Table58[[#This Row],[PC%]:[G%]])</f>
        <v/>
      </c>
      <c r="O297" s="55">
        <f>Table58[[#This Row],[Personal Consumption]]+Table58[[#This Row],[Private Investment]]+Table58[[#This Row],[Exports]]+Table58[[#This Row],[Government]]-Table58[[#This Row],[Imports]]</f>
        <v/>
      </c>
    </row>
    <row r="298">
      <c r="A298" s="94" t="n">
        <v>43831</v>
      </c>
      <c r="B298" s="164">
        <f>VLOOKUP(A298,'U.S. GDP'!A:B,2,)</f>
        <v/>
      </c>
      <c r="C298" s="164">
        <f>VLOOKUP(A298,PersonalConsumption!A:B,2,)</f>
        <v/>
      </c>
      <c r="D298" s="164">
        <f>VLOOKUP(A298,PrivateInvestment!A:B,2,)</f>
        <v/>
      </c>
      <c r="E298" s="95">
        <f>VLOOKUP(A298,Exports!A:B,2,)</f>
        <v/>
      </c>
      <c r="F298" s="164">
        <f>VLOOKUP(A298,Imports!A:B,2,)</f>
        <v/>
      </c>
      <c r="G298" s="85">
        <f>VLOOKUP(A298,Government!A:B,2,)</f>
        <v/>
      </c>
      <c r="H298" s="85">
        <f>Table58[[#This Row],[Personal Consumption]]/Table58[[#This Row],[GDP]]</f>
        <v/>
      </c>
      <c r="I298" s="85">
        <f>Table58[[#This Row],[Private Investment]]/Table58[[#This Row],[GDP]]</f>
        <v/>
      </c>
      <c r="J298" s="85">
        <f>Table58[[#This Row],[Exports]]/Table58[[#This Row],[GDP]]</f>
        <v/>
      </c>
      <c r="K298" s="85">
        <f>-Table58[[#This Row],[Imports]]/Table58[[#This Row],[GDP]]</f>
        <v/>
      </c>
      <c r="L298" s="85">
        <f>Table58[[#This Row],[Government]]/Table58[[#This Row],[GDP]]</f>
        <v/>
      </c>
      <c r="M298" s="125" t="n"/>
      <c r="N298" s="52">
        <f>SUM(Table58[[#This Row],[PC%]:[G%]])</f>
        <v/>
      </c>
      <c r="O298" s="55">
        <f>Table58[[#This Row],[Personal Consumption]]+Table58[[#This Row],[Private Investment]]+Table58[[#This Row],[Exports]]+Table58[[#This Row],[Government]]-Table58[[#This Row],[Imports]]</f>
        <v/>
      </c>
    </row>
    <row r="299">
      <c r="A299" s="94" t="n">
        <v>43922</v>
      </c>
      <c r="B299" s="164">
        <f>VLOOKUP(A299,'U.S. GDP'!A:B,2,)</f>
        <v/>
      </c>
      <c r="C299" s="164">
        <f>VLOOKUP(A299,PersonalConsumption!A:B,2,)</f>
        <v/>
      </c>
      <c r="D299" s="164">
        <f>VLOOKUP(A299,PrivateInvestment!A:B,2,)</f>
        <v/>
      </c>
      <c r="E299" s="164">
        <f>VLOOKUP(A299,Exports!A:B,2,)</f>
        <v/>
      </c>
      <c r="F299" s="164">
        <f>VLOOKUP(A299,Imports!A:B,2,)</f>
        <v/>
      </c>
      <c r="G299" s="164">
        <f>VLOOKUP(A299,Government!A:B,2,)</f>
        <v/>
      </c>
      <c r="H299" s="85">
        <f>Table58[[#This Row],[Personal Consumption]]/Table58[[#This Row],[GDP]]</f>
        <v/>
      </c>
      <c r="I299" s="85">
        <f>Table58[[#This Row],[Private Investment]]/Table58[[#This Row],[GDP]]</f>
        <v/>
      </c>
      <c r="J299" s="85">
        <f>Table58[[#This Row],[Exports]]/Table58[[#This Row],[GDP]]</f>
        <v/>
      </c>
      <c r="K299" s="85">
        <f>-Table58[[#This Row],[Imports]]/Table58[[#This Row],[GDP]]</f>
        <v/>
      </c>
      <c r="L299" s="85">
        <f>Table58[[#This Row],[Government]]/Table58[[#This Row],[GDP]]</f>
        <v/>
      </c>
      <c r="M299" s="125" t="n"/>
      <c r="N299" s="52">
        <f>SUM(Table58[[#This Row],[PC%]:[G%]])</f>
        <v/>
      </c>
      <c r="O299" s="55">
        <f>Table58[[#This Row],[Personal Consumption]]+Table58[[#This Row],[Private Investment]]+Table58[[#This Row],[Exports]]+Table58[[#This Row],[Government]]-Table58[[#This Row],[Imports]]</f>
        <v/>
      </c>
    </row>
    <row r="300">
      <c r="A300" s="94" t="n">
        <v>44013</v>
      </c>
      <c r="B300" s="164">
        <f>VLOOKUP(A300,'U.S. GDP'!A:B,2,)</f>
        <v/>
      </c>
      <c r="C300" s="164">
        <f>VLOOKUP(A300,PersonalConsumption!A:B,2,)</f>
        <v/>
      </c>
      <c r="D300" s="164">
        <f>VLOOKUP(A300,PrivateInvestment!A:B,2,)</f>
        <v/>
      </c>
      <c r="E300" s="95">
        <f>VLOOKUP(A300,Exports!A:B,2,)</f>
        <v/>
      </c>
      <c r="F300" s="164">
        <f>VLOOKUP(A300,Imports!A:B,2,)</f>
        <v/>
      </c>
      <c r="G300" s="85">
        <f>VLOOKUP(A300,Government!A:B,2,)</f>
        <v/>
      </c>
      <c r="H300" s="85">
        <f>Table58[[#This Row],[Personal Consumption]]/Table58[[#This Row],[GDP]]</f>
        <v/>
      </c>
      <c r="I300" s="85">
        <f>Table58[[#This Row],[Private Investment]]/Table58[[#This Row],[GDP]]</f>
        <v/>
      </c>
      <c r="J300" s="85">
        <f>Table58[[#This Row],[Exports]]/Table58[[#This Row],[GDP]]</f>
        <v/>
      </c>
      <c r="K300" s="85">
        <f>-Table58[[#This Row],[Imports]]/Table58[[#This Row],[GDP]]</f>
        <v/>
      </c>
      <c r="L300" s="85">
        <f>Table58[[#This Row],[Government]]/Table58[[#This Row],[GDP]]</f>
        <v/>
      </c>
      <c r="M300" s="125" t="n"/>
      <c r="N300" s="52">
        <f>SUM(Table58[[#This Row],[PC%]:[G%]])</f>
        <v/>
      </c>
      <c r="O300" s="55">
        <f>Table58[[#This Row],[Personal Consumption]]+Table58[[#This Row],[Private Investment]]+Table58[[#This Row],[Exports]]+Table58[[#This Row],[Government]]-Table58[[#This Row],[Imports]]</f>
        <v/>
      </c>
    </row>
    <row r="301">
      <c r="A301" s="94" t="n">
        <v>44105</v>
      </c>
      <c r="B301" s="164">
        <f>VLOOKUP(A301,'U.S. GDP'!A:B,2,)</f>
        <v/>
      </c>
      <c r="C301" s="164">
        <f>VLOOKUP(A301,PersonalConsumption!A:B,2,)</f>
        <v/>
      </c>
      <c r="D301" s="164">
        <f>VLOOKUP(A301,PrivateInvestment!A:B,2,)</f>
        <v/>
      </c>
      <c r="E301" s="164">
        <f>VLOOKUP(A301,Exports!A:B,2,)</f>
        <v/>
      </c>
      <c r="F301" s="164">
        <f>VLOOKUP(A301,Imports!A:B,2,)</f>
        <v/>
      </c>
      <c r="G301" s="164">
        <f>VLOOKUP(A301,Government!A:B,2,)</f>
        <v/>
      </c>
      <c r="H301" s="85">
        <f>Table58[[#This Row],[Personal Consumption]]/Table58[[#This Row],[GDP]]</f>
        <v/>
      </c>
      <c r="I301" s="85">
        <f>Table58[[#This Row],[Private Investment]]/Table58[[#This Row],[GDP]]</f>
        <v/>
      </c>
      <c r="J301" s="85">
        <f>Table58[[#This Row],[Exports]]/Table58[[#This Row],[GDP]]</f>
        <v/>
      </c>
      <c r="K301" s="85">
        <f>-Table58[[#This Row],[Imports]]/Table58[[#This Row],[GDP]]</f>
        <v/>
      </c>
      <c r="L301" s="85">
        <f>Table58[[#This Row],[Government]]/Table58[[#This Row],[GDP]]</f>
        <v/>
      </c>
      <c r="M301" s="125" t="n"/>
      <c r="N301" s="52">
        <f>SUM(Table58[[#This Row],[PC%]:[G%]])</f>
        <v/>
      </c>
      <c r="O301" s="55">
        <f>Table58[[#This Row],[Personal Consumption]]+Table58[[#This Row],[Private Investment]]+Table58[[#This Row],[Exports]]+Table58[[#This Row],[Government]]-Table58[[#This Row],[Imports]]</f>
        <v/>
      </c>
    </row>
    <row r="302">
      <c r="A302" s="94" t="n">
        <v>44197</v>
      </c>
      <c r="B302" s="164">
        <f>VLOOKUP(A302,'U.S. GDP'!A:B,2,)</f>
        <v/>
      </c>
      <c r="C302" s="164">
        <f>VLOOKUP(A302,PersonalConsumption!A:B,2,)</f>
        <v/>
      </c>
      <c r="D302" s="164">
        <f>VLOOKUP(A302,PrivateInvestment!A:B,2,)</f>
        <v/>
      </c>
      <c r="E302" s="95">
        <f>VLOOKUP(A302,Exports!A:B,2,)</f>
        <v/>
      </c>
      <c r="F302" s="164">
        <f>VLOOKUP(A302,Imports!A:B,2,)</f>
        <v/>
      </c>
      <c r="G302" s="85">
        <f>VLOOKUP(A302,Government!A:B,2,)</f>
        <v/>
      </c>
      <c r="H302" s="85">
        <f>Table58[[#This Row],[Personal Consumption]]/Table58[[#This Row],[GDP]]</f>
        <v/>
      </c>
      <c r="I302" s="85">
        <f>Table58[[#This Row],[Private Investment]]/Table58[[#This Row],[GDP]]</f>
        <v/>
      </c>
      <c r="J302" s="85">
        <f>Table58[[#This Row],[Exports]]/Table58[[#This Row],[GDP]]</f>
        <v/>
      </c>
      <c r="K302" s="85">
        <f>-Table58[[#This Row],[Imports]]/Table58[[#This Row],[GDP]]</f>
        <v/>
      </c>
      <c r="L302" s="85">
        <f>Table58[[#This Row],[Government]]/Table58[[#This Row],[GDP]]</f>
        <v/>
      </c>
      <c r="M302" s="125" t="n"/>
      <c r="N302" s="52">
        <f>SUM(Table58[[#This Row],[PC%]:[G%]])</f>
        <v/>
      </c>
      <c r="O302" s="55">
        <f>Table58[[#This Row],[Personal Consumption]]+Table58[[#This Row],[Private Investment]]+Table58[[#This Row],[Exports]]+Table58[[#This Row],[Government]]-Table58[[#This Row],[Imports]]</f>
        <v/>
      </c>
    </row>
    <row r="303">
      <c r="A303" s="94" t="n">
        <v>44287</v>
      </c>
      <c r="B303" s="164">
        <f>VLOOKUP(A303,'U.S. GDP'!A:B,2,)</f>
        <v/>
      </c>
      <c r="C303" s="164">
        <f>VLOOKUP(A303,PersonalConsumption!A:B,2,)</f>
        <v/>
      </c>
      <c r="D303" s="164">
        <f>VLOOKUP(A303,PrivateInvestment!A:B,2,)</f>
        <v/>
      </c>
      <c r="E303" s="164">
        <f>VLOOKUP(A303,Exports!A:B,2,)</f>
        <v/>
      </c>
      <c r="F303" s="164">
        <f>VLOOKUP(A303,Imports!A:B,2,)</f>
        <v/>
      </c>
      <c r="G303" s="164">
        <f>VLOOKUP(A303,Government!A:B,2,)</f>
        <v/>
      </c>
      <c r="H303" s="85">
        <f>Table58[[#This Row],[Personal Consumption]]/Table58[[#This Row],[GDP]]</f>
        <v/>
      </c>
      <c r="I303" s="85">
        <f>Table58[[#This Row],[Private Investment]]/Table58[[#This Row],[GDP]]</f>
        <v/>
      </c>
      <c r="J303" s="85">
        <f>Table58[[#This Row],[Exports]]/Table58[[#This Row],[GDP]]</f>
        <v/>
      </c>
      <c r="K303" s="85">
        <f>-Table58[[#This Row],[Imports]]/Table58[[#This Row],[GDP]]</f>
        <v/>
      </c>
      <c r="L303" s="85">
        <f>Table58[[#This Row],[Government]]/Table58[[#This Row],[GDP]]</f>
        <v/>
      </c>
      <c r="M303" s="125" t="n"/>
      <c r="N303" s="52">
        <f>SUM(Table58[[#This Row],[PC%]:[G%]])</f>
        <v/>
      </c>
      <c r="O303" s="55">
        <f>Table58[[#This Row],[Personal Consumption]]+Table58[[#This Row],[Private Investment]]+Table58[[#This Row],[Exports]]+Table58[[#This Row],[Government]]-Table58[[#This Row],[Imports]]</f>
        <v/>
      </c>
    </row>
    <row r="304">
      <c r="A304" s="94" t="n">
        <v>44378</v>
      </c>
      <c r="B304" s="164">
        <f>VLOOKUP(A304,'U.S. GDP'!A:B,2,)</f>
        <v/>
      </c>
      <c r="C304" s="164">
        <f>VLOOKUP(A304,PersonalConsumption!A:B,2,)</f>
        <v/>
      </c>
      <c r="D304" s="164">
        <f>VLOOKUP(A304,PrivateInvestment!A:B,2,)</f>
        <v/>
      </c>
      <c r="E304" s="95">
        <f>VLOOKUP(A304,Exports!A:B,2,)</f>
        <v/>
      </c>
      <c r="F304" s="164">
        <f>VLOOKUP(A304,Imports!A:B,2,)</f>
        <v/>
      </c>
      <c r="G304" s="85">
        <f>VLOOKUP(A304,Government!A:B,2,)</f>
        <v/>
      </c>
      <c r="H304" s="85">
        <f>Table58[[#This Row],[Personal Consumption]]/Table58[[#This Row],[GDP]]</f>
        <v/>
      </c>
      <c r="I304" s="85">
        <f>Table58[[#This Row],[Private Investment]]/Table58[[#This Row],[GDP]]</f>
        <v/>
      </c>
      <c r="J304" s="85">
        <f>Table58[[#This Row],[Exports]]/Table58[[#This Row],[GDP]]</f>
        <v/>
      </c>
      <c r="K304" s="85">
        <f>-Table58[[#This Row],[Imports]]/Table58[[#This Row],[GDP]]</f>
        <v/>
      </c>
      <c r="L304" s="85">
        <f>Table58[[#This Row],[Government]]/Table58[[#This Row],[GDP]]</f>
        <v/>
      </c>
      <c r="M304" s="125" t="n"/>
      <c r="N304" s="52">
        <f>SUM(Table58[[#This Row],[PC%]:[G%]])</f>
        <v/>
      </c>
      <c r="O304" s="55">
        <f>Table58[[#This Row],[Personal Consumption]]+Table58[[#This Row],[Private Investment]]+Table58[[#This Row],[Exports]]+Table58[[#This Row],[Government]]-Table58[[#This Row],[Imports]]</f>
        <v/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3">
    <outlinePr summaryBelow="1" summaryRight="1"/>
    <pageSetUpPr/>
  </sheetPr>
  <dimension ref="A1:O304"/>
  <sheetViews>
    <sheetView zoomScale="120" zoomScaleNormal="120" workbookViewId="0">
      <pane ySplit="5" topLeftCell="A245" activePane="bottomLeft" state="frozen"/>
      <selection pane="bottomLeft" activeCell="AJ253" sqref="AJ253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</cols>
  <sheetData>
    <row r="1" ht="16" customHeight="1" s="126">
      <c r="A1" s="83" t="inlineStr">
        <is>
          <t>PCECC96</t>
        </is>
      </c>
      <c r="B1" s="171" t="n"/>
      <c r="C1" s="3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https://fred.stlouisfed.org/series/PCECC96</t>
        </is>
      </c>
      <c r="M1" s="125" t="n"/>
      <c r="N1" s="125" t="n"/>
      <c r="O1" s="125" t="n"/>
    </row>
    <row r="2">
      <c r="A2" s="38" t="inlineStr">
        <is>
          <t>Real Personal Consumption Expenditures (PCECC96)</t>
        </is>
      </c>
      <c r="B2" s="172" t="n"/>
      <c r="C2" s="3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VLOOKUP(A6,Database!A:L,MATCH($A$1,Database!$A$1:$L$1,),)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6">
    <outlinePr summaryBelow="1" summaryRight="1"/>
    <pageSetUpPr/>
  </sheetPr>
  <dimension ref="A1:O304"/>
  <sheetViews>
    <sheetView zoomScale="110" zoomScaleNormal="110" workbookViewId="0">
      <pane ySplit="5" topLeftCell="A246" activePane="bottomLeft" state="frozen"/>
      <selection pane="bottomLeft" activeCell="AK292" sqref="AK292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1" t="inlineStr">
        <is>
          <t>GPDIC1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https://fred.stlouisfed.org/series/GPDIC1</t>
        </is>
      </c>
      <c r="M1" s="125" t="n"/>
      <c r="N1" s="125" t="n"/>
      <c r="O1" s="125" t="n"/>
    </row>
    <row r="2">
      <c r="A2" s="104" t="inlineStr">
        <is>
          <t>Real Gross Private Domestic Investment (GPDIC1)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VLOOKUP(A6,Database!A:I,MATCH($A$1,Database!$A$1:$G$1,),)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304"/>
  <sheetViews>
    <sheetView zoomScale="150" zoomScaleNormal="150" workbookViewId="0">
      <pane ySplit="5" topLeftCell="A266" activePane="bottomLeft" state="frozen"/>
      <selection pane="bottomLeft" activeCell="AB267" sqref="AB267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1" t="inlineStr">
        <is>
          <t>EXPGSC1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https://fred.stlouisfed.org/series/EXPGSC1</t>
        </is>
      </c>
      <c r="M1" s="125" t="n"/>
      <c r="N1" s="125" t="n"/>
      <c r="O1" s="125" t="n"/>
    </row>
    <row r="2">
      <c r="A2" s="104" t="inlineStr">
        <is>
          <t>Real Exports of Goods and Services (EXPGSC1)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VLOOKUP(A6,Database!A:I,MATCH($A$1,Database!$A$1:$G$1,),)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304"/>
  <sheetViews>
    <sheetView zoomScale="120" zoomScaleNormal="120" workbookViewId="0">
      <pane ySplit="5" topLeftCell="A256" activePane="bottomLeft" state="frozen"/>
      <selection pane="bottomLeft" activeCell="AI263" sqref="AI263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1" t="inlineStr">
        <is>
          <t>IMPGSC1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https://fred.stlouisfed.org/series/IMPGSC1</t>
        </is>
      </c>
      <c r="M1" s="125" t="n"/>
      <c r="N1" s="125" t="n"/>
      <c r="O1" s="125" t="n"/>
    </row>
    <row r="2">
      <c r="A2" s="104" t="inlineStr">
        <is>
          <t xml:space="preserve">Real Imports of Goods and Services 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VLOOKUP(A6,Database!A:L,MATCH($A$1,Database!$A$1:$L$1,),)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304"/>
  <sheetViews>
    <sheetView zoomScale="130" zoomScaleNormal="130" workbookViewId="0">
      <pane ySplit="5" topLeftCell="A258" activePane="bottomLeft" state="frozen"/>
      <selection pane="bottomLeft" activeCell="AB261" sqref="AB261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1" t="inlineStr">
        <is>
          <t>GCEC1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https://fred.stlouisfed.org/series/GCEC1</t>
        </is>
      </c>
      <c r="M1" s="125" t="n"/>
      <c r="N1" s="125" t="n"/>
      <c r="O1" s="125" t="n"/>
    </row>
    <row r="2">
      <c r="A2" s="104" t="inlineStr">
        <is>
          <t>Government Consumption Expenditures and Gross Investment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VLOOKUP(A6,Database!A:I,MATCH($A$1,Database!$A$1:$G$1,),)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304"/>
  <sheetViews>
    <sheetView zoomScale="130" zoomScaleNormal="130" workbookViewId="0">
      <pane ySplit="5" topLeftCell="A257" activePane="bottomLeft" state="frozen"/>
      <selection pane="bottomLeft" activeCell="AD288" sqref="AD288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7" t="inlineStr">
        <is>
          <t>GDPCTPI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https://fred.stlouisfed.org/series/GDPCTPI</t>
        </is>
      </c>
      <c r="M1" s="125" t="n"/>
      <c r="N1" s="125" t="n"/>
      <c r="O1" s="125" t="n"/>
    </row>
    <row r="2">
      <c r="A2" s="104" t="inlineStr">
        <is>
          <t xml:space="preserve">Gross Domestic Product: Chain-type Price Index 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>
        <f>VLOOKUP(A6,Database!A:I,MATCH($A$1,Database!$A$1:$G$1,),)</f>
        <v/>
      </c>
      <c r="C6" s="81" t="n"/>
      <c r="D6" s="81" t="n"/>
      <c r="E6" s="81">
        <f>((1+C6)^4)-1</f>
        <v/>
      </c>
    </row>
    <row r="7">
      <c r="A7" s="79" t="n">
        <v>17258</v>
      </c>
      <c r="B7" s="164">
        <f>VLOOKUP(A7,Database!A:L,MATCH($A$1,Database!$A$1:$L$1,),)</f>
        <v/>
      </c>
      <c r="C7" s="85">
        <f>(B7-B6)/B6</f>
        <v/>
      </c>
      <c r="D7" s="81" t="n"/>
      <c r="E7" s="81">
        <f>((1+C7)^4)-1</f>
        <v/>
      </c>
    </row>
    <row r="8">
      <c r="A8" s="79" t="n">
        <v>17349</v>
      </c>
      <c r="B8" s="164">
        <f>VLOOKUP(A8,Database!A:L,MATCH($A$1,Database!$A$1:$L$1,),)</f>
        <v/>
      </c>
      <c r="C8" s="85">
        <f>(B8-B7)/B7</f>
        <v/>
      </c>
      <c r="D8" s="81" t="n"/>
      <c r="E8" s="81">
        <f>((1+C8)^4)-1</f>
        <v/>
      </c>
    </row>
    <row r="9">
      <c r="A9" s="79" t="n">
        <v>17441</v>
      </c>
      <c r="B9" s="164">
        <f>VLOOKUP(A9,Database!A:L,MATCH($A$1,Database!$A$1:$L$1,),)</f>
        <v/>
      </c>
      <c r="C9" s="85">
        <f>(B9-B8)/B8</f>
        <v/>
      </c>
      <c r="D9" s="81" t="n"/>
      <c r="E9" s="81">
        <f>((1+C9)^4)-1</f>
        <v/>
      </c>
    </row>
    <row r="10">
      <c r="A10" s="79" t="n">
        <v>17533</v>
      </c>
      <c r="B10" s="164">
        <f>VLOOKUP(A10,Database!A:L,MATCH($A$1,Database!$A$1:$L$1,),)</f>
        <v/>
      </c>
      <c r="C10" s="85">
        <f>(B10-B9)/B9</f>
        <v/>
      </c>
      <c r="D10" s="81">
        <f>(B10-B6)/B6</f>
        <v/>
      </c>
      <c r="E10" s="81">
        <f>((1+C10)^4)-1</f>
        <v/>
      </c>
    </row>
    <row r="11">
      <c r="A11" s="79" t="n">
        <v>17624</v>
      </c>
      <c r="B11" s="164">
        <f>VLOOKUP(A11,Database!A:L,MATCH($A$1,Database!$A$1:$L$1,),)</f>
        <v/>
      </c>
      <c r="C11" s="85">
        <f>(B11-B10)/B10</f>
        <v/>
      </c>
      <c r="D11" s="81">
        <f>(B11-B7)/B7</f>
        <v/>
      </c>
      <c r="E11" s="81">
        <f>((1+C11)^4)-1</f>
        <v/>
      </c>
    </row>
    <row r="12">
      <c r="A12" s="79" t="n">
        <v>17715</v>
      </c>
      <c r="B12" s="164">
        <f>VLOOKUP(A12,Database!A:L,MATCH($A$1,Database!$A$1:$L$1,),)</f>
        <v/>
      </c>
      <c r="C12" s="85">
        <f>(B12-B11)/B11</f>
        <v/>
      </c>
      <c r="D12" s="81">
        <f>(B12-B8)/B8</f>
        <v/>
      </c>
      <c r="E12" s="81">
        <f>((1+C12)^4)-1</f>
        <v/>
      </c>
    </row>
    <row r="13">
      <c r="A13" s="79" t="n">
        <v>17807</v>
      </c>
      <c r="B13" s="164">
        <f>VLOOKUP(A13,Database!A:L,MATCH($A$1,Database!$A$1:$L$1,),)</f>
        <v/>
      </c>
      <c r="C13" s="85">
        <f>(B13-B12)/B12</f>
        <v/>
      </c>
      <c r="D13" s="81">
        <f>(B13-B9)/B9</f>
        <v/>
      </c>
      <c r="E13" s="81">
        <f>((1+C13)^4)-1</f>
        <v/>
      </c>
    </row>
    <row r="14">
      <c r="A14" s="79" t="n">
        <v>17899</v>
      </c>
      <c r="B14" s="164">
        <f>VLOOKUP(A14,Database!A:L,MATCH($A$1,Database!$A$1:$L$1,),)</f>
        <v/>
      </c>
      <c r="C14" s="85">
        <f>(B14-B13)/B13</f>
        <v/>
      </c>
      <c r="D14" s="81">
        <f>(B14-B10)/B10</f>
        <v/>
      </c>
      <c r="E14" s="81">
        <f>((1+C14)^4)-1</f>
        <v/>
      </c>
    </row>
    <row r="15">
      <c r="A15" s="79" t="n">
        <v>17989</v>
      </c>
      <c r="B15" s="164">
        <f>VLOOKUP(A15,Database!A:L,MATCH($A$1,Database!$A$1:$L$1,),)</f>
        <v/>
      </c>
      <c r="C15" s="85">
        <f>(B15-B14)/B14</f>
        <v/>
      </c>
      <c r="D15" s="81">
        <f>(B15-B11)/B11</f>
        <v/>
      </c>
      <c r="E15" s="81">
        <f>((1+C15)^4)-1</f>
        <v/>
      </c>
    </row>
    <row r="16">
      <c r="A16" s="79" t="n">
        <v>18080</v>
      </c>
      <c r="B16" s="164">
        <f>VLOOKUP(A16,Database!A:L,MATCH($A$1,Database!$A$1:$L$1,),)</f>
        <v/>
      </c>
      <c r="C16" s="85">
        <f>(B16-B15)/B15</f>
        <v/>
      </c>
      <c r="D16" s="81">
        <f>(B16-B12)/B12</f>
        <v/>
      </c>
      <c r="E16" s="81">
        <f>((1+C16)^4)-1</f>
        <v/>
      </c>
    </row>
    <row r="17">
      <c r="A17" s="79" t="n">
        <v>18172</v>
      </c>
      <c r="B17" s="164">
        <f>VLOOKUP(A17,Database!A:L,MATCH($A$1,Database!$A$1:$L$1,),)</f>
        <v/>
      </c>
      <c r="C17" s="85">
        <f>(B17-B16)/B16</f>
        <v/>
      </c>
      <c r="D17" s="81">
        <f>(B17-B13)/B13</f>
        <v/>
      </c>
      <c r="E17" s="81">
        <f>((1+C17)^4)-1</f>
        <v/>
      </c>
    </row>
    <row r="18">
      <c r="A18" s="79" t="n">
        <v>18264</v>
      </c>
      <c r="B18" s="164">
        <f>VLOOKUP(A18,Database!A:L,MATCH($A$1,Database!$A$1:$L$1,),)</f>
        <v/>
      </c>
      <c r="C18" s="85">
        <f>(B18-B17)/B17</f>
        <v/>
      </c>
      <c r="D18" s="81">
        <f>(B18-B14)/B14</f>
        <v/>
      </c>
      <c r="E18" s="81">
        <f>((1+C18)^4)-1</f>
        <v/>
      </c>
    </row>
    <row r="19">
      <c r="A19" s="79" t="n">
        <v>18354</v>
      </c>
      <c r="B19" s="164">
        <f>VLOOKUP(A19,Database!A:L,MATCH($A$1,Database!$A$1:$L$1,),)</f>
        <v/>
      </c>
      <c r="C19" s="85">
        <f>(B19-B18)/B18</f>
        <v/>
      </c>
      <c r="D19" s="81">
        <f>(B19-B15)/B15</f>
        <v/>
      </c>
      <c r="E19" s="81">
        <f>((1+C19)^4)-1</f>
        <v/>
      </c>
    </row>
    <row r="20">
      <c r="A20" s="79" t="n">
        <v>18445</v>
      </c>
      <c r="B20" s="164">
        <f>VLOOKUP(A20,Database!A:L,MATCH($A$1,Database!$A$1:$L$1,),)</f>
        <v/>
      </c>
      <c r="C20" s="85">
        <f>(B20-B19)/B19</f>
        <v/>
      </c>
      <c r="D20" s="81">
        <f>(B20-B16)/B16</f>
        <v/>
      </c>
      <c r="E20" s="81">
        <f>((1+C20)^4)-1</f>
        <v/>
      </c>
    </row>
    <row r="21">
      <c r="A21" s="79" t="n">
        <v>18537</v>
      </c>
      <c r="B21" s="164">
        <f>VLOOKUP(A21,Database!A:L,MATCH($A$1,Database!$A$1:$L$1,),)</f>
        <v/>
      </c>
      <c r="C21" s="85">
        <f>(B21-B20)/B20</f>
        <v/>
      </c>
      <c r="D21" s="81">
        <f>(B21-B17)/B17</f>
        <v/>
      </c>
      <c r="E21" s="81">
        <f>((1+C21)^4)-1</f>
        <v/>
      </c>
    </row>
    <row r="22">
      <c r="A22" s="79" t="n">
        <v>18629</v>
      </c>
      <c r="B22" s="164">
        <f>VLOOKUP(A22,Database!A:L,MATCH($A$1,Database!$A$1:$L$1,),)</f>
        <v/>
      </c>
      <c r="C22" s="85">
        <f>(B22-B21)/B21</f>
        <v/>
      </c>
      <c r="D22" s="81">
        <f>(B22-B18)/B18</f>
        <v/>
      </c>
      <c r="E22" s="81">
        <f>((1+C22)^4)-1</f>
        <v/>
      </c>
    </row>
    <row r="23">
      <c r="A23" s="79" t="n">
        <v>18719</v>
      </c>
      <c r="B23" s="164">
        <f>VLOOKUP(A23,Database!A:L,MATCH($A$1,Database!$A$1:$L$1,),)</f>
        <v/>
      </c>
      <c r="C23" s="85">
        <f>(B23-B22)/B22</f>
        <v/>
      </c>
      <c r="D23" s="81">
        <f>(B23-B19)/B19</f>
        <v/>
      </c>
      <c r="E23" s="81">
        <f>((1+C23)^4)-1</f>
        <v/>
      </c>
    </row>
    <row r="24">
      <c r="A24" s="79" t="n">
        <v>18810</v>
      </c>
      <c r="B24" s="164">
        <f>VLOOKUP(A24,Database!A:L,MATCH($A$1,Database!$A$1:$L$1,),)</f>
        <v/>
      </c>
      <c r="C24" s="85">
        <f>(B24-B23)/B23</f>
        <v/>
      </c>
      <c r="D24" s="81">
        <f>(B24-B20)/B20</f>
        <v/>
      </c>
      <c r="E24" s="81">
        <f>((1+C24)^4)-1</f>
        <v/>
      </c>
    </row>
    <row r="25">
      <c r="A25" s="79" t="n">
        <v>18902</v>
      </c>
      <c r="B25" s="164">
        <f>VLOOKUP(A25,Database!A:L,MATCH($A$1,Database!$A$1:$L$1,),)</f>
        <v/>
      </c>
      <c r="C25" s="85">
        <f>(B25-B24)/B24</f>
        <v/>
      </c>
      <c r="D25" s="81">
        <f>(B25-B21)/B21</f>
        <v/>
      </c>
      <c r="E25" s="81">
        <f>((1+C25)^4)-1</f>
        <v/>
      </c>
    </row>
    <row r="26">
      <c r="A26" s="79" t="n">
        <v>18994</v>
      </c>
      <c r="B26" s="164">
        <f>VLOOKUP(A26,Database!A:L,MATCH($A$1,Database!$A$1:$L$1,),)</f>
        <v/>
      </c>
      <c r="C26" s="85">
        <f>(B26-B25)/B25</f>
        <v/>
      </c>
      <c r="D26" s="81">
        <f>(B26-B22)/B22</f>
        <v/>
      </c>
      <c r="E26" s="81">
        <f>((1+C26)^4)-1</f>
        <v/>
      </c>
    </row>
    <row r="27">
      <c r="A27" s="79" t="n">
        <v>19085</v>
      </c>
      <c r="B27" s="164">
        <f>VLOOKUP(A27,Database!A:L,MATCH($A$1,Database!$A$1:$L$1,),)</f>
        <v/>
      </c>
      <c r="C27" s="85">
        <f>(B27-B26)/B26</f>
        <v/>
      </c>
      <c r="D27" s="81">
        <f>(B27-B23)/B23</f>
        <v/>
      </c>
      <c r="E27" s="81">
        <f>((1+C27)^4)-1</f>
        <v/>
      </c>
    </row>
    <row r="28">
      <c r="A28" s="79" t="n">
        <v>19176</v>
      </c>
      <c r="B28" s="164">
        <f>VLOOKUP(A28,Database!A:L,MATCH($A$1,Database!$A$1:$L$1,),)</f>
        <v/>
      </c>
      <c r="C28" s="85">
        <f>(B28-B27)/B27</f>
        <v/>
      </c>
      <c r="D28" s="81">
        <f>(B28-B24)/B24</f>
        <v/>
      </c>
      <c r="E28" s="81">
        <f>((1+C28)^4)-1</f>
        <v/>
      </c>
    </row>
    <row r="29">
      <c r="A29" s="79" t="n">
        <v>19268</v>
      </c>
      <c r="B29" s="164">
        <f>VLOOKUP(A29,Database!A:L,MATCH($A$1,Database!$A$1:$L$1,),)</f>
        <v/>
      </c>
      <c r="C29" s="85">
        <f>(B29-B28)/B28</f>
        <v/>
      </c>
      <c r="D29" s="81">
        <f>(B29-B25)/B25</f>
        <v/>
      </c>
      <c r="E29" s="81">
        <f>((1+C29)^4)-1</f>
        <v/>
      </c>
    </row>
    <row r="30">
      <c r="A30" s="79" t="n">
        <v>19360</v>
      </c>
      <c r="B30" s="164">
        <f>VLOOKUP(A30,Database!A:L,MATCH($A$1,Database!$A$1:$L$1,),)</f>
        <v/>
      </c>
      <c r="C30" s="85">
        <f>(B30-B29)/B29</f>
        <v/>
      </c>
      <c r="D30" s="81">
        <f>(B30-B26)/B26</f>
        <v/>
      </c>
      <c r="E30" s="81">
        <f>((1+C30)^4)-1</f>
        <v/>
      </c>
    </row>
    <row r="31">
      <c r="A31" s="79" t="n">
        <v>19450</v>
      </c>
      <c r="B31" s="164">
        <f>VLOOKUP(A31,Database!A:L,MATCH($A$1,Database!$A$1:$L$1,),)</f>
        <v/>
      </c>
      <c r="C31" s="85">
        <f>(B31-B30)/B30</f>
        <v/>
      </c>
      <c r="D31" s="81">
        <f>(B31-B27)/B27</f>
        <v/>
      </c>
      <c r="E31" s="81">
        <f>((1+C31)^4)-1</f>
        <v/>
      </c>
    </row>
    <row r="32">
      <c r="A32" s="79" t="n">
        <v>19541</v>
      </c>
      <c r="B32" s="164">
        <f>VLOOKUP(A32,Database!A:L,MATCH($A$1,Database!$A$1:$L$1,),)</f>
        <v/>
      </c>
      <c r="C32" s="85">
        <f>(B32-B31)/B31</f>
        <v/>
      </c>
      <c r="D32" s="81">
        <f>(B32-B28)/B28</f>
        <v/>
      </c>
      <c r="E32" s="81">
        <f>((1+C32)^4)-1</f>
        <v/>
      </c>
    </row>
    <row r="33">
      <c r="A33" s="79" t="n">
        <v>19633</v>
      </c>
      <c r="B33" s="164">
        <f>VLOOKUP(A33,Database!A:L,MATCH($A$1,Database!$A$1:$L$1,),)</f>
        <v/>
      </c>
      <c r="C33" s="85">
        <f>(B33-B32)/B32</f>
        <v/>
      </c>
      <c r="D33" s="81">
        <f>(B33-B29)/B29</f>
        <v/>
      </c>
      <c r="E33" s="81">
        <f>((1+C33)^4)-1</f>
        <v/>
      </c>
    </row>
    <row r="34">
      <c r="A34" s="79" t="n">
        <v>19725</v>
      </c>
      <c r="B34" s="164">
        <f>VLOOKUP(A34,Database!A:L,MATCH($A$1,Database!$A$1:$L$1,),)</f>
        <v/>
      </c>
      <c r="C34" s="85">
        <f>(B34-B33)/B33</f>
        <v/>
      </c>
      <c r="D34" s="81">
        <f>(B34-B30)/B30</f>
        <v/>
      </c>
      <c r="E34" s="81">
        <f>((1+C34)^4)-1</f>
        <v/>
      </c>
    </row>
    <row r="35">
      <c r="A35" s="79" t="n">
        <v>19815</v>
      </c>
      <c r="B35" s="164">
        <f>VLOOKUP(A35,Database!A:L,MATCH($A$1,Database!$A$1:$L$1,),)</f>
        <v/>
      </c>
      <c r="C35" s="85">
        <f>(B35-B34)/B34</f>
        <v/>
      </c>
      <c r="D35" s="81">
        <f>(B35-B31)/B31</f>
        <v/>
      </c>
      <c r="E35" s="81">
        <f>((1+C35)^4)-1</f>
        <v/>
      </c>
    </row>
    <row r="36">
      <c r="A36" s="79" t="n">
        <v>19906</v>
      </c>
      <c r="B36" s="164">
        <f>VLOOKUP(A36,Database!A:L,MATCH($A$1,Database!$A$1:$L$1,),)</f>
        <v/>
      </c>
      <c r="C36" s="85">
        <f>(B36-B35)/B35</f>
        <v/>
      </c>
      <c r="D36" s="81">
        <f>(B36-B32)/B32</f>
        <v/>
      </c>
      <c r="E36" s="81">
        <f>((1+C36)^4)-1</f>
        <v/>
      </c>
    </row>
    <row r="37">
      <c r="A37" s="79" t="n">
        <v>19998</v>
      </c>
      <c r="B37" s="164">
        <f>VLOOKUP(A37,Database!A:L,MATCH($A$1,Database!$A$1:$L$1,),)</f>
        <v/>
      </c>
      <c r="C37" s="85">
        <f>(B37-B36)/B36</f>
        <v/>
      </c>
      <c r="D37" s="81">
        <f>(B37-B33)/B33</f>
        <v/>
      </c>
      <c r="E37" s="81">
        <f>((1+C37)^4)-1</f>
        <v/>
      </c>
    </row>
    <row r="38">
      <c r="A38" s="79" t="n">
        <v>20090</v>
      </c>
      <c r="B38" s="164">
        <f>VLOOKUP(A38,Database!A:L,MATCH($A$1,Database!$A$1:$L$1,),)</f>
        <v/>
      </c>
      <c r="C38" s="85">
        <f>(B38-B37)/B37</f>
        <v/>
      </c>
      <c r="D38" s="81">
        <f>(B38-B34)/B34</f>
        <v/>
      </c>
      <c r="E38" s="81">
        <f>((1+C38)^4)-1</f>
        <v/>
      </c>
    </row>
    <row r="39">
      <c r="A39" s="79" t="n">
        <v>20180</v>
      </c>
      <c r="B39" s="164">
        <f>VLOOKUP(A39,Database!A:L,MATCH($A$1,Database!$A$1:$L$1,),)</f>
        <v/>
      </c>
      <c r="C39" s="85">
        <f>(B39-B38)/B38</f>
        <v/>
      </c>
      <c r="D39" s="81">
        <f>(B39-B35)/B35</f>
        <v/>
      </c>
      <c r="E39" s="81">
        <f>((1+C39)^4)-1</f>
        <v/>
      </c>
    </row>
    <row r="40">
      <c r="A40" s="79" t="n">
        <v>20271</v>
      </c>
      <c r="B40" s="164">
        <f>VLOOKUP(A40,Database!A:L,MATCH($A$1,Database!$A$1:$L$1,),)</f>
        <v/>
      </c>
      <c r="C40" s="85">
        <f>(B40-B39)/B39</f>
        <v/>
      </c>
      <c r="D40" s="81">
        <f>(B40-B36)/B36</f>
        <v/>
      </c>
      <c r="E40" s="81">
        <f>((1+C40)^4)-1</f>
        <v/>
      </c>
    </row>
    <row r="41">
      <c r="A41" s="79" t="n">
        <v>20363</v>
      </c>
      <c r="B41" s="164">
        <f>VLOOKUP(A41,Database!A:L,MATCH($A$1,Database!$A$1:$L$1,),)</f>
        <v/>
      </c>
      <c r="C41" s="85">
        <f>(B41-B40)/B40</f>
        <v/>
      </c>
      <c r="D41" s="81">
        <f>(B41-B37)/B37</f>
        <v/>
      </c>
      <c r="E41" s="81">
        <f>((1+C41)^4)-1</f>
        <v/>
      </c>
    </row>
    <row r="42">
      <c r="A42" s="79" t="n">
        <v>20455</v>
      </c>
      <c r="B42" s="164">
        <f>VLOOKUP(A42,Database!A:L,MATCH($A$1,Database!$A$1:$L$1,),)</f>
        <v/>
      </c>
      <c r="C42" s="85">
        <f>(B42-B41)/B41</f>
        <v/>
      </c>
      <c r="D42" s="81">
        <f>(B42-B38)/B38</f>
        <v/>
      </c>
      <c r="E42" s="81">
        <f>((1+C42)^4)-1</f>
        <v/>
      </c>
    </row>
    <row r="43">
      <c r="A43" s="79" t="n">
        <v>20546</v>
      </c>
      <c r="B43" s="164">
        <f>VLOOKUP(A43,Database!A:L,MATCH($A$1,Database!$A$1:$L$1,),)</f>
        <v/>
      </c>
      <c r="C43" s="85">
        <f>(B43-B42)/B42</f>
        <v/>
      </c>
      <c r="D43" s="81">
        <f>(B43-B39)/B39</f>
        <v/>
      </c>
      <c r="E43" s="81">
        <f>((1+C43)^4)-1</f>
        <v/>
      </c>
    </row>
    <row r="44">
      <c r="A44" s="79" t="n">
        <v>20637</v>
      </c>
      <c r="B44" s="164">
        <f>VLOOKUP(A44,Database!A:L,MATCH($A$1,Database!$A$1:$L$1,),)</f>
        <v/>
      </c>
      <c r="C44" s="85">
        <f>(B44-B43)/B43</f>
        <v/>
      </c>
      <c r="D44" s="81">
        <f>(B44-B40)/B40</f>
        <v/>
      </c>
      <c r="E44" s="81">
        <f>((1+C44)^4)-1</f>
        <v/>
      </c>
    </row>
    <row r="45">
      <c r="A45" s="79" t="n">
        <v>20729</v>
      </c>
      <c r="B45" s="164">
        <f>VLOOKUP(A45,Database!A:L,MATCH($A$1,Database!$A$1:$L$1,),)</f>
        <v/>
      </c>
      <c r="C45" s="85">
        <f>(B45-B44)/B44</f>
        <v/>
      </c>
      <c r="D45" s="81">
        <f>(B45-B41)/B41</f>
        <v/>
      </c>
      <c r="E45" s="81">
        <f>((1+C45)^4)-1</f>
        <v/>
      </c>
    </row>
    <row r="46">
      <c r="A46" s="79" t="n">
        <v>20821</v>
      </c>
      <c r="B46" s="164">
        <f>VLOOKUP(A46,Database!A:L,MATCH($A$1,Database!$A$1:$L$1,),)</f>
        <v/>
      </c>
      <c r="C46" s="85">
        <f>(B46-B45)/B45</f>
        <v/>
      </c>
      <c r="D46" s="81">
        <f>(B46-B42)/B42</f>
        <v/>
      </c>
      <c r="E46" s="81">
        <f>((1+C46)^4)-1</f>
        <v/>
      </c>
    </row>
    <row r="47">
      <c r="A47" s="79" t="n">
        <v>20911</v>
      </c>
      <c r="B47" s="164">
        <f>VLOOKUP(A47,Database!A:L,MATCH($A$1,Database!$A$1:$L$1,),)</f>
        <v/>
      </c>
      <c r="C47" s="85">
        <f>(B47-B46)/B46</f>
        <v/>
      </c>
      <c r="D47" s="81">
        <f>(B47-B43)/B43</f>
        <v/>
      </c>
      <c r="E47" s="81">
        <f>((1+C47)^4)-1</f>
        <v/>
      </c>
    </row>
    <row r="48">
      <c r="A48" s="79" t="n">
        <v>21002</v>
      </c>
      <c r="B48" s="164">
        <f>VLOOKUP(A48,Database!A:L,MATCH($A$1,Database!$A$1:$L$1,),)</f>
        <v/>
      </c>
      <c r="C48" s="85">
        <f>(B48-B47)/B47</f>
        <v/>
      </c>
      <c r="D48" s="81">
        <f>(B48-B44)/B44</f>
        <v/>
      </c>
      <c r="E48" s="81">
        <f>((1+C48)^4)-1</f>
        <v/>
      </c>
    </row>
    <row r="49">
      <c r="A49" s="79" t="n">
        <v>21094</v>
      </c>
      <c r="B49" s="164">
        <f>VLOOKUP(A49,Database!A:L,MATCH($A$1,Database!$A$1:$L$1,),)</f>
        <v/>
      </c>
      <c r="C49" s="85">
        <f>(B49-B48)/B48</f>
        <v/>
      </c>
      <c r="D49" s="81">
        <f>(B49-B45)/B45</f>
        <v/>
      </c>
      <c r="E49" s="81">
        <f>((1+C49)^4)-1</f>
        <v/>
      </c>
    </row>
    <row r="50">
      <c r="A50" s="79" t="n">
        <v>21186</v>
      </c>
      <c r="B50" s="164">
        <f>VLOOKUP(A50,Database!A:L,MATCH($A$1,Database!$A$1:$L$1,),)</f>
        <v/>
      </c>
      <c r="C50" s="85">
        <f>(B50-B49)/B49</f>
        <v/>
      </c>
      <c r="D50" s="81">
        <f>(B50-B46)/B46</f>
        <v/>
      </c>
      <c r="E50" s="81">
        <f>((1+C50)^4)-1</f>
        <v/>
      </c>
    </row>
    <row r="51">
      <c r="A51" s="79" t="n">
        <v>21276</v>
      </c>
      <c r="B51" s="164">
        <f>VLOOKUP(A51,Database!A:L,MATCH($A$1,Database!$A$1:$L$1,),)</f>
        <v/>
      </c>
      <c r="C51" s="85">
        <f>(B51-B50)/B50</f>
        <v/>
      </c>
      <c r="D51" s="81">
        <f>(B51-B47)/B47</f>
        <v/>
      </c>
      <c r="E51" s="81">
        <f>((1+C51)^4)-1</f>
        <v/>
      </c>
    </row>
    <row r="52">
      <c r="A52" s="79" t="n">
        <v>21367</v>
      </c>
      <c r="B52" s="164">
        <f>VLOOKUP(A52,Database!A:L,MATCH($A$1,Database!$A$1:$L$1,),)</f>
        <v/>
      </c>
      <c r="C52" s="85">
        <f>(B52-B51)/B51</f>
        <v/>
      </c>
      <c r="D52" s="81">
        <f>(B52-B48)/B48</f>
        <v/>
      </c>
      <c r="E52" s="81">
        <f>((1+C52)^4)-1</f>
        <v/>
      </c>
    </row>
    <row r="53">
      <c r="A53" s="79" t="n">
        <v>21459</v>
      </c>
      <c r="B53" s="164">
        <f>VLOOKUP(A53,Database!A:L,MATCH($A$1,Database!$A$1:$L$1,),)</f>
        <v/>
      </c>
      <c r="C53" s="85">
        <f>(B53-B52)/B52</f>
        <v/>
      </c>
      <c r="D53" s="81">
        <f>(B53-B49)/B49</f>
        <v/>
      </c>
      <c r="E53" s="81">
        <f>((1+C53)^4)-1</f>
        <v/>
      </c>
    </row>
    <row r="54">
      <c r="A54" s="79" t="n">
        <v>21551</v>
      </c>
      <c r="B54" s="164">
        <f>VLOOKUP(A54,Database!A:L,MATCH($A$1,Database!$A$1:$L$1,),)</f>
        <v/>
      </c>
      <c r="C54" s="85">
        <f>(B54-B53)/B53</f>
        <v/>
      </c>
      <c r="D54" s="81">
        <f>(B54-B50)/B50</f>
        <v/>
      </c>
      <c r="E54" s="81">
        <f>((1+C54)^4)-1</f>
        <v/>
      </c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>
        <f>(B55-B51)/B51</f>
        <v/>
      </c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>
        <f>(B56-B52)/B52</f>
        <v/>
      </c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>
        <f>(B57-B53)/B53</f>
        <v/>
      </c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304"/>
  <sheetViews>
    <sheetView zoomScale="150" zoomScaleNormal="150" workbookViewId="0">
      <pane ySplit="5" topLeftCell="A262" activePane="bottomLeft" state="frozen"/>
      <selection pane="bottomLeft" activeCell="AC273" sqref="AC273"/>
    </sheetView>
  </sheetViews>
  <sheetFormatPr baseColWidth="10" defaultRowHeight="15"/>
  <cols>
    <col width="16.1640625" customWidth="1" style="126" min="1" max="1"/>
    <col width="14.1640625" customWidth="1" style="126" min="2" max="2"/>
    <col width="16" customWidth="1" style="126" min="3" max="3"/>
    <col width="14.5" customWidth="1" style="126" min="4" max="4"/>
    <col width="15.1640625" customWidth="1" style="126" min="5" max="5"/>
    <col width="10.83203125" customWidth="1" style="126" min="6" max="16384"/>
  </cols>
  <sheetData>
    <row r="1">
      <c r="A1" s="107" t="inlineStr">
        <is>
          <t>JCXFE</t>
        </is>
      </c>
      <c r="B1" s="174" t="n"/>
      <c r="C1" s="103" t="n"/>
      <c r="D1" s="34" t="n"/>
      <c r="E1" s="34" t="n"/>
      <c r="F1" s="125" t="n"/>
      <c r="G1" s="125" t="n"/>
      <c r="H1" s="125" t="n"/>
      <c r="I1" s="125" t="n"/>
      <c r="J1" s="125" t="n"/>
      <c r="K1" s="125" t="n"/>
      <c r="L1" s="130" t="inlineStr">
        <is>
          <t>https://fred.stlouisfed.org/series/JCXFE</t>
        </is>
      </c>
      <c r="M1" s="125" t="n"/>
      <c r="N1" s="125" t="n"/>
      <c r="O1" s="125" t="n"/>
    </row>
    <row r="2">
      <c r="A2" s="104" t="inlineStr">
        <is>
          <t>Personal Consumption Expenditures: Chain-type Price Index Less Food and Energy</t>
        </is>
      </c>
      <c r="B2" s="172" t="n"/>
      <c r="C2" s="103" t="n"/>
      <c r="D2" s="34" t="n"/>
      <c r="E2" s="34" t="n"/>
      <c r="F2" s="125" t="n"/>
      <c r="G2" s="125" t="n"/>
      <c r="H2" s="125" t="n"/>
      <c r="I2" s="172" t="n"/>
      <c r="J2" s="125" t="n"/>
      <c r="K2" s="37" t="n"/>
      <c r="L2" s="125" t="n"/>
      <c r="M2" s="125" t="n"/>
      <c r="N2" s="125" t="n"/>
      <c r="O2" s="125" t="n"/>
    </row>
    <row r="3">
      <c r="A3" s="38" t="n"/>
      <c r="B3" s="172" t="n"/>
      <c r="C3" s="33" t="n"/>
      <c r="D3" s="34" t="n"/>
      <c r="E3" s="34" t="n"/>
      <c r="F3" s="125" t="n"/>
      <c r="G3" s="125" t="n"/>
      <c r="H3" s="125" t="n"/>
      <c r="I3" s="172" t="n"/>
      <c r="J3" s="125" t="n"/>
      <c r="K3" s="37" t="n"/>
      <c r="L3" s="125" t="n"/>
      <c r="M3" s="125" t="n"/>
      <c r="N3" s="125" t="n"/>
      <c r="O3" s="125" t="n"/>
    </row>
    <row r="4">
      <c r="A4" s="31" t="n"/>
      <c r="B4" s="171" t="n"/>
      <c r="C4" s="33" t="n"/>
      <c r="D4" s="34" t="n"/>
      <c r="E4" s="34" t="n"/>
      <c r="F4" s="125" t="n"/>
      <c r="G4" s="125" t="n"/>
      <c r="H4" s="125" t="n"/>
      <c r="I4" s="125" t="n"/>
      <c r="J4" s="125" t="n"/>
      <c r="K4" s="125" t="n"/>
      <c r="L4" s="130" t="n"/>
      <c r="M4" s="125" t="n"/>
      <c r="N4" s="125" t="n"/>
      <c r="O4" s="125" t="n"/>
    </row>
    <row r="5">
      <c r="A5" s="113" t="inlineStr">
        <is>
          <t>Date</t>
        </is>
      </c>
      <c r="B5" s="163" t="inlineStr">
        <is>
          <t>Value</t>
        </is>
      </c>
      <c r="C5" s="115" t="inlineStr">
        <is>
          <t>qoq</t>
        </is>
      </c>
      <c r="D5" s="116" t="inlineStr">
        <is>
          <t>yoy</t>
        </is>
      </c>
      <c r="E5" s="117" t="inlineStr">
        <is>
          <t>qoq annualized</t>
        </is>
      </c>
    </row>
    <row r="6">
      <c r="A6" s="79" t="n">
        <v>17168</v>
      </c>
      <c r="B6" s="164" t="n"/>
      <c r="C6" s="81" t="n"/>
      <c r="D6" s="81" t="n"/>
      <c r="E6" s="81" t="n"/>
    </row>
    <row r="7">
      <c r="A7" s="79" t="n">
        <v>17258</v>
      </c>
      <c r="B7" s="164" t="n"/>
      <c r="C7" s="85" t="n"/>
      <c r="D7" s="81" t="n"/>
      <c r="E7" s="81" t="n"/>
    </row>
    <row r="8">
      <c r="A8" s="79" t="n">
        <v>17349</v>
      </c>
      <c r="B8" s="164" t="n"/>
      <c r="C8" s="85" t="n"/>
      <c r="D8" s="81" t="n"/>
      <c r="E8" s="81" t="n"/>
    </row>
    <row r="9">
      <c r="A9" s="79" t="n">
        <v>17441</v>
      </c>
      <c r="B9" s="164" t="n"/>
      <c r="C9" s="85" t="n"/>
      <c r="D9" s="81" t="n"/>
      <c r="E9" s="81" t="n"/>
    </row>
    <row r="10">
      <c r="A10" s="79" t="n">
        <v>17533</v>
      </c>
      <c r="B10" s="164" t="n"/>
      <c r="C10" s="85" t="n"/>
      <c r="D10" s="81" t="n"/>
      <c r="E10" s="81" t="n"/>
    </row>
    <row r="11">
      <c r="A11" s="79" t="n">
        <v>17624</v>
      </c>
      <c r="B11" s="164" t="n"/>
      <c r="C11" s="85" t="n"/>
      <c r="D11" s="81" t="n"/>
      <c r="E11" s="81" t="n"/>
    </row>
    <row r="12">
      <c r="A12" s="79" t="n">
        <v>17715</v>
      </c>
      <c r="B12" s="164" t="n"/>
      <c r="C12" s="85" t="n"/>
      <c r="D12" s="81" t="n"/>
      <c r="E12" s="81" t="n"/>
    </row>
    <row r="13">
      <c r="A13" s="79" t="n">
        <v>17807</v>
      </c>
      <c r="B13" s="164" t="n"/>
      <c r="C13" s="85" t="n"/>
      <c r="D13" s="81" t="n"/>
      <c r="E13" s="81" t="n"/>
    </row>
    <row r="14">
      <c r="A14" s="79" t="n">
        <v>17899</v>
      </c>
      <c r="B14" s="164" t="n"/>
      <c r="C14" s="85" t="n"/>
      <c r="D14" s="81" t="n"/>
      <c r="E14" s="81" t="n"/>
    </row>
    <row r="15">
      <c r="A15" s="79" t="n">
        <v>17989</v>
      </c>
      <c r="B15" s="164" t="n"/>
      <c r="C15" s="85" t="n"/>
      <c r="D15" s="81" t="n"/>
      <c r="E15" s="81" t="n"/>
    </row>
    <row r="16">
      <c r="A16" s="79" t="n">
        <v>18080</v>
      </c>
      <c r="B16" s="164" t="n"/>
      <c r="C16" s="85" t="n"/>
      <c r="D16" s="81" t="n"/>
      <c r="E16" s="81" t="n"/>
    </row>
    <row r="17">
      <c r="A17" s="79" t="n">
        <v>18172</v>
      </c>
      <c r="B17" s="164" t="n"/>
      <c r="C17" s="85" t="n"/>
      <c r="D17" s="81" t="n"/>
      <c r="E17" s="81" t="n"/>
    </row>
    <row r="18">
      <c r="A18" s="79" t="n">
        <v>18264</v>
      </c>
      <c r="B18" s="164" t="n"/>
      <c r="C18" s="85" t="n"/>
      <c r="D18" s="81" t="n"/>
      <c r="E18" s="81" t="n"/>
    </row>
    <row r="19">
      <c r="A19" s="79" t="n">
        <v>18354</v>
      </c>
      <c r="B19" s="164" t="n"/>
      <c r="C19" s="85" t="n"/>
      <c r="D19" s="81" t="n"/>
      <c r="E19" s="81" t="n"/>
    </row>
    <row r="20">
      <c r="A20" s="79" t="n">
        <v>18445</v>
      </c>
      <c r="B20" s="164" t="n"/>
      <c r="C20" s="85" t="n"/>
      <c r="D20" s="81" t="n"/>
      <c r="E20" s="81" t="n"/>
    </row>
    <row r="21">
      <c r="A21" s="79" t="n">
        <v>18537</v>
      </c>
      <c r="B21" s="164" t="n"/>
      <c r="C21" s="85" t="n"/>
      <c r="D21" s="81" t="n"/>
      <c r="E21" s="81" t="n"/>
    </row>
    <row r="22">
      <c r="A22" s="79" t="n">
        <v>18629</v>
      </c>
      <c r="B22" s="164" t="n"/>
      <c r="C22" s="85" t="n"/>
      <c r="D22" s="81" t="n"/>
      <c r="E22" s="81" t="n"/>
    </row>
    <row r="23">
      <c r="A23" s="79" t="n">
        <v>18719</v>
      </c>
      <c r="B23" s="164" t="n"/>
      <c r="C23" s="85" t="n"/>
      <c r="D23" s="81" t="n"/>
      <c r="E23" s="81" t="n"/>
    </row>
    <row r="24">
      <c r="A24" s="79" t="n">
        <v>18810</v>
      </c>
      <c r="B24" s="164" t="n"/>
      <c r="C24" s="85" t="n"/>
      <c r="D24" s="81" t="n"/>
      <c r="E24" s="81" t="n"/>
    </row>
    <row r="25">
      <c r="A25" s="79" t="n">
        <v>18902</v>
      </c>
      <c r="B25" s="164" t="n"/>
      <c r="C25" s="85" t="n"/>
      <c r="D25" s="81" t="n"/>
      <c r="E25" s="81" t="n"/>
    </row>
    <row r="26">
      <c r="A26" s="79" t="n">
        <v>18994</v>
      </c>
      <c r="B26" s="164" t="n"/>
      <c r="C26" s="85" t="n"/>
      <c r="D26" s="81" t="n"/>
      <c r="E26" s="81" t="n"/>
    </row>
    <row r="27">
      <c r="A27" s="79" t="n">
        <v>19085</v>
      </c>
      <c r="B27" s="164" t="n"/>
      <c r="C27" s="85" t="n"/>
      <c r="D27" s="81" t="n"/>
      <c r="E27" s="81" t="n"/>
    </row>
    <row r="28">
      <c r="A28" s="79" t="n">
        <v>19176</v>
      </c>
      <c r="B28" s="164" t="n"/>
      <c r="C28" s="85" t="n"/>
      <c r="D28" s="81" t="n"/>
      <c r="E28" s="81" t="n"/>
    </row>
    <row r="29">
      <c r="A29" s="79" t="n">
        <v>19268</v>
      </c>
      <c r="B29" s="164" t="n"/>
      <c r="C29" s="85" t="n"/>
      <c r="D29" s="81" t="n"/>
      <c r="E29" s="81" t="n"/>
    </row>
    <row r="30">
      <c r="A30" s="79" t="n">
        <v>19360</v>
      </c>
      <c r="B30" s="164" t="n"/>
      <c r="C30" s="85" t="n"/>
      <c r="D30" s="81" t="n"/>
      <c r="E30" s="81" t="n"/>
    </row>
    <row r="31">
      <c r="A31" s="79" t="n">
        <v>19450</v>
      </c>
      <c r="B31" s="164" t="n"/>
      <c r="C31" s="85" t="n"/>
      <c r="D31" s="81" t="n"/>
      <c r="E31" s="81" t="n"/>
    </row>
    <row r="32">
      <c r="A32" s="79" t="n">
        <v>19541</v>
      </c>
      <c r="B32" s="164" t="n"/>
      <c r="C32" s="85" t="n"/>
      <c r="D32" s="81" t="n"/>
      <c r="E32" s="81" t="n"/>
    </row>
    <row r="33">
      <c r="A33" s="79" t="n">
        <v>19633</v>
      </c>
      <c r="B33" s="164" t="n"/>
      <c r="C33" s="85" t="n"/>
      <c r="D33" s="81" t="n"/>
      <c r="E33" s="81" t="n"/>
    </row>
    <row r="34">
      <c r="A34" s="79" t="n">
        <v>19725</v>
      </c>
      <c r="B34" s="164" t="n"/>
      <c r="C34" s="85" t="n"/>
      <c r="D34" s="81" t="n"/>
      <c r="E34" s="81" t="n"/>
    </row>
    <row r="35">
      <c r="A35" s="79" t="n">
        <v>19815</v>
      </c>
      <c r="B35" s="164" t="n"/>
      <c r="C35" s="85" t="n"/>
      <c r="D35" s="81" t="n"/>
      <c r="E35" s="81" t="n"/>
    </row>
    <row r="36">
      <c r="A36" s="79" t="n">
        <v>19906</v>
      </c>
      <c r="B36" s="164" t="n"/>
      <c r="C36" s="85" t="n"/>
      <c r="D36" s="81" t="n"/>
      <c r="E36" s="81" t="n"/>
    </row>
    <row r="37">
      <c r="A37" s="79" t="n">
        <v>19998</v>
      </c>
      <c r="B37" s="164" t="n"/>
      <c r="C37" s="85" t="n"/>
      <c r="D37" s="81" t="n"/>
      <c r="E37" s="81" t="n"/>
    </row>
    <row r="38">
      <c r="A38" s="79" t="n">
        <v>20090</v>
      </c>
      <c r="B38" s="164" t="n"/>
      <c r="C38" s="85" t="n"/>
      <c r="D38" s="81" t="n"/>
      <c r="E38" s="81" t="n"/>
    </row>
    <row r="39">
      <c r="A39" s="79" t="n">
        <v>20180</v>
      </c>
      <c r="B39" s="164" t="n"/>
      <c r="C39" s="85" t="n"/>
      <c r="D39" s="81" t="n"/>
      <c r="E39" s="81" t="n"/>
    </row>
    <row r="40">
      <c r="A40" s="79" t="n">
        <v>20271</v>
      </c>
      <c r="B40" s="164" t="n"/>
      <c r="C40" s="85" t="n"/>
      <c r="D40" s="81" t="n"/>
      <c r="E40" s="81" t="n"/>
    </row>
    <row r="41">
      <c r="A41" s="79" t="n">
        <v>20363</v>
      </c>
      <c r="B41" s="164" t="n"/>
      <c r="C41" s="85" t="n"/>
      <c r="D41" s="81" t="n"/>
      <c r="E41" s="81" t="n"/>
    </row>
    <row r="42">
      <c r="A42" s="79" t="n">
        <v>20455</v>
      </c>
      <c r="B42" s="164" t="n"/>
      <c r="C42" s="85" t="n"/>
      <c r="D42" s="81" t="n"/>
      <c r="E42" s="81" t="n"/>
    </row>
    <row r="43">
      <c r="A43" s="79" t="n">
        <v>20546</v>
      </c>
      <c r="B43" s="164" t="n"/>
      <c r="C43" s="85" t="n"/>
      <c r="D43" s="81" t="n"/>
      <c r="E43" s="81" t="n"/>
    </row>
    <row r="44">
      <c r="A44" s="79" t="n">
        <v>20637</v>
      </c>
      <c r="B44" s="164" t="n"/>
      <c r="C44" s="85" t="n"/>
      <c r="D44" s="81" t="n"/>
      <c r="E44" s="81" t="n"/>
    </row>
    <row r="45">
      <c r="A45" s="79" t="n">
        <v>20729</v>
      </c>
      <c r="B45" s="164" t="n"/>
      <c r="C45" s="85" t="n"/>
      <c r="D45" s="81" t="n"/>
      <c r="E45" s="81" t="n"/>
    </row>
    <row r="46">
      <c r="A46" s="79" t="n">
        <v>20821</v>
      </c>
      <c r="B46" s="164" t="n"/>
      <c r="C46" s="85" t="n"/>
      <c r="D46" s="81" t="n"/>
      <c r="E46" s="81" t="n"/>
    </row>
    <row r="47">
      <c r="A47" s="79" t="n">
        <v>20911</v>
      </c>
      <c r="B47" s="164" t="n"/>
      <c r="C47" s="85" t="n"/>
      <c r="D47" s="81" t="n"/>
      <c r="E47" s="81" t="n"/>
    </row>
    <row r="48">
      <c r="A48" s="79" t="n">
        <v>21002</v>
      </c>
      <c r="B48" s="164" t="n"/>
      <c r="C48" s="85" t="n"/>
      <c r="D48" s="81" t="n"/>
      <c r="E48" s="81" t="n"/>
    </row>
    <row r="49">
      <c r="A49" s="79" t="n">
        <v>21094</v>
      </c>
      <c r="B49" s="164" t="n"/>
      <c r="C49" s="85" t="n"/>
      <c r="D49" s="81" t="n"/>
      <c r="E49" s="81" t="n"/>
    </row>
    <row r="50">
      <c r="A50" s="79" t="n">
        <v>21186</v>
      </c>
      <c r="B50" s="164" t="n"/>
      <c r="C50" s="85" t="n"/>
      <c r="D50" s="81" t="n"/>
      <c r="E50" s="81" t="n"/>
    </row>
    <row r="51">
      <c r="A51" s="79" t="n">
        <v>21276</v>
      </c>
      <c r="B51" s="164" t="n"/>
      <c r="C51" s="85" t="n"/>
      <c r="D51" s="81" t="n"/>
      <c r="E51" s="81" t="n"/>
    </row>
    <row r="52">
      <c r="A52" s="79" t="n">
        <v>21367</v>
      </c>
      <c r="B52" s="164" t="n"/>
      <c r="C52" s="85" t="n"/>
      <c r="D52" s="81" t="n"/>
      <c r="E52" s="81" t="n"/>
    </row>
    <row r="53">
      <c r="A53" s="79" t="n">
        <v>21459</v>
      </c>
      <c r="B53" s="164" t="n"/>
      <c r="C53" s="85" t="n"/>
      <c r="D53" s="81" t="n"/>
      <c r="E53" s="81" t="n"/>
    </row>
    <row r="54">
      <c r="A54" s="79" t="n">
        <v>21551</v>
      </c>
      <c r="B54" s="164">
        <f>VLOOKUP(A54,Database!A:L,MATCH($A$1,Database!$A$1:$L$1,),)</f>
        <v/>
      </c>
      <c r="C54" s="85" t="n"/>
      <c r="D54" s="81" t="n"/>
      <c r="E54" s="81" t="n"/>
    </row>
    <row r="55">
      <c r="A55" s="79" t="n">
        <v>21641</v>
      </c>
      <c r="B55" s="164">
        <f>VLOOKUP(A55,Database!A:L,MATCH($A$1,Database!$A$1:$L$1,),)</f>
        <v/>
      </c>
      <c r="C55" s="85">
        <f>(B55-B54)/B54</f>
        <v/>
      </c>
      <c r="D55" s="81" t="n"/>
      <c r="E55" s="81">
        <f>((1+C55)^4)-1</f>
        <v/>
      </c>
    </row>
    <row r="56">
      <c r="A56" s="79" t="n">
        <v>21732</v>
      </c>
      <c r="B56" s="164">
        <f>VLOOKUP(A56,Database!A:L,MATCH($A$1,Database!$A$1:$L$1,),)</f>
        <v/>
      </c>
      <c r="C56" s="85">
        <f>(B56-B55)/B55</f>
        <v/>
      </c>
      <c r="D56" s="81" t="n"/>
      <c r="E56" s="81">
        <f>((1+C56)^4)-1</f>
        <v/>
      </c>
    </row>
    <row r="57">
      <c r="A57" s="79" t="n">
        <v>21824</v>
      </c>
      <c r="B57" s="164">
        <f>VLOOKUP(A57,Database!A:L,MATCH($A$1,Database!$A$1:$L$1,),)</f>
        <v/>
      </c>
      <c r="C57" s="85">
        <f>(B57-B56)/B56</f>
        <v/>
      </c>
      <c r="D57" s="81" t="n"/>
      <c r="E57" s="81">
        <f>((1+C57)^4)-1</f>
        <v/>
      </c>
    </row>
    <row r="58">
      <c r="A58" s="79" t="n">
        <v>21916</v>
      </c>
      <c r="B58" s="164">
        <f>VLOOKUP(A58,Database!A:L,MATCH($A$1,Database!$A$1:$L$1,),)</f>
        <v/>
      </c>
      <c r="C58" s="85">
        <f>(B58-B57)/B57</f>
        <v/>
      </c>
      <c r="D58" s="81">
        <f>(B58-B54)/B54</f>
        <v/>
      </c>
      <c r="E58" s="81">
        <f>((1+C58)^4)-1</f>
        <v/>
      </c>
    </row>
    <row r="59">
      <c r="A59" s="79" t="n">
        <v>22007</v>
      </c>
      <c r="B59" s="164">
        <f>VLOOKUP(A59,Database!A:L,MATCH($A$1,Database!$A$1:$L$1,),)</f>
        <v/>
      </c>
      <c r="C59" s="85">
        <f>(B59-B58)/B58</f>
        <v/>
      </c>
      <c r="D59" s="81">
        <f>(B59-B55)/B55</f>
        <v/>
      </c>
      <c r="E59" s="81">
        <f>((1+C59)^4)-1</f>
        <v/>
      </c>
    </row>
    <row r="60">
      <c r="A60" s="79" t="n">
        <v>22098</v>
      </c>
      <c r="B60" s="164">
        <f>VLOOKUP(A60,Database!A:L,MATCH($A$1,Database!$A$1:$L$1,),)</f>
        <v/>
      </c>
      <c r="C60" s="85">
        <f>(B60-B59)/B59</f>
        <v/>
      </c>
      <c r="D60" s="81">
        <f>(B60-B56)/B56</f>
        <v/>
      </c>
      <c r="E60" s="81">
        <f>((1+C60)^4)-1</f>
        <v/>
      </c>
    </row>
    <row r="61">
      <c r="A61" s="79" t="n">
        <v>22190</v>
      </c>
      <c r="B61" s="164">
        <f>VLOOKUP(A61,Database!A:L,MATCH($A$1,Database!$A$1:$L$1,),)</f>
        <v/>
      </c>
      <c r="C61" s="85">
        <f>(B61-B60)/B60</f>
        <v/>
      </c>
      <c r="D61" s="81">
        <f>(B61-B57)/B57</f>
        <v/>
      </c>
      <c r="E61" s="81">
        <f>((1+C61)^4)-1</f>
        <v/>
      </c>
    </row>
    <row r="62">
      <c r="A62" s="79" t="n">
        <v>22282</v>
      </c>
      <c r="B62" s="164">
        <f>VLOOKUP(A62,Database!A:L,MATCH($A$1,Database!$A$1:$L$1,),)</f>
        <v/>
      </c>
      <c r="C62" s="85">
        <f>(B62-B61)/B61</f>
        <v/>
      </c>
      <c r="D62" s="81">
        <f>(B62-B58)/B58</f>
        <v/>
      </c>
      <c r="E62" s="81">
        <f>((1+C62)^4)-1</f>
        <v/>
      </c>
    </row>
    <row r="63">
      <c r="A63" s="79" t="n">
        <v>22372</v>
      </c>
      <c r="B63" s="164">
        <f>VLOOKUP(A63,Database!A:L,MATCH($A$1,Database!$A$1:$L$1,),)</f>
        <v/>
      </c>
      <c r="C63" s="85">
        <f>(B63-B62)/B62</f>
        <v/>
      </c>
      <c r="D63" s="81">
        <f>(B63-B59)/B59</f>
        <v/>
      </c>
      <c r="E63" s="81">
        <f>((1+C63)^4)-1</f>
        <v/>
      </c>
    </row>
    <row r="64">
      <c r="A64" s="79" t="n">
        <v>22463</v>
      </c>
      <c r="B64" s="164">
        <f>VLOOKUP(A64,Database!A:L,MATCH($A$1,Database!$A$1:$L$1,),)</f>
        <v/>
      </c>
      <c r="C64" s="85">
        <f>(B64-B63)/B63</f>
        <v/>
      </c>
      <c r="D64" s="81">
        <f>(B64-B60)/B60</f>
        <v/>
      </c>
      <c r="E64" s="81">
        <f>((1+C64)^4)-1</f>
        <v/>
      </c>
    </row>
    <row r="65">
      <c r="A65" s="79" t="n">
        <v>22555</v>
      </c>
      <c r="B65" s="164">
        <f>VLOOKUP(A65,Database!A:L,MATCH($A$1,Database!$A$1:$L$1,),)</f>
        <v/>
      </c>
      <c r="C65" s="85">
        <f>(B65-B64)/B64</f>
        <v/>
      </c>
      <c r="D65" s="81">
        <f>(B65-B61)/B61</f>
        <v/>
      </c>
      <c r="E65" s="81">
        <f>((1+C65)^4)-1</f>
        <v/>
      </c>
    </row>
    <row r="66">
      <c r="A66" s="79" t="n">
        <v>22647</v>
      </c>
      <c r="B66" s="164">
        <f>VLOOKUP(A66,Database!A:L,MATCH($A$1,Database!$A$1:$L$1,),)</f>
        <v/>
      </c>
      <c r="C66" s="85">
        <f>(B66-B65)/B65</f>
        <v/>
      </c>
      <c r="D66" s="81">
        <f>(B66-B62)/B62</f>
        <v/>
      </c>
      <c r="E66" s="81">
        <f>((1+C66)^4)-1</f>
        <v/>
      </c>
    </row>
    <row r="67">
      <c r="A67" s="79" t="n">
        <v>22737</v>
      </c>
      <c r="B67" s="164">
        <f>VLOOKUP(A67,Database!A:L,MATCH($A$1,Database!$A$1:$L$1,),)</f>
        <v/>
      </c>
      <c r="C67" s="85">
        <f>(B67-B66)/B66</f>
        <v/>
      </c>
      <c r="D67" s="81">
        <f>(B67-B63)/B63</f>
        <v/>
      </c>
      <c r="E67" s="81">
        <f>((1+C67)^4)-1</f>
        <v/>
      </c>
    </row>
    <row r="68">
      <c r="A68" s="79" t="n">
        <v>22828</v>
      </c>
      <c r="B68" s="164">
        <f>VLOOKUP(A68,Database!A:L,MATCH($A$1,Database!$A$1:$L$1,),)</f>
        <v/>
      </c>
      <c r="C68" s="85">
        <f>(B68-B67)/B67</f>
        <v/>
      </c>
      <c r="D68" s="81">
        <f>(B68-B64)/B64</f>
        <v/>
      </c>
      <c r="E68" s="81">
        <f>((1+C68)^4)-1</f>
        <v/>
      </c>
    </row>
    <row r="69">
      <c r="A69" s="79" t="n">
        <v>22920</v>
      </c>
      <c r="B69" s="164">
        <f>VLOOKUP(A69,Database!A:L,MATCH($A$1,Database!$A$1:$L$1,),)</f>
        <v/>
      </c>
      <c r="C69" s="85">
        <f>(B69-B68)/B68</f>
        <v/>
      </c>
      <c r="D69" s="81">
        <f>(B69-B65)/B65</f>
        <v/>
      </c>
      <c r="E69" s="81">
        <f>((1+C69)^4)-1</f>
        <v/>
      </c>
    </row>
    <row r="70">
      <c r="A70" s="79" t="n">
        <v>23012</v>
      </c>
      <c r="B70" s="164">
        <f>VLOOKUP(A70,Database!A:L,MATCH($A$1,Database!$A$1:$L$1,),)</f>
        <v/>
      </c>
      <c r="C70" s="85">
        <f>(B70-B69)/B69</f>
        <v/>
      </c>
      <c r="D70" s="81">
        <f>(B70-B66)/B66</f>
        <v/>
      </c>
      <c r="E70" s="81">
        <f>((1+C70)^4)-1</f>
        <v/>
      </c>
    </row>
    <row r="71">
      <c r="A71" s="79" t="n">
        <v>23102</v>
      </c>
      <c r="B71" s="164">
        <f>VLOOKUP(A71,Database!A:L,MATCH($A$1,Database!$A$1:$L$1,),)</f>
        <v/>
      </c>
      <c r="C71" s="85">
        <f>(B71-B70)/B70</f>
        <v/>
      </c>
      <c r="D71" s="81">
        <f>(B71-B67)/B67</f>
        <v/>
      </c>
      <c r="E71" s="81">
        <f>((1+C71)^4)-1</f>
        <v/>
      </c>
    </row>
    <row r="72">
      <c r="A72" s="79" t="n">
        <v>23193</v>
      </c>
      <c r="B72" s="164">
        <f>VLOOKUP(A72,Database!A:L,MATCH($A$1,Database!$A$1:$L$1,),)</f>
        <v/>
      </c>
      <c r="C72" s="85">
        <f>(B72-B71)/B71</f>
        <v/>
      </c>
      <c r="D72" s="81">
        <f>(B72-B68)/B68</f>
        <v/>
      </c>
      <c r="E72" s="81">
        <f>((1+C72)^4)-1</f>
        <v/>
      </c>
    </row>
    <row r="73">
      <c r="A73" s="79" t="n">
        <v>23285</v>
      </c>
      <c r="B73" s="164">
        <f>VLOOKUP(A73,Database!A:L,MATCH($A$1,Database!$A$1:$L$1,),)</f>
        <v/>
      </c>
      <c r="C73" s="85">
        <f>(B73-B72)/B72</f>
        <v/>
      </c>
      <c r="D73" s="81">
        <f>(B73-B69)/B69</f>
        <v/>
      </c>
      <c r="E73" s="81">
        <f>((1+C73)^4)-1</f>
        <v/>
      </c>
    </row>
    <row r="74">
      <c r="A74" s="79" t="n">
        <v>23377</v>
      </c>
      <c r="B74" s="164">
        <f>VLOOKUP(A74,Database!A:L,MATCH($A$1,Database!$A$1:$L$1,),)</f>
        <v/>
      </c>
      <c r="C74" s="85">
        <f>(B74-B73)/B73</f>
        <v/>
      </c>
      <c r="D74" s="81">
        <f>(B74-B70)/B70</f>
        <v/>
      </c>
      <c r="E74" s="81">
        <f>((1+C74)^4)-1</f>
        <v/>
      </c>
    </row>
    <row r="75">
      <c r="A75" s="79" t="n">
        <v>23468</v>
      </c>
      <c r="B75" s="164">
        <f>VLOOKUP(A75,Database!A:L,MATCH($A$1,Database!$A$1:$L$1,),)</f>
        <v/>
      </c>
      <c r="C75" s="85">
        <f>(B75-B74)/B74</f>
        <v/>
      </c>
      <c r="D75" s="81">
        <f>(B75-B71)/B71</f>
        <v/>
      </c>
      <c r="E75" s="81">
        <f>((1+C75)^4)-1</f>
        <v/>
      </c>
    </row>
    <row r="76">
      <c r="A76" s="79" t="n">
        <v>23559</v>
      </c>
      <c r="B76" s="164">
        <f>VLOOKUP(A76,Database!A:L,MATCH($A$1,Database!$A$1:$L$1,),)</f>
        <v/>
      </c>
      <c r="C76" s="85">
        <f>(B76-B75)/B75</f>
        <v/>
      </c>
      <c r="D76" s="81">
        <f>(B76-B72)/B72</f>
        <v/>
      </c>
      <c r="E76" s="81">
        <f>((1+C76)^4)-1</f>
        <v/>
      </c>
    </row>
    <row r="77">
      <c r="A77" s="79" t="n">
        <v>23651</v>
      </c>
      <c r="B77" s="164">
        <f>VLOOKUP(A77,Database!A:L,MATCH($A$1,Database!$A$1:$L$1,),)</f>
        <v/>
      </c>
      <c r="C77" s="85">
        <f>(B77-B76)/B76</f>
        <v/>
      </c>
      <c r="D77" s="81">
        <f>(B77-B73)/B73</f>
        <v/>
      </c>
      <c r="E77" s="81">
        <f>((1+C77)^4)-1</f>
        <v/>
      </c>
    </row>
    <row r="78">
      <c r="A78" s="79" t="n">
        <v>23743</v>
      </c>
      <c r="B78" s="164">
        <f>VLOOKUP(A78,Database!A:L,MATCH($A$1,Database!$A$1:$L$1,),)</f>
        <v/>
      </c>
      <c r="C78" s="85">
        <f>(B78-B77)/B77</f>
        <v/>
      </c>
      <c r="D78" s="81">
        <f>(B78-B74)/B74</f>
        <v/>
      </c>
      <c r="E78" s="81">
        <f>((1+C78)^4)-1</f>
        <v/>
      </c>
    </row>
    <row r="79">
      <c r="A79" s="79" t="n">
        <v>23833</v>
      </c>
      <c r="B79" s="164">
        <f>VLOOKUP(A79,Database!A:L,MATCH($A$1,Database!$A$1:$L$1,),)</f>
        <v/>
      </c>
      <c r="C79" s="85">
        <f>(B79-B78)/B78</f>
        <v/>
      </c>
      <c r="D79" s="81">
        <f>(B79-B75)/B75</f>
        <v/>
      </c>
      <c r="E79" s="81">
        <f>((1+C79)^4)-1</f>
        <v/>
      </c>
    </row>
    <row r="80">
      <c r="A80" s="79" t="n">
        <v>23924</v>
      </c>
      <c r="B80" s="164">
        <f>VLOOKUP(A80,Database!A:L,MATCH($A$1,Database!$A$1:$L$1,),)</f>
        <v/>
      </c>
      <c r="C80" s="85">
        <f>(B80-B79)/B79</f>
        <v/>
      </c>
      <c r="D80" s="81">
        <f>(B80-B76)/B76</f>
        <v/>
      </c>
      <c r="E80" s="81">
        <f>((1+C80)^4)-1</f>
        <v/>
      </c>
    </row>
    <row r="81">
      <c r="A81" s="79" t="n">
        <v>24016</v>
      </c>
      <c r="B81" s="164">
        <f>VLOOKUP(A81,Database!A:L,MATCH($A$1,Database!$A$1:$L$1,),)</f>
        <v/>
      </c>
      <c r="C81" s="85">
        <f>(B81-B80)/B80</f>
        <v/>
      </c>
      <c r="D81" s="81">
        <f>(B81-B77)/B77</f>
        <v/>
      </c>
      <c r="E81" s="81">
        <f>((1+C81)^4)-1</f>
        <v/>
      </c>
    </row>
    <row r="82">
      <c r="A82" s="79" t="n">
        <v>24108</v>
      </c>
      <c r="B82" s="164">
        <f>VLOOKUP(A82,Database!A:L,MATCH($A$1,Database!$A$1:$L$1,),)</f>
        <v/>
      </c>
      <c r="C82" s="85">
        <f>(B82-B81)/B81</f>
        <v/>
      </c>
      <c r="D82" s="81">
        <f>(B82-B78)/B78</f>
        <v/>
      </c>
      <c r="E82" s="81">
        <f>((1+C82)^4)-1</f>
        <v/>
      </c>
    </row>
    <row r="83">
      <c r="A83" s="79" t="n">
        <v>24198</v>
      </c>
      <c r="B83" s="164">
        <f>VLOOKUP(A83,Database!A:L,MATCH($A$1,Database!$A$1:$L$1,),)</f>
        <v/>
      </c>
      <c r="C83" s="85">
        <f>(B83-B82)/B82</f>
        <v/>
      </c>
      <c r="D83" s="81">
        <f>(B83-B79)/B79</f>
        <v/>
      </c>
      <c r="E83" s="81">
        <f>((1+C83)^4)-1</f>
        <v/>
      </c>
    </row>
    <row r="84">
      <c r="A84" s="79" t="n">
        <v>24289</v>
      </c>
      <c r="B84" s="164">
        <f>VLOOKUP(A84,Database!A:L,MATCH($A$1,Database!$A$1:$L$1,),)</f>
        <v/>
      </c>
      <c r="C84" s="85">
        <f>(B84-B83)/B83</f>
        <v/>
      </c>
      <c r="D84" s="81">
        <f>(B84-B80)/B80</f>
        <v/>
      </c>
      <c r="E84" s="81">
        <f>((1+C84)^4)-1</f>
        <v/>
      </c>
    </row>
    <row r="85">
      <c r="A85" s="79" t="n">
        <v>24381</v>
      </c>
      <c r="B85" s="164">
        <f>VLOOKUP(A85,Database!A:L,MATCH($A$1,Database!$A$1:$L$1,),)</f>
        <v/>
      </c>
      <c r="C85" s="85">
        <f>(B85-B84)/B84</f>
        <v/>
      </c>
      <c r="D85" s="81">
        <f>(B85-B81)/B81</f>
        <v/>
      </c>
      <c r="E85" s="81">
        <f>((1+C85)^4)-1</f>
        <v/>
      </c>
    </row>
    <row r="86">
      <c r="A86" s="79" t="n">
        <v>24473</v>
      </c>
      <c r="B86" s="164">
        <f>VLOOKUP(A86,Database!A:L,MATCH($A$1,Database!$A$1:$L$1,),)</f>
        <v/>
      </c>
      <c r="C86" s="85">
        <f>(B86-B85)/B85</f>
        <v/>
      </c>
      <c r="D86" s="81">
        <f>(B86-B82)/B82</f>
        <v/>
      </c>
      <c r="E86" s="81">
        <f>((1+C86)^4)-1</f>
        <v/>
      </c>
    </row>
    <row r="87">
      <c r="A87" s="79" t="n">
        <v>24563</v>
      </c>
      <c r="B87" s="164">
        <f>VLOOKUP(A87,Database!A:L,MATCH($A$1,Database!$A$1:$L$1,),)</f>
        <v/>
      </c>
      <c r="C87" s="85">
        <f>(B87-B86)/B86</f>
        <v/>
      </c>
      <c r="D87" s="81">
        <f>(B87-B83)/B83</f>
        <v/>
      </c>
      <c r="E87" s="81">
        <f>((1+C87)^4)-1</f>
        <v/>
      </c>
    </row>
    <row r="88">
      <c r="A88" s="79" t="n">
        <v>24654</v>
      </c>
      <c r="B88" s="164">
        <f>VLOOKUP(A88,Database!A:L,MATCH($A$1,Database!$A$1:$L$1,),)</f>
        <v/>
      </c>
      <c r="C88" s="85">
        <f>(B88-B87)/B87</f>
        <v/>
      </c>
      <c r="D88" s="81">
        <f>(B88-B84)/B84</f>
        <v/>
      </c>
      <c r="E88" s="81">
        <f>((1+C88)^4)-1</f>
        <v/>
      </c>
    </row>
    <row r="89">
      <c r="A89" s="79" t="n">
        <v>24746</v>
      </c>
      <c r="B89" s="164">
        <f>VLOOKUP(A89,Database!A:L,MATCH($A$1,Database!$A$1:$L$1,),)</f>
        <v/>
      </c>
      <c r="C89" s="85">
        <f>(B89-B88)/B88</f>
        <v/>
      </c>
      <c r="D89" s="81">
        <f>(B89-B85)/B85</f>
        <v/>
      </c>
      <c r="E89" s="81">
        <f>((1+C89)^4)-1</f>
        <v/>
      </c>
    </row>
    <row r="90">
      <c r="A90" s="79" t="n">
        <v>24838</v>
      </c>
      <c r="B90" s="164">
        <f>VLOOKUP(A90,Database!A:L,MATCH($A$1,Database!$A$1:$L$1,),)</f>
        <v/>
      </c>
      <c r="C90" s="85">
        <f>(B90-B89)/B89</f>
        <v/>
      </c>
      <c r="D90" s="81">
        <f>(B90-B86)/B86</f>
        <v/>
      </c>
      <c r="E90" s="81">
        <f>((1+C90)^4)-1</f>
        <v/>
      </c>
    </row>
    <row r="91">
      <c r="A91" s="79" t="n">
        <v>24929</v>
      </c>
      <c r="B91" s="164">
        <f>VLOOKUP(A91,Database!A:L,MATCH($A$1,Database!$A$1:$L$1,),)</f>
        <v/>
      </c>
      <c r="C91" s="85">
        <f>(B91-B90)/B90</f>
        <v/>
      </c>
      <c r="D91" s="81">
        <f>(B91-B87)/B87</f>
        <v/>
      </c>
      <c r="E91" s="81">
        <f>((1+C91)^4)-1</f>
        <v/>
      </c>
    </row>
    <row r="92">
      <c r="A92" s="79" t="n">
        <v>25020</v>
      </c>
      <c r="B92" s="164">
        <f>VLOOKUP(A92,Database!A:L,MATCH($A$1,Database!$A$1:$L$1,),)</f>
        <v/>
      </c>
      <c r="C92" s="85">
        <f>(B92-B91)/B91</f>
        <v/>
      </c>
      <c r="D92" s="81">
        <f>(B92-B88)/B88</f>
        <v/>
      </c>
      <c r="E92" s="81">
        <f>((1+C92)^4)-1</f>
        <v/>
      </c>
    </row>
    <row r="93">
      <c r="A93" s="79" t="n">
        <v>25112</v>
      </c>
      <c r="B93" s="164">
        <f>VLOOKUP(A93,Database!A:L,MATCH($A$1,Database!$A$1:$L$1,),)</f>
        <v/>
      </c>
      <c r="C93" s="85">
        <f>(B93-B92)/B92</f>
        <v/>
      </c>
      <c r="D93" s="81">
        <f>(B93-B89)/B89</f>
        <v/>
      </c>
      <c r="E93" s="81">
        <f>((1+C93)^4)-1</f>
        <v/>
      </c>
    </row>
    <row r="94">
      <c r="A94" s="79" t="n">
        <v>25204</v>
      </c>
      <c r="B94" s="164">
        <f>VLOOKUP(A94,Database!A:L,MATCH($A$1,Database!$A$1:$L$1,),)</f>
        <v/>
      </c>
      <c r="C94" s="85">
        <f>(B94-B93)/B93</f>
        <v/>
      </c>
      <c r="D94" s="81">
        <f>(B94-B90)/B90</f>
        <v/>
      </c>
      <c r="E94" s="81">
        <f>((1+C94)^4)-1</f>
        <v/>
      </c>
    </row>
    <row r="95">
      <c r="A95" s="79" t="n">
        <v>25294</v>
      </c>
      <c r="B95" s="164">
        <f>VLOOKUP(A95,Database!A:L,MATCH($A$1,Database!$A$1:$L$1,),)</f>
        <v/>
      </c>
      <c r="C95" s="85">
        <f>(B95-B94)/B94</f>
        <v/>
      </c>
      <c r="D95" s="81">
        <f>(B95-B91)/B91</f>
        <v/>
      </c>
      <c r="E95" s="81">
        <f>((1+C95)^4)-1</f>
        <v/>
      </c>
    </row>
    <row r="96">
      <c r="A96" s="79" t="n">
        <v>25385</v>
      </c>
      <c r="B96" s="164">
        <f>VLOOKUP(A96,Database!A:L,MATCH($A$1,Database!$A$1:$L$1,),)</f>
        <v/>
      </c>
      <c r="C96" s="85">
        <f>(B96-B95)/B95</f>
        <v/>
      </c>
      <c r="D96" s="81">
        <f>(B96-B92)/B92</f>
        <v/>
      </c>
      <c r="E96" s="81">
        <f>((1+C96)^4)-1</f>
        <v/>
      </c>
    </row>
    <row r="97">
      <c r="A97" s="79" t="n">
        <v>25477</v>
      </c>
      <c r="B97" s="164">
        <f>VLOOKUP(A97,Database!A:L,MATCH($A$1,Database!$A$1:$L$1,),)</f>
        <v/>
      </c>
      <c r="C97" s="85">
        <f>(B97-B96)/B96</f>
        <v/>
      </c>
      <c r="D97" s="81">
        <f>(B97-B93)/B93</f>
        <v/>
      </c>
      <c r="E97" s="81">
        <f>((1+C97)^4)-1</f>
        <v/>
      </c>
    </row>
    <row r="98">
      <c r="A98" s="79" t="n">
        <v>25569</v>
      </c>
      <c r="B98" s="164">
        <f>VLOOKUP(A98,Database!A:L,MATCH($A$1,Database!$A$1:$L$1,),)</f>
        <v/>
      </c>
      <c r="C98" s="85">
        <f>(B98-B97)/B97</f>
        <v/>
      </c>
      <c r="D98" s="81">
        <f>(B98-B94)/B94</f>
        <v/>
      </c>
      <c r="E98" s="81">
        <f>((1+C98)^4)-1</f>
        <v/>
      </c>
    </row>
    <row r="99">
      <c r="A99" s="79" t="n">
        <v>25659</v>
      </c>
      <c r="B99" s="164">
        <f>VLOOKUP(A99,Database!A:L,MATCH($A$1,Database!$A$1:$L$1,),)</f>
        <v/>
      </c>
      <c r="C99" s="85">
        <f>(B99-B98)/B98</f>
        <v/>
      </c>
      <c r="D99" s="81">
        <f>(B99-B95)/B95</f>
        <v/>
      </c>
      <c r="E99" s="81">
        <f>((1+C99)^4)-1</f>
        <v/>
      </c>
    </row>
    <row r="100">
      <c r="A100" s="79" t="n">
        <v>25750</v>
      </c>
      <c r="B100" s="164">
        <f>VLOOKUP(A100,Database!A:L,MATCH($A$1,Database!$A$1:$L$1,),)</f>
        <v/>
      </c>
      <c r="C100" s="85">
        <f>(B100-B99)/B99</f>
        <v/>
      </c>
      <c r="D100" s="81">
        <f>(B100-B96)/B96</f>
        <v/>
      </c>
      <c r="E100" s="81">
        <f>((1+C100)^4)-1</f>
        <v/>
      </c>
    </row>
    <row r="101">
      <c r="A101" s="79" t="n">
        <v>25842</v>
      </c>
      <c r="B101" s="164">
        <f>VLOOKUP(A101,Database!A:L,MATCH($A$1,Database!$A$1:$L$1,),)</f>
        <v/>
      </c>
      <c r="C101" s="85">
        <f>(B101-B100)/B100</f>
        <v/>
      </c>
      <c r="D101" s="81">
        <f>(B101-B97)/B97</f>
        <v/>
      </c>
      <c r="E101" s="81">
        <f>((1+C101)^4)-1</f>
        <v/>
      </c>
    </row>
    <row r="102">
      <c r="A102" s="79" t="n">
        <v>25934</v>
      </c>
      <c r="B102" s="164">
        <f>VLOOKUP(A102,Database!A:L,MATCH($A$1,Database!$A$1:$L$1,),)</f>
        <v/>
      </c>
      <c r="C102" s="85">
        <f>(B102-B101)/B101</f>
        <v/>
      </c>
      <c r="D102" s="81">
        <f>(B102-B98)/B98</f>
        <v/>
      </c>
      <c r="E102" s="81">
        <f>((1+C102)^4)-1</f>
        <v/>
      </c>
    </row>
    <row r="103">
      <c r="A103" s="79" t="n">
        <v>26024</v>
      </c>
      <c r="B103" s="164">
        <f>VLOOKUP(A103,Database!A:L,MATCH($A$1,Database!$A$1:$L$1,),)</f>
        <v/>
      </c>
      <c r="C103" s="85">
        <f>(B103-B102)/B102</f>
        <v/>
      </c>
      <c r="D103" s="81">
        <f>(B103-B99)/B99</f>
        <v/>
      </c>
      <c r="E103" s="81">
        <f>((1+C103)^4)-1</f>
        <v/>
      </c>
    </row>
    <row r="104">
      <c r="A104" s="79" t="n">
        <v>26115</v>
      </c>
      <c r="B104" s="164">
        <f>VLOOKUP(A104,Database!A:L,MATCH($A$1,Database!$A$1:$L$1,),)</f>
        <v/>
      </c>
      <c r="C104" s="85">
        <f>(B104-B103)/B103</f>
        <v/>
      </c>
      <c r="D104" s="81">
        <f>(B104-B100)/B100</f>
        <v/>
      </c>
      <c r="E104" s="81">
        <f>((1+C104)^4)-1</f>
        <v/>
      </c>
    </row>
    <row r="105">
      <c r="A105" s="79" t="n">
        <v>26207</v>
      </c>
      <c r="B105" s="164">
        <f>VLOOKUP(A105,Database!A:L,MATCH($A$1,Database!$A$1:$L$1,),)</f>
        <v/>
      </c>
      <c r="C105" s="85">
        <f>(B105-B104)/B104</f>
        <v/>
      </c>
      <c r="D105" s="81">
        <f>(B105-B101)/B101</f>
        <v/>
      </c>
      <c r="E105" s="81">
        <f>((1+C105)^4)-1</f>
        <v/>
      </c>
    </row>
    <row r="106">
      <c r="A106" s="79" t="n">
        <v>26299</v>
      </c>
      <c r="B106" s="164">
        <f>VLOOKUP(A106,Database!A:L,MATCH($A$1,Database!$A$1:$L$1,),)</f>
        <v/>
      </c>
      <c r="C106" s="85">
        <f>(B106-B105)/B105</f>
        <v/>
      </c>
      <c r="D106" s="81">
        <f>(B106-B102)/B102</f>
        <v/>
      </c>
      <c r="E106" s="81">
        <f>((1+C106)^4)-1</f>
        <v/>
      </c>
    </row>
    <row r="107">
      <c r="A107" s="79" t="n">
        <v>26390</v>
      </c>
      <c r="B107" s="164">
        <f>VLOOKUP(A107,Database!A:L,MATCH($A$1,Database!$A$1:$L$1,),)</f>
        <v/>
      </c>
      <c r="C107" s="85">
        <f>(B107-B106)/B106</f>
        <v/>
      </c>
      <c r="D107" s="81">
        <f>(B107-B103)/B103</f>
        <v/>
      </c>
      <c r="E107" s="81">
        <f>((1+C107)^4)-1</f>
        <v/>
      </c>
    </row>
    <row r="108">
      <c r="A108" s="79" t="n">
        <v>26481</v>
      </c>
      <c r="B108" s="164">
        <f>VLOOKUP(A108,Database!A:L,MATCH($A$1,Database!$A$1:$L$1,),)</f>
        <v/>
      </c>
      <c r="C108" s="85">
        <f>(B108-B107)/B107</f>
        <v/>
      </c>
      <c r="D108" s="81">
        <f>(B108-B104)/B104</f>
        <v/>
      </c>
      <c r="E108" s="81">
        <f>((1+C108)^4)-1</f>
        <v/>
      </c>
    </row>
    <row r="109">
      <c r="A109" s="79" t="n">
        <v>26573</v>
      </c>
      <c r="B109" s="164">
        <f>VLOOKUP(A109,Database!A:L,MATCH($A$1,Database!$A$1:$L$1,),)</f>
        <v/>
      </c>
      <c r="C109" s="85">
        <f>(B109-B108)/B108</f>
        <v/>
      </c>
      <c r="D109" s="81">
        <f>(B109-B105)/B105</f>
        <v/>
      </c>
      <c r="E109" s="81">
        <f>((1+C109)^4)-1</f>
        <v/>
      </c>
    </row>
    <row r="110">
      <c r="A110" s="79" t="n">
        <v>26665</v>
      </c>
      <c r="B110" s="164">
        <f>VLOOKUP(A110,Database!A:L,MATCH($A$1,Database!$A$1:$L$1,),)</f>
        <v/>
      </c>
      <c r="C110" s="85">
        <f>(B110-B109)/B109</f>
        <v/>
      </c>
      <c r="D110" s="81">
        <f>(B110-B106)/B106</f>
        <v/>
      </c>
      <c r="E110" s="81">
        <f>((1+C110)^4)-1</f>
        <v/>
      </c>
    </row>
    <row r="111">
      <c r="A111" s="79" t="n">
        <v>26755</v>
      </c>
      <c r="B111" s="164">
        <f>VLOOKUP(A111,Database!A:L,MATCH($A$1,Database!$A$1:$L$1,),)</f>
        <v/>
      </c>
      <c r="C111" s="85">
        <f>(B111-B110)/B110</f>
        <v/>
      </c>
      <c r="D111" s="81">
        <f>(B111-B107)/B107</f>
        <v/>
      </c>
      <c r="E111" s="81">
        <f>((1+C111)^4)-1</f>
        <v/>
      </c>
    </row>
    <row r="112">
      <c r="A112" s="79" t="n">
        <v>26846</v>
      </c>
      <c r="B112" s="164">
        <f>VLOOKUP(A112,Database!A:L,MATCH($A$1,Database!$A$1:$L$1,),)</f>
        <v/>
      </c>
      <c r="C112" s="85">
        <f>(B112-B111)/B111</f>
        <v/>
      </c>
      <c r="D112" s="81">
        <f>(B112-B108)/B108</f>
        <v/>
      </c>
      <c r="E112" s="81">
        <f>((1+C112)^4)-1</f>
        <v/>
      </c>
    </row>
    <row r="113">
      <c r="A113" s="79" t="n">
        <v>26938</v>
      </c>
      <c r="B113" s="164">
        <f>VLOOKUP(A113,Database!A:L,MATCH($A$1,Database!$A$1:$L$1,),)</f>
        <v/>
      </c>
      <c r="C113" s="85">
        <f>(B113-B112)/B112</f>
        <v/>
      </c>
      <c r="D113" s="81">
        <f>(B113-B109)/B109</f>
        <v/>
      </c>
      <c r="E113" s="81">
        <f>((1+C113)^4)-1</f>
        <v/>
      </c>
    </row>
    <row r="114">
      <c r="A114" s="79" t="n">
        <v>27030</v>
      </c>
      <c r="B114" s="164">
        <f>VLOOKUP(A114,Database!A:L,MATCH($A$1,Database!$A$1:$L$1,),)</f>
        <v/>
      </c>
      <c r="C114" s="85">
        <f>(B114-B113)/B113</f>
        <v/>
      </c>
      <c r="D114" s="81">
        <f>(B114-B110)/B110</f>
        <v/>
      </c>
      <c r="E114" s="81">
        <f>((1+C114)^4)-1</f>
        <v/>
      </c>
    </row>
    <row r="115">
      <c r="A115" s="79" t="n">
        <v>27120</v>
      </c>
      <c r="B115" s="164">
        <f>VLOOKUP(A115,Database!A:L,MATCH($A$1,Database!$A$1:$L$1,),)</f>
        <v/>
      </c>
      <c r="C115" s="85">
        <f>(B115-B114)/B114</f>
        <v/>
      </c>
      <c r="D115" s="81">
        <f>(B115-B111)/B111</f>
        <v/>
      </c>
      <c r="E115" s="81">
        <f>((1+C115)^4)-1</f>
        <v/>
      </c>
    </row>
    <row r="116">
      <c r="A116" s="79" t="n">
        <v>27211</v>
      </c>
      <c r="B116" s="164">
        <f>VLOOKUP(A116,Database!A:L,MATCH($A$1,Database!$A$1:$L$1,),)</f>
        <v/>
      </c>
      <c r="C116" s="85">
        <f>(B116-B115)/B115</f>
        <v/>
      </c>
      <c r="D116" s="81">
        <f>(B116-B112)/B112</f>
        <v/>
      </c>
      <c r="E116" s="81">
        <f>((1+C116)^4)-1</f>
        <v/>
      </c>
    </row>
    <row r="117">
      <c r="A117" s="79" t="n">
        <v>27303</v>
      </c>
      <c r="B117" s="164">
        <f>VLOOKUP(A117,Database!A:L,MATCH($A$1,Database!$A$1:$L$1,),)</f>
        <v/>
      </c>
      <c r="C117" s="85">
        <f>(B117-B116)/B116</f>
        <v/>
      </c>
      <c r="D117" s="81">
        <f>(B117-B113)/B113</f>
        <v/>
      </c>
      <c r="E117" s="81">
        <f>((1+C117)^4)-1</f>
        <v/>
      </c>
    </row>
    <row r="118">
      <c r="A118" s="79" t="n">
        <v>27395</v>
      </c>
      <c r="B118" s="164">
        <f>VLOOKUP(A118,Database!A:L,MATCH($A$1,Database!$A$1:$L$1,),)</f>
        <v/>
      </c>
      <c r="C118" s="85">
        <f>(B118-B117)/B117</f>
        <v/>
      </c>
      <c r="D118" s="81">
        <f>(B118-B114)/B114</f>
        <v/>
      </c>
      <c r="E118" s="81">
        <f>((1+C118)^4)-1</f>
        <v/>
      </c>
    </row>
    <row r="119">
      <c r="A119" s="79" t="n">
        <v>27485</v>
      </c>
      <c r="B119" s="164">
        <f>VLOOKUP(A119,Database!A:L,MATCH($A$1,Database!$A$1:$L$1,),)</f>
        <v/>
      </c>
      <c r="C119" s="85">
        <f>(B119-B118)/B118</f>
        <v/>
      </c>
      <c r="D119" s="81">
        <f>(B119-B115)/B115</f>
        <v/>
      </c>
      <c r="E119" s="81">
        <f>((1+C119)^4)-1</f>
        <v/>
      </c>
    </row>
    <row r="120">
      <c r="A120" s="79" t="n">
        <v>27576</v>
      </c>
      <c r="B120" s="164">
        <f>VLOOKUP(A120,Database!A:L,MATCH($A$1,Database!$A$1:$L$1,),)</f>
        <v/>
      </c>
      <c r="C120" s="85">
        <f>(B120-B119)/B119</f>
        <v/>
      </c>
      <c r="D120" s="81">
        <f>(B120-B116)/B116</f>
        <v/>
      </c>
      <c r="E120" s="81">
        <f>((1+C120)^4)-1</f>
        <v/>
      </c>
    </row>
    <row r="121">
      <c r="A121" s="79" t="n">
        <v>27668</v>
      </c>
      <c r="B121" s="164">
        <f>VLOOKUP(A121,Database!A:L,MATCH($A$1,Database!$A$1:$L$1,),)</f>
        <v/>
      </c>
      <c r="C121" s="85">
        <f>(B121-B120)/B120</f>
        <v/>
      </c>
      <c r="D121" s="81">
        <f>(B121-B117)/B117</f>
        <v/>
      </c>
      <c r="E121" s="81">
        <f>((1+C121)^4)-1</f>
        <v/>
      </c>
    </row>
    <row r="122">
      <c r="A122" s="79" t="n">
        <v>27760</v>
      </c>
      <c r="B122" s="164">
        <f>VLOOKUP(A122,Database!A:L,MATCH($A$1,Database!$A$1:$L$1,),)</f>
        <v/>
      </c>
      <c r="C122" s="85">
        <f>(B122-B121)/B121</f>
        <v/>
      </c>
      <c r="D122" s="81">
        <f>(B122-B118)/B118</f>
        <v/>
      </c>
      <c r="E122" s="81">
        <f>((1+C122)^4)-1</f>
        <v/>
      </c>
    </row>
    <row r="123">
      <c r="A123" s="79" t="n">
        <v>27851</v>
      </c>
      <c r="B123" s="164">
        <f>VLOOKUP(A123,Database!A:L,MATCH($A$1,Database!$A$1:$L$1,),)</f>
        <v/>
      </c>
      <c r="C123" s="85">
        <f>(B123-B122)/B122</f>
        <v/>
      </c>
      <c r="D123" s="81">
        <f>(B123-B119)/B119</f>
        <v/>
      </c>
      <c r="E123" s="81">
        <f>((1+C123)^4)-1</f>
        <v/>
      </c>
    </row>
    <row r="124">
      <c r="A124" s="79" t="n">
        <v>27942</v>
      </c>
      <c r="B124" s="164">
        <f>VLOOKUP(A124,Database!A:L,MATCH($A$1,Database!$A$1:$L$1,),)</f>
        <v/>
      </c>
      <c r="C124" s="85">
        <f>(B124-B123)/B123</f>
        <v/>
      </c>
      <c r="D124" s="81">
        <f>(B124-B120)/B120</f>
        <v/>
      </c>
      <c r="E124" s="81">
        <f>((1+C124)^4)-1</f>
        <v/>
      </c>
    </row>
    <row r="125">
      <c r="A125" s="79" t="n">
        <v>28034</v>
      </c>
      <c r="B125" s="164">
        <f>VLOOKUP(A125,Database!A:L,MATCH($A$1,Database!$A$1:$L$1,),)</f>
        <v/>
      </c>
      <c r="C125" s="85">
        <f>(B125-B124)/B124</f>
        <v/>
      </c>
      <c r="D125" s="81">
        <f>(B125-B121)/B121</f>
        <v/>
      </c>
      <c r="E125" s="81">
        <f>((1+C125)^4)-1</f>
        <v/>
      </c>
    </row>
    <row r="126">
      <c r="A126" s="79" t="n">
        <v>28126</v>
      </c>
      <c r="B126" s="164">
        <f>VLOOKUP(A126,Database!A:L,MATCH($A$1,Database!$A$1:$L$1,),)</f>
        <v/>
      </c>
      <c r="C126" s="85">
        <f>(B126-B125)/B125</f>
        <v/>
      </c>
      <c r="D126" s="81">
        <f>(B126-B122)/B122</f>
        <v/>
      </c>
      <c r="E126" s="81">
        <f>((1+C126)^4)-1</f>
        <v/>
      </c>
    </row>
    <row r="127">
      <c r="A127" s="79" t="n">
        <v>28216</v>
      </c>
      <c r="B127" s="164">
        <f>VLOOKUP(A127,Database!A:L,MATCH($A$1,Database!$A$1:$L$1,),)</f>
        <v/>
      </c>
      <c r="C127" s="85">
        <f>(B127-B126)/B126</f>
        <v/>
      </c>
      <c r="D127" s="81">
        <f>(B127-B123)/B123</f>
        <v/>
      </c>
      <c r="E127" s="81">
        <f>((1+C127)^4)-1</f>
        <v/>
      </c>
    </row>
    <row r="128">
      <c r="A128" s="79" t="n">
        <v>28307</v>
      </c>
      <c r="B128" s="164">
        <f>VLOOKUP(A128,Database!A:L,MATCH($A$1,Database!$A$1:$L$1,),)</f>
        <v/>
      </c>
      <c r="C128" s="85">
        <f>(B128-B127)/B127</f>
        <v/>
      </c>
      <c r="D128" s="81">
        <f>(B128-B124)/B124</f>
        <v/>
      </c>
      <c r="E128" s="81">
        <f>((1+C128)^4)-1</f>
        <v/>
      </c>
    </row>
    <row r="129">
      <c r="A129" s="79" t="n">
        <v>28399</v>
      </c>
      <c r="B129" s="164">
        <f>VLOOKUP(A129,Database!A:L,MATCH($A$1,Database!$A$1:$L$1,),)</f>
        <v/>
      </c>
      <c r="C129" s="85">
        <f>(B129-B128)/B128</f>
        <v/>
      </c>
      <c r="D129" s="81">
        <f>(B129-B125)/B125</f>
        <v/>
      </c>
      <c r="E129" s="81">
        <f>((1+C129)^4)-1</f>
        <v/>
      </c>
    </row>
    <row r="130">
      <c r="A130" s="79" t="n">
        <v>28491</v>
      </c>
      <c r="B130" s="164">
        <f>VLOOKUP(A130,Database!A:L,MATCH($A$1,Database!$A$1:$L$1,),)</f>
        <v/>
      </c>
      <c r="C130" s="85">
        <f>(B130-B129)/B129</f>
        <v/>
      </c>
      <c r="D130" s="81">
        <f>(B130-B126)/B126</f>
        <v/>
      </c>
      <c r="E130" s="81">
        <f>((1+C130)^4)-1</f>
        <v/>
      </c>
    </row>
    <row r="131">
      <c r="A131" s="79" t="n">
        <v>28581</v>
      </c>
      <c r="B131" s="164">
        <f>VLOOKUP(A131,Database!A:L,MATCH($A$1,Database!$A$1:$L$1,),)</f>
        <v/>
      </c>
      <c r="C131" s="85">
        <f>(B131-B130)/B130</f>
        <v/>
      </c>
      <c r="D131" s="81">
        <f>(B131-B127)/B127</f>
        <v/>
      </c>
      <c r="E131" s="81">
        <f>((1+C131)^4)-1</f>
        <v/>
      </c>
    </row>
    <row r="132">
      <c r="A132" s="79" t="n">
        <v>28672</v>
      </c>
      <c r="B132" s="164">
        <f>VLOOKUP(A132,Database!A:L,MATCH($A$1,Database!$A$1:$L$1,),)</f>
        <v/>
      </c>
      <c r="C132" s="85">
        <f>(B132-B131)/B131</f>
        <v/>
      </c>
      <c r="D132" s="81">
        <f>(B132-B128)/B128</f>
        <v/>
      </c>
      <c r="E132" s="81">
        <f>((1+C132)^4)-1</f>
        <v/>
      </c>
    </row>
    <row r="133">
      <c r="A133" s="79" t="n">
        <v>28764</v>
      </c>
      <c r="B133" s="164">
        <f>VLOOKUP(A133,Database!A:L,MATCH($A$1,Database!$A$1:$L$1,),)</f>
        <v/>
      </c>
      <c r="C133" s="85">
        <f>(B133-B132)/B132</f>
        <v/>
      </c>
      <c r="D133" s="81">
        <f>(B133-B129)/B129</f>
        <v/>
      </c>
      <c r="E133" s="81">
        <f>((1+C133)^4)-1</f>
        <v/>
      </c>
    </row>
    <row r="134">
      <c r="A134" s="79" t="n">
        <v>28856</v>
      </c>
      <c r="B134" s="164">
        <f>VLOOKUP(A134,Database!A:L,MATCH($A$1,Database!$A$1:$L$1,),)</f>
        <v/>
      </c>
      <c r="C134" s="85">
        <f>(B134-B133)/B133</f>
        <v/>
      </c>
      <c r="D134" s="81">
        <f>(B134-B130)/B130</f>
        <v/>
      </c>
      <c r="E134" s="81">
        <f>((1+C134)^4)-1</f>
        <v/>
      </c>
    </row>
    <row r="135">
      <c r="A135" s="79" t="n">
        <v>28946</v>
      </c>
      <c r="B135" s="164">
        <f>VLOOKUP(A135,Database!A:L,MATCH($A$1,Database!$A$1:$L$1,),)</f>
        <v/>
      </c>
      <c r="C135" s="85">
        <f>(B135-B134)/B134</f>
        <v/>
      </c>
      <c r="D135" s="81">
        <f>(B135-B131)/B131</f>
        <v/>
      </c>
      <c r="E135" s="81">
        <f>((1+C135)^4)-1</f>
        <v/>
      </c>
    </row>
    <row r="136">
      <c r="A136" s="79" t="n">
        <v>29037</v>
      </c>
      <c r="B136" s="164">
        <f>VLOOKUP(A136,Database!A:L,MATCH($A$1,Database!$A$1:$L$1,),)</f>
        <v/>
      </c>
      <c r="C136" s="85">
        <f>(B136-B135)/B135</f>
        <v/>
      </c>
      <c r="D136" s="81">
        <f>(B136-B132)/B132</f>
        <v/>
      </c>
      <c r="E136" s="81">
        <f>((1+C136)^4)-1</f>
        <v/>
      </c>
    </row>
    <row r="137">
      <c r="A137" s="79" t="n">
        <v>29129</v>
      </c>
      <c r="B137" s="164">
        <f>VLOOKUP(A137,Database!A:L,MATCH($A$1,Database!$A$1:$L$1,),)</f>
        <v/>
      </c>
      <c r="C137" s="85">
        <f>(B137-B136)/B136</f>
        <v/>
      </c>
      <c r="D137" s="81">
        <f>(B137-B133)/B133</f>
        <v/>
      </c>
      <c r="E137" s="81">
        <f>((1+C137)^4)-1</f>
        <v/>
      </c>
    </row>
    <row r="138">
      <c r="A138" s="79" t="n">
        <v>29221</v>
      </c>
      <c r="B138" s="164">
        <f>VLOOKUP(A138,Database!A:L,MATCH($A$1,Database!$A$1:$L$1,),)</f>
        <v/>
      </c>
      <c r="C138" s="85">
        <f>(B138-B137)/B137</f>
        <v/>
      </c>
      <c r="D138" s="81">
        <f>(B138-B134)/B134</f>
        <v/>
      </c>
      <c r="E138" s="81">
        <f>((1+C138)^4)-1</f>
        <v/>
      </c>
    </row>
    <row r="139">
      <c r="A139" s="79" t="n">
        <v>29312</v>
      </c>
      <c r="B139" s="164">
        <f>VLOOKUP(A139,Database!A:L,MATCH($A$1,Database!$A$1:$L$1,),)</f>
        <v/>
      </c>
      <c r="C139" s="85">
        <f>(B139-B138)/B138</f>
        <v/>
      </c>
      <c r="D139" s="81">
        <f>(B139-B135)/B135</f>
        <v/>
      </c>
      <c r="E139" s="81">
        <f>((1+C139)^4)-1</f>
        <v/>
      </c>
    </row>
    <row r="140">
      <c r="A140" s="79" t="n">
        <v>29403</v>
      </c>
      <c r="B140" s="164">
        <f>VLOOKUP(A140,Database!A:L,MATCH($A$1,Database!$A$1:$L$1,),)</f>
        <v/>
      </c>
      <c r="C140" s="85">
        <f>(B140-B139)/B139</f>
        <v/>
      </c>
      <c r="D140" s="81">
        <f>(B140-B136)/B136</f>
        <v/>
      </c>
      <c r="E140" s="81">
        <f>((1+C140)^4)-1</f>
        <v/>
      </c>
    </row>
    <row r="141">
      <c r="A141" s="79" t="n">
        <v>29495</v>
      </c>
      <c r="B141" s="164">
        <f>VLOOKUP(A141,Database!A:L,MATCH($A$1,Database!$A$1:$L$1,),)</f>
        <v/>
      </c>
      <c r="C141" s="85">
        <f>(B141-B140)/B140</f>
        <v/>
      </c>
      <c r="D141" s="81">
        <f>(B141-B137)/B137</f>
        <v/>
      </c>
      <c r="E141" s="81">
        <f>((1+C141)^4)-1</f>
        <v/>
      </c>
    </row>
    <row r="142">
      <c r="A142" s="79" t="n">
        <v>29587</v>
      </c>
      <c r="B142" s="164">
        <f>VLOOKUP(A142,Database!A:L,MATCH($A$1,Database!$A$1:$L$1,),)</f>
        <v/>
      </c>
      <c r="C142" s="85">
        <f>(B142-B141)/B141</f>
        <v/>
      </c>
      <c r="D142" s="81">
        <f>(B142-B138)/B138</f>
        <v/>
      </c>
      <c r="E142" s="81">
        <f>((1+C142)^4)-1</f>
        <v/>
      </c>
    </row>
    <row r="143">
      <c r="A143" s="79" t="n">
        <v>29677</v>
      </c>
      <c r="B143" s="164">
        <f>VLOOKUP(A143,Database!A:L,MATCH($A$1,Database!$A$1:$L$1,),)</f>
        <v/>
      </c>
      <c r="C143" s="85">
        <f>(B143-B142)/B142</f>
        <v/>
      </c>
      <c r="D143" s="81">
        <f>(B143-B139)/B139</f>
        <v/>
      </c>
      <c r="E143" s="81">
        <f>((1+C143)^4)-1</f>
        <v/>
      </c>
    </row>
    <row r="144">
      <c r="A144" s="79" t="n">
        <v>29768</v>
      </c>
      <c r="B144" s="164">
        <f>VLOOKUP(A144,Database!A:L,MATCH($A$1,Database!$A$1:$L$1,),)</f>
        <v/>
      </c>
      <c r="C144" s="85">
        <f>(B144-B143)/B143</f>
        <v/>
      </c>
      <c r="D144" s="81">
        <f>(B144-B140)/B140</f>
        <v/>
      </c>
      <c r="E144" s="81">
        <f>((1+C144)^4)-1</f>
        <v/>
      </c>
    </row>
    <row r="145">
      <c r="A145" s="79" t="n">
        <v>29860</v>
      </c>
      <c r="B145" s="164">
        <f>VLOOKUP(A145,Database!A:L,MATCH($A$1,Database!$A$1:$L$1,),)</f>
        <v/>
      </c>
      <c r="C145" s="85">
        <f>(B145-B144)/B144</f>
        <v/>
      </c>
      <c r="D145" s="81">
        <f>(B145-B141)/B141</f>
        <v/>
      </c>
      <c r="E145" s="81">
        <f>((1+C145)^4)-1</f>
        <v/>
      </c>
    </row>
    <row r="146">
      <c r="A146" s="79" t="n">
        <v>29952</v>
      </c>
      <c r="B146" s="164">
        <f>VLOOKUP(A146,Database!A:L,MATCH($A$1,Database!$A$1:$L$1,),)</f>
        <v/>
      </c>
      <c r="C146" s="85">
        <f>(B146-B145)/B145</f>
        <v/>
      </c>
      <c r="D146" s="81">
        <f>(B146-B142)/B142</f>
        <v/>
      </c>
      <c r="E146" s="81">
        <f>((1+C146)^4)-1</f>
        <v/>
      </c>
    </row>
    <row r="147">
      <c r="A147" s="79" t="n">
        <v>30042</v>
      </c>
      <c r="B147" s="164">
        <f>VLOOKUP(A147,Database!A:L,MATCH($A$1,Database!$A$1:$L$1,),)</f>
        <v/>
      </c>
      <c r="C147" s="85">
        <f>(B147-B146)/B146</f>
        <v/>
      </c>
      <c r="D147" s="81">
        <f>(B147-B143)/B143</f>
        <v/>
      </c>
      <c r="E147" s="81">
        <f>((1+C147)^4)-1</f>
        <v/>
      </c>
    </row>
    <row r="148">
      <c r="A148" s="79" t="n">
        <v>30133</v>
      </c>
      <c r="B148" s="164">
        <f>VLOOKUP(A148,Database!A:L,MATCH($A$1,Database!$A$1:$L$1,),)</f>
        <v/>
      </c>
      <c r="C148" s="85">
        <f>(B148-B147)/B147</f>
        <v/>
      </c>
      <c r="D148" s="81">
        <f>(B148-B144)/B144</f>
        <v/>
      </c>
      <c r="E148" s="81">
        <f>((1+C148)^4)-1</f>
        <v/>
      </c>
    </row>
    <row r="149">
      <c r="A149" s="79" t="n">
        <v>30225</v>
      </c>
      <c r="B149" s="164">
        <f>VLOOKUP(A149,Database!A:L,MATCH($A$1,Database!$A$1:$L$1,),)</f>
        <v/>
      </c>
      <c r="C149" s="85">
        <f>(B149-B148)/B148</f>
        <v/>
      </c>
      <c r="D149" s="81">
        <f>(B149-B145)/B145</f>
        <v/>
      </c>
      <c r="E149" s="81">
        <f>((1+C149)^4)-1</f>
        <v/>
      </c>
    </row>
    <row r="150">
      <c r="A150" s="79" t="n">
        <v>30317</v>
      </c>
      <c r="B150" s="164">
        <f>VLOOKUP(A150,Database!A:L,MATCH($A$1,Database!$A$1:$L$1,),)</f>
        <v/>
      </c>
      <c r="C150" s="85">
        <f>(B150-B149)/B149</f>
        <v/>
      </c>
      <c r="D150" s="81">
        <f>(B150-B146)/B146</f>
        <v/>
      </c>
      <c r="E150" s="81">
        <f>((1+C150)^4)-1</f>
        <v/>
      </c>
    </row>
    <row r="151">
      <c r="A151" s="79" t="n">
        <v>30407</v>
      </c>
      <c r="B151" s="164">
        <f>VLOOKUP(A151,Database!A:L,MATCH($A$1,Database!$A$1:$L$1,),)</f>
        <v/>
      </c>
      <c r="C151" s="85">
        <f>(B151-B150)/B150</f>
        <v/>
      </c>
      <c r="D151" s="81">
        <f>(B151-B147)/B147</f>
        <v/>
      </c>
      <c r="E151" s="81">
        <f>((1+C151)^4)-1</f>
        <v/>
      </c>
    </row>
    <row r="152">
      <c r="A152" s="79" t="n">
        <v>30498</v>
      </c>
      <c r="B152" s="164">
        <f>VLOOKUP(A152,Database!A:L,MATCH($A$1,Database!$A$1:$L$1,),)</f>
        <v/>
      </c>
      <c r="C152" s="85">
        <f>(B152-B151)/B151</f>
        <v/>
      </c>
      <c r="D152" s="81">
        <f>(B152-B148)/B148</f>
        <v/>
      </c>
      <c r="E152" s="81">
        <f>((1+C152)^4)-1</f>
        <v/>
      </c>
    </row>
    <row r="153">
      <c r="A153" s="79" t="n">
        <v>30590</v>
      </c>
      <c r="B153" s="164">
        <f>VLOOKUP(A153,Database!A:L,MATCH($A$1,Database!$A$1:$L$1,),)</f>
        <v/>
      </c>
      <c r="C153" s="85">
        <f>(B153-B152)/B152</f>
        <v/>
      </c>
      <c r="D153" s="81">
        <f>(B153-B149)/B149</f>
        <v/>
      </c>
      <c r="E153" s="81">
        <f>((1+C153)^4)-1</f>
        <v/>
      </c>
    </row>
    <row r="154">
      <c r="A154" s="79" t="n">
        <v>30682</v>
      </c>
      <c r="B154" s="164">
        <f>VLOOKUP(A154,Database!A:L,MATCH($A$1,Database!$A$1:$L$1,),)</f>
        <v/>
      </c>
      <c r="C154" s="85">
        <f>(B154-B153)/B153</f>
        <v/>
      </c>
      <c r="D154" s="81">
        <f>(B154-B150)/B150</f>
        <v/>
      </c>
      <c r="E154" s="81">
        <f>((1+C154)^4)-1</f>
        <v/>
      </c>
    </row>
    <row r="155">
      <c r="A155" s="79" t="n">
        <v>30773</v>
      </c>
      <c r="B155" s="164">
        <f>VLOOKUP(A155,Database!A:L,MATCH($A$1,Database!$A$1:$L$1,),)</f>
        <v/>
      </c>
      <c r="C155" s="85">
        <f>(B155-B154)/B154</f>
        <v/>
      </c>
      <c r="D155" s="81">
        <f>(B155-B151)/B151</f>
        <v/>
      </c>
      <c r="E155" s="81">
        <f>((1+C155)^4)-1</f>
        <v/>
      </c>
    </row>
    <row r="156">
      <c r="A156" s="79" t="n">
        <v>30864</v>
      </c>
      <c r="B156" s="164">
        <f>VLOOKUP(A156,Database!A:L,MATCH($A$1,Database!$A$1:$L$1,),)</f>
        <v/>
      </c>
      <c r="C156" s="85">
        <f>(B156-B155)/B155</f>
        <v/>
      </c>
      <c r="D156" s="81">
        <f>(B156-B152)/B152</f>
        <v/>
      </c>
      <c r="E156" s="81">
        <f>((1+C156)^4)-1</f>
        <v/>
      </c>
    </row>
    <row r="157">
      <c r="A157" s="79" t="n">
        <v>30956</v>
      </c>
      <c r="B157" s="164">
        <f>VLOOKUP(A157,Database!A:L,MATCH($A$1,Database!$A$1:$L$1,),)</f>
        <v/>
      </c>
      <c r="C157" s="85">
        <f>(B157-B156)/B156</f>
        <v/>
      </c>
      <c r="D157" s="81">
        <f>(B157-B153)/B153</f>
        <v/>
      </c>
      <c r="E157" s="81">
        <f>((1+C157)^4)-1</f>
        <v/>
      </c>
    </row>
    <row r="158">
      <c r="A158" s="79" t="n">
        <v>31048</v>
      </c>
      <c r="B158" s="164">
        <f>VLOOKUP(A158,Database!A:L,MATCH($A$1,Database!$A$1:$L$1,),)</f>
        <v/>
      </c>
      <c r="C158" s="85">
        <f>(B158-B157)/B157</f>
        <v/>
      </c>
      <c r="D158" s="81">
        <f>(B158-B154)/B154</f>
        <v/>
      </c>
      <c r="E158" s="81">
        <f>((1+C158)^4)-1</f>
        <v/>
      </c>
    </row>
    <row r="159">
      <c r="A159" s="79" t="n">
        <v>31138</v>
      </c>
      <c r="B159" s="164">
        <f>VLOOKUP(A159,Database!A:L,MATCH($A$1,Database!$A$1:$L$1,),)</f>
        <v/>
      </c>
      <c r="C159" s="85">
        <f>(B159-B158)/B158</f>
        <v/>
      </c>
      <c r="D159" s="81">
        <f>(B159-B155)/B155</f>
        <v/>
      </c>
      <c r="E159" s="81">
        <f>((1+C159)^4)-1</f>
        <v/>
      </c>
    </row>
    <row r="160">
      <c r="A160" s="79" t="n">
        <v>31229</v>
      </c>
      <c r="B160" s="164">
        <f>VLOOKUP(A160,Database!A:L,MATCH($A$1,Database!$A$1:$L$1,),)</f>
        <v/>
      </c>
      <c r="C160" s="85">
        <f>(B160-B159)/B159</f>
        <v/>
      </c>
      <c r="D160" s="81">
        <f>(B160-B156)/B156</f>
        <v/>
      </c>
      <c r="E160" s="81">
        <f>((1+C160)^4)-1</f>
        <v/>
      </c>
    </row>
    <row r="161">
      <c r="A161" s="79" t="n">
        <v>31321</v>
      </c>
      <c r="B161" s="164">
        <f>VLOOKUP(A161,Database!A:L,MATCH($A$1,Database!$A$1:$L$1,),)</f>
        <v/>
      </c>
      <c r="C161" s="85">
        <f>(B161-B160)/B160</f>
        <v/>
      </c>
      <c r="D161" s="81">
        <f>(B161-B157)/B157</f>
        <v/>
      </c>
      <c r="E161" s="81">
        <f>((1+C161)^4)-1</f>
        <v/>
      </c>
    </row>
    <row r="162">
      <c r="A162" s="79" t="n">
        <v>31413</v>
      </c>
      <c r="B162" s="164">
        <f>VLOOKUP(A162,Database!A:L,MATCH($A$1,Database!$A$1:$L$1,),)</f>
        <v/>
      </c>
      <c r="C162" s="85">
        <f>(B162-B161)/B161</f>
        <v/>
      </c>
      <c r="D162" s="81">
        <f>(B162-B158)/B158</f>
        <v/>
      </c>
      <c r="E162" s="81">
        <f>((1+C162)^4)-1</f>
        <v/>
      </c>
    </row>
    <row r="163">
      <c r="A163" s="79" t="n">
        <v>31503</v>
      </c>
      <c r="B163" s="164">
        <f>VLOOKUP(A163,Database!A:L,MATCH($A$1,Database!$A$1:$L$1,),)</f>
        <v/>
      </c>
      <c r="C163" s="85">
        <f>(B163-B162)/B162</f>
        <v/>
      </c>
      <c r="D163" s="81">
        <f>(B163-B159)/B159</f>
        <v/>
      </c>
      <c r="E163" s="81">
        <f>((1+C163)^4)-1</f>
        <v/>
      </c>
    </row>
    <row r="164">
      <c r="A164" s="79" t="n">
        <v>31594</v>
      </c>
      <c r="B164" s="164">
        <f>VLOOKUP(A164,Database!A:L,MATCH($A$1,Database!$A$1:$L$1,),)</f>
        <v/>
      </c>
      <c r="C164" s="85">
        <f>(B164-B163)/B163</f>
        <v/>
      </c>
      <c r="D164" s="81">
        <f>(B164-B160)/B160</f>
        <v/>
      </c>
      <c r="E164" s="81">
        <f>((1+C164)^4)-1</f>
        <v/>
      </c>
    </row>
    <row r="165">
      <c r="A165" s="79" t="n">
        <v>31686</v>
      </c>
      <c r="B165" s="164">
        <f>VLOOKUP(A165,Database!A:L,MATCH($A$1,Database!$A$1:$L$1,),)</f>
        <v/>
      </c>
      <c r="C165" s="85">
        <f>(B165-B164)/B164</f>
        <v/>
      </c>
      <c r="D165" s="81">
        <f>(B165-B161)/B161</f>
        <v/>
      </c>
      <c r="E165" s="81">
        <f>((1+C165)^4)-1</f>
        <v/>
      </c>
    </row>
    <row r="166">
      <c r="A166" s="79" t="n">
        <v>31778</v>
      </c>
      <c r="B166" s="164">
        <f>VLOOKUP(A166,Database!A:L,MATCH($A$1,Database!$A$1:$L$1,),)</f>
        <v/>
      </c>
      <c r="C166" s="85">
        <f>(B166-B165)/B165</f>
        <v/>
      </c>
      <c r="D166" s="81">
        <f>(B166-B162)/B162</f>
        <v/>
      </c>
      <c r="E166" s="81">
        <f>((1+C166)^4)-1</f>
        <v/>
      </c>
    </row>
    <row r="167">
      <c r="A167" s="79" t="n">
        <v>31868</v>
      </c>
      <c r="B167" s="164">
        <f>VLOOKUP(A167,Database!A:L,MATCH($A$1,Database!$A$1:$L$1,),)</f>
        <v/>
      </c>
      <c r="C167" s="85">
        <f>(B167-B166)/B166</f>
        <v/>
      </c>
      <c r="D167" s="81">
        <f>(B167-B163)/B163</f>
        <v/>
      </c>
      <c r="E167" s="81">
        <f>((1+C167)^4)-1</f>
        <v/>
      </c>
    </row>
    <row r="168">
      <c r="A168" s="79" t="n">
        <v>31959</v>
      </c>
      <c r="B168" s="164">
        <f>VLOOKUP(A168,Database!A:L,MATCH($A$1,Database!$A$1:$L$1,),)</f>
        <v/>
      </c>
      <c r="C168" s="85">
        <f>(B168-B167)/B167</f>
        <v/>
      </c>
      <c r="D168" s="81">
        <f>(B168-B164)/B164</f>
        <v/>
      </c>
      <c r="E168" s="81">
        <f>((1+C168)^4)-1</f>
        <v/>
      </c>
    </row>
    <row r="169">
      <c r="A169" s="79" t="n">
        <v>32051</v>
      </c>
      <c r="B169" s="164">
        <f>VLOOKUP(A169,Database!A:L,MATCH($A$1,Database!$A$1:$L$1,),)</f>
        <v/>
      </c>
      <c r="C169" s="85">
        <f>(B169-B168)/B168</f>
        <v/>
      </c>
      <c r="D169" s="81">
        <f>(B169-B165)/B165</f>
        <v/>
      </c>
      <c r="E169" s="81">
        <f>((1+C169)^4)-1</f>
        <v/>
      </c>
    </row>
    <row r="170">
      <c r="A170" s="79" t="n">
        <v>32143</v>
      </c>
      <c r="B170" s="164">
        <f>VLOOKUP(A170,Database!A:L,MATCH($A$1,Database!$A$1:$L$1,),)</f>
        <v/>
      </c>
      <c r="C170" s="85">
        <f>(B170-B169)/B169</f>
        <v/>
      </c>
      <c r="D170" s="81">
        <f>(B170-B166)/B166</f>
        <v/>
      </c>
      <c r="E170" s="81">
        <f>((1+C170)^4)-1</f>
        <v/>
      </c>
    </row>
    <row r="171">
      <c r="A171" s="79" t="n">
        <v>32234</v>
      </c>
      <c r="B171" s="164">
        <f>VLOOKUP(A171,Database!A:L,MATCH($A$1,Database!$A$1:$L$1,),)</f>
        <v/>
      </c>
      <c r="C171" s="85">
        <f>(B171-B170)/B170</f>
        <v/>
      </c>
      <c r="D171" s="81">
        <f>(B171-B167)/B167</f>
        <v/>
      </c>
      <c r="E171" s="81">
        <f>((1+C171)^4)-1</f>
        <v/>
      </c>
    </row>
    <row r="172">
      <c r="A172" s="79" t="n">
        <v>32325</v>
      </c>
      <c r="B172" s="164">
        <f>VLOOKUP(A172,Database!A:L,MATCH($A$1,Database!$A$1:$L$1,),)</f>
        <v/>
      </c>
      <c r="C172" s="85">
        <f>(B172-B171)/B171</f>
        <v/>
      </c>
      <c r="D172" s="81">
        <f>(B172-B168)/B168</f>
        <v/>
      </c>
      <c r="E172" s="81">
        <f>((1+C172)^4)-1</f>
        <v/>
      </c>
    </row>
    <row r="173">
      <c r="A173" s="79" t="n">
        <v>32417</v>
      </c>
      <c r="B173" s="164">
        <f>VLOOKUP(A173,Database!A:L,MATCH($A$1,Database!$A$1:$L$1,),)</f>
        <v/>
      </c>
      <c r="C173" s="85">
        <f>(B173-B172)/B172</f>
        <v/>
      </c>
      <c r="D173" s="81">
        <f>(B173-B169)/B169</f>
        <v/>
      </c>
      <c r="E173" s="81">
        <f>((1+C173)^4)-1</f>
        <v/>
      </c>
    </row>
    <row r="174">
      <c r="A174" s="79" t="n">
        <v>32509</v>
      </c>
      <c r="B174" s="164">
        <f>VLOOKUP(A174,Database!A:L,MATCH($A$1,Database!$A$1:$L$1,),)</f>
        <v/>
      </c>
      <c r="C174" s="85">
        <f>(B174-B173)/B173</f>
        <v/>
      </c>
      <c r="D174" s="81">
        <f>(B174-B170)/B170</f>
        <v/>
      </c>
      <c r="E174" s="81">
        <f>((1+C174)^4)-1</f>
        <v/>
      </c>
    </row>
    <row r="175">
      <c r="A175" s="79" t="n">
        <v>32599</v>
      </c>
      <c r="B175" s="164">
        <f>VLOOKUP(A175,Database!A:L,MATCH($A$1,Database!$A$1:$L$1,),)</f>
        <v/>
      </c>
      <c r="C175" s="85">
        <f>(B175-B174)/B174</f>
        <v/>
      </c>
      <c r="D175" s="81">
        <f>(B175-B171)/B171</f>
        <v/>
      </c>
      <c r="E175" s="81">
        <f>((1+C175)^4)-1</f>
        <v/>
      </c>
    </row>
    <row r="176">
      <c r="A176" s="79" t="n">
        <v>32690</v>
      </c>
      <c r="B176" s="164">
        <f>VLOOKUP(A176,Database!A:L,MATCH($A$1,Database!$A$1:$L$1,),)</f>
        <v/>
      </c>
      <c r="C176" s="85">
        <f>(B176-B175)/B175</f>
        <v/>
      </c>
      <c r="D176" s="81">
        <f>(B176-B172)/B172</f>
        <v/>
      </c>
      <c r="E176" s="81">
        <f>((1+C176)^4)-1</f>
        <v/>
      </c>
    </row>
    <row r="177">
      <c r="A177" s="79" t="n">
        <v>32782</v>
      </c>
      <c r="B177" s="164">
        <f>VLOOKUP(A177,Database!A:L,MATCH($A$1,Database!$A$1:$L$1,),)</f>
        <v/>
      </c>
      <c r="C177" s="85">
        <f>(B177-B176)/B176</f>
        <v/>
      </c>
      <c r="D177" s="81">
        <f>(B177-B173)/B173</f>
        <v/>
      </c>
      <c r="E177" s="81">
        <f>((1+C177)^4)-1</f>
        <v/>
      </c>
    </row>
    <row r="178">
      <c r="A178" s="79" t="n">
        <v>32874</v>
      </c>
      <c r="B178" s="164">
        <f>VLOOKUP(A178,Database!A:L,MATCH($A$1,Database!$A$1:$L$1,),)</f>
        <v/>
      </c>
      <c r="C178" s="85">
        <f>(B178-B177)/B177</f>
        <v/>
      </c>
      <c r="D178" s="81">
        <f>(B178-B174)/B174</f>
        <v/>
      </c>
      <c r="E178" s="81">
        <f>((1+C178)^4)-1</f>
        <v/>
      </c>
    </row>
    <row r="179">
      <c r="A179" s="79" t="n">
        <v>32964</v>
      </c>
      <c r="B179" s="164">
        <f>VLOOKUP(A179,Database!A:L,MATCH($A$1,Database!$A$1:$L$1,),)</f>
        <v/>
      </c>
      <c r="C179" s="85">
        <f>(B179-B178)/B178</f>
        <v/>
      </c>
      <c r="D179" s="81">
        <f>(B179-B175)/B175</f>
        <v/>
      </c>
      <c r="E179" s="81">
        <f>((1+C179)^4)-1</f>
        <v/>
      </c>
    </row>
    <row r="180">
      <c r="A180" s="79" t="n">
        <v>33055</v>
      </c>
      <c r="B180" s="164">
        <f>VLOOKUP(A180,Database!A:L,MATCH($A$1,Database!$A$1:$L$1,),)</f>
        <v/>
      </c>
      <c r="C180" s="85">
        <f>(B180-B179)/B179</f>
        <v/>
      </c>
      <c r="D180" s="81">
        <f>(B180-B176)/B176</f>
        <v/>
      </c>
      <c r="E180" s="81">
        <f>((1+C180)^4)-1</f>
        <v/>
      </c>
    </row>
    <row r="181">
      <c r="A181" s="79" t="n">
        <v>33147</v>
      </c>
      <c r="B181" s="164">
        <f>VLOOKUP(A181,Database!A:L,MATCH($A$1,Database!$A$1:$L$1,),)</f>
        <v/>
      </c>
      <c r="C181" s="85">
        <f>(B181-B180)/B180</f>
        <v/>
      </c>
      <c r="D181" s="81">
        <f>(B181-B177)/B177</f>
        <v/>
      </c>
      <c r="E181" s="81">
        <f>((1+C181)^4)-1</f>
        <v/>
      </c>
    </row>
    <row r="182">
      <c r="A182" s="79" t="n">
        <v>33239</v>
      </c>
      <c r="B182" s="164">
        <f>VLOOKUP(A182,Database!A:L,MATCH($A$1,Database!$A$1:$L$1,),)</f>
        <v/>
      </c>
      <c r="C182" s="85">
        <f>(B182-B181)/B181</f>
        <v/>
      </c>
      <c r="D182" s="81">
        <f>(B182-B178)/B178</f>
        <v/>
      </c>
      <c r="E182" s="81">
        <f>((1+C182)^4)-1</f>
        <v/>
      </c>
    </row>
    <row r="183">
      <c r="A183" s="79" t="n">
        <v>33329</v>
      </c>
      <c r="B183" s="164">
        <f>VLOOKUP(A183,Database!A:L,MATCH($A$1,Database!$A$1:$L$1,),)</f>
        <v/>
      </c>
      <c r="C183" s="85">
        <f>(B183-B182)/B182</f>
        <v/>
      </c>
      <c r="D183" s="81">
        <f>(B183-B179)/B179</f>
        <v/>
      </c>
      <c r="E183" s="81">
        <f>((1+C183)^4)-1</f>
        <v/>
      </c>
    </row>
    <row r="184">
      <c r="A184" s="79" t="n">
        <v>33420</v>
      </c>
      <c r="B184" s="164">
        <f>VLOOKUP(A184,Database!A:L,MATCH($A$1,Database!$A$1:$L$1,),)</f>
        <v/>
      </c>
      <c r="C184" s="85">
        <f>(B184-B183)/B183</f>
        <v/>
      </c>
      <c r="D184" s="81">
        <f>(B184-B180)/B180</f>
        <v/>
      </c>
      <c r="E184" s="81">
        <f>((1+C184)^4)-1</f>
        <v/>
      </c>
    </row>
    <row r="185">
      <c r="A185" s="79" t="n">
        <v>33512</v>
      </c>
      <c r="B185" s="164">
        <f>VLOOKUP(A185,Database!A:L,MATCH($A$1,Database!$A$1:$L$1,),)</f>
        <v/>
      </c>
      <c r="C185" s="85">
        <f>(B185-B184)/B184</f>
        <v/>
      </c>
      <c r="D185" s="81">
        <f>(B185-B181)/B181</f>
        <v/>
      </c>
      <c r="E185" s="81">
        <f>((1+C185)^4)-1</f>
        <v/>
      </c>
    </row>
    <row r="186">
      <c r="A186" s="79" t="n">
        <v>33604</v>
      </c>
      <c r="B186" s="164">
        <f>VLOOKUP(A186,Database!A:L,MATCH($A$1,Database!$A$1:$L$1,),)</f>
        <v/>
      </c>
      <c r="C186" s="85">
        <f>(B186-B185)/B185</f>
        <v/>
      </c>
      <c r="D186" s="81">
        <f>(B186-B182)/B182</f>
        <v/>
      </c>
      <c r="E186" s="81">
        <f>((1+C186)^4)-1</f>
        <v/>
      </c>
    </row>
    <row r="187">
      <c r="A187" s="79" t="n">
        <v>33695</v>
      </c>
      <c r="B187" s="164">
        <f>VLOOKUP(A187,Database!A:L,MATCH($A$1,Database!$A$1:$L$1,),)</f>
        <v/>
      </c>
      <c r="C187" s="85">
        <f>(B187-B186)/B186</f>
        <v/>
      </c>
      <c r="D187" s="81">
        <f>(B187-B183)/B183</f>
        <v/>
      </c>
      <c r="E187" s="81">
        <f>((1+C187)^4)-1</f>
        <v/>
      </c>
    </row>
    <row r="188">
      <c r="A188" s="79" t="n">
        <v>33786</v>
      </c>
      <c r="B188" s="164">
        <f>VLOOKUP(A188,Database!A:L,MATCH($A$1,Database!$A$1:$L$1,),)</f>
        <v/>
      </c>
      <c r="C188" s="85">
        <f>(B188-B187)/B187</f>
        <v/>
      </c>
      <c r="D188" s="81">
        <f>(B188-B184)/B184</f>
        <v/>
      </c>
      <c r="E188" s="81">
        <f>((1+C188)^4)-1</f>
        <v/>
      </c>
    </row>
    <row r="189">
      <c r="A189" s="79" t="n">
        <v>33878</v>
      </c>
      <c r="B189" s="164">
        <f>VLOOKUP(A189,Database!A:L,MATCH($A$1,Database!$A$1:$L$1,),)</f>
        <v/>
      </c>
      <c r="C189" s="85">
        <f>(B189-B188)/B188</f>
        <v/>
      </c>
      <c r="D189" s="81">
        <f>(B189-B185)/B185</f>
        <v/>
      </c>
      <c r="E189" s="81">
        <f>((1+C189)^4)-1</f>
        <v/>
      </c>
    </row>
    <row r="190">
      <c r="A190" s="79" t="n">
        <v>33970</v>
      </c>
      <c r="B190" s="164">
        <f>VLOOKUP(A190,Database!A:L,MATCH($A$1,Database!$A$1:$L$1,),)</f>
        <v/>
      </c>
      <c r="C190" s="85">
        <f>(B190-B189)/B189</f>
        <v/>
      </c>
      <c r="D190" s="81">
        <f>(B190-B186)/B186</f>
        <v/>
      </c>
      <c r="E190" s="81">
        <f>((1+C190)^4)-1</f>
        <v/>
      </c>
    </row>
    <row r="191">
      <c r="A191" s="79" t="n">
        <v>34060</v>
      </c>
      <c r="B191" s="164">
        <f>VLOOKUP(A191,Database!A:L,MATCH($A$1,Database!$A$1:$L$1,),)</f>
        <v/>
      </c>
      <c r="C191" s="85">
        <f>(B191-B190)/B190</f>
        <v/>
      </c>
      <c r="D191" s="81">
        <f>(B191-B187)/B187</f>
        <v/>
      </c>
      <c r="E191" s="81">
        <f>((1+C191)^4)-1</f>
        <v/>
      </c>
    </row>
    <row r="192">
      <c r="A192" s="79" t="n">
        <v>34151</v>
      </c>
      <c r="B192" s="164">
        <f>VLOOKUP(A192,Database!A:L,MATCH($A$1,Database!$A$1:$L$1,),)</f>
        <v/>
      </c>
      <c r="C192" s="85">
        <f>(B192-B191)/B191</f>
        <v/>
      </c>
      <c r="D192" s="81">
        <f>(B192-B188)/B188</f>
        <v/>
      </c>
      <c r="E192" s="81">
        <f>((1+C192)^4)-1</f>
        <v/>
      </c>
    </row>
    <row r="193">
      <c r="A193" s="79" t="n">
        <v>34243</v>
      </c>
      <c r="B193" s="164">
        <f>VLOOKUP(A193,Database!A:L,MATCH($A$1,Database!$A$1:$L$1,),)</f>
        <v/>
      </c>
      <c r="C193" s="85">
        <f>(B193-B192)/B192</f>
        <v/>
      </c>
      <c r="D193" s="81">
        <f>(B193-B189)/B189</f>
        <v/>
      </c>
      <c r="E193" s="81">
        <f>((1+C193)^4)-1</f>
        <v/>
      </c>
    </row>
    <row r="194">
      <c r="A194" s="79" t="n">
        <v>34335</v>
      </c>
      <c r="B194" s="164">
        <f>VLOOKUP(A194,Database!A:L,MATCH($A$1,Database!$A$1:$L$1,),)</f>
        <v/>
      </c>
      <c r="C194" s="85">
        <f>(B194-B193)/B193</f>
        <v/>
      </c>
      <c r="D194" s="81">
        <f>(B194-B190)/B190</f>
        <v/>
      </c>
      <c r="E194" s="81">
        <f>((1+C194)^4)-1</f>
        <v/>
      </c>
    </row>
    <row r="195">
      <c r="A195" s="79" t="n">
        <v>34425</v>
      </c>
      <c r="B195" s="164">
        <f>VLOOKUP(A195,Database!A:L,MATCH($A$1,Database!$A$1:$L$1,),)</f>
        <v/>
      </c>
      <c r="C195" s="85">
        <f>(B195-B194)/B194</f>
        <v/>
      </c>
      <c r="D195" s="81">
        <f>(B195-B191)/B191</f>
        <v/>
      </c>
      <c r="E195" s="81">
        <f>((1+C195)^4)-1</f>
        <v/>
      </c>
    </row>
    <row r="196">
      <c r="A196" s="79" t="n">
        <v>34516</v>
      </c>
      <c r="B196" s="164">
        <f>VLOOKUP(A196,Database!A:L,MATCH($A$1,Database!$A$1:$L$1,),)</f>
        <v/>
      </c>
      <c r="C196" s="85">
        <f>(B196-B195)/B195</f>
        <v/>
      </c>
      <c r="D196" s="81">
        <f>(B196-B192)/B192</f>
        <v/>
      </c>
      <c r="E196" s="81">
        <f>((1+C196)^4)-1</f>
        <v/>
      </c>
    </row>
    <row r="197">
      <c r="A197" s="79" t="n">
        <v>34608</v>
      </c>
      <c r="B197" s="164">
        <f>VLOOKUP(A197,Database!A:L,MATCH($A$1,Database!$A$1:$L$1,),)</f>
        <v/>
      </c>
      <c r="C197" s="85">
        <f>(B197-B196)/B196</f>
        <v/>
      </c>
      <c r="D197" s="81">
        <f>(B197-B193)/B193</f>
        <v/>
      </c>
      <c r="E197" s="81">
        <f>((1+C197)^4)-1</f>
        <v/>
      </c>
    </row>
    <row r="198">
      <c r="A198" s="79" t="n">
        <v>34700</v>
      </c>
      <c r="B198" s="164">
        <f>VLOOKUP(A198,Database!A:L,MATCH($A$1,Database!$A$1:$L$1,),)</f>
        <v/>
      </c>
      <c r="C198" s="85">
        <f>(B198-B197)/B197</f>
        <v/>
      </c>
      <c r="D198" s="81">
        <f>(B198-B194)/B194</f>
        <v/>
      </c>
      <c r="E198" s="81">
        <f>((1+C198)^4)-1</f>
        <v/>
      </c>
    </row>
    <row r="199">
      <c r="A199" s="79" t="n">
        <v>34790</v>
      </c>
      <c r="B199" s="164">
        <f>VLOOKUP(A199,Database!A:L,MATCH($A$1,Database!$A$1:$L$1,),)</f>
        <v/>
      </c>
      <c r="C199" s="85">
        <f>(B199-B198)/B198</f>
        <v/>
      </c>
      <c r="D199" s="81">
        <f>(B199-B195)/B195</f>
        <v/>
      </c>
      <c r="E199" s="81">
        <f>((1+C199)^4)-1</f>
        <v/>
      </c>
    </row>
    <row r="200">
      <c r="A200" s="79" t="n">
        <v>34881</v>
      </c>
      <c r="B200" s="164">
        <f>VLOOKUP(A200,Database!A:L,MATCH($A$1,Database!$A$1:$L$1,),)</f>
        <v/>
      </c>
      <c r="C200" s="85">
        <f>(B200-B199)/B199</f>
        <v/>
      </c>
      <c r="D200" s="81">
        <f>(B200-B196)/B196</f>
        <v/>
      </c>
      <c r="E200" s="81">
        <f>((1+C200)^4)-1</f>
        <v/>
      </c>
    </row>
    <row r="201">
      <c r="A201" s="79" t="n">
        <v>34973</v>
      </c>
      <c r="B201" s="164">
        <f>VLOOKUP(A201,Database!A:L,MATCH($A$1,Database!$A$1:$L$1,),)</f>
        <v/>
      </c>
      <c r="C201" s="85">
        <f>(B201-B200)/B200</f>
        <v/>
      </c>
      <c r="D201" s="81">
        <f>(B201-B197)/B197</f>
        <v/>
      </c>
      <c r="E201" s="81">
        <f>((1+C201)^4)-1</f>
        <v/>
      </c>
    </row>
    <row r="202">
      <c r="A202" s="79" t="n">
        <v>35065</v>
      </c>
      <c r="B202" s="164">
        <f>VLOOKUP(A202,Database!A:L,MATCH($A$1,Database!$A$1:$L$1,),)</f>
        <v/>
      </c>
      <c r="C202" s="85">
        <f>(B202-B201)/B201</f>
        <v/>
      </c>
      <c r="D202" s="81">
        <f>(B202-B198)/B198</f>
        <v/>
      </c>
      <c r="E202" s="81">
        <f>((1+C202)^4)-1</f>
        <v/>
      </c>
    </row>
    <row r="203">
      <c r="A203" s="79" t="n">
        <v>35156</v>
      </c>
      <c r="B203" s="164">
        <f>VLOOKUP(A203,Database!A:L,MATCH($A$1,Database!$A$1:$L$1,),)</f>
        <v/>
      </c>
      <c r="C203" s="85">
        <f>(B203-B202)/B202</f>
        <v/>
      </c>
      <c r="D203" s="81">
        <f>(B203-B199)/B199</f>
        <v/>
      </c>
      <c r="E203" s="81">
        <f>((1+C203)^4)-1</f>
        <v/>
      </c>
    </row>
    <row r="204">
      <c r="A204" s="79" t="n">
        <v>35247</v>
      </c>
      <c r="B204" s="164">
        <f>VLOOKUP(A204,Database!A:L,MATCH($A$1,Database!$A$1:$L$1,),)</f>
        <v/>
      </c>
      <c r="C204" s="85">
        <f>(B204-B203)/B203</f>
        <v/>
      </c>
      <c r="D204" s="81">
        <f>(B204-B200)/B200</f>
        <v/>
      </c>
      <c r="E204" s="81">
        <f>((1+C204)^4)-1</f>
        <v/>
      </c>
    </row>
    <row r="205">
      <c r="A205" s="79" t="n">
        <v>35339</v>
      </c>
      <c r="B205" s="164">
        <f>VLOOKUP(A205,Database!A:L,MATCH($A$1,Database!$A$1:$L$1,),)</f>
        <v/>
      </c>
      <c r="C205" s="85">
        <f>(B205-B204)/B204</f>
        <v/>
      </c>
      <c r="D205" s="81">
        <f>(B205-B201)/B201</f>
        <v/>
      </c>
      <c r="E205" s="81">
        <f>((1+C205)^4)-1</f>
        <v/>
      </c>
    </row>
    <row r="206">
      <c r="A206" s="79" t="n">
        <v>35431</v>
      </c>
      <c r="B206" s="164">
        <f>VLOOKUP(A206,Database!A:L,MATCH($A$1,Database!$A$1:$L$1,),)</f>
        <v/>
      </c>
      <c r="C206" s="85">
        <f>(B206-B205)/B205</f>
        <v/>
      </c>
      <c r="D206" s="81">
        <f>(B206-B202)/B202</f>
        <v/>
      </c>
      <c r="E206" s="81">
        <f>((1+C206)^4)-1</f>
        <v/>
      </c>
    </row>
    <row r="207">
      <c r="A207" s="79" t="n">
        <v>35521</v>
      </c>
      <c r="B207" s="164">
        <f>VLOOKUP(A207,Database!A:L,MATCH($A$1,Database!$A$1:$L$1,),)</f>
        <v/>
      </c>
      <c r="C207" s="85">
        <f>(B207-B206)/B206</f>
        <v/>
      </c>
      <c r="D207" s="81">
        <f>(B207-B203)/B203</f>
        <v/>
      </c>
      <c r="E207" s="81">
        <f>((1+C207)^4)-1</f>
        <v/>
      </c>
    </row>
    <row r="208">
      <c r="A208" s="79" t="n">
        <v>35612</v>
      </c>
      <c r="B208" s="164">
        <f>VLOOKUP(A208,Database!A:L,MATCH($A$1,Database!$A$1:$L$1,),)</f>
        <v/>
      </c>
      <c r="C208" s="85">
        <f>(B208-B207)/B207</f>
        <v/>
      </c>
      <c r="D208" s="81">
        <f>(B208-B204)/B204</f>
        <v/>
      </c>
      <c r="E208" s="81">
        <f>((1+C208)^4)-1</f>
        <v/>
      </c>
    </row>
    <row r="209">
      <c r="A209" s="79" t="n">
        <v>35704</v>
      </c>
      <c r="B209" s="164">
        <f>VLOOKUP(A209,Database!A:L,MATCH($A$1,Database!$A$1:$L$1,),)</f>
        <v/>
      </c>
      <c r="C209" s="85">
        <f>(B209-B208)/B208</f>
        <v/>
      </c>
      <c r="D209" s="81">
        <f>(B209-B205)/B205</f>
        <v/>
      </c>
      <c r="E209" s="81">
        <f>((1+C209)^4)-1</f>
        <v/>
      </c>
    </row>
    <row r="210">
      <c r="A210" s="79" t="n">
        <v>35796</v>
      </c>
      <c r="B210" s="164">
        <f>VLOOKUP(A210,Database!A:L,MATCH($A$1,Database!$A$1:$L$1,),)</f>
        <v/>
      </c>
      <c r="C210" s="85">
        <f>(B210-B209)/B209</f>
        <v/>
      </c>
      <c r="D210" s="81">
        <f>(B210-B206)/B206</f>
        <v/>
      </c>
      <c r="E210" s="81">
        <f>((1+C210)^4)-1</f>
        <v/>
      </c>
    </row>
    <row r="211">
      <c r="A211" s="79" t="n">
        <v>35886</v>
      </c>
      <c r="B211" s="164">
        <f>VLOOKUP(A211,Database!A:L,MATCH($A$1,Database!$A$1:$L$1,),)</f>
        <v/>
      </c>
      <c r="C211" s="85">
        <f>(B211-B210)/B210</f>
        <v/>
      </c>
      <c r="D211" s="81">
        <f>(B211-B207)/B207</f>
        <v/>
      </c>
      <c r="E211" s="81">
        <f>((1+C211)^4)-1</f>
        <v/>
      </c>
    </row>
    <row r="212">
      <c r="A212" s="79" t="n">
        <v>35977</v>
      </c>
      <c r="B212" s="164">
        <f>VLOOKUP(A212,Database!A:L,MATCH($A$1,Database!$A$1:$L$1,),)</f>
        <v/>
      </c>
      <c r="C212" s="85">
        <f>(B212-B211)/B211</f>
        <v/>
      </c>
      <c r="D212" s="81">
        <f>(B212-B208)/B208</f>
        <v/>
      </c>
      <c r="E212" s="81">
        <f>((1+C212)^4)-1</f>
        <v/>
      </c>
    </row>
    <row r="213">
      <c r="A213" s="79" t="n">
        <v>36069</v>
      </c>
      <c r="B213" s="164">
        <f>VLOOKUP(A213,Database!A:L,MATCH($A$1,Database!$A$1:$L$1,),)</f>
        <v/>
      </c>
      <c r="C213" s="85">
        <f>(B213-B212)/B212</f>
        <v/>
      </c>
      <c r="D213" s="81">
        <f>(B213-B209)/B209</f>
        <v/>
      </c>
      <c r="E213" s="81">
        <f>((1+C213)^4)-1</f>
        <v/>
      </c>
    </row>
    <row r="214">
      <c r="A214" s="79" t="n">
        <v>36161</v>
      </c>
      <c r="B214" s="164">
        <f>VLOOKUP(A214,Database!A:L,MATCH($A$1,Database!$A$1:$L$1,),)</f>
        <v/>
      </c>
      <c r="C214" s="85">
        <f>(B214-B213)/B213</f>
        <v/>
      </c>
      <c r="D214" s="81">
        <f>(B214-B210)/B210</f>
        <v/>
      </c>
      <c r="E214" s="81">
        <f>((1+C214)^4)-1</f>
        <v/>
      </c>
    </row>
    <row r="215">
      <c r="A215" s="79" t="n">
        <v>36251</v>
      </c>
      <c r="B215" s="164">
        <f>VLOOKUP(A215,Database!A:L,MATCH($A$1,Database!$A$1:$L$1,),)</f>
        <v/>
      </c>
      <c r="C215" s="85">
        <f>(B215-B214)/B214</f>
        <v/>
      </c>
      <c r="D215" s="81">
        <f>(B215-B211)/B211</f>
        <v/>
      </c>
      <c r="E215" s="81">
        <f>((1+C215)^4)-1</f>
        <v/>
      </c>
    </row>
    <row r="216">
      <c r="A216" s="79" t="n">
        <v>36342</v>
      </c>
      <c r="B216" s="164">
        <f>VLOOKUP(A216,Database!A:L,MATCH($A$1,Database!$A$1:$L$1,),)</f>
        <v/>
      </c>
      <c r="C216" s="85">
        <f>(B216-B215)/B215</f>
        <v/>
      </c>
      <c r="D216" s="81">
        <f>(B216-B212)/B212</f>
        <v/>
      </c>
      <c r="E216" s="81">
        <f>((1+C216)^4)-1</f>
        <v/>
      </c>
    </row>
    <row r="217">
      <c r="A217" s="79" t="n">
        <v>36434</v>
      </c>
      <c r="B217" s="164">
        <f>VLOOKUP(A217,Database!A:L,MATCH($A$1,Database!$A$1:$L$1,),)</f>
        <v/>
      </c>
      <c r="C217" s="85">
        <f>(B217-B216)/B216</f>
        <v/>
      </c>
      <c r="D217" s="81">
        <f>(B217-B213)/B213</f>
        <v/>
      </c>
      <c r="E217" s="81">
        <f>((1+C217)^4)-1</f>
        <v/>
      </c>
    </row>
    <row r="218">
      <c r="A218" s="79" t="n">
        <v>36526</v>
      </c>
      <c r="B218" s="164">
        <f>VLOOKUP(A218,Database!A:L,MATCH($A$1,Database!$A$1:$L$1,),)</f>
        <v/>
      </c>
      <c r="C218" s="85">
        <f>(B218-B217)/B217</f>
        <v/>
      </c>
      <c r="D218" s="81">
        <f>(B218-B214)/B214</f>
        <v/>
      </c>
      <c r="E218" s="81">
        <f>((1+C218)^4)-1</f>
        <v/>
      </c>
    </row>
    <row r="219">
      <c r="A219" s="79" t="n">
        <v>36617</v>
      </c>
      <c r="B219" s="164">
        <f>VLOOKUP(A219,Database!A:L,MATCH($A$1,Database!$A$1:$L$1,),)</f>
        <v/>
      </c>
      <c r="C219" s="85">
        <f>(B219-B218)/B218</f>
        <v/>
      </c>
      <c r="D219" s="81">
        <f>(B219-B215)/B215</f>
        <v/>
      </c>
      <c r="E219" s="81">
        <f>((1+C219)^4)-1</f>
        <v/>
      </c>
    </row>
    <row r="220">
      <c r="A220" s="79" t="n">
        <v>36708</v>
      </c>
      <c r="B220" s="164">
        <f>VLOOKUP(A220,Database!A:L,MATCH($A$1,Database!$A$1:$L$1,),)</f>
        <v/>
      </c>
      <c r="C220" s="85">
        <f>(B220-B219)/B219</f>
        <v/>
      </c>
      <c r="D220" s="81">
        <f>(B220-B216)/B216</f>
        <v/>
      </c>
      <c r="E220" s="81">
        <f>((1+C220)^4)-1</f>
        <v/>
      </c>
    </row>
    <row r="221">
      <c r="A221" s="79" t="n">
        <v>36800</v>
      </c>
      <c r="B221" s="164">
        <f>VLOOKUP(A221,Database!A:L,MATCH($A$1,Database!$A$1:$L$1,),)</f>
        <v/>
      </c>
      <c r="C221" s="85">
        <f>(B221-B220)/B220</f>
        <v/>
      </c>
      <c r="D221" s="81">
        <f>(B221-B217)/B217</f>
        <v/>
      </c>
      <c r="E221" s="81">
        <f>((1+C221)^4)-1</f>
        <v/>
      </c>
    </row>
    <row r="222">
      <c r="A222" s="79" t="n">
        <v>36892</v>
      </c>
      <c r="B222" s="164">
        <f>VLOOKUP(A222,Database!A:L,MATCH($A$1,Database!$A$1:$L$1,),)</f>
        <v/>
      </c>
      <c r="C222" s="85">
        <f>(B222-B221)/B221</f>
        <v/>
      </c>
      <c r="D222" s="81">
        <f>(B222-B218)/B218</f>
        <v/>
      </c>
      <c r="E222" s="81">
        <f>((1+C222)^4)-1</f>
        <v/>
      </c>
    </row>
    <row r="223">
      <c r="A223" s="79" t="n">
        <v>36982</v>
      </c>
      <c r="B223" s="164">
        <f>VLOOKUP(A223,Database!A:L,MATCH($A$1,Database!$A$1:$L$1,),)</f>
        <v/>
      </c>
      <c r="C223" s="85">
        <f>(B223-B222)/B222</f>
        <v/>
      </c>
      <c r="D223" s="81">
        <f>(B223-B219)/B219</f>
        <v/>
      </c>
      <c r="E223" s="81">
        <f>((1+C223)^4)-1</f>
        <v/>
      </c>
    </row>
    <row r="224">
      <c r="A224" s="79" t="n">
        <v>37073</v>
      </c>
      <c r="B224" s="164">
        <f>VLOOKUP(A224,Database!A:L,MATCH($A$1,Database!$A$1:$L$1,),)</f>
        <v/>
      </c>
      <c r="C224" s="85">
        <f>(B224-B223)/B223</f>
        <v/>
      </c>
      <c r="D224" s="81">
        <f>(B224-B220)/B220</f>
        <v/>
      </c>
      <c r="E224" s="81">
        <f>((1+C224)^4)-1</f>
        <v/>
      </c>
    </row>
    <row r="225">
      <c r="A225" s="79" t="n">
        <v>37165</v>
      </c>
      <c r="B225" s="164">
        <f>VLOOKUP(A225,Database!A:L,MATCH($A$1,Database!$A$1:$L$1,),)</f>
        <v/>
      </c>
      <c r="C225" s="85">
        <f>(B225-B224)/B224</f>
        <v/>
      </c>
      <c r="D225" s="81">
        <f>(B225-B221)/B221</f>
        <v/>
      </c>
      <c r="E225" s="81">
        <f>((1+C225)^4)-1</f>
        <v/>
      </c>
    </row>
    <row r="226">
      <c r="A226" s="79" t="n">
        <v>37257</v>
      </c>
      <c r="B226" s="164">
        <f>VLOOKUP(A226,Database!A:L,MATCH($A$1,Database!$A$1:$L$1,),)</f>
        <v/>
      </c>
      <c r="C226" s="85">
        <f>(B226-B225)/B225</f>
        <v/>
      </c>
      <c r="D226" s="81">
        <f>(B226-B222)/B222</f>
        <v/>
      </c>
      <c r="E226" s="81">
        <f>((1+C226)^4)-1</f>
        <v/>
      </c>
    </row>
    <row r="227">
      <c r="A227" s="79" t="n">
        <v>37347</v>
      </c>
      <c r="B227" s="164">
        <f>VLOOKUP(A227,Database!A:L,MATCH($A$1,Database!$A$1:$L$1,),)</f>
        <v/>
      </c>
      <c r="C227" s="85">
        <f>(B227-B226)/B226</f>
        <v/>
      </c>
      <c r="D227" s="81">
        <f>(B227-B223)/B223</f>
        <v/>
      </c>
      <c r="E227" s="81">
        <f>((1+C227)^4)-1</f>
        <v/>
      </c>
    </row>
    <row r="228">
      <c r="A228" s="79" t="n">
        <v>37438</v>
      </c>
      <c r="B228" s="164">
        <f>VLOOKUP(A228,Database!A:L,MATCH($A$1,Database!$A$1:$L$1,),)</f>
        <v/>
      </c>
      <c r="C228" s="85">
        <f>(B228-B227)/B227</f>
        <v/>
      </c>
      <c r="D228" s="81">
        <f>(B228-B224)/B224</f>
        <v/>
      </c>
      <c r="E228" s="81">
        <f>((1+C228)^4)-1</f>
        <v/>
      </c>
    </row>
    <row r="229">
      <c r="A229" s="79" t="n">
        <v>37530</v>
      </c>
      <c r="B229" s="164">
        <f>VLOOKUP(A229,Database!A:L,MATCH($A$1,Database!$A$1:$L$1,),)</f>
        <v/>
      </c>
      <c r="C229" s="85">
        <f>(B229-B228)/B228</f>
        <v/>
      </c>
      <c r="D229" s="81">
        <f>(B229-B225)/B225</f>
        <v/>
      </c>
      <c r="E229" s="81">
        <f>((1+C229)^4)-1</f>
        <v/>
      </c>
    </row>
    <row r="230">
      <c r="A230" s="79" t="n">
        <v>37622</v>
      </c>
      <c r="B230" s="164">
        <f>VLOOKUP(A230,Database!A:L,MATCH($A$1,Database!$A$1:$L$1,),)</f>
        <v/>
      </c>
      <c r="C230" s="85">
        <f>(B230-B229)/B229</f>
        <v/>
      </c>
      <c r="D230" s="81">
        <f>(B230-B226)/B226</f>
        <v/>
      </c>
      <c r="E230" s="81">
        <f>((1+C230)^4)-1</f>
        <v/>
      </c>
    </row>
    <row r="231">
      <c r="A231" s="79" t="n">
        <v>37712</v>
      </c>
      <c r="B231" s="164">
        <f>VLOOKUP(A231,Database!A:L,MATCH($A$1,Database!$A$1:$L$1,),)</f>
        <v/>
      </c>
      <c r="C231" s="85">
        <f>(B231-B230)/B230</f>
        <v/>
      </c>
      <c r="D231" s="81">
        <f>(B231-B227)/B227</f>
        <v/>
      </c>
      <c r="E231" s="81">
        <f>((1+C231)^4)-1</f>
        <v/>
      </c>
    </row>
    <row r="232">
      <c r="A232" s="79" t="n">
        <v>37803</v>
      </c>
      <c r="B232" s="164">
        <f>VLOOKUP(A232,Database!A:L,MATCH($A$1,Database!$A$1:$L$1,),)</f>
        <v/>
      </c>
      <c r="C232" s="85">
        <f>(B232-B231)/B231</f>
        <v/>
      </c>
      <c r="D232" s="81">
        <f>(B232-B228)/B228</f>
        <v/>
      </c>
      <c r="E232" s="81">
        <f>((1+C232)^4)-1</f>
        <v/>
      </c>
    </row>
    <row r="233">
      <c r="A233" s="79" t="n">
        <v>37895</v>
      </c>
      <c r="B233" s="164">
        <f>VLOOKUP(A233,Database!A:L,MATCH($A$1,Database!$A$1:$L$1,),)</f>
        <v/>
      </c>
      <c r="C233" s="85">
        <f>(B233-B232)/B232</f>
        <v/>
      </c>
      <c r="D233" s="81">
        <f>(B233-B229)/B229</f>
        <v/>
      </c>
      <c r="E233" s="81">
        <f>((1+C233)^4)-1</f>
        <v/>
      </c>
    </row>
    <row r="234">
      <c r="A234" s="79" t="n">
        <v>37987</v>
      </c>
      <c r="B234" s="164">
        <f>VLOOKUP(A234,Database!A:L,MATCH($A$1,Database!$A$1:$L$1,),)</f>
        <v/>
      </c>
      <c r="C234" s="85">
        <f>(B234-B233)/B233</f>
        <v/>
      </c>
      <c r="D234" s="81">
        <f>(B234-B230)/B230</f>
        <v/>
      </c>
      <c r="E234" s="81">
        <f>((1+C234)^4)-1</f>
        <v/>
      </c>
    </row>
    <row r="235">
      <c r="A235" s="79" t="n">
        <v>38078</v>
      </c>
      <c r="B235" s="164">
        <f>VLOOKUP(A235,Database!A:L,MATCH($A$1,Database!$A$1:$L$1,),)</f>
        <v/>
      </c>
      <c r="C235" s="85">
        <f>(B235-B234)/B234</f>
        <v/>
      </c>
      <c r="D235" s="81">
        <f>(B235-B231)/B231</f>
        <v/>
      </c>
      <c r="E235" s="81">
        <f>((1+C235)^4)-1</f>
        <v/>
      </c>
    </row>
    <row r="236">
      <c r="A236" s="79" t="n">
        <v>38169</v>
      </c>
      <c r="B236" s="164">
        <f>VLOOKUP(A236,Database!A:L,MATCH($A$1,Database!$A$1:$L$1,),)</f>
        <v/>
      </c>
      <c r="C236" s="85">
        <f>(B236-B235)/B235</f>
        <v/>
      </c>
      <c r="D236" s="81">
        <f>(B236-B232)/B232</f>
        <v/>
      </c>
      <c r="E236" s="81">
        <f>((1+C236)^4)-1</f>
        <v/>
      </c>
    </row>
    <row r="237">
      <c r="A237" s="79" t="n">
        <v>38261</v>
      </c>
      <c r="B237" s="164">
        <f>VLOOKUP(A237,Database!A:L,MATCH($A$1,Database!$A$1:$L$1,),)</f>
        <v/>
      </c>
      <c r="C237" s="85">
        <f>(B237-B236)/B236</f>
        <v/>
      </c>
      <c r="D237" s="81">
        <f>(B237-B233)/B233</f>
        <v/>
      </c>
      <c r="E237" s="81">
        <f>((1+C237)^4)-1</f>
        <v/>
      </c>
    </row>
    <row r="238">
      <c r="A238" s="79" t="n">
        <v>38353</v>
      </c>
      <c r="B238" s="164">
        <f>VLOOKUP(A238,Database!A:L,MATCH($A$1,Database!$A$1:$L$1,),)</f>
        <v/>
      </c>
      <c r="C238" s="85">
        <f>(B238-B237)/B237</f>
        <v/>
      </c>
      <c r="D238" s="81">
        <f>(B238-B234)/B234</f>
        <v/>
      </c>
      <c r="E238" s="81">
        <f>((1+C238)^4)-1</f>
        <v/>
      </c>
    </row>
    <row r="239">
      <c r="A239" s="79" t="n">
        <v>38443</v>
      </c>
      <c r="B239" s="164">
        <f>VLOOKUP(A239,Database!A:L,MATCH($A$1,Database!$A$1:$L$1,),)</f>
        <v/>
      </c>
      <c r="C239" s="85">
        <f>(B239-B238)/B238</f>
        <v/>
      </c>
      <c r="D239" s="81">
        <f>(B239-B235)/B235</f>
        <v/>
      </c>
      <c r="E239" s="81">
        <f>((1+C239)^4)-1</f>
        <v/>
      </c>
    </row>
    <row r="240">
      <c r="A240" s="79" t="n">
        <v>38534</v>
      </c>
      <c r="B240" s="164">
        <f>VLOOKUP(A240,Database!A:L,MATCH($A$1,Database!$A$1:$L$1,),)</f>
        <v/>
      </c>
      <c r="C240" s="85">
        <f>(B240-B239)/B239</f>
        <v/>
      </c>
      <c r="D240" s="81">
        <f>(B240-B236)/B236</f>
        <v/>
      </c>
      <c r="E240" s="81">
        <f>((1+C240)^4)-1</f>
        <v/>
      </c>
    </row>
    <row r="241">
      <c r="A241" s="79" t="n">
        <v>38626</v>
      </c>
      <c r="B241" s="164">
        <f>VLOOKUP(A241,Database!A:L,MATCH($A$1,Database!$A$1:$L$1,),)</f>
        <v/>
      </c>
      <c r="C241" s="85">
        <f>(B241-B240)/B240</f>
        <v/>
      </c>
      <c r="D241" s="81">
        <f>(B241-B237)/B237</f>
        <v/>
      </c>
      <c r="E241" s="81">
        <f>((1+C241)^4)-1</f>
        <v/>
      </c>
    </row>
    <row r="242">
      <c r="A242" s="79" t="n">
        <v>38718</v>
      </c>
      <c r="B242" s="164">
        <f>VLOOKUP(A242,Database!A:L,MATCH($A$1,Database!$A$1:$L$1,),)</f>
        <v/>
      </c>
      <c r="C242" s="85">
        <f>(B242-B241)/B241</f>
        <v/>
      </c>
      <c r="D242" s="81">
        <f>(B242-B238)/B238</f>
        <v/>
      </c>
      <c r="E242" s="81">
        <f>((1+C242)^4)-1</f>
        <v/>
      </c>
    </row>
    <row r="243">
      <c r="A243" s="79" t="n">
        <v>38808</v>
      </c>
      <c r="B243" s="164">
        <f>VLOOKUP(A243,Database!A:L,MATCH($A$1,Database!$A$1:$L$1,),)</f>
        <v/>
      </c>
      <c r="C243" s="85">
        <f>(B243-B242)/B242</f>
        <v/>
      </c>
      <c r="D243" s="81">
        <f>(B243-B239)/B239</f>
        <v/>
      </c>
      <c r="E243" s="81">
        <f>((1+C243)^4)-1</f>
        <v/>
      </c>
    </row>
    <row r="244">
      <c r="A244" s="79" t="n">
        <v>38899</v>
      </c>
      <c r="B244" s="164">
        <f>VLOOKUP(A244,Database!A:L,MATCH($A$1,Database!$A$1:$L$1,),)</f>
        <v/>
      </c>
      <c r="C244" s="85">
        <f>(B244-B243)/B243</f>
        <v/>
      </c>
      <c r="D244" s="81">
        <f>(B244-B240)/B240</f>
        <v/>
      </c>
      <c r="E244" s="81">
        <f>((1+C244)^4)-1</f>
        <v/>
      </c>
    </row>
    <row r="245">
      <c r="A245" s="79" t="n">
        <v>38991</v>
      </c>
      <c r="B245" s="164">
        <f>VLOOKUP(A245,Database!A:L,MATCH($A$1,Database!$A$1:$L$1,),)</f>
        <v/>
      </c>
      <c r="C245" s="85">
        <f>(B245-B244)/B244</f>
        <v/>
      </c>
      <c r="D245" s="81">
        <f>(B245-B241)/B241</f>
        <v/>
      </c>
      <c r="E245" s="81">
        <f>((1+C245)^4)-1</f>
        <v/>
      </c>
    </row>
    <row r="246">
      <c r="A246" s="79" t="n">
        <v>39083</v>
      </c>
      <c r="B246" s="164">
        <f>VLOOKUP(A246,Database!A:L,MATCH($A$1,Database!$A$1:$L$1,),)</f>
        <v/>
      </c>
      <c r="C246" s="85">
        <f>(B246-B245)/B245</f>
        <v/>
      </c>
      <c r="D246" s="81">
        <f>(B246-B242)/B242</f>
        <v/>
      </c>
      <c r="E246" s="81">
        <f>((1+C246)^4)-1</f>
        <v/>
      </c>
    </row>
    <row r="247">
      <c r="A247" s="79" t="n">
        <v>39173</v>
      </c>
      <c r="B247" s="164">
        <f>VLOOKUP(A247,Database!A:L,MATCH($A$1,Database!$A$1:$L$1,),)</f>
        <v/>
      </c>
      <c r="C247" s="85">
        <f>(B247-B246)/B246</f>
        <v/>
      </c>
      <c r="D247" s="81">
        <f>(B247-B243)/B243</f>
        <v/>
      </c>
      <c r="E247" s="81">
        <f>((1+C247)^4)-1</f>
        <v/>
      </c>
    </row>
    <row r="248">
      <c r="A248" s="79" t="n">
        <v>39264</v>
      </c>
      <c r="B248" s="164">
        <f>VLOOKUP(A248,Database!A:L,MATCH($A$1,Database!$A$1:$L$1,),)</f>
        <v/>
      </c>
      <c r="C248" s="85">
        <f>(B248-B247)/B247</f>
        <v/>
      </c>
      <c r="D248" s="81">
        <f>(B248-B244)/B244</f>
        <v/>
      </c>
      <c r="E248" s="81">
        <f>((1+C248)^4)-1</f>
        <v/>
      </c>
    </row>
    <row r="249">
      <c r="A249" s="79" t="n">
        <v>39356</v>
      </c>
      <c r="B249" s="164">
        <f>VLOOKUP(A249,Database!A:L,MATCH($A$1,Database!$A$1:$L$1,),)</f>
        <v/>
      </c>
      <c r="C249" s="85">
        <f>(B249-B248)/B248</f>
        <v/>
      </c>
      <c r="D249" s="81">
        <f>(B249-B245)/B245</f>
        <v/>
      </c>
      <c r="E249" s="81">
        <f>((1+C249)^4)-1</f>
        <v/>
      </c>
    </row>
    <row r="250">
      <c r="A250" s="79" t="n">
        <v>39448</v>
      </c>
      <c r="B250" s="164">
        <f>VLOOKUP(A250,Database!A:L,MATCH($A$1,Database!$A$1:$L$1,),)</f>
        <v/>
      </c>
      <c r="C250" s="85">
        <f>(B250-B249)/B249</f>
        <v/>
      </c>
      <c r="D250" s="81">
        <f>(B250-B246)/B246</f>
        <v/>
      </c>
      <c r="E250" s="81">
        <f>((1+C250)^4)-1</f>
        <v/>
      </c>
    </row>
    <row r="251">
      <c r="A251" s="79" t="n">
        <v>39539</v>
      </c>
      <c r="B251" s="164">
        <f>VLOOKUP(A251,Database!A:L,MATCH($A$1,Database!$A$1:$L$1,),)</f>
        <v/>
      </c>
      <c r="C251" s="85">
        <f>(B251-B250)/B250</f>
        <v/>
      </c>
      <c r="D251" s="81">
        <f>(B251-B247)/B247</f>
        <v/>
      </c>
      <c r="E251" s="81">
        <f>((1+C251)^4)-1</f>
        <v/>
      </c>
    </row>
    <row r="252">
      <c r="A252" s="79" t="n">
        <v>39630</v>
      </c>
      <c r="B252" s="164">
        <f>VLOOKUP(A252,Database!A:L,MATCH($A$1,Database!$A$1:$L$1,),)</f>
        <v/>
      </c>
      <c r="C252" s="85">
        <f>(B252-B251)/B251</f>
        <v/>
      </c>
      <c r="D252" s="81">
        <f>(B252-B248)/B248</f>
        <v/>
      </c>
      <c r="E252" s="81">
        <f>((1+C252)^4)-1</f>
        <v/>
      </c>
    </row>
    <row r="253">
      <c r="A253" s="79" t="n">
        <v>39722</v>
      </c>
      <c r="B253" s="164">
        <f>VLOOKUP(A253,Database!A:L,MATCH($A$1,Database!$A$1:$L$1,),)</f>
        <v/>
      </c>
      <c r="C253" s="85">
        <f>(B253-B252)/B252</f>
        <v/>
      </c>
      <c r="D253" s="81">
        <f>(B253-B249)/B249</f>
        <v/>
      </c>
      <c r="E253" s="81">
        <f>((1+C253)^4)-1</f>
        <v/>
      </c>
    </row>
    <row r="254">
      <c r="A254" s="79" t="n">
        <v>39814</v>
      </c>
      <c r="B254" s="164">
        <f>VLOOKUP(A254,Database!A:L,MATCH($A$1,Database!$A$1:$L$1,),)</f>
        <v/>
      </c>
      <c r="C254" s="85">
        <f>(B254-B253)/B253</f>
        <v/>
      </c>
      <c r="D254" s="81">
        <f>(B254-B250)/B250</f>
        <v/>
      </c>
      <c r="E254" s="81">
        <f>((1+C254)^4)-1</f>
        <v/>
      </c>
    </row>
    <row r="255">
      <c r="A255" s="79" t="n">
        <v>39904</v>
      </c>
      <c r="B255" s="164">
        <f>VLOOKUP(A255,Database!A:L,MATCH($A$1,Database!$A$1:$L$1,),)</f>
        <v/>
      </c>
      <c r="C255" s="85">
        <f>(B255-B254)/B254</f>
        <v/>
      </c>
      <c r="D255" s="81">
        <f>(B255-B251)/B251</f>
        <v/>
      </c>
      <c r="E255" s="81">
        <f>((1+C255)^4)-1</f>
        <v/>
      </c>
    </row>
    <row r="256">
      <c r="A256" s="79" t="n">
        <v>39995</v>
      </c>
      <c r="B256" s="164">
        <f>VLOOKUP(A256,Database!A:L,MATCH($A$1,Database!$A$1:$L$1,),)</f>
        <v/>
      </c>
      <c r="C256" s="85">
        <f>(B256-B255)/B255</f>
        <v/>
      </c>
      <c r="D256" s="81">
        <f>(B256-B252)/B252</f>
        <v/>
      </c>
      <c r="E256" s="81">
        <f>((1+C256)^4)-1</f>
        <v/>
      </c>
    </row>
    <row r="257">
      <c r="A257" s="79" t="n">
        <v>40087</v>
      </c>
      <c r="B257" s="164">
        <f>VLOOKUP(A257,Database!A:L,MATCH($A$1,Database!$A$1:$L$1,),)</f>
        <v/>
      </c>
      <c r="C257" s="85">
        <f>(B257-B256)/B256</f>
        <v/>
      </c>
      <c r="D257" s="81">
        <f>(B257-B253)/B253</f>
        <v/>
      </c>
      <c r="E257" s="81">
        <f>((1+C257)^4)-1</f>
        <v/>
      </c>
    </row>
    <row r="258">
      <c r="A258" s="79" t="n">
        <v>40179</v>
      </c>
      <c r="B258" s="164">
        <f>VLOOKUP(A258,Database!A:L,MATCH($A$1,Database!$A$1:$L$1,),)</f>
        <v/>
      </c>
      <c r="C258" s="85">
        <f>(B258-B257)/B257</f>
        <v/>
      </c>
      <c r="D258" s="81">
        <f>(B258-B254)/B254</f>
        <v/>
      </c>
      <c r="E258" s="81">
        <f>((1+C258)^4)-1</f>
        <v/>
      </c>
    </row>
    <row r="259">
      <c r="A259" s="79" t="n">
        <v>40269</v>
      </c>
      <c r="B259" s="164">
        <f>VLOOKUP(A259,Database!A:L,MATCH($A$1,Database!$A$1:$L$1,),)</f>
        <v/>
      </c>
      <c r="C259" s="85">
        <f>(B259-B258)/B258</f>
        <v/>
      </c>
      <c r="D259" s="81">
        <f>(B259-B255)/B255</f>
        <v/>
      </c>
      <c r="E259" s="81">
        <f>((1+C259)^4)-1</f>
        <v/>
      </c>
    </row>
    <row r="260">
      <c r="A260" s="79" t="n">
        <v>40360</v>
      </c>
      <c r="B260" s="164">
        <f>VLOOKUP(A260,Database!A:L,MATCH($A$1,Database!$A$1:$L$1,),)</f>
        <v/>
      </c>
      <c r="C260" s="85">
        <f>(B260-B259)/B259</f>
        <v/>
      </c>
      <c r="D260" s="81">
        <f>(B260-B256)/B256</f>
        <v/>
      </c>
      <c r="E260" s="81">
        <f>((1+C260)^4)-1</f>
        <v/>
      </c>
    </row>
    <row r="261">
      <c r="A261" s="79" t="n">
        <v>40452</v>
      </c>
      <c r="B261" s="164">
        <f>VLOOKUP(A261,Database!A:L,MATCH($A$1,Database!$A$1:$L$1,),)</f>
        <v/>
      </c>
      <c r="C261" s="85">
        <f>(B261-B260)/B260</f>
        <v/>
      </c>
      <c r="D261" s="81">
        <f>(B261-B257)/B257</f>
        <v/>
      </c>
      <c r="E261" s="81">
        <f>((1+C261)^4)-1</f>
        <v/>
      </c>
    </row>
    <row r="262">
      <c r="A262" s="79" t="n">
        <v>40544</v>
      </c>
      <c r="B262" s="164">
        <f>VLOOKUP(A262,Database!A:L,MATCH($A$1,Database!$A$1:$L$1,),)</f>
        <v/>
      </c>
      <c r="C262" s="85">
        <f>(B262-B261)/B261</f>
        <v/>
      </c>
      <c r="D262" s="81">
        <f>(B262-B258)/B258</f>
        <v/>
      </c>
      <c r="E262" s="81">
        <f>((1+C262)^4)-1</f>
        <v/>
      </c>
    </row>
    <row r="263">
      <c r="A263" s="79" t="n">
        <v>40634</v>
      </c>
      <c r="B263" s="164">
        <f>VLOOKUP(A263,Database!A:L,MATCH($A$1,Database!$A$1:$L$1,),)</f>
        <v/>
      </c>
      <c r="C263" s="85">
        <f>(B263-B262)/B262</f>
        <v/>
      </c>
      <c r="D263" s="81">
        <f>(B263-B259)/B259</f>
        <v/>
      </c>
      <c r="E263" s="81">
        <f>((1+C263)^4)-1</f>
        <v/>
      </c>
    </row>
    <row r="264">
      <c r="A264" s="79" t="n">
        <v>40725</v>
      </c>
      <c r="B264" s="164">
        <f>VLOOKUP(A264,Database!A:L,MATCH($A$1,Database!$A$1:$L$1,),)</f>
        <v/>
      </c>
      <c r="C264" s="85">
        <f>(B264-B263)/B263</f>
        <v/>
      </c>
      <c r="D264" s="81">
        <f>(B264-B260)/B260</f>
        <v/>
      </c>
      <c r="E264" s="81">
        <f>((1+C264)^4)-1</f>
        <v/>
      </c>
    </row>
    <row r="265">
      <c r="A265" s="79" t="n">
        <v>40817</v>
      </c>
      <c r="B265" s="164">
        <f>VLOOKUP(A265,Database!A:L,MATCH($A$1,Database!$A$1:$L$1,),)</f>
        <v/>
      </c>
      <c r="C265" s="85">
        <f>(B265-B264)/B264</f>
        <v/>
      </c>
      <c r="D265" s="81">
        <f>(B265-B261)/B261</f>
        <v/>
      </c>
      <c r="E265" s="81">
        <f>((1+C265)^4)-1</f>
        <v/>
      </c>
    </row>
    <row r="266">
      <c r="A266" s="79" t="n">
        <v>40909</v>
      </c>
      <c r="B266" s="164">
        <f>VLOOKUP(A266,Database!A:L,MATCH($A$1,Database!$A$1:$L$1,),)</f>
        <v/>
      </c>
      <c r="C266" s="85">
        <f>(B266-B265)/B265</f>
        <v/>
      </c>
      <c r="D266" s="81">
        <f>(B266-B262)/B262</f>
        <v/>
      </c>
      <c r="E266" s="81">
        <f>((1+C266)^4)-1</f>
        <v/>
      </c>
    </row>
    <row r="267">
      <c r="A267" s="79" t="n">
        <v>41000</v>
      </c>
      <c r="B267" s="164">
        <f>VLOOKUP(A267,Database!A:L,MATCH($A$1,Database!$A$1:$L$1,),)</f>
        <v/>
      </c>
      <c r="C267" s="85">
        <f>(B267-B266)/B266</f>
        <v/>
      </c>
      <c r="D267" s="81">
        <f>(B267-B263)/B263</f>
        <v/>
      </c>
      <c r="E267" s="81">
        <f>((1+C267)^4)-1</f>
        <v/>
      </c>
    </row>
    <row r="268">
      <c r="A268" s="79" t="n">
        <v>41091</v>
      </c>
      <c r="B268" s="164">
        <f>VLOOKUP(A268,Database!A:L,MATCH($A$1,Database!$A$1:$L$1,),)</f>
        <v/>
      </c>
      <c r="C268" s="85">
        <f>(B268-B267)/B267</f>
        <v/>
      </c>
      <c r="D268" s="81">
        <f>(B268-B264)/B264</f>
        <v/>
      </c>
      <c r="E268" s="81">
        <f>((1+C268)^4)-1</f>
        <v/>
      </c>
    </row>
    <row r="269">
      <c r="A269" s="79" t="n">
        <v>41183</v>
      </c>
      <c r="B269" s="164">
        <f>VLOOKUP(A269,Database!A:L,MATCH($A$1,Database!$A$1:$L$1,),)</f>
        <v/>
      </c>
      <c r="C269" s="85">
        <f>(B269-B268)/B268</f>
        <v/>
      </c>
      <c r="D269" s="81">
        <f>(B269-B265)/B265</f>
        <v/>
      </c>
      <c r="E269" s="81">
        <f>((1+C269)^4)-1</f>
        <v/>
      </c>
    </row>
    <row r="270">
      <c r="A270" s="79" t="n">
        <v>41275</v>
      </c>
      <c r="B270" s="164">
        <f>VLOOKUP(A270,Database!A:L,MATCH($A$1,Database!$A$1:$L$1,),)</f>
        <v/>
      </c>
      <c r="C270" s="85">
        <f>(B270-B269)/B269</f>
        <v/>
      </c>
      <c r="D270" s="81">
        <f>(B270-B266)/B266</f>
        <v/>
      </c>
      <c r="E270" s="81">
        <f>((1+C270)^4)-1</f>
        <v/>
      </c>
    </row>
    <row r="271">
      <c r="A271" s="79" t="n">
        <v>41365</v>
      </c>
      <c r="B271" s="164">
        <f>VLOOKUP(A271,Database!A:L,MATCH($A$1,Database!$A$1:$L$1,),)</f>
        <v/>
      </c>
      <c r="C271" s="85">
        <f>(B271-B270)/B270</f>
        <v/>
      </c>
      <c r="D271" s="81">
        <f>(B271-B267)/B267</f>
        <v/>
      </c>
      <c r="E271" s="81">
        <f>((1+C271)^4)-1</f>
        <v/>
      </c>
    </row>
    <row r="272">
      <c r="A272" s="79" t="n">
        <v>41456</v>
      </c>
      <c r="B272" s="164">
        <f>VLOOKUP(A272,Database!A:L,MATCH($A$1,Database!$A$1:$L$1,),)</f>
        <v/>
      </c>
      <c r="C272" s="85">
        <f>(B272-B271)/B271</f>
        <v/>
      </c>
      <c r="D272" s="81">
        <f>(B272-B268)/B268</f>
        <v/>
      </c>
      <c r="E272" s="81">
        <f>((1+C272)^4)-1</f>
        <v/>
      </c>
    </row>
    <row r="273">
      <c r="A273" s="79" t="n">
        <v>41548</v>
      </c>
      <c r="B273" s="164">
        <f>VLOOKUP(A273,Database!A:L,MATCH($A$1,Database!$A$1:$L$1,),)</f>
        <v/>
      </c>
      <c r="C273" s="85">
        <f>(B273-B272)/B272</f>
        <v/>
      </c>
      <c r="D273" s="81">
        <f>(B273-B269)/B269</f>
        <v/>
      </c>
      <c r="E273" s="81">
        <f>((1+C273)^4)-1</f>
        <v/>
      </c>
    </row>
    <row r="274">
      <c r="A274" s="79" t="n">
        <v>41640</v>
      </c>
      <c r="B274" s="164">
        <f>VLOOKUP(A274,Database!A:L,MATCH($A$1,Database!$A$1:$L$1,),)</f>
        <v/>
      </c>
      <c r="C274" s="85">
        <f>(B274-B273)/B273</f>
        <v/>
      </c>
      <c r="D274" s="81">
        <f>(B274-B270)/B270</f>
        <v/>
      </c>
      <c r="E274" s="81">
        <f>((1+C274)^4)-1</f>
        <v/>
      </c>
    </row>
    <row r="275">
      <c r="A275" s="79" t="n">
        <v>41730</v>
      </c>
      <c r="B275" s="164">
        <f>VLOOKUP(A275,Database!A:L,MATCH($A$1,Database!$A$1:$L$1,),)</f>
        <v/>
      </c>
      <c r="C275" s="85">
        <f>(B275-B274)/B274</f>
        <v/>
      </c>
      <c r="D275" s="81">
        <f>(B275-B271)/B271</f>
        <v/>
      </c>
      <c r="E275" s="81">
        <f>((1+C275)^4)-1</f>
        <v/>
      </c>
    </row>
    <row r="276">
      <c r="A276" s="79" t="n">
        <v>41821</v>
      </c>
      <c r="B276" s="164">
        <f>VLOOKUP(A276,Database!A:L,MATCH($A$1,Database!$A$1:$L$1,),)</f>
        <v/>
      </c>
      <c r="C276" s="85">
        <f>(B276-B275)/B275</f>
        <v/>
      </c>
      <c r="D276" s="81">
        <f>(B276-B272)/B272</f>
        <v/>
      </c>
      <c r="E276" s="81">
        <f>((1+C276)^4)-1</f>
        <v/>
      </c>
    </row>
    <row r="277">
      <c r="A277" s="79" t="n">
        <v>41913</v>
      </c>
      <c r="B277" s="164">
        <f>VLOOKUP(A277,Database!A:L,MATCH($A$1,Database!$A$1:$L$1,),)</f>
        <v/>
      </c>
      <c r="C277" s="85">
        <f>(B277-B276)/B276</f>
        <v/>
      </c>
      <c r="D277" s="81">
        <f>(B277-B273)/B273</f>
        <v/>
      </c>
      <c r="E277" s="81">
        <f>((1+C277)^4)-1</f>
        <v/>
      </c>
    </row>
    <row r="278">
      <c r="A278" s="79" t="n">
        <v>42005</v>
      </c>
      <c r="B278" s="164">
        <f>VLOOKUP(A278,Database!A:L,MATCH($A$1,Database!$A$1:$L$1,),)</f>
        <v/>
      </c>
      <c r="C278" s="85">
        <f>(B278-B277)/B277</f>
        <v/>
      </c>
      <c r="D278" s="81">
        <f>(B278-B274)/B274</f>
        <v/>
      </c>
      <c r="E278" s="81">
        <f>((1+C278)^4)-1</f>
        <v/>
      </c>
    </row>
    <row r="279">
      <c r="A279" s="79" t="n">
        <v>42095</v>
      </c>
      <c r="B279" s="164">
        <f>VLOOKUP(A279,Database!A:L,MATCH($A$1,Database!$A$1:$L$1,),)</f>
        <v/>
      </c>
      <c r="C279" s="85">
        <f>(B279-B278)/B278</f>
        <v/>
      </c>
      <c r="D279" s="81">
        <f>(B279-B275)/B275</f>
        <v/>
      </c>
      <c r="E279" s="81">
        <f>((1+C279)^4)-1</f>
        <v/>
      </c>
    </row>
    <row r="280">
      <c r="A280" s="79" t="n">
        <v>42186</v>
      </c>
      <c r="B280" s="164">
        <f>VLOOKUP(A280,Database!A:L,MATCH($A$1,Database!$A$1:$L$1,),)</f>
        <v/>
      </c>
      <c r="C280" s="85">
        <f>(B280-B279)/B279</f>
        <v/>
      </c>
      <c r="D280" s="81">
        <f>(B280-B276)/B276</f>
        <v/>
      </c>
      <c r="E280" s="81">
        <f>((1+C280)^4)-1</f>
        <v/>
      </c>
    </row>
    <row r="281">
      <c r="A281" s="79" t="n">
        <v>42278</v>
      </c>
      <c r="B281" s="164">
        <f>VLOOKUP(A281,Database!A:L,MATCH($A$1,Database!$A$1:$L$1,),)</f>
        <v/>
      </c>
      <c r="C281" s="85">
        <f>(B281-B280)/B280</f>
        <v/>
      </c>
      <c r="D281" s="81">
        <f>(B281-B277)/B277</f>
        <v/>
      </c>
      <c r="E281" s="81">
        <f>((1+C281)^4)-1</f>
        <v/>
      </c>
    </row>
    <row r="282">
      <c r="A282" s="79" t="n">
        <v>42370</v>
      </c>
      <c r="B282" s="164">
        <f>VLOOKUP(A282,Database!A:L,MATCH($A$1,Database!$A$1:$L$1,),)</f>
        <v/>
      </c>
      <c r="C282" s="85">
        <f>(B282-B281)/B281</f>
        <v/>
      </c>
      <c r="D282" s="81">
        <f>(B282-B278)/B278</f>
        <v/>
      </c>
      <c r="E282" s="81">
        <f>((1+C282)^4)-1</f>
        <v/>
      </c>
    </row>
    <row r="283">
      <c r="A283" s="79" t="n">
        <v>42461</v>
      </c>
      <c r="B283" s="164">
        <f>VLOOKUP(A283,Database!A:L,MATCH($A$1,Database!$A$1:$L$1,),)</f>
        <v/>
      </c>
      <c r="C283" s="85">
        <f>(B283-B282)/B282</f>
        <v/>
      </c>
      <c r="D283" s="81">
        <f>(B283-B279)/B279</f>
        <v/>
      </c>
      <c r="E283" s="81">
        <f>((1+C283)^4)-1</f>
        <v/>
      </c>
    </row>
    <row r="284">
      <c r="A284" s="79" t="n">
        <v>42552</v>
      </c>
      <c r="B284" s="164">
        <f>VLOOKUP(A284,Database!A:L,MATCH($A$1,Database!$A$1:$L$1,),)</f>
        <v/>
      </c>
      <c r="C284" s="85">
        <f>(B284-B283)/B283</f>
        <v/>
      </c>
      <c r="D284" s="81">
        <f>(B284-B280)/B280</f>
        <v/>
      </c>
      <c r="E284" s="81">
        <f>((1+C284)^4)-1</f>
        <v/>
      </c>
    </row>
    <row r="285">
      <c r="A285" s="79" t="n">
        <v>42644</v>
      </c>
      <c r="B285" s="164">
        <f>VLOOKUP(A285,Database!A:L,MATCH($A$1,Database!$A$1:$L$1,),)</f>
        <v/>
      </c>
      <c r="C285" s="85">
        <f>(B285-B284)/B284</f>
        <v/>
      </c>
      <c r="D285" s="81">
        <f>(B285-B281)/B281</f>
        <v/>
      </c>
      <c r="E285" s="81">
        <f>((1+C285)^4)-1</f>
        <v/>
      </c>
    </row>
    <row r="286">
      <c r="A286" s="79" t="n">
        <v>42736</v>
      </c>
      <c r="B286" s="164">
        <f>VLOOKUP(A286,Database!A:L,MATCH($A$1,Database!$A$1:$L$1,),)</f>
        <v/>
      </c>
      <c r="C286" s="85">
        <f>(B286-B285)/B285</f>
        <v/>
      </c>
      <c r="D286" s="81">
        <f>(B286-B282)/B282</f>
        <v/>
      </c>
      <c r="E286" s="81">
        <f>((1+C286)^4)-1</f>
        <v/>
      </c>
    </row>
    <row r="287">
      <c r="A287" s="79" t="n">
        <v>42826</v>
      </c>
      <c r="B287" s="164">
        <f>VLOOKUP(A287,Database!A:L,MATCH($A$1,Database!$A$1:$L$1,),)</f>
        <v/>
      </c>
      <c r="C287" s="85">
        <f>(B287-B286)/B286</f>
        <v/>
      </c>
      <c r="D287" s="81">
        <f>(B287-B283)/B283</f>
        <v/>
      </c>
      <c r="E287" s="81">
        <f>((1+C287)^4)-1</f>
        <v/>
      </c>
    </row>
    <row r="288">
      <c r="A288" s="79" t="n">
        <v>42917</v>
      </c>
      <c r="B288" s="164">
        <f>VLOOKUP(A288,Database!A:L,MATCH($A$1,Database!$A$1:$L$1,),)</f>
        <v/>
      </c>
      <c r="C288" s="85">
        <f>(B288-B287)/B287</f>
        <v/>
      </c>
      <c r="D288" s="81">
        <f>(B288-B284)/B284</f>
        <v/>
      </c>
      <c r="E288" s="81">
        <f>((1+C288)^4)-1</f>
        <v/>
      </c>
    </row>
    <row r="289">
      <c r="A289" s="79" t="n">
        <v>43009</v>
      </c>
      <c r="B289" s="164">
        <f>VLOOKUP(A289,Database!A:L,MATCH($A$1,Database!$A$1:$L$1,),)</f>
        <v/>
      </c>
      <c r="C289" s="85">
        <f>(B289-B288)/B288</f>
        <v/>
      </c>
      <c r="D289" s="81">
        <f>(B289-B285)/B285</f>
        <v/>
      </c>
      <c r="E289" s="81">
        <f>((1+C289)^4)-1</f>
        <v/>
      </c>
    </row>
    <row r="290">
      <c r="A290" s="79" t="n">
        <v>43101</v>
      </c>
      <c r="B290" s="164">
        <f>VLOOKUP(A290,Database!A:L,MATCH($A$1,Database!$A$1:$L$1,),)</f>
        <v/>
      </c>
      <c r="C290" s="85">
        <f>(B290-B289)/B289</f>
        <v/>
      </c>
      <c r="D290" s="81">
        <f>(B290-B286)/B286</f>
        <v/>
      </c>
      <c r="E290" s="81">
        <f>((1+C290)^4)-1</f>
        <v/>
      </c>
    </row>
    <row r="291">
      <c r="A291" s="79" t="n">
        <v>43191</v>
      </c>
      <c r="B291" s="164">
        <f>VLOOKUP(A291,Database!A:L,MATCH($A$1,Database!$A$1:$L$1,),)</f>
        <v/>
      </c>
      <c r="C291" s="85">
        <f>(B291-B290)/B290</f>
        <v/>
      </c>
      <c r="D291" s="81">
        <f>(B291-B287)/B287</f>
        <v/>
      </c>
      <c r="E291" s="81">
        <f>((1+C291)^4)-1</f>
        <v/>
      </c>
    </row>
    <row r="292">
      <c r="A292" s="79" t="n">
        <v>43282</v>
      </c>
      <c r="B292" s="164">
        <f>VLOOKUP(A292,Database!A:L,MATCH($A$1,Database!$A$1:$L$1,),)</f>
        <v/>
      </c>
      <c r="C292" s="85">
        <f>(B292-B291)/B291</f>
        <v/>
      </c>
      <c r="D292" s="81">
        <f>(B292-B288)/B288</f>
        <v/>
      </c>
      <c r="E292" s="81">
        <f>((1+C292)^4)-1</f>
        <v/>
      </c>
    </row>
    <row r="293">
      <c r="A293" s="79" t="n">
        <v>43374</v>
      </c>
      <c r="B293" s="164">
        <f>VLOOKUP(A293,Database!A:L,MATCH($A$1,Database!$A$1:$L$1,),)</f>
        <v/>
      </c>
      <c r="C293" s="85">
        <f>(B293-B292)/B292</f>
        <v/>
      </c>
      <c r="D293" s="81">
        <f>(B293-B289)/B289</f>
        <v/>
      </c>
      <c r="E293" s="81">
        <f>((1+C293)^4)-1</f>
        <v/>
      </c>
    </row>
    <row r="294">
      <c r="A294" s="79" t="n">
        <v>43466</v>
      </c>
      <c r="B294" s="164">
        <f>VLOOKUP(A294,Database!A:L,MATCH($A$1,Database!$A$1:$L$1,),)</f>
        <v/>
      </c>
      <c r="C294" s="85">
        <f>(B294-B293)/B293</f>
        <v/>
      </c>
      <c r="D294" s="81">
        <f>(B294-B290)/B290</f>
        <v/>
      </c>
      <c r="E294" s="81">
        <f>((1+C294)^4)-1</f>
        <v/>
      </c>
    </row>
    <row r="295">
      <c r="A295" s="79" t="n">
        <v>43556</v>
      </c>
      <c r="B295" s="164">
        <f>VLOOKUP(A295,Database!A:L,MATCH($A$1,Database!$A$1:$L$1,),)</f>
        <v/>
      </c>
      <c r="C295" s="85">
        <f>(B295-B294)/B294</f>
        <v/>
      </c>
      <c r="D295" s="81">
        <f>(B295-B291)/B291</f>
        <v/>
      </c>
      <c r="E295" s="81">
        <f>((1+C295)^4)-1</f>
        <v/>
      </c>
    </row>
    <row r="296">
      <c r="A296" s="79" t="n">
        <v>43647</v>
      </c>
      <c r="B296" s="164">
        <f>VLOOKUP(A296,Database!A:L,MATCH($A$1,Database!$A$1:$L$1,),)</f>
        <v/>
      </c>
      <c r="C296" s="85">
        <f>(B296-B295)/B295</f>
        <v/>
      </c>
      <c r="D296" s="81">
        <f>(B296-B292)/B292</f>
        <v/>
      </c>
      <c r="E296" s="81">
        <f>((1+C296)^4)-1</f>
        <v/>
      </c>
    </row>
    <row r="297">
      <c r="A297" s="79" t="n">
        <v>43739</v>
      </c>
      <c r="B297" s="164">
        <f>VLOOKUP(A297,Database!A:L,MATCH($A$1,Database!$A$1:$L$1,),)</f>
        <v/>
      </c>
      <c r="C297" s="85">
        <f>(B297-B296)/B296</f>
        <v/>
      </c>
      <c r="D297" s="81">
        <f>(B297-B293)/B293</f>
        <v/>
      </c>
      <c r="E297" s="81">
        <f>((1+C297)^4)-1</f>
        <v/>
      </c>
    </row>
    <row r="298">
      <c r="A298" s="79" t="n">
        <v>43831</v>
      </c>
      <c r="B298" s="164">
        <f>VLOOKUP(A298,Database!A:L,MATCH($A$1,Database!$A$1:$L$1,),)</f>
        <v/>
      </c>
      <c r="C298" s="85">
        <f>(B298-B297)/B297</f>
        <v/>
      </c>
      <c r="D298" s="81">
        <f>(B298-B294)/B294</f>
        <v/>
      </c>
      <c r="E298" s="81">
        <f>((1+C298)^4)-1</f>
        <v/>
      </c>
    </row>
    <row r="299">
      <c r="A299" s="79" t="n">
        <v>43922</v>
      </c>
      <c r="B299" s="164">
        <f>VLOOKUP(A299,Database!A:L,MATCH($A$1,Database!$A$1:$L$1,),)</f>
        <v/>
      </c>
      <c r="C299" s="85">
        <f>(B299-B298)/B298</f>
        <v/>
      </c>
      <c r="D299" s="81">
        <f>(B299-B295)/B295</f>
        <v/>
      </c>
      <c r="E299" s="81">
        <f>((1+C299)^4)-1</f>
        <v/>
      </c>
    </row>
    <row r="300">
      <c r="A300" s="79" t="n">
        <v>44013</v>
      </c>
      <c r="B300" s="164">
        <f>VLOOKUP(A300,Database!A:L,MATCH($A$1,Database!$A$1:$L$1,),)</f>
        <v/>
      </c>
      <c r="C300" s="85">
        <f>(B300-B299)/B299</f>
        <v/>
      </c>
      <c r="D300" s="81">
        <f>(B300-B296)/B296</f>
        <v/>
      </c>
      <c r="E300" s="81">
        <f>((1+C300)^4)-1</f>
        <v/>
      </c>
    </row>
    <row r="301">
      <c r="A301" s="79" t="n">
        <v>44105</v>
      </c>
      <c r="B301" s="164">
        <f>VLOOKUP(A301,Database!A:L,MATCH($A$1,Database!$A$1:$L$1,),)</f>
        <v/>
      </c>
      <c r="C301" s="85">
        <f>(B301-B300)/B300</f>
        <v/>
      </c>
      <c r="D301" s="81">
        <f>(B301-B297)/B297</f>
        <v/>
      </c>
      <c r="E301" s="81">
        <f>((1+C301)^4)-1</f>
        <v/>
      </c>
    </row>
    <row r="302">
      <c r="A302" s="79" t="n">
        <v>44197</v>
      </c>
      <c r="B302" s="164">
        <f>VLOOKUP(A302,Database!A:L,MATCH($A$1,Database!$A$1:$L$1,),)</f>
        <v/>
      </c>
      <c r="C302" s="85">
        <f>(B302-B301)/B301</f>
        <v/>
      </c>
      <c r="D302" s="81">
        <f>(B302-B298)/B298</f>
        <v/>
      </c>
      <c r="E302" s="81">
        <f>((1+C302)^4)-1</f>
        <v/>
      </c>
    </row>
    <row r="303">
      <c r="A303" s="79" t="n">
        <v>44287</v>
      </c>
      <c r="B303" s="164">
        <f>VLOOKUP(A303,Database!A:L,MATCH($A$1,Database!$A$1:$L$1,),)</f>
        <v/>
      </c>
      <c r="C303" s="85">
        <f>(B303-B302)/B302</f>
        <v/>
      </c>
      <c r="D303" s="81">
        <f>(B303-B299)/B299</f>
        <v/>
      </c>
      <c r="E303" s="81">
        <f>((1+C303)^4)-1</f>
        <v/>
      </c>
    </row>
    <row r="304">
      <c r="A304" s="118" t="n">
        <v>44378</v>
      </c>
      <c r="B304" s="165">
        <f>VLOOKUP(A304,Database!A:L,MATCH($A$1,Database!$A$1:$L$1,),)</f>
        <v/>
      </c>
      <c r="C304" s="120">
        <f>(B304-B303)/B303</f>
        <v/>
      </c>
      <c r="D304" s="121">
        <f>(B304-B300)/B300</f>
        <v/>
      </c>
      <c r="E304" s="121">
        <f>((1+C304)^4)-1</f>
        <v/>
      </c>
    </row>
  </sheetData>
  <hyperlinks>
    <hyperlink xmlns:r="http://schemas.openxmlformats.org/officeDocument/2006/relationships" ref="L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3.xml><?xml version="1.0" encoding="utf-8"?>
<worksheet xmlns="http://schemas.openxmlformats.org/spreadsheetml/2006/main">
  <sheetPr codeName="Sheet16">
    <outlinePr summaryBelow="1" summaryRight="1"/>
    <pageSetUpPr/>
  </sheetPr>
  <dimension ref="A1:W72"/>
  <sheetViews>
    <sheetView workbookViewId="0">
      <selection activeCell="U19" sqref="U19"/>
    </sheetView>
  </sheetViews>
  <sheetFormatPr baseColWidth="10" defaultColWidth="9.1640625" defaultRowHeight="15"/>
  <cols>
    <col width="9.1640625" customWidth="1" style="125" min="1" max="1"/>
    <col width="35.83203125" customWidth="1" style="125" min="2" max="2"/>
    <col width="9.1640625" customWidth="1" style="125" min="3" max="12"/>
    <col width="9.1640625" customWidth="1" style="39" min="13" max="13"/>
    <col width="9.1640625" customWidth="1" style="125" min="14" max="16384"/>
  </cols>
  <sheetData>
    <row r="1" ht="18" customHeight="1" s="126">
      <c r="A1" s="147" t="inlineStr">
        <is>
          <t>Table 1.1.6. Real Gross Domestic Product, Chained Dollars</t>
        </is>
      </c>
      <c r="Q1" s="125" t="inlineStr">
        <is>
          <t>https://fred.stlouisfed.org/release/tables?eid=13026&amp;rid=53</t>
        </is>
      </c>
    </row>
    <row r="2" ht="17" customHeight="1" s="126">
      <c r="A2" s="149" t="inlineStr">
        <is>
          <t>[Billions of chained (2009) dollars] Seasonally adjusted at annual rates</t>
        </is>
      </c>
    </row>
    <row r="3">
      <c r="A3" s="148" t="inlineStr">
        <is>
          <t>Bureau of Economic Analysis</t>
        </is>
      </c>
    </row>
    <row r="4">
      <c r="A4" s="148" t="inlineStr">
        <is>
          <t>Last Revised on: May 30, 2018 - Next Release Date June 28, 2018</t>
        </is>
      </c>
    </row>
    <row r="6">
      <c r="A6" s="150" t="inlineStr">
        <is>
          <t>Line</t>
        </is>
      </c>
      <c r="B6" s="150" t="inlineStr"/>
      <c r="C6" s="150" t="inlineStr">
        <is>
          <t>2016</t>
        </is>
      </c>
      <c r="D6" s="175" t="n"/>
      <c r="E6" s="175" t="n"/>
      <c r="F6" s="176" t="n"/>
      <c r="G6" s="150" t="inlineStr">
        <is>
          <t>2017</t>
        </is>
      </c>
      <c r="H6" s="175" t="n"/>
      <c r="I6" s="175" t="n"/>
      <c r="J6" s="176" t="n"/>
      <c r="K6" s="150" t="inlineStr">
        <is>
          <t>2018</t>
        </is>
      </c>
    </row>
    <row r="7">
      <c r="A7" s="177" t="n"/>
      <c r="B7" s="177" t="n"/>
      <c r="C7" s="150" t="inlineStr">
        <is>
          <t>Q1</t>
        </is>
      </c>
      <c r="D7" s="150" t="inlineStr">
        <is>
          <t>Q2</t>
        </is>
      </c>
      <c r="E7" s="150" t="inlineStr">
        <is>
          <t>Q3</t>
        </is>
      </c>
      <c r="F7" s="150" t="inlineStr">
        <is>
          <t>Q4</t>
        </is>
      </c>
      <c r="G7" s="150" t="inlineStr">
        <is>
          <t>Q1</t>
        </is>
      </c>
      <c r="H7" s="150" t="inlineStr">
        <is>
          <t>Q2</t>
        </is>
      </c>
      <c r="I7" s="150" t="inlineStr">
        <is>
          <t>Q3</t>
        </is>
      </c>
      <c r="J7" s="150" t="inlineStr">
        <is>
          <t>Q4</t>
        </is>
      </c>
      <c r="K7" s="150" t="inlineStr">
        <is>
          <t>Q1</t>
        </is>
      </c>
    </row>
    <row r="8">
      <c r="A8" s="148" t="inlineStr">
        <is>
          <t>1</t>
        </is>
      </c>
      <c r="B8" s="41" t="inlineStr">
        <is>
          <t xml:space="preserve">        Gross domestic product</t>
        </is>
      </c>
      <c r="C8" s="148" t="n">
        <v>16571.6</v>
      </c>
      <c r="D8" s="148" t="n">
        <v>16663.5</v>
      </c>
      <c r="E8" s="148" t="n">
        <v>16778.1</v>
      </c>
      <c r="F8" s="148" t="n">
        <v>16851.4</v>
      </c>
      <c r="G8" s="148" t="n">
        <v>16903.2</v>
      </c>
      <c r="H8" s="148" t="n">
        <v>17031.1</v>
      </c>
      <c r="I8" s="148" t="n">
        <v>17163.9</v>
      </c>
      <c r="J8" s="148" t="n">
        <v>17286.5</v>
      </c>
      <c r="K8" s="148" t="n">
        <v>17379.7</v>
      </c>
    </row>
    <row r="9">
      <c r="A9" s="148" t="inlineStr">
        <is>
          <t>2</t>
        </is>
      </c>
      <c r="B9" s="41" t="inlineStr">
        <is>
          <t>Personal consumption expenditures</t>
        </is>
      </c>
      <c r="C9" s="148" t="n">
        <v>11430.5</v>
      </c>
      <c r="D9" s="148" t="n">
        <v>11537.7</v>
      </c>
      <c r="E9" s="148" t="n">
        <v>11618.1</v>
      </c>
      <c r="F9" s="148" t="n">
        <v>11702.1</v>
      </c>
      <c r="G9" s="148" t="n">
        <v>11758</v>
      </c>
      <c r="H9" s="148" t="n">
        <v>11853</v>
      </c>
      <c r="I9" s="148" t="n">
        <v>11916.6</v>
      </c>
      <c r="J9" s="148" t="n">
        <v>12035.2</v>
      </c>
      <c r="K9" s="148" t="n">
        <v>12065.9</v>
      </c>
      <c r="M9" s="39">
        <f>K9/K8</f>
        <v/>
      </c>
    </row>
    <row r="10">
      <c r="A10" s="148" t="inlineStr">
        <is>
          <t>3</t>
        </is>
      </c>
      <c r="B10" s="148" t="inlineStr">
        <is>
          <t xml:space="preserve">    Goods</t>
        </is>
      </c>
      <c r="C10" s="148" t="n">
        <v>4000.4</v>
      </c>
      <c r="D10" s="148" t="n">
        <v>4059.1</v>
      </c>
      <c r="E10" s="148" t="n">
        <v>4090.8</v>
      </c>
      <c r="F10" s="148" t="n">
        <v>4138.4</v>
      </c>
      <c r="G10" s="148" t="n">
        <v>4145.4</v>
      </c>
      <c r="H10" s="148" t="n">
        <v>4199.9</v>
      </c>
      <c r="I10" s="148" t="n">
        <v>4246</v>
      </c>
      <c r="J10" s="148" t="n">
        <v>4326.2</v>
      </c>
      <c r="K10" s="148" t="n">
        <v>4319.7</v>
      </c>
    </row>
    <row r="11">
      <c r="A11" s="148" t="inlineStr">
        <is>
          <t>4</t>
        </is>
      </c>
      <c r="B11" s="148" t="inlineStr">
        <is>
          <t xml:space="preserve">        Durable goods</t>
        </is>
      </c>
      <c r="C11" s="148" t="n">
        <v>1544.4</v>
      </c>
      <c r="D11" s="148" t="n">
        <v>1576.2</v>
      </c>
      <c r="E11" s="148" t="n">
        <v>1611.9</v>
      </c>
      <c r="F11" s="148" t="n">
        <v>1647.9</v>
      </c>
      <c r="G11" s="148" t="n">
        <v>1647.3</v>
      </c>
      <c r="H11" s="148" t="n">
        <v>1677.8</v>
      </c>
      <c r="I11" s="148" t="n">
        <v>1712.9</v>
      </c>
      <c r="J11" s="148" t="n">
        <v>1768.6</v>
      </c>
      <c r="K11" s="148" t="n">
        <v>1757.2</v>
      </c>
    </row>
    <row r="12">
      <c r="A12" s="148" t="inlineStr">
        <is>
          <t>5</t>
        </is>
      </c>
      <c r="B12" s="148" t="inlineStr">
        <is>
          <t xml:space="preserve">        Nondurable goods</t>
        </is>
      </c>
      <c r="C12" s="148" t="n">
        <v>2488.6</v>
      </c>
      <c r="D12" s="148" t="n">
        <v>2517.5</v>
      </c>
      <c r="E12" s="148" t="n">
        <v>2517.9</v>
      </c>
      <c r="F12" s="148" t="n">
        <v>2533.2</v>
      </c>
      <c r="G12" s="148" t="n">
        <v>2540.2</v>
      </c>
      <c r="H12" s="148" t="n">
        <v>2566.6</v>
      </c>
      <c r="I12" s="148" t="n">
        <v>2581.5</v>
      </c>
      <c r="J12" s="148" t="n">
        <v>2611.9</v>
      </c>
      <c r="K12" s="148" t="n">
        <v>2614.8</v>
      </c>
    </row>
    <row r="13">
      <c r="A13" s="148" t="inlineStr">
        <is>
          <t>6</t>
        </is>
      </c>
      <c r="B13" s="148" t="inlineStr">
        <is>
          <t xml:space="preserve">    Services</t>
        </is>
      </c>
      <c r="C13" s="148" t="n">
        <v>7434.7</v>
      </c>
      <c r="D13" s="148" t="n">
        <v>7485.7</v>
      </c>
      <c r="E13" s="148" t="n">
        <v>7534.9</v>
      </c>
      <c r="F13" s="148" t="n">
        <v>7573.8</v>
      </c>
      <c r="G13" s="148" t="n">
        <v>7621</v>
      </c>
      <c r="H13" s="148" t="n">
        <v>7664.4</v>
      </c>
      <c r="I13" s="148" t="n">
        <v>7685.5</v>
      </c>
      <c r="J13" s="148" t="n">
        <v>7729.7</v>
      </c>
      <c r="K13" s="148" t="n">
        <v>7764.3</v>
      </c>
    </row>
    <row r="14">
      <c r="A14" s="148" t="inlineStr">
        <is>
          <t>7</t>
        </is>
      </c>
      <c r="B14" s="41" t="inlineStr">
        <is>
          <t>Gross private domestic investment</t>
        </is>
      </c>
      <c r="C14" s="148" t="n">
        <v>2849.8</v>
      </c>
      <c r="D14" s="148" t="n">
        <v>2830.2</v>
      </c>
      <c r="E14" s="148" t="n">
        <v>2847.2</v>
      </c>
      <c r="F14" s="148" t="n">
        <v>2905.7</v>
      </c>
      <c r="G14" s="148" t="n">
        <v>2897</v>
      </c>
      <c r="H14" s="148" t="n">
        <v>2924.7</v>
      </c>
      <c r="I14" s="148" t="n">
        <v>2976.5</v>
      </c>
      <c r="J14" s="148" t="n">
        <v>3011.1</v>
      </c>
      <c r="K14" s="148" t="n">
        <v>3064.1</v>
      </c>
      <c r="M14" s="39">
        <f>K14/K8</f>
        <v/>
      </c>
    </row>
    <row r="15">
      <c r="A15" s="148" t="inlineStr">
        <is>
          <t>8</t>
        </is>
      </c>
      <c r="B15" s="148" t="inlineStr">
        <is>
          <t xml:space="preserve">    Fixed investment</t>
        </is>
      </c>
      <c r="C15" s="148" t="n">
        <v>2787.8</v>
      </c>
      <c r="D15" s="148" t="n">
        <v>2797.5</v>
      </c>
      <c r="E15" s="148" t="n">
        <v>2808.2</v>
      </c>
      <c r="F15" s="148" t="n">
        <v>2820.3</v>
      </c>
      <c r="G15" s="148" t="n">
        <v>2875.7</v>
      </c>
      <c r="H15" s="148" t="n">
        <v>2898.5</v>
      </c>
      <c r="I15" s="148" t="n">
        <v>2915.8</v>
      </c>
      <c r="J15" s="148" t="n">
        <v>2973.7</v>
      </c>
      <c r="K15" s="148" t="n">
        <v>3020.7</v>
      </c>
    </row>
    <row r="16">
      <c r="A16" s="148" t="inlineStr">
        <is>
          <t>9</t>
        </is>
      </c>
      <c r="B16" s="148" t="inlineStr">
        <is>
          <t xml:space="preserve">        Nonresidential</t>
        </is>
      </c>
      <c r="C16" s="148" t="n">
        <v>2187.5</v>
      </c>
      <c r="D16" s="148" t="n">
        <v>2205.3</v>
      </c>
      <c r="E16" s="148" t="n">
        <v>2224</v>
      </c>
      <c r="F16" s="148" t="n">
        <v>2224.9</v>
      </c>
      <c r="G16" s="148" t="n">
        <v>2263.6</v>
      </c>
      <c r="H16" s="148" t="n">
        <v>2300.6</v>
      </c>
      <c r="I16" s="148" t="n">
        <v>2326.9</v>
      </c>
      <c r="J16" s="148" t="n">
        <v>2365.7</v>
      </c>
      <c r="K16" s="148" t="n">
        <v>2418.2</v>
      </c>
    </row>
    <row r="17">
      <c r="A17" s="148" t="inlineStr">
        <is>
          <t>10</t>
        </is>
      </c>
      <c r="B17" s="148" t="inlineStr">
        <is>
          <t xml:space="preserve">            Structures</t>
        </is>
      </c>
      <c r="C17" s="148" t="n">
        <v>439.1</v>
      </c>
      <c r="D17" s="148" t="n">
        <v>439.7</v>
      </c>
      <c r="E17" s="148" t="n">
        <v>454.6</v>
      </c>
      <c r="F17" s="148" t="n">
        <v>452.1</v>
      </c>
      <c r="G17" s="148" t="n">
        <v>468</v>
      </c>
      <c r="H17" s="148" t="n">
        <v>476</v>
      </c>
      <c r="I17" s="148" t="n">
        <v>467.4</v>
      </c>
      <c r="J17" s="148" t="n">
        <v>474.6</v>
      </c>
      <c r="K17" s="148" t="n">
        <v>490.7</v>
      </c>
    </row>
    <row r="18">
      <c r="A18" s="148" t="inlineStr">
        <is>
          <t>11</t>
        </is>
      </c>
      <c r="B18" s="148" t="inlineStr">
        <is>
          <t xml:space="preserve">            Equipment</t>
        </is>
      </c>
      <c r="C18" s="148" t="n">
        <v>1050.7</v>
      </c>
      <c r="D18" s="148" t="n">
        <v>1049</v>
      </c>
      <c r="E18" s="148" t="n">
        <v>1043.4</v>
      </c>
      <c r="F18" s="148" t="n">
        <v>1048</v>
      </c>
      <c r="G18" s="148" t="n">
        <v>1059.4</v>
      </c>
      <c r="H18" s="148" t="n">
        <v>1082</v>
      </c>
      <c r="I18" s="148" t="n">
        <v>1110.1</v>
      </c>
      <c r="J18" s="148" t="n">
        <v>1140.8</v>
      </c>
      <c r="K18" s="148" t="n">
        <v>1156.2</v>
      </c>
    </row>
    <row r="19">
      <c r="A19" s="148" t="inlineStr">
        <is>
          <t>12</t>
        </is>
      </c>
      <c r="B19" s="148" t="inlineStr">
        <is>
          <t xml:space="preserve">            Intellectual property products</t>
        </is>
      </c>
      <c r="C19" s="148" t="n">
        <v>702.8</v>
      </c>
      <c r="D19" s="148" t="n">
        <v>721.5</v>
      </c>
      <c r="E19" s="148" t="n">
        <v>729</v>
      </c>
      <c r="F19" s="148" t="n">
        <v>728.3</v>
      </c>
      <c r="G19" s="148" t="n">
        <v>738.6</v>
      </c>
      <c r="H19" s="148" t="n">
        <v>745.3</v>
      </c>
      <c r="I19" s="148" t="n">
        <v>754.8</v>
      </c>
      <c r="J19" s="148" t="n">
        <v>756.4</v>
      </c>
      <c r="K19" s="148" t="n">
        <v>776.2</v>
      </c>
    </row>
    <row r="20">
      <c r="A20" s="148" t="inlineStr">
        <is>
          <t>13</t>
        </is>
      </c>
      <c r="B20" s="148" t="inlineStr">
        <is>
          <t xml:space="preserve">        Residential</t>
        </is>
      </c>
      <c r="C20" s="148" t="n">
        <v>593.7</v>
      </c>
      <c r="D20" s="148" t="n">
        <v>586.5</v>
      </c>
      <c r="E20" s="148" t="n">
        <v>579.8</v>
      </c>
      <c r="F20" s="148" t="n">
        <v>589.8</v>
      </c>
      <c r="G20" s="148" t="n">
        <v>605.5</v>
      </c>
      <c r="H20" s="148" t="n">
        <v>594.1</v>
      </c>
      <c r="I20" s="148" t="n">
        <v>587</v>
      </c>
      <c r="J20" s="148" t="n">
        <v>604.9</v>
      </c>
      <c r="K20" s="148" t="n">
        <v>601.9</v>
      </c>
    </row>
    <row r="21">
      <c r="A21" s="148" t="inlineStr">
        <is>
          <t>14</t>
        </is>
      </c>
      <c r="B21" s="148" t="inlineStr">
        <is>
          <t xml:space="preserve">    Change in private inventories</t>
        </is>
      </c>
      <c r="C21" s="148" t="n">
        <v>40.6</v>
      </c>
      <c r="D21" s="148" t="n">
        <v>12.2</v>
      </c>
      <c r="E21" s="148" t="n">
        <v>17.6</v>
      </c>
      <c r="F21" s="148" t="n">
        <v>63.1</v>
      </c>
      <c r="G21" s="148" t="n">
        <v>1.2</v>
      </c>
      <c r="H21" s="148" t="n">
        <v>5.5</v>
      </c>
      <c r="I21" s="148" t="n">
        <v>38.5</v>
      </c>
      <c r="J21" s="148" t="n">
        <v>15.6</v>
      </c>
      <c r="K21" s="148" t="n">
        <v>20.2</v>
      </c>
    </row>
    <row r="22">
      <c r="A22" s="148" t="inlineStr">
        <is>
          <t>15</t>
        </is>
      </c>
      <c r="B22" s="41" t="inlineStr">
        <is>
          <t>Net exports of goods and services</t>
        </is>
      </c>
      <c r="C22" s="148" t="n">
        <v>-584.2</v>
      </c>
      <c r="D22" s="148" t="n">
        <v>-572.4</v>
      </c>
      <c r="E22" s="148" t="n">
        <v>-557.3</v>
      </c>
      <c r="F22" s="148" t="n">
        <v>-631.1</v>
      </c>
      <c r="G22" s="148" t="n">
        <v>-622.2</v>
      </c>
      <c r="H22" s="148" t="n">
        <v>-613.6</v>
      </c>
      <c r="I22" s="148" t="n">
        <v>-597.5</v>
      </c>
      <c r="J22" s="148" t="n">
        <v>-653.9</v>
      </c>
      <c r="K22" s="148" t="n">
        <v>-650.9</v>
      </c>
      <c r="M22" s="39">
        <f>K22/K8</f>
        <v/>
      </c>
    </row>
    <row r="23">
      <c r="A23" s="148" t="inlineStr">
        <is>
          <t>16</t>
        </is>
      </c>
      <c r="B23" s="148" t="inlineStr">
        <is>
          <t xml:space="preserve">    Exports</t>
        </is>
      </c>
      <c r="C23" s="148" t="n">
        <v>2098.1</v>
      </c>
      <c r="D23" s="148" t="n">
        <v>2112.5</v>
      </c>
      <c r="E23" s="148" t="n">
        <v>2145.3</v>
      </c>
      <c r="F23" s="148" t="n">
        <v>2124.4</v>
      </c>
      <c r="G23" s="148" t="n">
        <v>2162.3</v>
      </c>
      <c r="H23" s="148" t="n">
        <v>2181.1</v>
      </c>
      <c r="I23" s="148" t="n">
        <v>2192.4</v>
      </c>
      <c r="J23" s="148" t="n">
        <v>2229.8</v>
      </c>
      <c r="K23" s="148" t="n">
        <v>2252.9</v>
      </c>
      <c r="M23" s="39">
        <f>K23/K8</f>
        <v/>
      </c>
    </row>
    <row r="24">
      <c r="A24" s="148" t="inlineStr">
        <is>
          <t>17</t>
        </is>
      </c>
      <c r="B24" s="148" t="inlineStr">
        <is>
          <t xml:space="preserve">        Goods</t>
        </is>
      </c>
      <c r="C24" s="148" t="n">
        <v>1429.2</v>
      </c>
      <c r="D24" s="148" t="n">
        <v>1439.1</v>
      </c>
      <c r="E24" s="148" t="n">
        <v>1467.2</v>
      </c>
      <c r="F24" s="148" t="n">
        <v>1454.5</v>
      </c>
      <c r="G24" s="148" t="n">
        <v>1492.3</v>
      </c>
      <c r="H24" s="148" t="n">
        <v>1500.4</v>
      </c>
      <c r="I24" s="148" t="n">
        <v>1507.3</v>
      </c>
      <c r="J24" s="148" t="n">
        <v>1549.1</v>
      </c>
      <c r="K24" s="148" t="n">
        <v>1569.6</v>
      </c>
    </row>
    <row r="25">
      <c r="A25" s="148" t="inlineStr">
        <is>
          <t>18</t>
        </is>
      </c>
      <c r="B25" s="148" t="inlineStr">
        <is>
          <t xml:space="preserve">        Services</t>
        </is>
      </c>
      <c r="C25" s="148" t="n">
        <v>668.8</v>
      </c>
      <c r="D25" s="148" t="n">
        <v>673.3</v>
      </c>
      <c r="E25" s="148" t="n">
        <v>678.5</v>
      </c>
      <c r="F25" s="148" t="n">
        <v>670.6</v>
      </c>
      <c r="G25" s="148" t="n">
        <v>672.2</v>
      </c>
      <c r="H25" s="148" t="n">
        <v>682.3</v>
      </c>
      <c r="I25" s="148" t="n">
        <v>686.6</v>
      </c>
      <c r="J25" s="148" t="n">
        <v>684.2</v>
      </c>
      <c r="K25" s="148" t="n">
        <v>687.4</v>
      </c>
    </row>
    <row r="26">
      <c r="A26" s="148" t="inlineStr">
        <is>
          <t>19</t>
        </is>
      </c>
      <c r="B26" s="148" t="inlineStr">
        <is>
          <t xml:space="preserve">    Imports</t>
        </is>
      </c>
      <c r="C26" s="148" t="n">
        <v>2682.3</v>
      </c>
      <c r="D26" s="148" t="n">
        <v>2684.9</v>
      </c>
      <c r="E26" s="148" t="n">
        <v>2702.6</v>
      </c>
      <c r="F26" s="148" t="n">
        <v>2755.5</v>
      </c>
      <c r="G26" s="148" t="n">
        <v>2784.5</v>
      </c>
      <c r="H26" s="148" t="n">
        <v>2794.8</v>
      </c>
      <c r="I26" s="148" t="n">
        <v>2790</v>
      </c>
      <c r="J26" s="148" t="n">
        <v>2883.7</v>
      </c>
      <c r="K26" s="148" t="n">
        <v>2903.8</v>
      </c>
      <c r="M26" s="39">
        <f>K26/K8</f>
        <v/>
      </c>
    </row>
    <row r="27">
      <c r="A27" s="148" t="inlineStr">
        <is>
          <t>20</t>
        </is>
      </c>
      <c r="B27" s="148" t="inlineStr">
        <is>
          <t xml:space="preserve">        Goods</t>
        </is>
      </c>
      <c r="C27" s="148" t="n">
        <v>2203.2</v>
      </c>
      <c r="D27" s="148" t="n">
        <v>2204.6</v>
      </c>
      <c r="E27" s="148" t="n">
        <v>2211.4</v>
      </c>
      <c r="F27" s="148" t="n">
        <v>2260.7</v>
      </c>
      <c r="G27" s="148" t="n">
        <v>2286.7</v>
      </c>
      <c r="H27" s="148" t="n">
        <v>2294.3</v>
      </c>
      <c r="I27" s="148" t="n">
        <v>2292.9</v>
      </c>
      <c r="J27" s="148" t="n">
        <v>2386</v>
      </c>
      <c r="K27" s="148" t="n">
        <v>2399.3</v>
      </c>
    </row>
    <row r="28">
      <c r="A28" s="148" t="inlineStr">
        <is>
          <t>21</t>
        </is>
      </c>
      <c r="B28" s="148" t="inlineStr">
        <is>
          <t xml:space="preserve">        Services</t>
        </is>
      </c>
      <c r="C28" s="148" t="n">
        <v>477</v>
      </c>
      <c r="D28" s="148" t="n">
        <v>478.2</v>
      </c>
      <c r="E28" s="148" t="n">
        <v>488.6</v>
      </c>
      <c r="F28" s="148" t="n">
        <v>492.4</v>
      </c>
      <c r="G28" s="148" t="n">
        <v>495.5</v>
      </c>
      <c r="H28" s="148" t="n">
        <v>498.2</v>
      </c>
      <c r="I28" s="148" t="n">
        <v>494.8</v>
      </c>
      <c r="J28" s="148" t="n">
        <v>496.2</v>
      </c>
      <c r="K28" s="148" t="n">
        <v>502.9</v>
      </c>
    </row>
    <row r="29">
      <c r="A29" s="148" t="inlineStr">
        <is>
          <t>22</t>
        </is>
      </c>
      <c r="B29" s="41" t="inlineStr">
        <is>
          <t>Government consumption expenditures and gross investment</t>
        </is>
      </c>
      <c r="C29" s="148" t="n">
        <v>2903.2</v>
      </c>
      <c r="D29" s="148" t="n">
        <v>2896.3</v>
      </c>
      <c r="E29" s="148" t="n">
        <v>2899.9</v>
      </c>
      <c r="F29" s="148" t="n">
        <v>2901.2</v>
      </c>
      <c r="G29" s="148" t="n">
        <v>2896.6</v>
      </c>
      <c r="H29" s="148" t="n">
        <v>2895.2</v>
      </c>
      <c r="I29" s="148" t="n">
        <v>2900</v>
      </c>
      <c r="J29" s="148" t="n">
        <v>2921.5</v>
      </c>
      <c r="K29" s="148" t="n">
        <v>2929.8</v>
      </c>
      <c r="M29" s="39">
        <f>K29/K8</f>
        <v/>
      </c>
    </row>
    <row r="30">
      <c r="A30" s="148" t="inlineStr">
        <is>
          <t>23</t>
        </is>
      </c>
      <c r="B30" s="148" t="inlineStr">
        <is>
          <t xml:space="preserve">    Federal</t>
        </is>
      </c>
      <c r="C30" s="148" t="n">
        <v>1114.6</v>
      </c>
      <c r="D30" s="148" t="n">
        <v>1112.1</v>
      </c>
      <c r="E30" s="148" t="n">
        <v>1116.5</v>
      </c>
      <c r="F30" s="148" t="n">
        <v>1115.2</v>
      </c>
      <c r="G30" s="148" t="n">
        <v>1108.4</v>
      </c>
      <c r="H30" s="148" t="n">
        <v>1113.7</v>
      </c>
      <c r="I30" s="148" t="n">
        <v>1117.4</v>
      </c>
      <c r="J30" s="148" t="n">
        <v>1126.2</v>
      </c>
      <c r="K30" s="148" t="n">
        <v>1131</v>
      </c>
    </row>
    <row r="31">
      <c r="A31" s="148" t="inlineStr">
        <is>
          <t>24</t>
        </is>
      </c>
      <c r="B31" s="148" t="inlineStr">
        <is>
          <t xml:space="preserve">        National defense</t>
        </is>
      </c>
      <c r="C31" s="148" t="n">
        <v>668.9</v>
      </c>
      <c r="D31" s="148" t="n">
        <v>665.4</v>
      </c>
      <c r="E31" s="148" t="n">
        <v>669.6</v>
      </c>
      <c r="F31" s="148" t="n">
        <v>664.1</v>
      </c>
      <c r="G31" s="148" t="n">
        <v>658.6</v>
      </c>
      <c r="H31" s="148" t="n">
        <v>666.2</v>
      </c>
      <c r="I31" s="148" t="n">
        <v>670.2</v>
      </c>
      <c r="J31" s="148" t="n">
        <v>679.2</v>
      </c>
      <c r="K31" s="148" t="n">
        <v>682.3</v>
      </c>
    </row>
    <row r="32">
      <c r="A32" s="148" t="inlineStr">
        <is>
          <t>25</t>
        </is>
      </c>
      <c r="B32" s="148" t="inlineStr">
        <is>
          <t xml:space="preserve">        Nondefense</t>
        </is>
      </c>
      <c r="C32" s="148" t="n">
        <v>445.1</v>
      </c>
      <c r="D32" s="148" t="n">
        <v>446.1</v>
      </c>
      <c r="E32" s="148" t="n">
        <v>446.4</v>
      </c>
      <c r="F32" s="148" t="n">
        <v>450.3</v>
      </c>
      <c r="G32" s="148" t="n">
        <v>449</v>
      </c>
      <c r="H32" s="148" t="n">
        <v>446.9</v>
      </c>
      <c r="I32" s="148" t="n">
        <v>446.6</v>
      </c>
      <c r="J32" s="148" t="n">
        <v>446.5</v>
      </c>
      <c r="K32" s="148" t="n">
        <v>448.3</v>
      </c>
    </row>
    <row r="33">
      <c r="A33" s="148" t="inlineStr">
        <is>
          <t>26</t>
        </is>
      </c>
      <c r="B33" s="148" t="inlineStr">
        <is>
          <t xml:space="preserve">    State and local</t>
        </is>
      </c>
      <c r="C33" s="148" t="n">
        <v>1786.6</v>
      </c>
      <c r="D33" s="148" t="n">
        <v>1782.3</v>
      </c>
      <c r="E33" s="148" t="n">
        <v>1781.6</v>
      </c>
      <c r="F33" s="148" t="n">
        <v>1784.1</v>
      </c>
      <c r="G33" s="148" t="n">
        <v>1786.2</v>
      </c>
      <c r="H33" s="148" t="n">
        <v>1779.6</v>
      </c>
      <c r="I33" s="148" t="n">
        <v>1780.7</v>
      </c>
      <c r="J33" s="148" t="n">
        <v>1793.5</v>
      </c>
      <c r="K33" s="148" t="n">
        <v>1797</v>
      </c>
    </row>
    <row r="34">
      <c r="A34" s="148" t="inlineStr">
        <is>
          <t>27</t>
        </is>
      </c>
      <c r="B34" s="148" t="inlineStr">
        <is>
          <t>Residual</t>
        </is>
      </c>
      <c r="C34" s="148" t="n">
        <v>-41.4</v>
      </c>
      <c r="D34" s="148" t="n">
        <v>-48.2</v>
      </c>
      <c r="E34" s="148" t="n">
        <v>-54.2</v>
      </c>
      <c r="F34" s="148" t="n">
        <v>-55.2</v>
      </c>
      <c r="G34" s="148" t="n">
        <v>-54</v>
      </c>
      <c r="H34" s="148" t="n">
        <v>-63.5</v>
      </c>
      <c r="I34" s="148" t="n">
        <v>-77.40000000000001</v>
      </c>
      <c r="J34" s="148" t="n">
        <v>-86.3</v>
      </c>
      <c r="K34" s="148" t="n">
        <v>-84.09999999999999</v>
      </c>
    </row>
    <row r="35" ht="15.75" customHeight="1" s="126">
      <c r="A35" s="151" t="inlineStr">
        <is>
          <t>Legend / Footnotes:</t>
        </is>
      </c>
    </row>
    <row r="36" ht="15" customHeight="1" s="126">
      <c r="A36" s="152" t="inlineStr">
        <is>
      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      </is>
      </c>
      <c r="M36" s="39">
        <f>M29+M22+M14+M9</f>
        <v/>
      </c>
    </row>
    <row r="42">
      <c r="A42" s="125" t="inlineStr">
        <is>
          <t>Table 1.1.6. Real Gross Domestic Product, Chained Dollars</t>
        </is>
      </c>
    </row>
    <row r="43" ht="16" customHeight="1" s="126" thickBot="1"/>
    <row r="44">
      <c r="A44" s="125" t="inlineStr">
        <is>
          <t>Line</t>
        </is>
      </c>
      <c r="B44" s="42" t="n"/>
      <c r="C44" s="43" t="inlineStr">
        <is>
          <t>Q3 2019</t>
        </is>
      </c>
      <c r="D44" s="43" t="inlineStr">
        <is>
          <t>Q2 2019</t>
        </is>
      </c>
      <c r="E44" s="43" t="inlineStr">
        <is>
          <t>Q3 2018</t>
        </is>
      </c>
      <c r="F44" s="44" t="n"/>
      <c r="G44" s="45" t="inlineStr">
        <is>
          <t>% of GDP</t>
        </is>
      </c>
    </row>
    <row r="45">
      <c r="A45" s="125" t="inlineStr">
        <is>
          <t xml:space="preserve"> </t>
        </is>
      </c>
      <c r="B45" s="46" t="inlineStr">
        <is>
          <t>1Gross domestic product</t>
        </is>
      </c>
      <c r="C45" s="11" t="n">
        <v>19122.1</v>
      </c>
      <c r="D45" s="11" t="n">
        <v>19021.9</v>
      </c>
      <c r="E45" s="11" t="n">
        <v>18732.7</v>
      </c>
      <c r="F45" s="12" t="n"/>
      <c r="G45" s="13" t="n"/>
      <c r="Q45" s="125" t="inlineStr">
        <is>
          <t>1Gross domestic product</t>
        </is>
      </c>
      <c r="R45" s="125" t="inlineStr">
        <is>
          <t>Q1 1947</t>
        </is>
      </c>
      <c r="S45" s="47" t="n">
        <v>2033.061</v>
      </c>
      <c r="T45" s="47" t="n">
        <v>2033.061</v>
      </c>
      <c r="U45" s="39" t="inlineStr">
        <is>
          <t>.</t>
        </is>
      </c>
    </row>
    <row r="46">
      <c r="A46" s="125" t="inlineStr">
        <is>
          <t xml:space="preserve"> </t>
        </is>
      </c>
      <c r="B46" s="46" t="inlineStr">
        <is>
          <t>2Personal consumption expenditures</t>
        </is>
      </c>
      <c r="C46" s="11" t="n">
        <v>13345.6</v>
      </c>
      <c r="D46" s="11" t="n">
        <v>13250</v>
      </c>
      <c r="E46" s="11" t="n">
        <v>13019.8</v>
      </c>
      <c r="F46" s="48" t="inlineStr">
        <is>
          <t>C =</t>
        </is>
      </c>
      <c r="G46" s="13">
        <f>C46/C45</f>
        <v/>
      </c>
      <c r="Q46" s="125" t="inlineStr">
        <is>
          <t xml:space="preserve"> </t>
        </is>
      </c>
      <c r="R46" s="125" t="inlineStr">
        <is>
          <t>2Personal consumption expenditures</t>
        </is>
      </c>
      <c r="S46" s="125" t="inlineStr">
        <is>
          <t>Q1 1947</t>
        </is>
      </c>
      <c r="T46" s="47" t="n">
        <v>1274.952</v>
      </c>
      <c r="U46" s="39" t="inlineStr">
        <is>
          <t>.</t>
        </is>
      </c>
      <c r="V46" s="125" t="inlineStr">
        <is>
          <t>.</t>
        </is>
      </c>
      <c r="W46" s="39">
        <f>T46/T45</f>
        <v/>
      </c>
    </row>
    <row r="47">
      <c r="A47" s="125" t="inlineStr">
        <is>
          <t xml:space="preserve"> </t>
        </is>
      </c>
      <c r="B47" s="49" t="inlineStr">
        <is>
          <t>3Goods</t>
        </is>
      </c>
      <c r="C47" s="11" t="n">
        <v>4812.1</v>
      </c>
      <c r="D47" s="11" t="n">
        <v>4746.4</v>
      </c>
      <c r="E47" s="11" t="n">
        <v>4614</v>
      </c>
      <c r="F47" s="12" t="n"/>
      <c r="G47" s="13" t="n"/>
      <c r="Q47" s="125" t="inlineStr">
        <is>
          <t xml:space="preserve"> </t>
        </is>
      </c>
      <c r="R47" s="125" t="inlineStr">
        <is>
          <t>3Goods</t>
        </is>
      </c>
      <c r="S47" s="125" t="inlineStr">
        <is>
          <t>.</t>
        </is>
      </c>
      <c r="T47" s="125" t="inlineStr">
        <is>
          <t>.</t>
        </is>
      </c>
      <c r="U47" s="39" t="inlineStr">
        <is>
          <t>.</t>
        </is>
      </c>
      <c r="V47" s="125" t="inlineStr">
        <is>
          <t>.</t>
        </is>
      </c>
      <c r="W47" s="39" t="n"/>
    </row>
    <row r="48">
      <c r="A48" s="125" t="inlineStr">
        <is>
          <t xml:space="preserve"> </t>
        </is>
      </c>
      <c r="B48" s="49" t="inlineStr">
        <is>
          <t>4Durable goods</t>
        </is>
      </c>
      <c r="C48" s="11" t="n">
        <v>1794.7</v>
      </c>
      <c r="D48" s="11" t="n">
        <v>1759.3</v>
      </c>
      <c r="E48" s="11" t="n">
        <v>1699.8</v>
      </c>
      <c r="F48" s="12" t="n"/>
      <c r="G48" s="13" t="n"/>
      <c r="Q48" s="125" t="inlineStr">
        <is>
          <t xml:space="preserve"> </t>
        </is>
      </c>
      <c r="R48" s="125" t="inlineStr">
        <is>
          <t>4Durable goods</t>
        </is>
      </c>
      <c r="S48" s="125" t="inlineStr">
        <is>
          <t>.</t>
        </is>
      </c>
      <c r="T48" s="125" t="inlineStr">
        <is>
          <t>.</t>
        </is>
      </c>
      <c r="U48" s="39" t="inlineStr">
        <is>
          <t>.</t>
        </is>
      </c>
      <c r="V48" s="125" t="inlineStr">
        <is>
          <t>.</t>
        </is>
      </c>
      <c r="W48" s="39" t="n"/>
    </row>
    <row r="49">
      <c r="A49" s="125" t="inlineStr">
        <is>
          <t xml:space="preserve"> </t>
        </is>
      </c>
      <c r="B49" s="49" t="inlineStr">
        <is>
          <t>5Nondurable goods</t>
        </is>
      </c>
      <c r="C49" s="11" t="n">
        <v>3033.2</v>
      </c>
      <c r="D49" s="11" t="n">
        <v>3001.3</v>
      </c>
      <c r="E49" s="11" t="n">
        <v>2926.6</v>
      </c>
      <c r="F49" s="12" t="n"/>
      <c r="G49" s="13" t="n"/>
      <c r="Q49" s="125" t="inlineStr">
        <is>
          <t xml:space="preserve"> </t>
        </is>
      </c>
      <c r="R49" s="125" t="inlineStr">
        <is>
          <t>5Nondurable goods</t>
        </is>
      </c>
      <c r="S49" s="125" t="inlineStr">
        <is>
          <t>.</t>
        </is>
      </c>
      <c r="T49" s="125" t="inlineStr">
        <is>
          <t>.</t>
        </is>
      </c>
      <c r="U49" s="39" t="inlineStr">
        <is>
          <t>.</t>
        </is>
      </c>
      <c r="V49" s="125" t="inlineStr">
        <is>
          <t>.</t>
        </is>
      </c>
      <c r="W49" s="39" t="n"/>
    </row>
    <row r="50">
      <c r="A50" s="125" t="inlineStr">
        <is>
          <t xml:space="preserve"> </t>
        </is>
      </c>
      <c r="B50" s="49" t="inlineStr">
        <is>
          <t>6Services</t>
        </is>
      </c>
      <c r="C50" s="11" t="n">
        <v>8577.6</v>
      </c>
      <c r="D50" s="11" t="n">
        <v>8541.4</v>
      </c>
      <c r="E50" s="11" t="n">
        <v>8433.6</v>
      </c>
      <c r="F50" s="12" t="n"/>
      <c r="G50" s="13" t="n"/>
      <c r="Q50" s="125" t="inlineStr">
        <is>
          <t xml:space="preserve"> </t>
        </is>
      </c>
      <c r="R50" s="125" t="inlineStr">
        <is>
          <t>6Services</t>
        </is>
      </c>
      <c r="S50" s="125" t="inlineStr">
        <is>
          <t>.</t>
        </is>
      </c>
      <c r="T50" s="125" t="inlineStr">
        <is>
          <t>.</t>
        </is>
      </c>
      <c r="U50" s="39" t="inlineStr">
        <is>
          <t>.</t>
        </is>
      </c>
      <c r="V50" s="125" t="inlineStr">
        <is>
          <t>.</t>
        </is>
      </c>
      <c r="W50" s="39" t="n"/>
    </row>
    <row r="51">
      <c r="A51" s="125" t="inlineStr">
        <is>
          <t xml:space="preserve"> </t>
        </is>
      </c>
      <c r="B51" s="46" t="inlineStr">
        <is>
          <t>7Gross private domestic investment</t>
        </is>
      </c>
      <c r="C51" s="11" t="n">
        <v>3423.9</v>
      </c>
      <c r="D51" s="11" t="n">
        <v>3424.7</v>
      </c>
      <c r="E51" s="11" t="n">
        <v>3404.2</v>
      </c>
      <c r="F51" s="48" t="inlineStr">
        <is>
          <t>I =</t>
        </is>
      </c>
      <c r="G51" s="13">
        <f>C51/C45</f>
        <v/>
      </c>
      <c r="Q51" s="125" t="inlineStr">
        <is>
          <t xml:space="preserve"> </t>
        </is>
      </c>
      <c r="R51" s="125" t="inlineStr">
        <is>
          <t>7Gross private domestic investment</t>
        </is>
      </c>
      <c r="S51" s="125" t="inlineStr">
        <is>
          <t>Q1 1947</t>
        </is>
      </c>
      <c r="T51" s="125" t="n">
        <v>218.091</v>
      </c>
      <c r="U51" s="39" t="inlineStr">
        <is>
          <t>.</t>
        </is>
      </c>
      <c r="V51" s="125" t="inlineStr">
        <is>
          <t>.</t>
        </is>
      </c>
      <c r="W51" s="39">
        <f>T51/T45</f>
        <v/>
      </c>
    </row>
    <row r="52">
      <c r="A52" s="125" t="inlineStr">
        <is>
          <t xml:space="preserve"> </t>
        </is>
      </c>
      <c r="B52" s="49" t="inlineStr">
        <is>
          <t>8Fixed investment</t>
        </is>
      </c>
      <c r="C52" s="11" t="n">
        <v>3328.7</v>
      </c>
      <c r="D52" s="11" t="n">
        <v>3337.4</v>
      </c>
      <c r="E52" s="11" t="n">
        <v>3301.3</v>
      </c>
      <c r="F52" s="12" t="n"/>
      <c r="G52" s="13" t="n"/>
      <c r="Q52" s="125" t="inlineStr">
        <is>
          <t xml:space="preserve"> </t>
        </is>
      </c>
      <c r="R52" s="125" t="inlineStr">
        <is>
          <t>8Fixed investment</t>
        </is>
      </c>
      <c r="S52" s="125" t="inlineStr">
        <is>
          <t>.</t>
        </is>
      </c>
      <c r="T52" s="125" t="inlineStr">
        <is>
          <t>.</t>
        </is>
      </c>
      <c r="U52" s="39" t="inlineStr">
        <is>
          <t>.</t>
        </is>
      </c>
      <c r="V52" s="125" t="inlineStr">
        <is>
          <t>.</t>
        </is>
      </c>
      <c r="W52" s="39" t="n"/>
    </row>
    <row r="53">
      <c r="A53" s="125" t="inlineStr">
        <is>
          <t xml:space="preserve"> </t>
        </is>
      </c>
      <c r="B53" s="49" t="inlineStr">
        <is>
          <t>9Nonresidential</t>
        </is>
      </c>
      <c r="C53" s="11" t="n">
        <v>2740</v>
      </c>
      <c r="D53" s="11" t="n">
        <v>2758.5</v>
      </c>
      <c r="E53" s="11" t="n">
        <v>2703.9</v>
      </c>
      <c r="F53" s="12" t="n"/>
      <c r="G53" s="13" t="n"/>
      <c r="Q53" s="125" t="inlineStr">
        <is>
          <t xml:space="preserve"> </t>
        </is>
      </c>
      <c r="R53" s="125" t="inlineStr">
        <is>
          <t>9Nonresidential</t>
        </is>
      </c>
      <c r="S53" s="125" t="inlineStr">
        <is>
          <t>.</t>
        </is>
      </c>
      <c r="T53" s="125" t="inlineStr">
        <is>
          <t>.</t>
        </is>
      </c>
      <c r="U53" s="39" t="inlineStr">
        <is>
          <t>.</t>
        </is>
      </c>
      <c r="V53" s="125" t="inlineStr">
        <is>
          <t>.</t>
        </is>
      </c>
      <c r="W53" s="39" t="n"/>
    </row>
    <row r="54">
      <c r="A54" s="125" t="inlineStr">
        <is>
          <t xml:space="preserve"> </t>
        </is>
      </c>
      <c r="B54" s="49" t="inlineStr">
        <is>
          <t>10Structures</t>
        </is>
      </c>
      <c r="C54" s="11" t="n">
        <v>506.5</v>
      </c>
      <c r="D54" s="11" t="n">
        <v>523</v>
      </c>
      <c r="E54" s="11" t="n">
        <v>546.2</v>
      </c>
      <c r="F54" s="12" t="n"/>
      <c r="G54" s="13" t="n"/>
      <c r="Q54" s="125" t="inlineStr">
        <is>
          <t xml:space="preserve"> </t>
        </is>
      </c>
      <c r="R54" s="125" t="inlineStr">
        <is>
          <t>10Structures</t>
        </is>
      </c>
      <c r="S54" s="125" t="inlineStr">
        <is>
          <t>.</t>
        </is>
      </c>
      <c r="T54" s="125" t="inlineStr">
        <is>
          <t>.</t>
        </is>
      </c>
      <c r="U54" s="39" t="inlineStr">
        <is>
          <t>.</t>
        </is>
      </c>
      <c r="V54" s="125" t="inlineStr">
        <is>
          <t>.</t>
        </is>
      </c>
      <c r="W54" s="39" t="n"/>
    </row>
    <row r="55">
      <c r="A55" s="125" t="inlineStr">
        <is>
          <t xml:space="preserve"> </t>
        </is>
      </c>
      <c r="B55" s="49" t="inlineStr">
        <is>
          <t>11Equipment</t>
        </is>
      </c>
      <c r="C55" s="11" t="n">
        <v>1269.2</v>
      </c>
      <c r="D55" s="11" t="n">
        <v>1281.5</v>
      </c>
      <c r="E55" s="11" t="n">
        <v>1256.7</v>
      </c>
      <c r="F55" s="12" t="n"/>
      <c r="G55" s="13" t="n"/>
      <c r="Q55" s="125" t="inlineStr">
        <is>
          <t xml:space="preserve"> </t>
        </is>
      </c>
      <c r="R55" s="125" t="inlineStr">
        <is>
          <t>11Equipment</t>
        </is>
      </c>
      <c r="S55" s="125" t="inlineStr">
        <is>
          <t>.</t>
        </is>
      </c>
      <c r="T55" s="125" t="inlineStr">
        <is>
          <t>.</t>
        </is>
      </c>
      <c r="U55" s="39" t="inlineStr">
        <is>
          <t>.</t>
        </is>
      </c>
      <c r="V55" s="125" t="inlineStr">
        <is>
          <t>.</t>
        </is>
      </c>
      <c r="W55" s="39" t="n"/>
    </row>
    <row r="56">
      <c r="A56" s="125" t="inlineStr">
        <is>
          <t xml:space="preserve"> </t>
        </is>
      </c>
      <c r="B56" s="49" t="inlineStr">
        <is>
          <t>12Intellectual property products</t>
        </is>
      </c>
      <c r="C56" s="11" t="n">
        <v>976.2</v>
      </c>
      <c r="D56" s="11" t="n">
        <v>964.2</v>
      </c>
      <c r="E56" s="11" t="n">
        <v>905.9</v>
      </c>
      <c r="F56" s="12" t="n"/>
      <c r="G56" s="13" t="n"/>
      <c r="Q56" s="125" t="inlineStr">
        <is>
          <t xml:space="preserve"> </t>
        </is>
      </c>
      <c r="R56" s="125" t="inlineStr">
        <is>
          <t>12Intellectual property products</t>
        </is>
      </c>
      <c r="S56" s="125" t="inlineStr">
        <is>
          <t>.</t>
        </is>
      </c>
      <c r="T56" s="125" t="inlineStr">
        <is>
          <t>.</t>
        </is>
      </c>
      <c r="U56" s="39" t="inlineStr">
        <is>
          <t>.</t>
        </is>
      </c>
      <c r="V56" s="125" t="inlineStr">
        <is>
          <t>.</t>
        </is>
      </c>
      <c r="W56" s="39" t="n"/>
    </row>
    <row r="57">
      <c r="A57" s="125" t="inlineStr">
        <is>
          <t xml:space="preserve"> </t>
        </is>
      </c>
      <c r="B57" s="49" t="inlineStr">
        <is>
          <t>13Residential</t>
        </is>
      </c>
      <c r="C57" s="11" t="n">
        <v>594.3</v>
      </c>
      <c r="D57" s="11" t="n">
        <v>587</v>
      </c>
      <c r="E57" s="11" t="n">
        <v>600.1</v>
      </c>
      <c r="F57" s="12" t="n"/>
      <c r="G57" s="13" t="n"/>
      <c r="Q57" s="125" t="inlineStr">
        <is>
          <t xml:space="preserve"> </t>
        </is>
      </c>
      <c r="R57" s="125" t="inlineStr">
        <is>
          <t>13Residential</t>
        </is>
      </c>
      <c r="S57" s="125" t="inlineStr">
        <is>
          <t>.</t>
        </is>
      </c>
      <c r="T57" s="125" t="inlineStr">
        <is>
          <t>.</t>
        </is>
      </c>
      <c r="U57" s="39" t="inlineStr">
        <is>
          <t>.</t>
        </is>
      </c>
      <c r="V57" s="125" t="inlineStr">
        <is>
          <t>.</t>
        </is>
      </c>
      <c r="W57" s="39" t="n"/>
    </row>
    <row r="58">
      <c r="A58" s="125" t="inlineStr">
        <is>
          <t xml:space="preserve"> </t>
        </is>
      </c>
      <c r="B58" s="49" t="inlineStr">
        <is>
          <t>14Change in private inventories</t>
        </is>
      </c>
      <c r="C58" s="11" t="n">
        <v>79.8</v>
      </c>
      <c r="D58" s="11" t="n">
        <v>69.40000000000001</v>
      </c>
      <c r="E58" s="11" t="n">
        <v>87.2</v>
      </c>
      <c r="F58" s="12" t="n"/>
      <c r="G58" s="13" t="n"/>
      <c r="Q58" s="125" t="inlineStr">
        <is>
          <t xml:space="preserve"> </t>
        </is>
      </c>
      <c r="R58" s="125" t="inlineStr">
        <is>
          <t>14Change in private inventories</t>
        </is>
      </c>
      <c r="S58" s="125" t="inlineStr">
        <is>
          <t>Q1 1947</t>
        </is>
      </c>
      <c r="T58" s="125" t="n">
        <v>6.462</v>
      </c>
      <c r="U58" s="39" t="inlineStr">
        <is>
          <t>.</t>
        </is>
      </c>
      <c r="V58" s="125" t="inlineStr">
        <is>
          <t>.</t>
        </is>
      </c>
      <c r="W58" s="39" t="n"/>
    </row>
    <row r="59">
      <c r="A59" s="125" t="inlineStr">
        <is>
          <t xml:space="preserve"> </t>
        </is>
      </c>
      <c r="B59" s="46" t="inlineStr">
        <is>
          <t>15Net exports of goods and services</t>
        </is>
      </c>
      <c r="C59" s="11" t="n">
        <v>-988.3</v>
      </c>
      <c r="D59" s="11" t="n">
        <v>-980.7</v>
      </c>
      <c r="E59" s="11" t="n">
        <v>-962.4</v>
      </c>
      <c r="F59" s="48" t="inlineStr">
        <is>
          <t>X =</t>
        </is>
      </c>
      <c r="G59" s="13">
        <f>C59/C45</f>
        <v/>
      </c>
      <c r="Q59" s="125" t="inlineStr">
        <is>
          <t xml:space="preserve"> </t>
        </is>
      </c>
      <c r="R59" s="125" t="inlineStr">
        <is>
          <t>15Net exports of goods and services</t>
        </is>
      </c>
      <c r="S59" s="125" t="inlineStr">
        <is>
          <t>.</t>
        </is>
      </c>
      <c r="T59" s="125" t="inlineStr">
        <is>
          <t>.</t>
        </is>
      </c>
      <c r="U59" s="39" t="inlineStr">
        <is>
          <t>.</t>
        </is>
      </c>
      <c r="V59" s="125" t="inlineStr">
        <is>
          <t>.</t>
        </is>
      </c>
      <c r="W59" s="39" t="n"/>
    </row>
    <row r="60">
      <c r="A60" s="125" t="inlineStr">
        <is>
          <t xml:space="preserve"> </t>
        </is>
      </c>
      <c r="B60" s="49" t="inlineStr">
        <is>
          <t>16Exports</t>
        </is>
      </c>
      <c r="C60" s="11" t="n">
        <v>2523.1</v>
      </c>
      <c r="D60" s="11" t="n">
        <v>2517.5</v>
      </c>
      <c r="E60" s="11" t="n">
        <v>2519.3</v>
      </c>
      <c r="F60" s="12" t="n"/>
      <c r="G60" s="13">
        <f>C60/C45</f>
        <v/>
      </c>
      <c r="Q60" s="125" t="inlineStr">
        <is>
          <t xml:space="preserve"> </t>
        </is>
      </c>
      <c r="R60" s="125" t="inlineStr">
        <is>
          <t>16Exports</t>
        </is>
      </c>
      <c r="S60" s="125" t="inlineStr">
        <is>
          <t>Q1 1947</t>
        </is>
      </c>
      <c r="T60" s="125" t="n">
        <v>97.759</v>
      </c>
      <c r="U60" s="39" t="inlineStr">
        <is>
          <t>.</t>
        </is>
      </c>
      <c r="V60" s="125" t="inlineStr">
        <is>
          <t>.</t>
        </is>
      </c>
      <c r="W60" s="39">
        <f>T60/T45</f>
        <v/>
      </c>
    </row>
    <row r="61">
      <c r="A61" s="125" t="inlineStr">
        <is>
          <t xml:space="preserve"> </t>
        </is>
      </c>
      <c r="B61" s="49" t="inlineStr">
        <is>
          <t>17Goods</t>
        </is>
      </c>
      <c r="C61" s="11" t="n">
        <v>1784.2</v>
      </c>
      <c r="D61" s="11" t="n">
        <v>1775.3</v>
      </c>
      <c r="E61" s="11" t="n">
        <v>1771.2</v>
      </c>
      <c r="F61" s="12" t="n"/>
      <c r="G61" s="13" t="n"/>
      <c r="Q61" s="125" t="inlineStr">
        <is>
          <t xml:space="preserve"> </t>
        </is>
      </c>
      <c r="R61" s="125" t="inlineStr">
        <is>
          <t>17Goods</t>
        </is>
      </c>
      <c r="S61" s="125" t="inlineStr">
        <is>
          <t>.</t>
        </is>
      </c>
      <c r="T61" s="125" t="inlineStr">
        <is>
          <t>.</t>
        </is>
      </c>
      <c r="U61" s="39" t="inlineStr">
        <is>
          <t>.</t>
        </is>
      </c>
      <c r="V61" s="125" t="inlineStr">
        <is>
          <t>.</t>
        </is>
      </c>
      <c r="W61" s="39" t="n"/>
    </row>
    <row r="62">
      <c r="A62" s="125" t="inlineStr">
        <is>
          <t xml:space="preserve"> </t>
        </is>
      </c>
      <c r="B62" s="49" t="inlineStr">
        <is>
          <t>18Services</t>
        </is>
      </c>
      <c r="C62" s="11" t="n">
        <v>745.7</v>
      </c>
      <c r="D62" s="11" t="n">
        <v>748</v>
      </c>
      <c r="E62" s="11" t="n">
        <v>753</v>
      </c>
      <c r="F62" s="12" t="n"/>
      <c r="G62" s="13" t="n"/>
      <c r="Q62" s="125" t="inlineStr">
        <is>
          <t xml:space="preserve"> </t>
        </is>
      </c>
      <c r="R62" s="125" t="inlineStr">
        <is>
          <t>18Services</t>
        </is>
      </c>
      <c r="S62" s="125" t="inlineStr">
        <is>
          <t>.</t>
        </is>
      </c>
      <c r="T62" s="125" t="inlineStr">
        <is>
          <t>.</t>
        </is>
      </c>
      <c r="U62" s="39" t="inlineStr">
        <is>
          <t>.</t>
        </is>
      </c>
      <c r="V62" s="125" t="inlineStr">
        <is>
          <t>.</t>
        </is>
      </c>
      <c r="W62" s="39" t="n"/>
    </row>
    <row r="63">
      <c r="A63" s="125" t="inlineStr">
        <is>
          <t xml:space="preserve"> </t>
        </is>
      </c>
      <c r="B63" s="49" t="inlineStr">
        <is>
          <t>19Imports</t>
        </is>
      </c>
      <c r="C63" s="11" t="n">
        <v>3511.4</v>
      </c>
      <c r="D63" s="11" t="n">
        <v>3498.2</v>
      </c>
      <c r="E63" s="11" t="n">
        <v>3481.8</v>
      </c>
      <c r="F63" s="12" t="n"/>
      <c r="G63" s="13">
        <f>C63/C45</f>
        <v/>
      </c>
      <c r="Q63" s="125" t="inlineStr">
        <is>
          <t xml:space="preserve"> </t>
        </is>
      </c>
      <c r="R63" s="125" t="inlineStr">
        <is>
          <t>19Imports</t>
        </is>
      </c>
      <c r="S63" s="125" t="inlineStr">
        <is>
          <t>Q1 1947</t>
        </is>
      </c>
      <c r="T63" s="125" t="n">
        <v>60.271</v>
      </c>
      <c r="U63" s="39" t="inlineStr">
        <is>
          <t>.</t>
        </is>
      </c>
      <c r="V63" s="125" t="inlineStr">
        <is>
          <t>.</t>
        </is>
      </c>
      <c r="W63" s="39">
        <f>T63/T45</f>
        <v/>
      </c>
    </row>
    <row r="64">
      <c r="A64" s="125" t="inlineStr">
        <is>
          <t xml:space="preserve"> </t>
        </is>
      </c>
      <c r="B64" s="49" t="inlineStr">
        <is>
          <t>20Goods</t>
        </is>
      </c>
      <c r="C64" s="11" t="n">
        <v>2947.6</v>
      </c>
      <c r="D64" s="11" t="n">
        <v>2941.7</v>
      </c>
      <c r="E64" s="11" t="n">
        <v>2945.4</v>
      </c>
      <c r="F64" s="12" t="n"/>
      <c r="G64" s="13" t="n"/>
      <c r="Q64" s="125" t="inlineStr">
        <is>
          <t xml:space="preserve"> </t>
        </is>
      </c>
      <c r="R64" s="125" t="inlineStr">
        <is>
          <t>20Goods</t>
        </is>
      </c>
      <c r="S64" s="125" t="inlineStr">
        <is>
          <t>.</t>
        </is>
      </c>
      <c r="T64" s="125" t="inlineStr">
        <is>
          <t>.</t>
        </is>
      </c>
      <c r="U64" s="39" t="inlineStr">
        <is>
          <t>.</t>
        </is>
      </c>
      <c r="V64" s="125" t="inlineStr">
        <is>
          <t>.</t>
        </is>
      </c>
      <c r="W64" s="39" t="n"/>
    </row>
    <row r="65">
      <c r="A65" s="125" t="inlineStr">
        <is>
          <t xml:space="preserve"> </t>
        </is>
      </c>
      <c r="B65" s="49" t="inlineStr">
        <is>
          <t>21Services</t>
        </is>
      </c>
      <c r="C65" s="11" t="n">
        <v>563.5</v>
      </c>
      <c r="D65" s="11" t="n">
        <v>557.2</v>
      </c>
      <c r="E65" s="11" t="n">
        <v>540.3</v>
      </c>
      <c r="F65" s="12" t="n"/>
      <c r="G65" s="13" t="n"/>
      <c r="Q65" s="125" t="inlineStr">
        <is>
          <t xml:space="preserve"> </t>
        </is>
      </c>
      <c r="R65" s="125" t="inlineStr">
        <is>
          <t>21Services</t>
        </is>
      </c>
      <c r="S65" s="125" t="inlineStr">
        <is>
          <t>.</t>
        </is>
      </c>
      <c r="T65" s="125" t="inlineStr">
        <is>
          <t>.</t>
        </is>
      </c>
      <c r="U65" s="39" t="inlineStr">
        <is>
          <t>.</t>
        </is>
      </c>
      <c r="V65" s="125" t="inlineStr">
        <is>
          <t>.</t>
        </is>
      </c>
      <c r="W65" s="39" t="n"/>
    </row>
    <row r="66">
      <c r="A66" s="125" t="inlineStr">
        <is>
          <t xml:space="preserve"> </t>
        </is>
      </c>
      <c r="B66" s="46" t="inlineStr">
        <is>
          <t>22Government consumption expenditures and gross investment</t>
        </is>
      </c>
      <c r="C66" s="11" t="n">
        <v>3309.7</v>
      </c>
      <c r="D66" s="11" t="n">
        <v>3296.6</v>
      </c>
      <c r="E66" s="11" t="n">
        <v>3238</v>
      </c>
      <c r="F66" s="48" t="inlineStr">
        <is>
          <t>G =</t>
        </is>
      </c>
      <c r="G66" s="13">
        <f>C66/C45</f>
        <v/>
      </c>
      <c r="Q66" s="125" t="inlineStr">
        <is>
          <t xml:space="preserve"> </t>
        </is>
      </c>
      <c r="R66" s="125" t="inlineStr">
        <is>
          <t>22Government consumption expenditures and gross investment</t>
        </is>
      </c>
      <c r="S66" s="125" t="inlineStr">
        <is>
          <t>Q1 1947</t>
        </is>
      </c>
      <c r="T66" s="125" t="n">
        <v>524.076</v>
      </c>
      <c r="U66" s="39" t="inlineStr">
        <is>
          <t>.</t>
        </is>
      </c>
      <c r="V66" s="125" t="inlineStr">
        <is>
          <t>.</t>
        </is>
      </c>
      <c r="W66" s="39">
        <f>T66/T45</f>
        <v/>
      </c>
    </row>
    <row r="67">
      <c r="A67" s="125" t="inlineStr">
        <is>
          <t xml:space="preserve"> </t>
        </is>
      </c>
      <c r="B67" s="49" t="inlineStr">
        <is>
          <t>23Federal</t>
        </is>
      </c>
      <c r="C67" s="11" t="n">
        <v>1284.5</v>
      </c>
      <c r="D67" s="11" t="n">
        <v>1273.9</v>
      </c>
      <c r="E67" s="11" t="n">
        <v>1238.7</v>
      </c>
      <c r="F67" s="12" t="n"/>
      <c r="G67" s="14" t="n"/>
      <c r="Q67" s="125" t="inlineStr">
        <is>
          <t xml:space="preserve"> </t>
        </is>
      </c>
      <c r="R67" s="125" t="inlineStr">
        <is>
          <t>23Federal</t>
        </is>
      </c>
      <c r="S67" s="125" t="inlineStr">
        <is>
          <t>.</t>
        </is>
      </c>
      <c r="T67" s="125" t="inlineStr">
        <is>
          <t>.</t>
        </is>
      </c>
      <c r="U67" s="39" t="inlineStr">
        <is>
          <t>.</t>
        </is>
      </c>
      <c r="V67" s="125" t="inlineStr">
        <is>
          <t>.</t>
        </is>
      </c>
    </row>
    <row r="68">
      <c r="A68" s="125" t="inlineStr">
        <is>
          <t xml:space="preserve"> </t>
        </is>
      </c>
      <c r="B68" s="49" t="inlineStr">
        <is>
          <t>24National defense</t>
        </is>
      </c>
      <c r="C68" s="11" t="n">
        <v>775</v>
      </c>
      <c r="D68" s="11" t="n">
        <v>770.8</v>
      </c>
      <c r="E68" s="11" t="n">
        <v>741.2</v>
      </c>
      <c r="F68" s="12" t="n"/>
      <c r="G68" s="14" t="n"/>
      <c r="Q68" s="125" t="inlineStr">
        <is>
          <t xml:space="preserve"> </t>
        </is>
      </c>
      <c r="R68" s="125" t="inlineStr">
        <is>
          <t>24National defense</t>
        </is>
      </c>
      <c r="S68" s="125" t="inlineStr">
        <is>
          <t>.</t>
        </is>
      </c>
      <c r="T68" s="125" t="inlineStr">
        <is>
          <t>.</t>
        </is>
      </c>
      <c r="U68" s="39" t="inlineStr">
        <is>
          <t>.</t>
        </is>
      </c>
      <c r="V68" s="125" t="inlineStr">
        <is>
          <t>.</t>
        </is>
      </c>
    </row>
    <row r="69">
      <c r="A69" s="125" t="inlineStr">
        <is>
          <t xml:space="preserve"> </t>
        </is>
      </c>
      <c r="B69" s="49" t="inlineStr">
        <is>
          <t>25Nondefense</t>
        </is>
      </c>
      <c r="C69" s="11" t="n">
        <v>509.2</v>
      </c>
      <c r="D69" s="11" t="n">
        <v>502.9</v>
      </c>
      <c r="E69" s="11" t="n">
        <v>497</v>
      </c>
      <c r="F69" s="12" t="n"/>
      <c r="G69" s="14" t="n"/>
      <c r="Q69" s="125" t="inlineStr">
        <is>
          <t xml:space="preserve"> </t>
        </is>
      </c>
      <c r="R69" s="125" t="inlineStr">
        <is>
          <t>25Nondefense</t>
        </is>
      </c>
      <c r="S69" s="125" t="inlineStr">
        <is>
          <t>.</t>
        </is>
      </c>
      <c r="T69" s="125" t="inlineStr">
        <is>
          <t>.</t>
        </is>
      </c>
      <c r="U69" s="39" t="inlineStr">
        <is>
          <t>.</t>
        </is>
      </c>
      <c r="V69" s="125" t="inlineStr">
        <is>
          <t>.</t>
        </is>
      </c>
    </row>
    <row r="70">
      <c r="A70" s="125" t="inlineStr">
        <is>
          <t xml:space="preserve"> </t>
        </is>
      </c>
      <c r="B70" s="49" t="inlineStr">
        <is>
          <t>26State and local</t>
        </is>
      </c>
      <c r="C70" s="11" t="n">
        <v>2024.1</v>
      </c>
      <c r="D70" s="11" t="n">
        <v>2021.4</v>
      </c>
      <c r="E70" s="11" t="n">
        <v>1997.7</v>
      </c>
      <c r="F70" s="12" t="n"/>
      <c r="G70" s="14" t="n"/>
      <c r="Q70" s="125" t="inlineStr">
        <is>
          <t xml:space="preserve"> </t>
        </is>
      </c>
      <c r="R70" s="125" t="inlineStr">
        <is>
          <t>26State and local</t>
        </is>
      </c>
      <c r="S70" s="125" t="inlineStr">
        <is>
          <t>.</t>
        </is>
      </c>
      <c r="T70" s="125" t="inlineStr">
        <is>
          <t>.</t>
        </is>
      </c>
      <c r="U70" s="39" t="inlineStr">
        <is>
          <t>.</t>
        </is>
      </c>
      <c r="V70" s="125" t="inlineStr">
        <is>
          <t>.</t>
        </is>
      </c>
    </row>
    <row r="71" ht="16" customHeight="1" s="126" thickBot="1">
      <c r="A71" s="125" t="inlineStr">
        <is>
          <t xml:space="preserve"> </t>
        </is>
      </c>
      <c r="B71" s="50" t="inlineStr">
        <is>
          <t>27Residual</t>
        </is>
      </c>
      <c r="C71" s="15" t="n">
        <v>-36.6</v>
      </c>
      <c r="D71" s="15" t="n">
        <v>-24.6</v>
      </c>
      <c r="E71" s="15" t="n">
        <v>2.4</v>
      </c>
      <c r="F71" s="16" t="n"/>
      <c r="G71" s="17" t="n"/>
      <c r="Q71" s="125" t="inlineStr">
        <is>
          <t xml:space="preserve"> </t>
        </is>
      </c>
      <c r="R71" s="125" t="inlineStr">
        <is>
          <t>27Residual</t>
        </is>
      </c>
      <c r="S71" s="125" t="inlineStr">
        <is>
          <t>Q1 1947</t>
        </is>
      </c>
      <c r="T71" s="125" t="n">
        <v>-28.008</v>
      </c>
      <c r="U71" s="39" t="n"/>
    </row>
    <row r="72">
      <c r="U72" s="39" t="n"/>
      <c r="W72" s="39">
        <f>W66+W60-W63+W51+W46</f>
        <v/>
      </c>
    </row>
  </sheetData>
  <mergeCells count="20">
    <mergeCell ref="A35:K35"/>
    <mergeCell ref="A36:K36"/>
    <mergeCell ref="F7"/>
    <mergeCell ref="G7"/>
    <mergeCell ref="H7"/>
    <mergeCell ref="I7"/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2018-04-30T08:52:06Z</dcterms:created>
  <dcterms:modified xmlns:dcterms="http://purl.org/dc/terms/" xmlns:xsi="http://www.w3.org/2001/XMLSchema-instance" xsi:type="dcterms:W3CDTF">2021-11-18T18:04:41Z</dcterms:modified>
  <cp:lastModifiedBy>Mark Mukherjee</cp:lastModifiedBy>
</cp:coreProperties>
</file>