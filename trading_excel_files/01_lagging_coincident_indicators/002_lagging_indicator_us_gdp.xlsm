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0900" yWindow="198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mm/dd/yyyy"/>
    <numFmt numFmtId="166" formatCode="0.0"/>
    <numFmt numFmtId="167" formatCode="[$-409]mmm\-yy;@"/>
    <numFmt numFmtId="168" formatCode="dd-mm-YYYY"/>
    <numFmt numFmtId="169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31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4" fontId="0" fillId="3" borderId="2" applyAlignment="1" pivotButton="0" quotePrefix="0" xfId="8">
      <alignment horizontal="center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14" fontId="0" fillId="0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2" fillId="3" borderId="9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0" fontId="12" fillId="7" borderId="1" applyAlignment="1" pivotButton="0" quotePrefix="0" xfId="4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8" fontId="0" fillId="0" borderId="0" pivotButton="0" quotePrefix="0" xfId="0"/>
    <xf numFmtId="165" fontId="0" fillId="6" borderId="0" pivotButton="0" quotePrefix="0" xfId="0"/>
    <xf numFmtId="165" fontId="0" fillId="3" borderId="0" pivotButton="0" quotePrefix="0" xfId="0"/>
    <xf numFmtId="164" fontId="0" fillId="3" borderId="2" applyAlignment="1" pivotButton="0" quotePrefix="0" xfId="8">
      <alignment horizontal="center"/>
    </xf>
    <xf numFmtId="165" fontId="1" fillId="3" borderId="0" pivotButton="0" quotePrefix="0" xfId="0"/>
    <xf numFmtId="165" fontId="0" fillId="0" borderId="0" pivotButton="0" quotePrefix="0" xfId="0"/>
    <xf numFmtId="168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19465.195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0.005002243355253937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0.04872754767662159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13719.274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0.003926937765675945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0.07008057072319898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0.01580051856851794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3604.304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0.02803468554318379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0.06921706627904395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0.1169431561670933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2289.48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-0.006372810268713596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0.0568863242931333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-0.02524859842953586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3601.184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0.01478992723812308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0.1297782535229649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0.06048514919674797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3380.162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0.001896101240009288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0.00592934190970996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0.007606003439889486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0.01398601398601391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0.04567307692307696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0.05712868886782352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0.01100821546975534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0.03610057592358485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0.04476529734855417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03" min="1" max="1"/>
    <col width="12.83203125" customWidth="1" style="103" min="2" max="10"/>
    <col width="6.6640625" customWidth="1" style="103" min="11" max="12"/>
    <col width="24.1640625" customWidth="1" style="103" min="13" max="15"/>
    <col width="9.1640625" customWidth="1" style="103" min="16" max="17"/>
    <col width="9.1640625" customWidth="1" style="103" min="18" max="16384"/>
  </cols>
  <sheetData>
    <row r="1">
      <c r="B1" s="102" t="n"/>
    </row>
    <row r="2" ht="16" customHeight="1" s="74" thickBot="1">
      <c r="B2" s="104" t="n"/>
      <c r="C2" s="104" t="n"/>
      <c r="D2" s="104" t="n"/>
      <c r="E2" s="104" t="n"/>
      <c r="F2" s="104" t="n"/>
      <c r="G2" s="104" t="n"/>
      <c r="H2" s="104" t="n"/>
      <c r="I2" s="104" t="n"/>
      <c r="J2" s="104" t="n"/>
    </row>
    <row r="3" ht="16" customHeight="1" s="74" thickBot="1">
      <c r="B3" s="105" t="inlineStr">
        <is>
          <t>U.S. GDP</t>
        </is>
      </c>
      <c r="C3" s="106" t="n"/>
      <c r="D3" s="106" t="n"/>
      <c r="E3" s="106" t="n"/>
      <c r="F3" s="106" t="n"/>
      <c r="G3" s="106" t="n"/>
      <c r="H3" s="106" t="n"/>
      <c r="I3" s="106" t="n"/>
      <c r="J3" s="107" t="n"/>
    </row>
    <row r="5">
      <c r="B5" s="99" t="inlineStr">
        <is>
          <t>Definition</t>
        </is>
      </c>
      <c r="C5" s="100" t="n"/>
      <c r="D5" s="100" t="n"/>
      <c r="E5" s="100" t="n"/>
      <c r="F5" s="100" t="n"/>
      <c r="G5" s="100" t="n"/>
      <c r="H5" s="100" t="n"/>
      <c r="I5" s="100" t="n"/>
      <c r="J5" s="101" t="n"/>
    </row>
    <row r="7" ht="182" customHeight="1" s="74">
      <c r="B7" s="10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109" t="n"/>
      <c r="D8" s="109" t="n"/>
      <c r="E8" s="109" t="n"/>
      <c r="F8" s="109" t="n"/>
      <c r="G8" s="109" t="n"/>
      <c r="H8" s="109" t="n"/>
      <c r="I8" s="109" t="n"/>
      <c r="J8" s="109" t="n"/>
    </row>
    <row r="9">
      <c r="B9" s="15" t="n"/>
      <c r="C9" s="16" t="n"/>
      <c r="D9" s="16" t="n"/>
      <c r="E9" s="16" t="n"/>
    </row>
    <row r="10">
      <c r="B10" s="99" t="inlineStr">
        <is>
          <t>Process / TO DO LIST</t>
        </is>
      </c>
      <c r="C10" s="100" t="n"/>
      <c r="D10" s="100" t="n"/>
      <c r="E10" s="100" t="n"/>
      <c r="F10" s="100" t="n"/>
      <c r="G10" s="100" t="n"/>
      <c r="H10" s="100" t="n"/>
      <c r="I10" s="100" t="n"/>
      <c r="J10" s="101" t="n"/>
      <c r="M10" s="99" t="inlineStr">
        <is>
          <t>Summary</t>
        </is>
      </c>
      <c r="N10" s="100" t="n"/>
      <c r="O10" s="101" t="n"/>
    </row>
    <row r="12">
      <c r="B12" s="99" t="inlineStr">
        <is>
          <t>TO DO LIST</t>
        </is>
      </c>
      <c r="C12" s="100" t="n"/>
      <c r="D12" s="100" t="n"/>
      <c r="E12" s="100" t="n"/>
      <c r="F12" s="101" t="n"/>
      <c r="G12" s="99" t="inlineStr">
        <is>
          <t>Comments</t>
        </is>
      </c>
      <c r="H12" s="100" t="n"/>
      <c r="I12" s="100" t="n"/>
      <c r="J12" s="101" t="n"/>
    </row>
    <row r="13" ht="16" customHeight="1" s="74" thickBot="1"/>
    <row r="14" ht="16" customHeight="1" s="74" thickBot="1">
      <c r="B14" s="110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3" t="inlineStr">
        <is>
          <t>Create List on fred</t>
        </is>
      </c>
      <c r="G15" s="103" t="inlineStr">
        <is>
          <t>Create account on Fred</t>
        </is>
      </c>
      <c r="M15" s="50" t="n">
        <v>44287</v>
      </c>
      <c r="N15" s="122">
        <f>VLOOKUP(M15,'U.S. GDP'!A:E,4,)</f>
        <v/>
      </c>
      <c r="O15" s="123">
        <f>VLOOKUP(M15,'U.S. GDP'!A:F,5,)</f>
        <v/>
      </c>
    </row>
    <row r="16" ht="16" customHeight="1" s="74" thickBot="1">
      <c r="B16" s="44" t="inlineStr">
        <is>
          <t>DPCCRV1Q225SBEA</t>
        </is>
      </c>
      <c r="G16" s="103" t="inlineStr">
        <is>
          <t>Create Different Lists with required data</t>
        </is>
      </c>
      <c r="M16" s="51" t="n">
        <v>44197</v>
      </c>
      <c r="N16" s="122">
        <f>VLOOKUP(M16,'U.S. GDP'!A:E,4,)</f>
        <v/>
      </c>
      <c r="O16" s="123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44105</v>
      </c>
      <c r="N17" s="122">
        <f>VLOOKUP(M17,'U.S. GDP'!A:E,4,)</f>
        <v/>
      </c>
      <c r="O17" s="123">
        <f>VLOOKUP(M17,'U.S. GDP'!A:F,5,)</f>
        <v/>
      </c>
    </row>
    <row r="18" ht="16" customHeight="1" s="74" thickBot="1">
      <c r="B18" s="44" t="inlineStr">
        <is>
          <t>GCEC1</t>
        </is>
      </c>
      <c r="G18" s="103" t="inlineStr">
        <is>
          <t>Add row for new quarter</t>
        </is>
      </c>
      <c r="M18" s="51" t="n">
        <v>44013</v>
      </c>
      <c r="N18" s="122">
        <f>VLOOKUP(M18,'U.S. GDP'!A:E,4,)</f>
        <v/>
      </c>
      <c r="O18" s="123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43922</v>
      </c>
      <c r="N19" s="122">
        <f>VLOOKUP(M19,'U.S. GDP'!A:E,4,)</f>
        <v/>
      </c>
      <c r="O19" s="123">
        <f>VLOOKUP(M19,'U.S. GDP'!A:F,5,)</f>
        <v/>
      </c>
    </row>
    <row r="20" ht="16" customHeight="1" s="74" thickBot="1">
      <c r="B20" s="44" t="inlineStr">
        <is>
          <t>GDPCTPI</t>
        </is>
      </c>
      <c r="G20" s="103" t="n"/>
      <c r="M20" s="51" t="n">
        <v>43831</v>
      </c>
      <c r="N20" s="122">
        <f>VLOOKUP(M20,'U.S. GDP'!A:E,4,)</f>
        <v/>
      </c>
      <c r="O20" s="123">
        <f>VLOOKUP(M20,'U.S. GDP'!A:F,5,)</f>
        <v/>
      </c>
    </row>
    <row r="21" ht="16" customHeight="1" s="74" thickBot="1">
      <c r="B21" s="44" t="inlineStr">
        <is>
          <t>GPDIC1</t>
        </is>
      </c>
      <c r="G21" s="103" t="n"/>
      <c r="M21" s="51" t="n">
        <v>43739</v>
      </c>
      <c r="N21" s="122">
        <f>VLOOKUP(M21,'U.S. GDP'!A:E,4,)</f>
        <v/>
      </c>
      <c r="O21" s="123">
        <f>VLOOKUP(M21,'U.S. GDP'!A:F,5,)</f>
        <v/>
      </c>
    </row>
    <row r="22" ht="16" customHeight="1" s="74" thickBot="1">
      <c r="B22" s="44" t="inlineStr">
        <is>
          <t>IMPGSC1</t>
        </is>
      </c>
      <c r="G22" s="103" t="n"/>
      <c r="M22" s="51" t="n">
        <v>43647</v>
      </c>
      <c r="N22" s="122">
        <f>VLOOKUP(M22,'U.S. GDP'!A:E,4,)</f>
        <v/>
      </c>
      <c r="O22" s="123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43556</v>
      </c>
      <c r="N23" s="122">
        <f>VLOOKUP(M23,'U.S. GDP'!A:E,4,)</f>
        <v/>
      </c>
      <c r="O23" s="123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43466</v>
      </c>
      <c r="N24" s="122">
        <f>VLOOKUP(M24,'U.S. GDP'!A:E,4,)</f>
        <v/>
      </c>
      <c r="O24" s="123">
        <f>VLOOKUP(M24,'U.S. GDP'!A:F,5,)</f>
        <v/>
      </c>
    </row>
    <row r="25" ht="16" customHeight="1" s="74" thickBot="1">
      <c r="M25" s="51" t="n">
        <v>43374</v>
      </c>
      <c r="N25" s="122">
        <f>VLOOKUP(M25,'U.S. GDP'!A:E,4,)</f>
        <v/>
      </c>
      <c r="O25" s="123">
        <f>VLOOKUP(M25,'U.S. GDP'!A:F,5,)</f>
        <v/>
      </c>
    </row>
    <row r="26" ht="16" customHeight="1" s="74" thickBot="1">
      <c r="M26" s="51" t="n">
        <v>43282</v>
      </c>
      <c r="N26" s="122">
        <f>VLOOKUP(M26,'U.S. GDP'!A:E,4,)</f>
        <v/>
      </c>
      <c r="O26" s="123">
        <f>VLOOKUP(M26,'U.S. GDP'!A:F,5,)</f>
        <v/>
      </c>
    </row>
    <row r="27" ht="16" customHeight="1" s="74" thickBot="1">
      <c r="M27" s="52" t="n">
        <v>43191</v>
      </c>
      <c r="N27" s="122">
        <f>VLOOKUP(M27,'U.S. GDP'!A:E,4,)</f>
        <v/>
      </c>
      <c r="O27" s="123">
        <f>VLOOKUP(M27,'U.S. GDP'!A:F,5,)</f>
        <v/>
      </c>
    </row>
    <row r="28">
      <c r="B28" s="17" t="n"/>
    </row>
    <row r="29">
      <c r="B29" s="109" t="n"/>
    </row>
    <row r="30">
      <c r="B30" s="18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0"/>
  <sheetViews>
    <sheetView tabSelected="1" zoomScale="120" zoomScaleNormal="120" workbookViewId="0">
      <pane ySplit="1" topLeftCell="A2" activePane="bottomLeft" state="frozen"/>
      <selection pane="bottomLeft" activeCell="A287" sqref="A287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30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30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30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30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30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30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30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30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30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30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30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30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30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30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30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30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30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30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30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30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30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30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30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30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30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30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30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30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30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30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30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30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30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30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30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30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30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30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30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30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30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30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30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30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30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30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30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30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30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30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30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30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30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30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30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30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30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30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30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30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30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30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30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30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30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30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30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30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30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30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30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30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30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30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30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30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30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30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30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30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30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30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30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30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30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30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30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30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30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30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30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30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30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30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30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30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30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30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30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30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30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30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30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30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30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30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30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30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30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30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30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30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30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30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30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30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30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30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30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30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30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30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30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30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30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30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30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30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30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30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30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30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30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30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30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30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30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30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30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30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30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30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30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30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30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30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30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30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30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30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30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30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30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30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30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30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30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30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30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30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30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30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30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30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30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30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30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30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30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30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30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30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30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30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30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30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30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30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30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30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30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30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30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30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30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30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30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30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30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30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30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30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30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30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30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30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30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30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30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30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30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30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30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30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30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30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30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30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30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30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30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30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30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30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30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30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30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30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30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30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30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30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30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30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30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30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30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30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30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30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30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30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30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30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30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30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30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30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30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30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30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30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30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30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30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30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30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30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30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30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30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30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30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30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30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30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30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30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30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30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30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30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30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30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30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30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30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30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30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30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30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30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30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30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30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30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30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30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30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30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30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30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30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30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30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30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30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30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30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30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30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30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30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30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30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30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30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30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30" t="n">
        <v>44378</v>
      </c>
      <c r="B300" t="n">
        <v>4.5</v>
      </c>
      <c r="C300" t="n">
        <v>2289.48</v>
      </c>
      <c r="D300" t="n">
        <v>3380.162</v>
      </c>
      <c r="E300" t="n">
        <v>19465.195</v>
      </c>
      <c r="F300" t="n">
        <v>119.19</v>
      </c>
      <c r="G300" t="n">
        <v>3604.304</v>
      </c>
      <c r="H300" t="n">
        <v>3601.184</v>
      </c>
      <c r="I300" t="n">
        <v>118.016</v>
      </c>
      <c r="J300" t="n">
        <v>13719.274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89" activePane="bottomLeft" state="frozen"/>
      <selection pane="bottomLeft" activeCell="J17" sqref="J1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7"/>
    <col width="10.83203125" customWidth="1" style="74" min="8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3" t="n"/>
      <c r="M1" s="103" t="n"/>
      <c r="N1" s="103" t="n"/>
      <c r="O1" s="103" t="n"/>
      <c r="P1" s="103" t="n"/>
    </row>
    <row r="2">
      <c r="A2" s="125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82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3" t="n"/>
      <c r="M2" s="103" t="n"/>
      <c r="N2" s="103" t="n"/>
      <c r="O2" s="103" t="n"/>
      <c r="P2" s="103" t="n"/>
    </row>
    <row r="3">
      <c r="A3" s="83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3" t="n"/>
      <c r="M3" s="103" t="n"/>
      <c r="N3" s="103" t="n"/>
      <c r="O3" s="103" t="n"/>
      <c r="P3" s="103" t="n"/>
    </row>
    <row r="4">
      <c r="A4" s="83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3" t="n"/>
      <c r="M4" s="103" t="n"/>
      <c r="N4" s="103" t="n"/>
      <c r="O4" s="103" t="n"/>
      <c r="P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03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3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3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3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3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3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3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3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3" min="42" max="154"/>
  </cols>
  <sheetData>
    <row r="1" ht="16" customFormat="1" customHeight="1" s="103" thickBot="1">
      <c r="F1" s="45" t="n"/>
      <c r="K1" s="45" t="n"/>
    </row>
    <row r="2" ht="16" customFormat="1" customHeight="1" s="103" thickBot="1">
      <c r="C2" s="112" t="inlineStr">
        <is>
          <t>US GDP</t>
        </is>
      </c>
      <c r="D2" s="106" t="n"/>
      <c r="E2" s="106" t="n"/>
      <c r="F2" s="107" t="n"/>
      <c r="H2" s="112" t="inlineStr">
        <is>
          <t>Personal Consumption</t>
        </is>
      </c>
      <c r="I2" s="106" t="n"/>
      <c r="J2" s="106" t="n"/>
      <c r="K2" s="107" t="n"/>
      <c r="M2" s="111" t="inlineStr">
        <is>
          <t>Private Investment</t>
        </is>
      </c>
      <c r="N2" s="106" t="n"/>
      <c r="O2" s="106" t="n"/>
      <c r="P2" s="107" t="n"/>
      <c r="R2" s="111" t="inlineStr">
        <is>
          <t>Exports</t>
        </is>
      </c>
      <c r="S2" s="106" t="n"/>
      <c r="T2" s="106" t="n"/>
      <c r="U2" s="107" t="n"/>
      <c r="W2" s="111" t="inlineStr">
        <is>
          <t>Imports</t>
        </is>
      </c>
      <c r="X2" s="106" t="n"/>
      <c r="Y2" s="106" t="n"/>
      <c r="Z2" s="107" t="n"/>
      <c r="AB2" s="111" t="inlineStr">
        <is>
          <t>Government</t>
        </is>
      </c>
      <c r="AC2" s="106" t="n"/>
      <c r="AD2" s="106" t="n"/>
      <c r="AE2" s="107" t="n"/>
      <c r="AG2" s="111" t="inlineStr">
        <is>
          <t>GDP Price index</t>
        </is>
      </c>
      <c r="AH2" s="106" t="n"/>
      <c r="AI2" s="106" t="n"/>
      <c r="AJ2" s="107" t="n"/>
      <c r="AL2" s="112" t="inlineStr">
        <is>
          <t>Core PCE QoQ</t>
        </is>
      </c>
      <c r="AM2" s="106" t="n"/>
      <c r="AN2" s="106" t="n"/>
      <c r="AO2" s="107" t="n"/>
    </row>
    <row r="3" ht="13" customFormat="1" customHeight="1" s="4">
      <c r="A3" s="7" t="n"/>
      <c r="B3" s="7" t="n"/>
      <c r="C3" s="87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8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8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8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8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8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8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8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9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9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9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9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9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9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9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9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9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9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9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9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9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9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9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9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9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9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9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9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9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9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9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9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9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9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9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9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9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9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9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9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9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9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9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9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9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9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9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9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9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9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9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9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9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9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9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9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9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9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9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9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9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9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9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9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9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9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9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9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9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9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9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9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9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9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9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9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9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9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9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9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9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9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9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9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9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9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9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9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9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9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9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9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9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9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9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9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9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9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9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9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9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9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9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9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9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9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9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9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9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9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9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9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9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9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9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9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9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9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9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9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9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9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9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9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9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9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9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9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9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9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9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9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9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9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9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9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9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9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9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9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9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9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9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9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9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9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9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9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9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9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9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9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9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9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9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9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9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9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9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9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9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9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9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9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9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9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9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9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9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9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9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9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9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9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9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9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9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9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9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9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9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9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9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9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9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9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9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9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9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9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9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9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9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9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9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9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9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9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9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9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9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9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9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9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9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9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9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9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3">
      <c r="C29" s="89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9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9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9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9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9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9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9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3">
      <c r="C30" s="89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9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9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9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9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9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9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9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3">
      <c r="C31" s="89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9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9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9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9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9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9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9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3">
      <c r="C32" s="89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9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9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9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9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9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9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9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3">
      <c r="C33" s="89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9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9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9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9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9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9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9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3">
      <c r="C34" s="89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9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9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9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9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9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9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9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3">
      <c r="C35" s="89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9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9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9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9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9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9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9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3">
      <c r="C36" s="89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9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9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9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9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9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9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9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3">
      <c r="C37" s="89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9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9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9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9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9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9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9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3">
      <c r="C38" s="89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9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9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9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9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9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9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9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3">
      <c r="C39" s="89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9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9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9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9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9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9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9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3">
      <c r="C40" s="89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9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9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9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9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9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9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9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3">
      <c r="C41" s="89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9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9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9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9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9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9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9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3">
      <c r="C42" s="89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9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9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9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9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9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9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9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3"/>
    <row r="44" customFormat="1" s="103"/>
    <row r="45" customFormat="1" s="103"/>
    <row r="46" customFormat="1" s="103"/>
    <row r="47" customFormat="1" s="103"/>
    <row r="48" customFormat="1" s="103"/>
    <row r="49" customFormat="1" s="103"/>
    <row r="50" customFormat="1" s="103"/>
    <row r="51" customFormat="1" s="103"/>
    <row r="52" customFormat="1" s="103"/>
    <row r="53" customFormat="1" s="103"/>
    <row r="54" customFormat="1" s="103"/>
    <row r="55" customFormat="1" s="103"/>
    <row r="56" customFormat="1" s="103"/>
    <row r="57" customFormat="1" s="103"/>
    <row r="58" customFormat="1" s="103"/>
    <row r="59" customFormat="1" s="103"/>
    <row r="60" customFormat="1" s="103"/>
    <row r="61" customFormat="1" s="103"/>
    <row r="62" customFormat="1" s="103"/>
    <row r="63" customFormat="1" s="103"/>
    <row r="64" customFormat="1" s="103"/>
    <row r="65" customFormat="1" s="103"/>
    <row r="66" customFormat="1" s="103"/>
    <row r="67" customFormat="1" s="103"/>
    <row r="68" customFormat="1" s="103"/>
    <row r="69" customFormat="1" s="103"/>
    <row r="70" customFormat="1" s="103"/>
    <row r="71" customFormat="1" s="103"/>
    <row r="72" customFormat="1" s="103"/>
    <row r="73" customFormat="1" s="103"/>
    <row r="74" customFormat="1" s="103"/>
    <row r="75" customFormat="1" s="103"/>
    <row r="76" customFormat="1" s="103"/>
    <row r="77" customFormat="1" s="103"/>
    <row r="78" customFormat="1" s="103"/>
    <row r="79" customFormat="1" s="103"/>
    <row r="80" customFormat="1" s="103"/>
    <row r="81" customFormat="1" s="103"/>
    <row r="82" customFormat="1" s="103"/>
    <row r="83" customFormat="1" s="103"/>
    <row r="84" customFormat="1" s="103"/>
    <row r="85" customFormat="1" s="103"/>
    <row r="86" customFormat="1" s="103"/>
    <row r="87" customFormat="1" s="103"/>
    <row r="88" customFormat="1" s="103"/>
    <row r="89" customFormat="1" s="103"/>
    <row r="90" customFormat="1" s="103"/>
    <row r="91" customFormat="1" s="103"/>
    <row r="92" customFormat="1" s="103"/>
    <row r="93" customFormat="1" s="103"/>
    <row r="94" customFormat="1" s="103"/>
    <row r="95" customFormat="1" s="103"/>
    <row r="96" customFormat="1" s="103"/>
    <row r="97" customFormat="1" s="103"/>
    <row r="98" customFormat="1" s="103"/>
    <row r="99" customFormat="1" s="103"/>
    <row r="100" customFormat="1" s="103"/>
    <row r="101" customFormat="1" s="103"/>
    <row r="102" customFormat="1" s="103"/>
    <row r="103" customFormat="1" s="103"/>
    <row r="104" customFormat="1" s="103"/>
    <row r="105" customFormat="1" s="103"/>
    <row r="106" customFormat="1" s="103"/>
    <row r="107" customFormat="1" s="103"/>
    <row r="108" customFormat="1" s="103"/>
    <row r="109" customFormat="1" s="103"/>
    <row r="110" customFormat="1" s="103"/>
    <row r="111" customFormat="1" s="103"/>
    <row r="112" customFormat="1" s="103"/>
    <row r="113" customFormat="1" s="103"/>
    <row r="114" customFormat="1" s="103"/>
    <row r="115" customFormat="1" s="103"/>
    <row r="116" customFormat="1" s="103"/>
    <row r="117" customFormat="1" s="103"/>
    <row r="118" customFormat="1" s="103"/>
    <row r="119" customFormat="1" s="103"/>
    <row r="120" customFormat="1" s="103"/>
    <row r="121" customFormat="1" s="103"/>
    <row r="122" customFormat="1" s="103"/>
    <row r="123" customFormat="1" s="103"/>
    <row r="124" customFormat="1" s="103"/>
    <row r="125" customFormat="1" s="103"/>
    <row r="126" customFormat="1" s="103"/>
    <row r="127" customFormat="1" s="103"/>
    <row r="128" customFormat="1" s="103"/>
    <row r="129" customFormat="1" s="103"/>
    <row r="130" customFormat="1" s="103"/>
    <row r="131" customFormat="1" s="103"/>
    <row r="132" customFormat="1" s="103"/>
    <row r="133" customFormat="1" s="103"/>
    <row r="134" customFormat="1" s="103"/>
    <row r="135" customFormat="1" s="103"/>
    <row r="136" customFormat="1" s="103"/>
    <row r="137" customFormat="1" s="103"/>
    <row r="138" customFormat="1" s="103"/>
    <row r="139" customFormat="1" s="103"/>
    <row r="140" customFormat="1" s="103"/>
    <row r="141" customFormat="1" s="103"/>
    <row r="142" customFormat="1" s="103"/>
    <row r="143" customFormat="1" s="103"/>
    <row r="144" customFormat="1" s="103"/>
    <row r="145" customFormat="1" s="103"/>
    <row r="146" customFormat="1" s="103"/>
    <row r="147" customFormat="1" s="103"/>
    <row r="148" customFormat="1" s="103"/>
    <row r="149" customFormat="1" s="103"/>
    <row r="150" customFormat="1" s="103"/>
    <row r="151" customFormat="1" s="103"/>
    <row r="152" customFormat="1" s="103"/>
    <row r="153" customFormat="1" s="103"/>
    <row r="154" customFormat="1" s="103"/>
    <row r="155" customFormat="1" s="103"/>
    <row r="156" customFormat="1" s="103"/>
    <row r="157" customFormat="1" s="103"/>
    <row r="158" customFormat="1" s="103"/>
    <row r="159" customFormat="1" s="103"/>
    <row r="160" customFormat="1" s="103"/>
    <row r="161" customFormat="1" s="103"/>
    <row r="162" customFormat="1" s="103"/>
    <row r="163" customFormat="1" s="103"/>
    <row r="164" customFormat="1" s="103"/>
    <row r="165" customFormat="1" s="103"/>
    <row r="166" customFormat="1" s="103"/>
    <row r="167" customFormat="1" s="103"/>
    <row r="168" customFormat="1" s="103"/>
    <row r="169" customFormat="1" s="103"/>
    <row r="170" customFormat="1" s="103"/>
    <row r="171" customFormat="1" s="103"/>
    <row r="172" customFormat="1" s="103"/>
    <row r="173" customFormat="1" s="103"/>
    <row r="174" customFormat="1" s="103"/>
    <row r="175" customFormat="1" s="103"/>
    <row r="176" customFormat="1" s="103"/>
    <row r="177" customFormat="1" s="103"/>
    <row r="178" customFormat="1" s="103"/>
    <row r="179" customFormat="1" s="103"/>
    <row r="180" customFormat="1" s="103"/>
    <row r="181" customFormat="1" s="103"/>
    <row r="182" customFormat="1" s="103"/>
    <row r="183" customFormat="1" s="103"/>
    <row r="184" customFormat="1" s="103"/>
    <row r="185" customFormat="1" s="103"/>
    <row r="186" customFormat="1" s="103"/>
    <row r="187" customFormat="1" s="103"/>
    <row r="188" customFormat="1" s="103"/>
    <row r="189" customFormat="1" s="103"/>
    <row r="190" customFormat="1" s="103"/>
    <row r="191" customFormat="1" s="103"/>
    <row r="192" customFormat="1" s="103"/>
    <row r="193" customFormat="1" s="103"/>
    <row r="194" customFormat="1" s="103"/>
    <row r="195" customFormat="1" s="103"/>
    <row r="196" customFormat="1" s="103"/>
    <row r="197" customFormat="1" s="103"/>
    <row r="198" customFormat="1" s="103"/>
    <row r="199" customFormat="1" s="103"/>
    <row r="200" customFormat="1" s="103"/>
    <row r="201" customFormat="1" s="103"/>
    <row r="202" customFormat="1" s="103"/>
    <row r="203" customFormat="1" s="103"/>
    <row r="204" customFormat="1" s="103"/>
    <row r="205" customFormat="1" s="103"/>
    <row r="206" customFormat="1" s="103"/>
    <row r="207" customFormat="1" s="103"/>
    <row r="208" customFormat="1" s="103"/>
    <row r="209" customFormat="1" s="103"/>
    <row r="210" customFormat="1" s="103"/>
    <row r="211" customFormat="1" s="103"/>
    <row r="212" customFormat="1" s="103"/>
    <row r="213" customFormat="1" s="103"/>
    <row r="214" customFormat="1" s="103"/>
    <row r="215" customFormat="1" s="103"/>
    <row r="216" customFormat="1" s="103"/>
    <row r="217" customFormat="1" s="103"/>
    <row r="218" customFormat="1" s="103"/>
    <row r="219" customFormat="1" s="103"/>
    <row r="220" customFormat="1" s="103"/>
    <row r="221" customFormat="1" s="103"/>
    <row r="222" customFormat="1" s="103"/>
    <row r="223" customFormat="1" s="103"/>
    <row r="224" customFormat="1" s="103"/>
    <row r="225" customFormat="1" s="103"/>
    <row r="226" customFormat="1" s="103"/>
    <row r="227" customFormat="1" s="103"/>
    <row r="228" customFormat="1" s="103"/>
    <row r="229" customFormat="1" s="103"/>
    <row r="230" customFormat="1" s="103"/>
    <row r="231" customFormat="1" s="103"/>
    <row r="232" customFormat="1" s="103"/>
    <row r="233" customFormat="1" s="103"/>
    <row r="234" customFormat="1" s="103"/>
    <row r="235" customFormat="1" s="103"/>
    <row r="236" customFormat="1" s="103"/>
    <row r="237" customFormat="1" s="103"/>
    <row r="238" customFormat="1" s="103"/>
    <row r="239" customFormat="1" s="103"/>
    <row r="240" customFormat="1" s="103"/>
    <row r="241" customFormat="1" s="103"/>
    <row r="242" customFormat="1" s="103"/>
    <row r="243" customFormat="1" s="103"/>
    <row r="244" customFormat="1" s="103"/>
    <row r="245" customFormat="1" s="103"/>
    <row r="246" customFormat="1" s="103"/>
    <row r="247" customFormat="1" s="103"/>
    <row r="248" customFormat="1" s="103"/>
    <row r="249" customFormat="1" s="103"/>
    <row r="250" customFormat="1" s="103"/>
    <row r="251" customFormat="1" s="103"/>
    <row r="252" customFormat="1" s="103"/>
    <row r="253" customFormat="1" s="103"/>
    <row r="254" customFormat="1" s="103"/>
    <row r="255" customFormat="1" s="103"/>
    <row r="256" customFormat="1" s="103"/>
    <row r="257" customFormat="1" s="103"/>
    <row r="258" customFormat="1" s="103"/>
    <row r="259" customFormat="1" s="103"/>
    <row r="260" customFormat="1" s="103"/>
    <row r="261" customFormat="1" s="103"/>
    <row r="262" customFormat="1" s="103"/>
    <row r="263" customFormat="1" s="103"/>
    <row r="264" customFormat="1" s="103"/>
    <row r="265" customFormat="1" s="103"/>
    <row r="266" customFormat="1" s="103"/>
    <row r="267" customFormat="1" s="103"/>
    <row r="268" customFormat="1" s="103"/>
    <row r="269" customFormat="1" s="103"/>
    <row r="270" customFormat="1" s="103"/>
    <row r="271" customFormat="1" s="103"/>
    <row r="272" customFormat="1" s="103"/>
    <row r="273" customFormat="1" s="103"/>
    <row r="274" customFormat="1" s="103"/>
    <row r="275" customFormat="1" s="103"/>
    <row r="276" customFormat="1" s="103"/>
    <row r="277" customFormat="1" s="103"/>
    <row r="278" customFormat="1" s="103"/>
    <row r="279" customFormat="1" s="103"/>
    <row r="280" customFormat="1" s="103"/>
    <row r="281" customFormat="1" s="103"/>
    <row r="282" customFormat="1" s="103"/>
    <row r="283" customFormat="1" s="103"/>
    <row r="284" customFormat="1" s="103"/>
    <row r="285" customFormat="1" s="103"/>
    <row r="286" customFormat="1" s="103"/>
    <row r="287" customFormat="1" s="103"/>
    <row r="288" customFormat="1" s="103"/>
    <row r="289" customFormat="1" s="103"/>
    <row r="290" customFormat="1" s="103"/>
    <row r="291" customFormat="1" s="103"/>
    <row r="292" customFormat="1" s="103"/>
    <row r="293" customFormat="1" s="103"/>
    <row r="294" customFormat="1" s="103"/>
    <row r="295" customFormat="1" s="103"/>
    <row r="296" customFormat="1" s="103"/>
    <row r="297" customFormat="1" s="103"/>
    <row r="298" customFormat="1" s="103"/>
    <row r="299" customFormat="1" s="103"/>
    <row r="300" customFormat="1" s="103"/>
    <row r="301" customFormat="1" s="103"/>
    <row r="302" customFormat="1" s="103"/>
    <row r="303" customFormat="1" s="103"/>
    <row r="304" customFormat="1" s="103"/>
    <row r="305" customFormat="1" s="103"/>
    <row r="306" customFormat="1" s="103"/>
    <row r="307" customFormat="1" s="103"/>
    <row r="308" customFormat="1" s="103"/>
    <row r="309" customFormat="1" s="103"/>
    <row r="310" customFormat="1" s="103"/>
    <row r="311" customFormat="1" s="103"/>
    <row r="312" customFormat="1" s="103"/>
    <row r="313" customFormat="1" s="103"/>
    <row r="314" customFormat="1" s="103"/>
    <row r="315" customFormat="1" s="103"/>
    <row r="316" customFormat="1" s="103"/>
    <row r="317" customFormat="1" s="103"/>
    <row r="318" customFormat="1" s="103"/>
    <row r="319" customFormat="1" s="103"/>
    <row r="320" customFormat="1" s="103"/>
    <row r="321" customFormat="1" s="103"/>
    <row r="322" customFormat="1" s="103"/>
    <row r="323" customFormat="1" s="103"/>
    <row r="324" customFormat="1" s="103"/>
    <row r="325" customFormat="1" s="103"/>
    <row r="326" customFormat="1" s="103"/>
    <row r="327" customFormat="1" s="103"/>
    <row r="328" customFormat="1" s="103"/>
    <row r="329" customFormat="1" s="103"/>
    <row r="330" customFormat="1" s="103"/>
    <row r="331" customFormat="1" s="103"/>
    <row r="332" customFormat="1" s="103"/>
    <row r="333" customFormat="1" s="103"/>
    <row r="334" customFormat="1" s="103"/>
    <row r="335" customFormat="1" s="103"/>
    <row r="336" customFormat="1" s="103"/>
    <row r="337" customFormat="1" s="103"/>
    <row r="338" customFormat="1" s="103"/>
    <row r="339" customFormat="1" s="103"/>
    <row r="340" customFormat="1" s="103"/>
    <row r="341" customFormat="1" s="103"/>
    <row r="342" customFormat="1" s="103"/>
    <row r="343" customFormat="1" s="103"/>
    <row r="344" customFormat="1" s="103"/>
    <row r="345" customFormat="1" s="103"/>
    <row r="346" customFormat="1" s="103"/>
    <row r="347" customFormat="1" s="103"/>
    <row r="348" customFormat="1" s="103"/>
    <row r="349" customFormat="1" s="103"/>
    <row r="350" customFormat="1" s="103"/>
    <row r="351" customFormat="1" s="103"/>
    <row r="352" customFormat="1" s="103"/>
    <row r="353" customFormat="1" s="103"/>
    <row r="354" customFormat="1" s="103"/>
    <row r="355" customFormat="1" s="103"/>
    <row r="356" customFormat="1" s="103"/>
    <row r="357" customFormat="1" s="103"/>
    <row r="358" customFormat="1" s="103"/>
    <row r="359" customFormat="1" s="103"/>
    <row r="360" customFormat="1" s="103"/>
    <row r="361" customFormat="1" s="103"/>
    <row r="362" customFormat="1" s="103"/>
    <row r="363" customFormat="1" s="103"/>
    <row r="364" customFormat="1" s="103"/>
    <row r="365" customFormat="1" s="103"/>
    <row r="366" customFormat="1" s="103"/>
    <row r="367" customFormat="1" s="103"/>
    <row r="368" customFormat="1" s="103"/>
    <row r="369" customFormat="1" s="103"/>
    <row r="370" customFormat="1" s="103"/>
    <row r="371" customFormat="1" s="103"/>
    <row r="372" customFormat="1" s="103"/>
    <row r="373" customFormat="1" s="103"/>
    <row r="374" customFormat="1" s="103"/>
    <row r="375" customFormat="1" s="103"/>
    <row r="376" customFormat="1" s="103"/>
    <row r="377" customFormat="1" s="103"/>
    <row r="378" customFormat="1" s="103"/>
    <row r="379" customFormat="1" s="103"/>
    <row r="380" customFormat="1" s="103"/>
    <row r="381" customFormat="1" s="103"/>
    <row r="382" customFormat="1" s="103"/>
    <row r="383" customFormat="1" s="103"/>
    <row r="384" customFormat="1" s="103"/>
    <row r="385" customFormat="1" s="103"/>
    <row r="386" customFormat="1" s="103"/>
    <row r="387" customFormat="1" s="103"/>
    <row r="388" customFormat="1" s="103"/>
    <row r="389" customFormat="1" s="103"/>
    <row r="390" customFormat="1" s="103"/>
    <row r="391" customFormat="1" s="103"/>
    <row r="392" customFormat="1" s="103"/>
    <row r="393" customFormat="1" s="103"/>
    <row r="394" customFormat="1" s="103"/>
    <row r="395" customFormat="1" s="103"/>
    <row r="396" customFormat="1" s="103"/>
    <row r="397" customFormat="1" s="103"/>
    <row r="398" customFormat="1" s="103"/>
    <row r="399" customFormat="1" s="103"/>
    <row r="400" customFormat="1" s="103"/>
    <row r="401" customFormat="1" s="103"/>
    <row r="402" customFormat="1" s="103"/>
    <row r="403" customFormat="1" s="103"/>
    <row r="404" customFormat="1" s="103"/>
    <row r="405" customFormat="1" s="103"/>
    <row r="406" customFormat="1" s="103"/>
    <row r="407" customFormat="1" s="103"/>
    <row r="408" customFormat="1" s="103"/>
    <row r="409" customFormat="1" s="103"/>
    <row r="410" customFormat="1" s="103"/>
    <row r="411" customFormat="1" s="103"/>
    <row r="412" customFormat="1" s="103"/>
    <row r="413" customFormat="1" s="103"/>
    <row r="414" customFormat="1" s="103"/>
    <row r="415" customFormat="1" s="103"/>
    <row r="416" customFormat="1" s="103"/>
    <row r="417" customFormat="1" s="103"/>
    <row r="418" customFormat="1" s="103"/>
    <row r="419" customFormat="1" s="103"/>
    <row r="420" customFormat="1" s="103"/>
    <row r="421" customFormat="1" s="103"/>
    <row r="422" customFormat="1" s="103"/>
    <row r="423" customFormat="1" s="103"/>
    <row r="424" customFormat="1" s="103"/>
    <row r="425" customFormat="1" s="103"/>
    <row r="426" customFormat="1" s="103"/>
    <row r="427" customFormat="1" s="103"/>
    <row r="428" customFormat="1" s="103"/>
    <row r="429" customFormat="1" s="103"/>
    <row r="430" customFormat="1" s="103"/>
    <row r="431" customFormat="1" s="103"/>
    <row r="432" customFormat="1" s="103"/>
    <row r="433" customFormat="1" s="103"/>
    <row r="434" customFormat="1" s="103"/>
    <row r="435" customFormat="1" s="103"/>
    <row r="436" customFormat="1" s="103"/>
    <row r="437" customFormat="1" s="103"/>
    <row r="438" customFormat="1" s="103"/>
    <row r="439" customFormat="1" s="103"/>
    <row r="440" customFormat="1" s="103"/>
    <row r="441" customFormat="1" s="103"/>
    <row r="442" customFormat="1" s="103"/>
    <row r="443" customFormat="1" s="103"/>
    <row r="444" customFormat="1" s="103"/>
    <row r="445" customFormat="1" s="103"/>
    <row r="446" customFormat="1" s="103"/>
    <row r="447" customFormat="1" s="103"/>
    <row r="448" customFormat="1" s="103"/>
    <row r="449" customFormat="1" s="10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24" min="1" max="1"/>
    <col width="10.83203125" customWidth="1" style="90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3" min="13" max="14"/>
    <col width="9.1640625" customWidth="1" style="41" min="15" max="15"/>
    <col width="9.1640625" customWidth="1" style="103" min="16" max="253"/>
    <col width="10.83203125" customWidth="1" style="103" min="254" max="254"/>
    <col width="18.1640625" customWidth="1" style="103" min="255" max="255"/>
    <col width="15" customWidth="1" style="103" min="256" max="256"/>
    <col width="13" customWidth="1" style="103" min="257" max="260"/>
    <col width="17.5" customWidth="1" style="103" min="261" max="261"/>
    <col width="9.1640625" customWidth="1" style="103" min="262" max="509"/>
    <col width="10.83203125" customWidth="1" style="103" min="510" max="510"/>
    <col width="18.1640625" customWidth="1" style="103" min="511" max="511"/>
    <col width="15" customWidth="1" style="103" min="512" max="512"/>
    <col width="13" customWidth="1" style="103" min="513" max="516"/>
    <col width="17.5" customWidth="1" style="103" min="517" max="517"/>
    <col width="9.1640625" customWidth="1" style="103" min="518" max="765"/>
    <col width="10.83203125" customWidth="1" style="103" min="766" max="766"/>
    <col width="18.1640625" customWidth="1" style="103" min="767" max="767"/>
    <col width="15" customWidth="1" style="103" min="768" max="768"/>
    <col width="13" customWidth="1" style="103" min="769" max="772"/>
    <col width="17.5" customWidth="1" style="103" min="773" max="773"/>
    <col width="9.1640625" customWidth="1" style="103" min="774" max="1021"/>
    <col width="10.83203125" customWidth="1" style="103" min="1022" max="1022"/>
    <col width="18.1640625" customWidth="1" style="103" min="1023" max="1023"/>
    <col width="15" customWidth="1" style="103" min="1024" max="1024"/>
    <col width="13" customWidth="1" style="103" min="1025" max="1028"/>
    <col width="17.5" customWidth="1" style="103" min="1029" max="1029"/>
    <col width="9.1640625" customWidth="1" style="103" min="1030" max="1277"/>
    <col width="10.83203125" customWidth="1" style="103" min="1278" max="1278"/>
    <col width="18.1640625" customWidth="1" style="103" min="1279" max="1279"/>
    <col width="15" customWidth="1" style="103" min="1280" max="1280"/>
    <col width="13" customWidth="1" style="103" min="1281" max="1284"/>
    <col width="17.5" customWidth="1" style="103" min="1285" max="1285"/>
    <col width="9.1640625" customWidth="1" style="103" min="1286" max="1533"/>
    <col width="10.83203125" customWidth="1" style="103" min="1534" max="1534"/>
    <col width="18.1640625" customWidth="1" style="103" min="1535" max="1535"/>
    <col width="15" customWidth="1" style="103" min="1536" max="1536"/>
    <col width="13" customWidth="1" style="103" min="1537" max="1540"/>
    <col width="17.5" customWidth="1" style="103" min="1541" max="1541"/>
    <col width="9.1640625" customWidth="1" style="103" min="1542" max="1789"/>
    <col width="10.83203125" customWidth="1" style="103" min="1790" max="1790"/>
    <col width="18.1640625" customWidth="1" style="103" min="1791" max="1791"/>
    <col width="15" customWidth="1" style="103" min="1792" max="1792"/>
    <col width="13" customWidth="1" style="103" min="1793" max="1796"/>
    <col width="17.5" customWidth="1" style="103" min="1797" max="1797"/>
    <col width="9.1640625" customWidth="1" style="103" min="1798" max="2045"/>
    <col width="10.83203125" customWidth="1" style="103" min="2046" max="2046"/>
    <col width="18.1640625" customWidth="1" style="103" min="2047" max="2047"/>
    <col width="15" customWidth="1" style="103" min="2048" max="2048"/>
    <col width="13" customWidth="1" style="103" min="2049" max="2052"/>
    <col width="17.5" customWidth="1" style="103" min="2053" max="2053"/>
    <col width="9.1640625" customWidth="1" style="103" min="2054" max="2301"/>
    <col width="10.83203125" customWidth="1" style="103" min="2302" max="2302"/>
    <col width="18.1640625" customWidth="1" style="103" min="2303" max="2303"/>
    <col width="15" customWidth="1" style="103" min="2304" max="2304"/>
    <col width="13" customWidth="1" style="103" min="2305" max="2308"/>
    <col width="17.5" customWidth="1" style="103" min="2309" max="2309"/>
    <col width="9.1640625" customWidth="1" style="103" min="2310" max="2557"/>
    <col width="10.83203125" customWidth="1" style="103" min="2558" max="2558"/>
    <col width="18.1640625" customWidth="1" style="103" min="2559" max="2559"/>
    <col width="15" customWidth="1" style="103" min="2560" max="2560"/>
    <col width="13" customWidth="1" style="103" min="2561" max="2564"/>
    <col width="17.5" customWidth="1" style="103" min="2565" max="2565"/>
    <col width="9.1640625" customWidth="1" style="103" min="2566" max="2813"/>
    <col width="10.83203125" customWidth="1" style="103" min="2814" max="2814"/>
    <col width="18.1640625" customWidth="1" style="103" min="2815" max="2815"/>
    <col width="15" customWidth="1" style="103" min="2816" max="2816"/>
    <col width="13" customWidth="1" style="103" min="2817" max="2820"/>
    <col width="17.5" customWidth="1" style="103" min="2821" max="2821"/>
    <col width="9.1640625" customWidth="1" style="103" min="2822" max="3069"/>
    <col width="10.83203125" customWidth="1" style="103" min="3070" max="3070"/>
    <col width="18.1640625" customWidth="1" style="103" min="3071" max="3071"/>
    <col width="15" customWidth="1" style="103" min="3072" max="3072"/>
    <col width="13" customWidth="1" style="103" min="3073" max="3076"/>
    <col width="17.5" customWidth="1" style="103" min="3077" max="3077"/>
    <col width="9.1640625" customWidth="1" style="103" min="3078" max="3325"/>
    <col width="10.83203125" customWidth="1" style="103" min="3326" max="3326"/>
    <col width="18.1640625" customWidth="1" style="103" min="3327" max="3327"/>
    <col width="15" customWidth="1" style="103" min="3328" max="3328"/>
    <col width="13" customWidth="1" style="103" min="3329" max="3332"/>
    <col width="17.5" customWidth="1" style="103" min="3333" max="3333"/>
    <col width="9.1640625" customWidth="1" style="103" min="3334" max="3581"/>
    <col width="10.83203125" customWidth="1" style="103" min="3582" max="3582"/>
    <col width="18.1640625" customWidth="1" style="103" min="3583" max="3583"/>
    <col width="15" customWidth="1" style="103" min="3584" max="3584"/>
    <col width="13" customWidth="1" style="103" min="3585" max="3588"/>
    <col width="17.5" customWidth="1" style="103" min="3589" max="3589"/>
    <col width="9.1640625" customWidth="1" style="103" min="3590" max="3837"/>
    <col width="10.83203125" customWidth="1" style="103" min="3838" max="3838"/>
    <col width="18.1640625" customWidth="1" style="103" min="3839" max="3839"/>
    <col width="15" customWidth="1" style="103" min="3840" max="3840"/>
    <col width="13" customWidth="1" style="103" min="3841" max="3844"/>
    <col width="17.5" customWidth="1" style="103" min="3845" max="3845"/>
    <col width="9.1640625" customWidth="1" style="103" min="3846" max="4093"/>
    <col width="10.83203125" customWidth="1" style="103" min="4094" max="4094"/>
    <col width="18.1640625" customWidth="1" style="103" min="4095" max="4095"/>
    <col width="15" customWidth="1" style="103" min="4096" max="4096"/>
    <col width="13" customWidth="1" style="103" min="4097" max="4100"/>
    <col width="17.5" customWidth="1" style="103" min="4101" max="4101"/>
    <col width="9.1640625" customWidth="1" style="103" min="4102" max="4349"/>
    <col width="10.83203125" customWidth="1" style="103" min="4350" max="4350"/>
    <col width="18.1640625" customWidth="1" style="103" min="4351" max="4351"/>
    <col width="15" customWidth="1" style="103" min="4352" max="4352"/>
    <col width="13" customWidth="1" style="103" min="4353" max="4356"/>
    <col width="17.5" customWidth="1" style="103" min="4357" max="4357"/>
    <col width="9.1640625" customWidth="1" style="103" min="4358" max="4605"/>
    <col width="10.83203125" customWidth="1" style="103" min="4606" max="4606"/>
    <col width="18.1640625" customWidth="1" style="103" min="4607" max="4607"/>
    <col width="15" customWidth="1" style="103" min="4608" max="4608"/>
    <col width="13" customWidth="1" style="103" min="4609" max="4612"/>
    <col width="17.5" customWidth="1" style="103" min="4613" max="4613"/>
    <col width="9.1640625" customWidth="1" style="103" min="4614" max="4861"/>
    <col width="10.83203125" customWidth="1" style="103" min="4862" max="4862"/>
    <col width="18.1640625" customWidth="1" style="103" min="4863" max="4863"/>
    <col width="15" customWidth="1" style="103" min="4864" max="4864"/>
    <col width="13" customWidth="1" style="103" min="4865" max="4868"/>
    <col width="17.5" customWidth="1" style="103" min="4869" max="4869"/>
    <col width="9.1640625" customWidth="1" style="103" min="4870" max="5117"/>
    <col width="10.83203125" customWidth="1" style="103" min="5118" max="5118"/>
    <col width="18.1640625" customWidth="1" style="103" min="5119" max="5119"/>
    <col width="15" customWidth="1" style="103" min="5120" max="5120"/>
    <col width="13" customWidth="1" style="103" min="5121" max="5124"/>
    <col width="17.5" customWidth="1" style="103" min="5125" max="5125"/>
    <col width="9.1640625" customWidth="1" style="103" min="5126" max="5373"/>
    <col width="10.83203125" customWidth="1" style="103" min="5374" max="5374"/>
    <col width="18.1640625" customWidth="1" style="103" min="5375" max="5375"/>
    <col width="15" customWidth="1" style="103" min="5376" max="5376"/>
    <col width="13" customWidth="1" style="103" min="5377" max="5380"/>
    <col width="17.5" customWidth="1" style="103" min="5381" max="5381"/>
    <col width="9.1640625" customWidth="1" style="103" min="5382" max="5629"/>
    <col width="10.83203125" customWidth="1" style="103" min="5630" max="5630"/>
    <col width="18.1640625" customWidth="1" style="103" min="5631" max="5631"/>
    <col width="15" customWidth="1" style="103" min="5632" max="5632"/>
    <col width="13" customWidth="1" style="103" min="5633" max="5636"/>
    <col width="17.5" customWidth="1" style="103" min="5637" max="5637"/>
    <col width="9.1640625" customWidth="1" style="103" min="5638" max="5885"/>
    <col width="10.83203125" customWidth="1" style="103" min="5886" max="5886"/>
    <col width="18.1640625" customWidth="1" style="103" min="5887" max="5887"/>
    <col width="15" customWidth="1" style="103" min="5888" max="5888"/>
    <col width="13" customWidth="1" style="103" min="5889" max="5892"/>
    <col width="17.5" customWidth="1" style="103" min="5893" max="5893"/>
    <col width="9.1640625" customWidth="1" style="103" min="5894" max="6141"/>
    <col width="10.83203125" customWidth="1" style="103" min="6142" max="6142"/>
    <col width="18.1640625" customWidth="1" style="103" min="6143" max="6143"/>
    <col width="15" customWidth="1" style="103" min="6144" max="6144"/>
    <col width="13" customWidth="1" style="103" min="6145" max="6148"/>
    <col width="17.5" customWidth="1" style="103" min="6149" max="6149"/>
    <col width="9.1640625" customWidth="1" style="103" min="6150" max="6397"/>
    <col width="10.83203125" customWidth="1" style="103" min="6398" max="6398"/>
    <col width="18.1640625" customWidth="1" style="103" min="6399" max="6399"/>
    <col width="15" customWidth="1" style="103" min="6400" max="6400"/>
    <col width="13" customWidth="1" style="103" min="6401" max="6404"/>
    <col width="17.5" customWidth="1" style="103" min="6405" max="6405"/>
    <col width="9.1640625" customWidth="1" style="103" min="6406" max="6653"/>
    <col width="10.83203125" customWidth="1" style="103" min="6654" max="6654"/>
    <col width="18.1640625" customWidth="1" style="103" min="6655" max="6655"/>
    <col width="15" customWidth="1" style="103" min="6656" max="6656"/>
    <col width="13" customWidth="1" style="103" min="6657" max="6660"/>
    <col width="17.5" customWidth="1" style="103" min="6661" max="6661"/>
    <col width="9.1640625" customWidth="1" style="103" min="6662" max="6909"/>
    <col width="10.83203125" customWidth="1" style="103" min="6910" max="6910"/>
    <col width="18.1640625" customWidth="1" style="103" min="6911" max="6911"/>
    <col width="15" customWidth="1" style="103" min="6912" max="6912"/>
    <col width="13" customWidth="1" style="103" min="6913" max="6916"/>
    <col width="17.5" customWidth="1" style="103" min="6917" max="6917"/>
    <col width="9.1640625" customWidth="1" style="103" min="6918" max="7165"/>
    <col width="10.83203125" customWidth="1" style="103" min="7166" max="7166"/>
    <col width="18.1640625" customWidth="1" style="103" min="7167" max="7167"/>
    <col width="15" customWidth="1" style="103" min="7168" max="7168"/>
    <col width="13" customWidth="1" style="103" min="7169" max="7172"/>
    <col width="17.5" customWidth="1" style="103" min="7173" max="7173"/>
    <col width="9.1640625" customWidth="1" style="103" min="7174" max="7421"/>
    <col width="10.83203125" customWidth="1" style="103" min="7422" max="7422"/>
    <col width="18.1640625" customWidth="1" style="103" min="7423" max="7423"/>
    <col width="15" customWidth="1" style="103" min="7424" max="7424"/>
    <col width="13" customWidth="1" style="103" min="7425" max="7428"/>
    <col width="17.5" customWidth="1" style="103" min="7429" max="7429"/>
    <col width="9.1640625" customWidth="1" style="103" min="7430" max="7677"/>
    <col width="10.83203125" customWidth="1" style="103" min="7678" max="7678"/>
    <col width="18.1640625" customWidth="1" style="103" min="7679" max="7679"/>
    <col width="15" customWidth="1" style="103" min="7680" max="7680"/>
    <col width="13" customWidth="1" style="103" min="7681" max="7684"/>
    <col width="17.5" customWidth="1" style="103" min="7685" max="7685"/>
    <col width="9.1640625" customWidth="1" style="103" min="7686" max="7933"/>
    <col width="10.83203125" customWidth="1" style="103" min="7934" max="7934"/>
    <col width="18.1640625" customWidth="1" style="103" min="7935" max="7935"/>
    <col width="15" customWidth="1" style="103" min="7936" max="7936"/>
    <col width="13" customWidth="1" style="103" min="7937" max="7940"/>
    <col width="17.5" customWidth="1" style="103" min="7941" max="7941"/>
    <col width="9.1640625" customWidth="1" style="103" min="7942" max="8189"/>
    <col width="10.83203125" customWidth="1" style="103" min="8190" max="8190"/>
    <col width="18.1640625" customWidth="1" style="103" min="8191" max="8191"/>
    <col width="15" customWidth="1" style="103" min="8192" max="8192"/>
    <col width="13" customWidth="1" style="103" min="8193" max="8196"/>
    <col width="17.5" customWidth="1" style="103" min="8197" max="8197"/>
    <col width="9.1640625" customWidth="1" style="103" min="8198" max="8445"/>
    <col width="10.83203125" customWidth="1" style="103" min="8446" max="8446"/>
    <col width="18.1640625" customWidth="1" style="103" min="8447" max="8447"/>
    <col width="15" customWidth="1" style="103" min="8448" max="8448"/>
    <col width="13" customWidth="1" style="103" min="8449" max="8452"/>
    <col width="17.5" customWidth="1" style="103" min="8453" max="8453"/>
    <col width="9.1640625" customWidth="1" style="103" min="8454" max="8701"/>
    <col width="10.83203125" customWidth="1" style="103" min="8702" max="8702"/>
    <col width="18.1640625" customWidth="1" style="103" min="8703" max="8703"/>
    <col width="15" customWidth="1" style="103" min="8704" max="8704"/>
    <col width="13" customWidth="1" style="103" min="8705" max="8708"/>
    <col width="17.5" customWidth="1" style="103" min="8709" max="8709"/>
    <col width="9.1640625" customWidth="1" style="103" min="8710" max="8957"/>
    <col width="10.83203125" customWidth="1" style="103" min="8958" max="8958"/>
    <col width="18.1640625" customWidth="1" style="103" min="8959" max="8959"/>
    <col width="15" customWidth="1" style="103" min="8960" max="8960"/>
    <col width="13" customWidth="1" style="103" min="8961" max="8964"/>
    <col width="17.5" customWidth="1" style="103" min="8965" max="8965"/>
    <col width="9.1640625" customWidth="1" style="103" min="8966" max="9213"/>
    <col width="10.83203125" customWidth="1" style="103" min="9214" max="9214"/>
    <col width="18.1640625" customWidth="1" style="103" min="9215" max="9215"/>
    <col width="15" customWidth="1" style="103" min="9216" max="9216"/>
    <col width="13" customWidth="1" style="103" min="9217" max="9220"/>
    <col width="17.5" customWidth="1" style="103" min="9221" max="9221"/>
    <col width="9.1640625" customWidth="1" style="103" min="9222" max="9469"/>
    <col width="10.83203125" customWidth="1" style="103" min="9470" max="9470"/>
    <col width="18.1640625" customWidth="1" style="103" min="9471" max="9471"/>
    <col width="15" customWidth="1" style="103" min="9472" max="9472"/>
    <col width="13" customWidth="1" style="103" min="9473" max="9476"/>
    <col width="17.5" customWidth="1" style="103" min="9477" max="9477"/>
    <col width="9.1640625" customWidth="1" style="103" min="9478" max="9725"/>
    <col width="10.83203125" customWidth="1" style="103" min="9726" max="9726"/>
    <col width="18.1640625" customWidth="1" style="103" min="9727" max="9727"/>
    <col width="15" customWidth="1" style="103" min="9728" max="9728"/>
    <col width="13" customWidth="1" style="103" min="9729" max="9732"/>
    <col width="17.5" customWidth="1" style="103" min="9733" max="9733"/>
    <col width="9.1640625" customWidth="1" style="103" min="9734" max="9981"/>
    <col width="10.83203125" customWidth="1" style="103" min="9982" max="9982"/>
    <col width="18.1640625" customWidth="1" style="103" min="9983" max="9983"/>
    <col width="15" customWidth="1" style="103" min="9984" max="9984"/>
    <col width="13" customWidth="1" style="103" min="9985" max="9988"/>
    <col width="17.5" customWidth="1" style="103" min="9989" max="9989"/>
    <col width="9.1640625" customWidth="1" style="103" min="9990" max="10237"/>
    <col width="10.83203125" customWidth="1" style="103" min="10238" max="10238"/>
    <col width="18.1640625" customWidth="1" style="103" min="10239" max="10239"/>
    <col width="15" customWidth="1" style="103" min="10240" max="10240"/>
    <col width="13" customWidth="1" style="103" min="10241" max="10244"/>
    <col width="17.5" customWidth="1" style="103" min="10245" max="10245"/>
    <col width="9.1640625" customWidth="1" style="103" min="10246" max="10493"/>
    <col width="10.83203125" customWidth="1" style="103" min="10494" max="10494"/>
    <col width="18.1640625" customWidth="1" style="103" min="10495" max="10495"/>
    <col width="15" customWidth="1" style="103" min="10496" max="10496"/>
    <col width="13" customWidth="1" style="103" min="10497" max="10500"/>
    <col width="17.5" customWidth="1" style="103" min="10501" max="10501"/>
    <col width="9.1640625" customWidth="1" style="103" min="10502" max="10749"/>
    <col width="10.83203125" customWidth="1" style="103" min="10750" max="10750"/>
    <col width="18.1640625" customWidth="1" style="103" min="10751" max="10751"/>
    <col width="15" customWidth="1" style="103" min="10752" max="10752"/>
    <col width="13" customWidth="1" style="103" min="10753" max="10756"/>
    <col width="17.5" customWidth="1" style="103" min="10757" max="10757"/>
    <col width="9.1640625" customWidth="1" style="103" min="10758" max="11005"/>
    <col width="10.83203125" customWidth="1" style="103" min="11006" max="11006"/>
    <col width="18.1640625" customWidth="1" style="103" min="11007" max="11007"/>
    <col width="15" customWidth="1" style="103" min="11008" max="11008"/>
    <col width="13" customWidth="1" style="103" min="11009" max="11012"/>
    <col width="17.5" customWidth="1" style="103" min="11013" max="11013"/>
    <col width="9.1640625" customWidth="1" style="103" min="11014" max="11261"/>
    <col width="10.83203125" customWidth="1" style="103" min="11262" max="11262"/>
    <col width="18.1640625" customWidth="1" style="103" min="11263" max="11263"/>
    <col width="15" customWidth="1" style="103" min="11264" max="11264"/>
    <col width="13" customWidth="1" style="103" min="11265" max="11268"/>
    <col width="17.5" customWidth="1" style="103" min="11269" max="11269"/>
    <col width="9.1640625" customWidth="1" style="103" min="11270" max="11517"/>
    <col width="10.83203125" customWidth="1" style="103" min="11518" max="11518"/>
    <col width="18.1640625" customWidth="1" style="103" min="11519" max="11519"/>
    <col width="15" customWidth="1" style="103" min="11520" max="11520"/>
    <col width="13" customWidth="1" style="103" min="11521" max="11524"/>
    <col width="17.5" customWidth="1" style="103" min="11525" max="11525"/>
    <col width="9.1640625" customWidth="1" style="103" min="11526" max="11773"/>
    <col width="10.83203125" customWidth="1" style="103" min="11774" max="11774"/>
    <col width="18.1640625" customWidth="1" style="103" min="11775" max="11775"/>
    <col width="15" customWidth="1" style="103" min="11776" max="11776"/>
    <col width="13" customWidth="1" style="103" min="11777" max="11780"/>
    <col width="17.5" customWidth="1" style="103" min="11781" max="11781"/>
    <col width="9.1640625" customWidth="1" style="103" min="11782" max="12029"/>
    <col width="10.83203125" customWidth="1" style="103" min="12030" max="12030"/>
    <col width="18.1640625" customWidth="1" style="103" min="12031" max="12031"/>
    <col width="15" customWidth="1" style="103" min="12032" max="12032"/>
    <col width="13" customWidth="1" style="103" min="12033" max="12036"/>
    <col width="17.5" customWidth="1" style="103" min="12037" max="12037"/>
    <col width="9.1640625" customWidth="1" style="103" min="12038" max="12285"/>
    <col width="10.83203125" customWidth="1" style="103" min="12286" max="12286"/>
    <col width="18.1640625" customWidth="1" style="103" min="12287" max="12287"/>
    <col width="15" customWidth="1" style="103" min="12288" max="12288"/>
    <col width="13" customWidth="1" style="103" min="12289" max="12292"/>
    <col width="17.5" customWidth="1" style="103" min="12293" max="12293"/>
    <col width="9.1640625" customWidth="1" style="103" min="12294" max="12541"/>
    <col width="10.83203125" customWidth="1" style="103" min="12542" max="12542"/>
    <col width="18.1640625" customWidth="1" style="103" min="12543" max="12543"/>
    <col width="15" customWidth="1" style="103" min="12544" max="12544"/>
    <col width="13" customWidth="1" style="103" min="12545" max="12548"/>
    <col width="17.5" customWidth="1" style="103" min="12549" max="12549"/>
    <col width="9.1640625" customWidth="1" style="103" min="12550" max="12797"/>
    <col width="10.83203125" customWidth="1" style="103" min="12798" max="12798"/>
    <col width="18.1640625" customWidth="1" style="103" min="12799" max="12799"/>
    <col width="15" customWidth="1" style="103" min="12800" max="12800"/>
    <col width="13" customWidth="1" style="103" min="12801" max="12804"/>
    <col width="17.5" customWidth="1" style="103" min="12805" max="12805"/>
    <col width="9.1640625" customWidth="1" style="103" min="12806" max="13053"/>
    <col width="10.83203125" customWidth="1" style="103" min="13054" max="13054"/>
    <col width="18.1640625" customWidth="1" style="103" min="13055" max="13055"/>
    <col width="15" customWidth="1" style="103" min="13056" max="13056"/>
    <col width="13" customWidth="1" style="103" min="13057" max="13060"/>
    <col width="17.5" customWidth="1" style="103" min="13061" max="13061"/>
    <col width="9.1640625" customWidth="1" style="103" min="13062" max="13309"/>
    <col width="10.83203125" customWidth="1" style="103" min="13310" max="13310"/>
    <col width="18.1640625" customWidth="1" style="103" min="13311" max="13311"/>
    <col width="15" customWidth="1" style="103" min="13312" max="13312"/>
    <col width="13" customWidth="1" style="103" min="13313" max="13316"/>
    <col width="17.5" customWidth="1" style="103" min="13317" max="13317"/>
    <col width="9.1640625" customWidth="1" style="103" min="13318" max="13565"/>
    <col width="10.83203125" customWidth="1" style="103" min="13566" max="13566"/>
    <col width="18.1640625" customWidth="1" style="103" min="13567" max="13567"/>
    <col width="15" customWidth="1" style="103" min="13568" max="13568"/>
    <col width="13" customWidth="1" style="103" min="13569" max="13572"/>
    <col width="17.5" customWidth="1" style="103" min="13573" max="13573"/>
    <col width="9.1640625" customWidth="1" style="103" min="13574" max="13821"/>
    <col width="10.83203125" customWidth="1" style="103" min="13822" max="13822"/>
    <col width="18.1640625" customWidth="1" style="103" min="13823" max="13823"/>
    <col width="15" customWidth="1" style="103" min="13824" max="13824"/>
    <col width="13" customWidth="1" style="103" min="13825" max="13828"/>
    <col width="17.5" customWidth="1" style="103" min="13829" max="13829"/>
    <col width="9.1640625" customWidth="1" style="103" min="13830" max="14077"/>
    <col width="10.83203125" customWidth="1" style="103" min="14078" max="14078"/>
    <col width="18.1640625" customWidth="1" style="103" min="14079" max="14079"/>
    <col width="15" customWidth="1" style="103" min="14080" max="14080"/>
    <col width="13" customWidth="1" style="103" min="14081" max="14084"/>
    <col width="17.5" customWidth="1" style="103" min="14085" max="14085"/>
    <col width="9.1640625" customWidth="1" style="103" min="14086" max="14333"/>
    <col width="10.83203125" customWidth="1" style="103" min="14334" max="14334"/>
    <col width="18.1640625" customWidth="1" style="103" min="14335" max="14335"/>
    <col width="15" customWidth="1" style="103" min="14336" max="14336"/>
    <col width="13" customWidth="1" style="103" min="14337" max="14340"/>
    <col width="17.5" customWidth="1" style="103" min="14341" max="14341"/>
    <col width="9.1640625" customWidth="1" style="103" min="14342" max="14589"/>
    <col width="10.83203125" customWidth="1" style="103" min="14590" max="14590"/>
    <col width="18.1640625" customWidth="1" style="103" min="14591" max="14591"/>
    <col width="15" customWidth="1" style="103" min="14592" max="14592"/>
    <col width="13" customWidth="1" style="103" min="14593" max="14596"/>
    <col width="17.5" customWidth="1" style="103" min="14597" max="14597"/>
    <col width="9.1640625" customWidth="1" style="103" min="14598" max="14845"/>
    <col width="10.83203125" customWidth="1" style="103" min="14846" max="14846"/>
    <col width="18.1640625" customWidth="1" style="103" min="14847" max="14847"/>
    <col width="15" customWidth="1" style="103" min="14848" max="14848"/>
    <col width="13" customWidth="1" style="103" min="14849" max="14852"/>
    <col width="17.5" customWidth="1" style="103" min="14853" max="14853"/>
    <col width="9.1640625" customWidth="1" style="103" min="14854" max="15101"/>
    <col width="10.83203125" customWidth="1" style="103" min="15102" max="15102"/>
    <col width="18.1640625" customWidth="1" style="103" min="15103" max="15103"/>
    <col width="15" customWidth="1" style="103" min="15104" max="15104"/>
    <col width="13" customWidth="1" style="103" min="15105" max="15108"/>
    <col width="17.5" customWidth="1" style="103" min="15109" max="15109"/>
    <col width="9.1640625" customWidth="1" style="103" min="15110" max="15357"/>
    <col width="10.83203125" customWidth="1" style="103" min="15358" max="15358"/>
    <col width="18.1640625" customWidth="1" style="103" min="15359" max="15359"/>
    <col width="15" customWidth="1" style="103" min="15360" max="15360"/>
    <col width="13" customWidth="1" style="103" min="15361" max="15364"/>
    <col width="17.5" customWidth="1" style="103" min="15365" max="15365"/>
    <col width="9.1640625" customWidth="1" style="103" min="15366" max="15613"/>
    <col width="10.83203125" customWidth="1" style="103" min="15614" max="15614"/>
    <col width="18.1640625" customWidth="1" style="103" min="15615" max="15615"/>
    <col width="15" customWidth="1" style="103" min="15616" max="15616"/>
    <col width="13" customWidth="1" style="103" min="15617" max="15620"/>
    <col width="17.5" customWidth="1" style="103" min="15621" max="15621"/>
    <col width="9.1640625" customWidth="1" style="103" min="15622" max="15869"/>
    <col width="10.83203125" customWidth="1" style="103" min="15870" max="15870"/>
    <col width="18.1640625" customWidth="1" style="103" min="15871" max="15871"/>
    <col width="15" customWidth="1" style="103" min="15872" max="15872"/>
    <col width="13" customWidth="1" style="103" min="15873" max="15876"/>
    <col width="17.5" customWidth="1" style="103" min="15877" max="15877"/>
    <col width="9.1640625" customWidth="1" style="103" min="15878" max="16125"/>
    <col width="10.83203125" customWidth="1" style="103" min="16126" max="16126"/>
    <col width="18.1640625" customWidth="1" style="103" min="16127" max="16127"/>
    <col width="15" customWidth="1" style="103" min="16128" max="16128"/>
    <col width="13" customWidth="1" style="103" min="16129" max="16132"/>
    <col width="17.5" customWidth="1" style="103" min="16133" max="16133"/>
    <col width="9.1640625" customWidth="1" style="103" min="16134" max="16384"/>
  </cols>
  <sheetData>
    <row r="2">
      <c r="A2" s="126" t="n"/>
      <c r="B2" s="92" t="n"/>
      <c r="C2" s="92" t="n"/>
      <c r="P2" s="92" t="n"/>
      <c r="R2" s="27" t="n"/>
    </row>
    <row r="4" ht="16" customHeight="1" s="74" thickBot="1"/>
    <row r="5" ht="23.25" customFormat="1" customHeight="1" s="109">
      <c r="A5" s="58" t="inlineStr">
        <is>
          <t>Date</t>
        </is>
      </c>
      <c r="B5" s="93" t="inlineStr">
        <is>
          <t>GDP</t>
        </is>
      </c>
      <c r="C5" s="93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5">
        <f>VLOOKUP(A6,'U.S. GDP'!A:B,2,)</f>
        <v/>
      </c>
      <c r="C6" s="85">
        <f>VLOOKUP(A6,PersonalConsumption!A:B,2,)</f>
        <v/>
      </c>
      <c r="D6" s="85">
        <f>VLOOKUP(A6,PrivateInvestment!A:B,2,)</f>
        <v/>
      </c>
      <c r="E6" s="85">
        <f>VLOOKUP(A6,Exports!A:B,2,)</f>
        <v/>
      </c>
      <c r="F6" s="85">
        <f>VLOOKUP(A6,Imports!A:B,2,)</f>
        <v/>
      </c>
      <c r="G6" s="85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12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5">
        <f>VLOOKUP(A7,'U.S. GDP'!A:B,2,)</f>
        <v/>
      </c>
      <c r="C7" s="85">
        <f>VLOOKUP(A7,PersonalConsumption!A:B,2,)</f>
        <v/>
      </c>
      <c r="D7" s="85">
        <f>VLOOKUP(A7,PrivateInvestment!A:B,2,)</f>
        <v/>
      </c>
      <c r="E7" s="85">
        <f>VLOOKUP(A7,Exports!A:B,2,)</f>
        <v/>
      </c>
      <c r="F7" s="85">
        <f>VLOOKUP(A7,Imports!A:B,2,)</f>
        <v/>
      </c>
      <c r="G7" s="85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12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5">
        <f>VLOOKUP(A8,'U.S. GDP'!A:B,2,)</f>
        <v/>
      </c>
      <c r="C8" s="85">
        <f>VLOOKUP(A8,PersonalConsumption!A:B,2,)</f>
        <v/>
      </c>
      <c r="D8" s="85">
        <f>VLOOKUP(A8,PrivateInvestment!A:B,2,)</f>
        <v/>
      </c>
      <c r="E8" s="85">
        <f>VLOOKUP(A8,Exports!A:B,2,)</f>
        <v/>
      </c>
      <c r="F8" s="85">
        <f>VLOOKUP(A8,Imports!A:B,2,)</f>
        <v/>
      </c>
      <c r="G8" s="85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12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5">
        <f>VLOOKUP(A9,'U.S. GDP'!A:B,2,)</f>
        <v/>
      </c>
      <c r="C9" s="85">
        <f>VLOOKUP(A9,PersonalConsumption!A:B,2,)</f>
        <v/>
      </c>
      <c r="D9" s="85">
        <f>VLOOKUP(A9,PrivateInvestment!A:B,2,)</f>
        <v/>
      </c>
      <c r="E9" s="85">
        <f>VLOOKUP(A9,Exports!A:B,2,)</f>
        <v/>
      </c>
      <c r="F9" s="85">
        <f>VLOOKUP(A9,Imports!A:B,2,)</f>
        <v/>
      </c>
      <c r="G9" s="85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12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5">
        <f>VLOOKUP(A10,'U.S. GDP'!A:B,2,)</f>
        <v/>
      </c>
      <c r="C10" s="85">
        <f>VLOOKUP(A10,PersonalConsumption!A:B,2,)</f>
        <v/>
      </c>
      <c r="D10" s="85">
        <f>VLOOKUP(A10,PrivateInvestment!A:B,2,)</f>
        <v/>
      </c>
      <c r="E10" s="85">
        <f>VLOOKUP(A10,Exports!A:B,2,)</f>
        <v/>
      </c>
      <c r="F10" s="85">
        <f>VLOOKUP(A10,Imports!A:B,2,)</f>
        <v/>
      </c>
      <c r="G10" s="85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12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5">
        <f>VLOOKUP(A11,'U.S. GDP'!A:B,2,)</f>
        <v/>
      </c>
      <c r="C11" s="85">
        <f>VLOOKUP(A11,PersonalConsumption!A:B,2,)</f>
        <v/>
      </c>
      <c r="D11" s="85">
        <f>VLOOKUP(A11,PrivateInvestment!A:B,2,)</f>
        <v/>
      </c>
      <c r="E11" s="85">
        <f>VLOOKUP(A11,Exports!A:B,2,)</f>
        <v/>
      </c>
      <c r="F11" s="85">
        <f>VLOOKUP(A11,Imports!A:B,2,)</f>
        <v/>
      </c>
      <c r="G11" s="85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12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5">
        <f>VLOOKUP(A12,'U.S. GDP'!A:B,2,)</f>
        <v/>
      </c>
      <c r="C12" s="85">
        <f>VLOOKUP(A12,PersonalConsumption!A:B,2,)</f>
        <v/>
      </c>
      <c r="D12" s="85">
        <f>VLOOKUP(A12,PrivateInvestment!A:B,2,)</f>
        <v/>
      </c>
      <c r="E12" s="85">
        <f>VLOOKUP(A12,Exports!A:B,2,)</f>
        <v/>
      </c>
      <c r="F12" s="85">
        <f>VLOOKUP(A12,Imports!A:B,2,)</f>
        <v/>
      </c>
      <c r="G12" s="85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12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5">
        <f>VLOOKUP(A13,'U.S. GDP'!A:B,2,)</f>
        <v/>
      </c>
      <c r="C13" s="85">
        <f>VLOOKUP(A13,PersonalConsumption!A:B,2,)</f>
        <v/>
      </c>
      <c r="D13" s="85">
        <f>VLOOKUP(A13,PrivateInvestment!A:B,2,)</f>
        <v/>
      </c>
      <c r="E13" s="85">
        <f>VLOOKUP(A13,Exports!A:B,2,)</f>
        <v/>
      </c>
      <c r="F13" s="85">
        <f>VLOOKUP(A13,Imports!A:B,2,)</f>
        <v/>
      </c>
      <c r="G13" s="85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12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5">
        <f>VLOOKUP(A14,'U.S. GDP'!A:B,2,)</f>
        <v/>
      </c>
      <c r="C14" s="85">
        <f>VLOOKUP(A14,PersonalConsumption!A:B,2,)</f>
        <v/>
      </c>
      <c r="D14" s="85">
        <f>VLOOKUP(A14,PrivateInvestment!A:B,2,)</f>
        <v/>
      </c>
      <c r="E14" s="85">
        <f>VLOOKUP(A14,Exports!A:B,2,)</f>
        <v/>
      </c>
      <c r="F14" s="85">
        <f>VLOOKUP(A14,Imports!A:B,2,)</f>
        <v/>
      </c>
      <c r="G14" s="85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12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5">
        <f>VLOOKUP(A15,'U.S. GDP'!A:B,2,)</f>
        <v/>
      </c>
      <c r="C15" s="85">
        <f>VLOOKUP(A15,PersonalConsumption!A:B,2,)</f>
        <v/>
      </c>
      <c r="D15" s="85">
        <f>VLOOKUP(A15,PrivateInvestment!A:B,2,)</f>
        <v/>
      </c>
      <c r="E15" s="85">
        <f>VLOOKUP(A15,Exports!A:B,2,)</f>
        <v/>
      </c>
      <c r="F15" s="85">
        <f>VLOOKUP(A15,Imports!A:B,2,)</f>
        <v/>
      </c>
      <c r="G15" s="85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12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5">
        <f>VLOOKUP(A16,'U.S. GDP'!A:B,2,)</f>
        <v/>
      </c>
      <c r="C16" s="85">
        <f>VLOOKUP(A16,PersonalConsumption!A:B,2,)</f>
        <v/>
      </c>
      <c r="D16" s="85">
        <f>VLOOKUP(A16,PrivateInvestment!A:B,2,)</f>
        <v/>
      </c>
      <c r="E16" s="85">
        <f>VLOOKUP(A16,Exports!A:B,2,)</f>
        <v/>
      </c>
      <c r="F16" s="85">
        <f>VLOOKUP(A16,Imports!A:B,2,)</f>
        <v/>
      </c>
      <c r="G16" s="85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12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5">
        <f>VLOOKUP(A17,'U.S. GDP'!A:B,2,)</f>
        <v/>
      </c>
      <c r="C17" s="85">
        <f>VLOOKUP(A17,PersonalConsumption!A:B,2,)</f>
        <v/>
      </c>
      <c r="D17" s="85">
        <f>VLOOKUP(A17,PrivateInvestment!A:B,2,)</f>
        <v/>
      </c>
      <c r="E17" s="85">
        <f>VLOOKUP(A17,Exports!A:B,2,)</f>
        <v/>
      </c>
      <c r="F17" s="85">
        <f>VLOOKUP(A17,Imports!A:B,2,)</f>
        <v/>
      </c>
      <c r="G17" s="85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12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5">
        <f>VLOOKUP(A18,'U.S. GDP'!A:B,2,)</f>
        <v/>
      </c>
      <c r="C18" s="85">
        <f>VLOOKUP(A18,PersonalConsumption!A:B,2,)</f>
        <v/>
      </c>
      <c r="D18" s="85">
        <f>VLOOKUP(A18,PrivateInvestment!A:B,2,)</f>
        <v/>
      </c>
      <c r="E18" s="85">
        <f>VLOOKUP(A18,Exports!A:B,2,)</f>
        <v/>
      </c>
      <c r="F18" s="85">
        <f>VLOOKUP(A18,Imports!A:B,2,)</f>
        <v/>
      </c>
      <c r="G18" s="85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12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5">
        <f>VLOOKUP(A19,'U.S. GDP'!A:B,2,)</f>
        <v/>
      </c>
      <c r="C19" s="85">
        <f>VLOOKUP(A19,PersonalConsumption!A:B,2,)</f>
        <v/>
      </c>
      <c r="D19" s="85">
        <f>VLOOKUP(A19,PrivateInvestment!A:B,2,)</f>
        <v/>
      </c>
      <c r="E19" s="85">
        <f>VLOOKUP(A19,Exports!A:B,2,)</f>
        <v/>
      </c>
      <c r="F19" s="85">
        <f>VLOOKUP(A19,Imports!A:B,2,)</f>
        <v/>
      </c>
      <c r="G19" s="85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12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5">
        <f>VLOOKUP(A20,'U.S. GDP'!A:B,2,)</f>
        <v/>
      </c>
      <c r="C20" s="85">
        <f>VLOOKUP(A20,PersonalConsumption!A:B,2,)</f>
        <v/>
      </c>
      <c r="D20" s="85">
        <f>VLOOKUP(A20,PrivateInvestment!A:B,2,)</f>
        <v/>
      </c>
      <c r="E20" s="85">
        <f>VLOOKUP(A20,Exports!A:B,2,)</f>
        <v/>
      </c>
      <c r="F20" s="85">
        <f>VLOOKUP(A20,Imports!A:B,2,)</f>
        <v/>
      </c>
      <c r="G20" s="85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12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5">
        <f>VLOOKUP(A21,'U.S. GDP'!A:B,2,)</f>
        <v/>
      </c>
      <c r="C21" s="85">
        <f>VLOOKUP(A21,PersonalConsumption!A:B,2,)</f>
        <v/>
      </c>
      <c r="D21" s="85">
        <f>VLOOKUP(A21,PrivateInvestment!A:B,2,)</f>
        <v/>
      </c>
      <c r="E21" s="85">
        <f>VLOOKUP(A21,Exports!A:B,2,)</f>
        <v/>
      </c>
      <c r="F21" s="85">
        <f>VLOOKUP(A21,Imports!A:B,2,)</f>
        <v/>
      </c>
      <c r="G21" s="85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12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5">
        <f>VLOOKUP(A22,'U.S. GDP'!A:B,2,)</f>
        <v/>
      </c>
      <c r="C22" s="85">
        <f>VLOOKUP(A22,PersonalConsumption!A:B,2,)</f>
        <v/>
      </c>
      <c r="D22" s="85">
        <f>VLOOKUP(A22,PrivateInvestment!A:B,2,)</f>
        <v/>
      </c>
      <c r="E22" s="85">
        <f>VLOOKUP(A22,Exports!A:B,2,)</f>
        <v/>
      </c>
      <c r="F22" s="85">
        <f>VLOOKUP(A22,Imports!A:B,2,)</f>
        <v/>
      </c>
      <c r="G22" s="85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12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5">
        <f>VLOOKUP(A23,'U.S. GDP'!A:B,2,)</f>
        <v/>
      </c>
      <c r="C23" s="85">
        <f>VLOOKUP(A23,PersonalConsumption!A:B,2,)</f>
        <v/>
      </c>
      <c r="D23" s="85">
        <f>VLOOKUP(A23,PrivateInvestment!A:B,2,)</f>
        <v/>
      </c>
      <c r="E23" s="85">
        <f>VLOOKUP(A23,Exports!A:B,2,)</f>
        <v/>
      </c>
      <c r="F23" s="85">
        <f>VLOOKUP(A23,Imports!A:B,2,)</f>
        <v/>
      </c>
      <c r="G23" s="85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12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5">
        <f>VLOOKUP(A24,'U.S. GDP'!A:B,2,)</f>
        <v/>
      </c>
      <c r="C24" s="85">
        <f>VLOOKUP(A24,PersonalConsumption!A:B,2,)</f>
        <v/>
      </c>
      <c r="D24" s="85">
        <f>VLOOKUP(A24,PrivateInvestment!A:B,2,)</f>
        <v/>
      </c>
      <c r="E24" s="85">
        <f>VLOOKUP(A24,Exports!A:B,2,)</f>
        <v/>
      </c>
      <c r="F24" s="85">
        <f>VLOOKUP(A24,Imports!A:B,2,)</f>
        <v/>
      </c>
      <c r="G24" s="85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12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5">
        <f>VLOOKUP(A25,'U.S. GDP'!A:B,2,)</f>
        <v/>
      </c>
      <c r="C25" s="85">
        <f>VLOOKUP(A25,PersonalConsumption!A:B,2,)</f>
        <v/>
      </c>
      <c r="D25" s="85">
        <f>VLOOKUP(A25,PrivateInvestment!A:B,2,)</f>
        <v/>
      </c>
      <c r="E25" s="85">
        <f>VLOOKUP(A25,Exports!A:B,2,)</f>
        <v/>
      </c>
      <c r="F25" s="85">
        <f>VLOOKUP(A25,Imports!A:B,2,)</f>
        <v/>
      </c>
      <c r="G25" s="85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12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5">
        <f>VLOOKUP(A26,'U.S. GDP'!A:B,2,)</f>
        <v/>
      </c>
      <c r="C26" s="85">
        <f>VLOOKUP(A26,PersonalConsumption!A:B,2,)</f>
        <v/>
      </c>
      <c r="D26" s="85">
        <f>VLOOKUP(A26,PrivateInvestment!A:B,2,)</f>
        <v/>
      </c>
      <c r="E26" s="85">
        <f>VLOOKUP(A26,Exports!A:B,2,)</f>
        <v/>
      </c>
      <c r="F26" s="85">
        <f>VLOOKUP(A26,Imports!A:B,2,)</f>
        <v/>
      </c>
      <c r="G26" s="85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12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5">
        <f>VLOOKUP(A27,'U.S. GDP'!A:B,2,)</f>
        <v/>
      </c>
      <c r="C27" s="85">
        <f>VLOOKUP(A27,PersonalConsumption!A:B,2,)</f>
        <v/>
      </c>
      <c r="D27" s="85">
        <f>VLOOKUP(A27,PrivateInvestment!A:B,2,)</f>
        <v/>
      </c>
      <c r="E27" s="85">
        <f>VLOOKUP(A27,Exports!A:B,2,)</f>
        <v/>
      </c>
      <c r="F27" s="85">
        <f>VLOOKUP(A27,Imports!A:B,2,)</f>
        <v/>
      </c>
      <c r="G27" s="85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12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5">
        <f>VLOOKUP(A28,'U.S. GDP'!A:B,2,)</f>
        <v/>
      </c>
      <c r="C28" s="85">
        <f>VLOOKUP(A28,PersonalConsumption!A:B,2,)</f>
        <v/>
      </c>
      <c r="D28" s="85">
        <f>VLOOKUP(A28,PrivateInvestment!A:B,2,)</f>
        <v/>
      </c>
      <c r="E28" s="85">
        <f>VLOOKUP(A28,Exports!A:B,2,)</f>
        <v/>
      </c>
      <c r="F28" s="85">
        <f>VLOOKUP(A28,Imports!A:B,2,)</f>
        <v/>
      </c>
      <c r="G28" s="85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12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5">
        <f>VLOOKUP(A29,'U.S. GDP'!A:B,2,)</f>
        <v/>
      </c>
      <c r="C29" s="85">
        <f>VLOOKUP(A29,PersonalConsumption!A:B,2,)</f>
        <v/>
      </c>
      <c r="D29" s="85">
        <f>VLOOKUP(A29,PrivateInvestment!A:B,2,)</f>
        <v/>
      </c>
      <c r="E29" s="85">
        <f>VLOOKUP(A29,Exports!A:B,2,)</f>
        <v/>
      </c>
      <c r="F29" s="85">
        <f>VLOOKUP(A29,Imports!A:B,2,)</f>
        <v/>
      </c>
      <c r="G29" s="85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12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5">
        <f>VLOOKUP(A30,'U.S. GDP'!A:B,2,)</f>
        <v/>
      </c>
      <c r="C30" s="85">
        <f>VLOOKUP(A30,PersonalConsumption!A:B,2,)</f>
        <v/>
      </c>
      <c r="D30" s="85">
        <f>VLOOKUP(A30,PrivateInvestment!A:B,2,)</f>
        <v/>
      </c>
      <c r="E30" s="85">
        <f>VLOOKUP(A30,Exports!A:B,2,)</f>
        <v/>
      </c>
      <c r="F30" s="85">
        <f>VLOOKUP(A30,Imports!A:B,2,)</f>
        <v/>
      </c>
      <c r="G30" s="85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12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5">
        <f>VLOOKUP(A31,'U.S. GDP'!A:B,2,)</f>
        <v/>
      </c>
      <c r="C31" s="85">
        <f>VLOOKUP(A31,PersonalConsumption!A:B,2,)</f>
        <v/>
      </c>
      <c r="D31" s="85">
        <f>VLOOKUP(A31,PrivateInvestment!A:B,2,)</f>
        <v/>
      </c>
      <c r="E31" s="85">
        <f>VLOOKUP(A31,Exports!A:B,2,)</f>
        <v/>
      </c>
      <c r="F31" s="85">
        <f>VLOOKUP(A31,Imports!A:B,2,)</f>
        <v/>
      </c>
      <c r="G31" s="85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12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5">
        <f>VLOOKUP(A32,'U.S. GDP'!A:B,2,)</f>
        <v/>
      </c>
      <c r="C32" s="85">
        <f>VLOOKUP(A32,PersonalConsumption!A:B,2,)</f>
        <v/>
      </c>
      <c r="D32" s="85">
        <f>VLOOKUP(A32,PrivateInvestment!A:B,2,)</f>
        <v/>
      </c>
      <c r="E32" s="85">
        <f>VLOOKUP(A32,Exports!A:B,2,)</f>
        <v/>
      </c>
      <c r="F32" s="85">
        <f>VLOOKUP(A32,Imports!A:B,2,)</f>
        <v/>
      </c>
      <c r="G32" s="85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12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5">
        <f>VLOOKUP(A33,'U.S. GDP'!A:B,2,)</f>
        <v/>
      </c>
      <c r="C33" s="85">
        <f>VLOOKUP(A33,PersonalConsumption!A:B,2,)</f>
        <v/>
      </c>
      <c r="D33" s="85">
        <f>VLOOKUP(A33,PrivateInvestment!A:B,2,)</f>
        <v/>
      </c>
      <c r="E33" s="85">
        <f>VLOOKUP(A33,Exports!A:B,2,)</f>
        <v/>
      </c>
      <c r="F33" s="85">
        <f>VLOOKUP(A33,Imports!A:B,2,)</f>
        <v/>
      </c>
      <c r="G33" s="85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12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5">
        <f>VLOOKUP(A34,'U.S. GDP'!A:B,2,)</f>
        <v/>
      </c>
      <c r="C34" s="85">
        <f>VLOOKUP(A34,PersonalConsumption!A:B,2,)</f>
        <v/>
      </c>
      <c r="D34" s="85">
        <f>VLOOKUP(A34,PrivateInvestment!A:B,2,)</f>
        <v/>
      </c>
      <c r="E34" s="85">
        <f>VLOOKUP(A34,Exports!A:B,2,)</f>
        <v/>
      </c>
      <c r="F34" s="85">
        <f>VLOOKUP(A34,Imports!A:B,2,)</f>
        <v/>
      </c>
      <c r="G34" s="85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12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5">
        <f>VLOOKUP(A35,'U.S. GDP'!A:B,2,)</f>
        <v/>
      </c>
      <c r="C35" s="85">
        <f>VLOOKUP(A35,PersonalConsumption!A:B,2,)</f>
        <v/>
      </c>
      <c r="D35" s="85">
        <f>VLOOKUP(A35,PrivateInvestment!A:B,2,)</f>
        <v/>
      </c>
      <c r="E35" s="85">
        <f>VLOOKUP(A35,Exports!A:B,2,)</f>
        <v/>
      </c>
      <c r="F35" s="85">
        <f>VLOOKUP(A35,Imports!A:B,2,)</f>
        <v/>
      </c>
      <c r="G35" s="85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12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5">
        <f>VLOOKUP(A36,'U.S. GDP'!A:B,2,)</f>
        <v/>
      </c>
      <c r="C36" s="85">
        <f>VLOOKUP(A36,PersonalConsumption!A:B,2,)</f>
        <v/>
      </c>
      <c r="D36" s="85">
        <f>VLOOKUP(A36,PrivateInvestment!A:B,2,)</f>
        <v/>
      </c>
      <c r="E36" s="85">
        <f>VLOOKUP(A36,Exports!A:B,2,)</f>
        <v/>
      </c>
      <c r="F36" s="85">
        <f>VLOOKUP(A36,Imports!A:B,2,)</f>
        <v/>
      </c>
      <c r="G36" s="85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12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5">
        <f>VLOOKUP(A37,'U.S. GDP'!A:B,2,)</f>
        <v/>
      </c>
      <c r="C37" s="85">
        <f>VLOOKUP(A37,PersonalConsumption!A:B,2,)</f>
        <v/>
      </c>
      <c r="D37" s="85">
        <f>VLOOKUP(A37,PrivateInvestment!A:B,2,)</f>
        <v/>
      </c>
      <c r="E37" s="85">
        <f>VLOOKUP(A37,Exports!A:B,2,)</f>
        <v/>
      </c>
      <c r="F37" s="85">
        <f>VLOOKUP(A37,Imports!A:B,2,)</f>
        <v/>
      </c>
      <c r="G37" s="85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12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5">
        <f>VLOOKUP(A38,'U.S. GDP'!A:B,2,)</f>
        <v/>
      </c>
      <c r="C38" s="85">
        <f>VLOOKUP(A38,PersonalConsumption!A:B,2,)</f>
        <v/>
      </c>
      <c r="D38" s="85">
        <f>VLOOKUP(A38,PrivateInvestment!A:B,2,)</f>
        <v/>
      </c>
      <c r="E38" s="85">
        <f>VLOOKUP(A38,Exports!A:B,2,)</f>
        <v/>
      </c>
      <c r="F38" s="85">
        <f>VLOOKUP(A38,Imports!A:B,2,)</f>
        <v/>
      </c>
      <c r="G38" s="85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12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5">
        <f>VLOOKUP(A39,'U.S. GDP'!A:B,2,)</f>
        <v/>
      </c>
      <c r="C39" s="85">
        <f>VLOOKUP(A39,PersonalConsumption!A:B,2,)</f>
        <v/>
      </c>
      <c r="D39" s="85">
        <f>VLOOKUP(A39,PrivateInvestment!A:B,2,)</f>
        <v/>
      </c>
      <c r="E39" s="85">
        <f>VLOOKUP(A39,Exports!A:B,2,)</f>
        <v/>
      </c>
      <c r="F39" s="85">
        <f>VLOOKUP(A39,Imports!A:B,2,)</f>
        <v/>
      </c>
      <c r="G39" s="85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12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5">
        <f>VLOOKUP(A40,'U.S. GDP'!A:B,2,)</f>
        <v/>
      </c>
      <c r="C40" s="85">
        <f>VLOOKUP(A40,PersonalConsumption!A:B,2,)</f>
        <v/>
      </c>
      <c r="D40" s="85">
        <f>VLOOKUP(A40,PrivateInvestment!A:B,2,)</f>
        <v/>
      </c>
      <c r="E40" s="85">
        <f>VLOOKUP(A40,Exports!A:B,2,)</f>
        <v/>
      </c>
      <c r="F40" s="85">
        <f>VLOOKUP(A40,Imports!A:B,2,)</f>
        <v/>
      </c>
      <c r="G40" s="85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12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5">
        <f>VLOOKUP(A41,'U.S. GDP'!A:B,2,)</f>
        <v/>
      </c>
      <c r="C41" s="85">
        <f>VLOOKUP(A41,PersonalConsumption!A:B,2,)</f>
        <v/>
      </c>
      <c r="D41" s="85">
        <f>VLOOKUP(A41,PrivateInvestment!A:B,2,)</f>
        <v/>
      </c>
      <c r="E41" s="85">
        <f>VLOOKUP(A41,Exports!A:B,2,)</f>
        <v/>
      </c>
      <c r="F41" s="85">
        <f>VLOOKUP(A41,Imports!A:B,2,)</f>
        <v/>
      </c>
      <c r="G41" s="85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12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5">
        <f>VLOOKUP(A42,'U.S. GDP'!A:B,2,)</f>
        <v/>
      </c>
      <c r="C42" s="85">
        <f>VLOOKUP(A42,PersonalConsumption!A:B,2,)</f>
        <v/>
      </c>
      <c r="D42" s="85">
        <f>VLOOKUP(A42,PrivateInvestment!A:B,2,)</f>
        <v/>
      </c>
      <c r="E42" s="85">
        <f>VLOOKUP(A42,Exports!A:B,2,)</f>
        <v/>
      </c>
      <c r="F42" s="85">
        <f>VLOOKUP(A42,Imports!A:B,2,)</f>
        <v/>
      </c>
      <c r="G42" s="85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12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5">
        <f>VLOOKUP(A43,'U.S. GDP'!A:B,2,)</f>
        <v/>
      </c>
      <c r="C43" s="85">
        <f>VLOOKUP(A43,PersonalConsumption!A:B,2,)</f>
        <v/>
      </c>
      <c r="D43" s="85">
        <f>VLOOKUP(A43,PrivateInvestment!A:B,2,)</f>
        <v/>
      </c>
      <c r="E43" s="85">
        <f>VLOOKUP(A43,Exports!A:B,2,)</f>
        <v/>
      </c>
      <c r="F43" s="85">
        <f>VLOOKUP(A43,Imports!A:B,2,)</f>
        <v/>
      </c>
      <c r="G43" s="85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12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5">
        <f>VLOOKUP(A44,'U.S. GDP'!A:B,2,)</f>
        <v/>
      </c>
      <c r="C44" s="85">
        <f>VLOOKUP(A44,PersonalConsumption!A:B,2,)</f>
        <v/>
      </c>
      <c r="D44" s="85">
        <f>VLOOKUP(A44,PrivateInvestment!A:B,2,)</f>
        <v/>
      </c>
      <c r="E44" s="85">
        <f>VLOOKUP(A44,Exports!A:B,2,)</f>
        <v/>
      </c>
      <c r="F44" s="85">
        <f>VLOOKUP(A44,Imports!A:B,2,)</f>
        <v/>
      </c>
      <c r="G44" s="85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12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5">
        <f>VLOOKUP(A45,'U.S. GDP'!A:B,2,)</f>
        <v/>
      </c>
      <c r="C45" s="85">
        <f>VLOOKUP(A45,PersonalConsumption!A:B,2,)</f>
        <v/>
      </c>
      <c r="D45" s="85">
        <f>VLOOKUP(A45,PrivateInvestment!A:B,2,)</f>
        <v/>
      </c>
      <c r="E45" s="85">
        <f>VLOOKUP(A45,Exports!A:B,2,)</f>
        <v/>
      </c>
      <c r="F45" s="85">
        <f>VLOOKUP(A45,Imports!A:B,2,)</f>
        <v/>
      </c>
      <c r="G45" s="85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12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5">
        <f>VLOOKUP(A46,'U.S. GDP'!A:B,2,)</f>
        <v/>
      </c>
      <c r="C46" s="85">
        <f>VLOOKUP(A46,PersonalConsumption!A:B,2,)</f>
        <v/>
      </c>
      <c r="D46" s="85">
        <f>VLOOKUP(A46,PrivateInvestment!A:B,2,)</f>
        <v/>
      </c>
      <c r="E46" s="85">
        <f>VLOOKUP(A46,Exports!A:B,2,)</f>
        <v/>
      </c>
      <c r="F46" s="85">
        <f>VLOOKUP(A46,Imports!A:B,2,)</f>
        <v/>
      </c>
      <c r="G46" s="85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12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5">
        <f>VLOOKUP(A47,'U.S. GDP'!A:B,2,)</f>
        <v/>
      </c>
      <c r="C47" s="85">
        <f>VLOOKUP(A47,PersonalConsumption!A:B,2,)</f>
        <v/>
      </c>
      <c r="D47" s="85">
        <f>VLOOKUP(A47,PrivateInvestment!A:B,2,)</f>
        <v/>
      </c>
      <c r="E47" s="85">
        <f>VLOOKUP(A47,Exports!A:B,2,)</f>
        <v/>
      </c>
      <c r="F47" s="85">
        <f>VLOOKUP(A47,Imports!A:B,2,)</f>
        <v/>
      </c>
      <c r="G47" s="85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12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5">
        <f>VLOOKUP(A48,'U.S. GDP'!A:B,2,)</f>
        <v/>
      </c>
      <c r="C48" s="85">
        <f>VLOOKUP(A48,PersonalConsumption!A:B,2,)</f>
        <v/>
      </c>
      <c r="D48" s="85">
        <f>VLOOKUP(A48,PrivateInvestment!A:B,2,)</f>
        <v/>
      </c>
      <c r="E48" s="85">
        <f>VLOOKUP(A48,Exports!A:B,2,)</f>
        <v/>
      </c>
      <c r="F48" s="85">
        <f>VLOOKUP(A48,Imports!A:B,2,)</f>
        <v/>
      </c>
      <c r="G48" s="85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12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5">
        <f>VLOOKUP(A49,'U.S. GDP'!A:B,2,)</f>
        <v/>
      </c>
      <c r="C49" s="85">
        <f>VLOOKUP(A49,PersonalConsumption!A:B,2,)</f>
        <v/>
      </c>
      <c r="D49" s="85">
        <f>VLOOKUP(A49,PrivateInvestment!A:B,2,)</f>
        <v/>
      </c>
      <c r="E49" s="85">
        <f>VLOOKUP(A49,Exports!A:B,2,)</f>
        <v/>
      </c>
      <c r="F49" s="85">
        <f>VLOOKUP(A49,Imports!A:B,2,)</f>
        <v/>
      </c>
      <c r="G49" s="85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12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5">
        <f>VLOOKUP(A50,'U.S. GDP'!A:B,2,)</f>
        <v/>
      </c>
      <c r="C50" s="85">
        <f>VLOOKUP(A50,PersonalConsumption!A:B,2,)</f>
        <v/>
      </c>
      <c r="D50" s="85">
        <f>VLOOKUP(A50,PrivateInvestment!A:B,2,)</f>
        <v/>
      </c>
      <c r="E50" s="85">
        <f>VLOOKUP(A50,Exports!A:B,2,)</f>
        <v/>
      </c>
      <c r="F50" s="85">
        <f>VLOOKUP(A50,Imports!A:B,2,)</f>
        <v/>
      </c>
      <c r="G50" s="85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12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5">
        <f>VLOOKUP(A51,'U.S. GDP'!A:B,2,)</f>
        <v/>
      </c>
      <c r="C51" s="85">
        <f>VLOOKUP(A51,PersonalConsumption!A:B,2,)</f>
        <v/>
      </c>
      <c r="D51" s="85">
        <f>VLOOKUP(A51,PrivateInvestment!A:B,2,)</f>
        <v/>
      </c>
      <c r="E51" s="85">
        <f>VLOOKUP(A51,Exports!A:B,2,)</f>
        <v/>
      </c>
      <c r="F51" s="85">
        <f>VLOOKUP(A51,Imports!A:B,2,)</f>
        <v/>
      </c>
      <c r="G51" s="85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12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5">
        <f>VLOOKUP(A52,'U.S. GDP'!A:B,2,)</f>
        <v/>
      </c>
      <c r="C52" s="85">
        <f>VLOOKUP(A52,PersonalConsumption!A:B,2,)</f>
        <v/>
      </c>
      <c r="D52" s="85">
        <f>VLOOKUP(A52,PrivateInvestment!A:B,2,)</f>
        <v/>
      </c>
      <c r="E52" s="85">
        <f>VLOOKUP(A52,Exports!A:B,2,)</f>
        <v/>
      </c>
      <c r="F52" s="85">
        <f>VLOOKUP(A52,Imports!A:B,2,)</f>
        <v/>
      </c>
      <c r="G52" s="85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12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5">
        <f>VLOOKUP(A53,'U.S. GDP'!A:B,2,)</f>
        <v/>
      </c>
      <c r="C53" s="85">
        <f>VLOOKUP(A53,PersonalConsumption!A:B,2,)</f>
        <v/>
      </c>
      <c r="D53" s="85">
        <f>VLOOKUP(A53,PrivateInvestment!A:B,2,)</f>
        <v/>
      </c>
      <c r="E53" s="85">
        <f>VLOOKUP(A53,Exports!A:B,2,)</f>
        <v/>
      </c>
      <c r="F53" s="85">
        <f>VLOOKUP(A53,Imports!A:B,2,)</f>
        <v/>
      </c>
      <c r="G53" s="85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12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5">
        <f>VLOOKUP(A54,'U.S. GDP'!A:B,2,)</f>
        <v/>
      </c>
      <c r="C54" s="85">
        <f>VLOOKUP(A54,PersonalConsumption!A:B,2,)</f>
        <v/>
      </c>
      <c r="D54" s="85">
        <f>VLOOKUP(A54,PrivateInvestment!A:B,2,)</f>
        <v/>
      </c>
      <c r="E54" s="85">
        <f>VLOOKUP(A54,Exports!A:B,2,)</f>
        <v/>
      </c>
      <c r="F54" s="85">
        <f>VLOOKUP(A54,Imports!A:B,2,)</f>
        <v/>
      </c>
      <c r="G54" s="85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12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5">
        <f>VLOOKUP(A55,'U.S. GDP'!A:B,2,)</f>
        <v/>
      </c>
      <c r="C55" s="85">
        <f>VLOOKUP(A55,PersonalConsumption!A:B,2,)</f>
        <v/>
      </c>
      <c r="D55" s="85">
        <f>VLOOKUP(A55,PrivateInvestment!A:B,2,)</f>
        <v/>
      </c>
      <c r="E55" s="85">
        <f>VLOOKUP(A55,Exports!A:B,2,)</f>
        <v/>
      </c>
      <c r="F55" s="85">
        <f>VLOOKUP(A55,Imports!A:B,2,)</f>
        <v/>
      </c>
      <c r="G55" s="85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12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5">
        <f>VLOOKUP(A56,'U.S. GDP'!A:B,2,)</f>
        <v/>
      </c>
      <c r="C56" s="85">
        <f>VLOOKUP(A56,PersonalConsumption!A:B,2,)</f>
        <v/>
      </c>
      <c r="D56" s="85">
        <f>VLOOKUP(A56,PrivateInvestment!A:B,2,)</f>
        <v/>
      </c>
      <c r="E56" s="85">
        <f>VLOOKUP(A56,Exports!A:B,2,)</f>
        <v/>
      </c>
      <c r="F56" s="85">
        <f>VLOOKUP(A56,Imports!A:B,2,)</f>
        <v/>
      </c>
      <c r="G56" s="85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12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5">
        <f>VLOOKUP(A57,'U.S. GDP'!A:B,2,)</f>
        <v/>
      </c>
      <c r="C57" s="85">
        <f>VLOOKUP(A57,PersonalConsumption!A:B,2,)</f>
        <v/>
      </c>
      <c r="D57" s="85">
        <f>VLOOKUP(A57,PrivateInvestment!A:B,2,)</f>
        <v/>
      </c>
      <c r="E57" s="85">
        <f>VLOOKUP(A57,Exports!A:B,2,)</f>
        <v/>
      </c>
      <c r="F57" s="85">
        <f>VLOOKUP(A57,Imports!A:B,2,)</f>
        <v/>
      </c>
      <c r="G57" s="85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12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5">
        <f>VLOOKUP(A58,'U.S. GDP'!A:B,2,)</f>
        <v/>
      </c>
      <c r="C58" s="85">
        <f>VLOOKUP(A58,PersonalConsumption!A:B,2,)</f>
        <v/>
      </c>
      <c r="D58" s="85">
        <f>VLOOKUP(A58,PrivateInvestment!A:B,2,)</f>
        <v/>
      </c>
      <c r="E58" s="85">
        <f>VLOOKUP(A58,Exports!A:B,2,)</f>
        <v/>
      </c>
      <c r="F58" s="85">
        <f>VLOOKUP(A58,Imports!A:B,2,)</f>
        <v/>
      </c>
      <c r="G58" s="85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12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5">
        <f>VLOOKUP(A59,'U.S. GDP'!A:B,2,)</f>
        <v/>
      </c>
      <c r="C59" s="85">
        <f>VLOOKUP(A59,PersonalConsumption!A:B,2,)</f>
        <v/>
      </c>
      <c r="D59" s="85">
        <f>VLOOKUP(A59,PrivateInvestment!A:B,2,)</f>
        <v/>
      </c>
      <c r="E59" s="85">
        <f>VLOOKUP(A59,Exports!A:B,2,)</f>
        <v/>
      </c>
      <c r="F59" s="85">
        <f>VLOOKUP(A59,Imports!A:B,2,)</f>
        <v/>
      </c>
      <c r="G59" s="85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12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5">
        <f>VLOOKUP(A60,'U.S. GDP'!A:B,2,)</f>
        <v/>
      </c>
      <c r="C60" s="85">
        <f>VLOOKUP(A60,PersonalConsumption!A:B,2,)</f>
        <v/>
      </c>
      <c r="D60" s="85">
        <f>VLOOKUP(A60,PrivateInvestment!A:B,2,)</f>
        <v/>
      </c>
      <c r="E60" s="85">
        <f>VLOOKUP(A60,Exports!A:B,2,)</f>
        <v/>
      </c>
      <c r="F60" s="85">
        <f>VLOOKUP(A60,Imports!A:B,2,)</f>
        <v/>
      </c>
      <c r="G60" s="85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12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5">
        <f>VLOOKUP(A61,'U.S. GDP'!A:B,2,)</f>
        <v/>
      </c>
      <c r="C61" s="85">
        <f>VLOOKUP(A61,PersonalConsumption!A:B,2,)</f>
        <v/>
      </c>
      <c r="D61" s="85">
        <f>VLOOKUP(A61,PrivateInvestment!A:B,2,)</f>
        <v/>
      </c>
      <c r="E61" s="85">
        <f>VLOOKUP(A61,Exports!A:B,2,)</f>
        <v/>
      </c>
      <c r="F61" s="85">
        <f>VLOOKUP(A61,Imports!A:B,2,)</f>
        <v/>
      </c>
      <c r="G61" s="85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12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5">
        <f>VLOOKUP(A62,'U.S. GDP'!A:B,2,)</f>
        <v/>
      </c>
      <c r="C62" s="85">
        <f>VLOOKUP(A62,PersonalConsumption!A:B,2,)</f>
        <v/>
      </c>
      <c r="D62" s="85">
        <f>VLOOKUP(A62,PrivateInvestment!A:B,2,)</f>
        <v/>
      </c>
      <c r="E62" s="85">
        <f>VLOOKUP(A62,Exports!A:B,2,)</f>
        <v/>
      </c>
      <c r="F62" s="85">
        <f>VLOOKUP(A62,Imports!A:B,2,)</f>
        <v/>
      </c>
      <c r="G62" s="85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12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5">
        <f>VLOOKUP(A63,'U.S. GDP'!A:B,2,)</f>
        <v/>
      </c>
      <c r="C63" s="85">
        <f>VLOOKUP(A63,PersonalConsumption!A:B,2,)</f>
        <v/>
      </c>
      <c r="D63" s="85">
        <f>VLOOKUP(A63,PrivateInvestment!A:B,2,)</f>
        <v/>
      </c>
      <c r="E63" s="85">
        <f>VLOOKUP(A63,Exports!A:B,2,)</f>
        <v/>
      </c>
      <c r="F63" s="85">
        <f>VLOOKUP(A63,Imports!A:B,2,)</f>
        <v/>
      </c>
      <c r="G63" s="85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12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5">
        <f>VLOOKUP(A64,'U.S. GDP'!A:B,2,)</f>
        <v/>
      </c>
      <c r="C64" s="85">
        <f>VLOOKUP(A64,PersonalConsumption!A:B,2,)</f>
        <v/>
      </c>
      <c r="D64" s="85">
        <f>VLOOKUP(A64,PrivateInvestment!A:B,2,)</f>
        <v/>
      </c>
      <c r="E64" s="85">
        <f>VLOOKUP(A64,Exports!A:B,2,)</f>
        <v/>
      </c>
      <c r="F64" s="85">
        <f>VLOOKUP(A64,Imports!A:B,2,)</f>
        <v/>
      </c>
      <c r="G64" s="85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12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5">
        <f>VLOOKUP(A65,'U.S. GDP'!A:B,2,)</f>
        <v/>
      </c>
      <c r="C65" s="85">
        <f>VLOOKUP(A65,PersonalConsumption!A:B,2,)</f>
        <v/>
      </c>
      <c r="D65" s="85">
        <f>VLOOKUP(A65,PrivateInvestment!A:B,2,)</f>
        <v/>
      </c>
      <c r="E65" s="85">
        <f>VLOOKUP(A65,Exports!A:B,2,)</f>
        <v/>
      </c>
      <c r="F65" s="85">
        <f>VLOOKUP(A65,Imports!A:B,2,)</f>
        <v/>
      </c>
      <c r="G65" s="85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12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5">
        <f>VLOOKUP(A66,'U.S. GDP'!A:B,2,)</f>
        <v/>
      </c>
      <c r="C66" s="85">
        <f>VLOOKUP(A66,PersonalConsumption!A:B,2,)</f>
        <v/>
      </c>
      <c r="D66" s="85">
        <f>VLOOKUP(A66,PrivateInvestment!A:B,2,)</f>
        <v/>
      </c>
      <c r="E66" s="85">
        <f>VLOOKUP(A66,Exports!A:B,2,)</f>
        <v/>
      </c>
      <c r="F66" s="85">
        <f>VLOOKUP(A66,Imports!A:B,2,)</f>
        <v/>
      </c>
      <c r="G66" s="85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12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5">
        <f>VLOOKUP(A67,'U.S. GDP'!A:B,2,)</f>
        <v/>
      </c>
      <c r="C67" s="85">
        <f>VLOOKUP(A67,PersonalConsumption!A:B,2,)</f>
        <v/>
      </c>
      <c r="D67" s="85">
        <f>VLOOKUP(A67,PrivateInvestment!A:B,2,)</f>
        <v/>
      </c>
      <c r="E67" s="85">
        <f>VLOOKUP(A67,Exports!A:B,2,)</f>
        <v/>
      </c>
      <c r="F67" s="85">
        <f>VLOOKUP(A67,Imports!A:B,2,)</f>
        <v/>
      </c>
      <c r="G67" s="85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12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5">
        <f>VLOOKUP(A68,'U.S. GDP'!A:B,2,)</f>
        <v/>
      </c>
      <c r="C68" s="85">
        <f>VLOOKUP(A68,PersonalConsumption!A:B,2,)</f>
        <v/>
      </c>
      <c r="D68" s="85">
        <f>VLOOKUP(A68,PrivateInvestment!A:B,2,)</f>
        <v/>
      </c>
      <c r="E68" s="85">
        <f>VLOOKUP(A68,Exports!A:B,2,)</f>
        <v/>
      </c>
      <c r="F68" s="85">
        <f>VLOOKUP(A68,Imports!A:B,2,)</f>
        <v/>
      </c>
      <c r="G68" s="85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12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5">
        <f>VLOOKUP(A69,'U.S. GDP'!A:B,2,)</f>
        <v/>
      </c>
      <c r="C69" s="85">
        <f>VLOOKUP(A69,PersonalConsumption!A:B,2,)</f>
        <v/>
      </c>
      <c r="D69" s="85">
        <f>VLOOKUP(A69,PrivateInvestment!A:B,2,)</f>
        <v/>
      </c>
      <c r="E69" s="85">
        <f>VLOOKUP(A69,Exports!A:B,2,)</f>
        <v/>
      </c>
      <c r="F69" s="85">
        <f>VLOOKUP(A69,Imports!A:B,2,)</f>
        <v/>
      </c>
      <c r="G69" s="85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12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5">
        <f>VLOOKUP(A70,'U.S. GDP'!A:B,2,)</f>
        <v/>
      </c>
      <c r="C70" s="85">
        <f>VLOOKUP(A70,PersonalConsumption!A:B,2,)</f>
        <v/>
      </c>
      <c r="D70" s="85">
        <f>VLOOKUP(A70,PrivateInvestment!A:B,2,)</f>
        <v/>
      </c>
      <c r="E70" s="85">
        <f>VLOOKUP(A70,Exports!A:B,2,)</f>
        <v/>
      </c>
      <c r="F70" s="85">
        <f>VLOOKUP(A70,Imports!A:B,2,)</f>
        <v/>
      </c>
      <c r="G70" s="85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12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5">
        <f>VLOOKUP(A71,'U.S. GDP'!A:B,2,)</f>
        <v/>
      </c>
      <c r="C71" s="85">
        <f>VLOOKUP(A71,PersonalConsumption!A:B,2,)</f>
        <v/>
      </c>
      <c r="D71" s="85">
        <f>VLOOKUP(A71,PrivateInvestment!A:B,2,)</f>
        <v/>
      </c>
      <c r="E71" s="85">
        <f>VLOOKUP(A71,Exports!A:B,2,)</f>
        <v/>
      </c>
      <c r="F71" s="85">
        <f>VLOOKUP(A71,Imports!A:B,2,)</f>
        <v/>
      </c>
      <c r="G71" s="85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12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5">
        <f>VLOOKUP(A72,'U.S. GDP'!A:B,2,)</f>
        <v/>
      </c>
      <c r="C72" s="85">
        <f>VLOOKUP(A72,PersonalConsumption!A:B,2,)</f>
        <v/>
      </c>
      <c r="D72" s="85">
        <f>VLOOKUP(A72,PrivateInvestment!A:B,2,)</f>
        <v/>
      </c>
      <c r="E72" s="85">
        <f>VLOOKUP(A72,Exports!A:B,2,)</f>
        <v/>
      </c>
      <c r="F72" s="85">
        <f>VLOOKUP(A72,Imports!A:B,2,)</f>
        <v/>
      </c>
      <c r="G72" s="85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12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5">
        <f>VLOOKUP(A73,'U.S. GDP'!A:B,2,)</f>
        <v/>
      </c>
      <c r="C73" s="85">
        <f>VLOOKUP(A73,PersonalConsumption!A:B,2,)</f>
        <v/>
      </c>
      <c r="D73" s="85">
        <f>VLOOKUP(A73,PrivateInvestment!A:B,2,)</f>
        <v/>
      </c>
      <c r="E73" s="85">
        <f>VLOOKUP(A73,Exports!A:B,2,)</f>
        <v/>
      </c>
      <c r="F73" s="85">
        <f>VLOOKUP(A73,Imports!A:B,2,)</f>
        <v/>
      </c>
      <c r="G73" s="85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12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5">
        <f>VLOOKUP(A74,'U.S. GDP'!A:B,2,)</f>
        <v/>
      </c>
      <c r="C74" s="85">
        <f>VLOOKUP(A74,PersonalConsumption!A:B,2,)</f>
        <v/>
      </c>
      <c r="D74" s="85">
        <f>VLOOKUP(A74,PrivateInvestment!A:B,2,)</f>
        <v/>
      </c>
      <c r="E74" s="85">
        <f>VLOOKUP(A74,Exports!A:B,2,)</f>
        <v/>
      </c>
      <c r="F74" s="85">
        <f>VLOOKUP(A74,Imports!A:B,2,)</f>
        <v/>
      </c>
      <c r="G74" s="85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12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5">
        <f>VLOOKUP(A75,'U.S. GDP'!A:B,2,)</f>
        <v/>
      </c>
      <c r="C75" s="85">
        <f>VLOOKUP(A75,PersonalConsumption!A:B,2,)</f>
        <v/>
      </c>
      <c r="D75" s="85">
        <f>VLOOKUP(A75,PrivateInvestment!A:B,2,)</f>
        <v/>
      </c>
      <c r="E75" s="85">
        <f>VLOOKUP(A75,Exports!A:B,2,)</f>
        <v/>
      </c>
      <c r="F75" s="85">
        <f>VLOOKUP(A75,Imports!A:B,2,)</f>
        <v/>
      </c>
      <c r="G75" s="85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12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5">
        <f>VLOOKUP(A76,'U.S. GDP'!A:B,2,)</f>
        <v/>
      </c>
      <c r="C76" s="85">
        <f>VLOOKUP(A76,PersonalConsumption!A:B,2,)</f>
        <v/>
      </c>
      <c r="D76" s="85">
        <f>VLOOKUP(A76,PrivateInvestment!A:B,2,)</f>
        <v/>
      </c>
      <c r="E76" s="85">
        <f>VLOOKUP(A76,Exports!A:B,2,)</f>
        <v/>
      </c>
      <c r="F76" s="85">
        <f>VLOOKUP(A76,Imports!A:B,2,)</f>
        <v/>
      </c>
      <c r="G76" s="85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12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5">
        <f>VLOOKUP(A77,'U.S. GDP'!A:B,2,)</f>
        <v/>
      </c>
      <c r="C77" s="85">
        <f>VLOOKUP(A77,PersonalConsumption!A:B,2,)</f>
        <v/>
      </c>
      <c r="D77" s="85">
        <f>VLOOKUP(A77,PrivateInvestment!A:B,2,)</f>
        <v/>
      </c>
      <c r="E77" s="85">
        <f>VLOOKUP(A77,Exports!A:B,2,)</f>
        <v/>
      </c>
      <c r="F77" s="85">
        <f>VLOOKUP(A77,Imports!A:B,2,)</f>
        <v/>
      </c>
      <c r="G77" s="85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12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5">
        <f>VLOOKUP(A78,'U.S. GDP'!A:B,2,)</f>
        <v/>
      </c>
      <c r="C78" s="85">
        <f>VLOOKUP(A78,PersonalConsumption!A:B,2,)</f>
        <v/>
      </c>
      <c r="D78" s="85">
        <f>VLOOKUP(A78,PrivateInvestment!A:B,2,)</f>
        <v/>
      </c>
      <c r="E78" s="85">
        <f>VLOOKUP(A78,Exports!A:B,2,)</f>
        <v/>
      </c>
      <c r="F78" s="85">
        <f>VLOOKUP(A78,Imports!A:B,2,)</f>
        <v/>
      </c>
      <c r="G78" s="85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12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5">
        <f>VLOOKUP(A79,'U.S. GDP'!A:B,2,)</f>
        <v/>
      </c>
      <c r="C79" s="85">
        <f>VLOOKUP(A79,PersonalConsumption!A:B,2,)</f>
        <v/>
      </c>
      <c r="D79" s="85">
        <f>VLOOKUP(A79,PrivateInvestment!A:B,2,)</f>
        <v/>
      </c>
      <c r="E79" s="85">
        <f>VLOOKUP(A79,Exports!A:B,2,)</f>
        <v/>
      </c>
      <c r="F79" s="85">
        <f>VLOOKUP(A79,Imports!A:B,2,)</f>
        <v/>
      </c>
      <c r="G79" s="85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12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5">
        <f>VLOOKUP(A80,'U.S. GDP'!A:B,2,)</f>
        <v/>
      </c>
      <c r="C80" s="85">
        <f>VLOOKUP(A80,PersonalConsumption!A:B,2,)</f>
        <v/>
      </c>
      <c r="D80" s="85">
        <f>VLOOKUP(A80,PrivateInvestment!A:B,2,)</f>
        <v/>
      </c>
      <c r="E80" s="85">
        <f>VLOOKUP(A80,Exports!A:B,2,)</f>
        <v/>
      </c>
      <c r="F80" s="85">
        <f>VLOOKUP(A80,Imports!A:B,2,)</f>
        <v/>
      </c>
      <c r="G80" s="85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12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5">
        <f>VLOOKUP(A81,'U.S. GDP'!A:B,2,)</f>
        <v/>
      </c>
      <c r="C81" s="85">
        <f>VLOOKUP(A81,PersonalConsumption!A:B,2,)</f>
        <v/>
      </c>
      <c r="D81" s="85">
        <f>VLOOKUP(A81,PrivateInvestment!A:B,2,)</f>
        <v/>
      </c>
      <c r="E81" s="85">
        <f>VLOOKUP(A81,Exports!A:B,2,)</f>
        <v/>
      </c>
      <c r="F81" s="85">
        <f>VLOOKUP(A81,Imports!A:B,2,)</f>
        <v/>
      </c>
      <c r="G81" s="85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12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5">
        <f>VLOOKUP(A82,'U.S. GDP'!A:B,2,)</f>
        <v/>
      </c>
      <c r="C82" s="85">
        <f>VLOOKUP(A82,PersonalConsumption!A:B,2,)</f>
        <v/>
      </c>
      <c r="D82" s="85">
        <f>VLOOKUP(A82,PrivateInvestment!A:B,2,)</f>
        <v/>
      </c>
      <c r="E82" s="85">
        <f>VLOOKUP(A82,Exports!A:B,2,)</f>
        <v/>
      </c>
      <c r="F82" s="85">
        <f>VLOOKUP(A82,Imports!A:B,2,)</f>
        <v/>
      </c>
      <c r="G82" s="85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12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5">
        <f>VLOOKUP(A83,'U.S. GDP'!A:B,2,)</f>
        <v/>
      </c>
      <c r="C83" s="85">
        <f>VLOOKUP(A83,PersonalConsumption!A:B,2,)</f>
        <v/>
      </c>
      <c r="D83" s="85">
        <f>VLOOKUP(A83,PrivateInvestment!A:B,2,)</f>
        <v/>
      </c>
      <c r="E83" s="85">
        <f>VLOOKUP(A83,Exports!A:B,2,)</f>
        <v/>
      </c>
      <c r="F83" s="85">
        <f>VLOOKUP(A83,Imports!A:B,2,)</f>
        <v/>
      </c>
      <c r="G83" s="85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12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5">
        <f>VLOOKUP(A84,'U.S. GDP'!A:B,2,)</f>
        <v/>
      </c>
      <c r="C84" s="85">
        <f>VLOOKUP(A84,PersonalConsumption!A:B,2,)</f>
        <v/>
      </c>
      <c r="D84" s="85">
        <f>VLOOKUP(A84,PrivateInvestment!A:B,2,)</f>
        <v/>
      </c>
      <c r="E84" s="85">
        <f>VLOOKUP(A84,Exports!A:B,2,)</f>
        <v/>
      </c>
      <c r="F84" s="85">
        <f>VLOOKUP(A84,Imports!A:B,2,)</f>
        <v/>
      </c>
      <c r="G84" s="85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12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5">
        <f>VLOOKUP(A85,'U.S. GDP'!A:B,2,)</f>
        <v/>
      </c>
      <c r="C85" s="85">
        <f>VLOOKUP(A85,PersonalConsumption!A:B,2,)</f>
        <v/>
      </c>
      <c r="D85" s="85">
        <f>VLOOKUP(A85,PrivateInvestment!A:B,2,)</f>
        <v/>
      </c>
      <c r="E85" s="85">
        <f>VLOOKUP(A85,Exports!A:B,2,)</f>
        <v/>
      </c>
      <c r="F85" s="85">
        <f>VLOOKUP(A85,Imports!A:B,2,)</f>
        <v/>
      </c>
      <c r="G85" s="85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12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5">
        <f>VLOOKUP(A86,'U.S. GDP'!A:B,2,)</f>
        <v/>
      </c>
      <c r="C86" s="85">
        <f>VLOOKUP(A86,PersonalConsumption!A:B,2,)</f>
        <v/>
      </c>
      <c r="D86" s="85">
        <f>VLOOKUP(A86,PrivateInvestment!A:B,2,)</f>
        <v/>
      </c>
      <c r="E86" s="85">
        <f>VLOOKUP(A86,Exports!A:B,2,)</f>
        <v/>
      </c>
      <c r="F86" s="85">
        <f>VLOOKUP(A86,Imports!A:B,2,)</f>
        <v/>
      </c>
      <c r="G86" s="85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12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5">
        <f>VLOOKUP(A87,'U.S. GDP'!A:B,2,)</f>
        <v/>
      </c>
      <c r="C87" s="85">
        <f>VLOOKUP(A87,PersonalConsumption!A:B,2,)</f>
        <v/>
      </c>
      <c r="D87" s="85">
        <f>VLOOKUP(A87,PrivateInvestment!A:B,2,)</f>
        <v/>
      </c>
      <c r="E87" s="85">
        <f>VLOOKUP(A87,Exports!A:B,2,)</f>
        <v/>
      </c>
      <c r="F87" s="85">
        <f>VLOOKUP(A87,Imports!A:B,2,)</f>
        <v/>
      </c>
      <c r="G87" s="85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12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5">
        <f>VLOOKUP(A88,'U.S. GDP'!A:B,2,)</f>
        <v/>
      </c>
      <c r="C88" s="85">
        <f>VLOOKUP(A88,PersonalConsumption!A:B,2,)</f>
        <v/>
      </c>
      <c r="D88" s="85">
        <f>VLOOKUP(A88,PrivateInvestment!A:B,2,)</f>
        <v/>
      </c>
      <c r="E88" s="85">
        <f>VLOOKUP(A88,Exports!A:B,2,)</f>
        <v/>
      </c>
      <c r="F88" s="85">
        <f>VLOOKUP(A88,Imports!A:B,2,)</f>
        <v/>
      </c>
      <c r="G88" s="85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12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5">
        <f>VLOOKUP(A89,'U.S. GDP'!A:B,2,)</f>
        <v/>
      </c>
      <c r="C89" s="85">
        <f>VLOOKUP(A89,PersonalConsumption!A:B,2,)</f>
        <v/>
      </c>
      <c r="D89" s="85">
        <f>VLOOKUP(A89,PrivateInvestment!A:B,2,)</f>
        <v/>
      </c>
      <c r="E89" s="85">
        <f>VLOOKUP(A89,Exports!A:B,2,)</f>
        <v/>
      </c>
      <c r="F89" s="85">
        <f>VLOOKUP(A89,Imports!A:B,2,)</f>
        <v/>
      </c>
      <c r="G89" s="85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12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5">
        <f>VLOOKUP(A90,'U.S. GDP'!A:B,2,)</f>
        <v/>
      </c>
      <c r="C90" s="85">
        <f>VLOOKUP(A90,PersonalConsumption!A:B,2,)</f>
        <v/>
      </c>
      <c r="D90" s="85">
        <f>VLOOKUP(A90,PrivateInvestment!A:B,2,)</f>
        <v/>
      </c>
      <c r="E90" s="85">
        <f>VLOOKUP(A90,Exports!A:B,2,)</f>
        <v/>
      </c>
      <c r="F90" s="85">
        <f>VLOOKUP(A90,Imports!A:B,2,)</f>
        <v/>
      </c>
      <c r="G90" s="85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12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5">
        <f>VLOOKUP(A91,'U.S. GDP'!A:B,2,)</f>
        <v/>
      </c>
      <c r="C91" s="85">
        <f>VLOOKUP(A91,PersonalConsumption!A:B,2,)</f>
        <v/>
      </c>
      <c r="D91" s="85">
        <f>VLOOKUP(A91,PrivateInvestment!A:B,2,)</f>
        <v/>
      </c>
      <c r="E91" s="85">
        <f>VLOOKUP(A91,Exports!A:B,2,)</f>
        <v/>
      </c>
      <c r="F91" s="85">
        <f>VLOOKUP(A91,Imports!A:B,2,)</f>
        <v/>
      </c>
      <c r="G91" s="85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12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5">
        <f>VLOOKUP(A92,'U.S. GDP'!A:B,2,)</f>
        <v/>
      </c>
      <c r="C92" s="85">
        <f>VLOOKUP(A92,PersonalConsumption!A:B,2,)</f>
        <v/>
      </c>
      <c r="D92" s="85">
        <f>VLOOKUP(A92,PrivateInvestment!A:B,2,)</f>
        <v/>
      </c>
      <c r="E92" s="85">
        <f>VLOOKUP(A92,Exports!A:B,2,)</f>
        <v/>
      </c>
      <c r="F92" s="85">
        <f>VLOOKUP(A92,Imports!A:B,2,)</f>
        <v/>
      </c>
      <c r="G92" s="85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12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5">
        <f>VLOOKUP(A93,'U.S. GDP'!A:B,2,)</f>
        <v/>
      </c>
      <c r="C93" s="85">
        <f>VLOOKUP(A93,PersonalConsumption!A:B,2,)</f>
        <v/>
      </c>
      <c r="D93" s="85">
        <f>VLOOKUP(A93,PrivateInvestment!A:B,2,)</f>
        <v/>
      </c>
      <c r="E93" s="85">
        <f>VLOOKUP(A93,Exports!A:B,2,)</f>
        <v/>
      </c>
      <c r="F93" s="85">
        <f>VLOOKUP(A93,Imports!A:B,2,)</f>
        <v/>
      </c>
      <c r="G93" s="85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12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5">
        <f>VLOOKUP(A94,'U.S. GDP'!A:B,2,)</f>
        <v/>
      </c>
      <c r="C94" s="85">
        <f>VLOOKUP(A94,PersonalConsumption!A:B,2,)</f>
        <v/>
      </c>
      <c r="D94" s="85">
        <f>VLOOKUP(A94,PrivateInvestment!A:B,2,)</f>
        <v/>
      </c>
      <c r="E94" s="85">
        <f>VLOOKUP(A94,Exports!A:B,2,)</f>
        <v/>
      </c>
      <c r="F94" s="85">
        <f>VLOOKUP(A94,Imports!A:B,2,)</f>
        <v/>
      </c>
      <c r="G94" s="85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12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5">
        <f>VLOOKUP(A95,'U.S. GDP'!A:B,2,)</f>
        <v/>
      </c>
      <c r="C95" s="85">
        <f>VLOOKUP(A95,PersonalConsumption!A:B,2,)</f>
        <v/>
      </c>
      <c r="D95" s="85">
        <f>VLOOKUP(A95,PrivateInvestment!A:B,2,)</f>
        <v/>
      </c>
      <c r="E95" s="85">
        <f>VLOOKUP(A95,Exports!A:B,2,)</f>
        <v/>
      </c>
      <c r="F95" s="85">
        <f>VLOOKUP(A95,Imports!A:B,2,)</f>
        <v/>
      </c>
      <c r="G95" s="85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12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5">
        <f>VLOOKUP(A96,'U.S. GDP'!A:B,2,)</f>
        <v/>
      </c>
      <c r="C96" s="85">
        <f>VLOOKUP(A96,PersonalConsumption!A:B,2,)</f>
        <v/>
      </c>
      <c r="D96" s="85">
        <f>VLOOKUP(A96,PrivateInvestment!A:B,2,)</f>
        <v/>
      </c>
      <c r="E96" s="85">
        <f>VLOOKUP(A96,Exports!A:B,2,)</f>
        <v/>
      </c>
      <c r="F96" s="85">
        <f>VLOOKUP(A96,Imports!A:B,2,)</f>
        <v/>
      </c>
      <c r="G96" s="85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12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5">
        <f>VLOOKUP(A97,'U.S. GDP'!A:B,2,)</f>
        <v/>
      </c>
      <c r="C97" s="85">
        <f>VLOOKUP(A97,PersonalConsumption!A:B,2,)</f>
        <v/>
      </c>
      <c r="D97" s="85">
        <f>VLOOKUP(A97,PrivateInvestment!A:B,2,)</f>
        <v/>
      </c>
      <c r="E97" s="85">
        <f>VLOOKUP(A97,Exports!A:B,2,)</f>
        <v/>
      </c>
      <c r="F97" s="85">
        <f>VLOOKUP(A97,Imports!A:B,2,)</f>
        <v/>
      </c>
      <c r="G97" s="85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12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5">
        <f>VLOOKUP(A98,'U.S. GDP'!A:B,2,)</f>
        <v/>
      </c>
      <c r="C98" s="85">
        <f>VLOOKUP(A98,PersonalConsumption!A:B,2,)</f>
        <v/>
      </c>
      <c r="D98" s="85">
        <f>VLOOKUP(A98,PrivateInvestment!A:B,2,)</f>
        <v/>
      </c>
      <c r="E98" s="85">
        <f>VLOOKUP(A98,Exports!A:B,2,)</f>
        <v/>
      </c>
      <c r="F98" s="85">
        <f>VLOOKUP(A98,Imports!A:B,2,)</f>
        <v/>
      </c>
      <c r="G98" s="85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12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5">
        <f>VLOOKUP(A99,'U.S. GDP'!A:B,2,)</f>
        <v/>
      </c>
      <c r="C99" s="85">
        <f>VLOOKUP(A99,PersonalConsumption!A:B,2,)</f>
        <v/>
      </c>
      <c r="D99" s="85">
        <f>VLOOKUP(A99,PrivateInvestment!A:B,2,)</f>
        <v/>
      </c>
      <c r="E99" s="85">
        <f>VLOOKUP(A99,Exports!A:B,2,)</f>
        <v/>
      </c>
      <c r="F99" s="85">
        <f>VLOOKUP(A99,Imports!A:B,2,)</f>
        <v/>
      </c>
      <c r="G99" s="85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12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5">
        <f>VLOOKUP(A100,'U.S. GDP'!A:B,2,)</f>
        <v/>
      </c>
      <c r="C100" s="85">
        <f>VLOOKUP(A100,PersonalConsumption!A:B,2,)</f>
        <v/>
      </c>
      <c r="D100" s="85">
        <f>VLOOKUP(A100,PrivateInvestment!A:B,2,)</f>
        <v/>
      </c>
      <c r="E100" s="85">
        <f>VLOOKUP(A100,Exports!A:B,2,)</f>
        <v/>
      </c>
      <c r="F100" s="85">
        <f>VLOOKUP(A100,Imports!A:B,2,)</f>
        <v/>
      </c>
      <c r="G100" s="85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12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5">
        <f>VLOOKUP(A101,'U.S. GDP'!A:B,2,)</f>
        <v/>
      </c>
      <c r="C101" s="85">
        <f>VLOOKUP(A101,PersonalConsumption!A:B,2,)</f>
        <v/>
      </c>
      <c r="D101" s="85">
        <f>VLOOKUP(A101,PrivateInvestment!A:B,2,)</f>
        <v/>
      </c>
      <c r="E101" s="85">
        <f>VLOOKUP(A101,Exports!A:B,2,)</f>
        <v/>
      </c>
      <c r="F101" s="85">
        <f>VLOOKUP(A101,Imports!A:B,2,)</f>
        <v/>
      </c>
      <c r="G101" s="85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12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5">
        <f>VLOOKUP(A102,'U.S. GDP'!A:B,2,)</f>
        <v/>
      </c>
      <c r="C102" s="85">
        <f>VLOOKUP(A102,PersonalConsumption!A:B,2,)</f>
        <v/>
      </c>
      <c r="D102" s="85">
        <f>VLOOKUP(A102,PrivateInvestment!A:B,2,)</f>
        <v/>
      </c>
      <c r="E102" s="85">
        <f>VLOOKUP(A102,Exports!A:B,2,)</f>
        <v/>
      </c>
      <c r="F102" s="85">
        <f>VLOOKUP(A102,Imports!A:B,2,)</f>
        <v/>
      </c>
      <c r="G102" s="85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12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5">
        <f>VLOOKUP(A103,'U.S. GDP'!A:B,2,)</f>
        <v/>
      </c>
      <c r="C103" s="85">
        <f>VLOOKUP(A103,PersonalConsumption!A:B,2,)</f>
        <v/>
      </c>
      <c r="D103" s="85">
        <f>VLOOKUP(A103,PrivateInvestment!A:B,2,)</f>
        <v/>
      </c>
      <c r="E103" s="85">
        <f>VLOOKUP(A103,Exports!A:B,2,)</f>
        <v/>
      </c>
      <c r="F103" s="85">
        <f>VLOOKUP(A103,Imports!A:B,2,)</f>
        <v/>
      </c>
      <c r="G103" s="85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12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5">
        <f>VLOOKUP(A104,'U.S. GDP'!A:B,2,)</f>
        <v/>
      </c>
      <c r="C104" s="85">
        <f>VLOOKUP(A104,PersonalConsumption!A:B,2,)</f>
        <v/>
      </c>
      <c r="D104" s="85">
        <f>VLOOKUP(A104,PrivateInvestment!A:B,2,)</f>
        <v/>
      </c>
      <c r="E104" s="85">
        <f>VLOOKUP(A104,Exports!A:B,2,)</f>
        <v/>
      </c>
      <c r="F104" s="85">
        <f>VLOOKUP(A104,Imports!A:B,2,)</f>
        <v/>
      </c>
      <c r="G104" s="85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12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5">
        <f>VLOOKUP(A105,'U.S. GDP'!A:B,2,)</f>
        <v/>
      </c>
      <c r="C105" s="85">
        <f>VLOOKUP(A105,PersonalConsumption!A:B,2,)</f>
        <v/>
      </c>
      <c r="D105" s="85">
        <f>VLOOKUP(A105,PrivateInvestment!A:B,2,)</f>
        <v/>
      </c>
      <c r="E105" s="85">
        <f>VLOOKUP(A105,Exports!A:B,2,)</f>
        <v/>
      </c>
      <c r="F105" s="85">
        <f>VLOOKUP(A105,Imports!A:B,2,)</f>
        <v/>
      </c>
      <c r="G105" s="85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12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5">
        <f>VLOOKUP(A106,'U.S. GDP'!A:B,2,)</f>
        <v/>
      </c>
      <c r="C106" s="85">
        <f>VLOOKUP(A106,PersonalConsumption!A:B,2,)</f>
        <v/>
      </c>
      <c r="D106" s="85">
        <f>VLOOKUP(A106,PrivateInvestment!A:B,2,)</f>
        <v/>
      </c>
      <c r="E106" s="85">
        <f>VLOOKUP(A106,Exports!A:B,2,)</f>
        <v/>
      </c>
      <c r="F106" s="85">
        <f>VLOOKUP(A106,Imports!A:B,2,)</f>
        <v/>
      </c>
      <c r="G106" s="85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12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5">
        <f>VLOOKUP(A107,'U.S. GDP'!A:B,2,)</f>
        <v/>
      </c>
      <c r="C107" s="85">
        <f>VLOOKUP(A107,PersonalConsumption!A:B,2,)</f>
        <v/>
      </c>
      <c r="D107" s="85">
        <f>VLOOKUP(A107,PrivateInvestment!A:B,2,)</f>
        <v/>
      </c>
      <c r="E107" s="85">
        <f>VLOOKUP(A107,Exports!A:B,2,)</f>
        <v/>
      </c>
      <c r="F107" s="85">
        <f>VLOOKUP(A107,Imports!A:B,2,)</f>
        <v/>
      </c>
      <c r="G107" s="85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12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5">
        <f>VLOOKUP(A108,'U.S. GDP'!A:B,2,)</f>
        <v/>
      </c>
      <c r="C108" s="85">
        <f>VLOOKUP(A108,PersonalConsumption!A:B,2,)</f>
        <v/>
      </c>
      <c r="D108" s="85">
        <f>VLOOKUP(A108,PrivateInvestment!A:B,2,)</f>
        <v/>
      </c>
      <c r="E108" s="85">
        <f>VLOOKUP(A108,Exports!A:B,2,)</f>
        <v/>
      </c>
      <c r="F108" s="85">
        <f>VLOOKUP(A108,Imports!A:B,2,)</f>
        <v/>
      </c>
      <c r="G108" s="85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12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5">
        <f>VLOOKUP(A109,'U.S. GDP'!A:B,2,)</f>
        <v/>
      </c>
      <c r="C109" s="85">
        <f>VLOOKUP(A109,PersonalConsumption!A:B,2,)</f>
        <v/>
      </c>
      <c r="D109" s="85">
        <f>VLOOKUP(A109,PrivateInvestment!A:B,2,)</f>
        <v/>
      </c>
      <c r="E109" s="85">
        <f>VLOOKUP(A109,Exports!A:B,2,)</f>
        <v/>
      </c>
      <c r="F109" s="85">
        <f>VLOOKUP(A109,Imports!A:B,2,)</f>
        <v/>
      </c>
      <c r="G109" s="85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12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5">
        <f>VLOOKUP(A110,'U.S. GDP'!A:B,2,)</f>
        <v/>
      </c>
      <c r="C110" s="85">
        <f>VLOOKUP(A110,PersonalConsumption!A:B,2,)</f>
        <v/>
      </c>
      <c r="D110" s="85">
        <f>VLOOKUP(A110,PrivateInvestment!A:B,2,)</f>
        <v/>
      </c>
      <c r="E110" s="85">
        <f>VLOOKUP(A110,Exports!A:B,2,)</f>
        <v/>
      </c>
      <c r="F110" s="85">
        <f>VLOOKUP(A110,Imports!A:B,2,)</f>
        <v/>
      </c>
      <c r="G110" s="85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12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5">
        <f>VLOOKUP(A111,'U.S. GDP'!A:B,2,)</f>
        <v/>
      </c>
      <c r="C111" s="85">
        <f>VLOOKUP(A111,PersonalConsumption!A:B,2,)</f>
        <v/>
      </c>
      <c r="D111" s="85">
        <f>VLOOKUP(A111,PrivateInvestment!A:B,2,)</f>
        <v/>
      </c>
      <c r="E111" s="85">
        <f>VLOOKUP(A111,Exports!A:B,2,)</f>
        <v/>
      </c>
      <c r="F111" s="85">
        <f>VLOOKUP(A111,Imports!A:B,2,)</f>
        <v/>
      </c>
      <c r="G111" s="85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12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5">
        <f>VLOOKUP(A112,'U.S. GDP'!A:B,2,)</f>
        <v/>
      </c>
      <c r="C112" s="85">
        <f>VLOOKUP(A112,PersonalConsumption!A:B,2,)</f>
        <v/>
      </c>
      <c r="D112" s="85">
        <f>VLOOKUP(A112,PrivateInvestment!A:B,2,)</f>
        <v/>
      </c>
      <c r="E112" s="85">
        <f>VLOOKUP(A112,Exports!A:B,2,)</f>
        <v/>
      </c>
      <c r="F112" s="85">
        <f>VLOOKUP(A112,Imports!A:B,2,)</f>
        <v/>
      </c>
      <c r="G112" s="85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12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5">
        <f>VLOOKUP(A113,'U.S. GDP'!A:B,2,)</f>
        <v/>
      </c>
      <c r="C113" s="85">
        <f>VLOOKUP(A113,PersonalConsumption!A:B,2,)</f>
        <v/>
      </c>
      <c r="D113" s="85">
        <f>VLOOKUP(A113,PrivateInvestment!A:B,2,)</f>
        <v/>
      </c>
      <c r="E113" s="85">
        <f>VLOOKUP(A113,Exports!A:B,2,)</f>
        <v/>
      </c>
      <c r="F113" s="85">
        <f>VLOOKUP(A113,Imports!A:B,2,)</f>
        <v/>
      </c>
      <c r="G113" s="85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12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5">
        <f>VLOOKUP(A114,'U.S. GDP'!A:B,2,)</f>
        <v/>
      </c>
      <c r="C114" s="85">
        <f>VLOOKUP(A114,PersonalConsumption!A:B,2,)</f>
        <v/>
      </c>
      <c r="D114" s="85">
        <f>VLOOKUP(A114,PrivateInvestment!A:B,2,)</f>
        <v/>
      </c>
      <c r="E114" s="85">
        <f>VLOOKUP(A114,Exports!A:B,2,)</f>
        <v/>
      </c>
      <c r="F114" s="85">
        <f>VLOOKUP(A114,Imports!A:B,2,)</f>
        <v/>
      </c>
      <c r="G114" s="85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12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5">
        <f>VLOOKUP(A115,'U.S. GDP'!A:B,2,)</f>
        <v/>
      </c>
      <c r="C115" s="85">
        <f>VLOOKUP(A115,PersonalConsumption!A:B,2,)</f>
        <v/>
      </c>
      <c r="D115" s="85">
        <f>VLOOKUP(A115,PrivateInvestment!A:B,2,)</f>
        <v/>
      </c>
      <c r="E115" s="85">
        <f>VLOOKUP(A115,Exports!A:B,2,)</f>
        <v/>
      </c>
      <c r="F115" s="85">
        <f>VLOOKUP(A115,Imports!A:B,2,)</f>
        <v/>
      </c>
      <c r="G115" s="85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12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5">
        <f>VLOOKUP(A116,'U.S. GDP'!A:B,2,)</f>
        <v/>
      </c>
      <c r="C116" s="85">
        <f>VLOOKUP(A116,PersonalConsumption!A:B,2,)</f>
        <v/>
      </c>
      <c r="D116" s="85">
        <f>VLOOKUP(A116,PrivateInvestment!A:B,2,)</f>
        <v/>
      </c>
      <c r="E116" s="85">
        <f>VLOOKUP(A116,Exports!A:B,2,)</f>
        <v/>
      </c>
      <c r="F116" s="85">
        <f>VLOOKUP(A116,Imports!A:B,2,)</f>
        <v/>
      </c>
      <c r="G116" s="85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12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5">
        <f>VLOOKUP(A117,'U.S. GDP'!A:B,2,)</f>
        <v/>
      </c>
      <c r="C117" s="85">
        <f>VLOOKUP(A117,PersonalConsumption!A:B,2,)</f>
        <v/>
      </c>
      <c r="D117" s="85">
        <f>VLOOKUP(A117,PrivateInvestment!A:B,2,)</f>
        <v/>
      </c>
      <c r="E117" s="85">
        <f>VLOOKUP(A117,Exports!A:B,2,)</f>
        <v/>
      </c>
      <c r="F117" s="85">
        <f>VLOOKUP(A117,Imports!A:B,2,)</f>
        <v/>
      </c>
      <c r="G117" s="85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12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5">
        <f>VLOOKUP(A118,'U.S. GDP'!A:B,2,)</f>
        <v/>
      </c>
      <c r="C118" s="85">
        <f>VLOOKUP(A118,PersonalConsumption!A:B,2,)</f>
        <v/>
      </c>
      <c r="D118" s="85">
        <f>VLOOKUP(A118,PrivateInvestment!A:B,2,)</f>
        <v/>
      </c>
      <c r="E118" s="85">
        <f>VLOOKUP(A118,Exports!A:B,2,)</f>
        <v/>
      </c>
      <c r="F118" s="85">
        <f>VLOOKUP(A118,Imports!A:B,2,)</f>
        <v/>
      </c>
      <c r="G118" s="85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12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5">
        <f>VLOOKUP(A119,'U.S. GDP'!A:B,2,)</f>
        <v/>
      </c>
      <c r="C119" s="85">
        <f>VLOOKUP(A119,PersonalConsumption!A:B,2,)</f>
        <v/>
      </c>
      <c r="D119" s="85">
        <f>VLOOKUP(A119,PrivateInvestment!A:B,2,)</f>
        <v/>
      </c>
      <c r="E119" s="85">
        <f>VLOOKUP(A119,Exports!A:B,2,)</f>
        <v/>
      </c>
      <c r="F119" s="85">
        <f>VLOOKUP(A119,Imports!A:B,2,)</f>
        <v/>
      </c>
      <c r="G119" s="85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12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5">
        <f>VLOOKUP(A120,'U.S. GDP'!A:B,2,)</f>
        <v/>
      </c>
      <c r="C120" s="85">
        <f>VLOOKUP(A120,PersonalConsumption!A:B,2,)</f>
        <v/>
      </c>
      <c r="D120" s="85">
        <f>VLOOKUP(A120,PrivateInvestment!A:B,2,)</f>
        <v/>
      </c>
      <c r="E120" s="85">
        <f>VLOOKUP(A120,Exports!A:B,2,)</f>
        <v/>
      </c>
      <c r="F120" s="85">
        <f>VLOOKUP(A120,Imports!A:B,2,)</f>
        <v/>
      </c>
      <c r="G120" s="85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12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5">
        <f>VLOOKUP(A121,'U.S. GDP'!A:B,2,)</f>
        <v/>
      </c>
      <c r="C121" s="85">
        <f>VLOOKUP(A121,PersonalConsumption!A:B,2,)</f>
        <v/>
      </c>
      <c r="D121" s="85">
        <f>VLOOKUP(A121,PrivateInvestment!A:B,2,)</f>
        <v/>
      </c>
      <c r="E121" s="85">
        <f>VLOOKUP(A121,Exports!A:B,2,)</f>
        <v/>
      </c>
      <c r="F121" s="85">
        <f>VLOOKUP(A121,Imports!A:B,2,)</f>
        <v/>
      </c>
      <c r="G121" s="85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12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5">
        <f>VLOOKUP(A122,'U.S. GDP'!A:B,2,)</f>
        <v/>
      </c>
      <c r="C122" s="85">
        <f>VLOOKUP(A122,PersonalConsumption!A:B,2,)</f>
        <v/>
      </c>
      <c r="D122" s="85">
        <f>VLOOKUP(A122,PrivateInvestment!A:B,2,)</f>
        <v/>
      </c>
      <c r="E122" s="85">
        <f>VLOOKUP(A122,Exports!A:B,2,)</f>
        <v/>
      </c>
      <c r="F122" s="85">
        <f>VLOOKUP(A122,Imports!A:B,2,)</f>
        <v/>
      </c>
      <c r="G122" s="85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12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5">
        <f>VLOOKUP(A123,'U.S. GDP'!A:B,2,)</f>
        <v/>
      </c>
      <c r="C123" s="85">
        <f>VLOOKUP(A123,PersonalConsumption!A:B,2,)</f>
        <v/>
      </c>
      <c r="D123" s="85">
        <f>VLOOKUP(A123,PrivateInvestment!A:B,2,)</f>
        <v/>
      </c>
      <c r="E123" s="85">
        <f>VLOOKUP(A123,Exports!A:B,2,)</f>
        <v/>
      </c>
      <c r="F123" s="85">
        <f>VLOOKUP(A123,Imports!A:B,2,)</f>
        <v/>
      </c>
      <c r="G123" s="85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12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5">
        <f>VLOOKUP(A124,'U.S. GDP'!A:B,2,)</f>
        <v/>
      </c>
      <c r="C124" s="85">
        <f>VLOOKUP(A124,PersonalConsumption!A:B,2,)</f>
        <v/>
      </c>
      <c r="D124" s="85">
        <f>VLOOKUP(A124,PrivateInvestment!A:B,2,)</f>
        <v/>
      </c>
      <c r="E124" s="85">
        <f>VLOOKUP(A124,Exports!A:B,2,)</f>
        <v/>
      </c>
      <c r="F124" s="85">
        <f>VLOOKUP(A124,Imports!A:B,2,)</f>
        <v/>
      </c>
      <c r="G124" s="85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12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5">
        <f>VLOOKUP(A125,'U.S. GDP'!A:B,2,)</f>
        <v/>
      </c>
      <c r="C125" s="85">
        <f>VLOOKUP(A125,PersonalConsumption!A:B,2,)</f>
        <v/>
      </c>
      <c r="D125" s="85">
        <f>VLOOKUP(A125,PrivateInvestment!A:B,2,)</f>
        <v/>
      </c>
      <c r="E125" s="85">
        <f>VLOOKUP(A125,Exports!A:B,2,)</f>
        <v/>
      </c>
      <c r="F125" s="85">
        <f>VLOOKUP(A125,Imports!A:B,2,)</f>
        <v/>
      </c>
      <c r="G125" s="85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12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5">
        <f>VLOOKUP(A126,'U.S. GDP'!A:B,2,)</f>
        <v/>
      </c>
      <c r="C126" s="85">
        <f>VLOOKUP(A126,PersonalConsumption!A:B,2,)</f>
        <v/>
      </c>
      <c r="D126" s="85">
        <f>VLOOKUP(A126,PrivateInvestment!A:B,2,)</f>
        <v/>
      </c>
      <c r="E126" s="85">
        <f>VLOOKUP(A126,Exports!A:B,2,)</f>
        <v/>
      </c>
      <c r="F126" s="85">
        <f>VLOOKUP(A126,Imports!A:B,2,)</f>
        <v/>
      </c>
      <c r="G126" s="85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12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5">
        <f>VLOOKUP(A127,'U.S. GDP'!A:B,2,)</f>
        <v/>
      </c>
      <c r="C127" s="85">
        <f>VLOOKUP(A127,PersonalConsumption!A:B,2,)</f>
        <v/>
      </c>
      <c r="D127" s="85">
        <f>VLOOKUP(A127,PrivateInvestment!A:B,2,)</f>
        <v/>
      </c>
      <c r="E127" s="85">
        <f>VLOOKUP(A127,Exports!A:B,2,)</f>
        <v/>
      </c>
      <c r="F127" s="85">
        <f>VLOOKUP(A127,Imports!A:B,2,)</f>
        <v/>
      </c>
      <c r="G127" s="85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12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5">
        <f>VLOOKUP(A128,'U.S. GDP'!A:B,2,)</f>
        <v/>
      </c>
      <c r="C128" s="85">
        <f>VLOOKUP(A128,PersonalConsumption!A:B,2,)</f>
        <v/>
      </c>
      <c r="D128" s="85">
        <f>VLOOKUP(A128,PrivateInvestment!A:B,2,)</f>
        <v/>
      </c>
      <c r="E128" s="85">
        <f>VLOOKUP(A128,Exports!A:B,2,)</f>
        <v/>
      </c>
      <c r="F128" s="85">
        <f>VLOOKUP(A128,Imports!A:B,2,)</f>
        <v/>
      </c>
      <c r="G128" s="85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12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5">
        <f>VLOOKUP(A129,'U.S. GDP'!A:B,2,)</f>
        <v/>
      </c>
      <c r="C129" s="85">
        <f>VLOOKUP(A129,PersonalConsumption!A:B,2,)</f>
        <v/>
      </c>
      <c r="D129" s="85">
        <f>VLOOKUP(A129,PrivateInvestment!A:B,2,)</f>
        <v/>
      </c>
      <c r="E129" s="85">
        <f>VLOOKUP(A129,Exports!A:B,2,)</f>
        <v/>
      </c>
      <c r="F129" s="85">
        <f>VLOOKUP(A129,Imports!A:B,2,)</f>
        <v/>
      </c>
      <c r="G129" s="85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12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5">
        <f>VLOOKUP(A130,'U.S. GDP'!A:B,2,)</f>
        <v/>
      </c>
      <c r="C130" s="85">
        <f>VLOOKUP(A130,PersonalConsumption!A:B,2,)</f>
        <v/>
      </c>
      <c r="D130" s="85">
        <f>VLOOKUP(A130,PrivateInvestment!A:B,2,)</f>
        <v/>
      </c>
      <c r="E130" s="85">
        <f>VLOOKUP(A130,Exports!A:B,2,)</f>
        <v/>
      </c>
      <c r="F130" s="85">
        <f>VLOOKUP(A130,Imports!A:B,2,)</f>
        <v/>
      </c>
      <c r="G130" s="85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12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5">
        <f>VLOOKUP(A131,'U.S. GDP'!A:B,2,)</f>
        <v/>
      </c>
      <c r="C131" s="85">
        <f>VLOOKUP(A131,PersonalConsumption!A:B,2,)</f>
        <v/>
      </c>
      <c r="D131" s="85">
        <f>VLOOKUP(A131,PrivateInvestment!A:B,2,)</f>
        <v/>
      </c>
      <c r="E131" s="85">
        <f>VLOOKUP(A131,Exports!A:B,2,)</f>
        <v/>
      </c>
      <c r="F131" s="85">
        <f>VLOOKUP(A131,Imports!A:B,2,)</f>
        <v/>
      </c>
      <c r="G131" s="85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12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5">
        <f>VLOOKUP(A132,'U.S. GDP'!A:B,2,)</f>
        <v/>
      </c>
      <c r="C132" s="85">
        <f>VLOOKUP(A132,PersonalConsumption!A:B,2,)</f>
        <v/>
      </c>
      <c r="D132" s="85">
        <f>VLOOKUP(A132,PrivateInvestment!A:B,2,)</f>
        <v/>
      </c>
      <c r="E132" s="85">
        <f>VLOOKUP(A132,Exports!A:B,2,)</f>
        <v/>
      </c>
      <c r="F132" s="85">
        <f>VLOOKUP(A132,Imports!A:B,2,)</f>
        <v/>
      </c>
      <c r="G132" s="85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12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5">
        <f>VLOOKUP(A133,'U.S. GDP'!A:B,2,)</f>
        <v/>
      </c>
      <c r="C133" s="85">
        <f>VLOOKUP(A133,PersonalConsumption!A:B,2,)</f>
        <v/>
      </c>
      <c r="D133" s="85">
        <f>VLOOKUP(A133,PrivateInvestment!A:B,2,)</f>
        <v/>
      </c>
      <c r="E133" s="85">
        <f>VLOOKUP(A133,Exports!A:B,2,)</f>
        <v/>
      </c>
      <c r="F133" s="85">
        <f>VLOOKUP(A133,Imports!A:B,2,)</f>
        <v/>
      </c>
      <c r="G133" s="85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12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5">
        <f>VLOOKUP(A134,'U.S. GDP'!A:B,2,)</f>
        <v/>
      </c>
      <c r="C134" s="85">
        <f>VLOOKUP(A134,PersonalConsumption!A:B,2,)</f>
        <v/>
      </c>
      <c r="D134" s="85">
        <f>VLOOKUP(A134,PrivateInvestment!A:B,2,)</f>
        <v/>
      </c>
      <c r="E134" s="85">
        <f>VLOOKUP(A134,Exports!A:B,2,)</f>
        <v/>
      </c>
      <c r="F134" s="85">
        <f>VLOOKUP(A134,Imports!A:B,2,)</f>
        <v/>
      </c>
      <c r="G134" s="85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12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5">
        <f>VLOOKUP(A135,'U.S. GDP'!A:B,2,)</f>
        <v/>
      </c>
      <c r="C135" s="85">
        <f>VLOOKUP(A135,PersonalConsumption!A:B,2,)</f>
        <v/>
      </c>
      <c r="D135" s="85">
        <f>VLOOKUP(A135,PrivateInvestment!A:B,2,)</f>
        <v/>
      </c>
      <c r="E135" s="85">
        <f>VLOOKUP(A135,Exports!A:B,2,)</f>
        <v/>
      </c>
      <c r="F135" s="85">
        <f>VLOOKUP(A135,Imports!A:B,2,)</f>
        <v/>
      </c>
      <c r="G135" s="85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12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5">
        <f>VLOOKUP(A136,'U.S. GDP'!A:B,2,)</f>
        <v/>
      </c>
      <c r="C136" s="85">
        <f>VLOOKUP(A136,PersonalConsumption!A:B,2,)</f>
        <v/>
      </c>
      <c r="D136" s="85">
        <f>VLOOKUP(A136,PrivateInvestment!A:B,2,)</f>
        <v/>
      </c>
      <c r="E136" s="85">
        <f>VLOOKUP(A136,Exports!A:B,2,)</f>
        <v/>
      </c>
      <c r="F136" s="85">
        <f>VLOOKUP(A136,Imports!A:B,2,)</f>
        <v/>
      </c>
      <c r="G136" s="85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12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5">
        <f>VLOOKUP(A137,'U.S. GDP'!A:B,2,)</f>
        <v/>
      </c>
      <c r="C137" s="85">
        <f>VLOOKUP(A137,PersonalConsumption!A:B,2,)</f>
        <v/>
      </c>
      <c r="D137" s="85">
        <f>VLOOKUP(A137,PrivateInvestment!A:B,2,)</f>
        <v/>
      </c>
      <c r="E137" s="85">
        <f>VLOOKUP(A137,Exports!A:B,2,)</f>
        <v/>
      </c>
      <c r="F137" s="85">
        <f>VLOOKUP(A137,Imports!A:B,2,)</f>
        <v/>
      </c>
      <c r="G137" s="85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12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5">
        <f>VLOOKUP(A138,'U.S. GDP'!A:B,2,)</f>
        <v/>
      </c>
      <c r="C138" s="85">
        <f>VLOOKUP(A138,PersonalConsumption!A:B,2,)</f>
        <v/>
      </c>
      <c r="D138" s="85">
        <f>VLOOKUP(A138,PrivateInvestment!A:B,2,)</f>
        <v/>
      </c>
      <c r="E138" s="85">
        <f>VLOOKUP(A138,Exports!A:B,2,)</f>
        <v/>
      </c>
      <c r="F138" s="85">
        <f>VLOOKUP(A138,Imports!A:B,2,)</f>
        <v/>
      </c>
      <c r="G138" s="85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12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5">
        <f>VLOOKUP(A139,'U.S. GDP'!A:B,2,)</f>
        <v/>
      </c>
      <c r="C139" s="85">
        <f>VLOOKUP(A139,PersonalConsumption!A:B,2,)</f>
        <v/>
      </c>
      <c r="D139" s="85">
        <f>VLOOKUP(A139,PrivateInvestment!A:B,2,)</f>
        <v/>
      </c>
      <c r="E139" s="85">
        <f>VLOOKUP(A139,Exports!A:B,2,)</f>
        <v/>
      </c>
      <c r="F139" s="85">
        <f>VLOOKUP(A139,Imports!A:B,2,)</f>
        <v/>
      </c>
      <c r="G139" s="85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12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5">
        <f>VLOOKUP(A140,'U.S. GDP'!A:B,2,)</f>
        <v/>
      </c>
      <c r="C140" s="85">
        <f>VLOOKUP(A140,PersonalConsumption!A:B,2,)</f>
        <v/>
      </c>
      <c r="D140" s="85">
        <f>VLOOKUP(A140,PrivateInvestment!A:B,2,)</f>
        <v/>
      </c>
      <c r="E140" s="85">
        <f>VLOOKUP(A140,Exports!A:B,2,)</f>
        <v/>
      </c>
      <c r="F140" s="85">
        <f>VLOOKUP(A140,Imports!A:B,2,)</f>
        <v/>
      </c>
      <c r="G140" s="85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12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5">
        <f>VLOOKUP(A141,'U.S. GDP'!A:B,2,)</f>
        <v/>
      </c>
      <c r="C141" s="85">
        <f>VLOOKUP(A141,PersonalConsumption!A:B,2,)</f>
        <v/>
      </c>
      <c r="D141" s="85">
        <f>VLOOKUP(A141,PrivateInvestment!A:B,2,)</f>
        <v/>
      </c>
      <c r="E141" s="85">
        <f>VLOOKUP(A141,Exports!A:B,2,)</f>
        <v/>
      </c>
      <c r="F141" s="85">
        <f>VLOOKUP(A141,Imports!A:B,2,)</f>
        <v/>
      </c>
      <c r="G141" s="85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12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5">
        <f>VLOOKUP(A142,'U.S. GDP'!A:B,2,)</f>
        <v/>
      </c>
      <c r="C142" s="85">
        <f>VLOOKUP(A142,PersonalConsumption!A:B,2,)</f>
        <v/>
      </c>
      <c r="D142" s="85">
        <f>VLOOKUP(A142,PrivateInvestment!A:B,2,)</f>
        <v/>
      </c>
      <c r="E142" s="85">
        <f>VLOOKUP(A142,Exports!A:B,2,)</f>
        <v/>
      </c>
      <c r="F142" s="85">
        <f>VLOOKUP(A142,Imports!A:B,2,)</f>
        <v/>
      </c>
      <c r="G142" s="85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12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5">
        <f>VLOOKUP(A143,'U.S. GDP'!A:B,2,)</f>
        <v/>
      </c>
      <c r="C143" s="85">
        <f>VLOOKUP(A143,PersonalConsumption!A:B,2,)</f>
        <v/>
      </c>
      <c r="D143" s="85">
        <f>VLOOKUP(A143,PrivateInvestment!A:B,2,)</f>
        <v/>
      </c>
      <c r="E143" s="85">
        <f>VLOOKUP(A143,Exports!A:B,2,)</f>
        <v/>
      </c>
      <c r="F143" s="85">
        <f>VLOOKUP(A143,Imports!A:B,2,)</f>
        <v/>
      </c>
      <c r="G143" s="85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12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5">
        <f>VLOOKUP(A144,'U.S. GDP'!A:B,2,)</f>
        <v/>
      </c>
      <c r="C144" s="85">
        <f>VLOOKUP(A144,PersonalConsumption!A:B,2,)</f>
        <v/>
      </c>
      <c r="D144" s="85">
        <f>VLOOKUP(A144,PrivateInvestment!A:B,2,)</f>
        <v/>
      </c>
      <c r="E144" s="85">
        <f>VLOOKUP(A144,Exports!A:B,2,)</f>
        <v/>
      </c>
      <c r="F144" s="85">
        <f>VLOOKUP(A144,Imports!A:B,2,)</f>
        <v/>
      </c>
      <c r="G144" s="85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12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5">
        <f>VLOOKUP(A145,'U.S. GDP'!A:B,2,)</f>
        <v/>
      </c>
      <c r="C145" s="85">
        <f>VLOOKUP(A145,PersonalConsumption!A:B,2,)</f>
        <v/>
      </c>
      <c r="D145" s="85">
        <f>VLOOKUP(A145,PrivateInvestment!A:B,2,)</f>
        <v/>
      </c>
      <c r="E145" s="85">
        <f>VLOOKUP(A145,Exports!A:B,2,)</f>
        <v/>
      </c>
      <c r="F145" s="85">
        <f>VLOOKUP(A145,Imports!A:B,2,)</f>
        <v/>
      </c>
      <c r="G145" s="85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12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5">
        <f>VLOOKUP(A146,'U.S. GDP'!A:B,2,)</f>
        <v/>
      </c>
      <c r="C146" s="85">
        <f>VLOOKUP(A146,PersonalConsumption!A:B,2,)</f>
        <v/>
      </c>
      <c r="D146" s="85">
        <f>VLOOKUP(A146,PrivateInvestment!A:B,2,)</f>
        <v/>
      </c>
      <c r="E146" s="85">
        <f>VLOOKUP(A146,Exports!A:B,2,)</f>
        <v/>
      </c>
      <c r="F146" s="85">
        <f>VLOOKUP(A146,Imports!A:B,2,)</f>
        <v/>
      </c>
      <c r="G146" s="85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12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5">
        <f>VLOOKUP(A147,'U.S. GDP'!A:B,2,)</f>
        <v/>
      </c>
      <c r="C147" s="85">
        <f>VLOOKUP(A147,PersonalConsumption!A:B,2,)</f>
        <v/>
      </c>
      <c r="D147" s="85">
        <f>VLOOKUP(A147,PrivateInvestment!A:B,2,)</f>
        <v/>
      </c>
      <c r="E147" s="85">
        <f>VLOOKUP(A147,Exports!A:B,2,)</f>
        <v/>
      </c>
      <c r="F147" s="85">
        <f>VLOOKUP(A147,Imports!A:B,2,)</f>
        <v/>
      </c>
      <c r="G147" s="85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12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5">
        <f>VLOOKUP(A148,'U.S. GDP'!A:B,2,)</f>
        <v/>
      </c>
      <c r="C148" s="85">
        <f>VLOOKUP(A148,PersonalConsumption!A:B,2,)</f>
        <v/>
      </c>
      <c r="D148" s="85">
        <f>VLOOKUP(A148,PrivateInvestment!A:B,2,)</f>
        <v/>
      </c>
      <c r="E148" s="85">
        <f>VLOOKUP(A148,Exports!A:B,2,)</f>
        <v/>
      </c>
      <c r="F148" s="85">
        <f>VLOOKUP(A148,Imports!A:B,2,)</f>
        <v/>
      </c>
      <c r="G148" s="85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12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5">
        <f>VLOOKUP(A149,'U.S. GDP'!A:B,2,)</f>
        <v/>
      </c>
      <c r="C149" s="85">
        <f>VLOOKUP(A149,PersonalConsumption!A:B,2,)</f>
        <v/>
      </c>
      <c r="D149" s="85">
        <f>VLOOKUP(A149,PrivateInvestment!A:B,2,)</f>
        <v/>
      </c>
      <c r="E149" s="85">
        <f>VLOOKUP(A149,Exports!A:B,2,)</f>
        <v/>
      </c>
      <c r="F149" s="85">
        <f>VLOOKUP(A149,Imports!A:B,2,)</f>
        <v/>
      </c>
      <c r="G149" s="85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12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5">
        <f>VLOOKUP(A150,'U.S. GDP'!A:B,2,)</f>
        <v/>
      </c>
      <c r="C150" s="85">
        <f>VLOOKUP(A150,PersonalConsumption!A:B,2,)</f>
        <v/>
      </c>
      <c r="D150" s="85">
        <f>VLOOKUP(A150,PrivateInvestment!A:B,2,)</f>
        <v/>
      </c>
      <c r="E150" s="85">
        <f>VLOOKUP(A150,Exports!A:B,2,)</f>
        <v/>
      </c>
      <c r="F150" s="85">
        <f>VLOOKUP(A150,Imports!A:B,2,)</f>
        <v/>
      </c>
      <c r="G150" s="85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12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5">
        <f>VLOOKUP(A151,'U.S. GDP'!A:B,2,)</f>
        <v/>
      </c>
      <c r="C151" s="85">
        <f>VLOOKUP(A151,PersonalConsumption!A:B,2,)</f>
        <v/>
      </c>
      <c r="D151" s="85">
        <f>VLOOKUP(A151,PrivateInvestment!A:B,2,)</f>
        <v/>
      </c>
      <c r="E151" s="85">
        <f>VLOOKUP(A151,Exports!A:B,2,)</f>
        <v/>
      </c>
      <c r="F151" s="85">
        <f>VLOOKUP(A151,Imports!A:B,2,)</f>
        <v/>
      </c>
      <c r="G151" s="85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12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5">
        <f>VLOOKUP(A152,'U.S. GDP'!A:B,2,)</f>
        <v/>
      </c>
      <c r="C152" s="85">
        <f>VLOOKUP(A152,PersonalConsumption!A:B,2,)</f>
        <v/>
      </c>
      <c r="D152" s="85">
        <f>VLOOKUP(A152,PrivateInvestment!A:B,2,)</f>
        <v/>
      </c>
      <c r="E152" s="85">
        <f>VLOOKUP(A152,Exports!A:B,2,)</f>
        <v/>
      </c>
      <c r="F152" s="85">
        <f>VLOOKUP(A152,Imports!A:B,2,)</f>
        <v/>
      </c>
      <c r="G152" s="85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12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5">
        <f>VLOOKUP(A153,'U.S. GDP'!A:B,2,)</f>
        <v/>
      </c>
      <c r="C153" s="85">
        <f>VLOOKUP(A153,PersonalConsumption!A:B,2,)</f>
        <v/>
      </c>
      <c r="D153" s="85">
        <f>VLOOKUP(A153,PrivateInvestment!A:B,2,)</f>
        <v/>
      </c>
      <c r="E153" s="85">
        <f>VLOOKUP(A153,Exports!A:B,2,)</f>
        <v/>
      </c>
      <c r="F153" s="85">
        <f>VLOOKUP(A153,Imports!A:B,2,)</f>
        <v/>
      </c>
      <c r="G153" s="85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12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5">
        <f>VLOOKUP(A154,'U.S. GDP'!A:B,2,)</f>
        <v/>
      </c>
      <c r="C154" s="85">
        <f>VLOOKUP(A154,PersonalConsumption!A:B,2,)</f>
        <v/>
      </c>
      <c r="D154" s="85">
        <f>VLOOKUP(A154,PrivateInvestment!A:B,2,)</f>
        <v/>
      </c>
      <c r="E154" s="85">
        <f>VLOOKUP(A154,Exports!A:B,2,)</f>
        <v/>
      </c>
      <c r="F154" s="85">
        <f>VLOOKUP(A154,Imports!A:B,2,)</f>
        <v/>
      </c>
      <c r="G154" s="85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12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5">
        <f>VLOOKUP(A155,'U.S. GDP'!A:B,2,)</f>
        <v/>
      </c>
      <c r="C155" s="85">
        <f>VLOOKUP(A155,PersonalConsumption!A:B,2,)</f>
        <v/>
      </c>
      <c r="D155" s="85">
        <f>VLOOKUP(A155,PrivateInvestment!A:B,2,)</f>
        <v/>
      </c>
      <c r="E155" s="85">
        <f>VLOOKUP(A155,Exports!A:B,2,)</f>
        <v/>
      </c>
      <c r="F155" s="85">
        <f>VLOOKUP(A155,Imports!A:B,2,)</f>
        <v/>
      </c>
      <c r="G155" s="85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12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5">
        <f>VLOOKUP(A156,'U.S. GDP'!A:B,2,)</f>
        <v/>
      </c>
      <c r="C156" s="85">
        <f>VLOOKUP(A156,PersonalConsumption!A:B,2,)</f>
        <v/>
      </c>
      <c r="D156" s="85">
        <f>VLOOKUP(A156,PrivateInvestment!A:B,2,)</f>
        <v/>
      </c>
      <c r="E156" s="85">
        <f>VLOOKUP(A156,Exports!A:B,2,)</f>
        <v/>
      </c>
      <c r="F156" s="85">
        <f>VLOOKUP(A156,Imports!A:B,2,)</f>
        <v/>
      </c>
      <c r="G156" s="85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12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5">
        <f>VLOOKUP(A157,'U.S. GDP'!A:B,2,)</f>
        <v/>
      </c>
      <c r="C157" s="85">
        <f>VLOOKUP(A157,PersonalConsumption!A:B,2,)</f>
        <v/>
      </c>
      <c r="D157" s="85">
        <f>VLOOKUP(A157,PrivateInvestment!A:B,2,)</f>
        <v/>
      </c>
      <c r="E157" s="85">
        <f>VLOOKUP(A157,Exports!A:B,2,)</f>
        <v/>
      </c>
      <c r="F157" s="85">
        <f>VLOOKUP(A157,Imports!A:B,2,)</f>
        <v/>
      </c>
      <c r="G157" s="85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12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5">
        <f>VLOOKUP(A158,'U.S. GDP'!A:B,2,)</f>
        <v/>
      </c>
      <c r="C158" s="85">
        <f>VLOOKUP(A158,PersonalConsumption!A:B,2,)</f>
        <v/>
      </c>
      <c r="D158" s="85">
        <f>VLOOKUP(A158,PrivateInvestment!A:B,2,)</f>
        <v/>
      </c>
      <c r="E158" s="85">
        <f>VLOOKUP(A158,Exports!A:B,2,)</f>
        <v/>
      </c>
      <c r="F158" s="85">
        <f>VLOOKUP(A158,Imports!A:B,2,)</f>
        <v/>
      </c>
      <c r="G158" s="85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12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5">
        <f>VLOOKUP(A159,'U.S. GDP'!A:B,2,)</f>
        <v/>
      </c>
      <c r="C159" s="85">
        <f>VLOOKUP(A159,PersonalConsumption!A:B,2,)</f>
        <v/>
      </c>
      <c r="D159" s="85">
        <f>VLOOKUP(A159,PrivateInvestment!A:B,2,)</f>
        <v/>
      </c>
      <c r="E159" s="85">
        <f>VLOOKUP(A159,Exports!A:B,2,)</f>
        <v/>
      </c>
      <c r="F159" s="85">
        <f>VLOOKUP(A159,Imports!A:B,2,)</f>
        <v/>
      </c>
      <c r="G159" s="85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12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5">
        <f>VLOOKUP(A160,'U.S. GDP'!A:B,2,)</f>
        <v/>
      </c>
      <c r="C160" s="85">
        <f>VLOOKUP(A160,PersonalConsumption!A:B,2,)</f>
        <v/>
      </c>
      <c r="D160" s="85">
        <f>VLOOKUP(A160,PrivateInvestment!A:B,2,)</f>
        <v/>
      </c>
      <c r="E160" s="85">
        <f>VLOOKUP(A160,Exports!A:B,2,)</f>
        <v/>
      </c>
      <c r="F160" s="85">
        <f>VLOOKUP(A160,Imports!A:B,2,)</f>
        <v/>
      </c>
      <c r="G160" s="85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12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5">
        <f>VLOOKUP(A161,'U.S. GDP'!A:B,2,)</f>
        <v/>
      </c>
      <c r="C161" s="85">
        <f>VLOOKUP(A161,PersonalConsumption!A:B,2,)</f>
        <v/>
      </c>
      <c r="D161" s="85">
        <f>VLOOKUP(A161,PrivateInvestment!A:B,2,)</f>
        <v/>
      </c>
      <c r="E161" s="85">
        <f>VLOOKUP(A161,Exports!A:B,2,)</f>
        <v/>
      </c>
      <c r="F161" s="85">
        <f>VLOOKUP(A161,Imports!A:B,2,)</f>
        <v/>
      </c>
      <c r="G161" s="85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12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5">
        <f>VLOOKUP(A162,'U.S. GDP'!A:B,2,)</f>
        <v/>
      </c>
      <c r="C162" s="85">
        <f>VLOOKUP(A162,PersonalConsumption!A:B,2,)</f>
        <v/>
      </c>
      <c r="D162" s="85">
        <f>VLOOKUP(A162,PrivateInvestment!A:B,2,)</f>
        <v/>
      </c>
      <c r="E162" s="85">
        <f>VLOOKUP(A162,Exports!A:B,2,)</f>
        <v/>
      </c>
      <c r="F162" s="85">
        <f>VLOOKUP(A162,Imports!A:B,2,)</f>
        <v/>
      </c>
      <c r="G162" s="85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12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5">
        <f>VLOOKUP(A163,'U.S. GDP'!A:B,2,)</f>
        <v/>
      </c>
      <c r="C163" s="85">
        <f>VLOOKUP(A163,PersonalConsumption!A:B,2,)</f>
        <v/>
      </c>
      <c r="D163" s="85">
        <f>VLOOKUP(A163,PrivateInvestment!A:B,2,)</f>
        <v/>
      </c>
      <c r="E163" s="85">
        <f>VLOOKUP(A163,Exports!A:B,2,)</f>
        <v/>
      </c>
      <c r="F163" s="85">
        <f>VLOOKUP(A163,Imports!A:B,2,)</f>
        <v/>
      </c>
      <c r="G163" s="85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12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5">
        <f>VLOOKUP(A164,'U.S. GDP'!A:B,2,)</f>
        <v/>
      </c>
      <c r="C164" s="85">
        <f>VLOOKUP(A164,PersonalConsumption!A:B,2,)</f>
        <v/>
      </c>
      <c r="D164" s="85">
        <f>VLOOKUP(A164,PrivateInvestment!A:B,2,)</f>
        <v/>
      </c>
      <c r="E164" s="85">
        <f>VLOOKUP(A164,Exports!A:B,2,)</f>
        <v/>
      </c>
      <c r="F164" s="85">
        <f>VLOOKUP(A164,Imports!A:B,2,)</f>
        <v/>
      </c>
      <c r="G164" s="85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12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5">
        <f>VLOOKUP(A165,'U.S. GDP'!A:B,2,)</f>
        <v/>
      </c>
      <c r="C165" s="85">
        <f>VLOOKUP(A165,PersonalConsumption!A:B,2,)</f>
        <v/>
      </c>
      <c r="D165" s="85">
        <f>VLOOKUP(A165,PrivateInvestment!A:B,2,)</f>
        <v/>
      </c>
      <c r="E165" s="85">
        <f>VLOOKUP(A165,Exports!A:B,2,)</f>
        <v/>
      </c>
      <c r="F165" s="85">
        <f>VLOOKUP(A165,Imports!A:B,2,)</f>
        <v/>
      </c>
      <c r="G165" s="85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12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5">
        <f>VLOOKUP(A166,'U.S. GDP'!A:B,2,)</f>
        <v/>
      </c>
      <c r="C166" s="85">
        <f>VLOOKUP(A166,PersonalConsumption!A:B,2,)</f>
        <v/>
      </c>
      <c r="D166" s="85">
        <f>VLOOKUP(A166,PrivateInvestment!A:B,2,)</f>
        <v/>
      </c>
      <c r="E166" s="85">
        <f>VLOOKUP(A166,Exports!A:B,2,)</f>
        <v/>
      </c>
      <c r="F166" s="85">
        <f>VLOOKUP(A166,Imports!A:B,2,)</f>
        <v/>
      </c>
      <c r="G166" s="85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12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5">
        <f>VLOOKUP(A167,'U.S. GDP'!A:B,2,)</f>
        <v/>
      </c>
      <c r="C167" s="85">
        <f>VLOOKUP(A167,PersonalConsumption!A:B,2,)</f>
        <v/>
      </c>
      <c r="D167" s="85">
        <f>VLOOKUP(A167,PrivateInvestment!A:B,2,)</f>
        <v/>
      </c>
      <c r="E167" s="85">
        <f>VLOOKUP(A167,Exports!A:B,2,)</f>
        <v/>
      </c>
      <c r="F167" s="85">
        <f>VLOOKUP(A167,Imports!A:B,2,)</f>
        <v/>
      </c>
      <c r="G167" s="85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12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5">
        <f>VLOOKUP(A168,'U.S. GDP'!A:B,2,)</f>
        <v/>
      </c>
      <c r="C168" s="85">
        <f>VLOOKUP(A168,PersonalConsumption!A:B,2,)</f>
        <v/>
      </c>
      <c r="D168" s="85">
        <f>VLOOKUP(A168,PrivateInvestment!A:B,2,)</f>
        <v/>
      </c>
      <c r="E168" s="85">
        <f>VLOOKUP(A168,Exports!A:B,2,)</f>
        <v/>
      </c>
      <c r="F168" s="85">
        <f>VLOOKUP(A168,Imports!A:B,2,)</f>
        <v/>
      </c>
      <c r="G168" s="85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12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5">
        <f>VLOOKUP(A169,'U.S. GDP'!A:B,2,)</f>
        <v/>
      </c>
      <c r="C169" s="85">
        <f>VLOOKUP(A169,PersonalConsumption!A:B,2,)</f>
        <v/>
      </c>
      <c r="D169" s="85">
        <f>VLOOKUP(A169,PrivateInvestment!A:B,2,)</f>
        <v/>
      </c>
      <c r="E169" s="85">
        <f>VLOOKUP(A169,Exports!A:B,2,)</f>
        <v/>
      </c>
      <c r="F169" s="85">
        <f>VLOOKUP(A169,Imports!A:B,2,)</f>
        <v/>
      </c>
      <c r="G169" s="85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12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5">
        <f>VLOOKUP(A170,'U.S. GDP'!A:B,2,)</f>
        <v/>
      </c>
      <c r="C170" s="85">
        <f>VLOOKUP(A170,PersonalConsumption!A:B,2,)</f>
        <v/>
      </c>
      <c r="D170" s="85">
        <f>VLOOKUP(A170,PrivateInvestment!A:B,2,)</f>
        <v/>
      </c>
      <c r="E170" s="85">
        <f>VLOOKUP(A170,Exports!A:B,2,)</f>
        <v/>
      </c>
      <c r="F170" s="85">
        <f>VLOOKUP(A170,Imports!A:B,2,)</f>
        <v/>
      </c>
      <c r="G170" s="85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12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5">
        <f>VLOOKUP(A171,'U.S. GDP'!A:B,2,)</f>
        <v/>
      </c>
      <c r="C171" s="85">
        <f>VLOOKUP(A171,PersonalConsumption!A:B,2,)</f>
        <v/>
      </c>
      <c r="D171" s="85">
        <f>VLOOKUP(A171,PrivateInvestment!A:B,2,)</f>
        <v/>
      </c>
      <c r="E171" s="85">
        <f>VLOOKUP(A171,Exports!A:B,2,)</f>
        <v/>
      </c>
      <c r="F171" s="85">
        <f>VLOOKUP(A171,Imports!A:B,2,)</f>
        <v/>
      </c>
      <c r="G171" s="85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12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5">
        <f>VLOOKUP(A172,'U.S. GDP'!A:B,2,)</f>
        <v/>
      </c>
      <c r="C172" s="85">
        <f>VLOOKUP(A172,PersonalConsumption!A:B,2,)</f>
        <v/>
      </c>
      <c r="D172" s="85">
        <f>VLOOKUP(A172,PrivateInvestment!A:B,2,)</f>
        <v/>
      </c>
      <c r="E172" s="85">
        <f>VLOOKUP(A172,Exports!A:B,2,)</f>
        <v/>
      </c>
      <c r="F172" s="85">
        <f>VLOOKUP(A172,Imports!A:B,2,)</f>
        <v/>
      </c>
      <c r="G172" s="85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12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5">
        <f>VLOOKUP(A173,'U.S. GDP'!A:B,2,)</f>
        <v/>
      </c>
      <c r="C173" s="85">
        <f>VLOOKUP(A173,PersonalConsumption!A:B,2,)</f>
        <v/>
      </c>
      <c r="D173" s="85">
        <f>VLOOKUP(A173,PrivateInvestment!A:B,2,)</f>
        <v/>
      </c>
      <c r="E173" s="85">
        <f>VLOOKUP(A173,Exports!A:B,2,)</f>
        <v/>
      </c>
      <c r="F173" s="85">
        <f>VLOOKUP(A173,Imports!A:B,2,)</f>
        <v/>
      </c>
      <c r="G173" s="85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12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5">
        <f>VLOOKUP(A174,'U.S. GDP'!A:B,2,)</f>
        <v/>
      </c>
      <c r="C174" s="85">
        <f>VLOOKUP(A174,PersonalConsumption!A:B,2,)</f>
        <v/>
      </c>
      <c r="D174" s="85">
        <f>VLOOKUP(A174,PrivateInvestment!A:B,2,)</f>
        <v/>
      </c>
      <c r="E174" s="85">
        <f>VLOOKUP(A174,Exports!A:B,2,)</f>
        <v/>
      </c>
      <c r="F174" s="85">
        <f>VLOOKUP(A174,Imports!A:B,2,)</f>
        <v/>
      </c>
      <c r="G174" s="85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12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5">
        <f>VLOOKUP(A175,'U.S. GDP'!A:B,2,)</f>
        <v/>
      </c>
      <c r="C175" s="85">
        <f>VLOOKUP(A175,PersonalConsumption!A:B,2,)</f>
        <v/>
      </c>
      <c r="D175" s="85">
        <f>VLOOKUP(A175,PrivateInvestment!A:B,2,)</f>
        <v/>
      </c>
      <c r="E175" s="85">
        <f>VLOOKUP(A175,Exports!A:B,2,)</f>
        <v/>
      </c>
      <c r="F175" s="85">
        <f>VLOOKUP(A175,Imports!A:B,2,)</f>
        <v/>
      </c>
      <c r="G175" s="85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12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5">
        <f>VLOOKUP(A176,'U.S. GDP'!A:B,2,)</f>
        <v/>
      </c>
      <c r="C176" s="85">
        <f>VLOOKUP(A176,PersonalConsumption!A:B,2,)</f>
        <v/>
      </c>
      <c r="D176" s="85">
        <f>VLOOKUP(A176,PrivateInvestment!A:B,2,)</f>
        <v/>
      </c>
      <c r="E176" s="85">
        <f>VLOOKUP(A176,Exports!A:B,2,)</f>
        <v/>
      </c>
      <c r="F176" s="85">
        <f>VLOOKUP(A176,Imports!A:B,2,)</f>
        <v/>
      </c>
      <c r="G176" s="85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12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5">
        <f>VLOOKUP(A177,'U.S. GDP'!A:B,2,)</f>
        <v/>
      </c>
      <c r="C177" s="85">
        <f>VLOOKUP(A177,PersonalConsumption!A:B,2,)</f>
        <v/>
      </c>
      <c r="D177" s="85">
        <f>VLOOKUP(A177,PrivateInvestment!A:B,2,)</f>
        <v/>
      </c>
      <c r="E177" s="85">
        <f>VLOOKUP(A177,Exports!A:B,2,)</f>
        <v/>
      </c>
      <c r="F177" s="85">
        <f>VLOOKUP(A177,Imports!A:B,2,)</f>
        <v/>
      </c>
      <c r="G177" s="85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12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5">
        <f>VLOOKUP(A178,'U.S. GDP'!A:B,2,)</f>
        <v/>
      </c>
      <c r="C178" s="85">
        <f>VLOOKUP(A178,PersonalConsumption!A:B,2,)</f>
        <v/>
      </c>
      <c r="D178" s="85">
        <f>VLOOKUP(A178,PrivateInvestment!A:B,2,)</f>
        <v/>
      </c>
      <c r="E178" s="85">
        <f>VLOOKUP(A178,Exports!A:B,2,)</f>
        <v/>
      </c>
      <c r="F178" s="85">
        <f>VLOOKUP(A178,Imports!A:B,2,)</f>
        <v/>
      </c>
      <c r="G178" s="85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12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5">
        <f>VLOOKUP(A179,'U.S. GDP'!A:B,2,)</f>
        <v/>
      </c>
      <c r="C179" s="85">
        <f>VLOOKUP(A179,PersonalConsumption!A:B,2,)</f>
        <v/>
      </c>
      <c r="D179" s="85">
        <f>VLOOKUP(A179,PrivateInvestment!A:B,2,)</f>
        <v/>
      </c>
      <c r="E179" s="85">
        <f>VLOOKUP(A179,Exports!A:B,2,)</f>
        <v/>
      </c>
      <c r="F179" s="85">
        <f>VLOOKUP(A179,Imports!A:B,2,)</f>
        <v/>
      </c>
      <c r="G179" s="85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12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5">
        <f>VLOOKUP(A180,'U.S. GDP'!A:B,2,)</f>
        <v/>
      </c>
      <c r="C180" s="85">
        <f>VLOOKUP(A180,PersonalConsumption!A:B,2,)</f>
        <v/>
      </c>
      <c r="D180" s="85">
        <f>VLOOKUP(A180,PrivateInvestment!A:B,2,)</f>
        <v/>
      </c>
      <c r="E180" s="85">
        <f>VLOOKUP(A180,Exports!A:B,2,)</f>
        <v/>
      </c>
      <c r="F180" s="85">
        <f>VLOOKUP(A180,Imports!A:B,2,)</f>
        <v/>
      </c>
      <c r="G180" s="85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12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5">
        <f>VLOOKUP(A181,'U.S. GDP'!A:B,2,)</f>
        <v/>
      </c>
      <c r="C181" s="85">
        <f>VLOOKUP(A181,PersonalConsumption!A:B,2,)</f>
        <v/>
      </c>
      <c r="D181" s="85">
        <f>VLOOKUP(A181,PrivateInvestment!A:B,2,)</f>
        <v/>
      </c>
      <c r="E181" s="85">
        <f>VLOOKUP(A181,Exports!A:B,2,)</f>
        <v/>
      </c>
      <c r="F181" s="85">
        <f>VLOOKUP(A181,Imports!A:B,2,)</f>
        <v/>
      </c>
      <c r="G181" s="85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12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5">
        <f>VLOOKUP(A182,'U.S. GDP'!A:B,2,)</f>
        <v/>
      </c>
      <c r="C182" s="85">
        <f>VLOOKUP(A182,PersonalConsumption!A:B,2,)</f>
        <v/>
      </c>
      <c r="D182" s="85">
        <f>VLOOKUP(A182,PrivateInvestment!A:B,2,)</f>
        <v/>
      </c>
      <c r="E182" s="85">
        <f>VLOOKUP(A182,Exports!A:B,2,)</f>
        <v/>
      </c>
      <c r="F182" s="85">
        <f>VLOOKUP(A182,Imports!A:B,2,)</f>
        <v/>
      </c>
      <c r="G182" s="85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12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5">
        <f>VLOOKUP(A183,'U.S. GDP'!A:B,2,)</f>
        <v/>
      </c>
      <c r="C183" s="85">
        <f>VLOOKUP(A183,PersonalConsumption!A:B,2,)</f>
        <v/>
      </c>
      <c r="D183" s="85">
        <f>VLOOKUP(A183,PrivateInvestment!A:B,2,)</f>
        <v/>
      </c>
      <c r="E183" s="85">
        <f>VLOOKUP(A183,Exports!A:B,2,)</f>
        <v/>
      </c>
      <c r="F183" s="85">
        <f>VLOOKUP(A183,Imports!A:B,2,)</f>
        <v/>
      </c>
      <c r="G183" s="85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12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5">
        <f>VLOOKUP(A184,'U.S. GDP'!A:B,2,)</f>
        <v/>
      </c>
      <c r="C184" s="85">
        <f>VLOOKUP(A184,PersonalConsumption!A:B,2,)</f>
        <v/>
      </c>
      <c r="D184" s="85">
        <f>VLOOKUP(A184,PrivateInvestment!A:B,2,)</f>
        <v/>
      </c>
      <c r="E184" s="85">
        <f>VLOOKUP(A184,Exports!A:B,2,)</f>
        <v/>
      </c>
      <c r="F184" s="85">
        <f>VLOOKUP(A184,Imports!A:B,2,)</f>
        <v/>
      </c>
      <c r="G184" s="85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12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5">
        <f>VLOOKUP(A185,'U.S. GDP'!A:B,2,)</f>
        <v/>
      </c>
      <c r="C185" s="85">
        <f>VLOOKUP(A185,PersonalConsumption!A:B,2,)</f>
        <v/>
      </c>
      <c r="D185" s="85">
        <f>VLOOKUP(A185,PrivateInvestment!A:B,2,)</f>
        <v/>
      </c>
      <c r="E185" s="85">
        <f>VLOOKUP(A185,Exports!A:B,2,)</f>
        <v/>
      </c>
      <c r="F185" s="85">
        <f>VLOOKUP(A185,Imports!A:B,2,)</f>
        <v/>
      </c>
      <c r="G185" s="85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12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5">
        <f>VLOOKUP(A186,'U.S. GDP'!A:B,2,)</f>
        <v/>
      </c>
      <c r="C186" s="85">
        <f>VLOOKUP(A186,PersonalConsumption!A:B,2,)</f>
        <v/>
      </c>
      <c r="D186" s="85">
        <f>VLOOKUP(A186,PrivateInvestment!A:B,2,)</f>
        <v/>
      </c>
      <c r="E186" s="85">
        <f>VLOOKUP(A186,Exports!A:B,2,)</f>
        <v/>
      </c>
      <c r="F186" s="85">
        <f>VLOOKUP(A186,Imports!A:B,2,)</f>
        <v/>
      </c>
      <c r="G186" s="85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12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5">
        <f>VLOOKUP(A187,'U.S. GDP'!A:B,2,)</f>
        <v/>
      </c>
      <c r="C187" s="85">
        <f>VLOOKUP(A187,PersonalConsumption!A:B,2,)</f>
        <v/>
      </c>
      <c r="D187" s="85">
        <f>VLOOKUP(A187,PrivateInvestment!A:B,2,)</f>
        <v/>
      </c>
      <c r="E187" s="85">
        <f>VLOOKUP(A187,Exports!A:B,2,)</f>
        <v/>
      </c>
      <c r="F187" s="85">
        <f>VLOOKUP(A187,Imports!A:B,2,)</f>
        <v/>
      </c>
      <c r="G187" s="85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12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5">
        <f>VLOOKUP(A188,'U.S. GDP'!A:B,2,)</f>
        <v/>
      </c>
      <c r="C188" s="85">
        <f>VLOOKUP(A188,PersonalConsumption!A:B,2,)</f>
        <v/>
      </c>
      <c r="D188" s="85">
        <f>VLOOKUP(A188,PrivateInvestment!A:B,2,)</f>
        <v/>
      </c>
      <c r="E188" s="85">
        <f>VLOOKUP(A188,Exports!A:B,2,)</f>
        <v/>
      </c>
      <c r="F188" s="85">
        <f>VLOOKUP(A188,Imports!A:B,2,)</f>
        <v/>
      </c>
      <c r="G188" s="85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12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5">
        <f>VLOOKUP(A189,'U.S. GDP'!A:B,2,)</f>
        <v/>
      </c>
      <c r="C189" s="85">
        <f>VLOOKUP(A189,PersonalConsumption!A:B,2,)</f>
        <v/>
      </c>
      <c r="D189" s="85">
        <f>VLOOKUP(A189,PrivateInvestment!A:B,2,)</f>
        <v/>
      </c>
      <c r="E189" s="85">
        <f>VLOOKUP(A189,Exports!A:B,2,)</f>
        <v/>
      </c>
      <c r="F189" s="85">
        <f>VLOOKUP(A189,Imports!A:B,2,)</f>
        <v/>
      </c>
      <c r="G189" s="85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12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5">
        <f>VLOOKUP(A190,'U.S. GDP'!A:B,2,)</f>
        <v/>
      </c>
      <c r="C190" s="85">
        <f>VLOOKUP(A190,PersonalConsumption!A:B,2,)</f>
        <v/>
      </c>
      <c r="D190" s="85">
        <f>VLOOKUP(A190,PrivateInvestment!A:B,2,)</f>
        <v/>
      </c>
      <c r="E190" s="85">
        <f>VLOOKUP(A190,Exports!A:B,2,)</f>
        <v/>
      </c>
      <c r="F190" s="85">
        <f>VLOOKUP(A190,Imports!A:B,2,)</f>
        <v/>
      </c>
      <c r="G190" s="85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12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5">
        <f>VLOOKUP(A191,'U.S. GDP'!A:B,2,)</f>
        <v/>
      </c>
      <c r="C191" s="85">
        <f>VLOOKUP(A191,PersonalConsumption!A:B,2,)</f>
        <v/>
      </c>
      <c r="D191" s="85">
        <f>VLOOKUP(A191,PrivateInvestment!A:B,2,)</f>
        <v/>
      </c>
      <c r="E191" s="85">
        <f>VLOOKUP(A191,Exports!A:B,2,)</f>
        <v/>
      </c>
      <c r="F191" s="85">
        <f>VLOOKUP(A191,Imports!A:B,2,)</f>
        <v/>
      </c>
      <c r="G191" s="85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12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5">
        <f>VLOOKUP(A192,'U.S. GDP'!A:B,2,)</f>
        <v/>
      </c>
      <c r="C192" s="85">
        <f>VLOOKUP(A192,PersonalConsumption!A:B,2,)</f>
        <v/>
      </c>
      <c r="D192" s="85">
        <f>VLOOKUP(A192,PrivateInvestment!A:B,2,)</f>
        <v/>
      </c>
      <c r="E192" s="85">
        <f>VLOOKUP(A192,Exports!A:B,2,)</f>
        <v/>
      </c>
      <c r="F192" s="85">
        <f>VLOOKUP(A192,Imports!A:B,2,)</f>
        <v/>
      </c>
      <c r="G192" s="85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12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5">
        <f>VLOOKUP(A193,'U.S. GDP'!A:B,2,)</f>
        <v/>
      </c>
      <c r="C193" s="85">
        <f>VLOOKUP(A193,PersonalConsumption!A:B,2,)</f>
        <v/>
      </c>
      <c r="D193" s="85">
        <f>VLOOKUP(A193,PrivateInvestment!A:B,2,)</f>
        <v/>
      </c>
      <c r="E193" s="85">
        <f>VLOOKUP(A193,Exports!A:B,2,)</f>
        <v/>
      </c>
      <c r="F193" s="85">
        <f>VLOOKUP(A193,Imports!A:B,2,)</f>
        <v/>
      </c>
      <c r="G193" s="85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12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5">
        <f>VLOOKUP(A194,'U.S. GDP'!A:B,2,)</f>
        <v/>
      </c>
      <c r="C194" s="85">
        <f>VLOOKUP(A194,PersonalConsumption!A:B,2,)</f>
        <v/>
      </c>
      <c r="D194" s="85">
        <f>VLOOKUP(A194,PrivateInvestment!A:B,2,)</f>
        <v/>
      </c>
      <c r="E194" s="85">
        <f>VLOOKUP(A194,Exports!A:B,2,)</f>
        <v/>
      </c>
      <c r="F194" s="85">
        <f>VLOOKUP(A194,Imports!A:B,2,)</f>
        <v/>
      </c>
      <c r="G194" s="85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12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5">
        <f>VLOOKUP(A195,'U.S. GDP'!A:B,2,)</f>
        <v/>
      </c>
      <c r="C195" s="85">
        <f>VLOOKUP(A195,PersonalConsumption!A:B,2,)</f>
        <v/>
      </c>
      <c r="D195" s="85">
        <f>VLOOKUP(A195,PrivateInvestment!A:B,2,)</f>
        <v/>
      </c>
      <c r="E195" s="85">
        <f>VLOOKUP(A195,Exports!A:B,2,)</f>
        <v/>
      </c>
      <c r="F195" s="85">
        <f>VLOOKUP(A195,Imports!A:B,2,)</f>
        <v/>
      </c>
      <c r="G195" s="85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12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5">
        <f>VLOOKUP(A196,'U.S. GDP'!A:B,2,)</f>
        <v/>
      </c>
      <c r="C196" s="85">
        <f>VLOOKUP(A196,PersonalConsumption!A:B,2,)</f>
        <v/>
      </c>
      <c r="D196" s="85">
        <f>VLOOKUP(A196,PrivateInvestment!A:B,2,)</f>
        <v/>
      </c>
      <c r="E196" s="85">
        <f>VLOOKUP(A196,Exports!A:B,2,)</f>
        <v/>
      </c>
      <c r="F196" s="85">
        <f>VLOOKUP(A196,Imports!A:B,2,)</f>
        <v/>
      </c>
      <c r="G196" s="85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12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5">
        <f>VLOOKUP(A197,'U.S. GDP'!A:B,2,)</f>
        <v/>
      </c>
      <c r="C197" s="85">
        <f>VLOOKUP(A197,PersonalConsumption!A:B,2,)</f>
        <v/>
      </c>
      <c r="D197" s="85">
        <f>VLOOKUP(A197,PrivateInvestment!A:B,2,)</f>
        <v/>
      </c>
      <c r="E197" s="85">
        <f>VLOOKUP(A197,Exports!A:B,2,)</f>
        <v/>
      </c>
      <c r="F197" s="85">
        <f>VLOOKUP(A197,Imports!A:B,2,)</f>
        <v/>
      </c>
      <c r="G197" s="85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12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5">
        <f>VLOOKUP(A198,'U.S. GDP'!A:B,2,)</f>
        <v/>
      </c>
      <c r="C198" s="85">
        <f>VLOOKUP(A198,PersonalConsumption!A:B,2,)</f>
        <v/>
      </c>
      <c r="D198" s="85">
        <f>VLOOKUP(A198,PrivateInvestment!A:B,2,)</f>
        <v/>
      </c>
      <c r="E198" s="85">
        <f>VLOOKUP(A198,Exports!A:B,2,)</f>
        <v/>
      </c>
      <c r="F198" s="85">
        <f>VLOOKUP(A198,Imports!A:B,2,)</f>
        <v/>
      </c>
      <c r="G198" s="85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12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5">
        <f>VLOOKUP(A199,'U.S. GDP'!A:B,2,)</f>
        <v/>
      </c>
      <c r="C199" s="85">
        <f>VLOOKUP(A199,PersonalConsumption!A:B,2,)</f>
        <v/>
      </c>
      <c r="D199" s="85">
        <f>VLOOKUP(A199,PrivateInvestment!A:B,2,)</f>
        <v/>
      </c>
      <c r="E199" s="85">
        <f>VLOOKUP(A199,Exports!A:B,2,)</f>
        <v/>
      </c>
      <c r="F199" s="85">
        <f>VLOOKUP(A199,Imports!A:B,2,)</f>
        <v/>
      </c>
      <c r="G199" s="85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12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5">
        <f>VLOOKUP(A200,'U.S. GDP'!A:B,2,)</f>
        <v/>
      </c>
      <c r="C200" s="85">
        <f>VLOOKUP(A200,PersonalConsumption!A:B,2,)</f>
        <v/>
      </c>
      <c r="D200" s="85">
        <f>VLOOKUP(A200,PrivateInvestment!A:B,2,)</f>
        <v/>
      </c>
      <c r="E200" s="85">
        <f>VLOOKUP(A200,Exports!A:B,2,)</f>
        <v/>
      </c>
      <c r="F200" s="85">
        <f>VLOOKUP(A200,Imports!A:B,2,)</f>
        <v/>
      </c>
      <c r="G200" s="85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12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5">
        <f>VLOOKUP(A201,'U.S. GDP'!A:B,2,)</f>
        <v/>
      </c>
      <c r="C201" s="85">
        <f>VLOOKUP(A201,PersonalConsumption!A:B,2,)</f>
        <v/>
      </c>
      <c r="D201" s="85">
        <f>VLOOKUP(A201,PrivateInvestment!A:B,2,)</f>
        <v/>
      </c>
      <c r="E201" s="85">
        <f>VLOOKUP(A201,Exports!A:B,2,)</f>
        <v/>
      </c>
      <c r="F201" s="85">
        <f>VLOOKUP(A201,Imports!A:B,2,)</f>
        <v/>
      </c>
      <c r="G201" s="85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12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5">
        <f>VLOOKUP(A202,'U.S. GDP'!A:B,2,)</f>
        <v/>
      </c>
      <c r="C202" s="85">
        <f>VLOOKUP(A202,PersonalConsumption!A:B,2,)</f>
        <v/>
      </c>
      <c r="D202" s="85">
        <f>VLOOKUP(A202,PrivateInvestment!A:B,2,)</f>
        <v/>
      </c>
      <c r="E202" s="85">
        <f>VLOOKUP(A202,Exports!A:B,2,)</f>
        <v/>
      </c>
      <c r="F202" s="85">
        <f>VLOOKUP(A202,Imports!A:B,2,)</f>
        <v/>
      </c>
      <c r="G202" s="85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12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5">
        <f>VLOOKUP(A203,'U.S. GDP'!A:B,2,)</f>
        <v/>
      </c>
      <c r="C203" s="85">
        <f>VLOOKUP(A203,PersonalConsumption!A:B,2,)</f>
        <v/>
      </c>
      <c r="D203" s="85">
        <f>VLOOKUP(A203,PrivateInvestment!A:B,2,)</f>
        <v/>
      </c>
      <c r="E203" s="85">
        <f>VLOOKUP(A203,Exports!A:B,2,)</f>
        <v/>
      </c>
      <c r="F203" s="85">
        <f>VLOOKUP(A203,Imports!A:B,2,)</f>
        <v/>
      </c>
      <c r="G203" s="85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12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5">
        <f>VLOOKUP(A204,'U.S. GDP'!A:B,2,)</f>
        <v/>
      </c>
      <c r="C204" s="85">
        <f>VLOOKUP(A204,PersonalConsumption!A:B,2,)</f>
        <v/>
      </c>
      <c r="D204" s="85">
        <f>VLOOKUP(A204,PrivateInvestment!A:B,2,)</f>
        <v/>
      </c>
      <c r="E204" s="85">
        <f>VLOOKUP(A204,Exports!A:B,2,)</f>
        <v/>
      </c>
      <c r="F204" s="85">
        <f>VLOOKUP(A204,Imports!A:B,2,)</f>
        <v/>
      </c>
      <c r="G204" s="85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12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5">
        <f>VLOOKUP(A205,'U.S. GDP'!A:B,2,)</f>
        <v/>
      </c>
      <c r="C205" s="85">
        <f>VLOOKUP(A205,PersonalConsumption!A:B,2,)</f>
        <v/>
      </c>
      <c r="D205" s="85">
        <f>VLOOKUP(A205,PrivateInvestment!A:B,2,)</f>
        <v/>
      </c>
      <c r="E205" s="85">
        <f>VLOOKUP(A205,Exports!A:B,2,)</f>
        <v/>
      </c>
      <c r="F205" s="85">
        <f>VLOOKUP(A205,Imports!A:B,2,)</f>
        <v/>
      </c>
      <c r="G205" s="85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12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5">
        <f>VLOOKUP(A206,'U.S. GDP'!A:B,2,)</f>
        <v/>
      </c>
      <c r="C206" s="85">
        <f>VLOOKUP(A206,PersonalConsumption!A:B,2,)</f>
        <v/>
      </c>
      <c r="D206" s="85">
        <f>VLOOKUP(A206,PrivateInvestment!A:B,2,)</f>
        <v/>
      </c>
      <c r="E206" s="85">
        <f>VLOOKUP(A206,Exports!A:B,2,)</f>
        <v/>
      </c>
      <c r="F206" s="85">
        <f>VLOOKUP(A206,Imports!A:B,2,)</f>
        <v/>
      </c>
      <c r="G206" s="85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12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5">
        <f>VLOOKUP(A207,'U.S. GDP'!A:B,2,)</f>
        <v/>
      </c>
      <c r="C207" s="85">
        <f>VLOOKUP(A207,PersonalConsumption!A:B,2,)</f>
        <v/>
      </c>
      <c r="D207" s="85">
        <f>VLOOKUP(A207,PrivateInvestment!A:B,2,)</f>
        <v/>
      </c>
      <c r="E207" s="85">
        <f>VLOOKUP(A207,Exports!A:B,2,)</f>
        <v/>
      </c>
      <c r="F207" s="85">
        <f>VLOOKUP(A207,Imports!A:B,2,)</f>
        <v/>
      </c>
      <c r="G207" s="85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12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5">
        <f>VLOOKUP(A208,'U.S. GDP'!A:B,2,)</f>
        <v/>
      </c>
      <c r="C208" s="85">
        <f>VLOOKUP(A208,PersonalConsumption!A:B,2,)</f>
        <v/>
      </c>
      <c r="D208" s="85">
        <f>VLOOKUP(A208,PrivateInvestment!A:B,2,)</f>
        <v/>
      </c>
      <c r="E208" s="85">
        <f>VLOOKUP(A208,Exports!A:B,2,)</f>
        <v/>
      </c>
      <c r="F208" s="85">
        <f>VLOOKUP(A208,Imports!A:B,2,)</f>
        <v/>
      </c>
      <c r="G208" s="85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12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5">
        <f>VLOOKUP(A209,'U.S. GDP'!A:B,2,)</f>
        <v/>
      </c>
      <c r="C209" s="85">
        <f>VLOOKUP(A209,PersonalConsumption!A:B,2,)</f>
        <v/>
      </c>
      <c r="D209" s="85">
        <f>VLOOKUP(A209,PrivateInvestment!A:B,2,)</f>
        <v/>
      </c>
      <c r="E209" s="85">
        <f>VLOOKUP(A209,Exports!A:B,2,)</f>
        <v/>
      </c>
      <c r="F209" s="85">
        <f>VLOOKUP(A209,Imports!A:B,2,)</f>
        <v/>
      </c>
      <c r="G209" s="85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12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5">
        <f>VLOOKUP(A210,'U.S. GDP'!A:B,2,)</f>
        <v/>
      </c>
      <c r="C210" s="85">
        <f>VLOOKUP(A210,PersonalConsumption!A:B,2,)</f>
        <v/>
      </c>
      <c r="D210" s="85">
        <f>VLOOKUP(A210,PrivateInvestment!A:B,2,)</f>
        <v/>
      </c>
      <c r="E210" s="85">
        <f>VLOOKUP(A210,Exports!A:B,2,)</f>
        <v/>
      </c>
      <c r="F210" s="85">
        <f>VLOOKUP(A210,Imports!A:B,2,)</f>
        <v/>
      </c>
      <c r="G210" s="85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12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5">
        <f>VLOOKUP(A211,'U.S. GDP'!A:B,2,)</f>
        <v/>
      </c>
      <c r="C211" s="85">
        <f>VLOOKUP(A211,PersonalConsumption!A:B,2,)</f>
        <v/>
      </c>
      <c r="D211" s="85">
        <f>VLOOKUP(A211,PrivateInvestment!A:B,2,)</f>
        <v/>
      </c>
      <c r="E211" s="85">
        <f>VLOOKUP(A211,Exports!A:B,2,)</f>
        <v/>
      </c>
      <c r="F211" s="85">
        <f>VLOOKUP(A211,Imports!A:B,2,)</f>
        <v/>
      </c>
      <c r="G211" s="85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12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5">
        <f>VLOOKUP(A212,'U.S. GDP'!A:B,2,)</f>
        <v/>
      </c>
      <c r="C212" s="85">
        <f>VLOOKUP(A212,PersonalConsumption!A:B,2,)</f>
        <v/>
      </c>
      <c r="D212" s="85">
        <f>VLOOKUP(A212,PrivateInvestment!A:B,2,)</f>
        <v/>
      </c>
      <c r="E212" s="85">
        <f>VLOOKUP(A212,Exports!A:B,2,)</f>
        <v/>
      </c>
      <c r="F212" s="85">
        <f>VLOOKUP(A212,Imports!A:B,2,)</f>
        <v/>
      </c>
      <c r="G212" s="85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12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5">
        <f>VLOOKUP(A213,'U.S. GDP'!A:B,2,)</f>
        <v/>
      </c>
      <c r="C213" s="85">
        <f>VLOOKUP(A213,PersonalConsumption!A:B,2,)</f>
        <v/>
      </c>
      <c r="D213" s="85">
        <f>VLOOKUP(A213,PrivateInvestment!A:B,2,)</f>
        <v/>
      </c>
      <c r="E213" s="85">
        <f>VLOOKUP(A213,Exports!A:B,2,)</f>
        <v/>
      </c>
      <c r="F213" s="85">
        <f>VLOOKUP(A213,Imports!A:B,2,)</f>
        <v/>
      </c>
      <c r="G213" s="85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12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5">
        <f>VLOOKUP(A214,'U.S. GDP'!A:B,2,)</f>
        <v/>
      </c>
      <c r="C214" s="85">
        <f>VLOOKUP(A214,PersonalConsumption!A:B,2,)</f>
        <v/>
      </c>
      <c r="D214" s="85">
        <f>VLOOKUP(A214,PrivateInvestment!A:B,2,)</f>
        <v/>
      </c>
      <c r="E214" s="85">
        <f>VLOOKUP(A214,Exports!A:B,2,)</f>
        <v/>
      </c>
      <c r="F214" s="85">
        <f>VLOOKUP(A214,Imports!A:B,2,)</f>
        <v/>
      </c>
      <c r="G214" s="85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12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5">
        <f>VLOOKUP(A215,'U.S. GDP'!A:B,2,)</f>
        <v/>
      </c>
      <c r="C215" s="85">
        <f>VLOOKUP(A215,PersonalConsumption!A:B,2,)</f>
        <v/>
      </c>
      <c r="D215" s="85">
        <f>VLOOKUP(A215,PrivateInvestment!A:B,2,)</f>
        <v/>
      </c>
      <c r="E215" s="85">
        <f>VLOOKUP(A215,Exports!A:B,2,)</f>
        <v/>
      </c>
      <c r="F215" s="85">
        <f>VLOOKUP(A215,Imports!A:B,2,)</f>
        <v/>
      </c>
      <c r="G215" s="85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12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5">
        <f>VLOOKUP(A216,'U.S. GDP'!A:B,2,)</f>
        <v/>
      </c>
      <c r="C216" s="85">
        <f>VLOOKUP(A216,PersonalConsumption!A:B,2,)</f>
        <v/>
      </c>
      <c r="D216" s="85">
        <f>VLOOKUP(A216,PrivateInvestment!A:B,2,)</f>
        <v/>
      </c>
      <c r="E216" s="85">
        <f>VLOOKUP(A216,Exports!A:B,2,)</f>
        <v/>
      </c>
      <c r="F216" s="85">
        <f>VLOOKUP(A216,Imports!A:B,2,)</f>
        <v/>
      </c>
      <c r="G216" s="85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12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5">
        <f>VLOOKUP(A217,'U.S. GDP'!A:B,2,)</f>
        <v/>
      </c>
      <c r="C217" s="85">
        <f>VLOOKUP(A217,PersonalConsumption!A:B,2,)</f>
        <v/>
      </c>
      <c r="D217" s="85">
        <f>VLOOKUP(A217,PrivateInvestment!A:B,2,)</f>
        <v/>
      </c>
      <c r="E217" s="85">
        <f>VLOOKUP(A217,Exports!A:B,2,)</f>
        <v/>
      </c>
      <c r="F217" s="85">
        <f>VLOOKUP(A217,Imports!A:B,2,)</f>
        <v/>
      </c>
      <c r="G217" s="85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12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5">
        <f>VLOOKUP(A218,'U.S. GDP'!A:B,2,)</f>
        <v/>
      </c>
      <c r="C218" s="85">
        <f>VLOOKUP(A218,PersonalConsumption!A:B,2,)</f>
        <v/>
      </c>
      <c r="D218" s="85">
        <f>VLOOKUP(A218,PrivateInvestment!A:B,2,)</f>
        <v/>
      </c>
      <c r="E218" s="85">
        <f>VLOOKUP(A218,Exports!A:B,2,)</f>
        <v/>
      </c>
      <c r="F218" s="85">
        <f>VLOOKUP(A218,Imports!A:B,2,)</f>
        <v/>
      </c>
      <c r="G218" s="85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12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5">
        <f>VLOOKUP(A219,'U.S. GDP'!A:B,2,)</f>
        <v/>
      </c>
      <c r="C219" s="85">
        <f>VLOOKUP(A219,PersonalConsumption!A:B,2,)</f>
        <v/>
      </c>
      <c r="D219" s="85">
        <f>VLOOKUP(A219,PrivateInvestment!A:B,2,)</f>
        <v/>
      </c>
      <c r="E219" s="85">
        <f>VLOOKUP(A219,Exports!A:B,2,)</f>
        <v/>
      </c>
      <c r="F219" s="85">
        <f>VLOOKUP(A219,Imports!A:B,2,)</f>
        <v/>
      </c>
      <c r="G219" s="85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12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5">
        <f>VLOOKUP(A220,'U.S. GDP'!A:B,2,)</f>
        <v/>
      </c>
      <c r="C220" s="85">
        <f>VLOOKUP(A220,PersonalConsumption!A:B,2,)</f>
        <v/>
      </c>
      <c r="D220" s="85">
        <f>VLOOKUP(A220,PrivateInvestment!A:B,2,)</f>
        <v/>
      </c>
      <c r="E220" s="85">
        <f>VLOOKUP(A220,Exports!A:B,2,)</f>
        <v/>
      </c>
      <c r="F220" s="85">
        <f>VLOOKUP(A220,Imports!A:B,2,)</f>
        <v/>
      </c>
      <c r="G220" s="85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12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5">
        <f>VLOOKUP(A221,'U.S. GDP'!A:B,2,)</f>
        <v/>
      </c>
      <c r="C221" s="85">
        <f>VLOOKUP(A221,PersonalConsumption!A:B,2,)</f>
        <v/>
      </c>
      <c r="D221" s="85">
        <f>VLOOKUP(A221,PrivateInvestment!A:B,2,)</f>
        <v/>
      </c>
      <c r="E221" s="85">
        <f>VLOOKUP(A221,Exports!A:B,2,)</f>
        <v/>
      </c>
      <c r="F221" s="85">
        <f>VLOOKUP(A221,Imports!A:B,2,)</f>
        <v/>
      </c>
      <c r="G221" s="85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12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5">
        <f>VLOOKUP(A222,'U.S. GDP'!A:B,2,)</f>
        <v/>
      </c>
      <c r="C222" s="85">
        <f>VLOOKUP(A222,PersonalConsumption!A:B,2,)</f>
        <v/>
      </c>
      <c r="D222" s="85">
        <f>VLOOKUP(A222,PrivateInvestment!A:B,2,)</f>
        <v/>
      </c>
      <c r="E222" s="85">
        <f>VLOOKUP(A222,Exports!A:B,2,)</f>
        <v/>
      </c>
      <c r="F222" s="85">
        <f>VLOOKUP(A222,Imports!A:B,2,)</f>
        <v/>
      </c>
      <c r="G222" s="85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12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5">
        <f>VLOOKUP(A223,'U.S. GDP'!A:B,2,)</f>
        <v/>
      </c>
      <c r="C223" s="85">
        <f>VLOOKUP(A223,PersonalConsumption!A:B,2,)</f>
        <v/>
      </c>
      <c r="D223" s="85">
        <f>VLOOKUP(A223,PrivateInvestment!A:B,2,)</f>
        <v/>
      </c>
      <c r="E223" s="85">
        <f>VLOOKUP(A223,Exports!A:B,2,)</f>
        <v/>
      </c>
      <c r="F223" s="85">
        <f>VLOOKUP(A223,Imports!A:B,2,)</f>
        <v/>
      </c>
      <c r="G223" s="85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12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5">
        <f>VLOOKUP(A224,'U.S. GDP'!A:B,2,)</f>
        <v/>
      </c>
      <c r="C224" s="85">
        <f>VLOOKUP(A224,PersonalConsumption!A:B,2,)</f>
        <v/>
      </c>
      <c r="D224" s="85">
        <f>VLOOKUP(A224,PrivateInvestment!A:B,2,)</f>
        <v/>
      </c>
      <c r="E224" s="85">
        <f>VLOOKUP(A224,Exports!A:B,2,)</f>
        <v/>
      </c>
      <c r="F224" s="85">
        <f>VLOOKUP(A224,Imports!A:B,2,)</f>
        <v/>
      </c>
      <c r="G224" s="85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12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5">
        <f>VLOOKUP(A225,'U.S. GDP'!A:B,2,)</f>
        <v/>
      </c>
      <c r="C225" s="85">
        <f>VLOOKUP(A225,PersonalConsumption!A:B,2,)</f>
        <v/>
      </c>
      <c r="D225" s="85">
        <f>VLOOKUP(A225,PrivateInvestment!A:B,2,)</f>
        <v/>
      </c>
      <c r="E225" s="85">
        <f>VLOOKUP(A225,Exports!A:B,2,)</f>
        <v/>
      </c>
      <c r="F225" s="85">
        <f>VLOOKUP(A225,Imports!A:B,2,)</f>
        <v/>
      </c>
      <c r="G225" s="85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12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5">
        <f>VLOOKUP(A226,'U.S. GDP'!A:B,2,)</f>
        <v/>
      </c>
      <c r="C226" s="85">
        <f>VLOOKUP(A226,PersonalConsumption!A:B,2,)</f>
        <v/>
      </c>
      <c r="D226" s="85">
        <f>VLOOKUP(A226,PrivateInvestment!A:B,2,)</f>
        <v/>
      </c>
      <c r="E226" s="85">
        <f>VLOOKUP(A226,Exports!A:B,2,)</f>
        <v/>
      </c>
      <c r="F226" s="85">
        <f>VLOOKUP(A226,Imports!A:B,2,)</f>
        <v/>
      </c>
      <c r="G226" s="85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12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5">
        <f>VLOOKUP(A227,'U.S. GDP'!A:B,2,)</f>
        <v/>
      </c>
      <c r="C227" s="85">
        <f>VLOOKUP(A227,PersonalConsumption!A:B,2,)</f>
        <v/>
      </c>
      <c r="D227" s="85">
        <f>VLOOKUP(A227,PrivateInvestment!A:B,2,)</f>
        <v/>
      </c>
      <c r="E227" s="85">
        <f>VLOOKUP(A227,Exports!A:B,2,)</f>
        <v/>
      </c>
      <c r="F227" s="85">
        <f>VLOOKUP(A227,Imports!A:B,2,)</f>
        <v/>
      </c>
      <c r="G227" s="85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12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5">
        <f>VLOOKUP(A228,'U.S. GDP'!A:B,2,)</f>
        <v/>
      </c>
      <c r="C228" s="85">
        <f>VLOOKUP(A228,PersonalConsumption!A:B,2,)</f>
        <v/>
      </c>
      <c r="D228" s="85">
        <f>VLOOKUP(A228,PrivateInvestment!A:B,2,)</f>
        <v/>
      </c>
      <c r="E228" s="85">
        <f>VLOOKUP(A228,Exports!A:B,2,)</f>
        <v/>
      </c>
      <c r="F228" s="85">
        <f>VLOOKUP(A228,Imports!A:B,2,)</f>
        <v/>
      </c>
      <c r="G228" s="85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12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5">
        <f>VLOOKUP(A229,'U.S. GDP'!A:B,2,)</f>
        <v/>
      </c>
      <c r="C229" s="85">
        <f>VLOOKUP(A229,PersonalConsumption!A:B,2,)</f>
        <v/>
      </c>
      <c r="D229" s="85">
        <f>VLOOKUP(A229,PrivateInvestment!A:B,2,)</f>
        <v/>
      </c>
      <c r="E229" s="85">
        <f>VLOOKUP(A229,Exports!A:B,2,)</f>
        <v/>
      </c>
      <c r="F229" s="85">
        <f>VLOOKUP(A229,Imports!A:B,2,)</f>
        <v/>
      </c>
      <c r="G229" s="85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12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5">
        <f>VLOOKUP(A230,'U.S. GDP'!A:B,2,)</f>
        <v/>
      </c>
      <c r="C230" s="85">
        <f>VLOOKUP(A230,PersonalConsumption!A:B,2,)</f>
        <v/>
      </c>
      <c r="D230" s="85">
        <f>VLOOKUP(A230,PrivateInvestment!A:B,2,)</f>
        <v/>
      </c>
      <c r="E230" s="85">
        <f>VLOOKUP(A230,Exports!A:B,2,)</f>
        <v/>
      </c>
      <c r="F230" s="85">
        <f>VLOOKUP(A230,Imports!A:B,2,)</f>
        <v/>
      </c>
      <c r="G230" s="85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12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5">
        <f>VLOOKUP(A231,'U.S. GDP'!A:B,2,)</f>
        <v/>
      </c>
      <c r="C231" s="85">
        <f>VLOOKUP(A231,PersonalConsumption!A:B,2,)</f>
        <v/>
      </c>
      <c r="D231" s="85">
        <f>VLOOKUP(A231,PrivateInvestment!A:B,2,)</f>
        <v/>
      </c>
      <c r="E231" s="85">
        <f>VLOOKUP(A231,Exports!A:B,2,)</f>
        <v/>
      </c>
      <c r="F231" s="85">
        <f>VLOOKUP(A231,Imports!A:B,2,)</f>
        <v/>
      </c>
      <c r="G231" s="85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12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5">
        <f>VLOOKUP(A232,'U.S. GDP'!A:B,2,)</f>
        <v/>
      </c>
      <c r="C232" s="85">
        <f>VLOOKUP(A232,PersonalConsumption!A:B,2,)</f>
        <v/>
      </c>
      <c r="D232" s="85">
        <f>VLOOKUP(A232,PrivateInvestment!A:B,2,)</f>
        <v/>
      </c>
      <c r="E232" s="85">
        <f>VLOOKUP(A232,Exports!A:B,2,)</f>
        <v/>
      </c>
      <c r="F232" s="85">
        <f>VLOOKUP(A232,Imports!A:B,2,)</f>
        <v/>
      </c>
      <c r="G232" s="85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12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5">
        <f>VLOOKUP(A233,'U.S. GDP'!A:B,2,)</f>
        <v/>
      </c>
      <c r="C233" s="85">
        <f>VLOOKUP(A233,PersonalConsumption!A:B,2,)</f>
        <v/>
      </c>
      <c r="D233" s="85">
        <f>VLOOKUP(A233,PrivateInvestment!A:B,2,)</f>
        <v/>
      </c>
      <c r="E233" s="85">
        <f>VLOOKUP(A233,Exports!A:B,2,)</f>
        <v/>
      </c>
      <c r="F233" s="85">
        <f>VLOOKUP(A233,Imports!A:B,2,)</f>
        <v/>
      </c>
      <c r="G233" s="85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12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5">
        <f>VLOOKUP(A234,'U.S. GDP'!A:B,2,)</f>
        <v/>
      </c>
      <c r="C234" s="85">
        <f>VLOOKUP(A234,PersonalConsumption!A:B,2,)</f>
        <v/>
      </c>
      <c r="D234" s="85">
        <f>VLOOKUP(A234,PrivateInvestment!A:B,2,)</f>
        <v/>
      </c>
      <c r="E234" s="85">
        <f>VLOOKUP(A234,Exports!A:B,2,)</f>
        <v/>
      </c>
      <c r="F234" s="85">
        <f>VLOOKUP(A234,Imports!A:B,2,)</f>
        <v/>
      </c>
      <c r="G234" s="85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12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5">
        <f>VLOOKUP(A235,'U.S. GDP'!A:B,2,)</f>
        <v/>
      </c>
      <c r="C235" s="85">
        <f>VLOOKUP(A235,PersonalConsumption!A:B,2,)</f>
        <v/>
      </c>
      <c r="D235" s="85">
        <f>VLOOKUP(A235,PrivateInvestment!A:B,2,)</f>
        <v/>
      </c>
      <c r="E235" s="85">
        <f>VLOOKUP(A235,Exports!A:B,2,)</f>
        <v/>
      </c>
      <c r="F235" s="85">
        <f>VLOOKUP(A235,Imports!A:B,2,)</f>
        <v/>
      </c>
      <c r="G235" s="85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12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5">
        <f>VLOOKUP(A236,'U.S. GDP'!A:B,2,)</f>
        <v/>
      </c>
      <c r="C236" s="85">
        <f>VLOOKUP(A236,PersonalConsumption!A:B,2,)</f>
        <v/>
      </c>
      <c r="D236" s="85">
        <f>VLOOKUP(A236,PrivateInvestment!A:B,2,)</f>
        <v/>
      </c>
      <c r="E236" s="85">
        <f>VLOOKUP(A236,Exports!A:B,2,)</f>
        <v/>
      </c>
      <c r="F236" s="85">
        <f>VLOOKUP(A236,Imports!A:B,2,)</f>
        <v/>
      </c>
      <c r="G236" s="85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12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5">
        <f>VLOOKUP(A237,'U.S. GDP'!A:B,2,)</f>
        <v/>
      </c>
      <c r="C237" s="85">
        <f>VLOOKUP(A237,PersonalConsumption!A:B,2,)</f>
        <v/>
      </c>
      <c r="D237" s="85">
        <f>VLOOKUP(A237,PrivateInvestment!A:B,2,)</f>
        <v/>
      </c>
      <c r="E237" s="85">
        <f>VLOOKUP(A237,Exports!A:B,2,)</f>
        <v/>
      </c>
      <c r="F237" s="85">
        <f>VLOOKUP(A237,Imports!A:B,2,)</f>
        <v/>
      </c>
      <c r="G237" s="85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12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5">
        <f>VLOOKUP(A238,'U.S. GDP'!A:B,2,)</f>
        <v/>
      </c>
      <c r="C238" s="85">
        <f>VLOOKUP(A238,PersonalConsumption!A:B,2,)</f>
        <v/>
      </c>
      <c r="D238" s="85">
        <f>VLOOKUP(A238,PrivateInvestment!A:B,2,)</f>
        <v/>
      </c>
      <c r="E238" s="85">
        <f>VLOOKUP(A238,Exports!A:B,2,)</f>
        <v/>
      </c>
      <c r="F238" s="85">
        <f>VLOOKUP(A238,Imports!A:B,2,)</f>
        <v/>
      </c>
      <c r="G238" s="85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12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5">
        <f>VLOOKUP(A239,'U.S. GDP'!A:B,2,)</f>
        <v/>
      </c>
      <c r="C239" s="85">
        <f>VLOOKUP(A239,PersonalConsumption!A:B,2,)</f>
        <v/>
      </c>
      <c r="D239" s="85">
        <f>VLOOKUP(A239,PrivateInvestment!A:B,2,)</f>
        <v/>
      </c>
      <c r="E239" s="85">
        <f>VLOOKUP(A239,Exports!A:B,2,)</f>
        <v/>
      </c>
      <c r="F239" s="85">
        <f>VLOOKUP(A239,Imports!A:B,2,)</f>
        <v/>
      </c>
      <c r="G239" s="85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12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5">
        <f>VLOOKUP(A240,'U.S. GDP'!A:B,2,)</f>
        <v/>
      </c>
      <c r="C240" s="85">
        <f>VLOOKUP(A240,PersonalConsumption!A:B,2,)</f>
        <v/>
      </c>
      <c r="D240" s="85">
        <f>VLOOKUP(A240,PrivateInvestment!A:B,2,)</f>
        <v/>
      </c>
      <c r="E240" s="85">
        <f>VLOOKUP(A240,Exports!A:B,2,)</f>
        <v/>
      </c>
      <c r="F240" s="85">
        <f>VLOOKUP(A240,Imports!A:B,2,)</f>
        <v/>
      </c>
      <c r="G240" s="85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12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5">
        <f>VLOOKUP(A241,'U.S. GDP'!A:B,2,)</f>
        <v/>
      </c>
      <c r="C241" s="85">
        <f>VLOOKUP(A241,PersonalConsumption!A:B,2,)</f>
        <v/>
      </c>
      <c r="D241" s="85">
        <f>VLOOKUP(A241,PrivateInvestment!A:B,2,)</f>
        <v/>
      </c>
      <c r="E241" s="85">
        <f>VLOOKUP(A241,Exports!A:B,2,)</f>
        <v/>
      </c>
      <c r="F241" s="85">
        <f>VLOOKUP(A241,Imports!A:B,2,)</f>
        <v/>
      </c>
      <c r="G241" s="85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12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5">
        <f>VLOOKUP(A242,'U.S. GDP'!A:B,2,)</f>
        <v/>
      </c>
      <c r="C242" s="85">
        <f>VLOOKUP(A242,PersonalConsumption!A:B,2,)</f>
        <v/>
      </c>
      <c r="D242" s="85">
        <f>VLOOKUP(A242,PrivateInvestment!A:B,2,)</f>
        <v/>
      </c>
      <c r="E242" s="85">
        <f>VLOOKUP(A242,Exports!A:B,2,)</f>
        <v/>
      </c>
      <c r="F242" s="85">
        <f>VLOOKUP(A242,Imports!A:B,2,)</f>
        <v/>
      </c>
      <c r="G242" s="85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12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5">
        <f>VLOOKUP(A243,'U.S. GDP'!A:B,2,)</f>
        <v/>
      </c>
      <c r="C243" s="85">
        <f>VLOOKUP(A243,PersonalConsumption!A:B,2,)</f>
        <v/>
      </c>
      <c r="D243" s="85">
        <f>VLOOKUP(A243,PrivateInvestment!A:B,2,)</f>
        <v/>
      </c>
      <c r="E243" s="85">
        <f>VLOOKUP(A243,Exports!A:B,2,)</f>
        <v/>
      </c>
      <c r="F243" s="85">
        <f>VLOOKUP(A243,Imports!A:B,2,)</f>
        <v/>
      </c>
      <c r="G243" s="85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12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5">
        <f>VLOOKUP(A244,'U.S. GDP'!A:B,2,)</f>
        <v/>
      </c>
      <c r="C244" s="85">
        <f>VLOOKUP(A244,PersonalConsumption!A:B,2,)</f>
        <v/>
      </c>
      <c r="D244" s="85">
        <f>VLOOKUP(A244,PrivateInvestment!A:B,2,)</f>
        <v/>
      </c>
      <c r="E244" s="85">
        <f>VLOOKUP(A244,Exports!A:B,2,)</f>
        <v/>
      </c>
      <c r="F244" s="85">
        <f>VLOOKUP(A244,Imports!A:B,2,)</f>
        <v/>
      </c>
      <c r="G244" s="85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12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5">
        <f>VLOOKUP(A245,'U.S. GDP'!A:B,2,)</f>
        <v/>
      </c>
      <c r="C245" s="85">
        <f>VLOOKUP(A245,PersonalConsumption!A:B,2,)</f>
        <v/>
      </c>
      <c r="D245" s="85">
        <f>VLOOKUP(A245,PrivateInvestment!A:B,2,)</f>
        <v/>
      </c>
      <c r="E245" s="85">
        <f>VLOOKUP(A245,Exports!A:B,2,)</f>
        <v/>
      </c>
      <c r="F245" s="85">
        <f>VLOOKUP(A245,Imports!A:B,2,)</f>
        <v/>
      </c>
      <c r="G245" s="85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12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5">
        <f>VLOOKUP(A246,'U.S. GDP'!A:B,2,)</f>
        <v/>
      </c>
      <c r="C246" s="85">
        <f>VLOOKUP(A246,PersonalConsumption!A:B,2,)</f>
        <v/>
      </c>
      <c r="D246" s="85">
        <f>VLOOKUP(A246,PrivateInvestment!A:B,2,)</f>
        <v/>
      </c>
      <c r="E246" s="85">
        <f>VLOOKUP(A246,Exports!A:B,2,)</f>
        <v/>
      </c>
      <c r="F246" s="85">
        <f>VLOOKUP(A246,Imports!A:B,2,)</f>
        <v/>
      </c>
      <c r="G246" s="85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12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5">
        <f>VLOOKUP(A247,'U.S. GDP'!A:B,2,)</f>
        <v/>
      </c>
      <c r="C247" s="85">
        <f>VLOOKUP(A247,PersonalConsumption!A:B,2,)</f>
        <v/>
      </c>
      <c r="D247" s="85">
        <f>VLOOKUP(A247,PrivateInvestment!A:B,2,)</f>
        <v/>
      </c>
      <c r="E247" s="85">
        <f>VLOOKUP(A247,Exports!A:B,2,)</f>
        <v/>
      </c>
      <c r="F247" s="85">
        <f>VLOOKUP(A247,Imports!A:B,2,)</f>
        <v/>
      </c>
      <c r="G247" s="85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12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5">
        <f>VLOOKUP(A248,'U.S. GDP'!A:B,2,)</f>
        <v/>
      </c>
      <c r="C248" s="85">
        <f>VLOOKUP(A248,PersonalConsumption!A:B,2,)</f>
        <v/>
      </c>
      <c r="D248" s="85">
        <f>VLOOKUP(A248,PrivateInvestment!A:B,2,)</f>
        <v/>
      </c>
      <c r="E248" s="85">
        <f>VLOOKUP(A248,Exports!A:B,2,)</f>
        <v/>
      </c>
      <c r="F248" s="85">
        <f>VLOOKUP(A248,Imports!A:B,2,)</f>
        <v/>
      </c>
      <c r="G248" s="85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12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5">
        <f>VLOOKUP(A249,'U.S. GDP'!A:B,2,)</f>
        <v/>
      </c>
      <c r="C249" s="85">
        <f>VLOOKUP(A249,PersonalConsumption!A:B,2,)</f>
        <v/>
      </c>
      <c r="D249" s="85">
        <f>VLOOKUP(A249,PrivateInvestment!A:B,2,)</f>
        <v/>
      </c>
      <c r="E249" s="85">
        <f>VLOOKUP(A249,Exports!A:B,2,)</f>
        <v/>
      </c>
      <c r="F249" s="85">
        <f>VLOOKUP(A249,Imports!A:B,2,)</f>
        <v/>
      </c>
      <c r="G249" s="85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12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5">
        <f>VLOOKUP(A250,'U.S. GDP'!A:B,2,)</f>
        <v/>
      </c>
      <c r="C250" s="85">
        <f>VLOOKUP(A250,PersonalConsumption!A:B,2,)</f>
        <v/>
      </c>
      <c r="D250" s="85">
        <f>VLOOKUP(A250,PrivateInvestment!A:B,2,)</f>
        <v/>
      </c>
      <c r="E250" s="85">
        <f>VLOOKUP(A250,Exports!A:B,2,)</f>
        <v/>
      </c>
      <c r="F250" s="85">
        <f>VLOOKUP(A250,Imports!A:B,2,)</f>
        <v/>
      </c>
      <c r="G250" s="85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12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5">
        <f>VLOOKUP(A251,'U.S. GDP'!A:B,2,)</f>
        <v/>
      </c>
      <c r="C251" s="85">
        <f>VLOOKUP(A251,PersonalConsumption!A:B,2,)</f>
        <v/>
      </c>
      <c r="D251" s="85">
        <f>VLOOKUP(A251,PrivateInvestment!A:B,2,)</f>
        <v/>
      </c>
      <c r="E251" s="85">
        <f>VLOOKUP(A251,Exports!A:B,2,)</f>
        <v/>
      </c>
      <c r="F251" s="85">
        <f>VLOOKUP(A251,Imports!A:B,2,)</f>
        <v/>
      </c>
      <c r="G251" s="85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12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5">
        <f>VLOOKUP(A252,'U.S. GDP'!A:B,2,)</f>
        <v/>
      </c>
      <c r="C252" s="85">
        <f>VLOOKUP(A252,PersonalConsumption!A:B,2,)</f>
        <v/>
      </c>
      <c r="D252" s="85">
        <f>VLOOKUP(A252,PrivateInvestment!A:B,2,)</f>
        <v/>
      </c>
      <c r="E252" s="85">
        <f>VLOOKUP(A252,Exports!A:B,2,)</f>
        <v/>
      </c>
      <c r="F252" s="85">
        <f>VLOOKUP(A252,Imports!A:B,2,)</f>
        <v/>
      </c>
      <c r="G252" s="85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12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5">
        <f>VLOOKUP(A253,'U.S. GDP'!A:B,2,)</f>
        <v/>
      </c>
      <c r="C253" s="85">
        <f>VLOOKUP(A253,PersonalConsumption!A:B,2,)</f>
        <v/>
      </c>
      <c r="D253" s="85">
        <f>VLOOKUP(A253,PrivateInvestment!A:B,2,)</f>
        <v/>
      </c>
      <c r="E253" s="85">
        <f>VLOOKUP(A253,Exports!A:B,2,)</f>
        <v/>
      </c>
      <c r="F253" s="85">
        <f>VLOOKUP(A253,Imports!A:B,2,)</f>
        <v/>
      </c>
      <c r="G253" s="85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12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5">
        <f>VLOOKUP(A254,'U.S. GDP'!A:B,2,)</f>
        <v/>
      </c>
      <c r="C254" s="85">
        <f>VLOOKUP(A254,PersonalConsumption!A:B,2,)</f>
        <v/>
      </c>
      <c r="D254" s="85">
        <f>VLOOKUP(A254,PrivateInvestment!A:B,2,)</f>
        <v/>
      </c>
      <c r="E254" s="85">
        <f>VLOOKUP(A254,Exports!A:B,2,)</f>
        <v/>
      </c>
      <c r="F254" s="85">
        <f>VLOOKUP(A254,Imports!A:B,2,)</f>
        <v/>
      </c>
      <c r="G254" s="85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12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5">
        <f>VLOOKUP(A255,'U.S. GDP'!A:B,2,)</f>
        <v/>
      </c>
      <c r="C255" s="85">
        <f>VLOOKUP(A255,PersonalConsumption!A:B,2,)</f>
        <v/>
      </c>
      <c r="D255" s="85">
        <f>VLOOKUP(A255,PrivateInvestment!A:B,2,)</f>
        <v/>
      </c>
      <c r="E255" s="85">
        <f>VLOOKUP(A255,Exports!A:B,2,)</f>
        <v/>
      </c>
      <c r="F255" s="85">
        <f>VLOOKUP(A255,Imports!A:B,2,)</f>
        <v/>
      </c>
      <c r="G255" s="85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12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5">
        <f>VLOOKUP(A256,'U.S. GDP'!A:B,2,)</f>
        <v/>
      </c>
      <c r="C256" s="85">
        <f>VLOOKUP(A256,PersonalConsumption!A:B,2,)</f>
        <v/>
      </c>
      <c r="D256" s="85">
        <f>VLOOKUP(A256,PrivateInvestment!A:B,2,)</f>
        <v/>
      </c>
      <c r="E256" s="85">
        <f>VLOOKUP(A256,Exports!A:B,2,)</f>
        <v/>
      </c>
      <c r="F256" s="85">
        <f>VLOOKUP(A256,Imports!A:B,2,)</f>
        <v/>
      </c>
      <c r="G256" s="85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12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5">
        <f>VLOOKUP(A257,'U.S. GDP'!A:B,2,)</f>
        <v/>
      </c>
      <c r="C257" s="85">
        <f>VLOOKUP(A257,PersonalConsumption!A:B,2,)</f>
        <v/>
      </c>
      <c r="D257" s="85">
        <f>VLOOKUP(A257,PrivateInvestment!A:B,2,)</f>
        <v/>
      </c>
      <c r="E257" s="85">
        <f>VLOOKUP(A257,Exports!A:B,2,)</f>
        <v/>
      </c>
      <c r="F257" s="85">
        <f>VLOOKUP(A257,Imports!A:B,2,)</f>
        <v/>
      </c>
      <c r="G257" s="85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12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5">
        <f>VLOOKUP(A258,'U.S. GDP'!A:B,2,)</f>
        <v/>
      </c>
      <c r="C258" s="85">
        <f>VLOOKUP(A258,PersonalConsumption!A:B,2,)</f>
        <v/>
      </c>
      <c r="D258" s="85">
        <f>VLOOKUP(A258,PrivateInvestment!A:B,2,)</f>
        <v/>
      </c>
      <c r="E258" s="85">
        <f>VLOOKUP(A258,Exports!A:B,2,)</f>
        <v/>
      </c>
      <c r="F258" s="85">
        <f>VLOOKUP(A258,Imports!A:B,2,)</f>
        <v/>
      </c>
      <c r="G258" s="85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12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5">
        <f>VLOOKUP(A259,'U.S. GDP'!A:B,2,)</f>
        <v/>
      </c>
      <c r="C259" s="85">
        <f>VLOOKUP(A259,PersonalConsumption!A:B,2,)</f>
        <v/>
      </c>
      <c r="D259" s="85">
        <f>VLOOKUP(A259,PrivateInvestment!A:B,2,)</f>
        <v/>
      </c>
      <c r="E259" s="85">
        <f>VLOOKUP(A259,Exports!A:B,2,)</f>
        <v/>
      </c>
      <c r="F259" s="85">
        <f>VLOOKUP(A259,Imports!A:B,2,)</f>
        <v/>
      </c>
      <c r="G259" s="85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12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5">
        <f>VLOOKUP(A260,'U.S. GDP'!A:B,2,)</f>
        <v/>
      </c>
      <c r="C260" s="85">
        <f>VLOOKUP(A260,PersonalConsumption!A:B,2,)</f>
        <v/>
      </c>
      <c r="D260" s="85">
        <f>VLOOKUP(A260,PrivateInvestment!A:B,2,)</f>
        <v/>
      </c>
      <c r="E260" s="85">
        <f>VLOOKUP(A260,Exports!A:B,2,)</f>
        <v/>
      </c>
      <c r="F260" s="85">
        <f>VLOOKUP(A260,Imports!A:B,2,)</f>
        <v/>
      </c>
      <c r="G260" s="85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12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5">
        <f>VLOOKUP(A261,'U.S. GDP'!A:B,2,)</f>
        <v/>
      </c>
      <c r="C261" s="85">
        <f>VLOOKUP(A261,PersonalConsumption!A:B,2,)</f>
        <v/>
      </c>
      <c r="D261" s="85">
        <f>VLOOKUP(A261,PrivateInvestment!A:B,2,)</f>
        <v/>
      </c>
      <c r="E261" s="85">
        <f>VLOOKUP(A261,Exports!A:B,2,)</f>
        <v/>
      </c>
      <c r="F261" s="85">
        <f>VLOOKUP(A261,Imports!A:B,2,)</f>
        <v/>
      </c>
      <c r="G261" s="85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12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5">
        <f>VLOOKUP(A262,'U.S. GDP'!A:B,2,)</f>
        <v/>
      </c>
      <c r="C262" s="85">
        <f>VLOOKUP(A262,PersonalConsumption!A:B,2,)</f>
        <v/>
      </c>
      <c r="D262" s="85">
        <f>VLOOKUP(A262,PrivateInvestment!A:B,2,)</f>
        <v/>
      </c>
      <c r="E262" s="85">
        <f>VLOOKUP(A262,Exports!A:B,2,)</f>
        <v/>
      </c>
      <c r="F262" s="85">
        <f>VLOOKUP(A262,Imports!A:B,2,)</f>
        <v/>
      </c>
      <c r="G262" s="85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12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5">
        <f>VLOOKUP(A263,'U.S. GDP'!A:B,2,)</f>
        <v/>
      </c>
      <c r="C263" s="85">
        <f>VLOOKUP(A263,PersonalConsumption!A:B,2,)</f>
        <v/>
      </c>
      <c r="D263" s="85">
        <f>VLOOKUP(A263,PrivateInvestment!A:B,2,)</f>
        <v/>
      </c>
      <c r="E263" s="85">
        <f>VLOOKUP(A263,Exports!A:B,2,)</f>
        <v/>
      </c>
      <c r="F263" s="85">
        <f>VLOOKUP(A263,Imports!A:B,2,)</f>
        <v/>
      </c>
      <c r="G263" s="85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12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5">
        <f>VLOOKUP(A264,'U.S. GDP'!A:B,2,)</f>
        <v/>
      </c>
      <c r="C264" s="85">
        <f>VLOOKUP(A264,PersonalConsumption!A:B,2,)</f>
        <v/>
      </c>
      <c r="D264" s="85">
        <f>VLOOKUP(A264,PrivateInvestment!A:B,2,)</f>
        <v/>
      </c>
      <c r="E264" s="85">
        <f>VLOOKUP(A264,Exports!A:B,2,)</f>
        <v/>
      </c>
      <c r="F264" s="85">
        <f>VLOOKUP(A264,Imports!A:B,2,)</f>
        <v/>
      </c>
      <c r="G264" s="85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12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5">
        <f>VLOOKUP(A265,'U.S. GDP'!A:B,2,)</f>
        <v/>
      </c>
      <c r="C265" s="85">
        <f>VLOOKUP(A265,PersonalConsumption!A:B,2,)</f>
        <v/>
      </c>
      <c r="D265" s="85">
        <f>VLOOKUP(A265,PrivateInvestment!A:B,2,)</f>
        <v/>
      </c>
      <c r="E265" s="85">
        <f>VLOOKUP(A265,Exports!A:B,2,)</f>
        <v/>
      </c>
      <c r="F265" s="85">
        <f>VLOOKUP(A265,Imports!A:B,2,)</f>
        <v/>
      </c>
      <c r="G265" s="85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12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5">
        <f>VLOOKUP(A266,'U.S. GDP'!A:B,2,)</f>
        <v/>
      </c>
      <c r="C266" s="85">
        <f>VLOOKUP(A266,PersonalConsumption!A:B,2,)</f>
        <v/>
      </c>
      <c r="D266" s="85">
        <f>VLOOKUP(A266,PrivateInvestment!A:B,2,)</f>
        <v/>
      </c>
      <c r="E266" s="85">
        <f>VLOOKUP(A266,Exports!A:B,2,)</f>
        <v/>
      </c>
      <c r="F266" s="85">
        <f>VLOOKUP(A266,Imports!A:B,2,)</f>
        <v/>
      </c>
      <c r="G266" s="85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12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5">
        <f>VLOOKUP(A267,'U.S. GDP'!A:B,2,)</f>
        <v/>
      </c>
      <c r="C267" s="85">
        <f>VLOOKUP(A267,PersonalConsumption!A:B,2,)</f>
        <v/>
      </c>
      <c r="D267" s="85">
        <f>VLOOKUP(A267,PrivateInvestment!A:B,2,)</f>
        <v/>
      </c>
      <c r="E267" s="85">
        <f>VLOOKUP(A267,Exports!A:B,2,)</f>
        <v/>
      </c>
      <c r="F267" s="85">
        <f>VLOOKUP(A267,Imports!A:B,2,)</f>
        <v/>
      </c>
      <c r="G267" s="85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12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5">
        <f>VLOOKUP(A268,'U.S. GDP'!A:B,2,)</f>
        <v/>
      </c>
      <c r="C268" s="85">
        <f>VLOOKUP(A268,PersonalConsumption!A:B,2,)</f>
        <v/>
      </c>
      <c r="D268" s="85">
        <f>VLOOKUP(A268,PrivateInvestment!A:B,2,)</f>
        <v/>
      </c>
      <c r="E268" s="85">
        <f>VLOOKUP(A268,Exports!A:B,2,)</f>
        <v/>
      </c>
      <c r="F268" s="85">
        <f>VLOOKUP(A268,Imports!A:B,2,)</f>
        <v/>
      </c>
      <c r="G268" s="85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12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5">
        <f>VLOOKUP(A269,'U.S. GDP'!A:B,2,)</f>
        <v/>
      </c>
      <c r="C269" s="85">
        <f>VLOOKUP(A269,PersonalConsumption!A:B,2,)</f>
        <v/>
      </c>
      <c r="D269" s="85">
        <f>VLOOKUP(A269,PrivateInvestment!A:B,2,)</f>
        <v/>
      </c>
      <c r="E269" s="85">
        <f>VLOOKUP(A269,Exports!A:B,2,)</f>
        <v/>
      </c>
      <c r="F269" s="85">
        <f>VLOOKUP(A269,Imports!A:B,2,)</f>
        <v/>
      </c>
      <c r="G269" s="85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12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5">
        <f>VLOOKUP(A270,'U.S. GDP'!A:B,2,)</f>
        <v/>
      </c>
      <c r="C270" s="85">
        <f>VLOOKUP(A270,PersonalConsumption!A:B,2,)</f>
        <v/>
      </c>
      <c r="D270" s="85">
        <f>VLOOKUP(A270,PrivateInvestment!A:B,2,)</f>
        <v/>
      </c>
      <c r="E270" s="85">
        <f>VLOOKUP(A270,Exports!A:B,2,)</f>
        <v/>
      </c>
      <c r="F270" s="85">
        <f>VLOOKUP(A270,Imports!A:B,2,)</f>
        <v/>
      </c>
      <c r="G270" s="85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12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5">
        <f>VLOOKUP(A271,'U.S. GDP'!A:B,2,)</f>
        <v/>
      </c>
      <c r="C271" s="85">
        <f>VLOOKUP(A271,PersonalConsumption!A:B,2,)</f>
        <v/>
      </c>
      <c r="D271" s="85">
        <f>VLOOKUP(A271,PrivateInvestment!A:B,2,)</f>
        <v/>
      </c>
      <c r="E271" s="85">
        <f>VLOOKUP(A271,Exports!A:B,2,)</f>
        <v/>
      </c>
      <c r="F271" s="85">
        <f>VLOOKUP(A271,Imports!A:B,2,)</f>
        <v/>
      </c>
      <c r="G271" s="85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12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5">
        <f>VLOOKUP(A272,'U.S. GDP'!A:B,2,)</f>
        <v/>
      </c>
      <c r="C272" s="85">
        <f>VLOOKUP(A272,PersonalConsumption!A:B,2,)</f>
        <v/>
      </c>
      <c r="D272" s="85">
        <f>VLOOKUP(A272,PrivateInvestment!A:B,2,)</f>
        <v/>
      </c>
      <c r="E272" s="85">
        <f>VLOOKUP(A272,Exports!A:B,2,)</f>
        <v/>
      </c>
      <c r="F272" s="85">
        <f>VLOOKUP(A272,Imports!A:B,2,)</f>
        <v/>
      </c>
      <c r="G272" s="85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12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5">
        <f>VLOOKUP(A273,'U.S. GDP'!A:B,2,)</f>
        <v/>
      </c>
      <c r="C273" s="85">
        <f>VLOOKUP(A273,PersonalConsumption!A:B,2,)</f>
        <v/>
      </c>
      <c r="D273" s="85">
        <f>VLOOKUP(A273,PrivateInvestment!A:B,2,)</f>
        <v/>
      </c>
      <c r="E273" s="85">
        <f>VLOOKUP(A273,Exports!A:B,2,)</f>
        <v/>
      </c>
      <c r="F273" s="85">
        <f>VLOOKUP(A273,Imports!A:B,2,)</f>
        <v/>
      </c>
      <c r="G273" s="85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12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5">
        <f>VLOOKUP(A274,'U.S. GDP'!A:B,2,)</f>
        <v/>
      </c>
      <c r="C274" s="85">
        <f>VLOOKUP(A274,PersonalConsumption!A:B,2,)</f>
        <v/>
      </c>
      <c r="D274" s="85">
        <f>VLOOKUP(A274,PrivateInvestment!A:B,2,)</f>
        <v/>
      </c>
      <c r="E274" s="85">
        <f>VLOOKUP(A274,Exports!A:B,2,)</f>
        <v/>
      </c>
      <c r="F274" s="85">
        <f>VLOOKUP(A274,Imports!A:B,2,)</f>
        <v/>
      </c>
      <c r="G274" s="85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12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5">
        <f>VLOOKUP(A275,'U.S. GDP'!A:B,2,)</f>
        <v/>
      </c>
      <c r="C275" s="85">
        <f>VLOOKUP(A275,PersonalConsumption!A:B,2,)</f>
        <v/>
      </c>
      <c r="D275" s="85">
        <f>VLOOKUP(A275,PrivateInvestment!A:B,2,)</f>
        <v/>
      </c>
      <c r="E275" s="85">
        <f>VLOOKUP(A275,Exports!A:B,2,)</f>
        <v/>
      </c>
      <c r="F275" s="85">
        <f>VLOOKUP(A275,Imports!A:B,2,)</f>
        <v/>
      </c>
      <c r="G275" s="85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12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5">
        <f>VLOOKUP(A276,'U.S. GDP'!A:B,2,)</f>
        <v/>
      </c>
      <c r="C276" s="85">
        <f>VLOOKUP(A276,PersonalConsumption!A:B,2,)</f>
        <v/>
      </c>
      <c r="D276" s="85">
        <f>VLOOKUP(A276,PrivateInvestment!A:B,2,)</f>
        <v/>
      </c>
      <c r="E276" s="85">
        <f>VLOOKUP(A276,Exports!A:B,2,)</f>
        <v/>
      </c>
      <c r="F276" s="85">
        <f>VLOOKUP(A276,Imports!A:B,2,)</f>
        <v/>
      </c>
      <c r="G276" s="85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12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5">
        <f>VLOOKUP(A277,'U.S. GDP'!A:B,2,)</f>
        <v/>
      </c>
      <c r="C277" s="85">
        <f>VLOOKUP(A277,PersonalConsumption!A:B,2,)</f>
        <v/>
      </c>
      <c r="D277" s="85">
        <f>VLOOKUP(A277,PrivateInvestment!A:B,2,)</f>
        <v/>
      </c>
      <c r="E277" s="85">
        <f>VLOOKUP(A277,Exports!A:B,2,)</f>
        <v/>
      </c>
      <c r="F277" s="85">
        <f>VLOOKUP(A277,Imports!A:B,2,)</f>
        <v/>
      </c>
      <c r="G277" s="85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12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5">
        <f>VLOOKUP(A278,'U.S. GDP'!A:B,2,)</f>
        <v/>
      </c>
      <c r="C278" s="85">
        <f>VLOOKUP(A278,PersonalConsumption!A:B,2,)</f>
        <v/>
      </c>
      <c r="D278" s="85">
        <f>VLOOKUP(A278,PrivateInvestment!A:B,2,)</f>
        <v/>
      </c>
      <c r="E278" s="85">
        <f>VLOOKUP(A278,Exports!A:B,2,)</f>
        <v/>
      </c>
      <c r="F278" s="85">
        <f>VLOOKUP(A278,Imports!A:B,2,)</f>
        <v/>
      </c>
      <c r="G278" s="85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12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5">
        <f>VLOOKUP(A279,'U.S. GDP'!A:B,2,)</f>
        <v/>
      </c>
      <c r="C279" s="85">
        <f>VLOOKUP(A279,PersonalConsumption!A:B,2,)</f>
        <v/>
      </c>
      <c r="D279" s="85">
        <f>VLOOKUP(A279,PrivateInvestment!A:B,2,)</f>
        <v/>
      </c>
      <c r="E279" s="85">
        <f>VLOOKUP(A279,Exports!A:B,2,)</f>
        <v/>
      </c>
      <c r="F279" s="85">
        <f>VLOOKUP(A279,Imports!A:B,2,)</f>
        <v/>
      </c>
      <c r="G279" s="85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12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5">
        <f>VLOOKUP(A280,'U.S. GDP'!A:B,2,)</f>
        <v/>
      </c>
      <c r="C280" s="85">
        <f>VLOOKUP(A280,PersonalConsumption!A:B,2,)</f>
        <v/>
      </c>
      <c r="D280" s="85">
        <f>VLOOKUP(A280,PrivateInvestment!A:B,2,)</f>
        <v/>
      </c>
      <c r="E280" s="85">
        <f>VLOOKUP(A280,Exports!A:B,2,)</f>
        <v/>
      </c>
      <c r="F280" s="85">
        <f>VLOOKUP(A280,Imports!A:B,2,)</f>
        <v/>
      </c>
      <c r="G280" s="85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12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5">
        <f>VLOOKUP(A281,'U.S. GDP'!A:B,2,)</f>
        <v/>
      </c>
      <c r="C281" s="85">
        <f>VLOOKUP(A281,PersonalConsumption!A:B,2,)</f>
        <v/>
      </c>
      <c r="D281" s="85">
        <f>VLOOKUP(A281,PrivateInvestment!A:B,2,)</f>
        <v/>
      </c>
      <c r="E281" s="85">
        <f>VLOOKUP(A281,Exports!A:B,2,)</f>
        <v/>
      </c>
      <c r="F281" s="85">
        <f>VLOOKUP(A281,Imports!A:B,2,)</f>
        <v/>
      </c>
      <c r="G281" s="85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12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5">
        <f>VLOOKUP(A282,'U.S. GDP'!A:B,2,)</f>
        <v/>
      </c>
      <c r="C282" s="85">
        <f>VLOOKUP(A282,PersonalConsumption!A:B,2,)</f>
        <v/>
      </c>
      <c r="D282" s="85">
        <f>VLOOKUP(A282,PrivateInvestment!A:B,2,)</f>
        <v/>
      </c>
      <c r="E282" s="85">
        <f>VLOOKUP(A282,Exports!A:B,2,)</f>
        <v/>
      </c>
      <c r="F282" s="85">
        <f>VLOOKUP(A282,Imports!A:B,2,)</f>
        <v/>
      </c>
      <c r="G282" s="85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12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5">
        <f>VLOOKUP(A283,'U.S. GDP'!A:B,2,)</f>
        <v/>
      </c>
      <c r="C283" s="85">
        <f>VLOOKUP(A283,PersonalConsumption!A:B,2,)</f>
        <v/>
      </c>
      <c r="D283" s="85">
        <f>VLOOKUP(A283,PrivateInvestment!A:B,2,)</f>
        <v/>
      </c>
      <c r="E283" s="85">
        <f>VLOOKUP(A283,Exports!A:B,2,)</f>
        <v/>
      </c>
      <c r="F283" s="85">
        <f>VLOOKUP(A283,Imports!A:B,2,)</f>
        <v/>
      </c>
      <c r="G283" s="85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12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5">
        <f>VLOOKUP(A284,'U.S. GDP'!A:B,2,)</f>
        <v/>
      </c>
      <c r="C284" s="85">
        <f>VLOOKUP(A284,PersonalConsumption!A:B,2,)</f>
        <v/>
      </c>
      <c r="D284" s="85">
        <f>VLOOKUP(A284,PrivateInvestment!A:B,2,)</f>
        <v/>
      </c>
      <c r="E284" s="85">
        <f>VLOOKUP(A284,Exports!A:B,2,)</f>
        <v/>
      </c>
      <c r="F284" s="85">
        <f>VLOOKUP(A284,Imports!A:B,2,)</f>
        <v/>
      </c>
      <c r="G284" s="85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12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5">
        <f>VLOOKUP(A285,'U.S. GDP'!A:B,2,)</f>
        <v/>
      </c>
      <c r="C285" s="85">
        <f>VLOOKUP(A285,PersonalConsumption!A:B,2,)</f>
        <v/>
      </c>
      <c r="D285" s="85">
        <f>VLOOKUP(A285,PrivateInvestment!A:B,2,)</f>
        <v/>
      </c>
      <c r="E285" s="85">
        <f>VLOOKUP(A285,Exports!A:B,2,)</f>
        <v/>
      </c>
      <c r="F285" s="85">
        <f>VLOOKUP(A285,Imports!A:B,2,)</f>
        <v/>
      </c>
      <c r="G285" s="85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12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5">
        <f>VLOOKUP(A286,'U.S. GDP'!A:B,2,)</f>
        <v/>
      </c>
      <c r="C286" s="85">
        <f>VLOOKUP(A286,PersonalConsumption!A:B,2,)</f>
        <v/>
      </c>
      <c r="D286" s="85">
        <f>VLOOKUP(A286,PrivateInvestment!A:B,2,)</f>
        <v/>
      </c>
      <c r="E286" s="85">
        <f>VLOOKUP(A286,Exports!A:B,2,)</f>
        <v/>
      </c>
      <c r="F286" s="85">
        <f>VLOOKUP(A286,Imports!A:B,2,)</f>
        <v/>
      </c>
      <c r="G286" s="85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12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5">
        <f>VLOOKUP(A287,'U.S. GDP'!A:B,2,)</f>
        <v/>
      </c>
      <c r="C287" s="85">
        <f>VLOOKUP(A287,PersonalConsumption!A:B,2,)</f>
        <v/>
      </c>
      <c r="D287" s="85">
        <f>VLOOKUP(A287,PrivateInvestment!A:B,2,)</f>
        <v/>
      </c>
      <c r="E287" s="85">
        <f>VLOOKUP(A287,Exports!A:B,2,)</f>
        <v/>
      </c>
      <c r="F287" s="85">
        <f>VLOOKUP(A287,Imports!A:B,2,)</f>
        <v/>
      </c>
      <c r="G287" s="85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12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5">
        <f>VLOOKUP(A288,'U.S. GDP'!A:B,2,)</f>
        <v/>
      </c>
      <c r="C288" s="85">
        <f>VLOOKUP(A288,PersonalConsumption!A:B,2,)</f>
        <v/>
      </c>
      <c r="D288" s="85">
        <f>VLOOKUP(A288,PrivateInvestment!A:B,2,)</f>
        <v/>
      </c>
      <c r="E288" s="85">
        <f>VLOOKUP(A288,Exports!A:B,2,)</f>
        <v/>
      </c>
      <c r="F288" s="85">
        <f>VLOOKUP(A288,Imports!A:B,2,)</f>
        <v/>
      </c>
      <c r="G288" s="85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12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5">
        <f>VLOOKUP(A289,'U.S. GDP'!A:B,2,)</f>
        <v/>
      </c>
      <c r="C289" s="85">
        <f>VLOOKUP(A289,PersonalConsumption!A:B,2,)</f>
        <v/>
      </c>
      <c r="D289" s="85">
        <f>VLOOKUP(A289,PrivateInvestment!A:B,2,)</f>
        <v/>
      </c>
      <c r="E289" s="85">
        <f>VLOOKUP(A289,Exports!A:B,2,)</f>
        <v/>
      </c>
      <c r="F289" s="85">
        <f>VLOOKUP(A289,Imports!A:B,2,)</f>
        <v/>
      </c>
      <c r="G289" s="85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12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5">
        <f>VLOOKUP(A290,'U.S. GDP'!A:B,2,)</f>
        <v/>
      </c>
      <c r="C290" s="85">
        <f>VLOOKUP(A290,PersonalConsumption!A:B,2,)</f>
        <v/>
      </c>
      <c r="D290" s="85">
        <f>VLOOKUP(A290,PrivateInvestment!A:B,2,)</f>
        <v/>
      </c>
      <c r="E290" s="85">
        <f>VLOOKUP(A290,Exports!A:B,2,)</f>
        <v/>
      </c>
      <c r="F290" s="85">
        <f>VLOOKUP(A290,Imports!A:B,2,)</f>
        <v/>
      </c>
      <c r="G290" s="85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12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5">
        <f>VLOOKUP(A291,'U.S. GDP'!A:B,2,)</f>
        <v/>
      </c>
      <c r="C291" s="85">
        <f>VLOOKUP(A291,PersonalConsumption!A:B,2,)</f>
        <v/>
      </c>
      <c r="D291" s="85">
        <f>VLOOKUP(A291,PrivateInvestment!A:B,2,)</f>
        <v/>
      </c>
      <c r="E291" s="85">
        <f>VLOOKUP(A291,Exports!A:B,2,)</f>
        <v/>
      </c>
      <c r="F291" s="85">
        <f>VLOOKUP(A291,Imports!A:B,2,)</f>
        <v/>
      </c>
      <c r="G291" s="85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12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5">
        <f>VLOOKUP(A292,'U.S. GDP'!A:B,2,)</f>
        <v/>
      </c>
      <c r="C292" s="85">
        <f>VLOOKUP(A292,PersonalConsumption!A:B,2,)</f>
        <v/>
      </c>
      <c r="D292" s="85">
        <f>VLOOKUP(A292,PrivateInvestment!A:B,2,)</f>
        <v/>
      </c>
      <c r="E292" s="64">
        <f>VLOOKUP(A292,Exports!A:B,2,)</f>
        <v/>
      </c>
      <c r="F292" s="85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12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5">
        <f>VLOOKUP(A293,'U.S. GDP'!A:B,2,)</f>
        <v/>
      </c>
      <c r="C293" s="85">
        <f>VLOOKUP(A293,PersonalConsumption!A:B,2,)</f>
        <v/>
      </c>
      <c r="D293" s="85">
        <f>VLOOKUP(A293,PrivateInvestment!A:B,2,)</f>
        <v/>
      </c>
      <c r="E293" s="85">
        <f>VLOOKUP(A293,Exports!A:B,2,)</f>
        <v/>
      </c>
      <c r="F293" s="85">
        <f>VLOOKUP(A293,Imports!A:B,2,)</f>
        <v/>
      </c>
      <c r="G293" s="85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12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5">
        <f>VLOOKUP(A294,'U.S. GDP'!A:B,2,)</f>
        <v/>
      </c>
      <c r="C294" s="85">
        <f>VLOOKUP(A294,PersonalConsumption!A:B,2,)</f>
        <v/>
      </c>
      <c r="D294" s="85">
        <f>VLOOKUP(A294,PrivateInvestment!A:B,2,)</f>
        <v/>
      </c>
      <c r="E294" s="64">
        <f>VLOOKUP(A294,Exports!A:B,2,)</f>
        <v/>
      </c>
      <c r="F294" s="85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12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5">
        <f>VLOOKUP(A295,'U.S. GDP'!A:B,2,)</f>
        <v/>
      </c>
      <c r="C295" s="85">
        <f>VLOOKUP(A295,PersonalConsumption!A:B,2,)</f>
        <v/>
      </c>
      <c r="D295" s="85">
        <f>VLOOKUP(A295,PrivateInvestment!A:B,2,)</f>
        <v/>
      </c>
      <c r="E295" s="85">
        <f>VLOOKUP(A295,Exports!A:B,2,)</f>
        <v/>
      </c>
      <c r="F295" s="85">
        <f>VLOOKUP(A295,Imports!A:B,2,)</f>
        <v/>
      </c>
      <c r="G295" s="85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12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5">
        <f>VLOOKUP(A296,'U.S. GDP'!A:B,2,)</f>
        <v/>
      </c>
      <c r="C296" s="85">
        <f>VLOOKUP(A296,PersonalConsumption!A:B,2,)</f>
        <v/>
      </c>
      <c r="D296" s="85">
        <f>VLOOKUP(A296,PrivateInvestment!A:B,2,)</f>
        <v/>
      </c>
      <c r="E296" s="64">
        <f>VLOOKUP(A296,Exports!A:B,2,)</f>
        <v/>
      </c>
      <c r="F296" s="85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12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5">
        <f>VLOOKUP(A297,'U.S. GDP'!A:B,2,)</f>
        <v/>
      </c>
      <c r="C297" s="85">
        <f>VLOOKUP(A297,PersonalConsumption!A:B,2,)</f>
        <v/>
      </c>
      <c r="D297" s="85">
        <f>VLOOKUP(A297,PrivateInvestment!A:B,2,)</f>
        <v/>
      </c>
      <c r="E297" s="85">
        <f>VLOOKUP(A297,Exports!A:B,2,)</f>
        <v/>
      </c>
      <c r="F297" s="85">
        <f>VLOOKUP(A297,Imports!A:B,2,)</f>
        <v/>
      </c>
      <c r="G297" s="85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12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5">
        <f>VLOOKUP(A298,'U.S. GDP'!A:B,2,)</f>
        <v/>
      </c>
      <c r="C298" s="85">
        <f>VLOOKUP(A298,PersonalConsumption!A:B,2,)</f>
        <v/>
      </c>
      <c r="D298" s="85">
        <f>VLOOKUP(A298,PrivateInvestment!A:B,2,)</f>
        <v/>
      </c>
      <c r="E298" s="64">
        <f>VLOOKUP(A298,Exports!A:B,2,)</f>
        <v/>
      </c>
      <c r="F298" s="85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12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5">
        <f>VLOOKUP(A299,'U.S. GDP'!A:B,2,)</f>
        <v/>
      </c>
      <c r="C299" s="85">
        <f>VLOOKUP(A299,PersonalConsumption!A:B,2,)</f>
        <v/>
      </c>
      <c r="D299" s="85">
        <f>VLOOKUP(A299,PrivateInvestment!A:B,2,)</f>
        <v/>
      </c>
      <c r="E299" s="85">
        <f>VLOOKUP(A299,Exports!A:B,2,)</f>
        <v/>
      </c>
      <c r="F299" s="85">
        <f>VLOOKUP(A299,Imports!A:B,2,)</f>
        <v/>
      </c>
      <c r="G299" s="85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12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5">
        <f>VLOOKUP(A300,'U.S. GDP'!A:B,2,)</f>
        <v/>
      </c>
      <c r="C300" s="85">
        <f>VLOOKUP(A300,PersonalConsumption!A:B,2,)</f>
        <v/>
      </c>
      <c r="D300" s="85">
        <f>VLOOKUP(A300,PrivateInvestment!A:B,2,)</f>
        <v/>
      </c>
      <c r="E300" s="64">
        <f>VLOOKUP(A300,Exports!A:B,2,)</f>
        <v/>
      </c>
      <c r="F300" s="85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12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5">
        <f>VLOOKUP(A301,'U.S. GDP'!A:B,2,)</f>
        <v/>
      </c>
      <c r="C301" s="85">
        <f>VLOOKUP(A301,PersonalConsumption!A:B,2,)</f>
        <v/>
      </c>
      <c r="D301" s="85">
        <f>VLOOKUP(A301,PrivateInvestment!A:B,2,)</f>
        <v/>
      </c>
      <c r="E301" s="85">
        <f>VLOOKUP(A301,Exports!A:B,2,)</f>
        <v/>
      </c>
      <c r="F301" s="85">
        <f>VLOOKUP(A301,Imports!A:B,2,)</f>
        <v/>
      </c>
      <c r="G301" s="85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12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5">
        <f>VLOOKUP(A302,'U.S. GDP'!A:B,2,)</f>
        <v/>
      </c>
      <c r="C302" s="85">
        <f>VLOOKUP(A302,PersonalConsumption!A:B,2,)</f>
        <v/>
      </c>
      <c r="D302" s="85">
        <f>VLOOKUP(A302,PrivateInvestment!A:B,2,)</f>
        <v/>
      </c>
      <c r="E302" s="64">
        <f>VLOOKUP(A302,Exports!A:B,2,)</f>
        <v/>
      </c>
      <c r="F302" s="85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12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5">
        <f>VLOOKUP(A303,'U.S. GDP'!A:B,2,)</f>
        <v/>
      </c>
      <c r="C303" s="85">
        <f>VLOOKUP(A303,PersonalConsumption!A:B,2,)</f>
        <v/>
      </c>
      <c r="D303" s="85">
        <f>VLOOKUP(A303,PrivateInvestment!A:B,2,)</f>
        <v/>
      </c>
      <c r="E303" s="85">
        <f>VLOOKUP(A303,Exports!A:B,2,)</f>
        <v/>
      </c>
      <c r="F303" s="85">
        <f>VLOOKUP(A303,Imports!A:B,2,)</f>
        <v/>
      </c>
      <c r="G303" s="85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12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5">
        <f>VLOOKUP(A304,'U.S. GDP'!A:B,2,)</f>
        <v/>
      </c>
      <c r="C304" s="85">
        <f>VLOOKUP(A304,PersonalConsumption!A:B,2,)</f>
        <v/>
      </c>
      <c r="D304" s="85">
        <f>VLOOKUP(A304,PrivateInvestment!A:B,2,)</f>
        <v/>
      </c>
      <c r="E304" s="64">
        <f>VLOOKUP(A304,Exports!A:B,2,)</f>
        <v/>
      </c>
      <c r="F304" s="85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12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28" t="inlineStr">
        <is>
          <t>PCECC96</t>
        </is>
      </c>
      <c r="B1" s="90" t="n"/>
      <c r="C1" s="2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https://fred.stlouisfed.org/series/PCECC96</t>
        </is>
      </c>
      <c r="M1" s="103" t="n"/>
      <c r="N1" s="103" t="n"/>
      <c r="O1" s="103" t="n"/>
    </row>
    <row r="2">
      <c r="A2" s="28" t="inlineStr">
        <is>
          <t>Real Personal Consumption Expenditures (PCECC96)</t>
        </is>
      </c>
      <c r="B2" s="92" t="n"/>
      <c r="C2" s="2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GPDIC1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https://fred.stlouisfed.org/series/GPDIC1</t>
        </is>
      </c>
      <c r="M1" s="103" t="n"/>
      <c r="N1" s="103" t="n"/>
      <c r="O1" s="103" t="n"/>
    </row>
    <row r="2">
      <c r="A2" s="66" t="inlineStr">
        <is>
          <t>Real Gross Private Domestic Investment (GPDIC1)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EXPGSC1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https://fred.stlouisfed.org/series/EXPGSC1</t>
        </is>
      </c>
      <c r="M1" s="103" t="n"/>
      <c r="N1" s="103" t="n"/>
      <c r="O1" s="103" t="n"/>
    </row>
    <row r="2">
      <c r="A2" s="66" t="inlineStr">
        <is>
          <t>Real Exports of Goods and Services (EXPGSC1)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IMPGSC1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https://fred.stlouisfed.org/series/IMPGSC1</t>
        </is>
      </c>
      <c r="M1" s="103" t="n"/>
      <c r="N1" s="103" t="n"/>
      <c r="O1" s="103" t="n"/>
    </row>
    <row r="2">
      <c r="A2" s="66" t="inlineStr">
        <is>
          <t xml:space="preserve">Real Imports of Goods and Services 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GCEC1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https://fred.stlouisfed.org/series/GCEC1</t>
        </is>
      </c>
      <c r="M1" s="103" t="n"/>
      <c r="N1" s="103" t="n"/>
      <c r="O1" s="103" t="n"/>
    </row>
    <row r="2">
      <c r="A2" s="66" t="inlineStr">
        <is>
          <t>Government Consumption Expenditures and Gross Investment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9" t="inlineStr">
        <is>
          <t>GDPCTPI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https://fred.stlouisfed.org/series/GDPCTPI</t>
        </is>
      </c>
      <c r="M1" s="103" t="n"/>
      <c r="N1" s="103" t="n"/>
      <c r="O1" s="103" t="n"/>
    </row>
    <row r="2">
      <c r="A2" s="66" t="inlineStr">
        <is>
          <t xml:space="preserve">Gross Domestic Product: Chain-type Price Index 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9" t="inlineStr">
        <is>
          <t>JCXFE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https://fred.stlouisfed.org/series/JCXFE</t>
        </is>
      </c>
      <c r="M1" s="103" t="n"/>
      <c r="N1" s="103" t="n"/>
      <c r="O1" s="103" t="n"/>
    </row>
    <row r="2">
      <c r="A2" s="66" t="inlineStr">
        <is>
          <t>Personal Consumption Expenditures: Chain-type Price Index Less Food and Energy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 t="n"/>
      <c r="C6" s="54" t="n"/>
      <c r="D6" s="54" t="n"/>
      <c r="E6" s="54" t="n"/>
    </row>
    <row r="7">
      <c r="A7" s="53" t="n">
        <v>17258</v>
      </c>
      <c r="B7" s="85" t="n"/>
      <c r="C7" s="55" t="n"/>
      <c r="D7" s="54" t="n"/>
      <c r="E7" s="54" t="n"/>
    </row>
    <row r="8">
      <c r="A8" s="53" t="n">
        <v>17349</v>
      </c>
      <c r="B8" s="85" t="n"/>
      <c r="C8" s="55" t="n"/>
      <c r="D8" s="54" t="n"/>
      <c r="E8" s="54" t="n"/>
    </row>
    <row r="9">
      <c r="A9" s="53" t="n">
        <v>17441</v>
      </c>
      <c r="B9" s="85" t="n"/>
      <c r="C9" s="55" t="n"/>
      <c r="D9" s="54" t="n"/>
      <c r="E9" s="54" t="n"/>
    </row>
    <row r="10">
      <c r="A10" s="53" t="n">
        <v>17533</v>
      </c>
      <c r="B10" s="85" t="n"/>
      <c r="C10" s="55" t="n"/>
      <c r="D10" s="54" t="n"/>
      <c r="E10" s="54" t="n"/>
    </row>
    <row r="11">
      <c r="A11" s="53" t="n">
        <v>17624</v>
      </c>
      <c r="B11" s="85" t="n"/>
      <c r="C11" s="55" t="n"/>
      <c r="D11" s="54" t="n"/>
      <c r="E11" s="54" t="n"/>
    </row>
    <row r="12">
      <c r="A12" s="53" t="n">
        <v>17715</v>
      </c>
      <c r="B12" s="85" t="n"/>
      <c r="C12" s="55" t="n"/>
      <c r="D12" s="54" t="n"/>
      <c r="E12" s="54" t="n"/>
    </row>
    <row r="13">
      <c r="A13" s="53" t="n">
        <v>17807</v>
      </c>
      <c r="B13" s="85" t="n"/>
      <c r="C13" s="55" t="n"/>
      <c r="D13" s="54" t="n"/>
      <c r="E13" s="54" t="n"/>
    </row>
    <row r="14">
      <c r="A14" s="53" t="n">
        <v>17899</v>
      </c>
      <c r="B14" s="85" t="n"/>
      <c r="C14" s="55" t="n"/>
      <c r="D14" s="54" t="n"/>
      <c r="E14" s="54" t="n"/>
    </row>
    <row r="15">
      <c r="A15" s="53" t="n">
        <v>17989</v>
      </c>
      <c r="B15" s="85" t="n"/>
      <c r="C15" s="55" t="n"/>
      <c r="D15" s="54" t="n"/>
      <c r="E15" s="54" t="n"/>
    </row>
    <row r="16">
      <c r="A16" s="53" t="n">
        <v>18080</v>
      </c>
      <c r="B16" s="85" t="n"/>
      <c r="C16" s="55" t="n"/>
      <c r="D16" s="54" t="n"/>
      <c r="E16" s="54" t="n"/>
    </row>
    <row r="17">
      <c r="A17" s="53" t="n">
        <v>18172</v>
      </c>
      <c r="B17" s="85" t="n"/>
      <c r="C17" s="55" t="n"/>
      <c r="D17" s="54" t="n"/>
      <c r="E17" s="54" t="n"/>
    </row>
    <row r="18">
      <c r="A18" s="53" t="n">
        <v>18264</v>
      </c>
      <c r="B18" s="85" t="n"/>
      <c r="C18" s="55" t="n"/>
      <c r="D18" s="54" t="n"/>
      <c r="E18" s="54" t="n"/>
    </row>
    <row r="19">
      <c r="A19" s="53" t="n">
        <v>18354</v>
      </c>
      <c r="B19" s="85" t="n"/>
      <c r="C19" s="55" t="n"/>
      <c r="D19" s="54" t="n"/>
      <c r="E19" s="54" t="n"/>
    </row>
    <row r="20">
      <c r="A20" s="53" t="n">
        <v>18445</v>
      </c>
      <c r="B20" s="85" t="n"/>
      <c r="C20" s="55" t="n"/>
      <c r="D20" s="54" t="n"/>
      <c r="E20" s="54" t="n"/>
    </row>
    <row r="21">
      <c r="A21" s="53" t="n">
        <v>18537</v>
      </c>
      <c r="B21" s="85" t="n"/>
      <c r="C21" s="55" t="n"/>
      <c r="D21" s="54" t="n"/>
      <c r="E21" s="54" t="n"/>
    </row>
    <row r="22">
      <c r="A22" s="53" t="n">
        <v>18629</v>
      </c>
      <c r="B22" s="85" t="n"/>
      <c r="C22" s="55" t="n"/>
      <c r="D22" s="54" t="n"/>
      <c r="E22" s="54" t="n"/>
    </row>
    <row r="23">
      <c r="A23" s="53" t="n">
        <v>18719</v>
      </c>
      <c r="B23" s="85" t="n"/>
      <c r="C23" s="55" t="n"/>
      <c r="D23" s="54" t="n"/>
      <c r="E23" s="54" t="n"/>
    </row>
    <row r="24">
      <c r="A24" s="53" t="n">
        <v>18810</v>
      </c>
      <c r="B24" s="85" t="n"/>
      <c r="C24" s="55" t="n"/>
      <c r="D24" s="54" t="n"/>
      <c r="E24" s="54" t="n"/>
    </row>
    <row r="25">
      <c r="A25" s="53" t="n">
        <v>18902</v>
      </c>
      <c r="B25" s="85" t="n"/>
      <c r="C25" s="55" t="n"/>
      <c r="D25" s="54" t="n"/>
      <c r="E25" s="54" t="n"/>
    </row>
    <row r="26">
      <c r="A26" s="53" t="n">
        <v>18994</v>
      </c>
      <c r="B26" s="85" t="n"/>
      <c r="C26" s="55" t="n"/>
      <c r="D26" s="54" t="n"/>
      <c r="E26" s="54" t="n"/>
    </row>
    <row r="27">
      <c r="A27" s="53" t="n">
        <v>19085</v>
      </c>
      <c r="B27" s="85" t="n"/>
      <c r="C27" s="55" t="n"/>
      <c r="D27" s="54" t="n"/>
      <c r="E27" s="54" t="n"/>
    </row>
    <row r="28">
      <c r="A28" s="53" t="n">
        <v>19176</v>
      </c>
      <c r="B28" s="85" t="n"/>
      <c r="C28" s="55" t="n"/>
      <c r="D28" s="54" t="n"/>
      <c r="E28" s="54" t="n"/>
    </row>
    <row r="29">
      <c r="A29" s="53" t="n">
        <v>19268</v>
      </c>
      <c r="B29" s="85" t="n"/>
      <c r="C29" s="55" t="n"/>
      <c r="D29" s="54" t="n"/>
      <c r="E29" s="54" t="n"/>
    </row>
    <row r="30">
      <c r="A30" s="53" t="n">
        <v>19360</v>
      </c>
      <c r="B30" s="85" t="n"/>
      <c r="C30" s="55" t="n"/>
      <c r="D30" s="54" t="n"/>
      <c r="E30" s="54" t="n"/>
    </row>
    <row r="31">
      <c r="A31" s="53" t="n">
        <v>19450</v>
      </c>
      <c r="B31" s="85" t="n"/>
      <c r="C31" s="55" t="n"/>
      <c r="D31" s="54" t="n"/>
      <c r="E31" s="54" t="n"/>
    </row>
    <row r="32">
      <c r="A32" s="53" t="n">
        <v>19541</v>
      </c>
      <c r="B32" s="85" t="n"/>
      <c r="C32" s="55" t="n"/>
      <c r="D32" s="54" t="n"/>
      <c r="E32" s="54" t="n"/>
    </row>
    <row r="33">
      <c r="A33" s="53" t="n">
        <v>19633</v>
      </c>
      <c r="B33" s="85" t="n"/>
      <c r="C33" s="55" t="n"/>
      <c r="D33" s="54" t="n"/>
      <c r="E33" s="54" t="n"/>
    </row>
    <row r="34">
      <c r="A34" s="53" t="n">
        <v>19725</v>
      </c>
      <c r="B34" s="85" t="n"/>
      <c r="C34" s="55" t="n"/>
      <c r="D34" s="54" t="n"/>
      <c r="E34" s="54" t="n"/>
    </row>
    <row r="35">
      <c r="A35" s="53" t="n">
        <v>19815</v>
      </c>
      <c r="B35" s="85" t="n"/>
      <c r="C35" s="55" t="n"/>
      <c r="D35" s="54" t="n"/>
      <c r="E35" s="54" t="n"/>
    </row>
    <row r="36">
      <c r="A36" s="53" t="n">
        <v>19906</v>
      </c>
      <c r="B36" s="85" t="n"/>
      <c r="C36" s="55" t="n"/>
      <c r="D36" s="54" t="n"/>
      <c r="E36" s="54" t="n"/>
    </row>
    <row r="37">
      <c r="A37" s="53" t="n">
        <v>19998</v>
      </c>
      <c r="B37" s="85" t="n"/>
      <c r="C37" s="55" t="n"/>
      <c r="D37" s="54" t="n"/>
      <c r="E37" s="54" t="n"/>
    </row>
    <row r="38">
      <c r="A38" s="53" t="n">
        <v>20090</v>
      </c>
      <c r="B38" s="85" t="n"/>
      <c r="C38" s="55" t="n"/>
      <c r="D38" s="54" t="n"/>
      <c r="E38" s="54" t="n"/>
    </row>
    <row r="39">
      <c r="A39" s="53" t="n">
        <v>20180</v>
      </c>
      <c r="B39" s="85" t="n"/>
      <c r="C39" s="55" t="n"/>
      <c r="D39" s="54" t="n"/>
      <c r="E39" s="54" t="n"/>
    </row>
    <row r="40">
      <c r="A40" s="53" t="n">
        <v>20271</v>
      </c>
      <c r="B40" s="85" t="n"/>
      <c r="C40" s="55" t="n"/>
      <c r="D40" s="54" t="n"/>
      <c r="E40" s="54" t="n"/>
    </row>
    <row r="41">
      <c r="A41" s="53" t="n">
        <v>20363</v>
      </c>
      <c r="B41" s="85" t="n"/>
      <c r="C41" s="55" t="n"/>
      <c r="D41" s="54" t="n"/>
      <c r="E41" s="54" t="n"/>
    </row>
    <row r="42">
      <c r="A42" s="53" t="n">
        <v>20455</v>
      </c>
      <c r="B42" s="85" t="n"/>
      <c r="C42" s="55" t="n"/>
      <c r="D42" s="54" t="n"/>
      <c r="E42" s="54" t="n"/>
    </row>
    <row r="43">
      <c r="A43" s="53" t="n">
        <v>20546</v>
      </c>
      <c r="B43" s="85" t="n"/>
      <c r="C43" s="55" t="n"/>
      <c r="D43" s="54" t="n"/>
      <c r="E43" s="54" t="n"/>
    </row>
    <row r="44">
      <c r="A44" s="53" t="n">
        <v>20637</v>
      </c>
      <c r="B44" s="85" t="n"/>
      <c r="C44" s="55" t="n"/>
      <c r="D44" s="54" t="n"/>
      <c r="E44" s="54" t="n"/>
    </row>
    <row r="45">
      <c r="A45" s="53" t="n">
        <v>20729</v>
      </c>
      <c r="B45" s="85" t="n"/>
      <c r="C45" s="55" t="n"/>
      <c r="D45" s="54" t="n"/>
      <c r="E45" s="54" t="n"/>
    </row>
    <row r="46">
      <c r="A46" s="53" t="n">
        <v>20821</v>
      </c>
      <c r="B46" s="85" t="n"/>
      <c r="C46" s="55" t="n"/>
      <c r="D46" s="54" t="n"/>
      <c r="E46" s="54" t="n"/>
    </row>
    <row r="47">
      <c r="A47" s="53" t="n">
        <v>20911</v>
      </c>
      <c r="B47" s="85" t="n"/>
      <c r="C47" s="55" t="n"/>
      <c r="D47" s="54" t="n"/>
      <c r="E47" s="54" t="n"/>
    </row>
    <row r="48">
      <c r="A48" s="53" t="n">
        <v>21002</v>
      </c>
      <c r="B48" s="85" t="n"/>
      <c r="C48" s="55" t="n"/>
      <c r="D48" s="54" t="n"/>
      <c r="E48" s="54" t="n"/>
    </row>
    <row r="49">
      <c r="A49" s="53" t="n">
        <v>21094</v>
      </c>
      <c r="B49" s="85" t="n"/>
      <c r="C49" s="55" t="n"/>
      <c r="D49" s="54" t="n"/>
      <c r="E49" s="54" t="n"/>
    </row>
    <row r="50">
      <c r="A50" s="53" t="n">
        <v>21186</v>
      </c>
      <c r="B50" s="85" t="n"/>
      <c r="C50" s="55" t="n"/>
      <c r="D50" s="54" t="n"/>
      <c r="E50" s="54" t="n"/>
    </row>
    <row r="51">
      <c r="A51" s="53" t="n">
        <v>21276</v>
      </c>
      <c r="B51" s="85" t="n"/>
      <c r="C51" s="55" t="n"/>
      <c r="D51" s="54" t="n"/>
      <c r="E51" s="54" t="n"/>
    </row>
    <row r="52">
      <c r="A52" s="53" t="n">
        <v>21367</v>
      </c>
      <c r="B52" s="85" t="n"/>
      <c r="C52" s="55" t="n"/>
      <c r="D52" s="54" t="n"/>
      <c r="E52" s="54" t="n"/>
    </row>
    <row r="53">
      <c r="A53" s="53" t="n">
        <v>21459</v>
      </c>
      <c r="B53" s="85" t="n"/>
      <c r="C53" s="55" t="n"/>
      <c r="D53" s="54" t="n"/>
      <c r="E53" s="54" t="n"/>
    </row>
    <row r="54">
      <c r="A54" s="53" t="n">
        <v>21551</v>
      </c>
      <c r="B54" s="85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03" min="1" max="1"/>
    <col width="35.83203125" customWidth="1" style="103" min="2" max="2"/>
    <col width="9.1640625" customWidth="1" style="103" min="3" max="12"/>
    <col width="9.1640625" customWidth="1" style="29" min="13" max="13"/>
    <col width="9.1640625" customWidth="1" style="103" min="14" max="15"/>
    <col width="9.1640625" customWidth="1" style="103" min="16" max="16384"/>
  </cols>
  <sheetData>
    <row r="1" ht="18" customHeight="1" s="74">
      <c r="A1" s="116" t="inlineStr">
        <is>
          <t>Table 1.1.6. Real Gross Domestic Product, Chained Dollars</t>
        </is>
      </c>
      <c r="Q1" s="103" t="inlineStr">
        <is>
          <t>https://fred.stlouisfed.org/release/tables?eid=13026&amp;rid=53</t>
        </is>
      </c>
    </row>
    <row r="2" ht="17" customHeight="1" s="74">
      <c r="A2" s="117" t="inlineStr">
        <is>
          <t>[Billions of chained (2009) dollars] Seasonally adjusted at annual rates</t>
        </is>
      </c>
    </row>
    <row r="3">
      <c r="A3" s="118" t="inlineStr">
        <is>
          <t>Bureau of Economic Analysis</t>
        </is>
      </c>
    </row>
    <row r="4">
      <c r="A4" s="118" t="inlineStr">
        <is>
          <t>Last Revised on: May 30, 2018 - Next Release Date June 28, 2018</t>
        </is>
      </c>
    </row>
    <row r="6">
      <c r="A6" s="115" t="inlineStr">
        <is>
          <t>Line</t>
        </is>
      </c>
      <c r="B6" s="115" t="n"/>
      <c r="C6" s="115" t="inlineStr">
        <is>
          <t>2016</t>
        </is>
      </c>
      <c r="D6" s="120" t="n"/>
      <c r="E6" s="120" t="n"/>
      <c r="F6" s="121" t="n"/>
      <c r="G6" s="115" t="inlineStr">
        <is>
          <t>2017</t>
        </is>
      </c>
      <c r="H6" s="120" t="n"/>
      <c r="I6" s="120" t="n"/>
      <c r="J6" s="121" t="n"/>
      <c r="K6" s="115" t="inlineStr">
        <is>
          <t>2018</t>
        </is>
      </c>
    </row>
    <row r="7">
      <c r="A7" s="119" t="n"/>
      <c r="B7" s="119" t="n"/>
      <c r="C7" s="115" t="inlineStr">
        <is>
          <t>Q1</t>
        </is>
      </c>
      <c r="D7" s="115" t="inlineStr">
        <is>
          <t>Q2</t>
        </is>
      </c>
      <c r="E7" s="115" t="inlineStr">
        <is>
          <t>Q3</t>
        </is>
      </c>
      <c r="F7" s="115" t="inlineStr">
        <is>
          <t>Q4</t>
        </is>
      </c>
      <c r="G7" s="115" t="inlineStr">
        <is>
          <t>Q1</t>
        </is>
      </c>
      <c r="H7" s="115" t="inlineStr">
        <is>
          <t>Q2</t>
        </is>
      </c>
      <c r="I7" s="115" t="inlineStr">
        <is>
          <t>Q3</t>
        </is>
      </c>
      <c r="J7" s="115" t="inlineStr">
        <is>
          <t>Q4</t>
        </is>
      </c>
      <c r="K7" s="115" t="inlineStr">
        <is>
          <t>Q1</t>
        </is>
      </c>
    </row>
    <row r="8">
      <c r="A8" s="118" t="inlineStr">
        <is>
          <t>1</t>
        </is>
      </c>
      <c r="B8" s="30" t="inlineStr">
        <is>
          <t xml:space="preserve">        Gross domestic product</t>
        </is>
      </c>
      <c r="C8" s="118" t="n">
        <v>16571.6</v>
      </c>
      <c r="D8" s="118" t="n">
        <v>16663.5</v>
      </c>
      <c r="E8" s="118" t="n">
        <v>16778.1</v>
      </c>
      <c r="F8" s="118" t="n">
        <v>16851.4</v>
      </c>
      <c r="G8" s="118" t="n">
        <v>16903.2</v>
      </c>
      <c r="H8" s="118" t="n">
        <v>17031.1</v>
      </c>
      <c r="I8" s="118" t="n">
        <v>17163.9</v>
      </c>
      <c r="J8" s="118" t="n">
        <v>17286.5</v>
      </c>
      <c r="K8" s="118" t="n">
        <v>17379.7</v>
      </c>
    </row>
    <row r="9">
      <c r="A9" s="118" t="inlineStr">
        <is>
          <t>2</t>
        </is>
      </c>
      <c r="B9" s="30" t="inlineStr">
        <is>
          <t>Personal consumption expenditures</t>
        </is>
      </c>
      <c r="C9" s="118" t="n">
        <v>11430.5</v>
      </c>
      <c r="D9" s="118" t="n">
        <v>11537.7</v>
      </c>
      <c r="E9" s="118" t="n">
        <v>11618.1</v>
      </c>
      <c r="F9" s="118" t="n">
        <v>11702.1</v>
      </c>
      <c r="G9" s="118" t="n">
        <v>11758</v>
      </c>
      <c r="H9" s="118" t="n">
        <v>11853</v>
      </c>
      <c r="I9" s="118" t="n">
        <v>11916.6</v>
      </c>
      <c r="J9" s="118" t="n">
        <v>12035.2</v>
      </c>
      <c r="K9" s="118" t="n">
        <v>12065.9</v>
      </c>
      <c r="M9" s="29">
        <f>K9/K8</f>
        <v/>
      </c>
    </row>
    <row r="10">
      <c r="A10" s="118" t="inlineStr">
        <is>
          <t>3</t>
        </is>
      </c>
      <c r="B10" s="118" t="inlineStr">
        <is>
          <t xml:space="preserve">    Goods</t>
        </is>
      </c>
      <c r="C10" s="118" t="n">
        <v>4000.4</v>
      </c>
      <c r="D10" s="118" t="n">
        <v>4059.1</v>
      </c>
      <c r="E10" s="118" t="n">
        <v>4090.8</v>
      </c>
      <c r="F10" s="118" t="n">
        <v>4138.4</v>
      </c>
      <c r="G10" s="118" t="n">
        <v>4145.4</v>
      </c>
      <c r="H10" s="118" t="n">
        <v>4199.9</v>
      </c>
      <c r="I10" s="118" t="n">
        <v>4246</v>
      </c>
      <c r="J10" s="118" t="n">
        <v>4326.2</v>
      </c>
      <c r="K10" s="118" t="n">
        <v>4319.7</v>
      </c>
    </row>
    <row r="11">
      <c r="A11" s="118" t="inlineStr">
        <is>
          <t>4</t>
        </is>
      </c>
      <c r="B11" s="118" t="inlineStr">
        <is>
          <t xml:space="preserve">        Durable goods</t>
        </is>
      </c>
      <c r="C11" s="118" t="n">
        <v>1544.4</v>
      </c>
      <c r="D11" s="118" t="n">
        <v>1576.2</v>
      </c>
      <c r="E11" s="118" t="n">
        <v>1611.9</v>
      </c>
      <c r="F11" s="118" t="n">
        <v>1647.9</v>
      </c>
      <c r="G11" s="118" t="n">
        <v>1647.3</v>
      </c>
      <c r="H11" s="118" t="n">
        <v>1677.8</v>
      </c>
      <c r="I11" s="118" t="n">
        <v>1712.9</v>
      </c>
      <c r="J11" s="118" t="n">
        <v>1768.6</v>
      </c>
      <c r="K11" s="118" t="n">
        <v>1757.2</v>
      </c>
    </row>
    <row r="12">
      <c r="A12" s="118" t="inlineStr">
        <is>
          <t>5</t>
        </is>
      </c>
      <c r="B12" s="118" t="inlineStr">
        <is>
          <t xml:space="preserve">        Nondurable goods</t>
        </is>
      </c>
      <c r="C12" s="118" t="n">
        <v>2488.6</v>
      </c>
      <c r="D12" s="118" t="n">
        <v>2517.5</v>
      </c>
      <c r="E12" s="118" t="n">
        <v>2517.9</v>
      </c>
      <c r="F12" s="118" t="n">
        <v>2533.2</v>
      </c>
      <c r="G12" s="118" t="n">
        <v>2540.2</v>
      </c>
      <c r="H12" s="118" t="n">
        <v>2566.6</v>
      </c>
      <c r="I12" s="118" t="n">
        <v>2581.5</v>
      </c>
      <c r="J12" s="118" t="n">
        <v>2611.9</v>
      </c>
      <c r="K12" s="118" t="n">
        <v>2614.8</v>
      </c>
    </row>
    <row r="13">
      <c r="A13" s="118" t="inlineStr">
        <is>
          <t>6</t>
        </is>
      </c>
      <c r="B13" s="118" t="inlineStr">
        <is>
          <t xml:space="preserve">    Services</t>
        </is>
      </c>
      <c r="C13" s="118" t="n">
        <v>7434.7</v>
      </c>
      <c r="D13" s="118" t="n">
        <v>7485.7</v>
      </c>
      <c r="E13" s="118" t="n">
        <v>7534.9</v>
      </c>
      <c r="F13" s="118" t="n">
        <v>7573.8</v>
      </c>
      <c r="G13" s="118" t="n">
        <v>7621</v>
      </c>
      <c r="H13" s="118" t="n">
        <v>7664.4</v>
      </c>
      <c r="I13" s="118" t="n">
        <v>7685.5</v>
      </c>
      <c r="J13" s="118" t="n">
        <v>7729.7</v>
      </c>
      <c r="K13" s="118" t="n">
        <v>7764.3</v>
      </c>
    </row>
    <row r="14">
      <c r="A14" s="118" t="inlineStr">
        <is>
          <t>7</t>
        </is>
      </c>
      <c r="B14" s="30" t="inlineStr">
        <is>
          <t>Gross private domestic investment</t>
        </is>
      </c>
      <c r="C14" s="118" t="n">
        <v>2849.8</v>
      </c>
      <c r="D14" s="118" t="n">
        <v>2830.2</v>
      </c>
      <c r="E14" s="118" t="n">
        <v>2847.2</v>
      </c>
      <c r="F14" s="118" t="n">
        <v>2905.7</v>
      </c>
      <c r="G14" s="118" t="n">
        <v>2897</v>
      </c>
      <c r="H14" s="118" t="n">
        <v>2924.7</v>
      </c>
      <c r="I14" s="118" t="n">
        <v>2976.5</v>
      </c>
      <c r="J14" s="118" t="n">
        <v>3011.1</v>
      </c>
      <c r="K14" s="118" t="n">
        <v>3064.1</v>
      </c>
      <c r="M14" s="29">
        <f>K14/K8</f>
        <v/>
      </c>
    </row>
    <row r="15">
      <c r="A15" s="118" t="inlineStr">
        <is>
          <t>8</t>
        </is>
      </c>
      <c r="B15" s="118" t="inlineStr">
        <is>
          <t xml:space="preserve">    Fixed investment</t>
        </is>
      </c>
      <c r="C15" s="118" t="n">
        <v>2787.8</v>
      </c>
      <c r="D15" s="118" t="n">
        <v>2797.5</v>
      </c>
      <c r="E15" s="118" t="n">
        <v>2808.2</v>
      </c>
      <c r="F15" s="118" t="n">
        <v>2820.3</v>
      </c>
      <c r="G15" s="118" t="n">
        <v>2875.7</v>
      </c>
      <c r="H15" s="118" t="n">
        <v>2898.5</v>
      </c>
      <c r="I15" s="118" t="n">
        <v>2915.8</v>
      </c>
      <c r="J15" s="118" t="n">
        <v>2973.7</v>
      </c>
      <c r="K15" s="118" t="n">
        <v>3020.7</v>
      </c>
    </row>
    <row r="16">
      <c r="A16" s="118" t="inlineStr">
        <is>
          <t>9</t>
        </is>
      </c>
      <c r="B16" s="118" t="inlineStr">
        <is>
          <t xml:space="preserve">        Nonresidential</t>
        </is>
      </c>
      <c r="C16" s="118" t="n">
        <v>2187.5</v>
      </c>
      <c r="D16" s="118" t="n">
        <v>2205.3</v>
      </c>
      <c r="E16" s="118" t="n">
        <v>2224</v>
      </c>
      <c r="F16" s="118" t="n">
        <v>2224.9</v>
      </c>
      <c r="G16" s="118" t="n">
        <v>2263.6</v>
      </c>
      <c r="H16" s="118" t="n">
        <v>2300.6</v>
      </c>
      <c r="I16" s="118" t="n">
        <v>2326.9</v>
      </c>
      <c r="J16" s="118" t="n">
        <v>2365.7</v>
      </c>
      <c r="K16" s="118" t="n">
        <v>2418.2</v>
      </c>
    </row>
    <row r="17">
      <c r="A17" s="118" t="inlineStr">
        <is>
          <t>10</t>
        </is>
      </c>
      <c r="B17" s="118" t="inlineStr">
        <is>
          <t xml:space="preserve">            Structures</t>
        </is>
      </c>
      <c r="C17" s="118" t="n">
        <v>439.1</v>
      </c>
      <c r="D17" s="118" t="n">
        <v>439.7</v>
      </c>
      <c r="E17" s="118" t="n">
        <v>454.6</v>
      </c>
      <c r="F17" s="118" t="n">
        <v>452.1</v>
      </c>
      <c r="G17" s="118" t="n">
        <v>468</v>
      </c>
      <c r="H17" s="118" t="n">
        <v>476</v>
      </c>
      <c r="I17" s="118" t="n">
        <v>467.4</v>
      </c>
      <c r="J17" s="118" t="n">
        <v>474.6</v>
      </c>
      <c r="K17" s="118" t="n">
        <v>490.7</v>
      </c>
    </row>
    <row r="18">
      <c r="A18" s="118" t="inlineStr">
        <is>
          <t>11</t>
        </is>
      </c>
      <c r="B18" s="118" t="inlineStr">
        <is>
          <t xml:space="preserve">            Equipment</t>
        </is>
      </c>
      <c r="C18" s="118" t="n">
        <v>1050.7</v>
      </c>
      <c r="D18" s="118" t="n">
        <v>1049</v>
      </c>
      <c r="E18" s="118" t="n">
        <v>1043.4</v>
      </c>
      <c r="F18" s="118" t="n">
        <v>1048</v>
      </c>
      <c r="G18" s="118" t="n">
        <v>1059.4</v>
      </c>
      <c r="H18" s="118" t="n">
        <v>1082</v>
      </c>
      <c r="I18" s="118" t="n">
        <v>1110.1</v>
      </c>
      <c r="J18" s="118" t="n">
        <v>1140.8</v>
      </c>
      <c r="K18" s="118" t="n">
        <v>1156.2</v>
      </c>
    </row>
    <row r="19">
      <c r="A19" s="118" t="inlineStr">
        <is>
          <t>12</t>
        </is>
      </c>
      <c r="B19" s="118" t="inlineStr">
        <is>
          <t xml:space="preserve">            Intellectual property products</t>
        </is>
      </c>
      <c r="C19" s="118" t="n">
        <v>702.8</v>
      </c>
      <c r="D19" s="118" t="n">
        <v>721.5</v>
      </c>
      <c r="E19" s="118" t="n">
        <v>729</v>
      </c>
      <c r="F19" s="118" t="n">
        <v>728.3</v>
      </c>
      <c r="G19" s="118" t="n">
        <v>738.6</v>
      </c>
      <c r="H19" s="118" t="n">
        <v>745.3</v>
      </c>
      <c r="I19" s="118" t="n">
        <v>754.8</v>
      </c>
      <c r="J19" s="118" t="n">
        <v>756.4</v>
      </c>
      <c r="K19" s="118" t="n">
        <v>776.2</v>
      </c>
    </row>
    <row r="20">
      <c r="A20" s="118" t="inlineStr">
        <is>
          <t>13</t>
        </is>
      </c>
      <c r="B20" s="118" t="inlineStr">
        <is>
          <t xml:space="preserve">        Residential</t>
        </is>
      </c>
      <c r="C20" s="118" t="n">
        <v>593.7</v>
      </c>
      <c r="D20" s="118" t="n">
        <v>586.5</v>
      </c>
      <c r="E20" s="118" t="n">
        <v>579.8</v>
      </c>
      <c r="F20" s="118" t="n">
        <v>589.8</v>
      </c>
      <c r="G20" s="118" t="n">
        <v>605.5</v>
      </c>
      <c r="H20" s="118" t="n">
        <v>594.1</v>
      </c>
      <c r="I20" s="118" t="n">
        <v>587</v>
      </c>
      <c r="J20" s="118" t="n">
        <v>604.9</v>
      </c>
      <c r="K20" s="118" t="n">
        <v>601.9</v>
      </c>
    </row>
    <row r="21">
      <c r="A21" s="118" t="inlineStr">
        <is>
          <t>14</t>
        </is>
      </c>
      <c r="B21" s="118" t="inlineStr">
        <is>
          <t xml:space="preserve">    Change in private inventories</t>
        </is>
      </c>
      <c r="C21" s="118" t="n">
        <v>40.6</v>
      </c>
      <c r="D21" s="118" t="n">
        <v>12.2</v>
      </c>
      <c r="E21" s="118" t="n">
        <v>17.6</v>
      </c>
      <c r="F21" s="118" t="n">
        <v>63.1</v>
      </c>
      <c r="G21" s="118" t="n">
        <v>1.2</v>
      </c>
      <c r="H21" s="118" t="n">
        <v>5.5</v>
      </c>
      <c r="I21" s="118" t="n">
        <v>38.5</v>
      </c>
      <c r="J21" s="118" t="n">
        <v>15.6</v>
      </c>
      <c r="K21" s="118" t="n">
        <v>20.2</v>
      </c>
    </row>
    <row r="22">
      <c r="A22" s="118" t="inlineStr">
        <is>
          <t>15</t>
        </is>
      </c>
      <c r="B22" s="30" t="inlineStr">
        <is>
          <t>Net exports of goods and services</t>
        </is>
      </c>
      <c r="C22" s="118" t="n">
        <v>-584.2</v>
      </c>
      <c r="D22" s="118" t="n">
        <v>-572.4</v>
      </c>
      <c r="E22" s="118" t="n">
        <v>-557.3</v>
      </c>
      <c r="F22" s="118" t="n">
        <v>-631.1</v>
      </c>
      <c r="G22" s="118" t="n">
        <v>-622.2</v>
      </c>
      <c r="H22" s="118" t="n">
        <v>-613.6</v>
      </c>
      <c r="I22" s="118" t="n">
        <v>-597.5</v>
      </c>
      <c r="J22" s="118" t="n">
        <v>-653.9</v>
      </c>
      <c r="K22" s="118" t="n">
        <v>-650.9</v>
      </c>
      <c r="M22" s="29">
        <f>K22/K8</f>
        <v/>
      </c>
    </row>
    <row r="23">
      <c r="A23" s="118" t="inlineStr">
        <is>
          <t>16</t>
        </is>
      </c>
      <c r="B23" s="118" t="inlineStr">
        <is>
          <t xml:space="preserve">    Exports</t>
        </is>
      </c>
      <c r="C23" s="118" t="n">
        <v>2098.1</v>
      </c>
      <c r="D23" s="118" t="n">
        <v>2112.5</v>
      </c>
      <c r="E23" s="118" t="n">
        <v>2145.3</v>
      </c>
      <c r="F23" s="118" t="n">
        <v>2124.4</v>
      </c>
      <c r="G23" s="118" t="n">
        <v>2162.3</v>
      </c>
      <c r="H23" s="118" t="n">
        <v>2181.1</v>
      </c>
      <c r="I23" s="118" t="n">
        <v>2192.4</v>
      </c>
      <c r="J23" s="118" t="n">
        <v>2229.8</v>
      </c>
      <c r="K23" s="118" t="n">
        <v>2252.9</v>
      </c>
      <c r="M23" s="29">
        <f>K23/K8</f>
        <v/>
      </c>
    </row>
    <row r="24">
      <c r="A24" s="118" t="inlineStr">
        <is>
          <t>17</t>
        </is>
      </c>
      <c r="B24" s="118" t="inlineStr">
        <is>
          <t xml:space="preserve">        Goods</t>
        </is>
      </c>
      <c r="C24" s="118" t="n">
        <v>1429.2</v>
      </c>
      <c r="D24" s="118" t="n">
        <v>1439.1</v>
      </c>
      <c r="E24" s="118" t="n">
        <v>1467.2</v>
      </c>
      <c r="F24" s="118" t="n">
        <v>1454.5</v>
      </c>
      <c r="G24" s="118" t="n">
        <v>1492.3</v>
      </c>
      <c r="H24" s="118" t="n">
        <v>1500.4</v>
      </c>
      <c r="I24" s="118" t="n">
        <v>1507.3</v>
      </c>
      <c r="J24" s="118" t="n">
        <v>1549.1</v>
      </c>
      <c r="K24" s="118" t="n">
        <v>1569.6</v>
      </c>
    </row>
    <row r="25">
      <c r="A25" s="118" t="inlineStr">
        <is>
          <t>18</t>
        </is>
      </c>
      <c r="B25" s="118" t="inlineStr">
        <is>
          <t xml:space="preserve">        Services</t>
        </is>
      </c>
      <c r="C25" s="118" t="n">
        <v>668.8</v>
      </c>
      <c r="D25" s="118" t="n">
        <v>673.3</v>
      </c>
      <c r="E25" s="118" t="n">
        <v>678.5</v>
      </c>
      <c r="F25" s="118" t="n">
        <v>670.6</v>
      </c>
      <c r="G25" s="118" t="n">
        <v>672.2</v>
      </c>
      <c r="H25" s="118" t="n">
        <v>682.3</v>
      </c>
      <c r="I25" s="118" t="n">
        <v>686.6</v>
      </c>
      <c r="J25" s="118" t="n">
        <v>684.2</v>
      </c>
      <c r="K25" s="118" t="n">
        <v>687.4</v>
      </c>
    </row>
    <row r="26">
      <c r="A26" s="118" t="inlineStr">
        <is>
          <t>19</t>
        </is>
      </c>
      <c r="B26" s="118" t="inlineStr">
        <is>
          <t xml:space="preserve">    Imports</t>
        </is>
      </c>
      <c r="C26" s="118" t="n">
        <v>2682.3</v>
      </c>
      <c r="D26" s="118" t="n">
        <v>2684.9</v>
      </c>
      <c r="E26" s="118" t="n">
        <v>2702.6</v>
      </c>
      <c r="F26" s="118" t="n">
        <v>2755.5</v>
      </c>
      <c r="G26" s="118" t="n">
        <v>2784.5</v>
      </c>
      <c r="H26" s="118" t="n">
        <v>2794.8</v>
      </c>
      <c r="I26" s="118" t="n">
        <v>2790</v>
      </c>
      <c r="J26" s="118" t="n">
        <v>2883.7</v>
      </c>
      <c r="K26" s="118" t="n">
        <v>2903.8</v>
      </c>
      <c r="M26" s="29">
        <f>K26/K8</f>
        <v/>
      </c>
    </row>
    <row r="27">
      <c r="A27" s="118" t="inlineStr">
        <is>
          <t>20</t>
        </is>
      </c>
      <c r="B27" s="118" t="inlineStr">
        <is>
          <t xml:space="preserve">        Goods</t>
        </is>
      </c>
      <c r="C27" s="118" t="n">
        <v>2203.2</v>
      </c>
      <c r="D27" s="118" t="n">
        <v>2204.6</v>
      </c>
      <c r="E27" s="118" t="n">
        <v>2211.4</v>
      </c>
      <c r="F27" s="118" t="n">
        <v>2260.7</v>
      </c>
      <c r="G27" s="118" t="n">
        <v>2286.7</v>
      </c>
      <c r="H27" s="118" t="n">
        <v>2294.3</v>
      </c>
      <c r="I27" s="118" t="n">
        <v>2292.9</v>
      </c>
      <c r="J27" s="118" t="n">
        <v>2386</v>
      </c>
      <c r="K27" s="118" t="n">
        <v>2399.3</v>
      </c>
    </row>
    <row r="28">
      <c r="A28" s="118" t="inlineStr">
        <is>
          <t>21</t>
        </is>
      </c>
      <c r="B28" s="118" t="inlineStr">
        <is>
          <t xml:space="preserve">        Services</t>
        </is>
      </c>
      <c r="C28" s="118" t="n">
        <v>477</v>
      </c>
      <c r="D28" s="118" t="n">
        <v>478.2</v>
      </c>
      <c r="E28" s="118" t="n">
        <v>488.6</v>
      </c>
      <c r="F28" s="118" t="n">
        <v>492.4</v>
      </c>
      <c r="G28" s="118" t="n">
        <v>495.5</v>
      </c>
      <c r="H28" s="118" t="n">
        <v>498.2</v>
      </c>
      <c r="I28" s="118" t="n">
        <v>494.8</v>
      </c>
      <c r="J28" s="118" t="n">
        <v>496.2</v>
      </c>
      <c r="K28" s="118" t="n">
        <v>502.9</v>
      </c>
    </row>
    <row r="29">
      <c r="A29" s="118" t="inlineStr">
        <is>
          <t>22</t>
        </is>
      </c>
      <c r="B29" s="30" t="inlineStr">
        <is>
          <t>Government consumption expenditures and gross investment</t>
        </is>
      </c>
      <c r="C29" s="118" t="n">
        <v>2903.2</v>
      </c>
      <c r="D29" s="118" t="n">
        <v>2896.3</v>
      </c>
      <c r="E29" s="118" t="n">
        <v>2899.9</v>
      </c>
      <c r="F29" s="118" t="n">
        <v>2901.2</v>
      </c>
      <c r="G29" s="118" t="n">
        <v>2896.6</v>
      </c>
      <c r="H29" s="118" t="n">
        <v>2895.2</v>
      </c>
      <c r="I29" s="118" t="n">
        <v>2900</v>
      </c>
      <c r="J29" s="118" t="n">
        <v>2921.5</v>
      </c>
      <c r="K29" s="118" t="n">
        <v>2929.8</v>
      </c>
      <c r="M29" s="29">
        <f>K29/K8</f>
        <v/>
      </c>
    </row>
    <row r="30">
      <c r="A30" s="118" t="inlineStr">
        <is>
          <t>23</t>
        </is>
      </c>
      <c r="B30" s="118" t="inlineStr">
        <is>
          <t xml:space="preserve">    Federal</t>
        </is>
      </c>
      <c r="C30" s="118" t="n">
        <v>1114.6</v>
      </c>
      <c r="D30" s="118" t="n">
        <v>1112.1</v>
      </c>
      <c r="E30" s="118" t="n">
        <v>1116.5</v>
      </c>
      <c r="F30" s="118" t="n">
        <v>1115.2</v>
      </c>
      <c r="G30" s="118" t="n">
        <v>1108.4</v>
      </c>
      <c r="H30" s="118" t="n">
        <v>1113.7</v>
      </c>
      <c r="I30" s="118" t="n">
        <v>1117.4</v>
      </c>
      <c r="J30" s="118" t="n">
        <v>1126.2</v>
      </c>
      <c r="K30" s="118" t="n">
        <v>1131</v>
      </c>
    </row>
    <row r="31">
      <c r="A31" s="118" t="inlineStr">
        <is>
          <t>24</t>
        </is>
      </c>
      <c r="B31" s="118" t="inlineStr">
        <is>
          <t xml:space="preserve">        National defense</t>
        </is>
      </c>
      <c r="C31" s="118" t="n">
        <v>668.9</v>
      </c>
      <c r="D31" s="118" t="n">
        <v>665.4</v>
      </c>
      <c r="E31" s="118" t="n">
        <v>669.6</v>
      </c>
      <c r="F31" s="118" t="n">
        <v>664.1</v>
      </c>
      <c r="G31" s="118" t="n">
        <v>658.6</v>
      </c>
      <c r="H31" s="118" t="n">
        <v>666.2</v>
      </c>
      <c r="I31" s="118" t="n">
        <v>670.2</v>
      </c>
      <c r="J31" s="118" t="n">
        <v>679.2</v>
      </c>
      <c r="K31" s="118" t="n">
        <v>682.3</v>
      </c>
    </row>
    <row r="32">
      <c r="A32" s="118" t="inlineStr">
        <is>
          <t>25</t>
        </is>
      </c>
      <c r="B32" s="118" t="inlineStr">
        <is>
          <t xml:space="preserve">        Nondefense</t>
        </is>
      </c>
      <c r="C32" s="118" t="n">
        <v>445.1</v>
      </c>
      <c r="D32" s="118" t="n">
        <v>446.1</v>
      </c>
      <c r="E32" s="118" t="n">
        <v>446.4</v>
      </c>
      <c r="F32" s="118" t="n">
        <v>450.3</v>
      </c>
      <c r="G32" s="118" t="n">
        <v>449</v>
      </c>
      <c r="H32" s="118" t="n">
        <v>446.9</v>
      </c>
      <c r="I32" s="118" t="n">
        <v>446.6</v>
      </c>
      <c r="J32" s="118" t="n">
        <v>446.5</v>
      </c>
      <c r="K32" s="118" t="n">
        <v>448.3</v>
      </c>
    </row>
    <row r="33">
      <c r="A33" s="118" t="inlineStr">
        <is>
          <t>26</t>
        </is>
      </c>
      <c r="B33" s="118" t="inlineStr">
        <is>
          <t xml:space="preserve">    State and local</t>
        </is>
      </c>
      <c r="C33" s="118" t="n">
        <v>1786.6</v>
      </c>
      <c r="D33" s="118" t="n">
        <v>1782.3</v>
      </c>
      <c r="E33" s="118" t="n">
        <v>1781.6</v>
      </c>
      <c r="F33" s="118" t="n">
        <v>1784.1</v>
      </c>
      <c r="G33" s="118" t="n">
        <v>1786.2</v>
      </c>
      <c r="H33" s="118" t="n">
        <v>1779.6</v>
      </c>
      <c r="I33" s="118" t="n">
        <v>1780.7</v>
      </c>
      <c r="J33" s="118" t="n">
        <v>1793.5</v>
      </c>
      <c r="K33" s="118" t="n">
        <v>1797</v>
      </c>
    </row>
    <row r="34">
      <c r="A34" s="118" t="inlineStr">
        <is>
          <t>27</t>
        </is>
      </c>
      <c r="B34" s="118" t="inlineStr">
        <is>
          <t>Residual</t>
        </is>
      </c>
      <c r="C34" s="118" t="n">
        <v>-41.4</v>
      </c>
      <c r="D34" s="118" t="n">
        <v>-48.2</v>
      </c>
      <c r="E34" s="118" t="n">
        <v>-54.2</v>
      </c>
      <c r="F34" s="118" t="n">
        <v>-55.2</v>
      </c>
      <c r="G34" s="118" t="n">
        <v>-54</v>
      </c>
      <c r="H34" s="118" t="n">
        <v>-63.5</v>
      </c>
      <c r="I34" s="118" t="n">
        <v>-77.40000000000001</v>
      </c>
      <c r="J34" s="118" t="n">
        <v>-86.3</v>
      </c>
      <c r="K34" s="118" t="n">
        <v>-84.09999999999999</v>
      </c>
    </row>
    <row r="35" ht="15.75" customHeight="1" s="74">
      <c r="A35" s="113" t="inlineStr">
        <is>
          <t>Legend / Footnotes:</t>
        </is>
      </c>
    </row>
    <row r="36" ht="15" customHeight="1" s="74">
      <c r="A36" s="114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3" t="inlineStr">
        <is>
          <t>Table 1.1.6. Real Gross Domestic Product, Chained Dollars</t>
        </is>
      </c>
    </row>
    <row r="43" ht="16" customHeight="1" s="74" thickBot="1"/>
    <row r="44">
      <c r="A44" s="103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3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3" t="inlineStr">
        <is>
          <t>1Gross domestic product</t>
        </is>
      </c>
      <c r="R45" s="103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3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3" t="inlineStr">
        <is>
          <t xml:space="preserve"> </t>
        </is>
      </c>
      <c r="R46" s="103" t="inlineStr">
        <is>
          <t>2Personal consumption expenditures</t>
        </is>
      </c>
      <c r="S46" s="103" t="inlineStr">
        <is>
          <t>Q1 1947</t>
        </is>
      </c>
      <c r="T46" s="36" t="n">
        <v>1274.952</v>
      </c>
      <c r="U46" s="29" t="inlineStr">
        <is>
          <t>.</t>
        </is>
      </c>
      <c r="V46" s="103" t="inlineStr">
        <is>
          <t>.</t>
        </is>
      </c>
      <c r="W46" s="29">
        <f>T46/T45</f>
        <v/>
      </c>
    </row>
    <row r="47">
      <c r="A47" s="103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3" t="inlineStr">
        <is>
          <t xml:space="preserve"> </t>
        </is>
      </c>
      <c r="R47" s="103" t="inlineStr">
        <is>
          <t>3Goods</t>
        </is>
      </c>
      <c r="S47" s="103" t="inlineStr">
        <is>
          <t>.</t>
        </is>
      </c>
      <c r="T47" s="103" t="inlineStr">
        <is>
          <t>.</t>
        </is>
      </c>
      <c r="U47" s="29" t="inlineStr">
        <is>
          <t>.</t>
        </is>
      </c>
      <c r="V47" s="103" t="inlineStr">
        <is>
          <t>.</t>
        </is>
      </c>
      <c r="W47" s="29" t="n"/>
    </row>
    <row r="48">
      <c r="A48" s="103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3" t="inlineStr">
        <is>
          <t xml:space="preserve"> </t>
        </is>
      </c>
      <c r="R48" s="103" t="inlineStr">
        <is>
          <t>4Durable goods</t>
        </is>
      </c>
      <c r="S48" s="103" t="inlineStr">
        <is>
          <t>.</t>
        </is>
      </c>
      <c r="T48" s="103" t="inlineStr">
        <is>
          <t>.</t>
        </is>
      </c>
      <c r="U48" s="29" t="inlineStr">
        <is>
          <t>.</t>
        </is>
      </c>
      <c r="V48" s="103" t="inlineStr">
        <is>
          <t>.</t>
        </is>
      </c>
      <c r="W48" s="29" t="n"/>
    </row>
    <row r="49">
      <c r="A49" s="103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3" t="inlineStr">
        <is>
          <t xml:space="preserve"> </t>
        </is>
      </c>
      <c r="R49" s="103" t="inlineStr">
        <is>
          <t>5Nondurable goods</t>
        </is>
      </c>
      <c r="S49" s="103" t="inlineStr">
        <is>
          <t>.</t>
        </is>
      </c>
      <c r="T49" s="103" t="inlineStr">
        <is>
          <t>.</t>
        </is>
      </c>
      <c r="U49" s="29" t="inlineStr">
        <is>
          <t>.</t>
        </is>
      </c>
      <c r="V49" s="103" t="inlineStr">
        <is>
          <t>.</t>
        </is>
      </c>
      <c r="W49" s="29" t="n"/>
    </row>
    <row r="50">
      <c r="A50" s="103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3" t="inlineStr">
        <is>
          <t xml:space="preserve"> </t>
        </is>
      </c>
      <c r="R50" s="103" t="inlineStr">
        <is>
          <t>6Services</t>
        </is>
      </c>
      <c r="S50" s="103" t="inlineStr">
        <is>
          <t>.</t>
        </is>
      </c>
      <c r="T50" s="103" t="inlineStr">
        <is>
          <t>.</t>
        </is>
      </c>
      <c r="U50" s="29" t="inlineStr">
        <is>
          <t>.</t>
        </is>
      </c>
      <c r="V50" s="103" t="inlineStr">
        <is>
          <t>.</t>
        </is>
      </c>
      <c r="W50" s="29" t="n"/>
    </row>
    <row r="51">
      <c r="A51" s="103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3" t="inlineStr">
        <is>
          <t xml:space="preserve"> </t>
        </is>
      </c>
      <c r="R51" s="103" t="inlineStr">
        <is>
          <t>7Gross private domestic investment</t>
        </is>
      </c>
      <c r="S51" s="103" t="inlineStr">
        <is>
          <t>Q1 1947</t>
        </is>
      </c>
      <c r="T51" s="103" t="n">
        <v>218.091</v>
      </c>
      <c r="U51" s="29" t="inlineStr">
        <is>
          <t>.</t>
        </is>
      </c>
      <c r="V51" s="103" t="inlineStr">
        <is>
          <t>.</t>
        </is>
      </c>
      <c r="W51" s="29">
        <f>T51/T45</f>
        <v/>
      </c>
    </row>
    <row r="52">
      <c r="A52" s="103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3" t="inlineStr">
        <is>
          <t xml:space="preserve"> </t>
        </is>
      </c>
      <c r="R52" s="103" t="inlineStr">
        <is>
          <t>8Fixed investment</t>
        </is>
      </c>
      <c r="S52" s="103" t="inlineStr">
        <is>
          <t>.</t>
        </is>
      </c>
      <c r="T52" s="103" t="inlineStr">
        <is>
          <t>.</t>
        </is>
      </c>
      <c r="U52" s="29" t="inlineStr">
        <is>
          <t>.</t>
        </is>
      </c>
      <c r="V52" s="103" t="inlineStr">
        <is>
          <t>.</t>
        </is>
      </c>
      <c r="W52" s="29" t="n"/>
    </row>
    <row r="53">
      <c r="A53" s="103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3" t="inlineStr">
        <is>
          <t xml:space="preserve"> </t>
        </is>
      </c>
      <c r="R53" s="103" t="inlineStr">
        <is>
          <t>9Nonresidential</t>
        </is>
      </c>
      <c r="S53" s="103" t="inlineStr">
        <is>
          <t>.</t>
        </is>
      </c>
      <c r="T53" s="103" t="inlineStr">
        <is>
          <t>.</t>
        </is>
      </c>
      <c r="U53" s="29" t="inlineStr">
        <is>
          <t>.</t>
        </is>
      </c>
      <c r="V53" s="103" t="inlineStr">
        <is>
          <t>.</t>
        </is>
      </c>
      <c r="W53" s="29" t="n"/>
    </row>
    <row r="54">
      <c r="A54" s="103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3" t="inlineStr">
        <is>
          <t xml:space="preserve"> </t>
        </is>
      </c>
      <c r="R54" s="103" t="inlineStr">
        <is>
          <t>10Structures</t>
        </is>
      </c>
      <c r="S54" s="103" t="inlineStr">
        <is>
          <t>.</t>
        </is>
      </c>
      <c r="T54" s="103" t="inlineStr">
        <is>
          <t>.</t>
        </is>
      </c>
      <c r="U54" s="29" t="inlineStr">
        <is>
          <t>.</t>
        </is>
      </c>
      <c r="V54" s="103" t="inlineStr">
        <is>
          <t>.</t>
        </is>
      </c>
      <c r="W54" s="29" t="n"/>
    </row>
    <row r="55">
      <c r="A55" s="103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3" t="inlineStr">
        <is>
          <t xml:space="preserve"> </t>
        </is>
      </c>
      <c r="R55" s="103" t="inlineStr">
        <is>
          <t>11Equipment</t>
        </is>
      </c>
      <c r="S55" s="103" t="inlineStr">
        <is>
          <t>.</t>
        </is>
      </c>
      <c r="T55" s="103" t="inlineStr">
        <is>
          <t>.</t>
        </is>
      </c>
      <c r="U55" s="29" t="inlineStr">
        <is>
          <t>.</t>
        </is>
      </c>
      <c r="V55" s="103" t="inlineStr">
        <is>
          <t>.</t>
        </is>
      </c>
      <c r="W55" s="29" t="n"/>
    </row>
    <row r="56">
      <c r="A56" s="103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3" t="inlineStr">
        <is>
          <t xml:space="preserve"> </t>
        </is>
      </c>
      <c r="R56" s="103" t="inlineStr">
        <is>
          <t>12Intellectual property products</t>
        </is>
      </c>
      <c r="S56" s="103" t="inlineStr">
        <is>
          <t>.</t>
        </is>
      </c>
      <c r="T56" s="103" t="inlineStr">
        <is>
          <t>.</t>
        </is>
      </c>
      <c r="U56" s="29" t="inlineStr">
        <is>
          <t>.</t>
        </is>
      </c>
      <c r="V56" s="103" t="inlineStr">
        <is>
          <t>.</t>
        </is>
      </c>
      <c r="W56" s="29" t="n"/>
    </row>
    <row r="57">
      <c r="A57" s="103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3" t="inlineStr">
        <is>
          <t xml:space="preserve"> </t>
        </is>
      </c>
      <c r="R57" s="103" t="inlineStr">
        <is>
          <t>13Residential</t>
        </is>
      </c>
      <c r="S57" s="103" t="inlineStr">
        <is>
          <t>.</t>
        </is>
      </c>
      <c r="T57" s="103" t="inlineStr">
        <is>
          <t>.</t>
        </is>
      </c>
      <c r="U57" s="29" t="inlineStr">
        <is>
          <t>.</t>
        </is>
      </c>
      <c r="V57" s="103" t="inlineStr">
        <is>
          <t>.</t>
        </is>
      </c>
      <c r="W57" s="29" t="n"/>
    </row>
    <row r="58">
      <c r="A58" s="103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3" t="inlineStr">
        <is>
          <t xml:space="preserve"> </t>
        </is>
      </c>
      <c r="R58" s="103" t="inlineStr">
        <is>
          <t>14Change in private inventories</t>
        </is>
      </c>
      <c r="S58" s="103" t="inlineStr">
        <is>
          <t>Q1 1947</t>
        </is>
      </c>
      <c r="T58" s="103" t="n">
        <v>6.462</v>
      </c>
      <c r="U58" s="29" t="inlineStr">
        <is>
          <t>.</t>
        </is>
      </c>
      <c r="V58" s="103" t="inlineStr">
        <is>
          <t>.</t>
        </is>
      </c>
      <c r="W58" s="29" t="n"/>
    </row>
    <row r="59">
      <c r="A59" s="103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3" t="inlineStr">
        <is>
          <t xml:space="preserve"> </t>
        </is>
      </c>
      <c r="R59" s="103" t="inlineStr">
        <is>
          <t>15Net exports of goods and services</t>
        </is>
      </c>
      <c r="S59" s="103" t="inlineStr">
        <is>
          <t>.</t>
        </is>
      </c>
      <c r="T59" s="103" t="inlineStr">
        <is>
          <t>.</t>
        </is>
      </c>
      <c r="U59" s="29" t="inlineStr">
        <is>
          <t>.</t>
        </is>
      </c>
      <c r="V59" s="103" t="inlineStr">
        <is>
          <t>.</t>
        </is>
      </c>
      <c r="W59" s="29" t="n"/>
    </row>
    <row r="60">
      <c r="A60" s="103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3" t="inlineStr">
        <is>
          <t xml:space="preserve"> </t>
        </is>
      </c>
      <c r="R60" s="103" t="inlineStr">
        <is>
          <t>16Exports</t>
        </is>
      </c>
      <c r="S60" s="103" t="inlineStr">
        <is>
          <t>Q1 1947</t>
        </is>
      </c>
      <c r="T60" s="103" t="n">
        <v>97.759</v>
      </c>
      <c r="U60" s="29" t="inlineStr">
        <is>
          <t>.</t>
        </is>
      </c>
      <c r="V60" s="103" t="inlineStr">
        <is>
          <t>.</t>
        </is>
      </c>
      <c r="W60" s="29">
        <f>T60/T45</f>
        <v/>
      </c>
    </row>
    <row r="61">
      <c r="A61" s="103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3" t="inlineStr">
        <is>
          <t xml:space="preserve"> </t>
        </is>
      </c>
      <c r="R61" s="103" t="inlineStr">
        <is>
          <t>17Goods</t>
        </is>
      </c>
      <c r="S61" s="103" t="inlineStr">
        <is>
          <t>.</t>
        </is>
      </c>
      <c r="T61" s="103" t="inlineStr">
        <is>
          <t>.</t>
        </is>
      </c>
      <c r="U61" s="29" t="inlineStr">
        <is>
          <t>.</t>
        </is>
      </c>
      <c r="V61" s="103" t="inlineStr">
        <is>
          <t>.</t>
        </is>
      </c>
      <c r="W61" s="29" t="n"/>
    </row>
    <row r="62">
      <c r="A62" s="103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3" t="inlineStr">
        <is>
          <t xml:space="preserve"> </t>
        </is>
      </c>
      <c r="R62" s="103" t="inlineStr">
        <is>
          <t>18Services</t>
        </is>
      </c>
      <c r="S62" s="103" t="inlineStr">
        <is>
          <t>.</t>
        </is>
      </c>
      <c r="T62" s="103" t="inlineStr">
        <is>
          <t>.</t>
        </is>
      </c>
      <c r="U62" s="29" t="inlineStr">
        <is>
          <t>.</t>
        </is>
      </c>
      <c r="V62" s="103" t="inlineStr">
        <is>
          <t>.</t>
        </is>
      </c>
      <c r="W62" s="29" t="n"/>
    </row>
    <row r="63">
      <c r="A63" s="103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3" t="inlineStr">
        <is>
          <t xml:space="preserve"> </t>
        </is>
      </c>
      <c r="R63" s="103" t="inlineStr">
        <is>
          <t>19Imports</t>
        </is>
      </c>
      <c r="S63" s="103" t="inlineStr">
        <is>
          <t>Q1 1947</t>
        </is>
      </c>
      <c r="T63" s="103" t="n">
        <v>60.271</v>
      </c>
      <c r="U63" s="29" t="inlineStr">
        <is>
          <t>.</t>
        </is>
      </c>
      <c r="V63" s="103" t="inlineStr">
        <is>
          <t>.</t>
        </is>
      </c>
      <c r="W63" s="29">
        <f>T63/T45</f>
        <v/>
      </c>
    </row>
    <row r="64">
      <c r="A64" s="103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3" t="inlineStr">
        <is>
          <t xml:space="preserve"> </t>
        </is>
      </c>
      <c r="R64" s="103" t="inlineStr">
        <is>
          <t>20Goods</t>
        </is>
      </c>
      <c r="S64" s="103" t="inlineStr">
        <is>
          <t>.</t>
        </is>
      </c>
      <c r="T64" s="103" t="inlineStr">
        <is>
          <t>.</t>
        </is>
      </c>
      <c r="U64" s="29" t="inlineStr">
        <is>
          <t>.</t>
        </is>
      </c>
      <c r="V64" s="103" t="inlineStr">
        <is>
          <t>.</t>
        </is>
      </c>
      <c r="W64" s="29" t="n"/>
    </row>
    <row r="65">
      <c r="A65" s="103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3" t="inlineStr">
        <is>
          <t xml:space="preserve"> </t>
        </is>
      </c>
      <c r="R65" s="103" t="inlineStr">
        <is>
          <t>21Services</t>
        </is>
      </c>
      <c r="S65" s="103" t="inlineStr">
        <is>
          <t>.</t>
        </is>
      </c>
      <c r="T65" s="103" t="inlineStr">
        <is>
          <t>.</t>
        </is>
      </c>
      <c r="U65" s="29" t="inlineStr">
        <is>
          <t>.</t>
        </is>
      </c>
      <c r="V65" s="103" t="inlineStr">
        <is>
          <t>.</t>
        </is>
      </c>
      <c r="W65" s="29" t="n"/>
    </row>
    <row r="66">
      <c r="A66" s="103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3" t="inlineStr">
        <is>
          <t xml:space="preserve"> </t>
        </is>
      </c>
      <c r="R66" s="103" t="inlineStr">
        <is>
          <t>22Government consumption expenditures and gross investment</t>
        </is>
      </c>
      <c r="S66" s="103" t="inlineStr">
        <is>
          <t>Q1 1947</t>
        </is>
      </c>
      <c r="T66" s="103" t="n">
        <v>524.076</v>
      </c>
      <c r="U66" s="29" t="inlineStr">
        <is>
          <t>.</t>
        </is>
      </c>
      <c r="V66" s="103" t="inlineStr">
        <is>
          <t>.</t>
        </is>
      </c>
      <c r="W66" s="29">
        <f>T66/T45</f>
        <v/>
      </c>
    </row>
    <row r="67">
      <c r="A67" s="103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3" t="inlineStr">
        <is>
          <t xml:space="preserve"> </t>
        </is>
      </c>
      <c r="R67" s="103" t="inlineStr">
        <is>
          <t>23Federal</t>
        </is>
      </c>
      <c r="S67" s="103" t="inlineStr">
        <is>
          <t>.</t>
        </is>
      </c>
      <c r="T67" s="103" t="inlineStr">
        <is>
          <t>.</t>
        </is>
      </c>
      <c r="U67" s="29" t="inlineStr">
        <is>
          <t>.</t>
        </is>
      </c>
      <c r="V67" s="103" t="inlineStr">
        <is>
          <t>.</t>
        </is>
      </c>
    </row>
    <row r="68">
      <c r="A68" s="103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3" t="inlineStr">
        <is>
          <t xml:space="preserve"> </t>
        </is>
      </c>
      <c r="R68" s="103" t="inlineStr">
        <is>
          <t>24National defense</t>
        </is>
      </c>
      <c r="S68" s="103" t="inlineStr">
        <is>
          <t>.</t>
        </is>
      </c>
      <c r="T68" s="103" t="inlineStr">
        <is>
          <t>.</t>
        </is>
      </c>
      <c r="U68" s="29" t="inlineStr">
        <is>
          <t>.</t>
        </is>
      </c>
      <c r="V68" s="103" t="inlineStr">
        <is>
          <t>.</t>
        </is>
      </c>
    </row>
    <row r="69">
      <c r="A69" s="103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3" t="inlineStr">
        <is>
          <t xml:space="preserve"> </t>
        </is>
      </c>
      <c r="R69" s="103" t="inlineStr">
        <is>
          <t>25Nondefense</t>
        </is>
      </c>
      <c r="S69" s="103" t="inlineStr">
        <is>
          <t>.</t>
        </is>
      </c>
      <c r="T69" s="103" t="inlineStr">
        <is>
          <t>.</t>
        </is>
      </c>
      <c r="U69" s="29" t="inlineStr">
        <is>
          <t>.</t>
        </is>
      </c>
      <c r="V69" s="103" t="inlineStr">
        <is>
          <t>.</t>
        </is>
      </c>
    </row>
    <row r="70">
      <c r="A70" s="103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3" t="inlineStr">
        <is>
          <t xml:space="preserve"> </t>
        </is>
      </c>
      <c r="R70" s="103" t="inlineStr">
        <is>
          <t>26State and local</t>
        </is>
      </c>
      <c r="S70" s="103" t="inlineStr">
        <is>
          <t>.</t>
        </is>
      </c>
      <c r="T70" s="103" t="inlineStr">
        <is>
          <t>.</t>
        </is>
      </c>
      <c r="U70" s="29" t="inlineStr">
        <is>
          <t>.</t>
        </is>
      </c>
      <c r="V70" s="103" t="inlineStr">
        <is>
          <t>.</t>
        </is>
      </c>
    </row>
    <row r="71" ht="16" customHeight="1" s="74" thickBot="1">
      <c r="A71" s="103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3" t="inlineStr">
        <is>
          <t xml:space="preserve"> </t>
        </is>
      </c>
      <c r="R71" s="103" t="inlineStr">
        <is>
          <t>27Residual</t>
        </is>
      </c>
      <c r="S71" s="103" t="inlineStr">
        <is>
          <t>Q1 1947</t>
        </is>
      </c>
      <c r="T71" s="103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2021-12-12T04:15:43Z</dcterms:modified>
  <cp:lastModifiedBy>Mark Mukherjee</cp:lastModifiedBy>
</cp:coreProperties>
</file>